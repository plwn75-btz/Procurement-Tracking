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ASK\2计划文件\PMS\PSR\"/>
    </mc:Choice>
  </mc:AlternateContent>
  <bookViews>
    <workbookView windowWidth="21600" windowHeight="9555"/>
  </bookViews>
  <sheets>
    <sheet name="PSR Overall Cycle" sheetId="3" r:id="rId1"/>
    <sheet name="Sheet1" sheetId="8" r:id="rId2"/>
    <sheet name="P6" sheetId="7" state="hidden" r:id="rId3"/>
    <sheet name="Before Award" sheetId="1" state="hidden" r:id="rId4"/>
    <sheet name="After Award" sheetId="2" state="hidden" r:id="rId5"/>
    <sheet name="Thai Holidays" sheetId="5" r:id="rId6"/>
    <sheet name="China Holidays" sheetId="6" r:id="rId7"/>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_xlnm._FilterDatabase" localSheetId="0" hidden="1">'PSR Overall Cycle'!$A$16:$AP$312</definedName>
    <definedName name="_xlnm._FilterDatabase" localSheetId="3" hidden="1">'Before Award'!$A$16:$BK$247</definedName>
    <definedName name="\c">#N/A</definedName>
    <definedName name="\i">#N/A</definedName>
    <definedName name="\z">#N/A</definedName>
    <definedName name="________Sh7" localSheetId="6" hidden="1">{#N/A,#N/A,FALSE,"Vessel1 1";#N/A,#N/A,FALSE,"Vessel1 2";#N/A,#N/A,FALSE,"Vessel1 3";#N/A,#N/A,FALSE,"Vessel1 4";#N/A,#N/A,FALSE,"Vessel1 5";#N/A,#N/A,FALSE,"Vessel1 6";#N/A,#N/A,FALSE,"Vessel1 7";#N/A,#N/A,FALSE,"Vessel1 8";#N/A,#N/A,FALSE,"Vessel1 9";#N/A,#N/A,FALSE,"Vessel1 10";#N/A,#N/A,FALSE,"Vessel1 11"}</definedName>
    <definedName name="________Sh7" hidden="1">{#N/A,#N/A,FALSE,"Vessel1 1";#N/A,#N/A,FALSE,"Vessel1 2";#N/A,#N/A,FALSE,"Vessel1 3";#N/A,#N/A,FALSE,"Vessel1 4";#N/A,#N/A,FALSE,"Vessel1 5";#N/A,#N/A,FALSE,"Vessel1 6";#N/A,#N/A,FALSE,"Vessel1 7";#N/A,#N/A,FALSE,"Vessel1 8";#N/A,#N/A,FALSE,"Vessel1 9";#N/A,#N/A,FALSE,"Vessel1 10";#N/A,#N/A,FALSE,"Vessel1 11"}</definedName>
    <definedName name="_______Sh7" localSheetId="6" hidden="1">{#N/A,#N/A,FALSE,"Vessel1 1";#N/A,#N/A,FALSE,"Vessel1 2";#N/A,#N/A,FALSE,"Vessel1 3";#N/A,#N/A,FALSE,"Vessel1 4";#N/A,#N/A,FALSE,"Vessel1 5";#N/A,#N/A,FALSE,"Vessel1 6";#N/A,#N/A,FALSE,"Vessel1 7";#N/A,#N/A,FALSE,"Vessel1 8";#N/A,#N/A,FALSE,"Vessel1 9";#N/A,#N/A,FALSE,"Vessel1 10";#N/A,#N/A,FALSE,"Vessel1 11"}</definedName>
    <definedName name="_______Sh7" hidden="1">{#N/A,#N/A,FALSE,"Vessel1 1";#N/A,#N/A,FALSE,"Vessel1 2";#N/A,#N/A,FALSE,"Vessel1 3";#N/A,#N/A,FALSE,"Vessel1 4";#N/A,#N/A,FALSE,"Vessel1 5";#N/A,#N/A,FALSE,"Vessel1 6";#N/A,#N/A,FALSE,"Vessel1 7";#N/A,#N/A,FALSE,"Vessel1 8";#N/A,#N/A,FALSE,"Vessel1 9";#N/A,#N/A,FALSE,"Vessel1 10";#N/A,#N/A,FALSE,"Vessel1 11"}</definedName>
    <definedName name="_____Sh7" localSheetId="6" hidden="1">{#N/A,#N/A,FALSE,"Vessel1 1";#N/A,#N/A,FALSE,"Vessel1 2";#N/A,#N/A,FALSE,"Vessel1 3";#N/A,#N/A,FALSE,"Vessel1 4";#N/A,#N/A,FALSE,"Vessel1 5";#N/A,#N/A,FALSE,"Vessel1 6";#N/A,#N/A,FALSE,"Vessel1 7";#N/A,#N/A,FALSE,"Vessel1 8";#N/A,#N/A,FALSE,"Vessel1 9";#N/A,#N/A,FALSE,"Vessel1 10";#N/A,#N/A,FALSE,"Vessel1 11"}</definedName>
    <definedName name="_____Sh7" hidden="1">{#N/A,#N/A,FALSE,"Vessel1 1";#N/A,#N/A,FALSE,"Vessel1 2";#N/A,#N/A,FALSE,"Vessel1 3";#N/A,#N/A,FALSE,"Vessel1 4";#N/A,#N/A,FALSE,"Vessel1 5";#N/A,#N/A,FALSE,"Vessel1 6";#N/A,#N/A,FALSE,"Vessel1 7";#N/A,#N/A,FALSE,"Vessel1 8";#N/A,#N/A,FALSE,"Vessel1 9";#N/A,#N/A,FALSE,"Vessel1 10";#N/A,#N/A,FALSE,"Vessel1 11"}</definedName>
    <definedName name="___Sh7" localSheetId="6" hidden="1">{#N/A,#N/A,FALSE,"Vessel1 1";#N/A,#N/A,FALSE,"Vessel1 2";#N/A,#N/A,FALSE,"Vessel1 3";#N/A,#N/A,FALSE,"Vessel1 4";#N/A,#N/A,FALSE,"Vessel1 5";#N/A,#N/A,FALSE,"Vessel1 6";#N/A,#N/A,FALSE,"Vessel1 7";#N/A,#N/A,FALSE,"Vessel1 8";#N/A,#N/A,FALSE,"Vessel1 9";#N/A,#N/A,FALSE,"Vessel1 10";#N/A,#N/A,FALSE,"Vessel1 11"}</definedName>
    <definedName name="___Sh7" hidden="1">{#N/A,#N/A,FALSE,"Vessel1 1";#N/A,#N/A,FALSE,"Vessel1 2";#N/A,#N/A,FALSE,"Vessel1 3";#N/A,#N/A,FALSE,"Vessel1 4";#N/A,#N/A,FALSE,"Vessel1 5";#N/A,#N/A,FALSE,"Vessel1 6";#N/A,#N/A,FALSE,"Vessel1 7";#N/A,#N/A,FALSE,"Vessel1 8";#N/A,#N/A,FALSE,"Vessel1 9";#N/A,#N/A,FALSE,"Vessel1 10";#N/A,#N/A,FALSE,"Vessel1 11"}</definedName>
    <definedName name="__123Graph_A" hidden="1">[1]List!#REF!</definedName>
    <definedName name="__123Graph_AABSKVA" hidden="1">'[2]2695 Intercross STEAM Load Bal.'!#REF!</definedName>
    <definedName name="__123Graph_AABSKW" hidden="1">'[3]Consumer List and Load B'!#REF!</definedName>
    <definedName name="__123Graph_AMIDKW" hidden="1">'[3]Consumer List and Load B'!#REF!</definedName>
    <definedName name="__123Graph_ANCF" hidden="1">'[4]Cashflow Analysis'!#REF!</definedName>
    <definedName name="__123Graph_ASIMKVA" hidden="1">'[2]2695 Intercross STEAM Load Bal.'!#REF!</definedName>
    <definedName name="__123Graph_ASIMKW" hidden="1">'[3]Consumer List and Load B'!#REF!</definedName>
    <definedName name="__123Graph_B" hidden="1">[1]List!#REF!</definedName>
    <definedName name="__123Graph_BABSKVA" hidden="1">'[3]Consumer List and Load B'!#REF!</definedName>
    <definedName name="__123Graph_BABSKW" hidden="1">'[3]Consumer List and Load B'!#REF!</definedName>
    <definedName name="__123Graph_BNCF" hidden="1">'[4]Cashflow Analysis'!#REF!</definedName>
    <definedName name="__123Graph_BPERFORMANCE" hidden="1">[5]BQMPALOC!#REF!</definedName>
    <definedName name="__123Graph_BSIMKVA" hidden="1">'[3]Consumer List and Load B'!#REF!</definedName>
    <definedName name="__123Graph_BSIMKW" hidden="1">'[3]Consumer List and Load B'!#REF!</definedName>
    <definedName name="__123Graph_C" hidden="1">[1]List!#REF!</definedName>
    <definedName name="__123Graph_D" hidden="1">[1]List!#REF!</definedName>
    <definedName name="__123Graph_E" hidden="1">[1]List!#REF!</definedName>
    <definedName name="__123Graph_X" hidden="1">'[6]Cashflow Analysis'!$E$63:$BL$63</definedName>
    <definedName name="__123Graph_XABSKVA" hidden="1">'[3]Consumer List and Load B'!#REF!</definedName>
    <definedName name="__123Graph_XABSKW" hidden="1">'[3]Consumer List and Load B'!#REF!</definedName>
    <definedName name="__123Graph_XMIDKW" hidden="1">'[3]Consumer List and Load B'!#REF!</definedName>
    <definedName name="__123Graph_XNCF" hidden="1">'[6]Cashflow Analysis'!$E$63:$BL$63</definedName>
    <definedName name="__123Graph_XSIMKVA" hidden="1">'[3]Consumer List and Load B'!#REF!</definedName>
    <definedName name="__123Graph_XSIMKW" hidden="1">'[3]Consumer List and Load B'!#REF!</definedName>
    <definedName name="__material_he_tubes_alternative">#REF!</definedName>
    <definedName name="__sf400">'[7]Pull-Down Menus'!$J$2486:$J$2491</definedName>
    <definedName name="__sf404">'[7]Pull-Down Menus'!$J$699:$J$701</definedName>
    <definedName name="_1__123Graph_ACONTRAC._OIL" hidden="1">'[4]Cashflow Analysis'!#REF!</definedName>
    <definedName name="_1_0_0_F" hidden="1">'[8]#REF'!#REF!</definedName>
    <definedName name="_1F" hidden="1">[9]CAB.XLS!#REF!</definedName>
    <definedName name="_2__123Graph_BCONTRAC._OIL" hidden="1">'[4]Cashflow Analysis'!#REF!</definedName>
    <definedName name="_3__123Graph_CCONTRAC._OIL" hidden="1">'[4]Cashflow Analysis'!#REF!</definedName>
    <definedName name="_4__123Graph_DCONTRAC._OIL" hidden="1">'[4]Cashflow Analysis'!#REF!</definedName>
    <definedName name="_5__123Graph_XCONTRAC._OIL" hidden="1">'[6]Cashflow Analysis'!$E$63:$BL$63</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al11">'[10]bal11'!$B$1:$AV$66</definedName>
    <definedName name="_bal12">'[10]bal12'!$B$1:$AU$66</definedName>
    <definedName name="_bal6">'[10]bal6'!$B$1:$CN$66</definedName>
    <definedName name="_DESIGN_MAT_SHELL">#REF!</definedName>
    <definedName name="_DESIGN_MAT_TUBES">#REF!</definedName>
    <definedName name="_DESIGN_TEMP_MAX_1">#REF!</definedName>
    <definedName name="_DESIGN_TEMP_MAX_2">#REF!</definedName>
    <definedName name="_DESIGN_TEMP_MIN_1">#REF!</definedName>
    <definedName name="_DESIGN_TEMP_MIN_2">#REF!</definedName>
    <definedName name="_DIMENSIONS_BOT">#REF!</definedName>
    <definedName name="_DIMENSIONS_MID">#REF!</definedName>
    <definedName name="_DIMENSIONS_PIPE_SHELL">#REF!</definedName>
    <definedName name="_DIMENSIONS_PIPE_TUBE">#REF!</definedName>
    <definedName name="_DIMENSIONS_TOP_MAIN">#REF!</definedName>
    <definedName name="_din24420">#REF!</definedName>
    <definedName name="_din28005">#REF!</definedName>
    <definedName name="_din28006">#REF!</definedName>
    <definedName name="_din28007">#REF!</definedName>
    <definedName name="_din28008">#REF!</definedName>
    <definedName name="_din28015">#REF!</definedName>
    <definedName name="_din28017">#REF!</definedName>
    <definedName name="_din28083">#REF!</definedName>
    <definedName name="_din28084">#REF!</definedName>
    <definedName name="_din28105">#REF!</definedName>
    <definedName name="_din28161">#REF!</definedName>
    <definedName name="_din28182">#REF!</definedName>
    <definedName name="_din4119">#REF!</definedName>
    <definedName name="_doc_foundation_plan_loads_digital">#REF!</definedName>
    <definedName name="_doc_foundation_plan_loads_paper">#REF!</definedName>
    <definedName name="_doc_foundation_plan_loads_week">#REF!</definedName>
    <definedName name="_Fill" hidden="1">#REF!</definedName>
    <definedName name="_xlnm._FilterDatabase" localSheetId="6" hidden="1">'China Holidays'!$A$1:$I$80</definedName>
    <definedName name="_xlnm._FilterDatabase" localSheetId="5" hidden="1">'Thai Holidays'!$A$1:$I$47</definedName>
    <definedName name="_xlnm._FilterDatabase" hidden="1">'[11]PROCPLAN-TOTAL'!#REF!</definedName>
    <definedName name="_installed_area_per_unit">#REF!</definedName>
    <definedName name="_Jos2">#REF!</definedName>
    <definedName name="_Key1" hidden="1">#REF!</definedName>
    <definedName name="_Key2" hidden="1">#REF!</definedName>
    <definedName name="_mat1">#REF!</definedName>
    <definedName name="_mat2">#REF!</definedName>
    <definedName name="_mat3">#REF!</definedName>
    <definedName name="_mat4">#REF!</definedName>
    <definedName name="_material_he_tubes">#REF!</definedName>
    <definedName name="_MatInverse_In" hidden="1">#REF!</definedName>
    <definedName name="_mc230">#REF!</definedName>
    <definedName name="_mc240">#REF!</definedName>
    <definedName name="_mc245">#REF!</definedName>
    <definedName name="_mc250">#REF!</definedName>
    <definedName name="_mc251">#REF!</definedName>
    <definedName name="_mc252">#REF!</definedName>
    <definedName name="_mc253">#REF!</definedName>
    <definedName name="_mc254">#REF!</definedName>
    <definedName name="_mc255">#REF!</definedName>
    <definedName name="_mc260">#REF!</definedName>
    <definedName name="_mc310">#REF!</definedName>
    <definedName name="_mc311">#REF!</definedName>
    <definedName name="_mc335">#REF!</definedName>
    <definedName name="_mc336">#REF!</definedName>
    <definedName name="_mc337">#REF!</definedName>
    <definedName name="_mc338">#REF!</definedName>
    <definedName name="_mc339">#REF!</definedName>
    <definedName name="_mc340">#REF!</definedName>
    <definedName name="_mc341">#REF!</definedName>
    <definedName name="_mc342">#REF!</definedName>
    <definedName name="_mc343">#REF!</definedName>
    <definedName name="_mc344">#REF!</definedName>
    <definedName name="_md_bracket_support_enabled">'[12]P. 5'!#REF!</definedName>
    <definedName name="_md_checkbox_notice2">'[12]P. 6'!#REF!</definedName>
    <definedName name="_md_guide_support_enabled">'[12]P. 5'!#REF!</definedName>
    <definedName name="_md_saddles_enabled">'[12]P. 5'!#REF!</definedName>
    <definedName name="_md_saddles_value">'[12]P. 5'!#REF!</definedName>
    <definedName name="_md_skirt_enabled">'[12]P. 5'!#REF!</definedName>
    <definedName name="_md_struct_steel_support_legs_enabled">'[12]P. 5'!#REF!</definedName>
    <definedName name="_md_support_ring_enabled">'[12]P. 5'!#REF!</definedName>
    <definedName name="_md_support_ring_value">'[12]P. 5'!#REF!</definedName>
    <definedName name="_md_tubular_support_value">'[12]P. 5'!#REF!</definedName>
    <definedName name="_md_vendor_enabled">'[12]P. 5'!#REF!</definedName>
    <definedName name="_Order1" hidden="1">255</definedName>
    <definedName name="_Order2" hidden="1">255</definedName>
    <definedName name="_Parse_Out" hidden="1">#REF!</definedName>
    <definedName name="_Regression_Int" hidden="1">1</definedName>
    <definedName name="_sf300">#REF!</definedName>
    <definedName name="_sf400">#REF!</definedName>
    <definedName name="_sf401">#REF!</definedName>
    <definedName name="_sf404">#REF!</definedName>
    <definedName name="_sf450">#REF!</definedName>
    <definedName name="_Sh7" localSheetId="6" hidden="1">{#N/A,#N/A,FALSE,"Vessel1 1";#N/A,#N/A,FALSE,"Vessel1 2";#N/A,#N/A,FALSE,"Vessel1 3";#N/A,#N/A,FALSE,"Vessel1 4";#N/A,#N/A,FALSE,"Vessel1 5";#N/A,#N/A,FALSE,"Vessel1 6";#N/A,#N/A,FALSE,"Vessel1 7";#N/A,#N/A,FALSE,"Vessel1 8";#N/A,#N/A,FALSE,"Vessel1 9";#N/A,#N/A,FALSE,"Vessel1 10";#N/A,#N/A,FALSE,"Vessel1 11"}</definedName>
    <definedName name="_Sh7" hidden="1">{#N/A,#N/A,FALSE,"Vessel1 1";#N/A,#N/A,FALSE,"Vessel1 2";#N/A,#N/A,FALSE,"Vessel1 3";#N/A,#N/A,FALSE,"Vessel1 4";#N/A,#N/A,FALSE,"Vessel1 5";#N/A,#N/A,FALSE,"Vessel1 6";#N/A,#N/A,FALSE,"Vessel1 7";#N/A,#N/A,FALSE,"Vessel1 8";#N/A,#N/A,FALSE,"Vessel1 9";#N/A,#N/A,FALSE,"Vessel1 10";#N/A,#N/A,FALSE,"Vessel1 11"}</definedName>
    <definedName name="_shell_side_p_max">#REF!</definedName>
    <definedName name="_shell_side_p_min">#REF!</definedName>
    <definedName name="_sliding_plates_scope_delivery">'[12]P. 6'!#REF!</definedName>
    <definedName name="_Sort" hidden="1">#REF!</definedName>
    <definedName name="_Table1_In1" hidden="1">#REF!</definedName>
    <definedName name="_Table2_In1" hidden="1">#REF!</definedName>
    <definedName name="_TL3">'[13]2.0-A4'!#REF!</definedName>
    <definedName name="_tube_side_p_max">#REF!</definedName>
    <definedName name="_tube_side_p_min">#REF!</definedName>
    <definedName name="_tubes_he_diameter">#REF!</definedName>
    <definedName name="_tubes_he_length">#REF!</definedName>
    <definedName name="_vol1">#REF!</definedName>
    <definedName name="A">#N/A</definedName>
    <definedName name="aa">#REF!</definedName>
    <definedName name="aaaa" hidden="1">#REF!</definedName>
    <definedName name="AAAAA" localSheetId="6" hidden="1">{#N/A,#N/A,FALSE,"Ejector 1";#N/A,#N/A,FALSE,"Ejector 2"}</definedName>
    <definedName name="AAAAA" hidden="1">{#N/A,#N/A,FALSE,"Ejector 1";#N/A,#N/A,FALSE,"Ejector 2"}</definedName>
    <definedName name="abcd" localSheetId="6" hidden="1">{"'장비'!$A$3:$M$12"}</definedName>
    <definedName name="abcd" hidden="1">{"'장비'!$A$3:$M$12"}</definedName>
    <definedName name="access">#REF!</definedName>
    <definedName name="Access_Button" hidden="1">"PCDA_Commercial_evaluation__Iss_D3__Liste"</definedName>
    <definedName name="AccessDatabase" hidden="1">"Q:\2122\5922\EMR\INSTRUM\BESCHAFF\411 PCDA\Angebotsvergleich\PCDA.mdb"</definedName>
    <definedName name="ad" hidden="1">[1]List!#REF!</definedName>
    <definedName name="adfad" localSheetId="6" hidden="1">{#N/A,#N/A,FALSE,"cover";#N/A,#N/A,FALSE,"page_1";#N/A,#N/A,FALSE,"page_2";#N/A,#N/A,FALSE,"page_3";#N/A,#N/A,FALSE,"page_4"}</definedName>
    <definedName name="adfad" hidden="1">{#N/A,#N/A,FALSE,"cover";#N/A,#N/A,FALSE,"page_1";#N/A,#N/A,FALSE,"page_2";#N/A,#N/A,FALSE,"page_3";#N/A,#N/A,FALSE,"page_4"}</definedName>
    <definedName name="aggregationstate">#REF!</definedName>
    <definedName name="agibolts">#REF!</definedName>
    <definedName name="agiboltsmat">#REF!</definedName>
    <definedName name="agidesign">#REF!</definedName>
    <definedName name="agigasketmat">#REF!</definedName>
    <definedName name="agigasketmatagitatorunit">#REF!</definedName>
    <definedName name="agigaskettype">#REF!</definedName>
    <definedName name="agigaskettypeagitatorunit">#REF!</definedName>
    <definedName name="agitatordrive">#REF!</definedName>
    <definedName name="agitatordrivespec">#REF!</definedName>
    <definedName name="agitatorflange">#REF!</definedName>
    <definedName name="agitatortype">#REF!</definedName>
    <definedName name="agiwallthick">#REF!</definedName>
    <definedName name="airflow">#REF!</definedName>
    <definedName name="airquality">#REF!</definedName>
    <definedName name="amit" localSheetId="6" hidden="1">{"Cost Summary",#N/A,FALSE,"B";"Cost Detail 1",#N/A,FALSE,"C";"Cost Detail 2",#N/A,FALSE,"C"}</definedName>
    <definedName name="amit" hidden="1">{"Cost Summary",#N/A,FALSE,"B";"Cost Detail 1",#N/A,FALSE,"C";"Cost Detail 2",#N/A,FALSE,"C"}</definedName>
    <definedName name="anchorboltmat">#REF!</definedName>
    <definedName name="antivoba">#REF!</definedName>
    <definedName name="area">#REF!</definedName>
    <definedName name="areaload">#REF!</definedName>
    <definedName name="arrangement">#REF!</definedName>
    <definedName name="AS" localSheetId="6" hidden="1">{#N/A,#N/A,FALSE,"Ejector 1";#N/A,#N/A,FALSE,"Ejector 2"}</definedName>
    <definedName name="AS" hidden="1">{#N/A,#N/A,FALSE,"Ejector 1";#N/A,#N/A,FALSE,"Ejector 2"}</definedName>
    <definedName name="assemblydimensions">#REF!</definedName>
    <definedName name="authority">#REF!</definedName>
    <definedName name="authorityaircooler">#REF!</definedName>
    <definedName name="AUX_PI_PL_LIST">#REF!</definedName>
    <definedName name="B">[14]SV!#REF!</definedName>
    <definedName name="baffletype">#REF!</definedName>
    <definedName name="balancequalitygrade">#REF!</definedName>
    <definedName name="baseline">#REF!</definedName>
    <definedName name="baselineagreement">#REF!</definedName>
    <definedName name="baselinecompetencecenter">#REF!</definedName>
    <definedName name="baselineinspectionemail">#REF!</definedName>
    <definedName name="baselinetubes">#REF!</definedName>
    <definedName name="BBBBB" localSheetId="6" hidden="1">{#N/A,#N/A,FALSE,"Ejector 1";#N/A,#N/A,FALSE,"Ejector 2"}</definedName>
    <definedName name="BBBBB" hidden="1">{#N/A,#N/A,FALSE,"Ejector 1";#N/A,#N/A,FALSE,"Ejector 2"}</definedName>
    <definedName name="bearing">#REF!</definedName>
    <definedName name="bearingrotor">#REF!</definedName>
    <definedName name="beltdrivetype">#REF!</definedName>
    <definedName name="bgv">#REF!</definedName>
    <definedName name="bladepitch">#REF!</definedName>
    <definedName name="bodyfl">#REF!</definedName>
    <definedName name="Boiling">#REF!</definedName>
    <definedName name="boltmat">#REF!</definedName>
    <definedName name="bolts">#REF!</definedName>
    <definedName name="boltsize">#REF!</definedName>
    <definedName name="boltsmountingflange">#REF!</definedName>
    <definedName name="bottomdesignstandard">#REF!</definedName>
    <definedName name="bottomslope">#REF!</definedName>
    <definedName name="bottomwelding">#REF!</definedName>
    <definedName name="bracket">#REF!</definedName>
    <definedName name="breakup" localSheetId="6" hidden="1">{"'Sheet1'!$L$16"}</definedName>
    <definedName name="breakup" hidden="1">{"'Sheet1'!$L$16"}</definedName>
    <definedName name="bridging">[15]Unit!$E$4:$E$7</definedName>
    <definedName name="bubble">#REF!</definedName>
    <definedName name="bubblepressure">#REF!</definedName>
    <definedName name="bufferfluid">#REF!</definedName>
    <definedName name="bufferfluidproperties">#REF!</definedName>
    <definedName name="buffervesselmat1">#REF!</definedName>
    <definedName name="buffervesselmat2">#REF!</definedName>
    <definedName name="C_">[14]SV!#REF!</definedName>
    <definedName name="CABLE_SCHEDULE">'[9]#REF'!$A$1:$BP$4565</definedName>
    <definedName name="CABLE_SIZE">#REF!</definedName>
    <definedName name="CBLTYPE">#N/A</definedName>
    <definedName name="CBWorkbookPriority" hidden="1">-1411612577</definedName>
    <definedName name="CC" localSheetId="6" hidden="1">{#N/A,#N/A,TRUE,"COVER";#N/A,#N/A,TRUE,"CONTENTS";#N/A,#N/A,TRUE,"CALC SHEET FOR MMA AND PET";#N/A,#N/A,TRUE,"LOAD LIST FOR MMA AND PET"}</definedName>
    <definedName name="CC" hidden="1">{#N/A,#N/A,TRUE,"COVER";#N/A,#N/A,TRUE,"CONTENTS";#N/A,#N/A,TRUE,"CALC SHEET FOR MMA AND PET";#N/A,#N/A,TRUE,"LOAD LIST FOR MMA AND PET"}</definedName>
    <definedName name="CC_Graph1">"グラフ 52"</definedName>
    <definedName name="CCCC" localSheetId="6" hidden="1">{#N/A,#N/A,FALSE,"Ejector 1";#N/A,#N/A,FALSE,"Ejector 2"}</definedName>
    <definedName name="CCCC" hidden="1">{#N/A,#N/A,FALSE,"Ejector 1";#N/A,#N/A,FALSE,"Ejector 2"}</definedName>
    <definedName name="CERT">#N/A</definedName>
    <definedName name="certificateaddress">#REF!</definedName>
    <definedName name="certifiedwelder">#REF!</definedName>
    <definedName name="certifiedwelderagitatorunit">#REF!</definedName>
    <definedName name="chimney">#REF!</definedName>
    <definedName name="chlorid">#REF!</definedName>
    <definedName name="chloridtank">#REF!</definedName>
    <definedName name="choice1">#REF!</definedName>
    <definedName name="choice2">#REF!</definedName>
    <definedName name="ChoixSys">[16]Parameters!$A$30:$A$32</definedName>
    <definedName name="circulationpump">#REF!</definedName>
    <definedName name="circumspeed">#REF!</definedName>
    <definedName name="circumveloc">#REF!</definedName>
    <definedName name="cladding">#REF!</definedName>
    <definedName name="cladmat">#REF!</definedName>
    <definedName name="classification">#REF!</definedName>
    <definedName name="cleansyscontrol">#REF!</definedName>
    <definedName name="cleansystype">#REF!</definedName>
    <definedName name="clearancetotankshell">#REF!</definedName>
    <definedName name="closure">#REF!</definedName>
    <definedName name="coildiam">#REF!</definedName>
    <definedName name="completecs">#REF!</definedName>
    <definedName name="completess">#REF!</definedName>
    <definedName name="compressionring">#REF!</definedName>
    <definedName name="concentration">#REF!</definedName>
    <definedName name="CONSTRUCTION">#REF!</definedName>
    <definedName name="CONSUMER_DAT_AB">#N/A</definedName>
    <definedName name="CONSUMER_DAT_BL">#N/A</definedName>
    <definedName name="CONSUMER_DAT_CR">#N/A</definedName>
    <definedName name="CONSUMER_DAT_DB">#REF!</definedName>
    <definedName name="CONSUMER_DAT_DF">#N/A</definedName>
    <definedName name="CONSUMER_DAT_EN">#N/A</definedName>
    <definedName name="CONSUMER_DAT_MA">#N/A</definedName>
    <definedName name="contactaddress">#REF!</definedName>
    <definedName name="CONTACTOR">[17]contactor!$A$5:$J$37</definedName>
    <definedName name="coolingbufferfluid">#REF!</definedName>
    <definedName name="copyright">#REF!</definedName>
    <definedName name="corrosion">#REF!</definedName>
    <definedName name="corrosion1">#REF!</definedName>
    <definedName name="COSQ">#REF!</definedName>
    <definedName name="COSQLR">#REF!</definedName>
    <definedName name="coupling">#REF!</definedName>
    <definedName name="covering">#REF!</definedName>
    <definedName name="_xlnm.Criteria">#REF!</definedName>
    <definedName name="criticalspeed">#REF!</definedName>
    <definedName name="CV" localSheetId="6" hidden="1">{#N/A,#N/A,FALSE,"Vessel1 1";#N/A,#N/A,FALSE,"Vessel1 2";#N/A,#N/A,FALSE,"Vessel1 3";#N/A,#N/A,FALSE,"Vessel1 4";#N/A,#N/A,FALSE,"Vessel1 5";#N/A,#N/A,FALSE,"Vessel1 6";#N/A,#N/A,FALSE,"Vessel1 7";#N/A,#N/A,FALSE,"Vessel1 8";#N/A,#N/A,FALSE,"Vessel1 9";#N/A,#N/A,FALSE,"Vessel1 10";#N/A,#N/A,FALSE,"Vessel1 11"}</definedName>
    <definedName name="CV" hidden="1">{#N/A,#N/A,FALSE,"Vessel1 1";#N/A,#N/A,FALSE,"Vessel1 2";#N/A,#N/A,FALSE,"Vessel1 3";#N/A,#N/A,FALSE,"Vessel1 4";#N/A,#N/A,FALSE,"Vessel1 5";#N/A,#N/A,FALSE,"Vessel1 6";#N/A,#N/A,FALSE,"Vessel1 7";#N/A,#N/A,FALSE,"Vessel1 8";#N/A,#N/A,FALSE,"Vessel1 9";#N/A,#N/A,FALSE,"Vessel1 10";#N/A,#N/A,FALSE,"Vessel1 11"}</definedName>
    <definedName name="CW_PIPE_PN_LIST">#REF!</definedName>
    <definedName name="D">[14]SV!#REF!</definedName>
    <definedName name="Data">#REF!</definedName>
    <definedName name="Database">#REF!</definedName>
    <definedName name="Database_MI">#REF!</definedName>
    <definedName name="DATE">#REF!</definedName>
    <definedName name="date_révision">[16]Parameters!$AL$8</definedName>
    <definedName name="davit">#REF!</definedName>
    <definedName name="ddd" localSheetId="6" hidden="1">{#N/A,#N/A,FALSE,"Vessel1 1";#N/A,#N/A,FALSE,"Vessel1 2";#N/A,#N/A,FALSE,"Vessel1 3";#N/A,#N/A,FALSE,"Vessel1 4";#N/A,#N/A,FALSE,"Vessel1 5";#N/A,#N/A,FALSE,"Vessel1 6";#N/A,#N/A,FALSE,"Vessel1 7";#N/A,#N/A,FALSE,"Vessel1 8";#N/A,#N/A,FALSE,"Vessel1 9";#N/A,#N/A,FALSE,"Vessel1 10";#N/A,#N/A,FALSE,"Vessel1 11"}</definedName>
    <definedName name="ddd" hidden="1">{#N/A,#N/A,FALSE,"Vessel1 1";#N/A,#N/A,FALSE,"Vessel1 2";#N/A,#N/A,FALSE,"Vessel1 3";#N/A,#N/A,FALSE,"Vessel1 4";#N/A,#N/A,FALSE,"Vessel1 5";#N/A,#N/A,FALSE,"Vessel1 6";#N/A,#N/A,FALSE,"Vessel1 7";#N/A,#N/A,FALSE,"Vessel1 8";#N/A,#N/A,FALSE,"Vessel1 9";#N/A,#N/A,FALSE,"Vessel1 10";#N/A,#N/A,FALSE,"Vessel1 11"}</definedName>
    <definedName name="Débit">'[18]Liste Récept'!$F$15:$F$31</definedName>
    <definedName name="del" localSheetId="6" hidden="1">{#N/A,#N/A,FALSE,"B-Rated fire doors"}</definedName>
    <definedName name="del" hidden="1">{#N/A,#N/A,FALSE,"B-Rated fire doors"}</definedName>
    <definedName name="density">#REF!</definedName>
    <definedName name="departmentcode">#REF!</definedName>
    <definedName name="DESCRA">#REF!</definedName>
    <definedName name="DESCRB">#REF!</definedName>
    <definedName name="designcode">#REF!</definedName>
    <definedName name="designcodeaircooler">#REF!</definedName>
    <definedName name="designcodeheatexchanger">#REF!</definedName>
    <definedName name="designcodeplateexchanger">#REF!</definedName>
    <definedName name="designcodespiralexchanger">#REF!</definedName>
    <definedName name="designcodetank">#REF!</definedName>
    <definedName name="designcodetower">#REF!</definedName>
    <definedName name="designreqplateexchanger">#REF!</definedName>
    <definedName name="designreqspiralexchanger">#REF!</definedName>
    <definedName name="df" localSheetId="6" hidden="1">{#N/A,#N/A,TRUE,"COVER";#N/A,#N/A,TRUE,"CONTENTS";#N/A,#N/A,TRUE,"CALC SHEET FOR MMA AND PET";#N/A,#N/A,TRUE,"LOAD LIST FOR MMA AND PET"}</definedName>
    <definedName name="df" hidden="1">{#N/A,#N/A,TRUE,"COVER";#N/A,#N/A,TRUE,"CONTENTS";#N/A,#N/A,TRUE,"CALC SHEET FOR MMA AND PET";#N/A,#N/A,TRUE,"LOAD LIST FOR MMA AND PET"}</definedName>
    <definedName name="dfd" hidden="1">'[8]#REF'!#REF!</definedName>
    <definedName name="dfsag" localSheetId="6" hidden="1">{#N/A,#N/A,FALSE,"COVER";#N/A,#N/A,FALSE,"CONTENTS";#N/A,#N/A,FALSE,"CALC SHEET FOR MMA AND PET DOL";#N/A,#N/A,FALSE,"LOAD LIST FOR MMA AND PET DOL"}</definedName>
    <definedName name="dfsag" hidden="1">{#N/A,#N/A,FALSE,"COVER";#N/A,#N/A,FALSE,"CONTENTS";#N/A,#N/A,FALSE,"CALC SHEET FOR MMA AND PET DOL";#N/A,#N/A,FALSE,"LOAD LIST FOR MMA AND PET DOL"}</definedName>
    <definedName name="dghjdxj" localSheetId="6" hidden="1">{#N/A,#N/A,FALSE,"cover";#N/A,#N/A,FALSE,"page_1";#N/A,#N/A,FALSE,"page_2";#N/A,#N/A,FALSE,"page_3";#N/A,#N/A,FALSE,"page_4"}</definedName>
    <definedName name="dghjdxj" hidden="1">{#N/A,#N/A,FALSE,"cover";#N/A,#N/A,FALSE,"page_1";#N/A,#N/A,FALSE,"page_2";#N/A,#N/A,FALSE,"page_3";#N/A,#N/A,FALSE,"page_4"}</definedName>
    <definedName name="din28005_28008">#REF!</definedName>
    <definedName name="din28005_28008_iso13920">#REF!</definedName>
    <definedName name="din28017_1">#REF!</definedName>
    <definedName name="din28017_2">#REF!</definedName>
    <definedName name="din28017_3">#REF!</definedName>
    <definedName name="din28017_4">#REF!</definedName>
    <definedName name="din28081_1">#REF!</definedName>
    <definedName name="din28081_2">#REF!</definedName>
    <definedName name="dippipesupport">#REF!</definedName>
    <definedName name="directiveex">#REF!</definedName>
    <definedName name="DISCH_POSIT_LIST">#REF!</definedName>
    <definedName name="display">#REF!</definedName>
    <definedName name="Dissolved_water_in_WS_outlet_D1220">[19]Data!$E$31</definedName>
    <definedName name="Dissolved_water_in_WS_outlet_E1250">[19]Data!$E$32</definedName>
    <definedName name="DME_BeforeCloseCompleted" hidden="1">[20]XDO_HIDDEN!#REF!</definedName>
    <definedName name="DME_Dirty" hidden="1">[20]XDO_HIDDEN!#REF!</definedName>
    <definedName name="DME_LocalFile" hidden="1">"True"</definedName>
    <definedName name="DME_ODMALinks1" hidden="1">"::ODMA\DME-MSE\HGS-43444=C:\DOCUME~1\sk\LOCALS~1\Temp\Dme\HGS-43444.xls"</definedName>
    <definedName name="DME_ODMALinks2" hidden="1">"::ODMA\DME-MSE\HGS-39952=C:\DOCUME~1\bha\LOCALS~1\Temp\Dme\HGS-39952.xls"</definedName>
    <definedName name="DME_ODMALinks3" hidden="1">"::ODMA\DME-MSE\HGS-59436=C:\DOCUME~1\sk\LOCALS~1\Temp\Dme\HGS-59436.xls"</definedName>
    <definedName name="DME_ODMALinks4" hidden="1">"::ODMA\DME-MSE\HGS-57294=C:\DOCUME~1\sk\LOCALS~1\Temp\Dme\HGS-57294(2).xls"</definedName>
    <definedName name="DME_ODMALinks5" hidden="1">"::ODMA\DME-MSE\HGS-58308=C:\DOCUME~1\sk\LOCALS~1\Temp\Dme\DME58308.xls"</definedName>
    <definedName name="DME_ODMALinks6" hidden="1">"::ODMA\DME-MSE\HGS-50279=C:\DOCUME~1\sk\LOCALS~1\Temp\Dme\HGS-50279.xls"</definedName>
    <definedName name="DME_ODMALinks7" hidden="1">"::ODMA\DME-MSE\HGS-94737=C:\DOCUME~1\sk\LOCALS~1\Temp\Dme\HGS-94737.xls"</definedName>
    <definedName name="DME_ODMALinksCount" hidden="1">"6"</definedName>
    <definedName name="DNEW" hidden="1">'[11]PROCPLAN-TOTAL'!#REF!</definedName>
    <definedName name="doublebottom">#REF!</definedName>
    <definedName name="drawing">'[9]#REF'!$A$2:$A$80</definedName>
    <definedName name="drawingexamination">#REF!</definedName>
    <definedName name="drive">#REF!</definedName>
    <definedName name="driveagitatorunit">#REF!</definedName>
    <definedName name="driveposition">#REF!</definedName>
    <definedName name="drivescope">#REF!</definedName>
    <definedName name="DWPRICE" hidden="1">[21]Quantity!#REF!</definedName>
    <definedName name="dynvisco">#REF!</definedName>
    <definedName name="earthquake">#REF!</definedName>
    <definedName name="earthquaketank">#REF!</definedName>
    <definedName name="EEPC3">'[13]2.0-A4'!#REF!</definedName>
    <definedName name="EFF">#REF!</definedName>
    <definedName name="eniso4287">#REF!</definedName>
    <definedName name="esmc211_1">#REF!</definedName>
    <definedName name="esmc211_2">#REF!</definedName>
    <definedName name="EV__LASTREFTIME__" hidden="1">39890.5126388889</definedName>
    <definedName name="EV__LASTREFTIME___1" hidden="1">39742.5442013889</definedName>
    <definedName name="expanjoint">#REF!</definedName>
    <definedName name="expediting">#REF!</definedName>
    <definedName name="exproof">#REF!</definedName>
    <definedName name="exprotect">#REF!</definedName>
    <definedName name="extension">#REF!</definedName>
    <definedName name="_xlnm.Extract">[22]P!#REF!</definedName>
    <definedName name="exzone">#REF!</definedName>
    <definedName name="F1_CR">#N/A</definedName>
    <definedName name="F2_CR">#N/A</definedName>
    <definedName name="F3_CR">#N/A</definedName>
    <definedName name="F4_CR">#N/A</definedName>
    <definedName name="F5_CR">#N/A</definedName>
    <definedName name="F6_CR">#N/A</definedName>
    <definedName name="F7_CR">#N/A</definedName>
    <definedName name="fadsf" localSheetId="6" hidden="1">{#N/A,#N/A,TRUE,"COVER";#N/A,#N/A,TRUE,"CONTENTS";#N/A,#N/A,TRUE,"CALC SHEET FOR MMA AND PET";#N/A,#N/A,TRUE,"LOAD LIST FOR MMA AND PET"}</definedName>
    <definedName name="fadsf" hidden="1">{#N/A,#N/A,TRUE,"COVER";#N/A,#N/A,TRUE,"CONTENTS";#N/A,#N/A,TRUE,"CALC SHEET FOR MMA AND PET";#N/A,#N/A,TRUE,"LOAD LIST FOR MMA AND PET"}</definedName>
    <definedName name="fanblademat">#REF!</definedName>
    <definedName name="fancontrol">#REF!</definedName>
    <definedName name="fatiguestrength">#REF!</definedName>
    <definedName name="FDRTYPE">#REF!</definedName>
    <definedName name="fff" localSheetId="6" hidden="1">{#N/A,#N/A,FALSE,"cover";#N/A,#N/A,FALSE,"page_1";#N/A,#N/A,FALSE,"page_2";#N/A,#N/A,FALSE,"page_3";#N/A,#N/A,FALSE,"page_4"}</definedName>
    <definedName name="fff" hidden="1">{#N/A,#N/A,FALSE,"cover";#N/A,#N/A,FALSE,"page_1";#N/A,#N/A,FALSE,"page_2";#N/A,#N/A,FALSE,"page_3";#N/A,#N/A,FALSE,"page_4"}</definedName>
    <definedName name="fffff" hidden="1">'[23]Page 5 of 7'!#REF!</definedName>
    <definedName name="fg" hidden="1">#REF!</definedName>
    <definedName name="fillt" hidden="1">#REF!</definedName>
    <definedName name="filterelement">#REF!</definedName>
    <definedName name="filterinstall">#REF!</definedName>
    <definedName name="filterremoval">#REF!</definedName>
    <definedName name="find_cable_length_differences">'[9]#REF'!$A$1:$C$134</definedName>
    <definedName name="finsmat">#REF!</definedName>
    <definedName name="flangeface">#REF!</definedName>
    <definedName name="flangestd">#REF!</definedName>
    <definedName name="flangetype">#REF!</definedName>
    <definedName name="FLC">#REF!</definedName>
    <definedName name="flowdirect1">#REF!</definedName>
    <definedName name="flowdirect2">#REF!</definedName>
    <definedName name="flowindicator">#REF!</definedName>
    <definedName name="flowpattern">#REF!</definedName>
    <definedName name="fluid1">#REF!</definedName>
    <definedName name="fluidf">#REF!</definedName>
    <definedName name="fluidfiltered">#REF!</definedName>
    <definedName name="fluidstate">[15]Unit!$D$4:$D$12</definedName>
    <definedName name="format1">#REF!</definedName>
    <definedName name="format2">#REF!</definedName>
    <definedName name="fouling">#REF!</definedName>
    <definedName name="foundationtolerance">#REF!</definedName>
    <definedName name="Free_water_in_WS_outlet_D1220">[19]Data!$E$30</definedName>
    <definedName name="freeflowarea">#REF!</definedName>
    <definedName name="FUSE">#REF!</definedName>
    <definedName name="galvanizingbolts">#REF!</definedName>
    <definedName name="galvanizingplatform">#REF!</definedName>
    <definedName name="gasketfix">#REF!</definedName>
    <definedName name="gasketmat">#REF!</definedName>
    <definedName name="gasketplates">#REF!</definedName>
    <definedName name="gaskettype">#REF!</definedName>
    <definedName name="gb" localSheetId="6" hidden="1">{#N/A,#N/A,FALSE,"Vessel1 1";#N/A,#N/A,FALSE,"Vessel1 2";#N/A,#N/A,FALSE,"Vessel1 3";#N/A,#N/A,FALSE,"Vessel1 4";#N/A,#N/A,FALSE,"Vessel1 5";#N/A,#N/A,FALSE,"Vessel1 6";#N/A,#N/A,FALSE,"Vessel1 7";#N/A,#N/A,FALSE,"Vessel1 8";#N/A,#N/A,FALSE,"Vessel1 9";#N/A,#N/A,FALSE,"Vessel1 10";#N/A,#N/A,FALSE,"Vessel1 11"}</definedName>
    <definedName name="gb" hidden="1">{#N/A,#N/A,FALSE,"Vessel1 1";#N/A,#N/A,FALSE,"Vessel1 2";#N/A,#N/A,FALSE,"Vessel1 3";#N/A,#N/A,FALSE,"Vessel1 4";#N/A,#N/A,FALSE,"Vessel1 5";#N/A,#N/A,FALSE,"Vessel1 6";#N/A,#N/A,FALSE,"Vessel1 7";#N/A,#N/A,FALSE,"Vessel1 8";#N/A,#N/A,FALSE,"Vessel1 9";#N/A,#N/A,FALSE,"Vessel1 10";#N/A,#N/A,FALSE,"Vessel1 11"}</definedName>
    <definedName name="gearequipment">#REF!</definedName>
    <definedName name="gearsuppliers">#REF!</definedName>
    <definedName name="geartype">#REF!</definedName>
    <definedName name="generalspec">#REF!</definedName>
    <definedName name="generalspec2">#REF!</definedName>
    <definedName name="generalspecagitatorunit">#REF!</definedName>
    <definedName name="generalspecaircooler">#REF!</definedName>
    <definedName name="generalspecexchanger">#REF!</definedName>
    <definedName name="generalspecpacking">#REF!</definedName>
    <definedName name="generalspecplateexchanger">#REF!</definedName>
    <definedName name="generalspectank">#REF!</definedName>
    <definedName name="generalspectrays">#REF!</definedName>
    <definedName name="ghfhf" localSheetId="6" hidden="1">{#N/A,#N/A,FALSE,"cover";#N/A,#N/A,FALSE,"page_1";#N/A,#N/A,FALSE,"page_2";#N/A,#N/A,FALSE,"page_3";#N/A,#N/A,FALSE,"page_4"}</definedName>
    <definedName name="ghfhf" hidden="1">{#N/A,#N/A,FALSE,"cover";#N/A,#N/A,FALSE,"page_1";#N/A,#N/A,FALSE,"page_2";#N/A,#N/A,FALSE,"page_3";#N/A,#N/A,FALSE,"page_4"}</definedName>
    <definedName name="glasslining">#REF!</definedName>
    <definedName name="glassliningtest">#REF!</definedName>
    <definedName name="grindarea">#REF!</definedName>
    <definedName name="grindareaagitatorunit">#REF!</definedName>
    <definedName name="ground">#REF!</definedName>
    <definedName name="GROUP1">[14]SV!$B$8:$O$50</definedName>
    <definedName name="GROUP2">[14]SV!#REF!</definedName>
    <definedName name="GROUP3">[14]SV!#REF!</definedName>
    <definedName name="GROUP4">[14]SV!#REF!</definedName>
    <definedName name="GROUP5">[14]SV!#REF!</definedName>
    <definedName name="gsg" localSheetId="6" hidden="1">{#N/A,#N/A,FALSE,"Pumps 1";#N/A,#N/A,FALSE,"Pumps 2";#N/A,#N/A,FALSE,"Pumps 3";#N/A,#N/A,FALSE,"Pumps 4";#N/A,#N/A,FALSE,"Pumps 5";#N/A,#N/A,FALSE,"Pumps 6"}</definedName>
    <definedName name="gsg" hidden="1">{#N/A,#N/A,FALSE,"Pumps 1";#N/A,#N/A,FALSE,"Pumps 2";#N/A,#N/A,FALSE,"Pumps 3";#N/A,#N/A,FALSE,"Pumps 4";#N/A,#N/A,FALSE,"Pumps 5";#N/A,#N/A,FALSE,"Pumps 6"}</definedName>
    <definedName name="guideline">#REF!</definedName>
    <definedName name="H" hidden="1">'[8]#REF'!#REF!</definedName>
    <definedName name="H3PO4_concentration">[19]Data!$E$19</definedName>
    <definedName name="handrefillpump">#REF!</definedName>
    <definedName name="hardness">#REF!</definedName>
    <definedName name="header">#REF!</definedName>
    <definedName name="headtype">#REF!</definedName>
    <definedName name="heatcapacity">#REF!</definedName>
    <definedName name="heatcool">#REF!</definedName>
    <definedName name="heatcooltank">#REF!</definedName>
    <definedName name="heatduty">#REF!</definedName>
    <definedName name="heatingfluid">#REF!</definedName>
    <definedName name="heattrans">#REF!</definedName>
    <definedName name="helium">#REF!</definedName>
    <definedName name="hgh" localSheetId="6" hidden="1">{#N/A,#N/A,FALSE,"cover";#N/A,#N/A,FALSE,"page_1";#N/A,#N/A,FALSE,"page_2";#N/A,#N/A,FALSE,"page_3";#N/A,#N/A,FALSE,"page_4"}</definedName>
    <definedName name="hgh" hidden="1">{#N/A,#N/A,FALSE,"cover";#N/A,#N/A,FALSE,"page_1";#N/A,#N/A,FALSE,"page_2";#N/A,#N/A,FALSE,"page_3";#N/A,#N/A,FALSE,"page_4"}</definedName>
    <definedName name="HHH" localSheetId="6" hidden="1">{#N/A,#N/A,FALSE,"Vessel1 1";#N/A,#N/A,FALSE,"Vessel1 2";#N/A,#N/A,FALSE,"Vessel1 3";#N/A,#N/A,FALSE,"Vessel1 4";#N/A,#N/A,FALSE,"Vessel1 5";#N/A,#N/A,FALSE,"Vessel1 6";#N/A,#N/A,FALSE,"Vessel1 7";#N/A,#N/A,FALSE,"Vessel1 8";#N/A,#N/A,FALSE,"Vessel1 9";#N/A,#N/A,FALSE,"Vessel1 10";#N/A,#N/A,FALSE,"Vessel1 11"}</definedName>
    <definedName name="HHH" hidden="1">{#N/A,#N/A,FALSE,"Vessel1 1";#N/A,#N/A,FALSE,"Vessel1 2";#N/A,#N/A,FALSE,"Vessel1 3";#N/A,#N/A,FALSE,"Vessel1 4";#N/A,#N/A,FALSE,"Vessel1 5";#N/A,#N/A,FALSE,"Vessel1 6";#N/A,#N/A,FALSE,"Vessel1 7";#N/A,#N/A,FALSE,"Vessel1 8";#N/A,#N/A,FALSE,"Vessel1 9";#N/A,#N/A,FALSE,"Vessel1 10";#N/A,#N/A,FALSE,"Vessel1 11"}</definedName>
    <definedName name="hhhjhj" localSheetId="6" hidden="1">{#N/A,#N/A,FALSE,"cover";#N/A,#N/A,FALSE,"page_1";#N/A,#N/A,FALSE,"page_2";#N/A,#N/A,FALSE,"page_3";#N/A,#N/A,FALSE,"page_4"}</definedName>
    <definedName name="hhhjhj" hidden="1">{#N/A,#N/A,FALSE,"cover";#N/A,#N/A,FALSE,"page_1";#N/A,#N/A,FALSE,"page_2";#N/A,#N/A,FALSE,"page_3";#N/A,#N/A,FALSE,"page_4"}</definedName>
    <definedName name="hjjk" localSheetId="6" hidden="1">{#N/A,#N/A,FALSE,"cover";#N/A,#N/A,FALSE,"page_1";#N/A,#N/A,FALSE,"page_2";#N/A,#N/A,FALSE,"page_3";#N/A,#N/A,FALSE,"page_4"}</definedName>
    <definedName name="hjjk" hidden="1">{#N/A,#N/A,FALSE,"cover";#N/A,#N/A,FALSE,"page_1";#N/A,#N/A,FALSE,"page_2";#N/A,#N/A,FALSE,"page_3";#N/A,#N/A,FALSE,"page_4"}</definedName>
    <definedName name="HOOK_UP">#REF!</definedName>
    <definedName name="HTML_CodePage" hidden="1">949</definedName>
    <definedName name="HTML_Control" localSheetId="6"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HTML1_1" hidden="1">"[RDS00701.xls]Sheet1!$A$1:$J$68"</definedName>
    <definedName name="HTML1_10" hidden="1">""</definedName>
    <definedName name="HTML1_11" hidden="1">1</definedName>
    <definedName name="HTML1_12" hidden="1">"C:\My Documents\FERD_ST\R_MECHAN\RCR00102\DATAARK\RDS007\MyHTML.htm"</definedName>
    <definedName name="HTML1_2" hidden="1">1</definedName>
    <definedName name="HTML1_3" hidden="1">"RDS00701"</definedName>
    <definedName name="HTML1_4" hidden="1">"Sheet1"</definedName>
    <definedName name="HTML1_5" hidden="1">""</definedName>
    <definedName name="HTML1_6" hidden="1">-4146</definedName>
    <definedName name="HTML1_7" hidden="1">-4146</definedName>
    <definedName name="HTML1_8" hidden="1">"30.04.96"</definedName>
    <definedName name="HTML1_9" hidden="1">"NTS"</definedName>
    <definedName name="HTMLCount" hidden="1">1</definedName>
    <definedName name="huy" localSheetId="6" hidden="1">{"'Sheet1'!$L$16"}</definedName>
    <definedName name="huy" hidden="1">{"'Sheet1'!$L$16"}</definedName>
    <definedName name="i" localSheetId="6" hidden="1">{#N/A,#N/A,FALSE,"cover";#N/A,#N/A,FALSE,"page_1";#N/A,#N/A,FALSE,"page_2";#N/A,#N/A,FALSE,"page_3";#N/A,#N/A,FALSE,"page_4"}</definedName>
    <definedName name="i" hidden="1">{#N/A,#N/A,FALSE,"cover";#N/A,#N/A,FALSE,"page_1";#N/A,#N/A,FALSE,"page_2";#N/A,#N/A,FALSE,"page_3";#N/A,#N/A,FALSE,"page_4"}</definedName>
    <definedName name="impingeprotec">#REF!</definedName>
    <definedName name="importancefactor">#REF!</definedName>
    <definedName name="incomers">'[9]#REF'!$A$6:$O$77</definedName>
    <definedName name="independenceshaft">#REF!</definedName>
    <definedName name="inspectcode">#REF!</definedName>
    <definedName name="inspectcodeaircooler">#REF!</definedName>
    <definedName name="inspectcodeheatexchanger">#REF!</definedName>
    <definedName name="inspectcodeplateexchanger">#REF!</definedName>
    <definedName name="inspectcodespiralexchanger">#REF!</definedName>
    <definedName name="inspectcodetank">#REF!</definedName>
    <definedName name="inspectcodetower">#REF!</definedName>
    <definedName name="INSTALL_AUTRE">[16]Other!$H:$H</definedName>
    <definedName name="INSTALL_CHO">[16]Vessels!$H:$H</definedName>
    <definedName name="INSTALL_TOU">[16]Rotating!$H:$H</definedName>
    <definedName name="installationmixingelement">#REF!</definedName>
    <definedName name="insulcollar">#REF!</definedName>
    <definedName name="insulcollartank">#REF!</definedName>
    <definedName name="insuldiscs">#REF!</definedName>
    <definedName name="insuldiscstank">#REF!</definedName>
    <definedName name="insulsupp">#REF!</definedName>
    <definedName name="insultype">#REF!</definedName>
    <definedName name="integraltesting">#REF!</definedName>
    <definedName name="InterlockPP">#REF!</definedName>
    <definedName name="intracs" localSheetId="6" hidden="1">{"cost",#N/A,FALSE,"B";"Sum",#N/A,FALSE,"C";"Sal1",#N/A,FALSE,"D";"Sal2",#N/A,FALSE,"D";"Mob",#N/A,FALSE,"E";"Eqpcst1",#N/A,FALSE,"F";"Eqpcst2",#N/A,FALSE,"F";"Eqpcst3",#N/A,FALSE,"F";"Est1",#N/A,FALSE,"G";"Est2",#N/A,FALSE,"G";"Fin",#N/A,FALSE,"H";"EqpCal",#N/A,FALSE,"I";"ManCal1",#N/A,FALSE,"J";"ManCal2",#N/A,FALSE,"J";"Consm",#N/A,FALSE,"L";"B O",#N/A,FALSE,"M";"S C",#N/A,FALSE,"N"}</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JLUcheck">'[9]#REF'!$A$1:$F$1872</definedName>
    <definedName name="jointprep1">#REF!</definedName>
    <definedName name="jointprep2">#REF!</definedName>
    <definedName name="jointprepagitatorunit">#REF!</definedName>
    <definedName name="JOS">#REF!</definedName>
    <definedName name="JOSLUYENDIJK">#REF!</definedName>
    <definedName name="kjhkjh" localSheetId="6" hidden="1">{#N/A,#N/A,FALSE,"cover";#N/A,#N/A,FALSE,"page_1";#N/A,#N/A,FALSE,"page_2";#N/A,#N/A,FALSE,"page_3";#N/A,#N/A,FALSE,"page_4"}</definedName>
    <definedName name="kjhkjh" hidden="1">{#N/A,#N/A,FALSE,"cover";#N/A,#N/A,FALSE,"page_1";#N/A,#N/A,FALSE,"page_2";#N/A,#N/A,FALSE,"page_3";#N/A,#N/A,FALSE,"page_4"}</definedName>
    <definedName name="kkk" hidden="1">#REF!</definedName>
    <definedName name="L" localSheetId="6" hidden="1">{#N/A,#N/A,FALSE,"Vessel1 1";#N/A,#N/A,FALSE,"Vessel1 2";#N/A,#N/A,FALSE,"Vessel1 3";#N/A,#N/A,FALSE,"Vessel1 4";#N/A,#N/A,FALSE,"Vessel1 5";#N/A,#N/A,FALSE,"Vessel1 6";#N/A,#N/A,FALSE,"Vessel1 7";#N/A,#N/A,FALSE,"Vessel1 8";#N/A,#N/A,FALSE,"Vessel1 9";#N/A,#N/A,FALSE,"Vessel1 10";#N/A,#N/A,FALSE,"Vessel1 11"}</definedName>
    <definedName name="L" hidden="1">{#N/A,#N/A,FALSE,"Vessel1 1";#N/A,#N/A,FALSE,"Vessel1 2";#N/A,#N/A,FALSE,"Vessel1 3";#N/A,#N/A,FALSE,"Vessel1 4";#N/A,#N/A,FALSE,"Vessel1 5";#N/A,#N/A,FALSE,"Vessel1 6";#N/A,#N/A,FALSE,"Vessel1 7";#N/A,#N/A,FALSE,"Vessel1 8";#N/A,#N/A,FALSE,"Vessel1 9";#N/A,#N/A,FALSE,"Vessel1 10";#N/A,#N/A,FALSE,"Vessel1 11"}</definedName>
    <definedName name="language">#REF!</definedName>
    <definedName name="lanternspec">#REF!</definedName>
    <definedName name="latentheat">#REF!</definedName>
    <definedName name="leakage">#REF!</definedName>
    <definedName name="LENGTH">#REF!</definedName>
    <definedName name="length1">#REF!</definedName>
    <definedName name="length2">#REF!</definedName>
    <definedName name="length3">#REF!</definedName>
    <definedName name="length4">#REF!</definedName>
    <definedName name="length5">#REF!</definedName>
    <definedName name="letterheight1">#REF!</definedName>
    <definedName name="letterheight2">#REF!</definedName>
    <definedName name="levelindicator">#REF!</definedName>
    <definedName name="lipsealtype">#REF!</definedName>
    <definedName name="liquidpenetrant">#REF!</definedName>
    <definedName name="LLLLLLLLLLLLLL" localSheetId="6" hidden="1">{#N/A,#N/A,FALSE,"Ejector 1";#N/A,#N/A,FALSE,"Ejector 2"}</definedName>
    <definedName name="LLLLLLLLLLLLLL" hidden="1">{#N/A,#N/A,FALSE,"Ejector 1";#N/A,#N/A,FALSE,"Ejector 2"}</definedName>
    <definedName name="LM_SteamConfig" hidden="1">'[24]ProSteam Config'!$A$8</definedName>
    <definedName name="LOAD">#REF!</definedName>
    <definedName name="load1">#REF!</definedName>
    <definedName name="load2">#REF!</definedName>
    <definedName name="loadcycles">#REF!</definedName>
    <definedName name="loadtank1">#REF!</definedName>
    <definedName name="loadtank2">#REF!</definedName>
    <definedName name="loadtank3">#REF!</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uvers">#REF!</definedName>
    <definedName name="LRC">#REF!</definedName>
    <definedName name="machinerydirective">#REF!</definedName>
    <definedName name="machinerydirective2">#REF!</definedName>
    <definedName name="magneticparticle">#REF!</definedName>
    <definedName name="MANPOWER2" localSheetId="6" hidden="1">{"Total Indirect Manpower",#N/A,FALSE,"J";"Total Direct Manpower",#N/A,FALSE,"J";"Direct Structural Manpower",#N/A,FALSE,"J";"Direct Mechanical Manpower",#N/A,FALSE,"J";"Direct Piping Manpower",#N/A,FALSE,"J";"Direct Tanks Manpower",#N/A,FALSE,"J";"Direct ElecInstrSS Manpower",#N/A,FALSE,"J"}</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ssflow1">#REF!</definedName>
    <definedName name="massflow2">#REF!</definedName>
    <definedName name="massflow3">#REF!</definedName>
    <definedName name="matcode">#REF!</definedName>
    <definedName name="matcodeaircooler">#REF!</definedName>
    <definedName name="matcodeplateexchanger">#REF!</definedName>
    <definedName name="matcodespiralexchanger">#REF!</definedName>
    <definedName name="matcodetank">#REF!</definedName>
    <definedName name="maxdeflect">#REF!</definedName>
    <definedName name="mc245tr">#REF!</definedName>
    <definedName name="mc254tank">#REF!</definedName>
    <definedName name="mechanicsealarrange">#REF!</definedName>
    <definedName name="mechanicsealmanufac">#REF!</definedName>
    <definedName name="mechanicsealstandard">#REF!</definedName>
    <definedName name="mechanicsealtype">#REF!</definedName>
    <definedName name="mediumremoved">#REF!</definedName>
    <definedName name="MELTTIME">#REF!</definedName>
    <definedName name="Methodology3" localSheetId="6" hidden="1">{#N/A,#N/A,FALSE,"cover";#N/A,#N/A,FALSE,"page_1";#N/A,#N/A,FALSE,"page_2";#N/A,#N/A,FALSE,"page_3";#N/A,#N/A,FALSE,"page_4"}</definedName>
    <definedName name="Methodology3" hidden="1">{#N/A,#N/A,FALSE,"cover";#N/A,#N/A,FALSE,"page_1";#N/A,#N/A,FALSE,"page_2";#N/A,#N/A,FALSE,"page_3";#N/A,#N/A,FALSE,"page_4"}</definedName>
    <definedName name="minfinpitch">#REF!</definedName>
    <definedName name="minplatethick">#REF!</definedName>
    <definedName name="minplatethickness">#REF!</definedName>
    <definedName name="minrequi1">#REF!</definedName>
    <definedName name="minrequi2">#REF!</definedName>
    <definedName name="minrequi3">#REF!</definedName>
    <definedName name="minwallthick">#REF!</definedName>
    <definedName name="minwallthickexchanger">#REF!</definedName>
    <definedName name="mixerinstallation">#REF!</definedName>
    <definedName name="mixertype">#REF!</definedName>
    <definedName name="mixingelements">#REF!</definedName>
    <definedName name="mixingnozzledesign">#REF!</definedName>
    <definedName name="mixingnozzleinstall">#REF!</definedName>
    <definedName name="mixingtask">#REF!</definedName>
    <definedName name="module" hidden="1">'[11]PROCPLAN-TOTAL'!#REF!</definedName>
    <definedName name="motor">#REF!</definedName>
    <definedName name="mounting">#REF!</definedName>
    <definedName name="mountingflange">#REF!</definedName>
    <definedName name="mountingflangescope">#REF!</definedName>
    <definedName name="mpas___°C">#N/A</definedName>
    <definedName name="nameplatedata">#REF!</definedName>
    <definedName name="ncbcb" localSheetId="6" hidden="1">{#N/A,#N/A,FALSE,"cover";#N/A,#N/A,FALSE,"page_1";#N/A,#N/A,FALSE,"page_2";#N/A,#N/A,FALSE,"page_3";#N/A,#N/A,FALSE,"page_4"}</definedName>
    <definedName name="ncbcb" hidden="1">{#N/A,#N/A,FALSE,"cover";#N/A,#N/A,FALSE,"page_1";#N/A,#N/A,FALSE,"page_2";#N/A,#N/A,FALSE,"page_3";#N/A,#N/A,FALSE,"page_4"}</definedName>
    <definedName name="NNN" localSheetId="6" hidden="1">{#N/A,#N/A,FALSE,"Ejector 1";#N/A,#N/A,FALSE,"Ejector 2"}</definedName>
    <definedName name="NNN" hidden="1">{#N/A,#N/A,FALSE,"Ejector 1";#N/A,#N/A,FALSE,"Ejector 2"}</definedName>
    <definedName name="NomMenu_Liste">[16]Parameters!$B$35</definedName>
    <definedName name="normconcentration">#REF!</definedName>
    <definedName name="notifiedbody">#REF!</definedName>
    <definedName name="nozzle1">#REF!</definedName>
    <definedName name="nozzle2">#REF!</definedName>
    <definedName name="nozzleelement">#REF!</definedName>
    <definedName name="nozzlelength">#REF!</definedName>
    <definedName name="nozzleloc">#REF!</definedName>
    <definedName name="nozzleprimsec">#REF!</definedName>
    <definedName name="nps">#REF!</definedName>
    <definedName name="npsagitatorunit">#REF!</definedName>
    <definedName name="NumListe">[16]Parameters!$AL$6</definedName>
    <definedName name="ODH" hidden="1">[25]산근!#REF!</definedName>
    <definedName name="opening">#REF!</definedName>
    <definedName name="openingagitatorunit">#REF!</definedName>
    <definedName name="OPERATION">#REF!</definedName>
    <definedName name="operatmode">#REF!</definedName>
    <definedName name="Organic_cycle_flow_rate">'[26]C201 RevB Design'!$B$2</definedName>
    <definedName name="organiccoat">#REF!</definedName>
    <definedName name="organiccoatingtest">#REF!</definedName>
    <definedName name="organiclining">#REF!</definedName>
    <definedName name="organicliningtype">#REF!</definedName>
    <definedName name="otherapplicablerules">#REF!</definedName>
    <definedName name="page" hidden="1">'[11]PROCPLAN-TOTAL'!#REF!</definedName>
    <definedName name="PAGE1">[14]SV!$B$8:$O$50</definedName>
    <definedName name="PAGE10">[14]SV!#REF!</definedName>
    <definedName name="PAGE11">[14]SV!#REF!</definedName>
    <definedName name="PAGE12">[14]SV!#REF!</definedName>
    <definedName name="PAGE13">[14]SV!#REF!</definedName>
    <definedName name="PAGE14">[14]SV!#REF!</definedName>
    <definedName name="PAGE15">[14]SV!#REF!</definedName>
    <definedName name="PAGE16">[14]SV!#REF!</definedName>
    <definedName name="PAGE17">[14]SV!#REF!</definedName>
    <definedName name="PAGE18">[14]SV!#REF!</definedName>
    <definedName name="PAGE19">[14]SV!#REF!</definedName>
    <definedName name="PAGE2">[14]SV!#REF!</definedName>
    <definedName name="PAGE20">[14]SV!#REF!</definedName>
    <definedName name="PAGE21">[14]SV!#REF!</definedName>
    <definedName name="PAGE22">[14]SV!#REF!</definedName>
    <definedName name="PAGE23">[14]SV!#REF!</definedName>
    <definedName name="PAGE24">[14]SV!#REF!</definedName>
    <definedName name="PAGE25">[14]SV!#REF!</definedName>
    <definedName name="PAGE26">[14]SV!#REF!</definedName>
    <definedName name="PAGE27">[14]SV!#REF!</definedName>
    <definedName name="PAGE28">[14]SV!#REF!</definedName>
    <definedName name="PAGE29">[14]SV!#REF!</definedName>
    <definedName name="PAGE3">[14]SV!#REF!</definedName>
    <definedName name="PAGE30">[14]SV!#REF!</definedName>
    <definedName name="PAGE31">[14]SV!#REF!</definedName>
    <definedName name="PAGE32">[14]SV!#REF!</definedName>
    <definedName name="PAGE33">[14]SV!#REF!</definedName>
    <definedName name="PAGE34">[14]SV!#REF!</definedName>
    <definedName name="PAGE36">[14]SV!#REF!</definedName>
    <definedName name="PAGE37">[14]SV!#REF!</definedName>
    <definedName name="PAGE38">[14]SV!#REF!</definedName>
    <definedName name="PAGE39">[14]SV!#REF!</definedName>
    <definedName name="PAGE4">[14]SV!#REF!</definedName>
    <definedName name="PAGE40">[14]SV!#REF!</definedName>
    <definedName name="PAGE41">[14]SV!#REF!</definedName>
    <definedName name="PAGE42">[14]SV!#REF!</definedName>
    <definedName name="PAGE43">[14]SV!#REF!</definedName>
    <definedName name="PAGE44">[14]SV!#REF!</definedName>
    <definedName name="PAGE45">[14]SV!#REF!</definedName>
    <definedName name="PAGE46">[14]SV!#REF!</definedName>
    <definedName name="PAGE47">[14]SV!#REF!</definedName>
    <definedName name="PAGE48">[14]SV!#REF!</definedName>
    <definedName name="PAGE49">[14]SV!#REF!</definedName>
    <definedName name="PAGE5">[14]SV!#REF!</definedName>
    <definedName name="PAGE50">[14]SV!#REF!</definedName>
    <definedName name="PAGE6">[14]SV!#REF!</definedName>
    <definedName name="PAGE7">[14]SV!#REF!</definedName>
    <definedName name="PAGE8">[14]SV!#REF!</definedName>
    <definedName name="PAGE9">[14]SV!#REF!</definedName>
    <definedName name="Pal_Workbook_GUID" hidden="1">"1CM6GDAYHQNFEXWP2WH7TBEI"</definedName>
    <definedName name="PANEL_">#REF!</definedName>
    <definedName name="PARTI_DB">#N/A</definedName>
    <definedName name="PARTII_DB">#N/A</definedName>
    <definedName name="partsize">#REF!</definedName>
    <definedName name="passpartition">#REF!</definedName>
    <definedName name="ped">#REF!</definedName>
    <definedName name="performer">#REF!</definedName>
    <definedName name="phonenumber">#REF!</definedName>
    <definedName name="pipesupport">#REF!</definedName>
    <definedName name="Piping" hidden="1">'[11]PROCPLAN-TOTAL'!#REF!</definedName>
    <definedName name="pipingbuffersystemmat">#REF!</definedName>
    <definedName name="pivotframe">#REF!</definedName>
    <definedName name="pl"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atemat">#REF!</definedName>
    <definedName name="platetype">#REF!</definedName>
    <definedName name="platform">#REF!</definedName>
    <definedName name="platformassembly">#REF!</definedName>
    <definedName name="platformmat">#REF!</definedName>
    <definedName name="platformshipment">#REF!</definedName>
    <definedName name="Pmoteur">'[18]Liste Récept'!$L$15:$L$31</definedName>
    <definedName name="POLES">#REF!</definedName>
    <definedName name="power">#REF!</definedName>
    <definedName name="power1">#REF!</definedName>
    <definedName name="pressdrop1">#REF!</definedName>
    <definedName name="pressdrop2">#REF!</definedName>
    <definedName name="pressure">#REF!</definedName>
    <definedName name="pressuregasconnection">#REF!</definedName>
    <definedName name="pressuregauge">#REF!</definedName>
    <definedName name="pressurerating">#REF!</definedName>
    <definedName name="pressureretainingunit">#REF!</definedName>
    <definedName name="primercs">#REF!</definedName>
    <definedName name="primerss">#REF!</definedName>
    <definedName name="_xlnm.Print_Area" localSheetId="3">'Before Award'!$A$1:$AK$247</definedName>
    <definedName name="_xlnm.Print_Area" localSheetId="6">'China Holidays'!$A$1:$B$82</definedName>
    <definedName name="_xlnm.Print_Area" localSheetId="0">'PSR Overall Cycle'!$A$3:$AP$318</definedName>
    <definedName name="_xlnm.Print_Area" localSheetId="5">'Thai Holidays'!$A$1:$F$63</definedName>
    <definedName name="_xlnm.Print_Titles" localSheetId="0">'PSR Overall Cycle'!$16:$16</definedName>
    <definedName name="Print_Titles_MI">[14]SV!$A$2:$IV$7</definedName>
    <definedName name="procurement" localSheetId="6" hidden="1">{"Total Indirect Manpower",#N/A,FALSE,"J";"Total Direct Manpower",#N/A,FALSE,"J";"Direct Structural Manpower",#N/A,FALSE,"J";"Direct Mechanical Manpower",#N/A,FALSE,"J";"Direct Piping Manpower",#N/A,FALSE,"J";"Direct Tanks Manpower",#N/A,FALSE,"J";"Direct ElecInstrSS Manpower",#N/A,FALSE,"J"}</definedName>
    <definedName name="procurement" hidden="1">{"Total Indirect Manpower",#N/A,FALSE,"J";"Total Direct Manpower",#N/A,FALSE,"J";"Direct Structural Manpower",#N/A,FALSE,"J";"Direct Mechanical Manpower",#N/A,FALSE,"J";"Direct Piping Manpower",#N/A,FALSE,"J";"Direct Tanks Manpower",#N/A,FALSE,"J";"Direct ElecInstrSS Manpower",#N/A,FALSE,"J"}</definedName>
    <definedName name="project">#REF!</definedName>
    <definedName name="PROTCLASS">#REF!</definedName>
    <definedName name="qq" hidden="1">'[11]PROCPLAN-TOTAL'!#REF!</definedName>
    <definedName name="qrq"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rq"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ualitylevel1">#REF!</definedName>
    <definedName name="qualitylevel2">#REF!</definedName>
    <definedName name="qw" localSheetId="6" hidden="1">{"'장비'!$A$3:$M$12"}</definedName>
    <definedName name="qw" hidden="1">{"'장비'!$A$3:$M$12"}</definedName>
    <definedName name="RA">'[27]Pipe Calc'!$A$11:$BI$46</definedName>
    <definedName name="railing">#REF!</definedName>
    <definedName name="railingheight">#REF!</definedName>
    <definedName name="rainskirt">#REF!</definedName>
    <definedName name="range2">[28]CAB.XLS!#REF!</definedName>
    <definedName name="RATING">#REF!</definedName>
    <definedName name="RB_30">"ピクチャ 29"</definedName>
    <definedName name="RB_45">"ピクチャ 31"</definedName>
    <definedName name="RB_60">"ピクチャ 32"</definedName>
    <definedName name="RB_90">"ピクチャ 30"</definedName>
    <definedName name="RB_B">"楕円 26"</definedName>
    <definedName name="RB_C">"楕円 28"</definedName>
    <definedName name="RB_NO">"楕円 14"</definedName>
    <definedName name="RB_R">"楕円 24"</definedName>
    <definedName name="RB_YES">"楕円 16"</definedName>
    <definedName name="readyforshipmentemail">#REF!</definedName>
    <definedName name="readyforshipmentfax">#REF!</definedName>
    <definedName name="Rec_30">"四角形 38"</definedName>
    <definedName name="Rec_45">"四角形 41"</definedName>
    <definedName name="Rec_60">"四角形 39"</definedName>
    <definedName name="Rec_90">"四角形 40"</definedName>
    <definedName name="REC_NO">#N/A</definedName>
    <definedName name="recipient">#REF!</definedName>
    <definedName name="regulation">[15]Unit!$F$4:$F$13</definedName>
    <definedName name="REMARKS">#REF!</definedName>
    <definedName name="RESTART">#REF!</definedName>
    <definedName name="retainerdesign">#REF!</definedName>
    <definedName name="REV">#REF!</definedName>
    <definedName name="révision">[16]Parameters!$AL$7</definedName>
    <definedName name="revolution">#REF!</definedName>
    <definedName name="risk_phrase">[15]Unit!$G$4:$G$22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TRUE</definedName>
    <definedName name="RiskUseDifferentSeedForEachSim" hidden="1">FALSE</definedName>
    <definedName name="RiskUseFixedSeed" hidden="1">FALSE</definedName>
    <definedName name="RiskUseMultipleCPUs" hidden="1">TRUE</definedName>
    <definedName name="RO">#REF!</definedName>
    <definedName name="roofslope">#REF!</definedName>
    <definedName name="roofsupportingdesign">#REF!</definedName>
    <definedName name="roofsupportingposition">#REF!</definedName>
    <definedName name="rooftype">#REF!</definedName>
    <definedName name="roofwelding">#REF!</definedName>
    <definedName name="rotation">#REF!</definedName>
    <definedName name="rotorshape">#REF!</definedName>
    <definedName name="rotortype">#REF!</definedName>
    <definedName name="roughness">#REF!</definedName>
    <definedName name="roughtype">#REF!</definedName>
    <definedName name="rr" localSheetId="6" hidden="1">{#N/A,#N/A,FALSE,"COVER";#N/A,#N/A,FALSE,"CONTENTS";#N/A,#N/A,FALSE,"CALC SHEET FOR MMA AND PET DOL";#N/A,#N/A,FALSE,"LOAD LIST FOR MMA AND PET DOL"}</definedName>
    <definedName name="rr" hidden="1">{#N/A,#N/A,FALSE,"COVER";#N/A,#N/A,FALSE,"CONTENTS";#N/A,#N/A,FALSE,"CALC SHEET FOR MMA AND PET DOL";#N/A,#N/A,FALSE,"LOAD LIST FOR MMA AND PET DOL"}</definedName>
    <definedName name="rrr" localSheetId="6" hidden="1">{#N/A,#N/A,FALSE,"COVER";#N/A,#N/A,FALSE,"CONTENTS";#N/A,#N/A,FALSE,"CALC SHEET FOR MMA AND PET DOL";#N/A,#N/A,FALSE,"LOAD LIST FOR MMA AND PET DOL"}</definedName>
    <definedName name="rrr" hidden="1">{#N/A,#N/A,FALSE,"COVER";#N/A,#N/A,FALSE,"CONTENTS";#N/A,#N/A,FALSE,"CALC SHEET FOR MMA AND PET DOL";#N/A,#N/A,FALSE,"LOAD LIST FOR MMA AND PET DOL"}</definedName>
    <definedName name="rt" localSheetId="6" hidden="1">{#N/A,#N/A,TRUE,"COVER";#N/A,#N/A,TRUE,"CONTENTS";#N/A,#N/A,TRUE,"CALC SHEET FOR MMA AND PET";#N/A,#N/A,TRUE,"LOAD LIST FOR MMA AND PET"}</definedName>
    <definedName name="rt" hidden="1">{#N/A,#N/A,TRUE,"COVER";#N/A,#N/A,TRUE,"CONTENTS";#N/A,#N/A,TRUE,"CALC SHEET FOR MMA AND PET";#N/A,#N/A,TRUE,"LOAD LIST FOR MMA AND PET"}</definedName>
    <definedName name="rtduy" hidden="1">[5]BQMPALOC!#REF!</definedName>
    <definedName name="RUA">'[27]Pipe Calc'!$AF$1:$BI$2</definedName>
    <definedName name="rustproofing">#REF!</definedName>
    <definedName name="rwr"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rwr"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saddles_enabled">'[12]P. 5'!#REF!</definedName>
    <definedName name="SAPBEXdnldView" hidden="1">"3ZMJLLIT5ZT9ACAOXDQNBDLBJ"</definedName>
    <definedName name="SAPBEXsysID" hidden="1">"PB6"</definedName>
    <definedName name="SD">#REF!</definedName>
    <definedName name="SDC">'[9]#REF'!$B$2:$B$80</definedName>
    <definedName name="sdf" hidden="1">#REF!</definedName>
    <definedName name="sdfds" hidden="1">#REF!</definedName>
    <definedName name="SEAL_PI_PL_LIST">#REF!</definedName>
    <definedName name="sealface">#REF!</definedName>
    <definedName name="sealingtapemat">#REF!</definedName>
    <definedName name="sealmat">#REF!</definedName>
    <definedName name="seamlesstubecoat">#REF!</definedName>
    <definedName name="seamlesstubecs">#REF!</definedName>
    <definedName name="seamlesstubess">#REF!</definedName>
    <definedName name="SECOURS_TOU">[16]Rotating!$J:$J</definedName>
    <definedName name="sencount" hidden="1">1</definedName>
    <definedName name="SERVICE_TOU">[16]Rotating!$I:$I</definedName>
    <definedName name="servicefactor">#REF!</definedName>
    <definedName name="shaftdesign">#REF!</definedName>
    <definedName name="shaftend">#REF!</definedName>
    <definedName name="shaftring">#REF!</definedName>
    <definedName name="shaftseal">#REF!</definedName>
    <definedName name="shaftsealing">#REF!</definedName>
    <definedName name="shaftsealscope">#REF!</definedName>
    <definedName name="ship">"H907"</definedName>
    <definedName name="Shipping" localSheetId="6"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address">#REF!</definedName>
    <definedName name="sightglass">#REF!</definedName>
    <definedName name="slett" hidden="1">'[3]Consumer List and Load B'!#REF!</definedName>
    <definedName name="soilground">#REF!</definedName>
    <definedName name="solidproperty">#REF!</definedName>
    <definedName name="solubility">#REF!</definedName>
    <definedName name="soundpower">#REF!</definedName>
    <definedName name="springmat">#REF!</definedName>
    <definedName name="SSS" localSheetId="6" hidden="1">{#N/A,#N/A,FALSE,"Vessel1 1";#N/A,#N/A,FALSE,"Vessel1 2";#N/A,#N/A,FALSE,"Vessel1 3";#N/A,#N/A,FALSE,"Vessel1 4";#N/A,#N/A,FALSE,"Vessel1 5";#N/A,#N/A,FALSE,"Vessel1 6";#N/A,#N/A,FALSE,"Vessel1 7";#N/A,#N/A,FALSE,"Vessel1 8";#N/A,#N/A,FALSE,"Vessel1 9";#N/A,#N/A,FALSE,"Vessel1 10";#N/A,#N/A,FALSE,"Vessel1 11"}</definedName>
    <definedName name="SSS" hidden="1">{#N/A,#N/A,FALSE,"Vessel1 1";#N/A,#N/A,FALSE,"Vessel1 2";#N/A,#N/A,FALSE,"Vessel1 3";#N/A,#N/A,FALSE,"Vessel1 4";#N/A,#N/A,FALSE,"Vessel1 5";#N/A,#N/A,FALSE,"Vessel1 6";#N/A,#N/A,FALSE,"Vessel1 7";#N/A,#N/A,FALSE,"Vessel1 8";#N/A,#N/A,FALSE,"Vessel1 9";#N/A,#N/A,FALSE,"Vessel1 10";#N/A,#N/A,FALSE,"Vessel1 11"}</definedName>
    <definedName name="SSSSS" hidden="1">'[29]M 11'!#REF!</definedName>
    <definedName name="sstreatment">#REF!</definedName>
    <definedName name="sstreatmenttype">#REF!</definedName>
    <definedName name="stamp">#REF!</definedName>
    <definedName name="STARTTIME">#REF!</definedName>
    <definedName name="staticheight">#REF!</definedName>
    <definedName name="STATUS">#REF!</definedName>
    <definedName name="STATUT_AUTRE">[16]Other!$L:$L</definedName>
    <definedName name="STATUT_CHO">[16]Vessels!$L:$L</definedName>
    <definedName name="STATUT_TOU">[16]Rotating!$L:$L</definedName>
    <definedName name="strain">#REF!</definedName>
    <definedName name="strength">#REF!</definedName>
    <definedName name="SUCT_FACE_LIST">#REF!</definedName>
    <definedName name="SUCT_POSIT_LIST">#REF!</definedName>
    <definedName name="supplier">#REF!</definedName>
    <definedName name="supply1">#REF!</definedName>
    <definedName name="supply2">#REF!</definedName>
    <definedName name="supportgratedesigncode">#REF!</definedName>
    <definedName name="supportgrateflatness">#REF!</definedName>
    <definedName name="supportgratemat">#REF!</definedName>
    <definedName name="surface">#REF!</definedName>
    <definedName name="surfacequality">#REF!</definedName>
    <definedName name="surfacetension">#REF!</definedName>
    <definedName name="SWBRD">#REF!</definedName>
    <definedName name="swk" hidden="1">'[30]Page 1'!#REF!</definedName>
    <definedName name="T">#REF!</definedName>
    <definedName name="tabel2">[28]CAB.XLS!#REF!</definedName>
    <definedName name="Table_moteur">'[31]Motor list'!$B$5:$C$44</definedName>
    <definedName name="TAGNO">#REF!</definedName>
    <definedName name="tata" localSheetId="6" hidden="1">{"AH36 MTO BOM - Landscape",#N/A,TRUE,"MTO BOM Summary Data - AH36";"EH36 MTO BOM - Landscape",#N/A,TRUE,"MTO BOM Summary Data - EH36";"MTO Plt - Landscape",#N/A,TRUE,"MTO Plt";"MTO Pipe - Portrait",#N/A,TRUE,"MTO Pipe"}</definedName>
    <definedName name="tata" hidden="1">{"AH36 MTO BOM - Landscape",#N/A,TRUE,"MTO BOM Summary Data - AH36";"EH36 MTO BOM - Landscape",#N/A,TRUE,"MTO BOM Summary Data - EH36";"MTO Plt - Landscape",#N/A,TRUE,"MTO Plt";"MTO Pipe - Portrait",#N/A,TRUE,"MTO Pipe"}</definedName>
    <definedName name="temp">#REF!</definedName>
    <definedName name="temperature">[15]Unit!$C$4:$C$9</definedName>
    <definedName name="temporaneo" localSheetId="6" hidden="1">{#N/A,#N/A,FALSE,"1 SUMM";#N/A,#N/A,FALSE,"4 FACIL"}</definedName>
    <definedName name="temporaneo" hidden="1">{#N/A,#N/A,FALSE,"1 SUMM";#N/A,#N/A,FALSE,"4 FACIL"}</definedName>
    <definedName name="TEST" localSheetId="6" hidden="1">{#N/A,#N/A,FALSE,"Ejector 1";#N/A,#N/A,FALSE,"Ejector 2"}</definedName>
    <definedName name="TEST" hidden="1">{#N/A,#N/A,FALSE,"Ejector 1";#N/A,#N/A,FALSE,"Ejector 2"}</definedName>
    <definedName name="testweld">#REF!</definedName>
    <definedName name="TG">[32]L!#REF!</definedName>
    <definedName name="thermconduct">#REF!</definedName>
    <definedName name="TITLE">[14]SV!$B$1:$O$7</definedName>
    <definedName name="toleranceplateexchanger">#REF!</definedName>
    <definedName name="tolerancespiralexchanger">#REF!</definedName>
    <definedName name="TOPBORDER">[14]SV!$B$2:$O$7</definedName>
    <definedName name="topcompletecs">#REF!</definedName>
    <definedName name="topcompletess">#REF!</definedName>
    <definedName name="transrate">#REF!</definedName>
    <definedName name="traydeflect">#REF!</definedName>
    <definedName name="trays">#REF!</definedName>
    <definedName name="traythickcs">#REF!</definedName>
    <definedName name="traythickss">#REF!</definedName>
    <definedName name="treadsurface">#REF!</definedName>
    <definedName name="tubebundle">#REF!</definedName>
    <definedName name="tubejoint">#REF!</definedName>
    <definedName name="tubejointbundle">#REF!</definedName>
    <definedName name="tubetype">#REF!</definedName>
    <definedName name="tubular_support_enabled">'[12]P. 5'!#REF!</definedName>
    <definedName name="type">#REF!</definedName>
    <definedName name="typearra">#REF!</definedName>
    <definedName name="typedraft">#REF!</definedName>
    <definedName name="u" hidden="1">'[11]PROCPLAN-TOTAL'!#REF!</definedName>
    <definedName name="UNI_AA_VERSION" hidden="1">"322.3.0"</definedName>
    <definedName name="UNI_FILT_OFFSPEC" hidden="1">2</definedName>
    <definedName name="UNI_FILT_ONSPEC" hidden="1">1</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loadingpoint">#REF!</definedName>
    <definedName name="us">#REF!</definedName>
    <definedName name="User_Language">#REF!</definedName>
    <definedName name="User_Level">#REF!</definedName>
    <definedName name="User_Region">#REF!</definedName>
    <definedName name="User_Site_AP">#REF!</definedName>
    <definedName name="User_Site_EU">#REF!</definedName>
    <definedName name="User_Site_NA">#REF!</definedName>
    <definedName name="User_Status">#REF!</definedName>
    <definedName name="user_status_de">#REF!</definedName>
    <definedName name="user_status_en">#REF!</definedName>
    <definedName name="User_TDS_Type">#REF!</definedName>
    <definedName name="User_Type">#REF!</definedName>
    <definedName name="uu" localSheetId="6" hidden="1">{#N/A,#N/A,TRUE,"COVER";#N/A,#N/A,TRUE,"CONTENTS";#N/A,#N/A,TRUE,"CALC SHEET FOR MMA AND PET";#N/A,#N/A,TRUE,"LOAD LIST FOR MMA AND PET"}</definedName>
    <definedName name="uu" hidden="1">{#N/A,#N/A,TRUE,"COVER";#N/A,#N/A,TRUE,"CONTENTS";#N/A,#N/A,TRUE,"CALC SHEET FOR MMA AND PET";#N/A,#N/A,TRUE,"LOAD LIST FOR MMA AND PET"}</definedName>
    <definedName name="vbnc" localSheetId="6" hidden="1">{#N/A,#N/A,FALSE,"cover";#N/A,#N/A,FALSE,"page_1";#N/A,#N/A,FALSE,"page_2";#N/A,#N/A,FALSE,"page_3";#N/A,#N/A,FALSE,"page_4"}</definedName>
    <definedName name="vbnc" hidden="1">{#N/A,#N/A,FALSE,"cover";#N/A,#N/A,FALSE,"page_1";#N/A,#N/A,FALSE,"page_2";#N/A,#N/A,FALSE,"page_3";#N/A,#N/A,FALSE,"page_4"}</definedName>
    <definedName name="VITAL">#REF!</definedName>
    <definedName name="VK" localSheetId="6" hidden="1">{#N/A,#N/A,FALSE,"Vessel1 1";#N/A,#N/A,FALSE,"Vessel1 2";#N/A,#N/A,FALSE,"Vessel1 3";#N/A,#N/A,FALSE,"Vessel1 4";#N/A,#N/A,FALSE,"Vessel1 5";#N/A,#N/A,FALSE,"Vessel1 6";#N/A,#N/A,FALSE,"Vessel1 7";#N/A,#N/A,FALSE,"Vessel1 8";#N/A,#N/A,FALSE,"Vessel1 9";#N/A,#N/A,FALSE,"Vessel1 10";#N/A,#N/A,FALSE,"Vessel1 11"}</definedName>
    <definedName name="VK" hidden="1">{#N/A,#N/A,FALSE,"Vessel1 1";#N/A,#N/A,FALSE,"Vessel1 2";#N/A,#N/A,FALSE,"Vessel1 3";#N/A,#N/A,FALSE,"Vessel1 4";#N/A,#N/A,FALSE,"Vessel1 5";#N/A,#N/A,FALSE,"Vessel1 6";#N/A,#N/A,FALSE,"Vessel1 7";#N/A,#N/A,FALSE,"Vessel1 8";#N/A,#N/A,FALSE,"Vessel1 9";#N/A,#N/A,FALSE,"Vessel1 10";#N/A,#N/A,FALSE,"Vessel1 11"}</definedName>
    <definedName name="vol">#REF!</definedName>
    <definedName name="volflow">#REF!</definedName>
    <definedName name="volmassflow">#REF!</definedName>
    <definedName name="VOLT">#REF!</definedName>
    <definedName name="voltagesupply">#REF!</definedName>
    <definedName name="volume">#REF!</definedName>
    <definedName name="vz"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vz"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w" hidden="1">#REF!</definedName>
    <definedName name="washer">#REF!</definedName>
    <definedName name="waterhazardclass">#REF!</definedName>
    <definedName name="weight">#REF!</definedName>
    <definedName name="weldedtubess">#REF!</definedName>
    <definedName name="weldedtubesscoat">#REF!</definedName>
    <definedName name="weldfactor">#REF!</definedName>
    <definedName name="windload">#REF!</definedName>
    <definedName name="windloadtank">#REF!</definedName>
    <definedName name="wiperelementsmat">#REF!</definedName>
    <definedName name="wpq">#REF!</definedName>
    <definedName name="wrn.A." localSheetId="6" hidden="1">{#N/A,#N/A,FALSE,"Pumps 1";#N/A,#N/A,FALSE,"Pumps 2";#N/A,#N/A,FALSE,"Pumps 3";#N/A,#N/A,FALSE,"Pumps 4";#N/A,#N/A,FALSE,"Pumps 5";#N/A,#N/A,FALSE,"Pumps 6"}</definedName>
    <definedName name="wrn.A." hidden="1">{#N/A,#N/A,FALSE,"Pumps 1";#N/A,#N/A,FALSE,"Pumps 2";#N/A,#N/A,FALSE,"Pumps 3";#N/A,#N/A,FALSE,"Pumps 4";#N/A,#N/A,FALSE,"Pumps 5";#N/A,#N/A,FALSE,"Pumps 6"}</definedName>
    <definedName name="wrn.AUTOTR." localSheetId="6" hidden="1">{#N/A,#N/A,TRUE,"COVER";#N/A,#N/A,TRUE,"CONTENTS";#N/A,#N/A,TRUE,"CALC SHEET FOR MMA AND PET";#N/A,#N/A,TRUE,"LOAD LIST FOR MMA AND PET"}</definedName>
    <definedName name="wrn.AUTOTR." hidden="1">{#N/A,#N/A,TRUE,"COVER";#N/A,#N/A,TRUE,"CONTENTS";#N/A,#N/A,TRUE,"CALC SHEET FOR MMA AND PET";#N/A,#N/A,TRUE,"LOAD LIST FOR MMA AND PET"}</definedName>
    <definedName name="wrn.BOM._.OPTI._.6000._.ALT._.2." localSheetId="6" hidden="1">{"AH36 MTO BOM - Landscape",#N/A,TRUE,"MTO BOM Summary Data - AH36";"EH36 MTO BOM - Landscape",#N/A,TRUE,"MTO BOM Summary Data - EH36";"MTO Plt - Landscape",#N/A,TRUE,"MTO Plt";"MTO Pipe - Portrait",#N/A,TRUE,"MTO Pipe"}</definedName>
    <definedName name="wrn.BOM._.OPTI._.6000._.ALT._.2." hidden="1">{"AH36 MTO BOM - Landscape",#N/A,TRUE,"MTO BOM Summary Data - AH36";"EH36 MTO BOM - Landscape",#N/A,TRUE,"MTO BOM Summary Data - EH36";"MTO Plt - Landscape",#N/A,TRUE,"MTO Plt";"MTO Pipe - Portrait",#N/A,TRUE,"MTO Pipe"}</definedName>
    <definedName name="wrn.calculation._.sheets" localSheetId="6" hidden="1">{#N/A,#N/A,FALSE,"cover";#N/A,#N/A,FALSE,"page_1";#N/A,#N/A,FALSE,"page_2";#N/A,#N/A,FALSE,"page_3";#N/A,#N/A,FALSE,"page_4"}</definedName>
    <definedName name="wrn.calculation._.sheets" hidden="1">{#N/A,#N/A,FALSE,"cover";#N/A,#N/A,FALSE,"page_1";#N/A,#N/A,FALSE,"page_2";#N/A,#N/A,FALSE,"page_3";#N/A,#N/A,FALSE,"page_4"}</definedName>
    <definedName name="wrn.Calulation._.Sheets." localSheetId="6" hidden="1">{#N/A,#N/A,FALSE,"cover";#N/A,#N/A,FALSE,"page_1";#N/A,#N/A,FALSE,"page_2";#N/A,#N/A,FALSE,"page_3";#N/A,#N/A,FALSE,"page_4"}</definedName>
    <definedName name="wrn.Calulation._.Sheets." hidden="1">{#N/A,#N/A,FALSE,"cover";#N/A,#N/A,FALSE,"page_1";#N/A,#N/A,FALSE,"page_2";#N/A,#N/A,FALSE,"page_3";#N/A,#N/A,FALSE,"page_4"}</definedName>
    <definedName name="wrn.Complete._.Cost._.Sheet."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localSheetId="6" hidden="1">{"Cost Summary",#N/A,FALSE,"B";"Cost Detail 1",#N/A,FALSE,"C";"Cost Detail 2",#N/A,FALSE,"C"}</definedName>
    <definedName name="wrn.Cost._.Summary." hidden="1">{"Cost Summary",#N/A,FALSE,"B";"Cost Detail 1",#N/A,FALSE,"C";"Cost Detail 2",#N/A,FALSE,"C"}</definedName>
    <definedName name="wrn.costprint." localSheetId="6"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6"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OL." localSheetId="6" hidden="1">{#N/A,#N/A,FALSE,"COVER";#N/A,#N/A,FALSE,"CONTENTS";#N/A,#N/A,FALSE,"CALC SHEET FOR MMA AND PET DOL";#N/A,#N/A,FALSE,"LOAD LIST FOR MMA AND PET DOL"}</definedName>
    <definedName name="wrn.DOL." hidden="1">{#N/A,#N/A,FALSE,"COVER";#N/A,#N/A,FALSE,"CONTENTS";#N/A,#N/A,FALSE,"CALC SHEET FOR MMA AND PET DOL";#N/A,#N/A,FALSE,"LOAD LIST FOR MMA AND PET DOL"}</definedName>
    <definedName name="wrn.Equip._.List." localSheetId="6" hidden="1">{#N/A,#N/A,FALSE,"COVER";#N/A,#N/A,FALSE,"CPPEQUIP"}</definedName>
    <definedName name="wrn.Equip._.List." hidden="1">{#N/A,#N/A,FALSE,"COVER";#N/A,#N/A,FALSE,"CPPEQUIP"}</definedName>
    <definedName name="wrn.Equipment._.List." localSheetId="6" hidden="1">{#N/A,#N/A,FALSE,"Sheet2";#N/A,#N/A,FALSE,"Sheet1"}</definedName>
    <definedName name="wrn.Equipment._.List." hidden="1">{#N/A,#N/A,FALSE,"Sheet2";#N/A,#N/A,FALSE,"Sheet1"}</definedName>
    <definedName name="wrn.Extended._.Equipment._.List." localSheetId="6" hidden="1">{#N/A,#N/A,FALSE,"Sheet2";#N/A,#N/A,FALSE,"Sheet1 (2)";#N/A,#N/A,FALSE,"Sheet1 (3)";#N/A,#N/A,FALSE,"Sheet1 (4)";#N/A,#N/A,FALSE,"Sheet1 (5)";#N/A,#N/A,FALSE,"Sheet1 (6)";#N/A,#N/A,FALSE,"Sheet1 (7)";#N/A,#N/A,FALSE,"Sheet1 (8)";#N/A,#N/A,FALSE,"Sheet1 (9)";#N/A,#N/A,FALSE,"Sheet1 (10)"}</definedName>
    <definedName name="wrn.Extended._.Equipment._.List." hidden="1">{#N/A,#N/A,FALSE,"Sheet2";#N/A,#N/A,FALSE,"Sheet1 (2)";#N/A,#N/A,FALSE,"Sheet1 (3)";#N/A,#N/A,FALSE,"Sheet1 (4)";#N/A,#N/A,FALSE,"Sheet1 (5)";#N/A,#N/A,FALSE,"Sheet1 (6)";#N/A,#N/A,FALSE,"Sheet1 (7)";#N/A,#N/A,FALSE,"Sheet1 (8)";#N/A,#N/A,FALSE,"Sheet1 (9)";#N/A,#N/A,FALSE,"Sheet1 (10)"}</definedName>
    <definedName name="wrn.full." localSheetId="6"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Manpower._.Details." localSheetId="6"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Printing." localSheetId="6"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Requisition." localSheetId="6" hidden="1">{#N/A,#N/A,FALSE,"INT.TRANSMIT ";#N/A,#N/A,FALSE,"SCOPE";#N/A,#N/A,FALSE,"General notes";#N/A,#N/A,FALSE,"Manufacturing &amp;Inspection";#N/A,#N/A,FALSE,"Shipping";#N/A,#N/A,FALSE,"VDR-301 (3)";#N/A,#N/A,FALSE,"Instruct. Handling Vdr Docs (4)";#N/A,#N/A,FALSE,"Quality Dossier (5)";#N/A,#N/A,FALSE,"IOM (6)"}</definedName>
    <definedName name="wrn.Requisition." hidden="1">{#N/A,#N/A,FALSE,"INT.TRANSMIT ";#N/A,#N/A,FALSE,"SCOPE";#N/A,#N/A,FALSE,"General notes";#N/A,#N/A,FALSE,"Manufacturing &amp;Inspection";#N/A,#N/A,FALSE,"Shipping";#N/A,#N/A,FALSE,"VDR-301 (3)";#N/A,#N/A,FALSE,"Instruct. Handling Vdr Docs (4)";#N/A,#N/A,FALSE,"Quality Dossier (5)";#N/A,#N/A,FALSE,"IOM (6)"}</definedName>
    <definedName name="wrn.Sensitivity._.Pack._.Add._.Equity." localSheetId="6" hidden="1">{"Sens: Input",#N/A,FALSE,"Input parameters";"Sens: Cash Con",#N/A,FALSE,"Input parameters";"Sens: P&amp;L Con",#N/A,FALSE,"Input parameters"}</definedName>
    <definedName name="wrn.Sensitivity._.Pack._.Add._.Equity." hidden="1">{"Sens: Input",#N/A,FALSE,"Input parameters";"Sens: Cash Con",#N/A,FALSE,"Input parameters";"Sens: P&amp;L Con",#N/A,FALSE,"Input parameters"}</definedName>
    <definedName name="wrn.Sensitivity._.Pack._.All." localSheetId="6"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All."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FX._.Rate." localSheetId="6"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FX._.Rate."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Interest._.Rate." localSheetId="6" hidden="1">{"Sens: Input",#N/A,FALSE,"Input parameters";"Sens: P&amp;L Con",#N/A,FALSE,"Input parameters";"Sens: Cash Con",#N/A,FALSE,"Input parameters";"Sens: Cash Harry",#N/A,FALSE,"Input parameters"}</definedName>
    <definedName name="wrn.Sensitivity._.Pack._.Interest._.Rate." hidden="1">{"Sens: Input",#N/A,FALSE,"Input parameters";"Sens: P&amp;L Con",#N/A,FALSE,"Input parameters";"Sens: Cash Con",#N/A,FALSE,"Input parameters";"Sens: Cash Harry",#N/A,FALSE,"Input parameters"}</definedName>
    <definedName name="wrn.Sensitivity._.Pack._.Oil._.Price." localSheetId="6" hidden="1">{"Sens: Input",#N/A,FALSE,"Input parameters";"Sens: P&amp;L Con",#N/A,FALSE,"Input parameters";"Sens: Cash Con",#N/A,FALSE,"Input parameters";"Sens: Sales",#N/A,FALSE,"Input parameters";"Sens: Swap",#N/A,FALSE,"Input parameters"}</definedName>
    <definedName name="wrn.Sensitivity._.Pack._.Oil._.Price." hidden="1">{"Sens: Input",#N/A,FALSE,"Input parameters";"Sens: P&amp;L Con",#N/A,FALSE,"Input parameters";"Sens: Cash Con",#N/A,FALSE,"Input parameters";"Sens: Sales",#N/A,FALSE,"Input parameters";"Sens: Swap",#N/A,FALSE,"Input parameters"}</definedName>
    <definedName name="wrn.Sensitivity._.Pack._.Opex." localSheetId="6" hidden="1">{"Sens: Input",#N/A,FALSE,"Input parameters";"Sens: P&amp;L Con",#N/A,FALSE,"Input parameters";"Sens: Cash Con",#N/A,FALSE,"Input parameters";"Sens: Opex",#N/A,FALSE,"Input parameters"}</definedName>
    <definedName name="wrn.Sensitivity._.Pack._.Opex." hidden="1">{"Sens: Input",#N/A,FALSE,"Input parameters";"Sens: P&amp;L Con",#N/A,FALSE,"Input parameters";"Sens: Cash Con",#N/A,FALSE,"Input parameters";"Sens: Opex",#N/A,FALSE,"Input parameters"}</definedName>
    <definedName name="wrn.Sensitivity._.Pack._.Prod._.Delay." localSheetId="6" hidden="1">{"Sens: Input",#N/A,FALSE,"Input parameters";"Sens: P&amp;L Con",#N/A,FALSE,"Input parameters";"Sens: Cash Con",#N/A,FALSE,"Input parameters";"Sens: Prod",#N/A,FALSE,"Input parameters";"Sens: Opex",#N/A,FALSE,"Input parameters";"Sens: Sales",#N/A,FALSE,"Input parameters"}</definedName>
    <definedName name="wrn.Sensitivity._.Pack._.Prod._.Delay." hidden="1">{"Sens: Input",#N/A,FALSE,"Input parameters";"Sens: P&amp;L Con",#N/A,FALSE,"Input parameters";"Sens: Cash Con",#N/A,FALSE,"Input parameters";"Sens: Prod",#N/A,FALSE,"Input parameters";"Sens: Opex",#N/A,FALSE,"Input parameters";"Sens: Sales",#N/A,FALSE,"Input parameters"}</definedName>
    <definedName name="wrn.Sensitivity._.Pack._.Production." localSheetId="6" hidden="1">{"Sens: Input",#N/A,FALSE,"Input parameters";"Sens: P&amp;L Con",#N/A,FALSE,"Input parameters";"Sens: Cash Con",#N/A,FALSE,"Input parameters";"Sens: Prod",#N/A,FALSE,"Input parameters"}</definedName>
    <definedName name="wrn.Sensitivity._.Pack._.Production." hidden="1">{"Sens: Input",#N/A,FALSE,"Input parameters";"Sens: P&amp;L Con",#N/A,FALSE,"Input parameters";"Sens: Cash Con",#N/A,FALSE,"Input parameters";"Sens: Prod",#N/A,FALSE,"Input parameters"}</definedName>
    <definedName name="wrn.Sensitivity._.Pack._.Saltfltby._.Reserves." localSheetId="6"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ensitivity._.Pack._.Saltfltby._.Reserves."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intesi." localSheetId="6" hidden="1">{#N/A,#N/A,FALSE,"1 SUMM";#N/A,#N/A,FALSE,"4 FACIL"}</definedName>
    <definedName name="wrn.sintesi." hidden="1">{#N/A,#N/A,FALSE,"1 SUMM";#N/A,#N/A,FALSE,"4 FACIL"}</definedName>
    <definedName name="wrn.TO._.HITACHI." localSheetId="6" hidden="1">{#N/A,#N/A,FALSE,"B-Rated fire doors"}</definedName>
    <definedName name="wrn.TO._.HITACHI." hidden="1">{#N/A,#N/A,FALSE,"B-Rated fire doors"}</definedName>
    <definedName name="x" localSheetId="6" hidden="1">{"Sens: Input",#N/A,FALSE,"Input parameters";"Sens: P&amp;L Con",#N/A,FALSE,"Input parameters";"Sens: Cash Con",#N/A,FALSE,"Input parameters";"Sens: Cash Harry",#N/A,FALSE,"Input parameters"}</definedName>
    <definedName name="x" hidden="1">{"Sens: Input",#N/A,FALSE,"Input parameters";"Sens: P&amp;L Con",#N/A,FALSE,"Input parameters";"Sens: Cash Con",#N/A,FALSE,"Input parameters";"Sens: Cash Harry",#N/A,FALSE,"Input parameters"}</definedName>
    <definedName name="xray">#REF!</definedName>
    <definedName name="xv" localSheetId="6" hidden="1">{#N/A,#N/A,FALSE,"cover";#N/A,#N/A,FALSE,"page_1";#N/A,#N/A,FALSE,"page_2";#N/A,#N/A,FALSE,"page_3";#N/A,#N/A,FALSE,"page_4"}</definedName>
    <definedName name="xv" hidden="1">{#N/A,#N/A,FALSE,"cover";#N/A,#N/A,FALSE,"page_1";#N/A,#N/A,FALSE,"page_2";#N/A,#N/A,FALSE,"page_3";#N/A,#N/A,FALSE,"page_4"}</definedName>
    <definedName name="xx" localSheetId="6" hidden="1">{#N/A,#N/A,FALSE,"Vessel1 1";#N/A,#N/A,FALSE,"Vessel1 2";#N/A,#N/A,FALSE,"Vessel1 3";#N/A,#N/A,FALSE,"Vessel1 4";#N/A,#N/A,FALSE,"Vessel1 5";#N/A,#N/A,FALSE,"Vessel1 6";#N/A,#N/A,FALSE,"Vessel1 7";#N/A,#N/A,FALSE,"Vessel1 8";#N/A,#N/A,FALSE,"Vessel1 9";#N/A,#N/A,FALSE,"Vessel1 10";#N/A,#N/A,FALSE,"Vessel1 11"}</definedName>
    <definedName name="xx" hidden="1">{#N/A,#N/A,FALSE,"Vessel1 1";#N/A,#N/A,FALSE,"Vessel1 2";#N/A,#N/A,FALSE,"Vessel1 3";#N/A,#N/A,FALSE,"Vessel1 4";#N/A,#N/A,FALSE,"Vessel1 5";#N/A,#N/A,FALSE,"Vessel1 6";#N/A,#N/A,FALSE,"Vessel1 7";#N/A,#N/A,FALSE,"Vessel1 8";#N/A,#N/A,FALSE,"Vessel1 9";#N/A,#N/A,FALSE,"Vessel1 10";#N/A,#N/A,FALSE,"Vessel1 11"}</definedName>
    <definedName name="xxx" localSheetId="6" hidden="1">{#N/A,#N/A,FALSE,"Vessel1 1";#N/A,#N/A,FALSE,"Vessel1 2";#N/A,#N/A,FALSE,"Vessel1 3";#N/A,#N/A,FALSE,"Vessel1 4";#N/A,#N/A,FALSE,"Vessel1 5";#N/A,#N/A,FALSE,"Vessel1 6";#N/A,#N/A,FALSE,"Vessel1 7";#N/A,#N/A,FALSE,"Vessel1 8";#N/A,#N/A,FALSE,"Vessel1 9";#N/A,#N/A,FALSE,"Vessel1 10";#N/A,#N/A,FALSE,"Vessel1 11"}</definedName>
    <definedName name="xxx" hidden="1">{#N/A,#N/A,FALSE,"Vessel1 1";#N/A,#N/A,FALSE,"Vessel1 2";#N/A,#N/A,FALSE,"Vessel1 3";#N/A,#N/A,FALSE,"Vessel1 4";#N/A,#N/A,FALSE,"Vessel1 5";#N/A,#N/A,FALSE,"Vessel1 6";#N/A,#N/A,FALSE,"Vessel1 7";#N/A,#N/A,FALSE,"Vessel1 8";#N/A,#N/A,FALSE,"Vessel1 9";#N/A,#N/A,FALSE,"Vessel1 10";#N/A,#N/A,FALSE,"Vessel1 11"}</definedName>
    <definedName name="xza"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xza"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yellowchromate">#REF!</definedName>
    <definedName name="zone">#REF!</definedName>
    <definedName name="zz" hidden="1">'[11]PROCPLAN-TOTAL'!#REF!</definedName>
    <definedName name="zzz" hidden="1">'[33]M 11'!#REF!</definedName>
    <definedName name="zzzz" localSheetId="6" hidden="1">{#N/A,#N/A,FALSE,"cover";#N/A,#N/A,FALSE,"page_1";#N/A,#N/A,FALSE,"page_2";#N/A,#N/A,FALSE,"page_3";#N/A,#N/A,FALSE,"page_4"}</definedName>
    <definedName name="zzzz" hidden="1">{#N/A,#N/A,FALSE,"cover";#N/A,#N/A,FALSE,"page_1";#N/A,#N/A,FALSE,"page_2";#N/A,#N/A,FALSE,"page_3";#N/A,#N/A,FALSE,"page_4"}</definedName>
    <definedName name="zzzzz" localSheetId="6" hidden="1">{#N/A,#N/A,FALSE,"cover";#N/A,#N/A,FALSE,"page_1";#N/A,#N/A,FALSE,"page_2";#N/A,#N/A,FALSE,"page_3";#N/A,#N/A,FALSE,"page_4"}</definedName>
    <definedName name="zzzzz" hidden="1">{#N/A,#N/A,FALSE,"cover";#N/A,#N/A,FALSE,"page_1";#N/A,#N/A,FALSE,"page_2";#N/A,#N/A,FALSE,"page_3";#N/A,#N/A,FALSE,"page_4"}</definedName>
    <definedName name="zzzzzz" localSheetId="6" hidden="1">{#N/A,#N/A,FALSE,"cover";#N/A,#N/A,FALSE,"page_1";#N/A,#N/A,FALSE,"page_2";#N/A,#N/A,FALSE,"page_3";#N/A,#N/A,FALSE,"page_4"}</definedName>
    <definedName name="zzzzzz" hidden="1">{#N/A,#N/A,FALSE,"cover";#N/A,#N/A,FALSE,"page_1";#N/A,#N/A,FALSE,"page_2";#N/A,#N/A,FALSE,"page_3";#N/A,#N/A,FALSE,"page_4"}</definedName>
    <definedName name="견적갑지무" localSheetId="6" hidden="1">{"'장비'!$A$3:$M$12"}</definedName>
    <definedName name="견적갑지무" hidden="1">{"'장비'!$A$3:$M$12"}</definedName>
    <definedName name="견적조건" hidden="1">[34]산근!#REF!</definedName>
    <definedName name="부대공사" hidden="1">#REF!</definedName>
  </definedNames>
  <calcPr calcId="191029" calcCompleted="0"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Z53" authorId="0">
      <text>
        <r>
          <rPr>
            <b/>
            <sz val="9"/>
            <rFont val="SimSun"/>
            <charset val="134"/>
          </rPr>
          <t>Administrator:</t>
        </r>
        <r>
          <rPr>
            <sz val="9"/>
            <rFont val="SimSun"/>
            <charset val="134"/>
          </rPr>
          <t xml:space="preserve">
PIM-5 days
</t>
        </r>
      </text>
    </comment>
    <comment ref="Z56" authorId="0">
      <text>
        <r>
          <rPr>
            <b/>
            <sz val="9"/>
            <rFont val="SimSun"/>
            <charset val="134"/>
          </rPr>
          <t>Administrator:</t>
        </r>
        <r>
          <rPr>
            <sz val="9"/>
            <rFont val="SimSun"/>
            <charset val="134"/>
          </rPr>
          <t xml:space="preserve">
PIM-5 days
</t>
        </r>
      </text>
    </comment>
    <comment ref="Z59" authorId="0">
      <text>
        <r>
          <rPr>
            <b/>
            <sz val="9"/>
            <rFont val="SimSun"/>
            <charset val="134"/>
          </rPr>
          <t>Administrator:</t>
        </r>
        <r>
          <rPr>
            <sz val="9"/>
            <rFont val="SimSun"/>
            <charset val="134"/>
          </rPr>
          <t xml:space="preserve">
PIM-5 days
</t>
        </r>
      </text>
    </comment>
    <comment ref="Z62" authorId="0">
      <text>
        <r>
          <rPr>
            <b/>
            <sz val="9"/>
            <rFont val="SimSun"/>
            <charset val="134"/>
          </rPr>
          <t>Administrator:</t>
        </r>
        <r>
          <rPr>
            <sz val="9"/>
            <rFont val="SimSun"/>
            <charset val="134"/>
          </rPr>
          <t xml:space="preserve">
PIM-5 days
</t>
        </r>
      </text>
    </comment>
    <comment ref="Z65" authorId="0">
      <text>
        <r>
          <rPr>
            <b/>
            <sz val="9"/>
            <rFont val="SimSun"/>
            <charset val="134"/>
          </rPr>
          <t>Administrator:</t>
        </r>
        <r>
          <rPr>
            <sz val="9"/>
            <rFont val="SimSun"/>
            <charset val="134"/>
          </rPr>
          <t xml:space="preserve">
PIM-5 days
</t>
        </r>
      </text>
    </comment>
    <comment ref="Z68" authorId="0">
      <text>
        <r>
          <rPr>
            <b/>
            <sz val="9"/>
            <rFont val="SimSun"/>
            <charset val="134"/>
          </rPr>
          <t>Administrator:</t>
        </r>
        <r>
          <rPr>
            <sz val="9"/>
            <rFont val="SimSun"/>
            <charset val="134"/>
          </rPr>
          <t xml:space="preserve">
PIM-5 days
</t>
        </r>
      </text>
    </comment>
    <comment ref="Z71" authorId="0">
      <text>
        <r>
          <rPr>
            <b/>
            <sz val="9"/>
            <rFont val="SimSun"/>
            <charset val="134"/>
          </rPr>
          <t>Administrator:</t>
        </r>
        <r>
          <rPr>
            <sz val="9"/>
            <rFont val="SimSun"/>
            <charset val="134"/>
          </rPr>
          <t xml:space="preserve">
PIM-5 days
</t>
        </r>
      </text>
    </comment>
    <comment ref="Z80" authorId="0">
      <text>
        <r>
          <rPr>
            <b/>
            <sz val="9"/>
            <rFont val="SimSun"/>
            <charset val="134"/>
          </rPr>
          <t>Administrator:</t>
        </r>
        <r>
          <rPr>
            <sz val="9"/>
            <rFont val="SimSun"/>
            <charset val="134"/>
          </rPr>
          <t xml:space="preserve">
PIM-5 days
</t>
        </r>
      </text>
    </comment>
    <comment ref="Z83" authorId="0">
      <text>
        <r>
          <rPr>
            <b/>
            <sz val="9"/>
            <rFont val="SimSun"/>
            <charset val="134"/>
          </rPr>
          <t>Administrator:</t>
        </r>
        <r>
          <rPr>
            <sz val="9"/>
            <rFont val="SimSun"/>
            <charset val="134"/>
          </rPr>
          <t xml:space="preserve">
PIM-5 days
</t>
        </r>
      </text>
    </comment>
    <comment ref="Z86" authorId="0">
      <text>
        <r>
          <rPr>
            <b/>
            <sz val="9"/>
            <rFont val="SimSun"/>
            <charset val="134"/>
          </rPr>
          <t>Administrator:</t>
        </r>
        <r>
          <rPr>
            <sz val="9"/>
            <rFont val="SimSun"/>
            <charset val="134"/>
          </rPr>
          <t xml:space="preserve">
PIM-5 days
</t>
        </r>
      </text>
    </comment>
    <comment ref="Z89" authorId="0">
      <text>
        <r>
          <rPr>
            <b/>
            <sz val="9"/>
            <rFont val="SimSun"/>
            <charset val="134"/>
          </rPr>
          <t>Administrator:</t>
        </r>
        <r>
          <rPr>
            <sz val="9"/>
            <rFont val="SimSun"/>
            <charset val="134"/>
          </rPr>
          <t xml:space="preserve">
PIM-5 days
</t>
        </r>
      </text>
    </comment>
    <comment ref="Z92" authorId="0">
      <text>
        <r>
          <rPr>
            <b/>
            <sz val="9"/>
            <rFont val="SimSun"/>
            <charset val="134"/>
          </rPr>
          <t>Administrator:</t>
        </r>
        <r>
          <rPr>
            <sz val="9"/>
            <rFont val="SimSun"/>
            <charset val="134"/>
          </rPr>
          <t xml:space="preserve">
PIM-5 days
</t>
        </r>
      </text>
    </comment>
    <comment ref="Z98" authorId="0">
      <text>
        <r>
          <rPr>
            <b/>
            <sz val="9"/>
            <rFont val="SimSun"/>
            <charset val="134"/>
          </rPr>
          <t>Administrator:</t>
        </r>
        <r>
          <rPr>
            <sz val="9"/>
            <rFont val="SimSun"/>
            <charset val="134"/>
          </rPr>
          <t xml:space="preserve">
PIM-5 days
</t>
        </r>
      </text>
    </comment>
    <comment ref="Z101" authorId="0">
      <text>
        <r>
          <rPr>
            <b/>
            <sz val="9"/>
            <rFont val="SimSun"/>
            <charset val="134"/>
          </rPr>
          <t>Administrator:</t>
        </r>
        <r>
          <rPr>
            <sz val="9"/>
            <rFont val="SimSun"/>
            <charset val="134"/>
          </rPr>
          <t xml:space="preserve">
PIM-5 days
</t>
        </r>
      </text>
    </comment>
    <comment ref="Z104" authorId="0">
      <text>
        <r>
          <rPr>
            <b/>
            <sz val="9"/>
            <rFont val="SimSun"/>
            <charset val="134"/>
          </rPr>
          <t>Administrator:</t>
        </r>
        <r>
          <rPr>
            <sz val="9"/>
            <rFont val="SimSun"/>
            <charset val="134"/>
          </rPr>
          <t xml:space="preserve">
PIM-5 days
</t>
        </r>
      </text>
    </comment>
    <comment ref="Z107" authorId="0">
      <text>
        <r>
          <rPr>
            <b/>
            <sz val="9"/>
            <rFont val="SimSun"/>
            <charset val="134"/>
          </rPr>
          <t>Administrator:</t>
        </r>
        <r>
          <rPr>
            <sz val="9"/>
            <rFont val="SimSun"/>
            <charset val="134"/>
          </rPr>
          <t xml:space="preserve">
PIM-5 days
</t>
        </r>
      </text>
    </comment>
    <comment ref="Z110" authorId="0">
      <text>
        <r>
          <rPr>
            <b/>
            <sz val="9"/>
            <rFont val="SimSun"/>
            <charset val="134"/>
          </rPr>
          <t>Administrator:</t>
        </r>
        <r>
          <rPr>
            <sz val="9"/>
            <rFont val="SimSun"/>
            <charset val="134"/>
          </rPr>
          <t xml:space="preserve">
PIM-5 days
</t>
        </r>
      </text>
    </comment>
    <comment ref="Z113" authorId="0">
      <text>
        <r>
          <rPr>
            <b/>
            <sz val="9"/>
            <rFont val="SimSun"/>
            <charset val="134"/>
          </rPr>
          <t>Administrator:</t>
        </r>
        <r>
          <rPr>
            <sz val="9"/>
            <rFont val="SimSun"/>
            <charset val="134"/>
          </rPr>
          <t xml:space="preserve">
PIM-5 days
</t>
        </r>
      </text>
    </comment>
    <comment ref="Z116" authorId="0">
      <text>
        <r>
          <rPr>
            <b/>
            <sz val="9"/>
            <rFont val="SimSun"/>
            <charset val="134"/>
          </rPr>
          <t>Administrator:</t>
        </r>
        <r>
          <rPr>
            <sz val="9"/>
            <rFont val="SimSun"/>
            <charset val="134"/>
          </rPr>
          <t xml:space="preserve">
PIM-5 days
</t>
        </r>
      </text>
    </comment>
    <comment ref="Z119" authorId="0">
      <text>
        <r>
          <rPr>
            <b/>
            <sz val="9"/>
            <rFont val="SimSun"/>
            <charset val="134"/>
          </rPr>
          <t>Administrator:</t>
        </r>
        <r>
          <rPr>
            <sz val="9"/>
            <rFont val="SimSun"/>
            <charset val="134"/>
          </rPr>
          <t xml:space="preserve">
PIM-5 days
</t>
        </r>
      </text>
    </comment>
    <comment ref="Z122" authorId="0">
      <text>
        <r>
          <rPr>
            <b/>
            <sz val="9"/>
            <rFont val="SimSun"/>
            <charset val="134"/>
          </rPr>
          <t>Administrator:</t>
        </r>
        <r>
          <rPr>
            <sz val="9"/>
            <rFont val="SimSun"/>
            <charset val="134"/>
          </rPr>
          <t xml:space="preserve">
PIM-5 days
</t>
        </r>
      </text>
    </comment>
    <comment ref="Z125" authorId="0">
      <text>
        <r>
          <rPr>
            <b/>
            <sz val="9"/>
            <rFont val="SimSun"/>
            <charset val="134"/>
          </rPr>
          <t>Administrator:</t>
        </r>
        <r>
          <rPr>
            <sz val="9"/>
            <rFont val="SimSun"/>
            <charset val="134"/>
          </rPr>
          <t xml:space="preserve">
PIM-5 days
</t>
        </r>
      </text>
    </comment>
    <comment ref="Z128" authorId="0">
      <text>
        <r>
          <rPr>
            <b/>
            <sz val="9"/>
            <rFont val="SimSun"/>
            <charset val="134"/>
          </rPr>
          <t>Administrator:</t>
        </r>
        <r>
          <rPr>
            <sz val="9"/>
            <rFont val="SimSun"/>
            <charset val="134"/>
          </rPr>
          <t xml:space="preserve">
PIM-5 days
</t>
        </r>
      </text>
    </comment>
    <comment ref="Z131" authorId="0">
      <text>
        <r>
          <rPr>
            <b/>
            <sz val="9"/>
            <rFont val="SimSun"/>
            <charset val="134"/>
          </rPr>
          <t>Administrator:</t>
        </r>
        <r>
          <rPr>
            <sz val="9"/>
            <rFont val="SimSun"/>
            <charset val="134"/>
          </rPr>
          <t xml:space="preserve">
PIM-5 days
</t>
        </r>
      </text>
    </comment>
    <comment ref="Z134" authorId="0">
      <text>
        <r>
          <rPr>
            <b/>
            <sz val="9"/>
            <rFont val="SimSun"/>
            <charset val="134"/>
          </rPr>
          <t>Administrator:</t>
        </r>
        <r>
          <rPr>
            <sz val="9"/>
            <rFont val="SimSun"/>
            <charset val="134"/>
          </rPr>
          <t xml:space="preserve">
PIM-5 days
</t>
        </r>
      </text>
    </comment>
    <comment ref="Z137" authorId="0">
      <text>
        <r>
          <rPr>
            <b/>
            <sz val="9"/>
            <rFont val="SimSun"/>
            <charset val="134"/>
          </rPr>
          <t>Administrator:</t>
        </r>
        <r>
          <rPr>
            <sz val="9"/>
            <rFont val="SimSun"/>
            <charset val="134"/>
          </rPr>
          <t xml:space="preserve">
PIM-5 days
</t>
        </r>
      </text>
    </comment>
    <comment ref="Z140" authorId="0">
      <text>
        <r>
          <rPr>
            <b/>
            <sz val="9"/>
            <rFont val="SimSun"/>
            <charset val="134"/>
          </rPr>
          <t>Administrator:</t>
        </r>
        <r>
          <rPr>
            <sz val="9"/>
            <rFont val="SimSun"/>
            <charset val="134"/>
          </rPr>
          <t xml:space="preserve">
PIM-5 days
</t>
        </r>
      </text>
    </comment>
    <comment ref="Z143" authorId="0">
      <text>
        <r>
          <rPr>
            <b/>
            <sz val="9"/>
            <rFont val="SimSun"/>
            <charset val="134"/>
          </rPr>
          <t>Administrator:</t>
        </r>
        <r>
          <rPr>
            <sz val="9"/>
            <rFont val="SimSun"/>
            <charset val="134"/>
          </rPr>
          <t xml:space="preserve">
PIM-5 days
</t>
        </r>
      </text>
    </comment>
    <comment ref="Z146" authorId="0">
      <text>
        <r>
          <rPr>
            <b/>
            <sz val="9"/>
            <rFont val="SimSun"/>
            <charset val="134"/>
          </rPr>
          <t>Administrator:</t>
        </r>
        <r>
          <rPr>
            <sz val="9"/>
            <rFont val="SimSun"/>
            <charset val="134"/>
          </rPr>
          <t xml:space="preserve">
PIM-5 days
</t>
        </r>
      </text>
    </comment>
    <comment ref="Z161" authorId="0">
      <text>
        <r>
          <rPr>
            <b/>
            <sz val="9"/>
            <rFont val="SimSun"/>
            <charset val="134"/>
          </rPr>
          <t>Administrator:</t>
        </r>
        <r>
          <rPr>
            <sz val="9"/>
            <rFont val="SimSun"/>
            <charset val="134"/>
          </rPr>
          <t xml:space="preserve">
Vendor Plan + 30days</t>
        </r>
      </text>
    </comment>
    <comment ref="Z164" authorId="0">
      <text>
        <r>
          <rPr>
            <b/>
            <sz val="9"/>
            <rFont val="SimSun"/>
            <charset val="134"/>
          </rPr>
          <t>Administrator:</t>
        </r>
        <r>
          <rPr>
            <sz val="9"/>
            <rFont val="SimSun"/>
            <charset val="134"/>
          </rPr>
          <t xml:space="preserve">
Vendor Plan + 30days</t>
        </r>
      </text>
    </comment>
    <comment ref="Z167" authorId="0">
      <text>
        <r>
          <rPr>
            <b/>
            <sz val="9"/>
            <rFont val="SimSun"/>
            <charset val="134"/>
          </rPr>
          <t>Administrator:</t>
        </r>
        <r>
          <rPr>
            <sz val="9"/>
            <rFont val="SimSun"/>
            <charset val="134"/>
          </rPr>
          <t xml:space="preserve">
PIM-5 days
</t>
        </r>
      </text>
    </comment>
    <comment ref="Z203" authorId="0">
      <text>
        <r>
          <rPr>
            <b/>
            <sz val="9"/>
            <rFont val="SimSun"/>
            <charset val="134"/>
          </rPr>
          <t>Administrator:</t>
        </r>
        <r>
          <rPr>
            <sz val="9"/>
            <rFont val="SimSun"/>
            <charset val="134"/>
          </rPr>
          <t xml:space="preserve">
PIM-5 days
</t>
        </r>
      </text>
    </comment>
    <comment ref="Z206" authorId="0">
      <text>
        <r>
          <rPr>
            <b/>
            <sz val="9"/>
            <rFont val="SimSun"/>
            <charset val="134"/>
          </rPr>
          <t>Administrator:</t>
        </r>
        <r>
          <rPr>
            <sz val="9"/>
            <rFont val="SimSun"/>
            <charset val="134"/>
          </rPr>
          <t xml:space="preserve">
PIM-5 days
</t>
        </r>
      </text>
    </comment>
    <comment ref="Z209" authorId="0">
      <text>
        <r>
          <rPr>
            <b/>
            <sz val="9"/>
            <rFont val="SimSun"/>
            <charset val="134"/>
          </rPr>
          <t>Administrator:</t>
        </r>
        <r>
          <rPr>
            <sz val="9"/>
            <rFont val="SimSun"/>
            <charset val="134"/>
          </rPr>
          <t xml:space="preserve">
PIM-5 days
</t>
        </r>
      </text>
    </comment>
    <comment ref="Z212" authorId="0">
      <text>
        <r>
          <rPr>
            <b/>
            <sz val="9"/>
            <rFont val="SimSun"/>
            <charset val="134"/>
          </rPr>
          <t>Administrator:</t>
        </r>
        <r>
          <rPr>
            <sz val="9"/>
            <rFont val="SimSun"/>
            <charset val="134"/>
          </rPr>
          <t xml:space="preserve">
PIM-5 days
</t>
        </r>
      </text>
    </comment>
    <comment ref="Z215" authorId="0">
      <text>
        <r>
          <rPr>
            <b/>
            <sz val="9"/>
            <rFont val="SimSun"/>
            <charset val="134"/>
          </rPr>
          <t>Administrator:</t>
        </r>
        <r>
          <rPr>
            <sz val="9"/>
            <rFont val="SimSun"/>
            <charset val="134"/>
          </rPr>
          <t xml:space="preserve">
PIM-5 days
</t>
        </r>
      </text>
    </comment>
    <comment ref="Z218" authorId="0">
      <text>
        <r>
          <rPr>
            <b/>
            <sz val="9"/>
            <rFont val="SimSun"/>
            <charset val="134"/>
          </rPr>
          <t>Administrator:</t>
        </r>
        <r>
          <rPr>
            <sz val="9"/>
            <rFont val="SimSun"/>
            <charset val="134"/>
          </rPr>
          <t xml:space="preserve">
PIM-5 days
</t>
        </r>
      </text>
    </comment>
    <comment ref="Z221" authorId="0">
      <text>
        <r>
          <rPr>
            <b/>
            <sz val="9"/>
            <rFont val="SimSun"/>
            <charset val="134"/>
          </rPr>
          <t>Administrator:</t>
        </r>
        <r>
          <rPr>
            <sz val="9"/>
            <rFont val="SimSun"/>
            <charset val="134"/>
          </rPr>
          <t xml:space="preserve">
PIM-5 days
</t>
        </r>
      </text>
    </comment>
    <comment ref="Z224" authorId="0">
      <text>
        <r>
          <rPr>
            <b/>
            <sz val="9"/>
            <rFont val="SimSun"/>
            <charset val="134"/>
          </rPr>
          <t>Administrator:</t>
        </r>
        <r>
          <rPr>
            <sz val="9"/>
            <rFont val="SimSun"/>
            <charset val="134"/>
          </rPr>
          <t xml:space="preserve">
PIM-5 days
</t>
        </r>
      </text>
    </comment>
    <comment ref="Z233" authorId="0">
      <text>
        <r>
          <rPr>
            <b/>
            <sz val="9"/>
            <rFont val="SimSun"/>
            <charset val="134"/>
          </rPr>
          <t>Administrator:</t>
        </r>
        <r>
          <rPr>
            <sz val="9"/>
            <rFont val="SimSun"/>
            <charset val="134"/>
          </rPr>
          <t xml:space="preserve">
PIM-5 days
</t>
        </r>
      </text>
    </comment>
    <comment ref="Z236" authorId="0">
      <text>
        <r>
          <rPr>
            <b/>
            <sz val="9"/>
            <rFont val="SimSun"/>
            <charset val="134"/>
          </rPr>
          <t>Administrator:</t>
        </r>
        <r>
          <rPr>
            <sz val="9"/>
            <rFont val="SimSun"/>
            <charset val="134"/>
          </rPr>
          <t xml:space="preserve">
PIM-5 days
</t>
        </r>
      </text>
    </comment>
    <comment ref="Z239" authorId="0">
      <text>
        <r>
          <rPr>
            <b/>
            <sz val="9"/>
            <rFont val="SimSun"/>
            <charset val="134"/>
          </rPr>
          <t>Administrator:</t>
        </r>
        <r>
          <rPr>
            <sz val="9"/>
            <rFont val="SimSun"/>
            <charset val="134"/>
          </rPr>
          <t xml:space="preserve">
PIM-5 days
</t>
        </r>
      </text>
    </comment>
    <comment ref="Z242" authorId="0">
      <text>
        <r>
          <rPr>
            <b/>
            <sz val="9"/>
            <rFont val="SimSun"/>
            <charset val="134"/>
          </rPr>
          <t>Administrator:</t>
        </r>
        <r>
          <rPr>
            <sz val="9"/>
            <rFont val="SimSun"/>
            <charset val="134"/>
          </rPr>
          <t xml:space="preserve">
PIM-5 days
</t>
        </r>
      </text>
    </comment>
    <comment ref="Z245" authorId="0">
      <text>
        <r>
          <rPr>
            <b/>
            <sz val="9"/>
            <rFont val="SimSun"/>
            <charset val="134"/>
          </rPr>
          <t>Administrator:</t>
        </r>
        <r>
          <rPr>
            <sz val="9"/>
            <rFont val="SimSun"/>
            <charset val="134"/>
          </rPr>
          <t xml:space="preserve">
PIM-5 days
</t>
        </r>
      </text>
    </comment>
    <comment ref="Z248" authorId="0">
      <text>
        <r>
          <rPr>
            <b/>
            <sz val="9"/>
            <rFont val="SimSun"/>
            <charset val="134"/>
          </rPr>
          <t>Administrator:</t>
        </r>
        <r>
          <rPr>
            <sz val="9"/>
            <rFont val="SimSun"/>
            <charset val="134"/>
          </rPr>
          <t xml:space="preserve">
PIM-5 days
</t>
        </r>
      </text>
    </comment>
    <comment ref="Z251" authorId="0">
      <text>
        <r>
          <rPr>
            <b/>
            <sz val="9"/>
            <rFont val="SimSun"/>
            <charset val="134"/>
          </rPr>
          <t>Administrator:</t>
        </r>
        <r>
          <rPr>
            <sz val="9"/>
            <rFont val="SimSun"/>
            <charset val="134"/>
          </rPr>
          <t xml:space="preserve">
PIM-5 days
</t>
        </r>
      </text>
    </comment>
    <comment ref="Z263" authorId="0">
      <text>
        <r>
          <rPr>
            <b/>
            <sz val="9"/>
            <rFont val="SimSun"/>
            <charset val="134"/>
          </rPr>
          <t>Administrator:</t>
        </r>
        <r>
          <rPr>
            <sz val="9"/>
            <rFont val="SimSun"/>
            <charset val="134"/>
          </rPr>
          <t xml:space="preserve">
PIM-5 days
</t>
        </r>
      </text>
    </comment>
    <comment ref="Z266" authorId="0">
      <text>
        <r>
          <rPr>
            <b/>
            <sz val="9"/>
            <rFont val="SimSun"/>
            <charset val="134"/>
          </rPr>
          <t>Administrator:</t>
        </r>
        <r>
          <rPr>
            <sz val="9"/>
            <rFont val="SimSun"/>
            <charset val="134"/>
          </rPr>
          <t xml:space="preserve">
PIM-5 days
</t>
        </r>
      </text>
    </comment>
    <comment ref="Z269" authorId="0">
      <text>
        <r>
          <rPr>
            <b/>
            <sz val="9"/>
            <rFont val="SimSun"/>
            <charset val="134"/>
          </rPr>
          <t>Administrator:</t>
        </r>
        <r>
          <rPr>
            <sz val="9"/>
            <rFont val="SimSun"/>
            <charset val="134"/>
          </rPr>
          <t xml:space="preserve">
PIM-5 days
</t>
        </r>
      </text>
    </comment>
    <comment ref="Z272" authorId="0">
      <text>
        <r>
          <rPr>
            <b/>
            <sz val="9"/>
            <rFont val="SimSun"/>
            <charset val="134"/>
          </rPr>
          <t>Administrator:</t>
        </r>
        <r>
          <rPr>
            <sz val="9"/>
            <rFont val="SimSun"/>
            <charset val="134"/>
          </rPr>
          <t xml:space="preserve">
PIM-5 days
</t>
        </r>
      </text>
    </comment>
    <comment ref="Z278" authorId="0">
      <text>
        <r>
          <rPr>
            <b/>
            <sz val="9"/>
            <rFont val="SimSun"/>
            <charset val="134"/>
          </rPr>
          <t>Administrator:</t>
        </r>
        <r>
          <rPr>
            <sz val="9"/>
            <rFont val="SimSun"/>
            <charset val="134"/>
          </rPr>
          <t xml:space="preserve">
PIM-5 days
</t>
        </r>
      </text>
    </comment>
    <comment ref="Z281" authorId="0">
      <text>
        <r>
          <rPr>
            <b/>
            <sz val="9"/>
            <rFont val="SimSun"/>
            <charset val="134"/>
          </rPr>
          <t>Administrator:</t>
        </r>
        <r>
          <rPr>
            <sz val="9"/>
            <rFont val="SimSun"/>
            <charset val="134"/>
          </rPr>
          <t xml:space="preserve">
PIM-5 days
</t>
        </r>
      </text>
    </comment>
    <comment ref="Z284" authorId="0">
      <text>
        <r>
          <rPr>
            <b/>
            <sz val="9"/>
            <rFont val="SimSun"/>
            <charset val="134"/>
          </rPr>
          <t>Administrator:</t>
        </r>
        <r>
          <rPr>
            <sz val="9"/>
            <rFont val="SimSun"/>
            <charset val="134"/>
          </rPr>
          <t xml:space="preserve">
PIM-5 days
</t>
        </r>
      </text>
    </comment>
    <comment ref="Z287" authorId="0">
      <text>
        <r>
          <rPr>
            <b/>
            <sz val="9"/>
            <rFont val="SimSun"/>
            <charset val="134"/>
          </rPr>
          <t>Administrator:</t>
        </r>
        <r>
          <rPr>
            <sz val="9"/>
            <rFont val="SimSun"/>
            <charset val="134"/>
          </rPr>
          <t xml:space="preserve">
PIM-5 days
</t>
        </r>
      </text>
    </comment>
    <comment ref="Z290" authorId="0">
      <text>
        <r>
          <rPr>
            <b/>
            <sz val="9"/>
            <rFont val="SimSun"/>
            <charset val="134"/>
          </rPr>
          <t>Administrator:</t>
        </r>
        <r>
          <rPr>
            <sz val="9"/>
            <rFont val="SimSun"/>
            <charset val="134"/>
          </rPr>
          <t xml:space="preserve">
PIM-5 days
</t>
        </r>
      </text>
    </comment>
    <comment ref="Z293" authorId="0">
      <text>
        <r>
          <rPr>
            <b/>
            <sz val="9"/>
            <rFont val="SimSun"/>
            <charset val="134"/>
          </rPr>
          <t>Administrator:</t>
        </r>
        <r>
          <rPr>
            <sz val="9"/>
            <rFont val="SimSun"/>
            <charset val="134"/>
          </rPr>
          <t xml:space="preserve">
PIM-5 days
</t>
        </r>
      </text>
    </comment>
    <comment ref="Z296" authorId="0">
      <text>
        <r>
          <rPr>
            <b/>
            <sz val="9"/>
            <rFont val="SimSun"/>
            <charset val="134"/>
          </rPr>
          <t>Administrator:</t>
        </r>
        <r>
          <rPr>
            <sz val="9"/>
            <rFont val="SimSun"/>
            <charset val="134"/>
          </rPr>
          <t xml:space="preserve">
PIM-5 days
</t>
        </r>
      </text>
    </comment>
    <comment ref="Z302" authorId="0">
      <text>
        <r>
          <rPr>
            <b/>
            <sz val="9"/>
            <rFont val="SimSun"/>
            <charset val="134"/>
          </rPr>
          <t>Administrator:</t>
        </r>
        <r>
          <rPr>
            <sz val="9"/>
            <rFont val="SimSun"/>
            <charset val="134"/>
          </rPr>
          <t xml:space="preserve">
PIM-5 days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<sst xmlns="http://schemas.openxmlformats.org/spreadsheetml/2006/main" count="10702" uniqueCount="5041">
  <si>
    <t>Note:</t>
  </si>
  <si>
    <t>1. All MR Issuance with Attached File to be used IFR version, some long lead item to be used FEED document as MR Issuance basis which listed in Remark</t>
  </si>
  <si>
    <t>2. In principle, Datasheet - IFA version shall be issued before TBE issuance as much as possible to avoid the big gap of changes.</t>
  </si>
  <si>
    <t>3.TBE- AFC and MR-AFC should be issued before PO issuance.</t>
  </si>
  <si>
    <t>4.For the Steel Structural, TJE will sign the frame agreement with alternative vendors firstly, once the MTO&amp;IFA drawing issuance, TJE will purchase order promptly</t>
  </si>
  <si>
    <t>5.The 3rd line of Each procuremnt package with "Proposal from TJE" in column N , has been aligned with GCME about date of MR issuance with atteched relative documents, then forward schedule in procurement and leadtime to ETA, this line is the basis for schedule developing.</t>
  </si>
  <si>
    <t>LA</t>
  </si>
  <si>
    <t>LB</t>
  </si>
  <si>
    <t>LC</t>
  </si>
  <si>
    <t>LD</t>
  </si>
  <si>
    <t xml:space="preserve">ZM167 PTTEPI ASK Procurement Plan </t>
  </si>
  <si>
    <t>No.</t>
  </si>
  <si>
    <t>RFQ No.</t>
  </si>
  <si>
    <t>Package Name</t>
  </si>
  <si>
    <t>Deviation</t>
  </si>
  <si>
    <t>Total Weight</t>
  </si>
  <si>
    <t>CODE</t>
  </si>
  <si>
    <t>Discripline</t>
  </si>
  <si>
    <t>Long Lead Item (Y/N)</t>
  </si>
  <si>
    <t>Criticality Rating</t>
  </si>
  <si>
    <t>Priority Level</t>
  </si>
  <si>
    <t>Bidder List Approval</t>
  </si>
  <si>
    <t>MR  Issued</t>
  </si>
  <si>
    <t>MR Approved</t>
  </si>
  <si>
    <t>RFQ Issued</t>
  </si>
  <si>
    <t>RFQ Approved</t>
  </si>
  <si>
    <t>CFT Issuance</t>
  </si>
  <si>
    <t>Bid Closing Date</t>
  </si>
  <si>
    <t>TBE Issued</t>
  </si>
  <si>
    <t>TBE Approved</t>
  </si>
  <si>
    <t>LOA SIGN</t>
  </si>
  <si>
    <t xml:space="preserve">PO Issued </t>
  </si>
  <si>
    <t>Vendor Acknowledgement</t>
  </si>
  <si>
    <t>KOM</t>
  </si>
  <si>
    <t>VD Submission</t>
  </si>
  <si>
    <t>Approval of Key Vendor Documents</t>
  </si>
  <si>
    <t>Delivery of Major Materials</t>
  </si>
  <si>
    <t>PIM</t>
  </si>
  <si>
    <t>Start Production</t>
  </si>
  <si>
    <t>FAT</t>
  </si>
  <si>
    <t>Ready for Shipment</t>
  </si>
  <si>
    <t>Receipt at WORKSITE</t>
  </si>
  <si>
    <t>Punch List Clearance</t>
  </si>
  <si>
    <t>Approval of Final Documentation  (To be confirmed later)</t>
  </si>
  <si>
    <t>Delivery Duration (Weeks)</t>
  </si>
  <si>
    <t>Lead Time</t>
  </si>
  <si>
    <t>ETA date</t>
  </si>
  <si>
    <t>ROS date</t>
  </si>
  <si>
    <t>Float</t>
  </si>
  <si>
    <t>Remark</t>
  </si>
  <si>
    <t>Remark2</t>
  </si>
  <si>
    <t>Matrix</t>
  </si>
  <si>
    <t>Installation</t>
  </si>
  <si>
    <t>Holiday</t>
  </si>
  <si>
    <t>China</t>
  </si>
  <si>
    <t>Thai</t>
  </si>
  <si>
    <t>RFQ-MEC-001</t>
  </si>
  <si>
    <t>Offshore Pedestal Crane</t>
  </si>
  <si>
    <t>Mechanical</t>
  </si>
  <si>
    <t>New Plan</t>
  </si>
  <si>
    <t>Long Lead</t>
  </si>
  <si>
    <t>WPA-01</t>
  </si>
  <si>
    <t>4-2.1</t>
  </si>
  <si>
    <t>Y</t>
  </si>
  <si>
    <t>Forecast</t>
  </si>
  <si>
    <t>WPA-02</t>
  </si>
  <si>
    <t>Actual</t>
  </si>
  <si>
    <t>UPO-0003</t>
  </si>
  <si>
    <t>Upper Deck</t>
  </si>
  <si>
    <t>RFQ-MEC-002</t>
  </si>
  <si>
    <t>Material Handling Equipment</t>
  </si>
  <si>
    <t>4-2.2</t>
  </si>
  <si>
    <t>N</t>
  </si>
  <si>
    <t>check Location</t>
  </si>
  <si>
    <t>UPO-0025</t>
  </si>
  <si>
    <t>RFQ-MEC-003</t>
  </si>
  <si>
    <t>Instrument Gas Filter Coalescer</t>
  </si>
  <si>
    <t>4-2.4</t>
  </si>
  <si>
    <t>UPO-0004</t>
  </si>
  <si>
    <t>Lower Deck</t>
  </si>
  <si>
    <t>RFQ-MEC-004</t>
  </si>
  <si>
    <t>Test And Production Separator</t>
  </si>
  <si>
    <t>4-2.3</t>
  </si>
  <si>
    <t>RFQ-PIP-005</t>
  </si>
  <si>
    <t>Quick Opening Closure</t>
  </si>
  <si>
    <t>Piping</t>
  </si>
  <si>
    <t>4-2.6</t>
  </si>
  <si>
    <t>UPO-0020</t>
  </si>
  <si>
    <t>RFQ-MEC-006</t>
  </si>
  <si>
    <t>Chemical Injection Pumps Package</t>
  </si>
  <si>
    <t>4-2.8</t>
  </si>
  <si>
    <r>
      <rPr>
        <sz val="10"/>
        <rFont val="Arial"/>
        <charset val="134"/>
      </rPr>
      <t>UPO-0008</t>
    </r>
    <r>
      <rPr>
        <sz val="10"/>
        <rFont val="SimSun"/>
        <charset val="134"/>
      </rPr>
      <t>，</t>
    </r>
    <r>
      <rPr>
        <sz val="10"/>
        <rFont val="Arial"/>
        <charset val="134"/>
      </rPr>
      <t>RFQ-007 De-mulsifier / Water Clarifier Injection Pump &amp; RFQ-044 Flow switch combined with RFQ-006</t>
    </r>
  </si>
  <si>
    <t>RFQ-MEC-008</t>
  </si>
  <si>
    <t>Deoiler Hydro Cyclone Package</t>
  </si>
  <si>
    <t>NA</t>
  </si>
  <si>
    <t>4-2.10</t>
  </si>
  <si>
    <t>only  WPA02</t>
  </si>
  <si>
    <t>RFQ-MEC-009</t>
  </si>
  <si>
    <t>Degasser Drum</t>
  </si>
  <si>
    <t>4-2.11</t>
  </si>
  <si>
    <t>RFQ-MEC-010</t>
  </si>
  <si>
    <t>Skim Tank Vessel</t>
  </si>
  <si>
    <t>4-2.13</t>
  </si>
  <si>
    <t>RFQ-MEC-011</t>
  </si>
  <si>
    <t>Closed Drain Sump Vessel</t>
  </si>
  <si>
    <t>4-2.12</t>
  </si>
  <si>
    <t>Sump Deck</t>
  </si>
  <si>
    <t>RFQ-MEC-013</t>
  </si>
  <si>
    <t>Storage Tank</t>
  </si>
  <si>
    <t>4-2.17</t>
  </si>
  <si>
    <t>Mezz &amp; Lower</t>
  </si>
  <si>
    <t>RFQ-MEC-014</t>
  </si>
  <si>
    <t>Closed Drain Sump Pump And Recovery Water Pump Package</t>
  </si>
  <si>
    <t>4-2.21</t>
  </si>
  <si>
    <t>UPO-0010</t>
  </si>
  <si>
    <t>RFQ-MEC-015</t>
  </si>
  <si>
    <t>Diesel Transfer Pump Package</t>
  </si>
  <si>
    <t>4-2.23</t>
  </si>
  <si>
    <t>RFQ-MEC-016</t>
  </si>
  <si>
    <t>Open Drain Caisson Pump Package</t>
  </si>
  <si>
    <t>4-2.24</t>
  </si>
  <si>
    <t>RFQ-ELE-017</t>
  </si>
  <si>
    <t>AC/DC Distribution Board</t>
  </si>
  <si>
    <t>Electrical</t>
  </si>
  <si>
    <t>4-3.1</t>
  </si>
  <si>
    <t>UPO-0011</t>
  </si>
  <si>
    <t>RFQ-ELE-018</t>
  </si>
  <si>
    <t>Solar Power System</t>
  </si>
  <si>
    <t>4-3.3</t>
  </si>
  <si>
    <t>RFQ-ELE-019</t>
  </si>
  <si>
    <t>Navigation Aid System</t>
  </si>
  <si>
    <t>4-3.2</t>
  </si>
  <si>
    <t>RFQ-ELE-020</t>
  </si>
  <si>
    <t>External Battery Charger</t>
  </si>
  <si>
    <t>RFQ-INS-021</t>
  </si>
  <si>
    <t>Control Valve</t>
  </si>
  <si>
    <t>Instrument</t>
  </si>
  <si>
    <t>4-4.5</t>
  </si>
  <si>
    <t>installation during Reinstatement</t>
  </si>
  <si>
    <t>UPO-0030</t>
  </si>
  <si>
    <t>RFQ-INS-022</t>
  </si>
  <si>
    <t>Self Regulator Valve</t>
  </si>
  <si>
    <t>4-4.6</t>
  </si>
  <si>
    <t>RFQ-INS-023</t>
  </si>
  <si>
    <t>Actuated Choke Valve</t>
  </si>
  <si>
    <t>4-4.3</t>
  </si>
  <si>
    <t>UPO-0019</t>
  </si>
  <si>
    <t>RFQ-INS-024</t>
  </si>
  <si>
    <t>Actuated Ball Valve</t>
  </si>
  <si>
    <t>4-4.4</t>
  </si>
  <si>
    <t>UPO-0021</t>
  </si>
  <si>
    <t>RFQ-INS-025</t>
  </si>
  <si>
    <t>Actuated Compact Ball Valve</t>
  </si>
  <si>
    <t>RFQ-INS-026</t>
  </si>
  <si>
    <t>Safety Relief Valves</t>
  </si>
  <si>
    <t>4-4.7</t>
  </si>
  <si>
    <t>UPO-0028</t>
  </si>
  <si>
    <t>RFQ-INS-027</t>
  </si>
  <si>
    <t xml:space="preserve">Coriolis Flow Meters </t>
  </si>
  <si>
    <t>4-4.9</t>
  </si>
  <si>
    <t>RFQ-INS-028</t>
  </si>
  <si>
    <t>Wellhead Control Panel (WHCP)</t>
  </si>
  <si>
    <t>4-4.2</t>
  </si>
  <si>
    <t>UPO-0009</t>
  </si>
  <si>
    <t>RFQ-INS-029</t>
  </si>
  <si>
    <t>Pressure Gauge</t>
  </si>
  <si>
    <t>4-4.12</t>
  </si>
  <si>
    <t>RFQ-INS-030</t>
  </si>
  <si>
    <t>Pressure Transmitter</t>
  </si>
  <si>
    <t>RFQ-INS-031</t>
  </si>
  <si>
    <t>Temperature Gauge</t>
  </si>
  <si>
    <t>RFQ-INS-032</t>
  </si>
  <si>
    <t>Temperature Transmitter</t>
  </si>
  <si>
    <t>RFQ-INS-033</t>
  </si>
  <si>
    <t>Vortex Flow Meter</t>
  </si>
  <si>
    <t>4-4.10</t>
  </si>
  <si>
    <t>RFQ-INS-034</t>
  </si>
  <si>
    <t>Level Gauge And Transmitters</t>
  </si>
  <si>
    <t>RFQ-INS-035</t>
  </si>
  <si>
    <t>Pig Signaller</t>
  </si>
  <si>
    <t>4-4.11</t>
  </si>
  <si>
    <t>RFQ-INS-036</t>
  </si>
  <si>
    <t>Restriction Orifice</t>
  </si>
  <si>
    <t>Rrestriction Orifice</t>
  </si>
  <si>
    <t>RFQ-INS-037</t>
  </si>
  <si>
    <t>PLC System</t>
  </si>
  <si>
    <t>4-4.1</t>
  </si>
  <si>
    <t>RFQ-INS-038</t>
  </si>
  <si>
    <t>Fire And Gas Detector</t>
  </si>
  <si>
    <t>4-4.20</t>
  </si>
  <si>
    <t>RFQ-INS-040</t>
  </si>
  <si>
    <t>Position Limit Switches</t>
  </si>
  <si>
    <t>4-4.14</t>
  </si>
  <si>
    <t>RFQ-INS-041</t>
  </si>
  <si>
    <t>Guided Wave Radar Level Transmitter</t>
  </si>
  <si>
    <t>RFQ-INS-042</t>
  </si>
  <si>
    <t>Oil In Water Analyzer</t>
  </si>
  <si>
    <t>4-4.8</t>
  </si>
  <si>
    <t>RFQ-INS-043</t>
  </si>
  <si>
    <t>Level Switch</t>
  </si>
  <si>
    <t>4-4.13</t>
  </si>
  <si>
    <t>RFQ-INS-045</t>
  </si>
  <si>
    <t>SCADA System</t>
  </si>
  <si>
    <t>4-4.18</t>
  </si>
  <si>
    <t>RFQ-TEL-046</t>
  </si>
  <si>
    <t>Telecommunication System</t>
  </si>
  <si>
    <t>Telecommunication</t>
  </si>
  <si>
    <t>4-4.15</t>
  </si>
  <si>
    <t>Telecom</t>
  </si>
  <si>
    <t>RFQ-TEL-047</t>
  </si>
  <si>
    <t>Marine Racon (RACON)</t>
  </si>
  <si>
    <t>4-4.16</t>
  </si>
  <si>
    <t>RFQ-PIP-048</t>
  </si>
  <si>
    <t>Ball Valve (Flange End)</t>
  </si>
  <si>
    <t>4-1</t>
  </si>
  <si>
    <t>2/3</t>
  </si>
  <si>
    <t>UPO-0023</t>
  </si>
  <si>
    <t>install before Testing</t>
  </si>
  <si>
    <t>RFQ-PIP-049</t>
  </si>
  <si>
    <t>Ball Valve (Welded End)</t>
  </si>
  <si>
    <t>RFQ-PIP-050</t>
  </si>
  <si>
    <t>Globe Valve (Flange End)</t>
  </si>
  <si>
    <t>RFQ-PIP-051</t>
  </si>
  <si>
    <t>Globe Valve (Welded End)</t>
  </si>
  <si>
    <t>RFQ-PIP-052</t>
  </si>
  <si>
    <t>Check Valve (Flange End)</t>
  </si>
  <si>
    <t>UPO-0024</t>
  </si>
  <si>
    <t>RFQ-PIP-053</t>
  </si>
  <si>
    <t>Check Valve (Welded End)</t>
  </si>
  <si>
    <t>RFQ-PIP-054</t>
  </si>
  <si>
    <t>Compact Check Valve (Welded End)</t>
  </si>
  <si>
    <t>UPO-0018</t>
  </si>
  <si>
    <t>RFQ-STR-055</t>
  </si>
  <si>
    <t>Primary Steel - Plates For Topside</t>
  </si>
  <si>
    <t>Structural</t>
  </si>
  <si>
    <t>5-2</t>
  </si>
  <si>
    <t>1st Cutting Change to 16-Aug</t>
  </si>
  <si>
    <t>Structural-T</t>
  </si>
  <si>
    <t>UPO-0001</t>
  </si>
  <si>
    <t>RFQ-STR-056</t>
  </si>
  <si>
    <t>Primary Steel – Beam For Topside</t>
  </si>
  <si>
    <t>for Deck Pre-assembly</t>
  </si>
  <si>
    <t>UPO-0002</t>
  </si>
  <si>
    <t>RFQ-STR-057</t>
  </si>
  <si>
    <t>Secondary Steel – Beam For Topside (W-Type)</t>
  </si>
  <si>
    <t>5-4</t>
  </si>
  <si>
    <t>UPO-0012</t>
  </si>
  <si>
    <t>RFQ-STR-102</t>
  </si>
  <si>
    <t>Secondary Steel – Beam For Topside (L&amp;C Type)</t>
  </si>
  <si>
    <t>RFQ-STR-058</t>
  </si>
  <si>
    <t xml:space="preserve">Topside Tertiary Steel </t>
  </si>
  <si>
    <t>RFQ-STR-059</t>
  </si>
  <si>
    <t xml:space="preserve">Primary Steel - Tubular For Topside </t>
  </si>
  <si>
    <t>Column and Brace</t>
  </si>
  <si>
    <t>UPO-0017</t>
  </si>
  <si>
    <t>RFQ-STR-060</t>
  </si>
  <si>
    <t>Primary Steel - Plates For Jacket</t>
  </si>
  <si>
    <t>Structural-J</t>
  </si>
  <si>
    <t>UPO-0007</t>
  </si>
  <si>
    <t>RFQ-STR-061</t>
  </si>
  <si>
    <t xml:space="preserve">Secondary Steel -Beam For Jacket </t>
  </si>
  <si>
    <t>UPO-0012.Same information with RFQ--057</t>
  </si>
  <si>
    <t>RFQ-STR-062</t>
  </si>
  <si>
    <t xml:space="preserve">Primary Steel -Tubular For Jacket </t>
  </si>
  <si>
    <t>RFQ-STR-064</t>
  </si>
  <si>
    <t>Primary Steel - Plates For Pile</t>
  </si>
  <si>
    <t>5-3</t>
  </si>
  <si>
    <t>Structural-P</t>
  </si>
  <si>
    <t>RFQ-STR-065</t>
  </si>
  <si>
    <t>Primary Steel -Tubular For Pile</t>
  </si>
  <si>
    <t>RFQ-PIP-067</t>
  </si>
  <si>
    <t>CS Fitting</t>
  </si>
  <si>
    <t>5-5</t>
  </si>
  <si>
    <t>RFQ-PIP-068</t>
  </si>
  <si>
    <t>SS  Fitting</t>
  </si>
  <si>
    <t>UPO-0027</t>
  </si>
  <si>
    <t>RFQ-PIP-103</t>
  </si>
  <si>
    <t>DSS Fitting</t>
  </si>
  <si>
    <t>RFQ-PIP-069</t>
  </si>
  <si>
    <t>CS Flange</t>
  </si>
  <si>
    <t>RFQ-PIP-070</t>
  </si>
  <si>
    <t>SS Flange</t>
  </si>
  <si>
    <t>RFQ-PIP-104</t>
  </si>
  <si>
    <t>DSS Flange</t>
  </si>
  <si>
    <t>RFQ-PIP-072</t>
  </si>
  <si>
    <t>CS Pipe</t>
  </si>
  <si>
    <t>RFQ-PIP-073</t>
  </si>
  <si>
    <t>SS and DSS Pipe</t>
  </si>
  <si>
    <t>UPO-0029</t>
  </si>
  <si>
    <t>RFQ-PIP-075</t>
  </si>
  <si>
    <t>Stud Bolts And Nuts</t>
  </si>
  <si>
    <t>RFQ-PIP-076</t>
  </si>
  <si>
    <t>Gasket</t>
  </si>
  <si>
    <t>RFQ-ELE-077</t>
  </si>
  <si>
    <t>Electrical Cables</t>
  </si>
  <si>
    <t>5-7</t>
  </si>
  <si>
    <t>Electrical-B</t>
  </si>
  <si>
    <t>RFQ-ELE-078</t>
  </si>
  <si>
    <t>Electrical Bulk Materials</t>
  </si>
  <si>
    <t>cable Tray</t>
  </si>
  <si>
    <t>RFQ-ELE-079</t>
  </si>
  <si>
    <t>Fog Horn</t>
  </si>
  <si>
    <t>RFQ-INS-080</t>
  </si>
  <si>
    <t>Instrument Bulk Materials</t>
  </si>
  <si>
    <t>5-8</t>
  </si>
  <si>
    <t>Instrument-B</t>
  </si>
  <si>
    <t>RFQ-INS-081</t>
  </si>
  <si>
    <t>Instrument Cables</t>
  </si>
  <si>
    <t>RFQ-SAF-082</t>
  </si>
  <si>
    <t>Firefighting Equipment</t>
  </si>
  <si>
    <t>Safety</t>
  </si>
  <si>
    <t>4-5</t>
  </si>
  <si>
    <t>RFQ-SAF-083</t>
  </si>
  <si>
    <t xml:space="preserve">Lifesaving Equipment And Safety Equipment </t>
  </si>
  <si>
    <t>RFQ-SAF-084</t>
  </si>
  <si>
    <t>Safety Signs</t>
  </si>
  <si>
    <t>RFQ-PLR-085</t>
  </si>
  <si>
    <t>Pipeline Flanges</t>
  </si>
  <si>
    <t>Piping &amp; Riser</t>
  </si>
  <si>
    <t>5-6</t>
  </si>
  <si>
    <t>RFQ-PLR-086</t>
  </si>
  <si>
    <t>Barred Tee</t>
  </si>
  <si>
    <t>RFQ-PLR-087</t>
  </si>
  <si>
    <t>Piggable Wye</t>
  </si>
  <si>
    <t>RFQ-PLR-088</t>
  </si>
  <si>
    <t>Barrel Reducer</t>
  </si>
  <si>
    <t>RFQ-TEL- 089</t>
  </si>
  <si>
    <t>Telecommunication System Bulk Material</t>
  </si>
  <si>
    <t>5-9</t>
  </si>
  <si>
    <t>Telecom-B</t>
  </si>
  <si>
    <t>RFQ-STR-090</t>
  </si>
  <si>
    <t>Jkt Anode</t>
  </si>
  <si>
    <t>5-11</t>
  </si>
  <si>
    <t>RFQ-PIP-093</t>
  </si>
  <si>
    <t>Coat</t>
  </si>
  <si>
    <t>Coating</t>
  </si>
  <si>
    <t>Topside Deck B&amp;P</t>
  </si>
  <si>
    <t>UPO-0031</t>
  </si>
  <si>
    <t>RFQ-PIP-092</t>
  </si>
  <si>
    <t>Corrosion Fittings (Probe, Coupon And Chemical Injection Quill)</t>
  </si>
  <si>
    <t>RFQ-PIP-094</t>
  </si>
  <si>
    <t>Hose And Hose Connector</t>
  </si>
  <si>
    <t>RFQ-PIP-095</t>
  </si>
  <si>
    <t>Strainer</t>
  </si>
  <si>
    <t>RFQ-PIP-096</t>
  </si>
  <si>
    <t>Liquid Trap</t>
  </si>
  <si>
    <t>RFQ-PIP-097</t>
  </si>
  <si>
    <t>G-Clamp</t>
  </si>
  <si>
    <t>RFQ-PIP-098</t>
  </si>
  <si>
    <t>Flame Arrestor</t>
  </si>
  <si>
    <t>RFQ-PIP-099</t>
  </si>
  <si>
    <t>Sight Glass</t>
  </si>
  <si>
    <t>Sightt Glass</t>
  </si>
  <si>
    <t>RFQ-PIP-100</t>
  </si>
  <si>
    <t>Pipe Support</t>
  </si>
  <si>
    <t>Based on Standard Piping Support</t>
  </si>
  <si>
    <t>RFQ-INS-101</t>
  </si>
  <si>
    <t>DP Level Transmitter</t>
  </si>
  <si>
    <t>DP Level Transmiters</t>
  </si>
  <si>
    <t>RFQ-STR-105</t>
  </si>
  <si>
    <t>Primary Seamless Pipe</t>
  </si>
  <si>
    <t>UPO-0005</t>
  </si>
  <si>
    <t>RFQ-STR-106</t>
  </si>
  <si>
    <t xml:space="preserve">Secondary Steel – Seamless Pipe </t>
  </si>
  <si>
    <t>Secondary Steel – Seamless Pipe</t>
  </si>
  <si>
    <t>UPO-0013</t>
  </si>
  <si>
    <t>RFQ-STR-107</t>
  </si>
  <si>
    <t>Secondary Steel – Plate</t>
  </si>
  <si>
    <t>Overdue</t>
  </si>
  <si>
    <t>Planned within 7 days</t>
  </si>
  <si>
    <t>completed</t>
  </si>
  <si>
    <t>Description</t>
  </si>
  <si>
    <t>Delivery
To Site</t>
  </si>
  <si>
    <t>TEST AND PRODUCTION SEPARATOR</t>
  </si>
  <si>
    <t>CHEMICAL INJECTION PUMPS PACKAGE</t>
  </si>
  <si>
    <t>CLOSED DRAIN SUMP PUMP AND RECOVERY WATER PUMP PACKAGE</t>
  </si>
  <si>
    <t>WELLHEAD CONTROL PANEL (WHCP)</t>
  </si>
  <si>
    <t>Primary Steel - Plates for topside</t>
  </si>
  <si>
    <t>Primary Steel – Beam for topside</t>
  </si>
  <si>
    <t>Primary Steel - Plates for jacket</t>
  </si>
  <si>
    <t>Primary Steel - Plates for Pile</t>
  </si>
  <si>
    <t>SS AND DSS PIPE</t>
  </si>
  <si>
    <t>ActivityID</t>
  </si>
  <si>
    <t>Activity Name</t>
  </si>
  <si>
    <t>Planned Duration</t>
  </si>
  <si>
    <t>Start</t>
  </si>
  <si>
    <t>Finish</t>
  </si>
  <si>
    <t>Total Float</t>
  </si>
  <si>
    <t>Calendar</t>
  </si>
  <si>
    <t>DETAILENGINEERINGFORWELLHEADPLATFORMS(WPA01ANDWPA02)(ASKPROJECT)</t>
  </si>
  <si>
    <t>PTTME Office 5dx8h</t>
  </si>
  <si>
    <t>PROJECTMILESTONE</t>
  </si>
  <si>
    <t>MI-1000</t>
  </si>
  <si>
    <t>Project Start, KOM</t>
  </si>
  <si>
    <t>MI-1010</t>
  </si>
  <si>
    <t>P&amp;ID Issue for Review</t>
  </si>
  <si>
    <t>27-Apr-26*</t>
  </si>
  <si>
    <t>MI-1020</t>
  </si>
  <si>
    <t>30% Model Review</t>
  </si>
  <si>
    <t>MI-1030</t>
  </si>
  <si>
    <t>P&amp;ID issue for HAZOP</t>
  </si>
  <si>
    <t>MI-1040</t>
  </si>
  <si>
    <t>HAZID Review Meeting</t>
  </si>
  <si>
    <t>MI-1050</t>
  </si>
  <si>
    <t>HAZOP Review Meeting</t>
  </si>
  <si>
    <t>MI-1060</t>
  </si>
  <si>
    <t>SIL Review Meeting</t>
  </si>
  <si>
    <t>MI-1070</t>
  </si>
  <si>
    <t>Structural - Primary MTO Issue for review</t>
  </si>
  <si>
    <t>26-May-26*</t>
  </si>
  <si>
    <t>MI-1080</t>
  </si>
  <si>
    <t>60% Model Review</t>
  </si>
  <si>
    <t>MI-1090</t>
  </si>
  <si>
    <t>90% Model Review</t>
  </si>
  <si>
    <t>MI-1100</t>
  </si>
  <si>
    <t>Issue all AFC Documents /Drawing</t>
  </si>
  <si>
    <t>MI-1110</t>
  </si>
  <si>
    <t>Design Engineering Compilation</t>
  </si>
  <si>
    <t>GENERALSTUDIES</t>
  </si>
  <si>
    <t>PJ-1000</t>
  </si>
  <si>
    <t>Master Deliverable Register - IFR</t>
  </si>
  <si>
    <t>PJ-1010</t>
  </si>
  <si>
    <t>Master Deliverable Register - AFC</t>
  </si>
  <si>
    <t>PJ-1020</t>
  </si>
  <si>
    <t>Engineering Master Schedule - IFR</t>
  </si>
  <si>
    <t>PJ-1030</t>
  </si>
  <si>
    <t>Engineering Master Schedule - AFC</t>
  </si>
  <si>
    <t>PROCESSANDUTILITIESENGINEERING</t>
  </si>
  <si>
    <t>PR-1000</t>
  </si>
  <si>
    <t>Process Basis of Design - IFR</t>
  </si>
  <si>
    <t>PR-1010</t>
  </si>
  <si>
    <t>Process Basis of Design - IFA</t>
  </si>
  <si>
    <t>PR-1020</t>
  </si>
  <si>
    <t>Process Basis of Design - AFC</t>
  </si>
  <si>
    <t>PR-1090</t>
  </si>
  <si>
    <t>Process Simulation Report - IFR</t>
  </si>
  <si>
    <t>PR-1100</t>
  </si>
  <si>
    <t>Process Simulation Report - AFC</t>
  </si>
  <si>
    <t>PR-1110</t>
  </si>
  <si>
    <t>Utility Balance and Consumption Report - IFR</t>
  </si>
  <si>
    <t>PR-1120</t>
  </si>
  <si>
    <t>Utility Balance and Consumption Report - AFC</t>
  </si>
  <si>
    <t>PR-1130</t>
  </si>
  <si>
    <t>AIV And FIV Study Report - IFR</t>
  </si>
  <si>
    <t>PR-1140</t>
  </si>
  <si>
    <t>AIV And FIV Study Report - AFC</t>
  </si>
  <si>
    <t>PR-1150</t>
  </si>
  <si>
    <t>Depressurization and Low Temperature Study Report - IFR</t>
  </si>
  <si>
    <t>PR-1160</t>
  </si>
  <si>
    <t>Depressurization and Low Temperature Study Report - AFC</t>
  </si>
  <si>
    <t>PR-1170</t>
  </si>
  <si>
    <t>Vent Sizing and Relief Load Report - IFR</t>
  </si>
  <si>
    <t>PR-1180</t>
  </si>
  <si>
    <t>Vent Sizing and Relief Load Report - AFC</t>
  </si>
  <si>
    <t>PR-1190</t>
  </si>
  <si>
    <t>Instrument Gas System Study Report - IFR</t>
  </si>
  <si>
    <t>PR-1200</t>
  </si>
  <si>
    <t>Instrument Gas System Study Report - AFC</t>
  </si>
  <si>
    <t>PR-1201</t>
  </si>
  <si>
    <t>Produced Water Study Report - IFR</t>
  </si>
  <si>
    <t>PR-1202</t>
  </si>
  <si>
    <t>Produced Water Study Report - AFC</t>
  </si>
  <si>
    <t>PR-1210</t>
  </si>
  <si>
    <t>Topside Dynamic Overpressure Protection Study Report - IFR</t>
  </si>
  <si>
    <t>PR-1220</t>
  </si>
  <si>
    <t>Topside Dynamic Overpressure Protection Study Report - AFC</t>
  </si>
  <si>
    <t>PR-1230</t>
  </si>
  <si>
    <t>Process Line List - IFR</t>
  </si>
  <si>
    <t>PR-1240</t>
  </si>
  <si>
    <t>Process Line List - AFC</t>
  </si>
  <si>
    <t>PR-1250</t>
  </si>
  <si>
    <t>ESD Logic Diagram - IFR</t>
  </si>
  <si>
    <t>PR-1260</t>
  </si>
  <si>
    <t>ESD Logic Diagram - AFC</t>
  </si>
  <si>
    <t>PR-1270</t>
  </si>
  <si>
    <t>Operating, Control, Shutdown and Black Start Philosophy - IFR</t>
  </si>
  <si>
    <t>PR-1280</t>
  </si>
  <si>
    <t>Operating, Control, Shutdown and Black Start Philosophy - AFC</t>
  </si>
  <si>
    <t>PR-1290</t>
  </si>
  <si>
    <t>Isolation Philosophy - IFR</t>
  </si>
  <si>
    <t>PR-1300</t>
  </si>
  <si>
    <t>Isolation Philosophy - AFC</t>
  </si>
  <si>
    <t>PR-1310</t>
  </si>
  <si>
    <t>Vent and Drain Philosophy - AFC</t>
  </si>
  <si>
    <t>PR-1320</t>
  </si>
  <si>
    <t>Process Control Narrative - AFC</t>
  </si>
  <si>
    <t>PR-1330</t>
  </si>
  <si>
    <t>Process Flow Diagram (WP01) (1 Sheet) - IFR</t>
  </si>
  <si>
    <t>PR-1340</t>
  </si>
  <si>
    <t>Process Flow Diagram (WP01) (1 Sheet) - IFA</t>
  </si>
  <si>
    <t>PR-1350</t>
  </si>
  <si>
    <t>Process Flow Diagram (WP01) (1 Sheet)  - AFC</t>
  </si>
  <si>
    <t>PR-1360</t>
  </si>
  <si>
    <t>Utility Flow Diagram (WP01) (4 Sheets) - IFR</t>
  </si>
  <si>
    <t>PR-1370</t>
  </si>
  <si>
    <t>Utility Flow Diagram (WP01) (4 Sheets) - IFA</t>
  </si>
  <si>
    <t>PR-1380</t>
  </si>
  <si>
    <t>Utility Flow Diagram (WP01) (4 Sheets) - AFC</t>
  </si>
  <si>
    <t>PR-1390</t>
  </si>
  <si>
    <t>Process Flow Diagram (WP02) (3 Sheets) - IFR</t>
  </si>
  <si>
    <t>PR-1400</t>
  </si>
  <si>
    <t>Process Flow Diagram (WP02) (3 Sheets) - IFA</t>
  </si>
  <si>
    <t>PR-1410</t>
  </si>
  <si>
    <t>Process Flow Diagram (WP02) (3 Sheets)- AFC</t>
  </si>
  <si>
    <t>PR-1420</t>
  </si>
  <si>
    <t>Utility Flow Diagram (WP02) (4 Sheets) - IFR</t>
  </si>
  <si>
    <t>PR-1430</t>
  </si>
  <si>
    <t>Utility Flow Diagram (WP02) (4 Sheets) - IFA</t>
  </si>
  <si>
    <t>PR-1440</t>
  </si>
  <si>
    <t>Utility Flow Diagram (WP02) (4 Sheets) - AFC</t>
  </si>
  <si>
    <t>PR-1450</t>
  </si>
  <si>
    <t>Piping &amp; Instrumentation Diagram (10 Sheets) - IFR</t>
  </si>
  <si>
    <t>PR-1460</t>
  </si>
  <si>
    <t>Piping &amp; Instrumentation Diagram (10 Sheets) - IFA</t>
  </si>
  <si>
    <t>PR-1470</t>
  </si>
  <si>
    <t>Piping &amp; Instrumentation Diagram (10 Sheets) - AFC</t>
  </si>
  <si>
    <t>PR-1480</t>
  </si>
  <si>
    <t>Piping &amp; Instrumentation Diagram (WP01) (19 Sheets) - IFR</t>
  </si>
  <si>
    <t>PR-1490</t>
  </si>
  <si>
    <t>Piping &amp; Instrumentation Diagram (WP01) (19 Sheets) - IFA</t>
  </si>
  <si>
    <t>PR-1500</t>
  </si>
  <si>
    <t>Piping &amp; Instrumentation Diagram (WP01) (19 Sheets) - AFC</t>
  </si>
  <si>
    <t>PR-1510</t>
  </si>
  <si>
    <t>Piping &amp; Instrumentation Diagram (WP02) (10 Sheets) - IFR</t>
  </si>
  <si>
    <t>PR-1520</t>
  </si>
  <si>
    <t>Piping &amp; Instrumentation Diagram (WP02) (26 Sheets) - IFA</t>
  </si>
  <si>
    <t>PR-1530</t>
  </si>
  <si>
    <t>Piping &amp; Instrumentation Diagram (WP02) (26 Sheets) - AFC</t>
  </si>
  <si>
    <t>PR-1540</t>
  </si>
  <si>
    <t>Heat and Material Balance for WP01 - IFR</t>
  </si>
  <si>
    <t>PR-1550</t>
  </si>
  <si>
    <t>Heat and Material Balance for WP01 - AFC</t>
  </si>
  <si>
    <t>PR-1560</t>
  </si>
  <si>
    <t>Heat and Material Balance for WP02 - IFR</t>
  </si>
  <si>
    <t>PR-1570</t>
  </si>
  <si>
    <t>Heat and Material Balance for WP02 - AFC</t>
  </si>
  <si>
    <t>PR-1580</t>
  </si>
  <si>
    <t>Flow Assurance Basis of Design - IFR</t>
  </si>
  <si>
    <t>PR-1590</t>
  </si>
  <si>
    <t>Flow Assurance Basis of Design - IFA</t>
  </si>
  <si>
    <t>PR-1600</t>
  </si>
  <si>
    <t>Flow Assurance Basis of Design - AFC</t>
  </si>
  <si>
    <t>PR-1610</t>
  </si>
  <si>
    <t>Steady State Flow Assurance Study Report - IFR</t>
  </si>
  <si>
    <t>PR-1620</t>
  </si>
  <si>
    <t>Steady State Flow Assurance Study Report - AFC</t>
  </si>
  <si>
    <t>PR-1630</t>
  </si>
  <si>
    <t>Transient Flow Assurance Study Report - IFR</t>
  </si>
  <si>
    <t>PR-1640</t>
  </si>
  <si>
    <t>Transient Flow Assurance Study Report - IFA</t>
  </si>
  <si>
    <t>PR-1650</t>
  </si>
  <si>
    <t>Transient Flow Assurance Study Report - AFC</t>
  </si>
  <si>
    <t>ProcessCalculationNote</t>
  </si>
  <si>
    <t>PR-1660</t>
  </si>
  <si>
    <t>Process Calculation Note for Line Sizing  - IFR</t>
  </si>
  <si>
    <t>PR-1670</t>
  </si>
  <si>
    <t>Process Calculation Note for Line Sizing - AFC</t>
  </si>
  <si>
    <t>PR-1680</t>
  </si>
  <si>
    <t>Process Calculation Note for Test Separator Sizing - IFR</t>
  </si>
  <si>
    <t>PR-1690</t>
  </si>
  <si>
    <t>Process Calculation Note for Test Separator Sizing - AFC</t>
  </si>
  <si>
    <t>PR-1700</t>
  </si>
  <si>
    <t>Process Calculation Note for Production Separator (V-01001) - IFR</t>
  </si>
  <si>
    <t>PR-1710</t>
  </si>
  <si>
    <t>Process Calculation Note for Production Separator (V-01001) - AFC</t>
  </si>
  <si>
    <t>PR-1720</t>
  </si>
  <si>
    <t>Process Calculation Note for Skim Tank Vessel (V-10002) - IFR</t>
  </si>
  <si>
    <t>PR-1730</t>
  </si>
  <si>
    <t>Process Calculation Note for Skim Tank Vessel (V-10002) - AFC</t>
  </si>
  <si>
    <t>PR-1740</t>
  </si>
  <si>
    <t>Process Calculation Note for Degasser - IFR</t>
  </si>
  <si>
    <t>PR-1750</t>
  </si>
  <si>
    <t>Process Calculation Note for Degasser - AFC</t>
  </si>
  <si>
    <t>PR-1760</t>
  </si>
  <si>
    <t>Process Calculation Note for Closed Drain Sump Vessel Sizing (V-05001) - IFR</t>
  </si>
  <si>
    <t>PR-1770</t>
  </si>
  <si>
    <t>Process Calculation Note for Closed Drain Sump Vessel Sizing (V-05001) - AFC</t>
  </si>
  <si>
    <t>PR-1780</t>
  </si>
  <si>
    <t>Process Calculation Note for Closed Drain Sump Pump Sizing (P-05001) - IFR</t>
  </si>
  <si>
    <t>PR-1790</t>
  </si>
  <si>
    <t>Process Calculation Note for Closed Drain Sump Pump Sizing (P-05001) - AFC</t>
  </si>
  <si>
    <t>PR-1800</t>
  </si>
  <si>
    <t>Process Calculation Note for Open Drain Caisson Tank (T-05003) - IFR</t>
  </si>
  <si>
    <t>PR-1810</t>
  </si>
  <si>
    <t>Process Calculation Note for Open Drain Caisson Tank (T-05003) - AFC</t>
  </si>
  <si>
    <t>PR-1820</t>
  </si>
  <si>
    <t>Process Calculation Note for Open Drain Caisson Pump - IFR</t>
  </si>
  <si>
    <t>PR-1830</t>
  </si>
  <si>
    <t>Process Calculation Note for Open Drain Caisson Pump - AFC</t>
  </si>
  <si>
    <t>PR-1840</t>
  </si>
  <si>
    <t>Process Calculation Note for Recovered Water Pump  (P-05002) - IFR</t>
  </si>
  <si>
    <t>PR-1850</t>
  </si>
  <si>
    <t>Process Calculation Note for Recovered Water Pump  (P-05002) - AFC</t>
  </si>
  <si>
    <t>PR-1860</t>
  </si>
  <si>
    <t>Process Calculation Note for Instrument Gas Filter Coalescer and Stand Pipe Sizing - IFR</t>
  </si>
  <si>
    <t>PR-1870</t>
  </si>
  <si>
    <t>Process Calculation Note for Instrument Gas Filter Coalescer and Stand Pipe Sizing - AFC</t>
  </si>
  <si>
    <t>PR-1880</t>
  </si>
  <si>
    <t>Process Calculation Note for Corrosion Inhibitor/Volatile Corrosion Inhibitor Tank and Pump Sizing  - IFR</t>
  </si>
  <si>
    <t>PR-1890</t>
  </si>
  <si>
    <t>Process Calculation Note for Corrosion Inhibitor/Volatile Corrosion Inhibitor Tank and Pump Sizing - AFC</t>
  </si>
  <si>
    <t>PR-1900</t>
  </si>
  <si>
    <t>Process Calculation Note for Demulsifier / Water Clarifier Tank and Pump Sizing - IFR</t>
  </si>
  <si>
    <t>PR-1910</t>
  </si>
  <si>
    <t>Process Calculation Note for Demulsifier / Water Clarifier Tank and Pump Sizing - AFC</t>
  </si>
  <si>
    <t>PR-1920</t>
  </si>
  <si>
    <t>Process Calculation Note for Biocide Tank and Pump Sizing (Provision) - IFR</t>
  </si>
  <si>
    <t>PR-1930</t>
  </si>
  <si>
    <t>Process Calculation Note for Biocide Tank and Pump Sizing (Provision) - AFC</t>
  </si>
  <si>
    <t>PR-1940</t>
  </si>
  <si>
    <t>Process Calculation Note for Diesel Tote Tank, Day Tank and Diesel Transfer Pump - IFR</t>
  </si>
  <si>
    <t>PR-1950</t>
  </si>
  <si>
    <t>Process Calculation Note for Diesel Tote Tank, Day Tank and Diesel Transfer Pump - AFC</t>
  </si>
  <si>
    <t>PR-1960</t>
  </si>
  <si>
    <t>Process Calculation Note for Fresh Water Tote Tank - IFR</t>
  </si>
  <si>
    <t>PR-1970</t>
  </si>
  <si>
    <t>Process Calculation Note for Fresh Water Tote Tank - AFC</t>
  </si>
  <si>
    <t>PR-1980</t>
  </si>
  <si>
    <t>Process Calculation Note for Choke Valve Sizing - IFR</t>
  </si>
  <si>
    <t>PR-1990</t>
  </si>
  <si>
    <t>Process Calculation Note for Choke Valve Sizing - AFC</t>
  </si>
  <si>
    <t>PR-2000</t>
  </si>
  <si>
    <t>Process Calculation Note for Control Valve Sizing - IFR</t>
  </si>
  <si>
    <t>PR-2010</t>
  </si>
  <si>
    <t>Process Calculation Note for Control Valve Sizing - AFC</t>
  </si>
  <si>
    <t>PR-2020</t>
  </si>
  <si>
    <t>Process Calculation Note for RO Sizing - IFR</t>
  </si>
  <si>
    <t>PR-2030</t>
  </si>
  <si>
    <t>Process Calculation Note for RO Sizing - AFC</t>
  </si>
  <si>
    <t>PR-2040</t>
  </si>
  <si>
    <t>Process Calculation Note for PSV Sizing - IFR</t>
  </si>
  <si>
    <t>PR-2050</t>
  </si>
  <si>
    <t>Process Calculation Note for PSV Sizing - AFC</t>
  </si>
  <si>
    <t>PR-2060</t>
  </si>
  <si>
    <t>Process Calculation Note - Depressurization and Blowdown - IFR</t>
  </si>
  <si>
    <t>PR-2070</t>
  </si>
  <si>
    <t>Process Calculation Note - Depressurization and Blowdown - AFC</t>
  </si>
  <si>
    <t>MECHANICALENGINEERING</t>
  </si>
  <si>
    <t>ME-1000</t>
  </si>
  <si>
    <t>Mechanical Basis of Design - IFR</t>
  </si>
  <si>
    <t>ME-1010</t>
  </si>
  <si>
    <t>Mechanical Basis of Design - AFC</t>
  </si>
  <si>
    <t>ME-1020</t>
  </si>
  <si>
    <t>Material Handling Study Reports - IFR</t>
  </si>
  <si>
    <t>ME-1030</t>
  </si>
  <si>
    <t>Material Handling Study Reports - AFC</t>
  </si>
  <si>
    <t>ME-1040</t>
  </si>
  <si>
    <t>WPA01 Mechanical Equipment List - IFR</t>
  </si>
  <si>
    <t>ME-1050</t>
  </si>
  <si>
    <t>WPA01 Mechanical Equipment List - AFC</t>
  </si>
  <si>
    <t>ME-1060</t>
  </si>
  <si>
    <t>WPA02 Mechanical Equipment List - IFR</t>
  </si>
  <si>
    <t>ME-1070</t>
  </si>
  <si>
    <t>WPA02 Mechanical Equipment List - AFC</t>
  </si>
  <si>
    <t>ME-1080</t>
  </si>
  <si>
    <t>Project Particular Specification for Test and Production Separators - IFR</t>
  </si>
  <si>
    <t>ME-1090</t>
  </si>
  <si>
    <t>Project Particular Specification for Test and Production Separators - AFC</t>
  </si>
  <si>
    <t>ME-1100</t>
  </si>
  <si>
    <t>Project Particular Specification for Instrument Gas Filter coalescers - IFR</t>
  </si>
  <si>
    <t>ME-1110</t>
  </si>
  <si>
    <t>Project Particular Specification for Instrument Gas Filter coalescers - AFC</t>
  </si>
  <si>
    <t>ME-1120</t>
  </si>
  <si>
    <t>Project Particular Specification for Storage Tote Tanks - IFR</t>
  </si>
  <si>
    <t>ME-1130</t>
  </si>
  <si>
    <t>Project Particular Specification for Storage Tote Tanks - AFC</t>
  </si>
  <si>
    <t>ME-1140</t>
  </si>
  <si>
    <t>Project Particular Specification for Storage Tanks - IFR</t>
  </si>
  <si>
    <t>ME-1150</t>
  </si>
  <si>
    <t>Project Particular Specification for Storage Tanks - AFC</t>
  </si>
  <si>
    <t>ME-1160</t>
  </si>
  <si>
    <t>Project Particular Specification for Chemical Injection Pumps Package - IFR</t>
  </si>
  <si>
    <t>ME-1170</t>
  </si>
  <si>
    <t>Project Particular Specification for Chemical Injection Pumps Package - AFC</t>
  </si>
  <si>
    <t>ME-1180</t>
  </si>
  <si>
    <t>Project Particular Specification for Diesel Oil Transfer Pump Package - IFR</t>
  </si>
  <si>
    <t>ME-1190</t>
  </si>
  <si>
    <t>Project Particular Specification for Diesel Oil Transfer Pump Package - AFC</t>
  </si>
  <si>
    <t>ME-1200</t>
  </si>
  <si>
    <t>Project Particular Specification for Offshore Pedestal Crane - IFR</t>
  </si>
  <si>
    <t>ME-1210</t>
  </si>
  <si>
    <t>Project Particular Specification for Offshore Pedestal Crane - AFC</t>
  </si>
  <si>
    <t>ME-1220</t>
  </si>
  <si>
    <t>Project Particular Specification for Closed Drain Sump Vessels - IFR</t>
  </si>
  <si>
    <t>ME-1230</t>
  </si>
  <si>
    <t>Project Particular Specification for Closed Drain Sump Vessels - AFC</t>
  </si>
  <si>
    <t>ME-1240</t>
  </si>
  <si>
    <t>Project Particular Specification for Closed Drain Sump and Recovered Water Pump Package - IFR</t>
  </si>
  <si>
    <t>ME-1250</t>
  </si>
  <si>
    <t>Project Particular Specification for Closed Drain Sump and Recovered Water Pump Package - AFC</t>
  </si>
  <si>
    <t>ME-1260</t>
  </si>
  <si>
    <t>Project Particular Specification for Material Handling Equipment - IFR</t>
  </si>
  <si>
    <t>ME-1270</t>
  </si>
  <si>
    <t>Project Particular Specification for Material Handling Equipment - AFC</t>
  </si>
  <si>
    <t>ME-1280</t>
  </si>
  <si>
    <t>Project Particular Specification for Deoiler Hydro cyclone Package - IFR</t>
  </si>
  <si>
    <t>ME-1290</t>
  </si>
  <si>
    <t>Project Particular Specification for Deoiler Hydro cyclone Package - AFC</t>
  </si>
  <si>
    <t>ME-1300</t>
  </si>
  <si>
    <t>Project Particular Specification for Degasser Drum - IFR</t>
  </si>
  <si>
    <t>ME-1310</t>
  </si>
  <si>
    <t>Project Particular Specification for Degasser Drum - AFC</t>
  </si>
  <si>
    <t>ME-1320</t>
  </si>
  <si>
    <t>Project Particular Specification for Skim Tank Vessel - IFR</t>
  </si>
  <si>
    <t>ME-1330</t>
  </si>
  <si>
    <t>Project Particular Specification for Skim Tank Vessel - AFC</t>
  </si>
  <si>
    <t>ME-1340</t>
  </si>
  <si>
    <t>Project Particular Specification for Open Drain Caisson Pump Package - IFR</t>
  </si>
  <si>
    <t>ME-1350</t>
  </si>
  <si>
    <t>Project Particular Specification for Open Drain Caisson Pump Package - AFC</t>
  </si>
  <si>
    <t>ME-2510</t>
  </si>
  <si>
    <t>Criticality Rating Report for Equipment - IFR</t>
  </si>
  <si>
    <t>ME-2520</t>
  </si>
  <si>
    <t>Criticality Rating Report for Equipment - AFC</t>
  </si>
  <si>
    <t>Datasheets-Mechanical</t>
  </si>
  <si>
    <t>ME-1360</t>
  </si>
  <si>
    <t>Mechanical Datasheet for Corrosion Inhibitor Storage Tank  (T-09001) - IFR</t>
  </si>
  <si>
    <t>ME-1370</t>
  </si>
  <si>
    <t>Mechanical Datasheet for Corrosion Inhibitor Storage Tank  (T-09001) - IFA</t>
  </si>
  <si>
    <t>ME-1380</t>
  </si>
  <si>
    <t>Mechanical Datasheet for Corrosion Inhibitor Storage Tank  (T-09001) - AFC</t>
  </si>
  <si>
    <t>ME-1390</t>
  </si>
  <si>
    <t>Mechanical Datasheet for Corrosion Inhibitor Storage Tote Tank (T-09011) - IFR</t>
  </si>
  <si>
    <t>ME-1400</t>
  </si>
  <si>
    <t>Mechanical Datasheet for Corrosion Inhibitor Storage Tote Tank (T-09011) - IFA</t>
  </si>
  <si>
    <t>ME-1410</t>
  </si>
  <si>
    <t>Mechanical Datasheet for Corrosion Inhibitor Storage Tote Tank (T-09011) - AFC</t>
  </si>
  <si>
    <t>ME-1420</t>
  </si>
  <si>
    <t>Mechanical Datasheet for Utility Water Storage Tote Tank (T-07003, T-07013) - IFR</t>
  </si>
  <si>
    <t>ME-1430</t>
  </si>
  <si>
    <t>Mechanical Datasheet for Utility Water Storage Tote Tank (T-07003, T-07013) - IFA</t>
  </si>
  <si>
    <t>ME-1440</t>
  </si>
  <si>
    <t>Mechanical Datasheet for Utility Water Storage Tote Tank (T-07003, T-07013) - AFC</t>
  </si>
  <si>
    <t>ME-1450</t>
  </si>
  <si>
    <t>Mechanical Datasheet for Diesel Storage Tote Tank (T-07001,T-07011) - IFR</t>
  </si>
  <si>
    <t>ME-1460</t>
  </si>
  <si>
    <t>Mechanical Datasheet for Diesel Storage Tote Tank (T-07001,T-07011) - IFA</t>
  </si>
  <si>
    <t>ME-1470</t>
  </si>
  <si>
    <t>Mechanical Datasheet for Diesel Storage Tote Tank (T-07001,T-07011) - AFC</t>
  </si>
  <si>
    <t>ME-1480</t>
  </si>
  <si>
    <t>Mechanical Datasheet for Offshore Pedestal Crane CR-07001 - IFR</t>
  </si>
  <si>
    <t>ME-1490</t>
  </si>
  <si>
    <t>Mechanical Datasheet for Offshore Pedestal Crane CR-07001 - IFA</t>
  </si>
  <si>
    <t>ME-1500</t>
  </si>
  <si>
    <t>Mechanical Datasheet for Offshore Pedestal Crane CR-07001 - AFC</t>
  </si>
  <si>
    <t>ME-1540</t>
  </si>
  <si>
    <t>Mechanical Datasheet for Instrument Gas Filter coalescer (V-03001) - IFR</t>
  </si>
  <si>
    <t>ME-1550</t>
  </si>
  <si>
    <t>Mechanical Datasheet for Instrument Gas Filter coalescer (V-03001) - IFA</t>
  </si>
  <si>
    <t>ME-1560</t>
  </si>
  <si>
    <t>Mechanical Datasheet for Instrument Gas Filter coalescer (V-03001) - AFC</t>
  </si>
  <si>
    <t>ME-1570</t>
  </si>
  <si>
    <t>Mechanical Datasheet for Diesel Transfer Pump Package (Sk-07001) - IFR</t>
  </si>
  <si>
    <t>ME-1580</t>
  </si>
  <si>
    <t>Mechanical Datasheet for Diesel Transfer Pump Package (Sk-07001) - IFA</t>
  </si>
  <si>
    <t>ME-1590</t>
  </si>
  <si>
    <t>Mechanical Datasheet for Diesel Transfer Pump Package (Sk-07001) - AFC</t>
  </si>
  <si>
    <t>ME-1600</t>
  </si>
  <si>
    <t>WPA01 Mechanical Datasheet for Test Separator (V-01001) - IFR</t>
  </si>
  <si>
    <t>ME-1610</t>
  </si>
  <si>
    <t>WPA01 Mechanical Datasheet for Test Separator (V-01001) - IFA</t>
  </si>
  <si>
    <t>ME-1620</t>
  </si>
  <si>
    <t>WPA01 Mechanical Datasheet for Test Separator (V-01001) - AFC</t>
  </si>
  <si>
    <t>ME-1660</t>
  </si>
  <si>
    <t>WPA01 Mechanical Datasheet for Corrosion Inhibitor Injection Pump Package SK-09001 - IFR</t>
  </si>
  <si>
    <t>ME-1670</t>
  </si>
  <si>
    <t>WPA01 Mechanical Datasheet for Corrosion Inhibitor Injection Pump Package SK-09001 - IFA</t>
  </si>
  <si>
    <t>ME-1680</t>
  </si>
  <si>
    <t>WPA01 Mechanical Datasheet for Corrosion Inhibitor Injection Pump Package SK-09001 - AFC</t>
  </si>
  <si>
    <t>ME-1720</t>
  </si>
  <si>
    <t>WPA01 Mechanical Datasheet for Closed Drain Sump Vessel (V-05001) - IFR</t>
  </si>
  <si>
    <t>ME-1730</t>
  </si>
  <si>
    <t>WPA01 Mechanical Datasheet for Closed Drain Sump Vessel (V-05001) - IFA</t>
  </si>
  <si>
    <t>ME-1740</t>
  </si>
  <si>
    <t>WPA01 Mechanical Datasheet for Closed Drain Sump Vessel (V-05001) - AFC</t>
  </si>
  <si>
    <t>ME-1750</t>
  </si>
  <si>
    <t>WPA01 Mechanical Datasheet for Closed Drain Sump Pump (P-05001) - IFR</t>
  </si>
  <si>
    <t>ME-1760</t>
  </si>
  <si>
    <t>WPA01 Mechanical Datasheet for Closed Drain Sump Pump (P-05001) - IFA</t>
  </si>
  <si>
    <t>ME-1770</t>
  </si>
  <si>
    <t>WPA01 Mechanical Datasheet for Closed Drain Sump Pump (P-05001) - AFC</t>
  </si>
  <si>
    <t>ME-1780</t>
  </si>
  <si>
    <t>WPA01 Mechanical Datasheet for Material Handling Equipment - IFR</t>
  </si>
  <si>
    <t>ME-1790</t>
  </si>
  <si>
    <t>WPA01 Mechanical Datasheet for Material Handling Equipment - IFA</t>
  </si>
  <si>
    <t>ME-1800</t>
  </si>
  <si>
    <t>WPA01 Mechanical Datasheet for Material Handling Equipment - AFC</t>
  </si>
  <si>
    <t>ME-1810</t>
  </si>
  <si>
    <t>WPA02 Mechanical Datasheet for Test Separator (V-01001) - IFR</t>
  </si>
  <si>
    <t>ME-1820</t>
  </si>
  <si>
    <t>WPA02 Mechanical Datasheet for Test Separator (V-01001) - IFA</t>
  </si>
  <si>
    <t>ME-1830</t>
  </si>
  <si>
    <t>WPA02 Mechanical Datasheet for Test Separator (V-01001) - AFC</t>
  </si>
  <si>
    <t>ME-1840</t>
  </si>
  <si>
    <t>WPA02 Mechanical Datasheet for Production Separator (V-10001) - IFR</t>
  </si>
  <si>
    <t>ME-1850</t>
  </si>
  <si>
    <t>WPA02 Mechanical Datasheet for Production Separator (V-10001) - IFA</t>
  </si>
  <si>
    <t>ME-1860</t>
  </si>
  <si>
    <t>WPA02 Mechanical Datasheet for Production Separator (V-10001) - AFC</t>
  </si>
  <si>
    <t>ME-1900</t>
  </si>
  <si>
    <t>WPA02 Mechanical Datasheet for De-mulsifier / Water Clarifier Storage Tank (T-09003) - IFR</t>
  </si>
  <si>
    <t>ME-1910</t>
  </si>
  <si>
    <t>WPA02 Mechanical Datasheet for De-mulsifier / Water Clarifier Storage Tank (T-09003) - IFA</t>
  </si>
  <si>
    <t>ME-1920</t>
  </si>
  <si>
    <t>WPA02 Mechanical Datasheet for De-mulsifier / Water Clarifier Storage Tank (T-09003) - AFC</t>
  </si>
  <si>
    <t>ME-1930</t>
  </si>
  <si>
    <t>WPA02 Mechanical Datasheet for De-mulsifier / Water Clarifier Storage Tote Tank (T-09013) - IFR</t>
  </si>
  <si>
    <t>ME-1940</t>
  </si>
  <si>
    <t>WPA02 Mechanical Datasheet for De-mulsifier / Water Clarifier Storage Tote Tank (T-09013) - IFA</t>
  </si>
  <si>
    <t>ME-1950</t>
  </si>
  <si>
    <t>WPA02 Mechanical Datasheet for De-mulsifier / Water Clarifier Storage Tote Tank (T-09013) - AFC</t>
  </si>
  <si>
    <t>ME-1960</t>
  </si>
  <si>
    <t>WPA02 Mechanical Datasheet for Chemical Injection Pumps Package SK-09001 - IFR</t>
  </si>
  <si>
    <t>ME-1970</t>
  </si>
  <si>
    <t>WPA02 Mechanical Datasheet for Chemical Injection Pumps Package SK-09001 - IFA</t>
  </si>
  <si>
    <t>ME-1980</t>
  </si>
  <si>
    <t>WPA02 Mechanical Datasheet for Chemical Injection Pumps Package SK-09001 - AFC</t>
  </si>
  <si>
    <t>ME-2020</t>
  </si>
  <si>
    <t>WPA02 Mechanical Datasheet for Closed Drain Sump Vessel (V-05001) - IFR</t>
  </si>
  <si>
    <t>ME-2030</t>
  </si>
  <si>
    <t>WPA02 Mechanical Datasheet for Closed Drain Sump Vessel (V-05001) - IFA</t>
  </si>
  <si>
    <t>ME-2040</t>
  </si>
  <si>
    <t>WPA02 Mechanical Datasheet for Closed Drain Sump Vessel (V-05001) - AFC</t>
  </si>
  <si>
    <t>ME-2050</t>
  </si>
  <si>
    <t>WPA02 Mechanical Datasheet for Closed Drain Sump Pump and Recovery Water Pump (SK-05001) - IFR</t>
  </si>
  <si>
    <t>ME-2060</t>
  </si>
  <si>
    <t>WPA02 Mechanical Datasheet for Closed Drain Sump Pump and Recovery Water Pump (SK-05001) - IFA</t>
  </si>
  <si>
    <t>ME-2070</t>
  </si>
  <si>
    <t>WPA02 Mechanical Datasheet for Closed Drain Sump Pump and Recovery Water Pump (SK-05001) - AFC</t>
  </si>
  <si>
    <t>ME-2080</t>
  </si>
  <si>
    <t>WPA02 Mechanical Datasheet for Material Handling Equipment - IFR</t>
  </si>
  <si>
    <t>ME-2090</t>
  </si>
  <si>
    <t>WPA02 Mechanical Datasheet for Material Handling Equipment - IFA</t>
  </si>
  <si>
    <t>ME-2100</t>
  </si>
  <si>
    <t>WPA02 Mechanical Datasheet for Material Handling Equipment - AFC</t>
  </si>
  <si>
    <t>ME-2110</t>
  </si>
  <si>
    <t>WPA02 Mechanical Datasheet for Skim Tank Vessel (V-10002) - IFR</t>
  </si>
  <si>
    <t>ME-2120</t>
  </si>
  <si>
    <t>WPA02 Mechanical Datasheet for Skim Tank Vessel (V-10002) - IFA</t>
  </si>
  <si>
    <t>ME-2130</t>
  </si>
  <si>
    <t>WPA02 Mechanical Datasheet for Skim Tank Vessel (V-10002) - AFC</t>
  </si>
  <si>
    <t>ME-2140</t>
  </si>
  <si>
    <t>WPA02 Mechanical Datasheet for Deoiler Hydro cyclone Package (SK-11001) - IFR</t>
  </si>
  <si>
    <t>ME-2150</t>
  </si>
  <si>
    <t>WPA02 Mechanical Datasheet for Deoiler Hydro cyclone Package (SK-11001) - IFA</t>
  </si>
  <si>
    <t>ME-2160</t>
  </si>
  <si>
    <t>WPA02 Mechanical Datasheet for Deoiler Hydro cyclone Package (SK-11001) - AFC</t>
  </si>
  <si>
    <t>ME-2170</t>
  </si>
  <si>
    <t>WPA02 Mechanical Datasheet for Degasser Drum (V-11003) - IFR</t>
  </si>
  <si>
    <t>ME-2180</t>
  </si>
  <si>
    <t>WPA02 Mechanical Datasheet for Degasser Drum (V-11003) - IFA</t>
  </si>
  <si>
    <t>ME-2190</t>
  </si>
  <si>
    <t>WPA02 Mechanical Datasheet for Degasser Drum (V-11003) - AFC</t>
  </si>
  <si>
    <t>ME-2200</t>
  </si>
  <si>
    <t>WPA02 Mechanical Datasheet for Open Drain Caisson Pump Package SK-05003) - IFR</t>
  </si>
  <si>
    <t>ME-2210</t>
  </si>
  <si>
    <t>WPA02 Mechanical Datasheet for Open Drain Caisson Pump Package SK-05003) - IFA</t>
  </si>
  <si>
    <t>ME-2220</t>
  </si>
  <si>
    <t>WPA02 Mechanical Datasheet for Open Drain Caisson Pump Package SK-05003) - AFC</t>
  </si>
  <si>
    <t>MR-Mechanical</t>
  </si>
  <si>
    <t>ME-2230</t>
  </si>
  <si>
    <t>Material Requisition for Test and Production Separator - IFR</t>
  </si>
  <si>
    <t>ME-2240</t>
  </si>
  <si>
    <t>Material Requisition for Test and Production Separator - AFC</t>
  </si>
  <si>
    <t>ME-2250</t>
  </si>
  <si>
    <t>Material Requisition for Instrument Gas Filter coalescer - IFR</t>
  </si>
  <si>
    <t>ME-2260</t>
  </si>
  <si>
    <t>Material Requisition for Instrument Gas Filter coalescer - AFC</t>
  </si>
  <si>
    <t>ME-2270</t>
  </si>
  <si>
    <t>Material Requisition for Storage Tote Tanks - IFR</t>
  </si>
  <si>
    <t>ME-2280</t>
  </si>
  <si>
    <t>Material Requisition for Storage Tote Tanks - AFC</t>
  </si>
  <si>
    <t>ME-2290</t>
  </si>
  <si>
    <t>Material Requisition for Storage Tanks - IFR</t>
  </si>
  <si>
    <t>ME-2300</t>
  </si>
  <si>
    <t>Material Requisition for Storage Tanks - AFC</t>
  </si>
  <si>
    <t>ME-2310</t>
  </si>
  <si>
    <t>Material Requisition for Chemical Injection Pumps Package - IFR</t>
  </si>
  <si>
    <t>ME-2320</t>
  </si>
  <si>
    <t>Material Requisition for Chemical Injection Pumps Package - AFC</t>
  </si>
  <si>
    <t>ME-2330</t>
  </si>
  <si>
    <t>Material Requisition for Diesel Oil Transfer Pump Package - IFR</t>
  </si>
  <si>
    <t>ME-2340</t>
  </si>
  <si>
    <t>Material Requisition for Diesel Oil Transfer Pump Package - AFC</t>
  </si>
  <si>
    <t>ME-2350</t>
  </si>
  <si>
    <t>Material Requisition for Offshore Pedestal Crane - IFR</t>
  </si>
  <si>
    <t>ME-2360</t>
  </si>
  <si>
    <t>Material Requisition for Offshore Pedestal Crane - AFC</t>
  </si>
  <si>
    <t>ME-2370</t>
  </si>
  <si>
    <t>Material Requisition for Closed Drain Sump Vessel - IFR</t>
  </si>
  <si>
    <t>ME-2380</t>
  </si>
  <si>
    <t>Material Requisition for Closed Drain Sump Vessel - AFC</t>
  </si>
  <si>
    <t>ME-2390</t>
  </si>
  <si>
    <t>Material Requisition for Closed Drain Sump Pump and Recovery Water Pump Package - IFR</t>
  </si>
  <si>
    <t>ME-2400</t>
  </si>
  <si>
    <t>Material Requisition for Closed Drain Sump Pump and Recovery Water Pump Package - AFC</t>
  </si>
  <si>
    <t>ME-2410</t>
  </si>
  <si>
    <t>Material Requisition for Material Handling Equipment - IFR</t>
  </si>
  <si>
    <t>ME-2420</t>
  </si>
  <si>
    <t>Material Requisition for Material Handling Equipment - AFC</t>
  </si>
  <si>
    <t>ME-2430</t>
  </si>
  <si>
    <t>Material Requisition for Deoiler Hydro cyclone Package - IFR</t>
  </si>
  <si>
    <t>ME-2440</t>
  </si>
  <si>
    <t>Material Requisition for Deoiler Hydro cyclone Package - AFC</t>
  </si>
  <si>
    <t>ME-2450</t>
  </si>
  <si>
    <t>Material Requisition for Degasser Drum - IFR</t>
  </si>
  <si>
    <t>ME-2460</t>
  </si>
  <si>
    <t>Material Requisition for Degasser Drum - AFC</t>
  </si>
  <si>
    <t>ME-2470</t>
  </si>
  <si>
    <t>Material Requisition for Skim Tank Vessel - IFR</t>
  </si>
  <si>
    <t>ME-2480</t>
  </si>
  <si>
    <t>Material Requisition for Skim Tank Vessel - AFC</t>
  </si>
  <si>
    <t>ME-2490</t>
  </si>
  <si>
    <t>Material Requisition for Open Drain Caisson Pump - IFR</t>
  </si>
  <si>
    <t>ME-2500</t>
  </si>
  <si>
    <t>Material Requisition for Open Drain Caisson Pump - AFC</t>
  </si>
  <si>
    <t>TBE-Mechanical</t>
  </si>
  <si>
    <t>ME-2530</t>
  </si>
  <si>
    <t>Technical Bid Evaluation for Test and Production Separator - IFR</t>
  </si>
  <si>
    <t>ME-2540</t>
  </si>
  <si>
    <t>Technical Bid Evaluation for Test and Production Separator - AFC</t>
  </si>
  <si>
    <t>ME-2550</t>
  </si>
  <si>
    <t>Technical Bid Evaluation for Instrument Gas Filter coalescer - IFR</t>
  </si>
  <si>
    <t>ME-2560</t>
  </si>
  <si>
    <t>Technical Bid Evaluation for Instrument Gas Filter coalescer - AFC</t>
  </si>
  <si>
    <t>ME-2570</t>
  </si>
  <si>
    <t>Technical Bid Evaluation for Storage Tote Tanks - IFR</t>
  </si>
  <si>
    <t>ME-2580</t>
  </si>
  <si>
    <t>Technical Bid Evaluation for Storage Tote Tanks - AFC</t>
  </si>
  <si>
    <t>ME-2590</t>
  </si>
  <si>
    <t>Technical Bid Evaluation for Storage Tanks - IFR</t>
  </si>
  <si>
    <t>ME-2600</t>
  </si>
  <si>
    <t>Technical Bid Evaluation for Storage Tanks - AFC</t>
  </si>
  <si>
    <t>ME-2610</t>
  </si>
  <si>
    <t>Technical Bid Evaluation for Chemical Injection Pumps Package - IFR</t>
  </si>
  <si>
    <t>ME-2620</t>
  </si>
  <si>
    <t>Technical Bid Evaluation for Chemical Injection Pumps Package - AFC</t>
  </si>
  <si>
    <t>ME-2630</t>
  </si>
  <si>
    <t>Technical Bid Evaluation for Diesel Oil Transfer Pump Package - IFR</t>
  </si>
  <si>
    <t>ME-2640</t>
  </si>
  <si>
    <t>Technical Bid Evaluation for Diesel Oil Transfer Pump Package - AFC</t>
  </si>
  <si>
    <t>ME-2650</t>
  </si>
  <si>
    <t>Technical Bid Evaluation for Offshore Pedestal Crane - IFR</t>
  </si>
  <si>
    <t>ME-2660</t>
  </si>
  <si>
    <t>Technical Bid Evaluation for Offshore Pedestal Crane - AFC</t>
  </si>
  <si>
    <t>ME-2670</t>
  </si>
  <si>
    <t>Technical Bid Evaluation for Closed Drain Sump Vessel - IFR</t>
  </si>
  <si>
    <t>ME-2680</t>
  </si>
  <si>
    <t>Technical Bid Evaluation for Closed Drain Sump Vessel - AFC</t>
  </si>
  <si>
    <t>ME-2690</t>
  </si>
  <si>
    <t>Technical Bid Evaluation for Closed Drain Sump Pump and Recovery Water Pump Package - IFR</t>
  </si>
  <si>
    <t>ME-2700</t>
  </si>
  <si>
    <t>Technical Bid Evaluation for Closed Drain Sump Pump and Recovery Water Pump Package - AFC</t>
  </si>
  <si>
    <t>ME-2710</t>
  </si>
  <si>
    <t>Technical Bid Evaluation for Material Handling Equipment - IFR</t>
  </si>
  <si>
    <t>ME-2720</t>
  </si>
  <si>
    <t>Technical Bid Evaluation for Material Handling Equipment - AFC</t>
  </si>
  <si>
    <t>ME-2730</t>
  </si>
  <si>
    <t>Technical Bid Evaluation for Deoiler Hydro cyclone Package - IFR</t>
  </si>
  <si>
    <t>ME-2740</t>
  </si>
  <si>
    <t>Technical Bid Evaluation for Deoiler Hydro cyclone Package - AFC</t>
  </si>
  <si>
    <t>ME-2750</t>
  </si>
  <si>
    <t>Technical Bid Evaluation for Degasser Drum - IFR</t>
  </si>
  <si>
    <t>ME-2760</t>
  </si>
  <si>
    <t>Technical Bid Evaluation for Degasser Drum - AFC</t>
  </si>
  <si>
    <t>ME-2770</t>
  </si>
  <si>
    <t>Technical Bid Evaluation for Skim Tank Vessel - IFR</t>
  </si>
  <si>
    <t>ME-2780</t>
  </si>
  <si>
    <t>Technical Bid Evaluation for Skim Tank Vessel - AFC</t>
  </si>
  <si>
    <t>ME-2790</t>
  </si>
  <si>
    <t>Technical Bid Evaluation for Open Drain Caisson Pump - IFR</t>
  </si>
  <si>
    <t>ME-2800</t>
  </si>
  <si>
    <t>Technical Bid Evaluation for Open Drain Caisson Pump - AFC</t>
  </si>
  <si>
    <t>PIPINGENGINEERING</t>
  </si>
  <si>
    <t>PI-1000</t>
  </si>
  <si>
    <t>Piping Basis of Design (offshore) - IFR</t>
  </si>
  <si>
    <t>PI-1010</t>
  </si>
  <si>
    <t>Piping Basis of Design (offshore) - AFC</t>
  </si>
  <si>
    <t>PI-1020</t>
  </si>
  <si>
    <t>Piping Stress Basis of Design - IFR</t>
  </si>
  <si>
    <t>PI-1030</t>
  </si>
  <si>
    <t>Piping Stress Basis of Design - AFC</t>
  </si>
  <si>
    <t>PI-1040</t>
  </si>
  <si>
    <t>3D Model Review Report 30% - IFR</t>
  </si>
  <si>
    <t>PI-1050</t>
  </si>
  <si>
    <t>3D Model Review Report 30% - AFC</t>
  </si>
  <si>
    <t>PI-1060</t>
  </si>
  <si>
    <t>3D Model Review Report 60% - IFR</t>
  </si>
  <si>
    <t>PI-1070</t>
  </si>
  <si>
    <t>3D Model Review Report 60% - AFC</t>
  </si>
  <si>
    <t>PI-1080</t>
  </si>
  <si>
    <t>3D Model Review &amp; Clash Check Reports (90% and Final 3D Model) - IFR</t>
  </si>
  <si>
    <t>PI-1090</t>
  </si>
  <si>
    <t>3D Model Review &amp; Clash Check Reports (90% and Final 3D Model) - AFC</t>
  </si>
  <si>
    <t>PI-1100</t>
  </si>
  <si>
    <t>30% 3D Modeling</t>
  </si>
  <si>
    <t>PI-1110</t>
  </si>
  <si>
    <t>60%3D Modeling</t>
  </si>
  <si>
    <t>PI-1120</t>
  </si>
  <si>
    <t>90%3D Modeling</t>
  </si>
  <si>
    <t>PI-1130</t>
  </si>
  <si>
    <t>Drilling Rig Clash Check Report : WPA01 and WPA02 - IFR</t>
  </si>
  <si>
    <t>PI-1140</t>
  </si>
  <si>
    <t>Drilling Rig Clash Check Report : WPA01 and WPA02 - AFC</t>
  </si>
  <si>
    <t>PI-1150</t>
  </si>
  <si>
    <t>Criticality Rating Report for Piping - IFR</t>
  </si>
  <si>
    <t>PI-1160</t>
  </si>
  <si>
    <t>Criticality Rating Report for Piping - AFC</t>
  </si>
  <si>
    <t>PI-1170</t>
  </si>
  <si>
    <t>Piping Material Specification - IFR</t>
  </si>
  <si>
    <t>PI-1180</t>
  </si>
  <si>
    <t>Piping Material Specification - AFC</t>
  </si>
  <si>
    <t>PI-1190</t>
  </si>
  <si>
    <t>Piping Design Standard - IFR</t>
  </si>
  <si>
    <t>PI-1200</t>
  </si>
  <si>
    <t>Piping Design Standard - AFC</t>
  </si>
  <si>
    <t>PI-1210</t>
  </si>
  <si>
    <t>Pipe Support Standard - IFR</t>
  </si>
  <si>
    <t>PI-1220</t>
  </si>
  <si>
    <t>Pipe Support Standard - AFC</t>
  </si>
  <si>
    <t>PI-1230</t>
  </si>
  <si>
    <t>Piping Stress Critical Line List - IFR</t>
  </si>
  <si>
    <t>PI-1235</t>
  </si>
  <si>
    <t>Piping Stress Critical Line List - IFA</t>
  </si>
  <si>
    <t>PI-1240</t>
  </si>
  <si>
    <t>Piping Stress Critical Line List - AFC</t>
  </si>
  <si>
    <t>PI-1250</t>
  </si>
  <si>
    <t>Piping Specialty Item List - IFR</t>
  </si>
  <si>
    <t>PI-1255</t>
  </si>
  <si>
    <t>Piping Specialty Item List - IFA</t>
  </si>
  <si>
    <t>PI-1260</t>
  </si>
  <si>
    <t>Piping Specialty Item List - AFC</t>
  </si>
  <si>
    <t>PI-1270</t>
  </si>
  <si>
    <t>WPA01 Equipment Layout Drawing (6 Sheets) - IFR</t>
  </si>
  <si>
    <t>PI-1280</t>
  </si>
  <si>
    <t>WPA01 Equipment Layout Drawing (6 Sheets) - IFA</t>
  </si>
  <si>
    <t>PI-1290</t>
  </si>
  <si>
    <t>WPA01 Equipment Layout Drawing (6 Sheets) - AFC</t>
  </si>
  <si>
    <t>PI-1300</t>
  </si>
  <si>
    <t>WPA01 Equipment Layout Elevation Looking (4 Sheets) - IFR</t>
  </si>
  <si>
    <t>PI-1310</t>
  </si>
  <si>
    <t>WPA01 Equipment Layout Elevation Looking (4 Sheets) - IFA</t>
  </si>
  <si>
    <t>PI-1320</t>
  </si>
  <si>
    <t>WPA01 Equipment Layout Elevation Looking (4 Sheets) - AFC</t>
  </si>
  <si>
    <t>PI-1330</t>
  </si>
  <si>
    <t>WPA01 Drilling And Well Service Equipment Layout (5 Sheets) - IFR</t>
  </si>
  <si>
    <t>PI-1340</t>
  </si>
  <si>
    <t>WPA01 Drilling And Well Service Equipment Layout (5 Sheets) - IFA</t>
  </si>
  <si>
    <t>PI-1350</t>
  </si>
  <si>
    <t>WPA01 Drilling And Well Service Equipment Layout (5 Sheets) - AFC</t>
  </si>
  <si>
    <t>PI-1360</t>
  </si>
  <si>
    <t>WPA02 Equipment Layout Drawing (6 Sheets) - IFR</t>
  </si>
  <si>
    <t>PI-1370</t>
  </si>
  <si>
    <t>WPA02 Equipment Layout Drawing (6 Sheets) - IFA</t>
  </si>
  <si>
    <t>PI-1380</t>
  </si>
  <si>
    <t>WPA02 Equipment Layout Drawing (6 Sheets) - AFC</t>
  </si>
  <si>
    <t>PI-1390</t>
  </si>
  <si>
    <t>WPA02 Equipment Layout Elevation Looking (4 Sheets) - IFR</t>
  </si>
  <si>
    <t>PI-1400</t>
  </si>
  <si>
    <t>WPA02 Equipment Layout Elevation Looking (4 Sheets) - IFA</t>
  </si>
  <si>
    <t>PI-1410</t>
  </si>
  <si>
    <t>WPA02 Equipment Layout Elevation Looking (4 Sheets) - AFC</t>
  </si>
  <si>
    <t>PI-1420</t>
  </si>
  <si>
    <t>WPA02 Drilling And Well Service Equipment Layout (5 Sheets) - IFR</t>
  </si>
  <si>
    <t>PI-1430</t>
  </si>
  <si>
    <t>WPA02 Drilling And Well Service Equipment Layout (5 Sheets) - IFA</t>
  </si>
  <si>
    <t>PI-1440</t>
  </si>
  <si>
    <t>WPA02 Drilling And Well Service Equipment Layout (5 Sheets) - AFC</t>
  </si>
  <si>
    <t>PI-1450</t>
  </si>
  <si>
    <t>WPA01 Piping General Arrangement and Support Location Plan (27 Sheets) - IFR</t>
  </si>
  <si>
    <t>PI-1460</t>
  </si>
  <si>
    <t>WPA01 Piping General Arrangement and Support Location Plan (27 Sheets) - AFC</t>
  </si>
  <si>
    <t>PI-1470</t>
  </si>
  <si>
    <t>WPA02 Piping General Arrangement and Support Location Plan (27 Sheets) - IFR</t>
  </si>
  <si>
    <t>PI-1480</t>
  </si>
  <si>
    <t>WPA02 Piping General Arrangement and Support Location Plan (27 Sheets) - AFC</t>
  </si>
  <si>
    <t>PI-1490</t>
  </si>
  <si>
    <t>Piping Wall Thickness Calculation - IFR</t>
  </si>
  <si>
    <t>PI-1500</t>
  </si>
  <si>
    <t>Piping Wall Thickness Calculation - AFC</t>
  </si>
  <si>
    <t>PI-1510</t>
  </si>
  <si>
    <t>Small Bore Connection Assessment - IFR</t>
  </si>
  <si>
    <t>PI-1520</t>
  </si>
  <si>
    <t>Small Bore Connection Assessment - AFC</t>
  </si>
  <si>
    <t>PI-1530</t>
  </si>
  <si>
    <t>WPA01 Piping Stress Analysis Report (Flowline) - IFR</t>
  </si>
  <si>
    <t>PI-1540</t>
  </si>
  <si>
    <t>WPA01 Piping Stress Analysis Report (Flowline) - AFC</t>
  </si>
  <si>
    <t>PI-1550</t>
  </si>
  <si>
    <t>WPA01 Piping Stress Analysis Report (PIG Launcher/Receiver) - IFR</t>
  </si>
  <si>
    <t>PI-1560</t>
  </si>
  <si>
    <t>WPA01 Piping Stress Analysis Report (PIG Launcher/Receiver) - AFC</t>
  </si>
  <si>
    <t>PI-1570</t>
  </si>
  <si>
    <t>WPA01 Piping Stress Analysis Report (Other GC lines, IG lines, and HP vent) - IFR</t>
  </si>
  <si>
    <t>PI-1580</t>
  </si>
  <si>
    <t>WPA01 Piping Stress Analysis Report (Other GC lines, IG lines, and HP vent) - AFC</t>
  </si>
  <si>
    <t>PI-1590</t>
  </si>
  <si>
    <t>WPA01 Piping Stress Analysis Report  (LP vent and DP lines level 2) - IFR</t>
  </si>
  <si>
    <t>PI-1600</t>
  </si>
  <si>
    <t>WPA01 Piping Stress Analysis Report  (LP vent and DP lines level 2) - AFC</t>
  </si>
  <si>
    <t>PI-1610</t>
  </si>
  <si>
    <t>WPA01 Piping Stress Analysis Report (Future Booster Compressor Package) - IFR</t>
  </si>
  <si>
    <t>PI-1620</t>
  </si>
  <si>
    <t>WPA01 Piping Stress Analysis Report (Future Booster Compressor Package) - AFC</t>
  </si>
  <si>
    <t>PI-1630</t>
  </si>
  <si>
    <t>WPA02 Piping Stress Analysis Report (Flowline) - IFR</t>
  </si>
  <si>
    <t>PI-1640</t>
  </si>
  <si>
    <t>WPA02 Piping Stress Analysis Report (Flowline) - AFC</t>
  </si>
  <si>
    <t>PI-1650</t>
  </si>
  <si>
    <t>WPA02 Piping Stress Analysis Report (PIG Launcher/Receiver) - IFR</t>
  </si>
  <si>
    <t>PI-1660</t>
  </si>
  <si>
    <t>WPA02 Piping Stress Analysis Report (PIG Launcher/Receiver) - AFC</t>
  </si>
  <si>
    <t>PI-1670</t>
  </si>
  <si>
    <t>WPA02 Piping Stress Analysis Report (Other GC lines, IG lines, and HP vent) - IFR</t>
  </si>
  <si>
    <t>PI-1680</t>
  </si>
  <si>
    <t>WPA02 Piping Stress Analysis Report (Other GC lines, IG lines, and HP vent) - AFC</t>
  </si>
  <si>
    <t>PI-1690</t>
  </si>
  <si>
    <t>WPA02 Piping Stress Analysis Report  (LP vent and DP lines level 2) - IFR</t>
  </si>
  <si>
    <t>PI-1700</t>
  </si>
  <si>
    <t>WPA02 Piping Stress Analysis Report  (LP vent and DP lines level 2) - AFC</t>
  </si>
  <si>
    <t>PI-1710</t>
  </si>
  <si>
    <t>WPA02 Piping Stress Analysis Report required for any other lines as specific in the Piping StressCritical LL - IFR</t>
  </si>
  <si>
    <t>PI-1720</t>
  </si>
  <si>
    <t>WPA02 Piping Stress Analysis Report required for any other lines as specific in the Piping Stress Critical LL - AFC</t>
  </si>
  <si>
    <t>PI-1730</t>
  </si>
  <si>
    <t>Material Take-Off for Manual Valves WP01 - IFR</t>
  </si>
  <si>
    <t>PI-1740</t>
  </si>
  <si>
    <t>Material Take-Off for Manual Valves WP01 - IFA</t>
  </si>
  <si>
    <t>PI-1750</t>
  </si>
  <si>
    <t>Material Take-Off for Manual Valves WP01 - AFC</t>
  </si>
  <si>
    <t>PI-1760</t>
  </si>
  <si>
    <t>Material Take-Off for Piping Bulk WP01 - IFR</t>
  </si>
  <si>
    <t>PI-1770</t>
  </si>
  <si>
    <t>Material Take-Off for Piping Bulk WP01 - IFA</t>
  </si>
  <si>
    <t>PI-1780</t>
  </si>
  <si>
    <t>Material Take-Off for Piping Bulk WP01 - AFC</t>
  </si>
  <si>
    <t>PI-1790</t>
  </si>
  <si>
    <t>Material Take-Off for Manual Valves WP02 - IFR</t>
  </si>
  <si>
    <t>PI-1800</t>
  </si>
  <si>
    <t>Material Take-Off for Manual Valves WP02 - IFA</t>
  </si>
  <si>
    <t>PI-1810</t>
  </si>
  <si>
    <t>Material Take-Off for Manual Valves WP02 - AFC</t>
  </si>
  <si>
    <t>PI-1820</t>
  </si>
  <si>
    <t>Material Take-Off for Piping Bulk WP02 - IFR</t>
  </si>
  <si>
    <t>PI-1830</t>
  </si>
  <si>
    <t>Material Take-Off for Piping Bulk WP02 - IFA</t>
  </si>
  <si>
    <t>PI-1840</t>
  </si>
  <si>
    <t>Material Take-Off for Piping Bulk WP02 - AFC</t>
  </si>
  <si>
    <t>PI-3010</t>
  </si>
  <si>
    <t>WPA01 Piping Isometric Drawings - IFR</t>
  </si>
  <si>
    <t>PI-3020</t>
  </si>
  <si>
    <t>WPA01 Piping Isometric Drawings - AFC</t>
  </si>
  <si>
    <t>PI-3030</t>
  </si>
  <si>
    <t>WPA01 Piping Support List - IFR</t>
  </si>
  <si>
    <t>PI-3040</t>
  </si>
  <si>
    <t>WPA01 Piping Support List - AFC</t>
  </si>
  <si>
    <t>PI-3050</t>
  </si>
  <si>
    <t>WPA01 Piping Shiploose List - IFR</t>
  </si>
  <si>
    <t>PI-3060</t>
  </si>
  <si>
    <t>WPA01 Piping Shiploose List - AFC</t>
  </si>
  <si>
    <t>PI-3070</t>
  </si>
  <si>
    <t>WPA01 Piping Support Arrangement Drawings - IFR</t>
  </si>
  <si>
    <t>PI-3080</t>
  </si>
  <si>
    <t>WPA01 Piping Support Arrangement Drawings - AFC</t>
  </si>
  <si>
    <t>PI-3090</t>
  </si>
  <si>
    <t>WPA01 Special Pipe Support Drawings - IFR</t>
  </si>
  <si>
    <t>PI-3100</t>
  </si>
  <si>
    <t>WPA01 Special Pipe Support Drawings - AFC</t>
  </si>
  <si>
    <t>PI-4000</t>
  </si>
  <si>
    <t>WPA02 Piping Isometric Drawings - IFR</t>
  </si>
  <si>
    <t>PI-4001</t>
  </si>
  <si>
    <t>WPA02 Piping Isometric Drawings - AFC</t>
  </si>
  <si>
    <t>PI-4002</t>
  </si>
  <si>
    <t>WPA02 Piping Support List - IFR</t>
  </si>
  <si>
    <t>PI-4003</t>
  </si>
  <si>
    <t>WPA02 Piping Support List - AFC</t>
  </si>
  <si>
    <t>PI-4004</t>
  </si>
  <si>
    <t>WPA02 Piping Shiploose List - IFR</t>
  </si>
  <si>
    <t>PI-4005</t>
  </si>
  <si>
    <t>WPA02 Piping Shiploose List - AFC</t>
  </si>
  <si>
    <t>PI-4006</t>
  </si>
  <si>
    <t>WPA02 Piping Support Arrangement Drawings - IFR</t>
  </si>
  <si>
    <t>PI-4007</t>
  </si>
  <si>
    <t>WPA02 Piping Support Arrangement Drawings - AFC</t>
  </si>
  <si>
    <t>PI-4008</t>
  </si>
  <si>
    <t>WPA02 Special Pipe Support Drawings - IFR</t>
  </si>
  <si>
    <t>PI-4009</t>
  </si>
  <si>
    <t>WPA02 Special Pipe Support Drawings - AFC</t>
  </si>
  <si>
    <t>Datasheets-Piping</t>
  </si>
  <si>
    <t>PI-1850</t>
  </si>
  <si>
    <t>Datasheet for Manual Valves - IFR</t>
  </si>
  <si>
    <t>PI-1860</t>
  </si>
  <si>
    <t>Datasheet for Manual Valves - IFA</t>
  </si>
  <si>
    <t>PI-1870</t>
  </si>
  <si>
    <t>Datasheet for Manual Valves - AFC</t>
  </si>
  <si>
    <t>PI-1880</t>
  </si>
  <si>
    <t>Datasheet for Corrosion Fittings (Probe, Coupon and Chemical Injection Quill) - IFR</t>
  </si>
  <si>
    <t>PI-1890</t>
  </si>
  <si>
    <t>Datasheet for Corrosion Fittings (Probe, Coupon and Chemical Injection Quill) - IFA</t>
  </si>
  <si>
    <t>PI-1900</t>
  </si>
  <si>
    <t>Datasheet for Corrosion Fittings (Probe, Coupon and Chemical Injection Quill) - AFC</t>
  </si>
  <si>
    <t>PI-1910</t>
  </si>
  <si>
    <t>Datasheet for Hose and Hose Connector - IFR</t>
  </si>
  <si>
    <t>PI-1920</t>
  </si>
  <si>
    <t>Datasheet for Hose and Hose Connector - IFA</t>
  </si>
  <si>
    <t>PI-1930</t>
  </si>
  <si>
    <t>Datasheet for Hose and Hose Connector - AFC</t>
  </si>
  <si>
    <t>PI-1940</t>
  </si>
  <si>
    <t>Datasheet for Strainer - IFR</t>
  </si>
  <si>
    <t>PI-1950</t>
  </si>
  <si>
    <t>Datasheet for Strainer - IFA</t>
  </si>
  <si>
    <t>PI-1960</t>
  </si>
  <si>
    <t>Datasheet for Strainer - AFC</t>
  </si>
  <si>
    <t>PI-1970</t>
  </si>
  <si>
    <t>Datasheet for Liquid Trap - IFR</t>
  </si>
  <si>
    <t>PI-1980</t>
  </si>
  <si>
    <t>Datasheet for Liquid Trap - IFA</t>
  </si>
  <si>
    <t>PI-1990</t>
  </si>
  <si>
    <t>Datasheet for Liquid Trap - AFC</t>
  </si>
  <si>
    <t>PI-2000</t>
  </si>
  <si>
    <t>Datasheet for G-Clamp - IFR</t>
  </si>
  <si>
    <t>PI-2010</t>
  </si>
  <si>
    <t>Datasheet for G-Clamp - IFA</t>
  </si>
  <si>
    <t>PI-2020</t>
  </si>
  <si>
    <t>Datasheet for G-Clamp - AFC</t>
  </si>
  <si>
    <t>PI-2030</t>
  </si>
  <si>
    <t>Datasheet for Flame Arrestor - IFR</t>
  </si>
  <si>
    <t>PI-2040</t>
  </si>
  <si>
    <t>Datasheet for Flame Arrestor - IFA</t>
  </si>
  <si>
    <t>PI-2050</t>
  </si>
  <si>
    <t>Datasheet for Flame Arrestor - AFC</t>
  </si>
  <si>
    <t>PI-2060</t>
  </si>
  <si>
    <t>Datasheet for Sight Glass - IFR</t>
  </si>
  <si>
    <t>PI-2070</t>
  </si>
  <si>
    <t>Datasheet for Sight Glass - IFA</t>
  </si>
  <si>
    <t>PI-2080</t>
  </si>
  <si>
    <t>Datasheet for Sight Glass - AFC</t>
  </si>
  <si>
    <t>PI-4019</t>
  </si>
  <si>
    <t>Datasheet for Quick Opening Closure - IFR</t>
  </si>
  <si>
    <t>PI-4029</t>
  </si>
  <si>
    <t>Datasheet for Quick Opening Closure - IFA</t>
  </si>
  <si>
    <t>PI-4039</t>
  </si>
  <si>
    <t>Datasheet for Quick Opening Closure - AFC</t>
  </si>
  <si>
    <t>MR-Piping</t>
  </si>
  <si>
    <t>PI-2090</t>
  </si>
  <si>
    <t>Material Requisition for Ball valve (Flange end) - IFR</t>
  </si>
  <si>
    <t>PI-2100</t>
  </si>
  <si>
    <t>Material Requisition for Ball valve (Flange end) - AFC</t>
  </si>
  <si>
    <t>PI-2110</t>
  </si>
  <si>
    <t>Material Requisition for Ball valve (Welded end) - IFR</t>
  </si>
  <si>
    <t>PI-2120</t>
  </si>
  <si>
    <t>Material Requisition for Ball valve (Welded end) - AFC</t>
  </si>
  <si>
    <t>PI-2130</t>
  </si>
  <si>
    <t>Material Requisition for Globe valve (Flange end) - IFR</t>
  </si>
  <si>
    <t>PI-2140</t>
  </si>
  <si>
    <t>Material Requisition for Globe valve (Flange end) - AFC</t>
  </si>
  <si>
    <t>PI-2150</t>
  </si>
  <si>
    <t>Material Requisition for Globe valve (Welded end) - IFR</t>
  </si>
  <si>
    <t>PI-2160</t>
  </si>
  <si>
    <t>Material Requisition for Globe valve (Welded end) - AFC</t>
  </si>
  <si>
    <t>PI-2170</t>
  </si>
  <si>
    <t>Material Requisition for Check valve (Flange end) - IFR</t>
  </si>
  <si>
    <t>PI-2180</t>
  </si>
  <si>
    <t>Material Requisition for Check valve (Flange end) - AFC</t>
  </si>
  <si>
    <t>PI-2190</t>
  </si>
  <si>
    <t>Material Requisition for Check valve (Welded end) - IFR</t>
  </si>
  <si>
    <t>PI-2200</t>
  </si>
  <si>
    <t>Material Requisition for Check valve (Welded end) - AFC</t>
  </si>
  <si>
    <t>PI-2210</t>
  </si>
  <si>
    <t>Material Requisition for Compact Check valve (Welded end) - IFR</t>
  </si>
  <si>
    <t>PI-2220</t>
  </si>
  <si>
    <t>Material Requisition for Compact Check valve (Welded end) - AFC</t>
  </si>
  <si>
    <t>PI-2230</t>
  </si>
  <si>
    <t>Material Requisition for Carbon steel pipe - IFR</t>
  </si>
  <si>
    <t>PI-2240</t>
  </si>
  <si>
    <t>Material Requisition for Carbon steel pipe - AFC</t>
  </si>
  <si>
    <t>PI-2250</t>
  </si>
  <si>
    <t>Material Requisition for Carbon steel fitting - IFR</t>
  </si>
  <si>
    <t>PI-2260</t>
  </si>
  <si>
    <t>Material Requisition for Carbon steel fitting - AFC</t>
  </si>
  <si>
    <t>PI-2270</t>
  </si>
  <si>
    <t>Material Requisition for Carbon steel flange - IFR</t>
  </si>
  <si>
    <t>PI-2280</t>
  </si>
  <si>
    <t>Material Requisition for Carbon steel flange - AFC</t>
  </si>
  <si>
    <t>PI-2290</t>
  </si>
  <si>
    <t>Material Requisition for SS and DSS Pipe - IFR</t>
  </si>
  <si>
    <t>PI-2300</t>
  </si>
  <si>
    <t>Material Requisition for SS and DSS Pipe - AFC</t>
  </si>
  <si>
    <t>PI-2310</t>
  </si>
  <si>
    <t>Material Requisition for SS and DSS fitting - IFR</t>
  </si>
  <si>
    <t>PI-2320</t>
  </si>
  <si>
    <t>Material Requisition for SS and DSS fitting - AFC</t>
  </si>
  <si>
    <t>PI-2330</t>
  </si>
  <si>
    <t>Material Requisition for SS and DSS flange - IFR</t>
  </si>
  <si>
    <t>PI-2340</t>
  </si>
  <si>
    <t>Material Requisition for SS and DSS flange - AFC</t>
  </si>
  <si>
    <t>PI-2350</t>
  </si>
  <si>
    <t>Material Requisition for stud bolts and nuts - IFR</t>
  </si>
  <si>
    <t>PI-2360</t>
  </si>
  <si>
    <t>Material Requisition for stud bolts and nuts - AFC</t>
  </si>
  <si>
    <t>PI-2370</t>
  </si>
  <si>
    <t>Material Requisition for gaskets - IFR</t>
  </si>
  <si>
    <t>PI-2380</t>
  </si>
  <si>
    <t>Material Requisition for gaskets - AFC</t>
  </si>
  <si>
    <t>PI-2390</t>
  </si>
  <si>
    <t>Material Requisition for pipe support - IFR</t>
  </si>
  <si>
    <t>PI-2400</t>
  </si>
  <si>
    <t>Material Requisition for pipe support - AFC</t>
  </si>
  <si>
    <t>PI-2410</t>
  </si>
  <si>
    <t>Material Requisition for Corrosion Fittings (Probe, Coupon and Chemical Injection Quill) - IFR</t>
  </si>
  <si>
    <t>PI-2420</t>
  </si>
  <si>
    <t>Material Requisition for Corrosion Fittings (Probe, Coupon and Chemical Injection Quill) - AFC</t>
  </si>
  <si>
    <t>PI-2430</t>
  </si>
  <si>
    <t>Material Requisition for Hose and Hose Connector - IFR</t>
  </si>
  <si>
    <t>PI-2440</t>
  </si>
  <si>
    <t>Material Requisition for Hose and Hose Connector - AFC</t>
  </si>
  <si>
    <t>PI-2450</t>
  </si>
  <si>
    <t>Material Requisition for Strainer - IFR</t>
  </si>
  <si>
    <t>PI-2460</t>
  </si>
  <si>
    <t>Material Requisition for Strainer - AFC</t>
  </si>
  <si>
    <t>PI-2470</t>
  </si>
  <si>
    <t>Material Requisition for Liquid Trap - IFR</t>
  </si>
  <si>
    <t>PI-2480</t>
  </si>
  <si>
    <t>Material Requisition for Liquid Trap - AFC</t>
  </si>
  <si>
    <t>PI-2490</t>
  </si>
  <si>
    <t>Material Requisition for G-Clamp - IFR</t>
  </si>
  <si>
    <t>PI-2500</t>
  </si>
  <si>
    <t>Material Requisition for G-Clamp - AFC</t>
  </si>
  <si>
    <t>PI-2510</t>
  </si>
  <si>
    <t>Material Requisition for Flame Arrestor - IFR</t>
  </si>
  <si>
    <t>PI-2520</t>
  </si>
  <si>
    <t>Material Requisition for Flame Arrestor - AFC</t>
  </si>
  <si>
    <t>PI-2530</t>
  </si>
  <si>
    <t>Material Requisition for Sight Glass - IFR</t>
  </si>
  <si>
    <t>PI-2540</t>
  </si>
  <si>
    <t>Material Requisition for Sight Glass - AFC</t>
  </si>
  <si>
    <t>PI-4049</t>
  </si>
  <si>
    <t>Material Requisition for Quick Opening Closure - IFR</t>
  </si>
  <si>
    <t>PI-4059</t>
  </si>
  <si>
    <t>Material Requisition for Quick Opening Closure - AFC</t>
  </si>
  <si>
    <t>TBE-Piping</t>
  </si>
  <si>
    <t>PI-2550</t>
  </si>
  <si>
    <t>Technical Bid Evaluation for Ball valve (Flange end) - IFR</t>
  </si>
  <si>
    <t>PI-2560</t>
  </si>
  <si>
    <t>Technical Bid Evaluation for Ball valve (Flange end) - AFC</t>
  </si>
  <si>
    <t>PI-2570</t>
  </si>
  <si>
    <t>Technical Bid Evaluation for Ball valve (Welded end) - IFR</t>
  </si>
  <si>
    <t>PI-2580</t>
  </si>
  <si>
    <t>Technical Bid Evaluation for Ball valve (Welded end) - AFC</t>
  </si>
  <si>
    <t>PI-2590</t>
  </si>
  <si>
    <t>Technical Bid Evaluation for Globe valve (Flange end) - IFR</t>
  </si>
  <si>
    <t>PI-2600</t>
  </si>
  <si>
    <t>Technical Bid Evaluation for Globe valve (Flange end) - AFC</t>
  </si>
  <si>
    <t>PI-2610</t>
  </si>
  <si>
    <t>Technical Bid Evaluation for Globe valve (Welded end) - IFR</t>
  </si>
  <si>
    <t>PI-2620</t>
  </si>
  <si>
    <t>Technical Bid Evaluation for Globe valve (Welded end) - AFC</t>
  </si>
  <si>
    <t>PI-2630</t>
  </si>
  <si>
    <t>Technical Bid Evaluation for Check valve (Flange end) - IFR</t>
  </si>
  <si>
    <t>PI-2640</t>
  </si>
  <si>
    <t>Technical Bid Evaluation for Check valve (Flange end) - AFC</t>
  </si>
  <si>
    <t>PI-2650</t>
  </si>
  <si>
    <t>Technical Bid Evaluation for Check valve (Welded end) - IFR</t>
  </si>
  <si>
    <t>PI-2660</t>
  </si>
  <si>
    <t>Technical Bid Evaluation for Check valve (Welded end) - AFC</t>
  </si>
  <si>
    <t>PI-2670</t>
  </si>
  <si>
    <t>Technical Bid Evaluation for Compact Check valve (Welded end) - IFR</t>
  </si>
  <si>
    <t>PI-2680</t>
  </si>
  <si>
    <t>Technical Bid Evaluation for Compact Check valve (Welded end) - AFC</t>
  </si>
  <si>
    <t>PI-2690</t>
  </si>
  <si>
    <t>Technical Bid Evaluation for Carbon steel pipe - IFR</t>
  </si>
  <si>
    <t>PI-2700</t>
  </si>
  <si>
    <t>Technical Bid Evaluation for Carbon steel pipe - AFC</t>
  </si>
  <si>
    <t>PI-2710</t>
  </si>
  <si>
    <t>Technical Bid Evaluation for Carbon steel fitting - IFR</t>
  </si>
  <si>
    <t>PI-2720</t>
  </si>
  <si>
    <t>Technical Bid Evaluation for Carbon steel fitting - AFC</t>
  </si>
  <si>
    <t>PI-2730</t>
  </si>
  <si>
    <t>Technical Bid Evaluation for Carbon steel flange - IFR</t>
  </si>
  <si>
    <t>PI-2740</t>
  </si>
  <si>
    <t>Technical Bid Evaluation for Carbon steel flange - AFC</t>
  </si>
  <si>
    <t>PI-2750</t>
  </si>
  <si>
    <t>Technical Bid Evaluation for SS and DSS Pipe - IFR</t>
  </si>
  <si>
    <t>PI-2760</t>
  </si>
  <si>
    <t>Technical Bid Evaluation for SS and DSS Pipe - AFC</t>
  </si>
  <si>
    <t>PI-2770</t>
  </si>
  <si>
    <t>Technical Bid Evaluation for SS and DSS fitting - IFR</t>
  </si>
  <si>
    <t>PI-2780</t>
  </si>
  <si>
    <t>Technical Bid Evaluation for SS and DSS fitting - AFC</t>
  </si>
  <si>
    <t>PI-2790</t>
  </si>
  <si>
    <t>Technical Bid Evaluation for SS and DSS flange - IFR</t>
  </si>
  <si>
    <t>PI-2800</t>
  </si>
  <si>
    <t>Technical Bid Evaluation for SS and DSS flange - AFC</t>
  </si>
  <si>
    <t>PI-2810</t>
  </si>
  <si>
    <t>Technical Bid Evaluation for stud bolts and nuts - IFR</t>
  </si>
  <si>
    <t>PI-2820</t>
  </si>
  <si>
    <t>Technical Bid Evaluation for stud bolts and nuts - AFC</t>
  </si>
  <si>
    <t>PI-2830</t>
  </si>
  <si>
    <t>Technical Bid Evaluation for gaskets - IFR</t>
  </si>
  <si>
    <t>PI-2840</t>
  </si>
  <si>
    <t>Technical Bid Evaluation for gaskets - AFC</t>
  </si>
  <si>
    <t>PI-2850</t>
  </si>
  <si>
    <t>Technical Bid Evaluation for pipe support - IFR</t>
  </si>
  <si>
    <t>PI-2860</t>
  </si>
  <si>
    <t>Technical Bid Evaluation for pipe support - AFC</t>
  </si>
  <si>
    <t>PI-2870</t>
  </si>
  <si>
    <t>Technical Bid Evaluation for Corrosion Fittings (Probe, Coupon and Chemical Injection Quill) - IFR</t>
  </si>
  <si>
    <t>PI-2880</t>
  </si>
  <si>
    <t>Technical Bid Evaluation for Corrosion Fittings (Probe, Coupon and Chemical Injection Quill) - AFC</t>
  </si>
  <si>
    <t>PI-2890</t>
  </si>
  <si>
    <t>Technical Bid Evaluation for Hose and Hose Connector - IFR</t>
  </si>
  <si>
    <t>PI-2900</t>
  </si>
  <si>
    <t>Technical Bid Evaluation for Hose and Hose Connector - AFC</t>
  </si>
  <si>
    <t>PI-2910</t>
  </si>
  <si>
    <t>Technical Bid Evaluation for Strainer - IFR</t>
  </si>
  <si>
    <t>PI-2920</t>
  </si>
  <si>
    <t>Technical Bid Evaluation for Strainer - AFC</t>
  </si>
  <si>
    <t>PI-2930</t>
  </si>
  <si>
    <t>Technical Bid Evaluation for Liquid Trap - IFR</t>
  </si>
  <si>
    <t>PI-2940</t>
  </si>
  <si>
    <t>Technical Bid Evaluation for Liquid Trap - AFC</t>
  </si>
  <si>
    <t>PI-2950</t>
  </si>
  <si>
    <t>Technical Bid Evaluation for G-Clamp - IFR</t>
  </si>
  <si>
    <t>PI-2960</t>
  </si>
  <si>
    <t>Technical Bid Evaluation for G-Clamp - AFC</t>
  </si>
  <si>
    <t>PI-2970</t>
  </si>
  <si>
    <t>Technical Bid Evaluation for Flame Arrestor - IFR</t>
  </si>
  <si>
    <t>PI-2980</t>
  </si>
  <si>
    <t>Technical Bid Evaluation for Flame Arrestor - AFC</t>
  </si>
  <si>
    <t>PI-2990</t>
  </si>
  <si>
    <t>Technical Bid Evaluation for Sight Glass - IFR</t>
  </si>
  <si>
    <t>PI-3000</t>
  </si>
  <si>
    <t>Technical Bid Evaluation for Sight Glass - AFC</t>
  </si>
  <si>
    <t>PI-4069</t>
  </si>
  <si>
    <t>Technical Bid Evaluation for Quick Opening Closure - IFR</t>
  </si>
  <si>
    <t>PI-4079</t>
  </si>
  <si>
    <t>Technical Bid Evaluation for Quick Opening Closure - AFC</t>
  </si>
  <si>
    <t>STRUCTUREENGINEERING-TOPSIDE</t>
  </si>
  <si>
    <t>ST-1000</t>
  </si>
  <si>
    <t>WPA01 Topside Drawing Index (2 Sheets) - IFR</t>
  </si>
  <si>
    <t>ST-1010</t>
  </si>
  <si>
    <t>WPA01 Topside Drawing Index (2 Sheets) - IFA</t>
  </si>
  <si>
    <t>ST-1020</t>
  </si>
  <si>
    <t>WPA01 Topside Drawing Index (2 Sheets) - AFC</t>
  </si>
  <si>
    <t>ST-1030</t>
  </si>
  <si>
    <t>WPA01 Topside Deck Loading Diagrams - IFR</t>
  </si>
  <si>
    <t>ST-1040</t>
  </si>
  <si>
    <t>WPA01 Topside Deck Loading Diagrams - IFA</t>
  </si>
  <si>
    <t>ST-1050</t>
  </si>
  <si>
    <t>WPA01 Topside Deck Loading Diagrams - AFC</t>
  </si>
  <si>
    <t>ST-1060</t>
  </si>
  <si>
    <t>WPA01 Topside - Upper Deck Primary Steel Framing Plan - IFR</t>
  </si>
  <si>
    <t>ST-1070</t>
  </si>
  <si>
    <t>WPA01 Topside - Upper Deck Primary Steel Framing Plan - IFA</t>
  </si>
  <si>
    <t>ST-1080</t>
  </si>
  <si>
    <t>WPA01 Topside - Upper Deck Primary Steel Framing Plan - AFC</t>
  </si>
  <si>
    <t>ST-1090</t>
  </si>
  <si>
    <t>WPA02 Topside - Lower Deck Primary Steel Framing Plan - IFR</t>
  </si>
  <si>
    <t>ST-1100</t>
  </si>
  <si>
    <t>WPA02 Topside - Lower Deck Primary Steel Framing Plan - IFA</t>
  </si>
  <si>
    <t>ST-1110</t>
  </si>
  <si>
    <t>WPA02 Topside - Lower Deck Primary Steel Framing Plan - AFC</t>
  </si>
  <si>
    <t>ST-1120</t>
  </si>
  <si>
    <t>WPA01 Topside - Elevation Truss Row A, B, 1, 2 - IFR</t>
  </si>
  <si>
    <t>ST-1130</t>
  </si>
  <si>
    <t>WPA01 Topside - Elevation Truss Row A, B, 1, 2 - IFA</t>
  </si>
  <si>
    <t>ST-1140</t>
  </si>
  <si>
    <t>WPA01 Topside - Elevation Truss Row A, B, 1, 2 - AFC</t>
  </si>
  <si>
    <t>ST-1150</t>
  </si>
  <si>
    <t>WPA01 Topside - Sections (2 Sheets) - IFR</t>
  </si>
  <si>
    <t>ST-1160</t>
  </si>
  <si>
    <t>WPA01 Topside - Sections (2 Sheets) - IFA</t>
  </si>
  <si>
    <t>ST-1170</t>
  </si>
  <si>
    <t>WPA01 Topside - Sections (2 Sheets) - AFC</t>
  </si>
  <si>
    <t>ST-1180</t>
  </si>
  <si>
    <t>WPA01 Topside Joint Connection Details (14 Sheets) - IFR</t>
  </si>
  <si>
    <t>ST-1190</t>
  </si>
  <si>
    <t>WPA01 Topside Joint Connection Details (14 Sheets) - IFA</t>
  </si>
  <si>
    <t>ST-1200</t>
  </si>
  <si>
    <t>WPA01 Topside Joint Connection Details (14 Sheets) - AFC</t>
  </si>
  <si>
    <t>ST-1210</t>
  </si>
  <si>
    <t>WPA01 Topside Upper Deck Secondary Steel Framing Plan - IFR</t>
  </si>
  <si>
    <t>ST-1220</t>
  </si>
  <si>
    <t>WPA01 Topside Upper Deck Secondary Steel Framing Plan - IFA</t>
  </si>
  <si>
    <t>ST-1230</t>
  </si>
  <si>
    <t>WPA01 Topside Upper Deck Secondary Steel Framing Plan - AFC</t>
  </si>
  <si>
    <t>ST-1240</t>
  </si>
  <si>
    <t>WPA01 Topside Lower Deck Secondary Steel Framing Plan - IFR</t>
  </si>
  <si>
    <t>ST-1250</t>
  </si>
  <si>
    <t>WPA01 Topside Lower Deck Secondary Steel Framing Plan - IFA</t>
  </si>
  <si>
    <t>ST-1260</t>
  </si>
  <si>
    <t>WPA01 Topside Lower Deck Secondary Steel Framing Plan - AFC</t>
  </si>
  <si>
    <t>ST-1270</t>
  </si>
  <si>
    <t>WPA01 Topside Mezzanine Deck Framing Plan - IFR</t>
  </si>
  <si>
    <t>ST-1280</t>
  </si>
  <si>
    <t>WPA01 Topside Mezzanine Deck Framing Plan - IFA</t>
  </si>
  <si>
    <t>ST-1290</t>
  </si>
  <si>
    <t>WPA01 Topside Mezzanine Deck Framing Plan - AFC</t>
  </si>
  <si>
    <t>ST-1300</t>
  </si>
  <si>
    <t>WPA01 Topside Mezzanine Deck Section &amp; Details (3 Sheets) - IFR</t>
  </si>
  <si>
    <t>ST-1310</t>
  </si>
  <si>
    <t>WPA01 Topside Mezzanine Deck Section &amp; Details (3 Sheets) - IFA</t>
  </si>
  <si>
    <t>ST-1320</t>
  </si>
  <si>
    <t>WPA01 Topside Mezzanine Deck Section &amp; Details (3 Sheets) - AFC</t>
  </si>
  <si>
    <t>ST-1330</t>
  </si>
  <si>
    <t>WPA01 Topside Sump Deck Framing Plan - IFR</t>
  </si>
  <si>
    <t>ST-1340</t>
  </si>
  <si>
    <t>WPA01 Topside Sump Deck Framing Plan - IFA</t>
  </si>
  <si>
    <t>ST-1350</t>
  </si>
  <si>
    <t>WPA01 Topside Sump Deck Framing Plan - AFC</t>
  </si>
  <si>
    <t>ST-1360</t>
  </si>
  <si>
    <t>WPA01 Topside Sump Deck Section &amp; Details (3 Sheets) - IFR</t>
  </si>
  <si>
    <t>ST-1370</t>
  </si>
  <si>
    <t>WPA01 Topside Sump Deck Section &amp; Details (3 Sheets) - IFA</t>
  </si>
  <si>
    <t>ST-1380</t>
  </si>
  <si>
    <t>WPA01 Topside Sump Deck Section &amp; Details (3 Sheets) - AFC</t>
  </si>
  <si>
    <t>ST-1390</t>
  </si>
  <si>
    <t>WPA01 Topside Standard Joint Details for Secondary Beam - IFR</t>
  </si>
  <si>
    <t>ST-1400</t>
  </si>
  <si>
    <t>WPA01 Topside Standard Joint Details for Secondary Beam - IFA</t>
  </si>
  <si>
    <t>ST-1410</t>
  </si>
  <si>
    <t>WPA01 Topside Standard Joint Details for Secondary Beam - AFC</t>
  </si>
  <si>
    <t>ST-1420</t>
  </si>
  <si>
    <t>WPA01 Topside Vent Boom Plan and Elevation - IFR</t>
  </si>
  <si>
    <t>ST-1430</t>
  </si>
  <si>
    <t>WPA01 Topside Vent Boom Plan and Elevation - IFA</t>
  </si>
  <si>
    <t>ST-1440</t>
  </si>
  <si>
    <t>WPA01 Topside Vent Boom Plan and Elevation - AFC</t>
  </si>
  <si>
    <t>ST-1450</t>
  </si>
  <si>
    <t>WPA01 Topside Vent Boom Sections - IFR</t>
  </si>
  <si>
    <t>ST-1460</t>
  </si>
  <si>
    <t>WPA01 Topside Vent Boom Sections - IFA</t>
  </si>
  <si>
    <t>ST-1470</t>
  </si>
  <si>
    <t>WPA01 Topside Vent Boom Sections - AFC</t>
  </si>
  <si>
    <t>ST-1480</t>
  </si>
  <si>
    <t>WPA01 Topside Vent Boom Walkway Plan and Sections - IFR</t>
  </si>
  <si>
    <t>ST-1490</t>
  </si>
  <si>
    <t>WPA01 Topside Vent Boom Walkway Plan and Sections - IFA</t>
  </si>
  <si>
    <t>ST-1500</t>
  </si>
  <si>
    <t>WPA01 Topside Vent Boom Walkway Plan and Sections - AFC</t>
  </si>
  <si>
    <t>ST-1510</t>
  </si>
  <si>
    <t>WPA01 Topside Vent Boom Walkway Sections and Details (3 Sheets) - IFR</t>
  </si>
  <si>
    <t>ST-1520</t>
  </si>
  <si>
    <t>WPA01 Topside Vent Boom Walkway Sections and Details (3 Sheets) - IFA</t>
  </si>
  <si>
    <t>ST-1530</t>
  </si>
  <si>
    <t>WPA01 Topside Vent Boom Walkway Sections and Details (3 Sheets) - AFC</t>
  </si>
  <si>
    <t>ST-1540</t>
  </si>
  <si>
    <t>WPA01 Topside Solar Panel Arrangement &amp; Support Details (7 Sheets) - IFR</t>
  </si>
  <si>
    <t>ST-1550</t>
  </si>
  <si>
    <t>WPA01 Topside Solar Panel Arrangement &amp; Support Details (7 Sheets) - IFA</t>
  </si>
  <si>
    <t>ST-1560</t>
  </si>
  <si>
    <t>WPA01 Topside Solar Panel Arrangement &amp; Support Details (7 Sheets) - AFC</t>
  </si>
  <si>
    <t>ST-1570</t>
  </si>
  <si>
    <t>WPA01 Topside Upper Deck Flooring &amp; Handrail Layout - IFR</t>
  </si>
  <si>
    <t>ST-1580</t>
  </si>
  <si>
    <t>WPA01 Topside Upper Deck Flooring &amp; Handrail Layout - IFA</t>
  </si>
  <si>
    <t>ST-1590</t>
  </si>
  <si>
    <t>WPA01 Topside Upper Deck Flooring &amp; Handrail Layout - AFC</t>
  </si>
  <si>
    <t>ST-1600</t>
  </si>
  <si>
    <t>WPA01 Topside Lower Deck Flooring &amp; Handrail Layout - IFR</t>
  </si>
  <si>
    <t>ST-1610</t>
  </si>
  <si>
    <t>WPA01 Topside Lower Deck Flooring &amp; Handrail Layout - IFA</t>
  </si>
  <si>
    <t>ST-1620</t>
  </si>
  <si>
    <t>WPA01 Topside Lower Deck Flooring &amp; Handrail Layout - AFC</t>
  </si>
  <si>
    <t>ST-1630</t>
  </si>
  <si>
    <t>WPA01 Topside Mezzanine Deck Flooring &amp; Handrail Layout - IFR</t>
  </si>
  <si>
    <t>ST-1640</t>
  </si>
  <si>
    <t>WPA01 Topside Mezzanine Deck Flooring &amp; Handrail Layout - IFA</t>
  </si>
  <si>
    <t>ST-1650</t>
  </si>
  <si>
    <t>WPA01 Topside Mezzanine Deck Flooring &amp; Handrail Layout - AFC</t>
  </si>
  <si>
    <t>ST-1660</t>
  </si>
  <si>
    <t>WPA01 Topside Sump Deck Flooring &amp; Handrail Layout - IFR</t>
  </si>
  <si>
    <t>ST-1670</t>
  </si>
  <si>
    <t>WPA01 Topside Sump Deck Flooring &amp; Handrail Layout - IFA</t>
  </si>
  <si>
    <t>ST-1680</t>
  </si>
  <si>
    <t>WPA01 Topside Sump Deck Flooring &amp; Handrail Layout - AFC</t>
  </si>
  <si>
    <t>ST-1690</t>
  </si>
  <si>
    <t>WPA01 Topside Flooring Sections &amp; Details (2 Sheets) - IFR</t>
  </si>
  <si>
    <t>ST-1700</t>
  </si>
  <si>
    <t>WPA01 Topside Flooring Sections &amp; Details (2 Sheets) - IFA</t>
  </si>
  <si>
    <t>ST-1710</t>
  </si>
  <si>
    <t>WPA01 Topside Flooring Sections &amp; Details (2 Sheets) - AFC</t>
  </si>
  <si>
    <t>ST-1720</t>
  </si>
  <si>
    <t>WPA01 Topside Stairway Layout &amp; Details (11 Sheets) - IFR</t>
  </si>
  <si>
    <t>ST-1730</t>
  </si>
  <si>
    <t>WPA01 Topside Stairway Layout &amp; Details (11 Sheets) - IFA</t>
  </si>
  <si>
    <t>ST-1740</t>
  </si>
  <si>
    <t>WPA01 Topside Stairway Layout &amp; Details (11 Sheets) - AFC</t>
  </si>
  <si>
    <t>ST-1750</t>
  </si>
  <si>
    <t>WPA01 Topside Deck Hatch Arrangement &amp; Details (11 Sheets) - IFR</t>
  </si>
  <si>
    <t>ST-1760</t>
  </si>
  <si>
    <t>WPA01 Topside Deck Hatch Arrangement &amp; Details (11 Sheets) - IFA</t>
  </si>
  <si>
    <t>ST-1770</t>
  </si>
  <si>
    <t>WPA01 Topside Deck Hatch Arrangement &amp; Details (11 Sheets) - AFC</t>
  </si>
  <si>
    <t>ST-1780</t>
  </si>
  <si>
    <t>WPA01 Topside Monorail Layout and Details - IFR</t>
  </si>
  <si>
    <t>ST-1790</t>
  </si>
  <si>
    <t>WPA01 Topside Monorail Layout and Details - IFA</t>
  </si>
  <si>
    <t>ST-1800</t>
  </si>
  <si>
    <t>WPA01 Topside Monorail Layout and Details - AFC</t>
  </si>
  <si>
    <t>ST-1810</t>
  </si>
  <si>
    <t>WPA01 Topside Condensate Burner Boom Support Details (2 Sheets) - IFR</t>
  </si>
  <si>
    <t>ST-1820</t>
  </si>
  <si>
    <t>WPA01 Topside Condensate Burner Boom Support Details (2 Sheets) - IFA</t>
  </si>
  <si>
    <t>ST-1830</t>
  </si>
  <si>
    <t>WPA01 Topside Condensate Burner Boom Support Details (2 Sheets) - AFC</t>
  </si>
  <si>
    <t>ST-1840</t>
  </si>
  <si>
    <t>WPA01 Topside Helideck Marking and Safety Netting Layout - IFR</t>
  </si>
  <si>
    <t>ST-1850</t>
  </si>
  <si>
    <t>WPA01 Topside Helideck Marking and Safety Netting Layout - IFA</t>
  </si>
  <si>
    <t>ST-1860</t>
  </si>
  <si>
    <t>WPA01 Topside Helideck Marking and Safety Netting Layout - AFC</t>
  </si>
  <si>
    <t>ST-1870</t>
  </si>
  <si>
    <t>WPA01 Topside Helideck Marking and Safety Netting Details (2 Sheets) - IFR</t>
  </si>
  <si>
    <t>ST-1880</t>
  </si>
  <si>
    <t>WPA01 Topside Helideck Marking and Safety Netting Details (2 Sheets) - IFA</t>
  </si>
  <si>
    <t>ST-1890</t>
  </si>
  <si>
    <t>WPA01 Topside Helideck Marking and Safety Netting Details (2 Sheets) - AFC</t>
  </si>
  <si>
    <t>ST-1900</t>
  </si>
  <si>
    <t>WPA01 Topside Upper Deck Equipment Support Location Plan - IFR</t>
  </si>
  <si>
    <t>ST-1910</t>
  </si>
  <si>
    <t>WPA01 Topside Upper Deck Equipment Support Location Plan - IFA</t>
  </si>
  <si>
    <t>ST-1920</t>
  </si>
  <si>
    <t>WPA01 Topside Upper Deck Equipment Support Location Plan - AFC</t>
  </si>
  <si>
    <t>ST-1930</t>
  </si>
  <si>
    <t>WPA01 Topside Lower Deck Equipment Support Location Plan - IFR</t>
  </si>
  <si>
    <t>ST-1940</t>
  </si>
  <si>
    <t>WPA01 Topside Lower Deck Equipment Support Location Plan - IFA</t>
  </si>
  <si>
    <t>ST-1950</t>
  </si>
  <si>
    <t>WPA01 Topside Lower Deck Equipment Support Location Plan - AFC</t>
  </si>
  <si>
    <t>ST-1960</t>
  </si>
  <si>
    <t>WPA01 Topside Mezzanine Deck Equipment Support Location Plan - IFR</t>
  </si>
  <si>
    <t>ST-1970</t>
  </si>
  <si>
    <t>WPA01 Topside Mezzanine Deck Equipment Support Location Plan - IFA</t>
  </si>
  <si>
    <t>ST-1980</t>
  </si>
  <si>
    <t>WPA01 Topside Mezzanine Deck Equipment Support Location Plan - AFC</t>
  </si>
  <si>
    <t>ST-1990</t>
  </si>
  <si>
    <t>WPA01 Topside Sump Deck Equipment Support Location Plan - IFR</t>
  </si>
  <si>
    <t>ST-2000</t>
  </si>
  <si>
    <t>WPA01 Topside Sump Deck Equipment Support Location Plan - IFA</t>
  </si>
  <si>
    <t>ST-2010</t>
  </si>
  <si>
    <t>WPA01 Topside Sump Deck Equipment Support Location Plan - AFC</t>
  </si>
  <si>
    <t>ST-2020</t>
  </si>
  <si>
    <t>WPA01 Topside Equipment Support Details (12 Sheets) - IFR</t>
  </si>
  <si>
    <t>ST-2030</t>
  </si>
  <si>
    <t>WPA01 Topside Equipment Support Details (12 Sheets) - IFA</t>
  </si>
  <si>
    <t>ST-2040</t>
  </si>
  <si>
    <t>WPA01 Topside Equipment Support Details (12 Sheets) - AFC</t>
  </si>
  <si>
    <t>ST-2050</t>
  </si>
  <si>
    <t>WPA01 Topside Platform Name Plate Details - IFR</t>
  </si>
  <si>
    <t>ST-2060</t>
  </si>
  <si>
    <t>WPA01 Topside Platform Name Plate Details - IFA</t>
  </si>
  <si>
    <t>ST-2070</t>
  </si>
  <si>
    <t>WPA01 Topside Platform Name Plate Details - AFC</t>
  </si>
  <si>
    <t>ST-2080</t>
  </si>
  <si>
    <t>WPA01 Topside Lifting Configuration - IFR</t>
  </si>
  <si>
    <t>ST-2090</t>
  </si>
  <si>
    <t>WPA01 Topside Lifting Configuration - IFA</t>
  </si>
  <si>
    <t>ST-2100</t>
  </si>
  <si>
    <t>WPA01 Topside Lifting Configuration - AFC</t>
  </si>
  <si>
    <t>ST-2110</t>
  </si>
  <si>
    <t>WPA01 Topside Lifting Padeye Details (4 Sheets) - IFR</t>
  </si>
  <si>
    <t>ST-2120</t>
  </si>
  <si>
    <t>WPA01 Topside Lifting Padeye Details (4 Sheets) - IFA</t>
  </si>
  <si>
    <t>ST-2130</t>
  </si>
  <si>
    <t>WPA01 Topside Lifting Padeye Details (4 Sheets) - AFC</t>
  </si>
  <si>
    <t>ST-2140</t>
  </si>
  <si>
    <t>WPA01 Topside Primary Steel MTO Report - IFR</t>
  </si>
  <si>
    <t>ST-2150</t>
  </si>
  <si>
    <t>WPA01 Topside Primary Steel MTO Report - IFA</t>
  </si>
  <si>
    <t>ST-2160</t>
  </si>
  <si>
    <t>WPA01 Topside Primary Steel MTO Report - AFC</t>
  </si>
  <si>
    <t>ST-2170</t>
  </si>
  <si>
    <t>WPA01 Topside Secondary and Tertiary Steel MTO Report - IFR</t>
  </si>
  <si>
    <t>ST-2180</t>
  </si>
  <si>
    <t>WPA01 Topside Secondary and Tertiary Steel MTO Report - IFA</t>
  </si>
  <si>
    <t>ST-2190</t>
  </si>
  <si>
    <t>WPA01 Topside Secondary and Tertiary Steel MTO Report - AFC</t>
  </si>
  <si>
    <t>ST-2200</t>
  </si>
  <si>
    <t>WPA01 Topside Computer Modeling and Load Formulation Report - IFR</t>
  </si>
  <si>
    <t>ST-2210</t>
  </si>
  <si>
    <t>WPA01 Topside Computer Modeling and Load Formulation Report - IFA</t>
  </si>
  <si>
    <t>ST-2220</t>
  </si>
  <si>
    <t>WPA01 Topside Computer Modeling and Load Formulation Report - AFC</t>
  </si>
  <si>
    <t>ST-2230</t>
  </si>
  <si>
    <t>WPA01 Topside In-Place Analysis Report - IFR</t>
  </si>
  <si>
    <t>ST-2240</t>
  </si>
  <si>
    <t>WPA01 Topside In-Place Analysis Report - IFA</t>
  </si>
  <si>
    <t>ST-2250</t>
  </si>
  <si>
    <t>WPA01 Topside In-Place Analysis Report - AFC</t>
  </si>
  <si>
    <t>ST-2253</t>
  </si>
  <si>
    <t>WPA01 Topside Vibration Anaysis Report - IFR</t>
  </si>
  <si>
    <t>ST-2255</t>
  </si>
  <si>
    <t>WPA01 Topside Vibration Anaysis Report - IFA</t>
  </si>
  <si>
    <t>ST-2256</t>
  </si>
  <si>
    <t>WPA01 Topside Vibration Anaysis Report - AFC</t>
  </si>
  <si>
    <t>ST-2260</t>
  </si>
  <si>
    <t>WPA01 Topside Loadout Analysis Report - IFR</t>
  </si>
  <si>
    <t>ST-2270</t>
  </si>
  <si>
    <t>WPA01 Topside Loadout Analysis Report - IFA</t>
  </si>
  <si>
    <t>ST-2280</t>
  </si>
  <si>
    <t>WPA01 Topside Loadout Analysis Report - AFC</t>
  </si>
  <si>
    <t>ST-2290</t>
  </si>
  <si>
    <t>WPA01 Topside Transportation Analysis Report - IFR</t>
  </si>
  <si>
    <t>ST-2300</t>
  </si>
  <si>
    <t>WPA01 Topside Transportation Analysis Report - IFA</t>
  </si>
  <si>
    <t>ST-2310</t>
  </si>
  <si>
    <t>WPA01 Topside Transportation Analysis Report - AFC</t>
  </si>
  <si>
    <t>ST-2320</t>
  </si>
  <si>
    <t>WPA01 Topside Transportation Fatigue Analysis Report - IFR</t>
  </si>
  <si>
    <t>ST-2330</t>
  </si>
  <si>
    <t>WPA01 Topside Transportation Fatigue Analysis Report - IFA</t>
  </si>
  <si>
    <t>ST-2340</t>
  </si>
  <si>
    <t>WPA01 Topside Transportation Fatigue Analysis Report - AFC</t>
  </si>
  <si>
    <t>ST-2350</t>
  </si>
  <si>
    <t>WPA01 Topside Lifting Analysis Report - IFR</t>
  </si>
  <si>
    <t>ST-2360</t>
  </si>
  <si>
    <t>WPA01 Topside Lifting Analysis Report - IFA</t>
  </si>
  <si>
    <t>ST-2370</t>
  </si>
  <si>
    <t>WPA01 Topside Lifting Analysis Report - AFC</t>
  </si>
  <si>
    <t>ST-2380</t>
  </si>
  <si>
    <t>WPA01 Topside Miscellaneous Design Report - IFR</t>
  </si>
  <si>
    <t>ST-2390</t>
  </si>
  <si>
    <t>WPA01 Topside Miscellaneous Design Report - IFA</t>
  </si>
  <si>
    <t>ST-2400</t>
  </si>
  <si>
    <t>WPA01 Topside Miscellaneous Design Report - AFC</t>
  </si>
  <si>
    <t>ST-2401</t>
  </si>
  <si>
    <t>WPA01 Topside Finite Element Analysis for Casing Slot and Unihead Spacer Report - IFR</t>
  </si>
  <si>
    <t>ST-2402</t>
  </si>
  <si>
    <t>WPA01 Topside Finite Element Analysis for Casing Slot and Unihead Spacer Report - IFA</t>
  </si>
  <si>
    <t>ST-2403</t>
  </si>
  <si>
    <t>WPA01 Topside Finite Element Analysis for Casing Slot and Unihead Spacer Report - AFC</t>
  </si>
  <si>
    <t>ST-2407</t>
  </si>
  <si>
    <t>WPA01 Structural Design for Dropped Object Report - IFR</t>
  </si>
  <si>
    <t>ST-2408</t>
  </si>
  <si>
    <t>WPA01 Structural Design for Dropped Object Report - IFA</t>
  </si>
  <si>
    <t>ST-2409</t>
  </si>
  <si>
    <t>WPA01 Structural Design for Dropped Object Report - AFC</t>
  </si>
  <si>
    <t>ST-24091</t>
  </si>
  <si>
    <t>WPA01 Topside Weight Control Report - IFR</t>
  </si>
  <si>
    <t>ST-24092</t>
  </si>
  <si>
    <t>WPA01 Topside Weight Control Report - IFA</t>
  </si>
  <si>
    <t>ST-24093</t>
  </si>
  <si>
    <t>WPA01 Topside Weight Control Report - AFC</t>
  </si>
  <si>
    <t>ST-2410</t>
  </si>
  <si>
    <t>WPA02 Topside Drawing Index (2 Sheets) - IFR</t>
  </si>
  <si>
    <t>ST-2420</t>
  </si>
  <si>
    <t>WPA02 Topside Drawing Index (2 Sheets) - IFA</t>
  </si>
  <si>
    <t>ST-2430</t>
  </si>
  <si>
    <t>WPA02 Topside Drawing Index (2 Sheets) - AFC</t>
  </si>
  <si>
    <t>ST-2440</t>
  </si>
  <si>
    <t>WPA02 Topside Deck Loading Diagrams - IFR</t>
  </si>
  <si>
    <t>ST-2450</t>
  </si>
  <si>
    <t>WPA02 Topside Deck Loading Diagrams - IFA</t>
  </si>
  <si>
    <t>ST-2460</t>
  </si>
  <si>
    <t>WPA02 Topside Deck Loading Diagrams - AFC</t>
  </si>
  <si>
    <t>ST-2470</t>
  </si>
  <si>
    <t>WPA02 Topside - Upper Deck Primary Steel Framing Plan - IFR</t>
  </si>
  <si>
    <t>ST-2480</t>
  </si>
  <si>
    <t>WPA02 Topside - Upper Deck Primary Steel Framing Plan - IFA</t>
  </si>
  <si>
    <t>ST-2490</t>
  </si>
  <si>
    <t>WPA02 Topside - Upper Deck Primary Steel Framing Plan - AFC</t>
  </si>
  <si>
    <t>ST-2500</t>
  </si>
  <si>
    <t>ST-2510</t>
  </si>
  <si>
    <t>ST-2520</t>
  </si>
  <si>
    <t>ST-2530</t>
  </si>
  <si>
    <t>WPA02 Topside - Elevation Truss Row A, B, 1, 2 - IFR</t>
  </si>
  <si>
    <t>ST-2540</t>
  </si>
  <si>
    <t>WPA02 Topside - Elevation Truss Row A, B, 1, 2 - IFA</t>
  </si>
  <si>
    <t>ST-2550</t>
  </si>
  <si>
    <t>WPA02 Topside - Elevation Truss Row A, B, 1, 2 - AFC</t>
  </si>
  <si>
    <t>ST-2560</t>
  </si>
  <si>
    <t>WPA02 Topside - Sections (2 Sheets) - IFR</t>
  </si>
  <si>
    <t>ST-2570</t>
  </si>
  <si>
    <t>WPA02 Topside - Sections (2 Sheets) - IFA</t>
  </si>
  <si>
    <t>ST-2580</t>
  </si>
  <si>
    <t>WPA02 Topside - Sections (2 Sheets) - AFC</t>
  </si>
  <si>
    <t>ST-2590</t>
  </si>
  <si>
    <t>WPA02 Topside Joint Connection Details (14 Sheets) - IFR</t>
  </si>
  <si>
    <t>ST-2600</t>
  </si>
  <si>
    <t>WPA02 Topside Joint Connection Details (14 Sheets) - IFA</t>
  </si>
  <si>
    <t>ST-2610</t>
  </si>
  <si>
    <t>WPA02 Topside Joint Connection Details (14 Sheets) - AFC</t>
  </si>
  <si>
    <t>ST-2620</t>
  </si>
  <si>
    <t>WPA02 Topside Upper Deck Secondary Steel Framing Plan - IFR</t>
  </si>
  <si>
    <t>ST-2630</t>
  </si>
  <si>
    <t>WPA02 Topside Upper Deck Secondary Steel Framing Plan - IFA</t>
  </si>
  <si>
    <t>ST-2640</t>
  </si>
  <si>
    <t>WPA02 Topside Upper Deck Secondary Steel Framing Plan - AFC</t>
  </si>
  <si>
    <t>ST-2650</t>
  </si>
  <si>
    <t>WPA02 Topside Lower Deck Secondary Steel Framing Plan - IFR</t>
  </si>
  <si>
    <t>ST-2660</t>
  </si>
  <si>
    <t>WPA02 Topside Lower Deck Secondary Steel Framing Plan - IFA</t>
  </si>
  <si>
    <t>ST-2670</t>
  </si>
  <si>
    <t>WPA02 Topside Lower Deck Secondary Steel Framing Plan - AFC</t>
  </si>
  <si>
    <t>ST-2680</t>
  </si>
  <si>
    <t>WPA02 Topside Mezzanine Deck Framing Plan - IFR</t>
  </si>
  <si>
    <t>ST-2690</t>
  </si>
  <si>
    <t>WPA02 Topside Mezzanine Deck Framing Plan - IFA</t>
  </si>
  <si>
    <t>ST-2700</t>
  </si>
  <si>
    <t>WPA02 Topside Mezzanine Deck Framing Plan - AFC</t>
  </si>
  <si>
    <t>ST-2710</t>
  </si>
  <si>
    <t>WPA02 Topside Mezzanine Deck Section &amp; Details (3 Sheets) - IFR</t>
  </si>
  <si>
    <t>ST-2720</t>
  </si>
  <si>
    <t>WPA02 Topside Mezzanine Deck Section &amp; Details (3 Sheets) - IFA</t>
  </si>
  <si>
    <t>ST-2730</t>
  </si>
  <si>
    <t>WPA02 Topside Mezzanine Deck Section &amp; Details (3 Sheets) - AFC</t>
  </si>
  <si>
    <t>ST-2740</t>
  </si>
  <si>
    <t>WPA02 Topside Sump Deck Framing Plan - IFR</t>
  </si>
  <si>
    <t>ST-2750</t>
  </si>
  <si>
    <t>WPA02 Topside Sump Deck Framing Plan - IFA</t>
  </si>
  <si>
    <t>ST-2760</t>
  </si>
  <si>
    <t>WPA02 Topside Sump Deck Framing Plan - AFC</t>
  </si>
  <si>
    <t>ST-2770</t>
  </si>
  <si>
    <t>WPA02 Topside Sump Deck Section &amp; Details (3 Sheets) - IFR</t>
  </si>
  <si>
    <t>ST-2780</t>
  </si>
  <si>
    <t>WPA02 Topside Sump Deck Section &amp; Details (3 Sheets) - IFA</t>
  </si>
  <si>
    <t>ST-2790</t>
  </si>
  <si>
    <t>WPA02 Topside Sump Deck Section &amp; Details (3 Sheets) - AFC</t>
  </si>
  <si>
    <t>ST-2800</t>
  </si>
  <si>
    <t>WPA02 Topside Standard Joint Details for Secondary Beam - IFR</t>
  </si>
  <si>
    <t>ST-2810</t>
  </si>
  <si>
    <t>WPA02 Topside Standard Joint Details for Secondary Beam - IFA</t>
  </si>
  <si>
    <t>ST-2820</t>
  </si>
  <si>
    <t>WPA02 Topside Standard Joint Details for Secondary Beam - AFC</t>
  </si>
  <si>
    <t>ST-2830</t>
  </si>
  <si>
    <t>WPA02 Topside Vent Boom Plan and Elevation - IFR</t>
  </si>
  <si>
    <t>ST-2840</t>
  </si>
  <si>
    <t>WPA02 Topside Vent Boom Plan and Elevation - IFA</t>
  </si>
  <si>
    <t>ST-2850</t>
  </si>
  <si>
    <t>WPA02 Topside Vent Boom Plan and Elevation - AFC</t>
  </si>
  <si>
    <t>ST-2860</t>
  </si>
  <si>
    <t>WPA02 Topside Vent Boom Sections - IFR</t>
  </si>
  <si>
    <t>ST-2870</t>
  </si>
  <si>
    <t>WPA02 Topside Vent Boom Sections - IFA</t>
  </si>
  <si>
    <t>ST-2880</t>
  </si>
  <si>
    <t>WPA02 Topside Vent Boom Sections - AFC</t>
  </si>
  <si>
    <t>ST-2890</t>
  </si>
  <si>
    <t>WPA02 Topside Vent Boom Walkway Plan and Sections - IFR</t>
  </si>
  <si>
    <t>ST-2900</t>
  </si>
  <si>
    <t>WPA02 Topside Vent Boom Walkway Plan and Sections - IFA</t>
  </si>
  <si>
    <t>ST-2910</t>
  </si>
  <si>
    <t>WPA02 Topside Vent Boom Walkway Plan and Sections - AFC</t>
  </si>
  <si>
    <t>ST-2920</t>
  </si>
  <si>
    <t>WPA02 Topside Vent Boom Walkway Section and Details (3 Sheets) - IFR</t>
  </si>
  <si>
    <t>ST-2930</t>
  </si>
  <si>
    <t>WPA02 Topside Vent Boom Walkway Section and Details (3 Sheets) - IFA</t>
  </si>
  <si>
    <t>ST-2940</t>
  </si>
  <si>
    <t>WPA02 Topside Vent Boom Walkway Section and Details (3 Sheets) - AFC</t>
  </si>
  <si>
    <t>ST-2950</t>
  </si>
  <si>
    <t>WPA02 Topside Solar Panel Arrangement &amp; Support Details (7 Sheets) - IFR</t>
  </si>
  <si>
    <t>ST-2960</t>
  </si>
  <si>
    <t>WPA02 Topside Solar Panel Arrangement &amp; Support Details (7 Sheets) - IFA</t>
  </si>
  <si>
    <t>ST-2970</t>
  </si>
  <si>
    <t>WPA02 Topside Solar Panel Arrangement &amp; Support Details (7 Sheets) - AFC</t>
  </si>
  <si>
    <t>ST-2980</t>
  </si>
  <si>
    <t>WPA02 Topside Upper Deck Flooring &amp; Handrail Layout Plan - IFR</t>
  </si>
  <si>
    <t>ST-2990</t>
  </si>
  <si>
    <t>WPA02 Topside Upper Deck Flooring &amp; Handrail Layout Plan - IFA</t>
  </si>
  <si>
    <t>ST-3000</t>
  </si>
  <si>
    <t>WPA02 Topside Upper Deck Flooring &amp; Handrail Layout Plan - AFC</t>
  </si>
  <si>
    <t>ST-3010</t>
  </si>
  <si>
    <t>WPA02 Topside Lower Deck Flooring &amp; Handrail Layout - IFR</t>
  </si>
  <si>
    <t>ST-3020</t>
  </si>
  <si>
    <t>WPA02 Topside Lower Deck Flooring &amp; Handrail Layout - IFA</t>
  </si>
  <si>
    <t>ST-3030</t>
  </si>
  <si>
    <t>WPA02 Topside Lower Deck Flooring &amp; Handrail Layout - AFC</t>
  </si>
  <si>
    <t>ST-3040</t>
  </si>
  <si>
    <t>WPA02 Topside Mezzanine Deck Flooring &amp; Handrail Layout - IFR</t>
  </si>
  <si>
    <t>ST-3050</t>
  </si>
  <si>
    <t>WPA02 Topside Mezzanine Deck Flooring &amp; Handrail Layout - IFA</t>
  </si>
  <si>
    <t>ST-3060</t>
  </si>
  <si>
    <t>WPA02 Topside Mezzanine Deck Flooring &amp; Handrail Layout - AFC</t>
  </si>
  <si>
    <t>ST-3070</t>
  </si>
  <si>
    <t>WPA02 Topside Sump Deck Flooring &amp; Handrail Layout - IFR</t>
  </si>
  <si>
    <t>ST-3080</t>
  </si>
  <si>
    <t>WPA02 Topside Sump Deck Flooring &amp; Handrail Layout - IFA</t>
  </si>
  <si>
    <t>ST-3090</t>
  </si>
  <si>
    <t>WPA02 Topside Sump Deck Flooring &amp; Handrail Layout - AFC</t>
  </si>
  <si>
    <t>ST-3100</t>
  </si>
  <si>
    <t>WPA02 Topside Flooring Sections &amp; Details (2 Sheets) - IFR</t>
  </si>
  <si>
    <t>ST-3110</t>
  </si>
  <si>
    <t>WPA02 Topside Flooring Sections &amp; Details (2 Sheets) - IFA</t>
  </si>
  <si>
    <t>ST-3120</t>
  </si>
  <si>
    <t>WPA02 Topside Flooring Sections &amp; Details (2 Sheets) - AFC</t>
  </si>
  <si>
    <t>ST-3130</t>
  </si>
  <si>
    <t>WPA02 Topside Stairway Layout &amp; Details (11 Sheets) - IFR</t>
  </si>
  <si>
    <t>ST-3140</t>
  </si>
  <si>
    <t>WPA02 Topside Stairway Layout &amp; Details (11 Sheets) - IFA</t>
  </si>
  <si>
    <t>ST-3150</t>
  </si>
  <si>
    <t>WPA02 Topside Stairway Layout &amp; Details (11 Sheets) - AFC</t>
  </si>
  <si>
    <t>ST-3160</t>
  </si>
  <si>
    <t>WPA02 Topside Deck Hatch Arrangement &amp; Details (11 Sheets) - IFR</t>
  </si>
  <si>
    <t>ST-3170</t>
  </si>
  <si>
    <t>WPA02 Topside Deck Hatch Arrangement &amp; Details (11 Sheets) - IFA</t>
  </si>
  <si>
    <t>ST-3180</t>
  </si>
  <si>
    <t>WPA02 Topside Deck Hatch Arrangement &amp; Details (11 Sheets) - AFC</t>
  </si>
  <si>
    <t>ST-3190</t>
  </si>
  <si>
    <t>WPA02 Topside Monorail Layout and Details - IFR</t>
  </si>
  <si>
    <t>ST-3200</t>
  </si>
  <si>
    <t>WPA02 Topside Monorail Layout and Details - IFA</t>
  </si>
  <si>
    <t>ST-3210</t>
  </si>
  <si>
    <t>WPA02 Topside Monorail Layout and Details - AFC</t>
  </si>
  <si>
    <t>ST-3220</t>
  </si>
  <si>
    <t>WPA02 Topside Condensate Burner Boom Support Details (2 Sheets) - IFR</t>
  </si>
  <si>
    <t>ST-3230</t>
  </si>
  <si>
    <t>WPA02 Topside Condensate Burner Boom Support Details (2 Sheets) - IFA</t>
  </si>
  <si>
    <t>ST-3240</t>
  </si>
  <si>
    <t>WPA02 Topside Condensate Burner Boom Support Details (2 Sheets) - AFC</t>
  </si>
  <si>
    <t>ST-3250</t>
  </si>
  <si>
    <t>WPA02 Topside Helideck Marking and Safety Netting Layout - IFR</t>
  </si>
  <si>
    <t>ST-3260</t>
  </si>
  <si>
    <t>WPA02 Topside Helideck Marking and Safety Netting Layout - IFA</t>
  </si>
  <si>
    <t>ST-3270</t>
  </si>
  <si>
    <t>WPA02 Topside Helideck Marking and Safety Netting Layout - AFC</t>
  </si>
  <si>
    <t>ST-3280</t>
  </si>
  <si>
    <t>WPA02 Topside Helideck Marking and Safety Netting Details (2 Sheets) - IFR</t>
  </si>
  <si>
    <t>ST-3290</t>
  </si>
  <si>
    <t>WPA02 Topside Helideck Marking and Safety Netting Details (2 Sheets) - IFA</t>
  </si>
  <si>
    <t>ST-3300</t>
  </si>
  <si>
    <t>WPA02 Topside Helideck Marking and Safety Netting Details (2 Sheets) - AFC</t>
  </si>
  <si>
    <t>ST-3310</t>
  </si>
  <si>
    <t>WPA02 Topside Upper Deck Equipment Support Location Plan - IFR</t>
  </si>
  <si>
    <t>ST-3320</t>
  </si>
  <si>
    <t>WPA02 Topside Upper Deck Equipment Support Location Plan - IFA</t>
  </si>
  <si>
    <t>ST-3330</t>
  </si>
  <si>
    <t>WPA02 Topside Upper Deck Equipment Support Location Plan - AFC</t>
  </si>
  <si>
    <t>ST-3340</t>
  </si>
  <si>
    <t>WPA02 Topside Lower Deck Equipment Support Location Plan - IFR</t>
  </si>
  <si>
    <t>ST-3350</t>
  </si>
  <si>
    <t>WPA02 Topside Lower Deck Equipment Support Location Plan - IFA</t>
  </si>
  <si>
    <t>ST-3360</t>
  </si>
  <si>
    <t>WPA02 Topside Lower Deck Equipment Support Location Plan - AFC</t>
  </si>
  <si>
    <t>ST-3370</t>
  </si>
  <si>
    <t>WPA02 Topside Mezzanine Deck Equipment Support Location Plan - IFR</t>
  </si>
  <si>
    <t>ST-3380</t>
  </si>
  <si>
    <t>WPA02 Topside Mezzanine Deck Equipment Support Location Plan - IFA</t>
  </si>
  <si>
    <t>ST-3390</t>
  </si>
  <si>
    <t>WPA02 Topside Mezzanine Deck Equipment Support Location Plan - AFC</t>
  </si>
  <si>
    <t>ST-3400</t>
  </si>
  <si>
    <t>WPA02 Topside Sump Deck Equipment Support Location Plan - IFR</t>
  </si>
  <si>
    <t>ST-3410</t>
  </si>
  <si>
    <t>WPA02 Topside Sump Deck Equipment Support Location Plan - IFA</t>
  </si>
  <si>
    <t>ST-3420</t>
  </si>
  <si>
    <t>WPA02 Topside Sump Deck Equipment Support Location Plan - AFC</t>
  </si>
  <si>
    <t>ST-3430</t>
  </si>
  <si>
    <t>WPA02 Topside Equipment Support Details (17 Sheets) - IFR</t>
  </si>
  <si>
    <t>ST-3440</t>
  </si>
  <si>
    <t>WPA02 Topside Equipment Support Details (17 Sheets) - IFA</t>
  </si>
  <si>
    <t>ST-3450</t>
  </si>
  <si>
    <t>WPA02 Topside Equipment Support Details (17 Sheets) - AFC</t>
  </si>
  <si>
    <t>ST-3460</t>
  </si>
  <si>
    <t>WPA02 Topside Platform Name Plate Details - IFR</t>
  </si>
  <si>
    <t>ST-3470</t>
  </si>
  <si>
    <t>WPA02 Topside Platform Name Plate Details - IFA</t>
  </si>
  <si>
    <t>ST-3480</t>
  </si>
  <si>
    <t>WPA02 Topside Platform Name Plate Details - AFC</t>
  </si>
  <si>
    <t>ST-3490</t>
  </si>
  <si>
    <t>WPA02 Topside Lifting Configuration - IFR</t>
  </si>
  <si>
    <t>ST-3500</t>
  </si>
  <si>
    <t>WPA02 Topside Lifting Configuration - IFA</t>
  </si>
  <si>
    <t>ST-3510</t>
  </si>
  <si>
    <t>WPA02 Topside Lifting Configuration - AFC</t>
  </si>
  <si>
    <t>ST-3520</t>
  </si>
  <si>
    <t>WPA02 Topside Lifting Padeye Details (4 Sheets) - IFR</t>
  </si>
  <si>
    <t>ST-3530</t>
  </si>
  <si>
    <t>WPA02 Topside Lifting Padeye Details (4 Sheets) - IFA</t>
  </si>
  <si>
    <t>ST-3540</t>
  </si>
  <si>
    <t>WPA02 Topside Lifting Padeye Details (4 Sheets) - AFC</t>
  </si>
  <si>
    <t>ST-3550</t>
  </si>
  <si>
    <t>WPA02 Topside Primary Steel MTO Report - IFR</t>
  </si>
  <si>
    <t>ST-3560</t>
  </si>
  <si>
    <t>WPA02 Topside Primary Steel MTO Report  - IFA</t>
  </si>
  <si>
    <t>ST-3570</t>
  </si>
  <si>
    <t>WPA02 Topside Primary Steel MTO Report - AFC</t>
  </si>
  <si>
    <t>ST-3580</t>
  </si>
  <si>
    <t>WPA02 Topside Secondary and Tertiary Steel MTO Report - IFR</t>
  </si>
  <si>
    <t>ST-3590</t>
  </si>
  <si>
    <t>WPA02 Topside Secondary and Tertiary Steel MTO Report - IFA</t>
  </si>
  <si>
    <t>ST-3600</t>
  </si>
  <si>
    <t>WPA02 Topside Secondary and Tertiary Steel MTO Report - AFC</t>
  </si>
  <si>
    <t>ST-3610</t>
  </si>
  <si>
    <t>WPA02 Topside Computer Modeling and Load Formulation Report - IFR</t>
  </si>
  <si>
    <t>ST-3620</t>
  </si>
  <si>
    <t>WPA02 Topside Computer Modeling and Load Formulation Report - IFA</t>
  </si>
  <si>
    <t>ST-3630</t>
  </si>
  <si>
    <t>WPA02 Topside Computer Modeling and Load Formulation Report - AFC</t>
  </si>
  <si>
    <t>ST-3640</t>
  </si>
  <si>
    <t>WPA02 Topside In-Place Analysis Report - IFR</t>
  </si>
  <si>
    <t>ST-3650</t>
  </si>
  <si>
    <t>WPA02 Topside In-Place Analysis Report - IFA</t>
  </si>
  <si>
    <t>ST-3660</t>
  </si>
  <si>
    <t>WPA02 Topside In-Place Analysis Report - AFC</t>
  </si>
  <si>
    <t>ST-3670</t>
  </si>
  <si>
    <t>WPA02 Topside Loadout Analysis Report - IFR</t>
  </si>
  <si>
    <t>ST-3680</t>
  </si>
  <si>
    <t>WPA02 Topside Loadout Analysis Report - IFA</t>
  </si>
  <si>
    <t>ST-3690</t>
  </si>
  <si>
    <t>WPA02 Topside Loadout Analysis Report - AFC</t>
  </si>
  <si>
    <t>ST-3700</t>
  </si>
  <si>
    <t>WPA02 Topside Transportation Analysis Report - IFR</t>
  </si>
  <si>
    <t>ST-3710</t>
  </si>
  <si>
    <t>WPA02 Topside Transportation Analysis Report - IFA</t>
  </si>
  <si>
    <t>ST-3720</t>
  </si>
  <si>
    <t>WPA02 Topside Transportation Analysis Report - AFC</t>
  </si>
  <si>
    <t>ST-3730</t>
  </si>
  <si>
    <t>WPA02 Topside Transportation Fatigue Analysis Report - IFR</t>
  </si>
  <si>
    <t>ST-3740</t>
  </si>
  <si>
    <t>WPA02 Topside Transportation Fatigue Analysis Report - IFA</t>
  </si>
  <si>
    <t>ST-3750</t>
  </si>
  <si>
    <t>WPA02 Topside Transportation Fatigue Analysis Report - AFC</t>
  </si>
  <si>
    <t>ST-3760</t>
  </si>
  <si>
    <t>WPA02 Topside Lifting Analysis Report - IFR</t>
  </si>
  <si>
    <t>ST-3770</t>
  </si>
  <si>
    <t>WPA02 Topside Lifting Analysis Report - IFA</t>
  </si>
  <si>
    <t>ST-3780</t>
  </si>
  <si>
    <t>WPA02 Topside Lifting Analysis Report - AFC</t>
  </si>
  <si>
    <t>ST-3790</t>
  </si>
  <si>
    <t>WPA02 Topside Miscellaneous Design Report - IFR</t>
  </si>
  <si>
    <t>ST-3800</t>
  </si>
  <si>
    <t>WPA02 Topside Miscellaneous Design Report - IFA</t>
  </si>
  <si>
    <t>ST-3810</t>
  </si>
  <si>
    <t>WPA02 Topside Miscellaneous Design Report - AFC</t>
  </si>
  <si>
    <t>ST-3811</t>
  </si>
  <si>
    <t>WPA02 Topside Finite Element Analysis for Casing Slot and Unihead Spacer Report - IFR</t>
  </si>
  <si>
    <t>ST-3812</t>
  </si>
  <si>
    <t>WPA02 Topside Finite Element Analysis for Casing Slot and Unihead Spacer Report - IFA</t>
  </si>
  <si>
    <t>ST-3813</t>
  </si>
  <si>
    <t>WPA02 Topside Finite Element Analysis for Casing Slot and Unihead Spacer Report - AFC</t>
  </si>
  <si>
    <t>ST-3817</t>
  </si>
  <si>
    <t>WPA02 Structural Design for Dropped Object Report - IFR</t>
  </si>
  <si>
    <t>ST-3818</t>
  </si>
  <si>
    <t>WPA02 Structural Design for Dropped Object Report - IFA</t>
  </si>
  <si>
    <t>ST-3819</t>
  </si>
  <si>
    <t>WPA02 Structural Design for Dropped Object Report - AFC</t>
  </si>
  <si>
    <t>ST-3820</t>
  </si>
  <si>
    <t>WPA02 Topside Weight Control Report - IFR</t>
  </si>
  <si>
    <t>ST-3830</t>
  </si>
  <si>
    <t>WPA02 Topside Weight Control Report - IFA</t>
  </si>
  <si>
    <t>ST-3840</t>
  </si>
  <si>
    <t>WPA02 Topside Weight Control Report - AFC</t>
  </si>
  <si>
    <t>ST-3880</t>
  </si>
  <si>
    <t>Structural Design Basis - IFR</t>
  </si>
  <si>
    <t>ST-3890</t>
  </si>
  <si>
    <t>Structural Design Basis - IFA</t>
  </si>
  <si>
    <t>ST-3900</t>
  </si>
  <si>
    <t>Structural Design Basis - AFC</t>
  </si>
  <si>
    <t>ST-3902</t>
  </si>
  <si>
    <t>Topside General Notes - IFR</t>
  </si>
  <si>
    <t>ST-3904</t>
  </si>
  <si>
    <t>Topside General Notes - IFA</t>
  </si>
  <si>
    <t>ST-3907</t>
  </si>
  <si>
    <t>Topside General Notes - AFC</t>
  </si>
  <si>
    <t>ST-3910</t>
  </si>
  <si>
    <t>Topside Standard Details Welding Detail (2 Sheets) - IFR</t>
  </si>
  <si>
    <t>ST-3920</t>
  </si>
  <si>
    <t>Topside Standard Details Welding Detail (2 Sheets) - IFA</t>
  </si>
  <si>
    <t>ST-3930</t>
  </si>
  <si>
    <t>Topside Standard Details Welding Detail (2 Sheets) - AFC</t>
  </si>
  <si>
    <t>ST-3940</t>
  </si>
  <si>
    <t>Topside Standard Details Beam Connections (4 Sheets) - IFR</t>
  </si>
  <si>
    <t>ST-3950</t>
  </si>
  <si>
    <t>Topside Standard Details Beam Connections (4 Sheets) - IFA</t>
  </si>
  <si>
    <t>ST-3960</t>
  </si>
  <si>
    <t>Topside Standard Details Beam Connections (4 Sheets) - AFC</t>
  </si>
  <si>
    <t>ST-3970</t>
  </si>
  <si>
    <t>Topside Standard Details Tubular Connections - IFR</t>
  </si>
  <si>
    <t>ST-3980</t>
  </si>
  <si>
    <t>Topside Standard Details Tubular Connections - IFA</t>
  </si>
  <si>
    <t>ST-3990</t>
  </si>
  <si>
    <t>Topside Standard Details Tubular Connections - AFC</t>
  </si>
  <si>
    <t>ST-4000</t>
  </si>
  <si>
    <t>Topside Standard Details Handrail Details (2 Sheets) - IFR</t>
  </si>
  <si>
    <t>ST-4010</t>
  </si>
  <si>
    <t>Topside Standard Details Handrail Details (2 Sheets) - IFA</t>
  </si>
  <si>
    <t>ST-4020</t>
  </si>
  <si>
    <t>Topside Standard Details Handrail Details (2 Sheets) - AFC</t>
  </si>
  <si>
    <t>ST-4030</t>
  </si>
  <si>
    <t>Topside Standard Details Ladder Details (3 Sheets) - IFR</t>
  </si>
  <si>
    <t>ST-4040</t>
  </si>
  <si>
    <t>Topside Standard Details Ladder Details (3 Sheets) - IFA</t>
  </si>
  <si>
    <t>ST-4050</t>
  </si>
  <si>
    <t>Topside Standard Details Ladder Details (3 Sheets) - AFC</t>
  </si>
  <si>
    <t>ST-4060</t>
  </si>
  <si>
    <t>Topside Standard Details Plating and Grating Details (2 Sheets) - IFR</t>
  </si>
  <si>
    <t>ST-4070</t>
  </si>
  <si>
    <t>Topside Standard Details Plating and Grating Details (2 Sheets) - IFA</t>
  </si>
  <si>
    <t>ST-4080</t>
  </si>
  <si>
    <t>Topside Standard Details Plating and Grating Details (2 Sheets) - AFC</t>
  </si>
  <si>
    <t>ST-4090</t>
  </si>
  <si>
    <t>Topside Standard Details Deck Drain Details ( 2 Sheets) - IFR</t>
  </si>
  <si>
    <t>ST-4100</t>
  </si>
  <si>
    <t>Topside Standard Details Deck Drain Details ( 2 Sheets) - IFA</t>
  </si>
  <si>
    <t>ST-4110</t>
  </si>
  <si>
    <t>Topside Standard Details Deck Drain Details ( 2 Sheets) - AFC</t>
  </si>
  <si>
    <t>ST-4120</t>
  </si>
  <si>
    <t>Topside Standard Details Logo Painting - IFR</t>
  </si>
  <si>
    <t>ST-4130</t>
  </si>
  <si>
    <t>Topside Standard Details Logo Painting - IFA</t>
  </si>
  <si>
    <t>ST-4140</t>
  </si>
  <si>
    <t>Topside Standard Details Logo Painting - AFC</t>
  </si>
  <si>
    <t>ST-4150</t>
  </si>
  <si>
    <t>Topside Casing Slot Arrangement (2 Sheets) - IFR</t>
  </si>
  <si>
    <t>ST-4160</t>
  </si>
  <si>
    <t>Topside Casing Slot Arrangement (2 Sheets) - IFA</t>
  </si>
  <si>
    <t>ST-4170</t>
  </si>
  <si>
    <t>Topside Casing Slot Arrangement (2 Sheets) - AFC</t>
  </si>
  <si>
    <t>ST-4180</t>
  </si>
  <si>
    <t>Topside Unihead Spacer Arrangement and Details (2 Sheets) - IFR</t>
  </si>
  <si>
    <t>ST-4190</t>
  </si>
  <si>
    <t>Topside Unihead Spacer Arrangement and Details (2 Sheets) - IFA</t>
  </si>
  <si>
    <t>ST-4200</t>
  </si>
  <si>
    <t>Topside Unihead Spacer Arrangement and Details (2 Sheets) - AFC</t>
  </si>
  <si>
    <t>ST-4210</t>
  </si>
  <si>
    <t>Topside Deck to Pile Connection Details - IFR</t>
  </si>
  <si>
    <t>ST-4220</t>
  </si>
  <si>
    <t>Topside Deck to Pile Connection Details - IFA</t>
  </si>
  <si>
    <t>ST-4230</t>
  </si>
  <si>
    <t>Topside Deck to Pile Connection Details - AFC</t>
  </si>
  <si>
    <t>ST-4240</t>
  </si>
  <si>
    <t>Topside E&amp;I Room Plans and Elevations (2 Sheets) - IFR</t>
  </si>
  <si>
    <t>ST-4250</t>
  </si>
  <si>
    <t>Topside E&amp;I Room Plans and Elevations (2 Sheets) - IFA</t>
  </si>
  <si>
    <t>ST-4260</t>
  </si>
  <si>
    <t>Topside E&amp;I Room Plans and Elevations (2 Sheets) - AFC</t>
  </si>
  <si>
    <t>ST-4270</t>
  </si>
  <si>
    <t>Topside E&amp;I Room Sections and Details (2 Sheets) - IFR</t>
  </si>
  <si>
    <t>ST-4280</t>
  </si>
  <si>
    <t>Topside E&amp;I Room Sections and Details (2 Sheets) - IFA</t>
  </si>
  <si>
    <t>ST-4290</t>
  </si>
  <si>
    <t>Topside E&amp;I Room Sections and Details (2 Sheets) - AFC</t>
  </si>
  <si>
    <t>ST-4300</t>
  </si>
  <si>
    <t>Topside Crane Boom Rest Details - IFR</t>
  </si>
  <si>
    <t>ST-4310</t>
  </si>
  <si>
    <t>Topside Crane Boom Rest Details - IFA</t>
  </si>
  <si>
    <t>ST-4320</t>
  </si>
  <si>
    <t>Topside Crane Boom Rest Details - AFC</t>
  </si>
  <si>
    <t>ST-4330</t>
  </si>
  <si>
    <t>Topside Amenities Cubicle Plan, Sections and Details (2 Sheets) - IFR</t>
  </si>
  <si>
    <t>ST-4340</t>
  </si>
  <si>
    <t>Topside Amenities Cubicle Plan, Sections and Details (2 Sheets) - IFA</t>
  </si>
  <si>
    <t>ST-4350</t>
  </si>
  <si>
    <t>Topside Amenities Cubicle Plan, Sections and Details (2 Sheets) - AFC</t>
  </si>
  <si>
    <t>ST-4360</t>
  </si>
  <si>
    <t>Topside Swing Ropes and Details (2 Sheets) - IFR</t>
  </si>
  <si>
    <t>ST-4370</t>
  </si>
  <si>
    <t>Topside Swing Ropes and Details (2 Sheets) - IFA</t>
  </si>
  <si>
    <t>ST-4380</t>
  </si>
  <si>
    <t>Topside Swing Ropes and Details (2 Sheets) - AFC</t>
  </si>
  <si>
    <t>ST-4390</t>
  </si>
  <si>
    <t>Topside Life Raft and Descending Device Support Details - IFR</t>
  </si>
  <si>
    <t>ST-4400</t>
  </si>
  <si>
    <t>Topside Life Raft and Descending Device Support Details - IFA</t>
  </si>
  <si>
    <t>ST-4410</t>
  </si>
  <si>
    <t>Topside Life Raft and Descending Device Support Details - AFC</t>
  </si>
  <si>
    <t>ST-4420</t>
  </si>
  <si>
    <t>Weight Control Procedure - IFR</t>
  </si>
  <si>
    <t>ST-4430</t>
  </si>
  <si>
    <t>Weight Control Procedure - IFA</t>
  </si>
  <si>
    <t>ST-4440</t>
  </si>
  <si>
    <t>Weight Control Procedure - AFC</t>
  </si>
  <si>
    <t>STRUCTUREENGINEERING-JACKET</t>
  </si>
  <si>
    <t>STJ-1000</t>
  </si>
  <si>
    <t>WPA01 Jacket Loadout Analysis Report - IFR</t>
  </si>
  <si>
    <t>STJ-1010</t>
  </si>
  <si>
    <t>WPA01 Jacket Loadout Analysis Report - IFA</t>
  </si>
  <si>
    <t>STJ-1020</t>
  </si>
  <si>
    <t>WPA01 Jacket Loadout Analysis Report - AFC</t>
  </si>
  <si>
    <t>STJ-1030</t>
  </si>
  <si>
    <t>WPA02 Jacket Loadout Analysis Report - IFR</t>
  </si>
  <si>
    <t>STJ-1040</t>
  </si>
  <si>
    <t>WPA02 Jacket Loadout Analysis Report - IFA</t>
  </si>
  <si>
    <t>STJ-1050</t>
  </si>
  <si>
    <t>WPA02 Jacket Loadout Analysis Report - AFC</t>
  </si>
  <si>
    <t>STJ-1060</t>
  </si>
  <si>
    <t>WPA01 Jacket Transportation Analysis Report - IFR</t>
  </si>
  <si>
    <t>STJ-1070</t>
  </si>
  <si>
    <t>WPA01 Jacket Transportation Analysis Report - IFA</t>
  </si>
  <si>
    <t>STJ-1080</t>
  </si>
  <si>
    <t>WPA01 Jacket Transportation Analysis Report - AFC</t>
  </si>
  <si>
    <t>STJ-1090</t>
  </si>
  <si>
    <t>WPA02 Jacket Transportation Analysis Report - IFR</t>
  </si>
  <si>
    <t>STJ-1100</t>
  </si>
  <si>
    <t>WPA02 Jacket Transportation Analysis Report - IFA</t>
  </si>
  <si>
    <t>STJ-1110</t>
  </si>
  <si>
    <t>WPA02 Jacket Transportation Analysis Report - AFC</t>
  </si>
  <si>
    <t>STJ-1120</t>
  </si>
  <si>
    <t>WPA01 Jacket Lifting Analysis Report - IFR</t>
  </si>
  <si>
    <t>STJ-1130</t>
  </si>
  <si>
    <t>WPA01 Jacket Lifting Analysis Report - IFA</t>
  </si>
  <si>
    <t>STJ-1140</t>
  </si>
  <si>
    <t>WPA01 Jacket Lifting Analysis Report - AFC</t>
  </si>
  <si>
    <t>STJ-1150</t>
  </si>
  <si>
    <t>WPA02 Jacket Lifting Analysis Report - IFR</t>
  </si>
  <si>
    <t>STJ-1160</t>
  </si>
  <si>
    <t>WPA02 Jacket Lifting Analysis Report - IFA</t>
  </si>
  <si>
    <t>STJ-1170</t>
  </si>
  <si>
    <t>WPA02 Jacket Lifting Analysis Report - AFC</t>
  </si>
  <si>
    <t>STJ-1180</t>
  </si>
  <si>
    <t>WPA01 Jacket Miscellaneous Design Report - IFR</t>
  </si>
  <si>
    <t>STJ-1190</t>
  </si>
  <si>
    <t>WPA01 Jacket Miscellaneous Design Report - IFA</t>
  </si>
  <si>
    <t>STJ-1200</t>
  </si>
  <si>
    <t>WPA01 Jacket Miscellaneous Design Report - AFC</t>
  </si>
  <si>
    <t>STJ-1210</t>
  </si>
  <si>
    <t>WPA02 Jacket Miscellaneous Design Report - IFR</t>
  </si>
  <si>
    <t>STJ-1220</t>
  </si>
  <si>
    <t>WPA02 Jacket Miscellaneous Design Report - IFA</t>
  </si>
  <si>
    <t>STJ-1230</t>
  </si>
  <si>
    <t>WPA02 Jacket Miscellaneous Design Report - AFC</t>
  </si>
  <si>
    <t>STJ-1240</t>
  </si>
  <si>
    <t>Jacket General Notes (2 Sheets) - IFR</t>
  </si>
  <si>
    <t>STJ-1250</t>
  </si>
  <si>
    <t>Jacket General Notes (2 Sheets) - IFA</t>
  </si>
  <si>
    <t>STJ-1260</t>
  </si>
  <si>
    <t>Jacket General Notes (2 Sheets) - AFC</t>
  </si>
  <si>
    <t>STJ-1270</t>
  </si>
  <si>
    <t>Jacket Casing Guides Layout - IFR</t>
  </si>
  <si>
    <t>STJ-1280</t>
  </si>
  <si>
    <t>Jacket Casing Guides Layout - IFA</t>
  </si>
  <si>
    <t>STJ-1290</t>
  </si>
  <si>
    <t>Jacket Casing Guides Layout - AFC</t>
  </si>
  <si>
    <t>STJ-1300</t>
  </si>
  <si>
    <t>Jacket Casing Guides Section &amp; Details (3 Sheets) - IFR</t>
  </si>
  <si>
    <t>STJ-1310</t>
  </si>
  <si>
    <t>Jacket Casing Guides Section &amp; Details (3 Sheets) - IFA</t>
  </si>
  <si>
    <t>STJ-1320</t>
  </si>
  <si>
    <t>Jacket Casing Guides Section &amp; Details (3 Sheets) - AFC</t>
  </si>
  <si>
    <t>STJ-1330</t>
  </si>
  <si>
    <t>Jacket Pile to Jacket Connection Details - IFR</t>
  </si>
  <si>
    <t>STJ-1340</t>
  </si>
  <si>
    <t>Jacket Pile to Jacket Connection Details - IFA</t>
  </si>
  <si>
    <t>STJ-1350</t>
  </si>
  <si>
    <t>Jacket Pile to Jacket Connection Details - AFC</t>
  </si>
  <si>
    <t>STJ-1360</t>
  </si>
  <si>
    <t>Jacket Boatlanding Arrangement - IFR</t>
  </si>
  <si>
    <t>STJ-1370</t>
  </si>
  <si>
    <t>Jacket Boatlanding Arrangement - IFA</t>
  </si>
  <si>
    <t>STJ-1380</t>
  </si>
  <si>
    <t>Jacket Boatlanding Arrangement - AFC</t>
  </si>
  <si>
    <t>STJ-1390</t>
  </si>
  <si>
    <t>Jacket Boatlanding Section &amp; Details (7 Sheets) - IFR</t>
  </si>
  <si>
    <t>STJ-1400</t>
  </si>
  <si>
    <t>Jacket Boatlanding Section &amp; Details (7 Sheets) - IFA</t>
  </si>
  <si>
    <t>STJ-1410</t>
  </si>
  <si>
    <t>Jacket Boatlanding Section &amp; Details (7 Sheets) - AFC</t>
  </si>
  <si>
    <t>STJ-1420</t>
  </si>
  <si>
    <t>Jacket Paint Marking Details - IFR</t>
  </si>
  <si>
    <t>STJ-1430</t>
  </si>
  <si>
    <t>Jacket Paint Marking Details - IFA</t>
  </si>
  <si>
    <t>STJ-1440</t>
  </si>
  <si>
    <t>Jacket Paint Marking Details - AFC</t>
  </si>
  <si>
    <t>STJ-1450</t>
  </si>
  <si>
    <t>Jacket Vortex Shedding Prevention Plan &amp; Details - IFR</t>
  </si>
  <si>
    <t>STJ-1460</t>
  </si>
  <si>
    <t>Jacket Vortex Shedding Prevention Plan &amp; Details - IFA</t>
  </si>
  <si>
    <t>STJ-1470</t>
  </si>
  <si>
    <t>Jacket Vortex Shedding Prevention Plan &amp; Details - AFC</t>
  </si>
  <si>
    <t>STJ-1480</t>
  </si>
  <si>
    <t>WPA01 Jacket Computer Modelling &amp; Load Formulation Report - IFR</t>
  </si>
  <si>
    <t>STJ-1490</t>
  </si>
  <si>
    <t>WPA01 Jacket Computer Modelling &amp; Load Formulation Report - IFA</t>
  </si>
  <si>
    <t>STJ-1500</t>
  </si>
  <si>
    <t>WPA01 Jacket Computer Modelling &amp; Load Formulation Report - AFC</t>
  </si>
  <si>
    <t>STJ-1510</t>
  </si>
  <si>
    <t>WPA01 Jacket In-place Analysis Report - IFR</t>
  </si>
  <si>
    <t>STJ-1520</t>
  </si>
  <si>
    <t>WPA01 Jacket In-place Analysis Report - IFA</t>
  </si>
  <si>
    <t>STJ-1530</t>
  </si>
  <si>
    <t>WPA01 Jacket In-place Analysis Report - AFC</t>
  </si>
  <si>
    <t>STJ-1540</t>
  </si>
  <si>
    <t>WPA01 Jacket Dynamic Analysis Report - IFR</t>
  </si>
  <si>
    <t>STJ-1550</t>
  </si>
  <si>
    <t>WPA01 Jacket Dynamic Analysis Report - IFA</t>
  </si>
  <si>
    <t>STJ-1560</t>
  </si>
  <si>
    <t>WPA01 Jacket Dynamic Analysis Report - AFC</t>
  </si>
  <si>
    <t>STJ-1570</t>
  </si>
  <si>
    <t>WPA01 Platform Spectral Fatigue Analysis Report - IFR</t>
  </si>
  <si>
    <t>STJ-1580</t>
  </si>
  <si>
    <t>WPA01 Platform Spectral Fatigue Analysis Report - IFA</t>
  </si>
  <si>
    <t>STJ-1590</t>
  </si>
  <si>
    <t>WPA01 Platform Spectral Fatigue Analysis Report - AFC</t>
  </si>
  <si>
    <t>STJ-1600</t>
  </si>
  <si>
    <t>WPA01 Jacket On-bottom Stability Analysis &amp; Mudmat Design Report - IFR</t>
  </si>
  <si>
    <t>STJ-1610</t>
  </si>
  <si>
    <t>WPA01 Jacket On-bottom Stability Analysis &amp; Mudmat Design Report - IFA</t>
  </si>
  <si>
    <t>STJ-1620</t>
  </si>
  <si>
    <t>WPA01 Jacket On-bottom Stability Analysis &amp; Mudmat Design Report - AFC</t>
  </si>
  <si>
    <t>STJ-1630</t>
  </si>
  <si>
    <t>WPA01 Jacket Cathodic Protection Design Report - IFR</t>
  </si>
  <si>
    <t>STJ-1640</t>
  </si>
  <si>
    <t>WPA01 Jacket Cathodic Protection Design Report - IFA</t>
  </si>
  <si>
    <t>STJ-1650</t>
  </si>
  <si>
    <t>WPA01 Jacket Cathodic Protection Design Report - AFC</t>
  </si>
  <si>
    <t>STJ-1660</t>
  </si>
  <si>
    <t>WPA01 Topside and Jacket Seismic Analysis Report (Extreme Level Earthquake - ELE) - IFR</t>
  </si>
  <si>
    <t>STJ-1670</t>
  </si>
  <si>
    <t>WPA01 Topside and Jacket Seismic Analysis Report (Extreme Level Earthquake - ELE) - IFA</t>
  </si>
  <si>
    <t>STJ-1680</t>
  </si>
  <si>
    <t>WPA01 Topside and Jacket Seismic Analysis Report (Extreme Level Earthquake - ELE) - AFC</t>
  </si>
  <si>
    <t>STJ-1690</t>
  </si>
  <si>
    <t>WPA01 Topside and Jacket Seismic Analysis Report (Abnormal Level Earthquake - ALE) - IFR</t>
  </si>
  <si>
    <t>STJ-1700</t>
  </si>
  <si>
    <t>WPA01 Topside and Jacket Seismic Analysis Report (Abnormal Level Earthquake - ALE) - IFA</t>
  </si>
  <si>
    <t>STJ-1710</t>
  </si>
  <si>
    <t>WPA01 Topside and Jacket Seismic Analysis Report (Abnormal Level Earthquake - ALE) - AFC</t>
  </si>
  <si>
    <t>STJ-1720</t>
  </si>
  <si>
    <t>WPA01 Boat Impact Analysis - IFR</t>
  </si>
  <si>
    <t>STJ-1730</t>
  </si>
  <si>
    <t>WPA01 Boat Impact Analysis - IFA</t>
  </si>
  <si>
    <t>STJ-1740</t>
  </si>
  <si>
    <t>WPA01 Boat Impact Analysis - AFC</t>
  </si>
  <si>
    <t>STJ-1750</t>
  </si>
  <si>
    <t>WPA01 Non-Linear Static Pushover Analysis - IFR</t>
  </si>
  <si>
    <t>STJ-1760</t>
  </si>
  <si>
    <t>WPA01 Non-Linear Static Pushover Analysis - IFA</t>
  </si>
  <si>
    <t>STJ-1770</t>
  </si>
  <si>
    <t>WPA01 Non-Linear Static Pushover Analysis - AFC</t>
  </si>
  <si>
    <t>STJ-1780</t>
  </si>
  <si>
    <t>WPA01 Jacket Transportation Fatigue Analysis Report - IFR</t>
  </si>
  <si>
    <t>STJ-1790</t>
  </si>
  <si>
    <t>WPA01 Jacket Transportation Fatigue Analysis Report - IFA</t>
  </si>
  <si>
    <t>STJ-1800</t>
  </si>
  <si>
    <t>WPA01 Jacket Transportation Fatigue Analysis Report - AFC</t>
  </si>
  <si>
    <t>STJ-1810</t>
  </si>
  <si>
    <t>WPA01 Levelling Analysis Report - IFR</t>
  </si>
  <si>
    <t>STJ-1820</t>
  </si>
  <si>
    <t>WPA01 Levelling Analysis Report - IFA</t>
  </si>
  <si>
    <t>STJ-1830</t>
  </si>
  <si>
    <t>WPA01 Levelling Analysis Report - AFC</t>
  </si>
  <si>
    <t>STJ-1840</t>
  </si>
  <si>
    <t>WPA01 Pile Fatigue, Pile Handling, Stuck-Up and Pile Driving Analysis Report - IFR</t>
  </si>
  <si>
    <t>STJ-1850</t>
  </si>
  <si>
    <t>WPA01 Pile Fatigue, Pile Handling, Stuck-Up and Pile Driving Analysis Report - IFA</t>
  </si>
  <si>
    <t>STJ-1860</t>
  </si>
  <si>
    <t>WPA01 Pile Fatigue, Pile Handling, Stuck-Up and Pile Driving Analysis Report - AFC</t>
  </si>
  <si>
    <t>STJ-1870</t>
  </si>
  <si>
    <t>WPA01 Jacket - Drawing Index - IFR</t>
  </si>
  <si>
    <t>STJ-1880</t>
  </si>
  <si>
    <t>WPA01 Jacket - Drawing Index - IFA</t>
  </si>
  <si>
    <t>STJ-1890</t>
  </si>
  <si>
    <t>WPA01 Jacket - Drawing Index - AFC</t>
  </si>
  <si>
    <t>STJ-1900</t>
  </si>
  <si>
    <t>WPA01 Jacket - Elevation Row A, B, 1, 2 - IFR</t>
  </si>
  <si>
    <t>STJ-1910</t>
  </si>
  <si>
    <t>WPA01 Jacket - Elevation Row A, B, 1, 2 - IFA</t>
  </si>
  <si>
    <t>STJ-1920</t>
  </si>
  <si>
    <t>WPA01 Jacket - Elevation Row A, B, 1, 2 - AFC</t>
  </si>
  <si>
    <t>STJ-1930</t>
  </si>
  <si>
    <t>WPA01 Jacket - Horizontal Framing Plan (4 Sheets) - IFR</t>
  </si>
  <si>
    <t>STJ-1940</t>
  </si>
  <si>
    <t>WPA01 Jacket - Horizontal Framing Plan (4 Sheets) - IFA</t>
  </si>
  <si>
    <t>STJ-1950</t>
  </si>
  <si>
    <t>WPA01 Jacket - Horizontal Framing Plan (4 Sheets) - AFC</t>
  </si>
  <si>
    <t>STJ-1960</t>
  </si>
  <si>
    <t>WPA01 Jacket - Sections - IFR</t>
  </si>
  <si>
    <t>STJ-1970</t>
  </si>
  <si>
    <t>WPA01 Jacket - Sections - IFA</t>
  </si>
  <si>
    <t>STJ-1980</t>
  </si>
  <si>
    <t>WPA01 Jacket - Sections - AFC</t>
  </si>
  <si>
    <t>STJ-1990</t>
  </si>
  <si>
    <t>WPA01 Jacket - Pile Make Up &amp; Details (2 Sheets) - IFR</t>
  </si>
  <si>
    <t>STJ-2000</t>
  </si>
  <si>
    <t>WPA01 Jacket - Pile Make Up &amp; Details (2 Sheets) - IFA</t>
  </si>
  <si>
    <t>STJ-2010</t>
  </si>
  <si>
    <t>WPA01 Jacket - Pile Make Up &amp; Details (2 Sheets) - AFC</t>
  </si>
  <si>
    <t>STJ-2020</t>
  </si>
  <si>
    <t>WPA01 Jacket - Pile Marking Details - IFR</t>
  </si>
  <si>
    <t>STJ-2030</t>
  </si>
  <si>
    <t>WPA01 Jacket - Pile Marking Details - IFA</t>
  </si>
  <si>
    <t>STJ-2040</t>
  </si>
  <si>
    <t>WPA01 Jacket - Pile Marking Details - AFC</t>
  </si>
  <si>
    <t>STJ-2050</t>
  </si>
  <si>
    <t>WPA01 Jacket - Access Walkway Layout &amp; Details (3 Sheets) - IFR</t>
  </si>
  <si>
    <t>STJ-2060</t>
  </si>
  <si>
    <t>WPA01 Jacket - Access Walkway Layout &amp; Details (3 Sheets) - IFA</t>
  </si>
  <si>
    <t>STJ-2070</t>
  </si>
  <si>
    <t>WPA01 Jacket - Access Walkway Layout &amp; Details (3 Sheets) - AFC</t>
  </si>
  <si>
    <t>STJ-2080</t>
  </si>
  <si>
    <t>WPA01 Jacket - Anode Layout &amp; Details - IFR</t>
  </si>
  <si>
    <t>STJ-2090</t>
  </si>
  <si>
    <t>WPA01 Jacket - Anode Layout &amp; Details - IFA</t>
  </si>
  <si>
    <t>STJ-2100</t>
  </si>
  <si>
    <t>WPA01 Jacket - Anode Layout &amp; Details - AFC</t>
  </si>
  <si>
    <t>STJ-2110</t>
  </si>
  <si>
    <t>WPA01 Jacket - Mudmat Layout &amp; Details (2 Sheets) - IFR</t>
  </si>
  <si>
    <t>STJ-2120</t>
  </si>
  <si>
    <t>WPA01 Jacket - Mudmat Layout &amp; Details (2 Sheets) - IFA</t>
  </si>
  <si>
    <t>STJ-2130</t>
  </si>
  <si>
    <t>WPA01 Jacket - Mudmat Layout &amp; Details (2 Sheets) - AFC</t>
  </si>
  <si>
    <t>STJ-2140</t>
  </si>
  <si>
    <t>WPA01 Jacket - Lifting Configuration - IFR</t>
  </si>
  <si>
    <t>STJ-2150</t>
  </si>
  <si>
    <t>WPA01 Jacket - Lifting Configuration - IFA</t>
  </si>
  <si>
    <t>STJ-2160</t>
  </si>
  <si>
    <t>WPA01 Jacket - Lifting Configuration - AFC</t>
  </si>
  <si>
    <t>STJ-2170</t>
  </si>
  <si>
    <t>WPA01 Jacket - Lifting Padeye Details - IFR</t>
  </si>
  <si>
    <t>STJ-2180</t>
  </si>
  <si>
    <t>WPA01 Jacket - Lifting Padeye Details - IFA</t>
  </si>
  <si>
    <t>STJ-2190</t>
  </si>
  <si>
    <t>WPA01 Jacket - Lifting Padeye Details - AFC</t>
  </si>
  <si>
    <t>STJ-2200</t>
  </si>
  <si>
    <t>WPA01 Jacket - Lowering Sequence - IFR</t>
  </si>
  <si>
    <t>STJ-2210</t>
  </si>
  <si>
    <t>WPA01 Jacket - Lowering Sequence - IFA</t>
  </si>
  <si>
    <t>STJ-2220</t>
  </si>
  <si>
    <t>WPA01 Jacket - Lowering Sequence - AFC</t>
  </si>
  <si>
    <t>STJ-2230</t>
  </si>
  <si>
    <t>WPA01 - TAD Rig Clearance Check - IFR</t>
  </si>
  <si>
    <t>STJ-2240</t>
  </si>
  <si>
    <t>WPA01 - TAD Rig Clearance Check - IFA</t>
  </si>
  <si>
    <t>STJ-2250</t>
  </si>
  <si>
    <t>WPA01 - TAD Rig Clearance Check - AFC</t>
  </si>
  <si>
    <t>STJ-2260</t>
  </si>
  <si>
    <t>WPA02 Jacket Computer Modelling &amp; Load Formulation Report - IFR</t>
  </si>
  <si>
    <t>STJ-2270</t>
  </si>
  <si>
    <t>WPA02 Jacket Computer Modelling &amp; Load Formulation Report - IFA</t>
  </si>
  <si>
    <t>STJ-2280</t>
  </si>
  <si>
    <t>WPA02 Jacket Computer Modelling &amp; Load Formulation Report - AFC</t>
  </si>
  <si>
    <t>STJ-2290</t>
  </si>
  <si>
    <t>WPA02 Jacket In-place Analysis Report - IFR</t>
  </si>
  <si>
    <t>STJ-2300</t>
  </si>
  <si>
    <t>WPA02 Jacket In-place Analysis Report - IFA</t>
  </si>
  <si>
    <t>STJ-2310</t>
  </si>
  <si>
    <t>WPA02 Jacket In-place Analysis Report - AFC</t>
  </si>
  <si>
    <t>STJ-2320</t>
  </si>
  <si>
    <t>WPA02 Jacket Dynamic Analysis Report - IFR</t>
  </si>
  <si>
    <t>STJ-2330</t>
  </si>
  <si>
    <t>WPA02 Jacket Dynamic Analysis Report - IFA</t>
  </si>
  <si>
    <t>STJ-2340</t>
  </si>
  <si>
    <t>WPA02 Jacket Dynamic Analysis Report - AFC</t>
  </si>
  <si>
    <t>STJ-2350</t>
  </si>
  <si>
    <t>WPA02 Platform Spectral Fatigue Analysis Report - IFR</t>
  </si>
  <si>
    <t>STJ-2360</t>
  </si>
  <si>
    <t>WPA02 Platform Spectral Fatigue Analysis Report - IFA</t>
  </si>
  <si>
    <t>STJ-2370</t>
  </si>
  <si>
    <t>WPA02 Platform Spectral Fatigue Analysis Report - AFC</t>
  </si>
  <si>
    <t>STJ-2380</t>
  </si>
  <si>
    <t>WPA02 Jacket On-bottom Stability Analysis &amp; Mudmat Design Report - IFR</t>
  </si>
  <si>
    <t>STJ-2390</t>
  </si>
  <si>
    <t>WPA02 Jacket On-bottom Stability Analysis &amp; Mudmat Design Report - IFA</t>
  </si>
  <si>
    <t>STJ-2400</t>
  </si>
  <si>
    <t>WPA02 Jacket On-bottom Stability Analysis &amp; Mudmat Design Report - AFC</t>
  </si>
  <si>
    <t>STJ-2410</t>
  </si>
  <si>
    <t>WPA02 Topside and Jacket Seismic Analysis Report (Extreme Level Earthquake - ELE) - IFR</t>
  </si>
  <si>
    <t>STJ-2420</t>
  </si>
  <si>
    <t>WPA02 Topside and Jacket Seismic Analysis Report (Extreme Level Earthquake - ELE) - IFA</t>
  </si>
  <si>
    <t>STJ-2430</t>
  </si>
  <si>
    <t>WPA02 Topside and Jacket Seismic Analysis Report (Extreme Level Earthquake - ELE) - AFC</t>
  </si>
  <si>
    <t>STJ-2440</t>
  </si>
  <si>
    <t>WPA02 Topside and Jacket Seismic Analysis Report (Abnormal Level Earthquake - ALE) - IFR</t>
  </si>
  <si>
    <t>STJ-2450</t>
  </si>
  <si>
    <t>WPA02 Topside and Jacket Seismic Analysis Report (Abnormal Level Earthquake - ALE) - IFA</t>
  </si>
  <si>
    <t>STJ-2460</t>
  </si>
  <si>
    <t>WPA02 Topside and Jacket Seismic Analysis Report (Abnormal Level Earthquake - ALE) - AFC</t>
  </si>
  <si>
    <t>STJ-2470</t>
  </si>
  <si>
    <t>WPA02 Boat Impact Analysis - IFR</t>
  </si>
  <si>
    <t>STJ-2480</t>
  </si>
  <si>
    <t>WPA02 Boat Impact Analysis - IFA</t>
  </si>
  <si>
    <t>STJ-2490</t>
  </si>
  <si>
    <t>WPA02 Boat Impact Analysis - AFC</t>
  </si>
  <si>
    <t>STJ-2500</t>
  </si>
  <si>
    <t>WPA02 Non-Linear Static Pushover Analysis - IFR</t>
  </si>
  <si>
    <t>STJ-2510</t>
  </si>
  <si>
    <t>WPA02 Non-Linear Static Pushover Analysis - IFA</t>
  </si>
  <si>
    <t>STJ-2520</t>
  </si>
  <si>
    <t>WPA02 Non-Linear Static Pushover Analysis - AFC</t>
  </si>
  <si>
    <t>STJ-2530</t>
  </si>
  <si>
    <t>WPA02 Jacket Transportation Fatigue Analysis Report - IFR</t>
  </si>
  <si>
    <t>STJ-2540</t>
  </si>
  <si>
    <t>WPA02 Jacket Transportation Fatigue Analysis Report - IFA</t>
  </si>
  <si>
    <t>STJ-2550</t>
  </si>
  <si>
    <t>WPA02 Jacket Transportation Fatigue Analysis Report - AFC</t>
  </si>
  <si>
    <t>STJ-2560</t>
  </si>
  <si>
    <t>WPA02 Levelling Analysis Report - IFR</t>
  </si>
  <si>
    <t>STJ-2570</t>
  </si>
  <si>
    <t>WPA02 Levelling Analysis Report - IFA</t>
  </si>
  <si>
    <t>STJ-2580</t>
  </si>
  <si>
    <t>WPA02 Levelling Analysis Report - AFC</t>
  </si>
  <si>
    <t>STJ-2590</t>
  </si>
  <si>
    <t>WPA02 Pile Fatigue, Pile Handling, Stuck-Up and Pile Driving Analysis Report - IFR</t>
  </si>
  <si>
    <t>STJ-2600</t>
  </si>
  <si>
    <t>WPA02 Pile Fatigue, Pile Handling, Stuck-Up and Pile Driving Analysis Report - IFA</t>
  </si>
  <si>
    <t>STJ-2610</t>
  </si>
  <si>
    <t>WPA02 Pile Fatigue, Pile Handling, Stuck-Up and Pile Driving Analysis Report - AFC</t>
  </si>
  <si>
    <t>STJ-2620</t>
  </si>
  <si>
    <t>WPA02 Jacket Cathodic Protection Design Report - IFR</t>
  </si>
  <si>
    <t>STJ-2630</t>
  </si>
  <si>
    <t>WPA02 Jacket Cathodic Protection Design Report - IFA</t>
  </si>
  <si>
    <t>STJ-2640</t>
  </si>
  <si>
    <t>WPA02 Jacket Cathodic Protection Design Report - AFC</t>
  </si>
  <si>
    <t>STJ-2650</t>
  </si>
  <si>
    <t>WPA02 Jacket - Drawing Index - IFR</t>
  </si>
  <si>
    <t>STJ-2660</t>
  </si>
  <si>
    <t>WPA02 Jacket - Drawing Index - IFA</t>
  </si>
  <si>
    <t>STJ-2670</t>
  </si>
  <si>
    <t>WPA02 Jacket - Drawing Index - AFC</t>
  </si>
  <si>
    <t>STJ-2680</t>
  </si>
  <si>
    <t>WPA02 Jacket - Elevation Row A, B, 1, 2 - IFR</t>
  </si>
  <si>
    <t>STJ-2690</t>
  </si>
  <si>
    <t>WPA02 Jacket - Elevation Row A, B, 1, 2 - IFA</t>
  </si>
  <si>
    <t>STJ-2700</t>
  </si>
  <si>
    <t>WPA02 Jacket - Elevation Row A, B, 1, 2 - AFC</t>
  </si>
  <si>
    <t>STJ-2710</t>
  </si>
  <si>
    <t>WPA02 Jacket - Horizontal Framing Plan (4 Sheets) - IFR</t>
  </si>
  <si>
    <t>STJ-2720</t>
  </si>
  <si>
    <t>WPA02 Jacket - Horizontal Framing Plan (4 Sheets) - IFA</t>
  </si>
  <si>
    <t>STJ-2730</t>
  </si>
  <si>
    <t>WPA02 Jacket - Horizontal Framing Plan (4 Sheets) - AFC</t>
  </si>
  <si>
    <t>STJ-2740</t>
  </si>
  <si>
    <t>WPA02 Jacket - Sections - IFR</t>
  </si>
  <si>
    <t>STJ-2750</t>
  </si>
  <si>
    <t>WPA02 Jacket - Sections - IFA</t>
  </si>
  <si>
    <t>STJ-2760</t>
  </si>
  <si>
    <t>WPA02 Jacket - Sections - AFC</t>
  </si>
  <si>
    <t>STJ-2770</t>
  </si>
  <si>
    <t>WPA02 Jacket - Pile Make Up &amp; Details (2 Sheets) - IFR</t>
  </si>
  <si>
    <t>STJ-2780</t>
  </si>
  <si>
    <t>WPA02 Jacket - Pile Make Up &amp; Details (2 Sheets) - IFA</t>
  </si>
  <si>
    <t>STJ-2790</t>
  </si>
  <si>
    <t>WPA02 Jacket - Pile Make Up &amp; Details (2 Sheets) - AFC</t>
  </si>
  <si>
    <t>STJ-2800</t>
  </si>
  <si>
    <t>WPA02 Jacket - Pile Marking Details - IFR</t>
  </si>
  <si>
    <t>STJ-2810</t>
  </si>
  <si>
    <t>WPA02 Jacket - Pile Marking Details - IFA</t>
  </si>
  <si>
    <t>STJ-2820</t>
  </si>
  <si>
    <t>WPA02 Jacket - Pile Marking Details - AFC</t>
  </si>
  <si>
    <t>STJ-2830</t>
  </si>
  <si>
    <t>WPA02 Jacket - Access Walkway Layout &amp; Details (3 Sheets) - IFR</t>
  </si>
  <si>
    <t>STJ-2840</t>
  </si>
  <si>
    <t>WPA02 Jacket - Access Walkway Layout &amp; Details (3 Sheets) - IFA</t>
  </si>
  <si>
    <t>STJ-2850</t>
  </si>
  <si>
    <t>WPA02 Jacket - Access Walkway Layout &amp; Details (3 Sheets) - AFC</t>
  </si>
  <si>
    <t>STJ-2860</t>
  </si>
  <si>
    <t>WPA02 Jacket - Anode Layout &amp; Details - IFR</t>
  </si>
  <si>
    <t>STJ-2870</t>
  </si>
  <si>
    <t>WPA02 Jacket - Anode Layout &amp; Details - IFA</t>
  </si>
  <si>
    <t>STJ-2880</t>
  </si>
  <si>
    <t>WPA02 Jacket - Anode Layout &amp; Details - AFC</t>
  </si>
  <si>
    <t>STJ-2890</t>
  </si>
  <si>
    <t>WPA02 Jacket - Mudmat Layout &amp; Details (2 Sheets) - IFR</t>
  </si>
  <si>
    <t>STJ-2900</t>
  </si>
  <si>
    <t>WPA02 Jacket - Mudmat Layout &amp; Details (2 Sheets) - IFA</t>
  </si>
  <si>
    <t>STJ-2910</t>
  </si>
  <si>
    <t>WPA02 Jacket - Mudmat Layout &amp; Details (2 Sheets) - AFC</t>
  </si>
  <si>
    <t>STJ-2920</t>
  </si>
  <si>
    <t>WPA02 Jacket - Caisson Support Layout - IFR</t>
  </si>
  <si>
    <t>STJ-2930</t>
  </si>
  <si>
    <t>WPA02 Jacket - Caisson Support Layout - IFA</t>
  </si>
  <si>
    <t>STJ-2940</t>
  </si>
  <si>
    <t>WPA02 Jacket - Caisson Support Layout - AFC</t>
  </si>
  <si>
    <t>STJ-2950</t>
  </si>
  <si>
    <t>WPA02 Jacket - Caisson Support Section &amp; Details - IFR</t>
  </si>
  <si>
    <t>STJ-2960</t>
  </si>
  <si>
    <t>WPA02 Jacket - Caisson Support Section &amp; Details - IFA</t>
  </si>
  <si>
    <t>STJ-2970</t>
  </si>
  <si>
    <t>WPA02 Jacket - Caisson Support Section &amp; Details - AFC</t>
  </si>
  <si>
    <t>STJ-2980</t>
  </si>
  <si>
    <t>WPA02 Jacket - Lifting Configuration - IFR</t>
  </si>
  <si>
    <t>STJ-2990</t>
  </si>
  <si>
    <t>WPA02 Jacket - Lifting Configuration - IFA</t>
  </si>
  <si>
    <t>STJ-3000</t>
  </si>
  <si>
    <t>WPA02 Jacket - Lifting Configuration - AFC</t>
  </si>
  <si>
    <t>STJ-3010</t>
  </si>
  <si>
    <t>WPA02 Jacket - Lifting Padeye Details - IFR</t>
  </si>
  <si>
    <t>STJ-3020</t>
  </si>
  <si>
    <t>WPA02 Jacket - Lifting Padeye Details - IFA</t>
  </si>
  <si>
    <t>STJ-3030</t>
  </si>
  <si>
    <t>WPA02 Jacket - Lifting Padeye Details - AFC</t>
  </si>
  <si>
    <t>STJ-3040</t>
  </si>
  <si>
    <t>WPA02 Jacket - Lowering Sequence - IFR</t>
  </si>
  <si>
    <t>STJ-3050</t>
  </si>
  <si>
    <t>WPA02 Jacket - Lowering Sequence - IFA</t>
  </si>
  <si>
    <t>STJ-3060</t>
  </si>
  <si>
    <t>WPA02 Jacket - Lowering Sequence - AFC</t>
  </si>
  <si>
    <t>STJ-3070</t>
  </si>
  <si>
    <t>WPA02 - TAD Rig Clearance Check - IFR</t>
  </si>
  <si>
    <t>STJ-3080</t>
  </si>
  <si>
    <t>WPA02 - TAD Rig Clearance Check - IFA</t>
  </si>
  <si>
    <t>STJ-3090</t>
  </si>
  <si>
    <t>WPA02 - TAD Rig Clearance Check - AFC</t>
  </si>
  <si>
    <t>STJ-3100</t>
  </si>
  <si>
    <t>WPA01 Jacket Weight Control Report - IFR</t>
  </si>
  <si>
    <t>STJ-3110</t>
  </si>
  <si>
    <t>WPA01 Jacket Weight Control Report - IFA</t>
  </si>
  <si>
    <t>STJ-3120</t>
  </si>
  <si>
    <t>WPA01 Jacket Weight Control Report - AFC</t>
  </si>
  <si>
    <t>STJ-3130</t>
  </si>
  <si>
    <t>WPA01 Jacket Primary Steel MTO - IFR</t>
  </si>
  <si>
    <t>STJ-3140</t>
  </si>
  <si>
    <t>WPA01 Jacket Primary Steel MTO - IFA</t>
  </si>
  <si>
    <t>STJ-3150</t>
  </si>
  <si>
    <t>WPA01 Jacket Primary Steel MTO - AFC</t>
  </si>
  <si>
    <t>STJ-3160</t>
  </si>
  <si>
    <t>WPA01 Jacket Secondary MTO and Tertiary Steel - IFR</t>
  </si>
  <si>
    <t>STJ-3170</t>
  </si>
  <si>
    <t>WPA01 Jacket Secondary MTO and Tertiary Steel - IFA</t>
  </si>
  <si>
    <t>STJ-3180</t>
  </si>
  <si>
    <t>WPA01 Jacket Secondary MTO and Tertiary Steel - AFC</t>
  </si>
  <si>
    <t>STJ-3190</t>
  </si>
  <si>
    <t>WPA02 Jacket Weight Control Report - IFR</t>
  </si>
  <si>
    <t>STJ-3200</t>
  </si>
  <si>
    <t>WPA02 Jacket Weight Control Report - IFA</t>
  </si>
  <si>
    <t>STJ-3210</t>
  </si>
  <si>
    <t>WPA02 Jacket Weight Control Report - AFC</t>
  </si>
  <si>
    <t>STJ-3220</t>
  </si>
  <si>
    <t>WPA02 Jacket Primary Steel MTO - IFR</t>
  </si>
  <si>
    <t>STJ-3230</t>
  </si>
  <si>
    <t>WPA02 Jacket Primary Steel MTO - IFA</t>
  </si>
  <si>
    <t>STJ-3240</t>
  </si>
  <si>
    <t>WPA02 Jacket Primary Steel MTO - AFC</t>
  </si>
  <si>
    <t>STJ-3250</t>
  </si>
  <si>
    <t>WPA02 Jacket Secondary MTO and Tertiary Steel  - IFR</t>
  </si>
  <si>
    <t>STJ-3260</t>
  </si>
  <si>
    <t>WPA02 Jacket Secondary MTO and Tertiary Steel - IFA</t>
  </si>
  <si>
    <t>STJ-3270</t>
  </si>
  <si>
    <t>WPA02 Jacket Secondary MTO and Tertiary Steel - AFC</t>
  </si>
  <si>
    <t>STJ-3280</t>
  </si>
  <si>
    <t>Barge Motion Analysis Report - IFR</t>
  </si>
  <si>
    <t>STJ-3290</t>
  </si>
  <si>
    <t>Barge Motion Analysis Report - IFA</t>
  </si>
  <si>
    <t>STJ-3300</t>
  </si>
  <si>
    <t>Barge Motion Analysis Report - AFC</t>
  </si>
  <si>
    <t>PIPELINE&amp;RISERENGINEERING</t>
  </si>
  <si>
    <t>RI-1000</t>
  </si>
  <si>
    <t>WPA01 Riser Clamp Design Report - IFR</t>
  </si>
  <si>
    <t>RI-1010</t>
  </si>
  <si>
    <t>WPA01 Riser Clamp Design Report - IFA</t>
  </si>
  <si>
    <t>RI-1020</t>
  </si>
  <si>
    <t>WPA01 Riser Clamp Design Report - AFC</t>
  </si>
  <si>
    <t>RI-1030</t>
  </si>
  <si>
    <t>WPA01 NPS 12 Hanger Flange Support Drawing - IFR</t>
  </si>
  <si>
    <t>RI-1040</t>
  </si>
  <si>
    <t>WPA01 NPS 12 Hanger Flange Support Drawing - IFA</t>
  </si>
  <si>
    <t>RI-1050</t>
  </si>
  <si>
    <t>WPA01 NPS 12 Hanger Flange Support Drawing - AFC</t>
  </si>
  <si>
    <t>RI-1060</t>
  </si>
  <si>
    <t>WPA01 NPS 12 Sliding Clamp Type 1 Drawing - IFR</t>
  </si>
  <si>
    <t>RI-1070</t>
  </si>
  <si>
    <t>WPA01 NPS 12 Sliding Clamp Type 1 Drawing - IFA</t>
  </si>
  <si>
    <t>RI-1080</t>
  </si>
  <si>
    <t>WPA01 NPS 12 Sliding Clamp Type 1 Drawing - AFC</t>
  </si>
  <si>
    <t>RI-1090</t>
  </si>
  <si>
    <t>WPA01 NPS 12 Sliding Clamp Type 2 Drawing - IFR</t>
  </si>
  <si>
    <t>RI-1100</t>
  </si>
  <si>
    <t>WPA01 NPS 12 Sliding Clamp Type 2 Drawing - IFA</t>
  </si>
  <si>
    <t>RI-1110</t>
  </si>
  <si>
    <t>WPA01 NPS 12 Sliding Clamp Type 2 Drawing - AFC</t>
  </si>
  <si>
    <t>RI-1120</t>
  </si>
  <si>
    <t>WPA01 NPS 12 Sliding Clamp Type 3 Drawing - IFR</t>
  </si>
  <si>
    <t>RI-1130</t>
  </si>
  <si>
    <t>WPA01 NPS 12 Sliding Clamp Type 3 Drawing - IFA</t>
  </si>
  <si>
    <t>RI-1140</t>
  </si>
  <si>
    <t>WPA01 NPS 12 Sliding Clamp Type 3 Drawing - AFC</t>
  </si>
  <si>
    <t>RI-1150</t>
  </si>
  <si>
    <t>WPA02 NPS 12 Hanger Flange Support Drawing - IFR</t>
  </si>
  <si>
    <t>RI-1160</t>
  </si>
  <si>
    <t>WPA02 NPS 12 Hanger Flange Support Drawing - IFA</t>
  </si>
  <si>
    <t>RI-1170</t>
  </si>
  <si>
    <t>WPA02 NPS 12 Hanger Flange Support Drawing - AFC</t>
  </si>
  <si>
    <t>RI-1180</t>
  </si>
  <si>
    <t>WPA02 NPS 12 Sliding Clamp Type 1 Drawing - IFR</t>
  </si>
  <si>
    <t>RI-1190</t>
  </si>
  <si>
    <t>WPA02 NPS 12 Sliding Clamp Type 1 Drawing - IFA</t>
  </si>
  <si>
    <t>RI-1200</t>
  </si>
  <si>
    <t>WPA02 NPS 12 Sliding Clamp Type 1 Drawing - AFC</t>
  </si>
  <si>
    <t>RI-1210</t>
  </si>
  <si>
    <t>WPA02 NPS 12 Sliding Clamp Type 2 Drawing - IFR</t>
  </si>
  <si>
    <t>RI-1220</t>
  </si>
  <si>
    <t>WPA02 NPS 12 Sliding Clamp Type 2 Drawing - IFA</t>
  </si>
  <si>
    <t>RI-1230</t>
  </si>
  <si>
    <t>WPA02 NPS 12 Sliding Clamp Type 2 Drawing - AFC</t>
  </si>
  <si>
    <t>RI-1240</t>
  </si>
  <si>
    <t>WPA02 NPS 12 Sliding Clamp Type 3 Drawing - IFR</t>
  </si>
  <si>
    <t>RI-1250</t>
  </si>
  <si>
    <t>WPA02 NPS 12 Sliding Clamp Type 3 Drawing - IFA</t>
  </si>
  <si>
    <t>RI-1260</t>
  </si>
  <si>
    <t>WPA02 NPS 12 Sliding Clamp Type 3 Drawing - AFC</t>
  </si>
  <si>
    <t>RI-1270</t>
  </si>
  <si>
    <t>WPA02 Riser Clamp Design Report - IFR</t>
  </si>
  <si>
    <t>RI-1280</t>
  </si>
  <si>
    <t>WPA02 Riser Clamp Design Report - IFA</t>
  </si>
  <si>
    <t>RI-1290</t>
  </si>
  <si>
    <t>WPA02 Riser Clamp Design Report - AFC</t>
  </si>
  <si>
    <t>RI-1300</t>
  </si>
  <si>
    <t>WPA02 NPS 20 Hanger Flange Support Drawing - IFR</t>
  </si>
  <si>
    <t>RI-1310</t>
  </si>
  <si>
    <t>WPA02 NPS 20 Hanger Flange Support Drawing - IFA</t>
  </si>
  <si>
    <t>RI-1320</t>
  </si>
  <si>
    <t>WPA02 NPS 20 Hanger Flange Support Drawing - AFC</t>
  </si>
  <si>
    <t>RI-1330</t>
  </si>
  <si>
    <t>WPA02 NPS 20 Sliding Clamp Type 1 Drawing - IFR</t>
  </si>
  <si>
    <t>RI-1340</t>
  </si>
  <si>
    <t>WPA02 NPS 20 Sliding Clamp Type 1 Drawing - IFA</t>
  </si>
  <si>
    <t>RI-1350</t>
  </si>
  <si>
    <t>WPA02 NPS 20 Sliding Clamp Type 1 Drawing - AFC</t>
  </si>
  <si>
    <t>RI-1360</t>
  </si>
  <si>
    <t>WPA02 NPS 20 Sliding Clamp Type 2 Drawing - IFR</t>
  </si>
  <si>
    <t>RI-1370</t>
  </si>
  <si>
    <t>WPA02 NPS 20 Sliding Clamp Type 2 Drawing - IFA</t>
  </si>
  <si>
    <t>RI-1380</t>
  </si>
  <si>
    <t>WPA02 NPS 20 Sliding Clamp Type 2 Drawing - AFC</t>
  </si>
  <si>
    <t>Datasheet-Pipeline&amp;Riser</t>
  </si>
  <si>
    <t>A1000</t>
  </si>
  <si>
    <t>Datasheet for Pipeline Flanges - IFR</t>
  </si>
  <si>
    <t>A1010</t>
  </si>
  <si>
    <t>Datasheet for Pipeline Flanges - IFA</t>
  </si>
  <si>
    <t>A1020</t>
  </si>
  <si>
    <t>Datasheet for Pipeline Flanges - AFC</t>
  </si>
  <si>
    <t>A1030</t>
  </si>
  <si>
    <t>Datasheet for Barred Tee - IFR</t>
  </si>
  <si>
    <t>A1040</t>
  </si>
  <si>
    <t>Datasheet for Barred Tee - IFA</t>
  </si>
  <si>
    <t>A1050</t>
  </si>
  <si>
    <t>Datasheet for Barred Tee  - AFC</t>
  </si>
  <si>
    <t>A1060</t>
  </si>
  <si>
    <t>Datasheet for Piggable Wye - IFR</t>
  </si>
  <si>
    <t>A1070</t>
  </si>
  <si>
    <t>Datasheet for Piggable Wye - IFA</t>
  </si>
  <si>
    <t>A1080</t>
  </si>
  <si>
    <t>Datasheet for Piggable Wye - AFC</t>
  </si>
  <si>
    <t>A1090</t>
  </si>
  <si>
    <t>Datasheet for Barrel Reducer - IFR</t>
  </si>
  <si>
    <t>A1100</t>
  </si>
  <si>
    <t>Datasheet for Barrel Reducer - IFA</t>
  </si>
  <si>
    <t>A1110</t>
  </si>
  <si>
    <t>Datasheet for Barrel Reducer - AFC</t>
  </si>
  <si>
    <t>MR-Pipeline&amp;Riser</t>
  </si>
  <si>
    <t>A1120</t>
  </si>
  <si>
    <t>Material Requisition for Pipeline Flanges - IFR</t>
  </si>
  <si>
    <t>A1130</t>
  </si>
  <si>
    <t>Material Requisition for Pipeline Flanges - AFC</t>
  </si>
  <si>
    <t>A1140</t>
  </si>
  <si>
    <t>Material Requisition for Barred Tee - IFR</t>
  </si>
  <si>
    <t>A1150</t>
  </si>
  <si>
    <t>Material Requisition for Barred Tee - AFC</t>
  </si>
  <si>
    <t>A1160</t>
  </si>
  <si>
    <t>Material Requisition for Piggable Wye - IFR</t>
  </si>
  <si>
    <t>A1170</t>
  </si>
  <si>
    <t>Material Requisition for Piggable Wye - AFC</t>
  </si>
  <si>
    <t>A1180</t>
  </si>
  <si>
    <t>Material Requisition for Barrel Reducer - IFR</t>
  </si>
  <si>
    <t>A1190</t>
  </si>
  <si>
    <t>Material Requisition for Barrel Reducer - AFC</t>
  </si>
  <si>
    <t>TBE-Pipeline&amp;Riser</t>
  </si>
  <si>
    <t>A1200</t>
  </si>
  <si>
    <t>Technical Bid Evaluation for Pipeline Flanges - IFR</t>
  </si>
  <si>
    <t>A1210</t>
  </si>
  <si>
    <t>Technical Bid Evaluation for Pipeline Flanges - AFC</t>
  </si>
  <si>
    <t>A1220</t>
  </si>
  <si>
    <t>Technical Bid Evaluation for Barred Tee - IFR</t>
  </si>
  <si>
    <t>A1230</t>
  </si>
  <si>
    <t>Technical Bid Evaluation for Barred Tee - AFC</t>
  </si>
  <si>
    <t>A1240</t>
  </si>
  <si>
    <t>Technical Bid Evaluation for Piggable Wye - IFR</t>
  </si>
  <si>
    <t>A1250</t>
  </si>
  <si>
    <t>Technical Bid Evaluation for Piggable Wye - AFC</t>
  </si>
  <si>
    <t>A1260</t>
  </si>
  <si>
    <t>Technical Bid Evaluation for Barrel Reducer - IFR</t>
  </si>
  <si>
    <t>A1270</t>
  </si>
  <si>
    <t>Technical Bid Evaluation for Barrel Reducer - AFC</t>
  </si>
  <si>
    <t>ELECTRICALENGINEERING</t>
  </si>
  <si>
    <t>EE-1000</t>
  </si>
  <si>
    <t>Electrical Basic of Design (offshore) - IFR</t>
  </si>
  <si>
    <t>EE-1010</t>
  </si>
  <si>
    <t>Electrical Basic of Design (offshore) - IFA</t>
  </si>
  <si>
    <t>EE-1020</t>
  </si>
  <si>
    <t>Electrical Basic of Design (offshore) - AFC</t>
  </si>
  <si>
    <t>EE-1030</t>
  </si>
  <si>
    <t>Electrical Load List &amp; Load Analysis - WPA01 - IFR</t>
  </si>
  <si>
    <t>EE-1040</t>
  </si>
  <si>
    <t>Electrical Load List &amp; Load Analysis - WPA01 - IFA</t>
  </si>
  <si>
    <t>EE-1050</t>
  </si>
  <si>
    <t>Electrical Load List &amp; Load Analysis - WPA01 - AFC</t>
  </si>
  <si>
    <t>EE-1060</t>
  </si>
  <si>
    <t>Electrical Equipment Sizing Calculations - WPA01 - IFR</t>
  </si>
  <si>
    <t>EE-1070</t>
  </si>
  <si>
    <t>Electrical Equipment Sizing Calculations - WPA01 - IFA</t>
  </si>
  <si>
    <t>EE-1080</t>
  </si>
  <si>
    <t>Electrical Equipment Sizing Calculations - WPA01 - AFC</t>
  </si>
  <si>
    <t>EE-1090</t>
  </si>
  <si>
    <t>Electrical Cable Sizing Calculations - WPA01 - IFR</t>
  </si>
  <si>
    <t>EE-1100</t>
  </si>
  <si>
    <t>Electrical Cable Sizing Calculations - WPA01 - IFA</t>
  </si>
  <si>
    <t>EE-1110</t>
  </si>
  <si>
    <t>Electrical Cable Sizing Calculations - WPA01 - AFC</t>
  </si>
  <si>
    <t>EE-1120</t>
  </si>
  <si>
    <t>Electrical Cable Tray / Cable Ladder Sizing - WPA01 - IFR</t>
  </si>
  <si>
    <t>EE-1140</t>
  </si>
  <si>
    <t>Electrical Cable Tray / Cable Ladder Sizing - WPA01 - AFC</t>
  </si>
  <si>
    <t>EE-1150</t>
  </si>
  <si>
    <t>Electrical Cable Schedule - WPA01 - IFR</t>
  </si>
  <si>
    <t>EE-1160</t>
  </si>
  <si>
    <t>Electrical Cable Schedule - WPA01 - IFA</t>
  </si>
  <si>
    <t>EE-1170</t>
  </si>
  <si>
    <t>Electrical Cable Schedule - WPA01 - AFC</t>
  </si>
  <si>
    <t>EE-1180</t>
  </si>
  <si>
    <t>Illumination Calculations - WPA01 - IFR</t>
  </si>
  <si>
    <t>EE-1190</t>
  </si>
  <si>
    <t>Illumination Calculations - WPA01 - IFA</t>
  </si>
  <si>
    <t>EE-1200</t>
  </si>
  <si>
    <t>Illumination Calculations - WPA01 - AFC</t>
  </si>
  <si>
    <t>EE-1210</t>
  </si>
  <si>
    <t>Electrical Equipment and Explosion Proof Equipment Schedule - WPA01 - IFR</t>
  </si>
  <si>
    <t>EE-1220</t>
  </si>
  <si>
    <t>Electrical Equipment and Explosion Proof Equipment Schedule - WPA01 - IFA</t>
  </si>
  <si>
    <t>EE-1230</t>
  </si>
  <si>
    <t>Electrical Equipment and Explosion Proof Equipment Schedule - WPA01 - AFC</t>
  </si>
  <si>
    <t>EE-1240</t>
  </si>
  <si>
    <t>Electrical Power Generation Selection Report - WPA02 - IFR</t>
  </si>
  <si>
    <t>EE-1250</t>
  </si>
  <si>
    <t>Electrical Power Generation Selection Report - WPA02 - IFA</t>
  </si>
  <si>
    <t>EE-1260</t>
  </si>
  <si>
    <t>Electrical Power Generation Selection Report - WPA02 - AFC</t>
  </si>
  <si>
    <t>EE-1270</t>
  </si>
  <si>
    <t>Electrical Load List &amp; Load Analysis - WPA02 - IFR</t>
  </si>
  <si>
    <t>EE-1280</t>
  </si>
  <si>
    <t>Electrical Load List &amp; Load Analysis - WPA02 - IFA</t>
  </si>
  <si>
    <t>EE-1290</t>
  </si>
  <si>
    <t>Electrical Load List &amp; Load Analysis - WPA02 - AFC</t>
  </si>
  <si>
    <t>EE-1300</t>
  </si>
  <si>
    <t>Electrical Equipment Sizing Calculations - WPA02 - IFR</t>
  </si>
  <si>
    <t>EE-1310</t>
  </si>
  <si>
    <t>Electrical Equipment Sizing Calculations - WPA02 - IFA</t>
  </si>
  <si>
    <t>EE-1320</t>
  </si>
  <si>
    <t>Electrical Equipment Sizing Calculations - WPA02 - AFC</t>
  </si>
  <si>
    <t>EE-1330</t>
  </si>
  <si>
    <t>Electrical Cable Sizing Calculations - WPA02 - IFR</t>
  </si>
  <si>
    <t>EE-1340</t>
  </si>
  <si>
    <t>Electrical Cable Sizing Calculations - WPA02 - IFA</t>
  </si>
  <si>
    <t>EE-1350</t>
  </si>
  <si>
    <t>Electrical Cable Sizing Calculations - WPA02 - AFC</t>
  </si>
  <si>
    <t>EE-1360</t>
  </si>
  <si>
    <t>Electrical Cable Tray / Cable Ladder Sizing - WPA02 - IFR</t>
  </si>
  <si>
    <t>EE-1380</t>
  </si>
  <si>
    <t>Electrical Cable Tray / Cable Ladder Sizing - WPA02 - AFC</t>
  </si>
  <si>
    <t>EE-1390</t>
  </si>
  <si>
    <t>Electrical Cable Schedule - WPA02 - IFR</t>
  </si>
  <si>
    <t>EE-1400</t>
  </si>
  <si>
    <t>Electrical Cable Schedule - WPA02 - IFA</t>
  </si>
  <si>
    <t>EE-1410</t>
  </si>
  <si>
    <t>Electrical Cable Schedule - WPA02 - AFC</t>
  </si>
  <si>
    <t>EE-1420</t>
  </si>
  <si>
    <t>Illumination Calculations - WPA02 - IFR</t>
  </si>
  <si>
    <t>EE-1430</t>
  </si>
  <si>
    <t>Illumination Calculations - WPA02 - IFA</t>
  </si>
  <si>
    <t>EE-1440</t>
  </si>
  <si>
    <t>Illumination Calculations - WPA02 - AFC</t>
  </si>
  <si>
    <t>EE-1441</t>
  </si>
  <si>
    <t>EE-1442</t>
  </si>
  <si>
    <t>EE-1443</t>
  </si>
  <si>
    <t>EE-1450</t>
  </si>
  <si>
    <t>Motor Starting Study - WPA02 - IFR</t>
  </si>
  <si>
    <t>EE-1460</t>
  </si>
  <si>
    <t>Motor Starting Study - WPA02 - IFA</t>
  </si>
  <si>
    <t>EE-1470</t>
  </si>
  <si>
    <t>Motor Starting Study - WPA02 - AFC</t>
  </si>
  <si>
    <t>EE-1480</t>
  </si>
  <si>
    <t>Project Particular Specification for AC and DC Distribution Boards/Panels - IFR</t>
  </si>
  <si>
    <t>EE-1490</t>
  </si>
  <si>
    <t>Project Particular Specification for AC and DC Distribution Boards/Panels - AFC</t>
  </si>
  <si>
    <t>EE-1500</t>
  </si>
  <si>
    <t>Project Particular Specification for Solar power system - IFR</t>
  </si>
  <si>
    <t>EE-1510</t>
  </si>
  <si>
    <t>Project Particular Specification for Solar power system - AFC</t>
  </si>
  <si>
    <t>EE-1520</t>
  </si>
  <si>
    <t>Project Particular Specification for Navigation Aid system - IFR</t>
  </si>
  <si>
    <t>EE-1530</t>
  </si>
  <si>
    <t>Project Particular Specification for Navigation Aid system - AFC</t>
  </si>
  <si>
    <t>EE-1540</t>
  </si>
  <si>
    <t>Project Particular Specification for External Battery Charger - IFR</t>
  </si>
  <si>
    <t>EE-1550</t>
  </si>
  <si>
    <t>Project Particular Specification for External Battery Charger - AFC</t>
  </si>
  <si>
    <t>EE-1560</t>
  </si>
  <si>
    <t>Project Particular Specification for Electrical Cables - IFR</t>
  </si>
  <si>
    <t>EE-1570</t>
  </si>
  <si>
    <t>Project Particular Specification for Electrical Cables - AFC</t>
  </si>
  <si>
    <t>EE-1580</t>
  </si>
  <si>
    <t>Project Particular Specification for Electrical Bulk Materials - IFR</t>
  </si>
  <si>
    <t>EE-1590</t>
  </si>
  <si>
    <t>Project Particular Specification for Electrical Bulk Materials - AFC</t>
  </si>
  <si>
    <t>EE-1595</t>
  </si>
  <si>
    <t>Project Particular Specification for FOG HORN - IFR</t>
  </si>
  <si>
    <t>EE-1596</t>
  </si>
  <si>
    <t>Project Particular Specification for FOG HORN - AFC</t>
  </si>
  <si>
    <t>EE-1600</t>
  </si>
  <si>
    <t>Project Particular Specification for AC Generator - IFR</t>
  </si>
  <si>
    <t>EE-1610</t>
  </si>
  <si>
    <t>Project Particular Specification for AC Generator - AFC</t>
  </si>
  <si>
    <t>EE-1620</t>
  </si>
  <si>
    <t>Project Particular Specification for Motor Control Center - IFR</t>
  </si>
  <si>
    <t>EE-1630</t>
  </si>
  <si>
    <t>Project Particular Specification for Motor Control Center - AFC</t>
  </si>
  <si>
    <t>EE-1640</t>
  </si>
  <si>
    <t>Project Particular Specification for Induction Motor - IFR</t>
  </si>
  <si>
    <t>EE-1650</t>
  </si>
  <si>
    <t>Project Particular Specification for Induction Motor - AFC</t>
  </si>
  <si>
    <t>EE-2110</t>
  </si>
  <si>
    <t>Electrical Symbols and Legends - IFR</t>
  </si>
  <si>
    <t>EE-2130</t>
  </si>
  <si>
    <t>Electrical Symbols and Legends - AFC</t>
  </si>
  <si>
    <t>EE-2140</t>
  </si>
  <si>
    <t>Electrical Typical Installation Details - Lighting and Small Power (3 Sheets) - IFR</t>
  </si>
  <si>
    <t>EE-2150</t>
  </si>
  <si>
    <t>Electrical Typical Installation Details - Lighting and Small Power (3 Sheets) - AFC</t>
  </si>
  <si>
    <t>EE-2160</t>
  </si>
  <si>
    <t>Electrical Typical Installation Details - Earthing (5 Sheets) - IFR</t>
  </si>
  <si>
    <t>EE-2170</t>
  </si>
  <si>
    <t>Electrical Typical Installation Details - Earthing (5 Sheets) - AFC</t>
  </si>
  <si>
    <t>EE-2180</t>
  </si>
  <si>
    <t>Electrical Typical Installation Details - Cable Ladder/ Tray (3 Sheets) - IFR</t>
  </si>
  <si>
    <t>EE-2190</t>
  </si>
  <si>
    <t>Electrical Typical Installation Details - Cable Ladder/ Tray (3 Sheets) - AFC</t>
  </si>
  <si>
    <t>EE-2200</t>
  </si>
  <si>
    <t>Electrical Typical Installation Details - Navigation Aid System (2 Sheets) - IFR</t>
  </si>
  <si>
    <t>EE-2210</t>
  </si>
  <si>
    <t>Electrical Typical Installation Details - Navigation Aid System (2 Sheets) - AFC</t>
  </si>
  <si>
    <t>EE-2220</t>
  </si>
  <si>
    <t>Electrical Typical Installation Details - Power (3 Sheets) - IFR</t>
  </si>
  <si>
    <t>EE-2230</t>
  </si>
  <si>
    <t>Electrical Typical Installation Details - Power (3 Sheets) - AFC</t>
  </si>
  <si>
    <t>EE-2240</t>
  </si>
  <si>
    <t>Electrical Typical Installation Details - Solar Panel - IFR</t>
  </si>
  <si>
    <t>EE-2250</t>
  </si>
  <si>
    <t>Electrical Typical Installation Details - Solar Panel - AFC</t>
  </si>
  <si>
    <t>EE-2260</t>
  </si>
  <si>
    <t>Electrical Drawing Index - WPA01 - IFR</t>
  </si>
  <si>
    <t>EE-2280</t>
  </si>
  <si>
    <t>Electrical Drawing Index - WPA01 - AFC</t>
  </si>
  <si>
    <t>EE-2290</t>
  </si>
  <si>
    <t>Electrical Power &amp; Control System Block Diagram - WPA01 - IFR</t>
  </si>
  <si>
    <t>EE-2300</t>
  </si>
  <si>
    <t>Electrical Power &amp; Control System Block Diagram - WPA01 - IFA</t>
  </si>
  <si>
    <t>EE-2310</t>
  </si>
  <si>
    <t>Electrical Power &amp; Control System Block Diagram - WPA01 - AFC</t>
  </si>
  <si>
    <t>EE-2320</t>
  </si>
  <si>
    <t>Equipment Location Plan - WPA01 (3 Sheets) - IFR</t>
  </si>
  <si>
    <t>EE-2340</t>
  </si>
  <si>
    <t>Equipment Location Plan - WPA01 (3 Sheets) - AFC</t>
  </si>
  <si>
    <t>EE-2350</t>
  </si>
  <si>
    <t>Solar Panel Layout - WPA01 - IFR</t>
  </si>
  <si>
    <t>EE-2360</t>
  </si>
  <si>
    <t>Solar Panel Layout - WPA01 - IFA</t>
  </si>
  <si>
    <t>EE-2370</t>
  </si>
  <si>
    <t>Solar Panel Layout - WPA01 - AFC</t>
  </si>
  <si>
    <t>EE-2380</t>
  </si>
  <si>
    <t>E&amp;I Room Equipment Layout - WPA01 - IFR</t>
  </si>
  <si>
    <t>EE-2390</t>
  </si>
  <si>
    <t>E&amp;I Room Equipment Layout - WPA01 - IFA</t>
  </si>
  <si>
    <t>EE-2400</t>
  </si>
  <si>
    <t>E&amp;I Room Equipment Layout - WPA01 - AFC</t>
  </si>
  <si>
    <t>EE-2410</t>
  </si>
  <si>
    <t>Electrical Multi Cable Transit Schedule- WPA01 (6 Sheets) - IFR</t>
  </si>
  <si>
    <t>EE-2430</t>
  </si>
  <si>
    <t>Electrical Multi Cable Transit Schedule- WPA01 (6 Sheets) - AFC</t>
  </si>
  <si>
    <t>EE-2440</t>
  </si>
  <si>
    <t>Electrical Overall Earthing and Bonding Diagrams- WPA01 - IFR</t>
  </si>
  <si>
    <t>EE-2450</t>
  </si>
  <si>
    <t>Electrical Overall Earthing and Bonding Diagrams- WPA01 - IFA</t>
  </si>
  <si>
    <t>EE-2460</t>
  </si>
  <si>
    <t>Electrical Overall Earthing and Bonding Diagrams- WPA01 - AFC</t>
  </si>
  <si>
    <t>EE-2470</t>
  </si>
  <si>
    <t>Cable Trays/Ladders Layout Drawings - WPA01(4 Sheets) - IFR</t>
  </si>
  <si>
    <t>EE-2490</t>
  </si>
  <si>
    <t>Cable Trays/Ladders Layout Drawings - WPA01(4 Sheets) - AFC</t>
  </si>
  <si>
    <t>EE-2491</t>
  </si>
  <si>
    <t>Cables Routing Plan/Layout Drawings - WPA01(4 Sheets) - IFR</t>
  </si>
  <si>
    <t>EE-2495</t>
  </si>
  <si>
    <t>Cables Routing Plan/Layout Drawings - WPA01(4 Sheets) - AFC</t>
  </si>
  <si>
    <t>EE-2500</t>
  </si>
  <si>
    <t>Electrical Bulk Materials Take Off - WPA01 - IFR</t>
  </si>
  <si>
    <t>EE-2510</t>
  </si>
  <si>
    <t>Electrical Bulk Materials Take Off - WPA01 - IFA</t>
  </si>
  <si>
    <t>EE-2520</t>
  </si>
  <si>
    <t>Electrical Bulk Materials Take Off - WPA01 - AFC</t>
  </si>
  <si>
    <t>EE-2530</t>
  </si>
  <si>
    <t>Electrical AC Distribution Board Schedule - WPA01 - IFR</t>
  </si>
  <si>
    <t>EE-2540</t>
  </si>
  <si>
    <t>Electrical AC Distribution Board Schedule - WPA01 - IFA</t>
  </si>
  <si>
    <t>EE-2550</t>
  </si>
  <si>
    <t>Electrical AC Distribution Board Schedule - WPA01 - AFC</t>
  </si>
  <si>
    <t>EE-2551</t>
  </si>
  <si>
    <t>Electrical DC Distribution Board Schedule - WPA01 - IFR</t>
  </si>
  <si>
    <t>EE-2553</t>
  </si>
  <si>
    <t>Electrical DC Distribution Board Schedule - WPA01 - IFA</t>
  </si>
  <si>
    <t>EE-2556</t>
  </si>
  <si>
    <t>Electrical DC Distribution Board Schedule - WPA01 - AFC</t>
  </si>
  <si>
    <t>EE-2560</t>
  </si>
  <si>
    <t>Electrical I/O summary - WPA01 - IFR</t>
  </si>
  <si>
    <t>EE-2570</t>
  </si>
  <si>
    <t>Electrical I/O summary - WPA01 - IFA</t>
  </si>
  <si>
    <t>EE-2580</t>
  </si>
  <si>
    <t>Electrical I/O summary - WPA01 - AFC</t>
  </si>
  <si>
    <t>EE-2590</t>
  </si>
  <si>
    <t>Lighting and Small Power Loop Diagram - WPA01 (3 Sheets) - IFR</t>
  </si>
  <si>
    <t>EE-2610</t>
  </si>
  <si>
    <t>Lighting and Small Power Loop Diagram - WPA01 (3 Sheets) - AFC</t>
  </si>
  <si>
    <t>EE-2620</t>
  </si>
  <si>
    <t>Lighting and Small Power Plan - WPA01 Mezzanine Deck - IFR</t>
  </si>
  <si>
    <t>EE-2640</t>
  </si>
  <si>
    <t>Lighting and Small Power Plan - WPA01 Mezzanine Deck - AFC</t>
  </si>
  <si>
    <t>EE-2650</t>
  </si>
  <si>
    <t>Lighting and Small Power Plan - WPA01 Lower Deck - IFR</t>
  </si>
  <si>
    <t>EE-2670</t>
  </si>
  <si>
    <t>Lighting and Small Power Plan - WPA01 Lower Deck - AFC</t>
  </si>
  <si>
    <t>EE-2680</t>
  </si>
  <si>
    <t>Lighting and Small Power Plan - WPA01 Sump Deck and Boat Landing - IFR</t>
  </si>
  <si>
    <t>EE-2700</t>
  </si>
  <si>
    <t>Lighting and Small Power Plan - WPA01 Sump Deck and Boat Landing - AFC</t>
  </si>
  <si>
    <t>EE-2710</t>
  </si>
  <si>
    <t>Electrical Drawing Index - WPA02 - IFR</t>
  </si>
  <si>
    <t>EE-2730</t>
  </si>
  <si>
    <t>Electrical Drawing Index - WPA02 - AFC</t>
  </si>
  <si>
    <t>EE-2740</t>
  </si>
  <si>
    <t>Electrical Power &amp; Control System Block Diagram - WPA02 - IFR</t>
  </si>
  <si>
    <t>EE-2750</t>
  </si>
  <si>
    <t>Electrical Power &amp; Control System Block Diagram - WPA02 - IFA</t>
  </si>
  <si>
    <t>EE-2760</t>
  </si>
  <si>
    <t>Electrical Power &amp; Control System Block Diagram - WPA02 - AFC</t>
  </si>
  <si>
    <t>EE-2770</t>
  </si>
  <si>
    <t>Equipment Location Plan - WPA02 (3 Sheets) - IFR</t>
  </si>
  <si>
    <t>EE-2780</t>
  </si>
  <si>
    <t>Equipment Location Plan - WPA02 (3 Sheets) - IFA</t>
  </si>
  <si>
    <t>EE-2790</t>
  </si>
  <si>
    <t>Equipment Location Plan - WPA02 (3 Sheets) - AFC</t>
  </si>
  <si>
    <t>EE-2800</t>
  </si>
  <si>
    <t>Solar Panel Layout  - WPA02 - IFR</t>
  </si>
  <si>
    <t>EE-2810</t>
  </si>
  <si>
    <t>Solar Panel Layout  - WPA02 - IFA</t>
  </si>
  <si>
    <t>EE-2820</t>
  </si>
  <si>
    <t>Solar Panel Layout  - WPA02 - AFC</t>
  </si>
  <si>
    <t>EE-2830</t>
  </si>
  <si>
    <t>E&amp;I Room Equipment Layout - WPA02 - IFR</t>
  </si>
  <si>
    <t>EE-2840</t>
  </si>
  <si>
    <t>E&amp;I Room Equipment Layout - WPA02 - IFA</t>
  </si>
  <si>
    <t>EE-2850</t>
  </si>
  <si>
    <t>E&amp;I Room Equipment Layout - WPA02 - AFC</t>
  </si>
  <si>
    <t>EE-2860</t>
  </si>
  <si>
    <t>Electrical Multi Cable Transit Schedule  - WPA02 (6 Sheets) - IFR</t>
  </si>
  <si>
    <t>EE-2880</t>
  </si>
  <si>
    <t>Electrical Multi Cable Transit Schedule  - WPA02 (6 Sheets) - AFC</t>
  </si>
  <si>
    <t>EE-2890</t>
  </si>
  <si>
    <t>Electrical Overall Earthing and Bonding Diagrams  - WPA02 - IFR</t>
  </si>
  <si>
    <t>EE-2900</t>
  </si>
  <si>
    <t>Electrical Overall Earthing and Bonding Diagrams  - WPA02 - IFA</t>
  </si>
  <si>
    <t>EE-2910</t>
  </si>
  <si>
    <t>Electrical Overall Earthing and Bonding Diagrams  - WPA02 - AFC</t>
  </si>
  <si>
    <t>EE-2920</t>
  </si>
  <si>
    <t>Cable Trays/Ladders Layout Drawings  - WPA02 (4 Sheets) - IFR</t>
  </si>
  <si>
    <t>EE-2940</t>
  </si>
  <si>
    <t>Cable Trays/Ladders Layout Drawings  - WPA02 (4 Sheets) - AFC</t>
  </si>
  <si>
    <t>EE-2950</t>
  </si>
  <si>
    <t>Cables Routing Plan/Layout Drawings - WPA02 (4 Sheets) - IFR</t>
  </si>
  <si>
    <t>EE-2970</t>
  </si>
  <si>
    <t>Cables Routing Plan/Layout Drawings - WPA02 (4 Sheets) - AFC</t>
  </si>
  <si>
    <t>EE-2980</t>
  </si>
  <si>
    <t>Electrical Bulk Materials Take Off - WPA02 - IFR</t>
  </si>
  <si>
    <t>EE-2990</t>
  </si>
  <si>
    <t>Electrical Bulk Materials Take Off - WPA02 - IFA</t>
  </si>
  <si>
    <t>EE-3000</t>
  </si>
  <si>
    <t>Electrical Bulk Materials Take Off - WPA02 - AFC</t>
  </si>
  <si>
    <t>EE-3010</t>
  </si>
  <si>
    <t>Electrical AC Distribution Board Schedule - WPA02 - IFR</t>
  </si>
  <si>
    <t>EE-3020</t>
  </si>
  <si>
    <t>Electrical AC Distribution Board Schedule - WPA02 - IFA</t>
  </si>
  <si>
    <t>EE-3030</t>
  </si>
  <si>
    <t>Electrical AC Distribution Board Schedule - WPA02 - AFC</t>
  </si>
  <si>
    <t>EE-3031</t>
  </si>
  <si>
    <t>Electrical DC Distribution Board Schedule - WPA02 - IFR</t>
  </si>
  <si>
    <t>EE-3033</t>
  </si>
  <si>
    <t>Electrical DC Distribution Board Schedule - WPA02 - IFA</t>
  </si>
  <si>
    <t>EE-3035</t>
  </si>
  <si>
    <t>Electrical DC Distribution Board Schedule - WPA02 - AFC</t>
  </si>
  <si>
    <t>EE-3040</t>
  </si>
  <si>
    <t>Electrical I/O summary - WPA02 - IFR</t>
  </si>
  <si>
    <t>EE-3060</t>
  </si>
  <si>
    <t>Electrical I/O summary - WPA02 - AFC</t>
  </si>
  <si>
    <t>EE-3070</t>
  </si>
  <si>
    <t>Lighting and Small Power Loop Diagram - WPA02 (3 Sheets) - IFR</t>
  </si>
  <si>
    <t>EE-3090</t>
  </si>
  <si>
    <t>Lighting and Small Power Loop Diagram - WPA02 (3 Sheets) - AFC</t>
  </si>
  <si>
    <t>EE-3100</t>
  </si>
  <si>
    <t>Lighting and Small Power Plan - WPA02 Mezzanine Deck - IFR</t>
  </si>
  <si>
    <t>EE-3120</t>
  </si>
  <si>
    <t>Lighting and Small Power Plan - WPA02 Mezzanine Deck - AFC</t>
  </si>
  <si>
    <t>EE-3130</t>
  </si>
  <si>
    <t>Lighting and Small Power Plan - WPA02 Lower Deck - IFR</t>
  </si>
  <si>
    <t>EE-3150</t>
  </si>
  <si>
    <t>Lighting and Small Power Plan - WPA02 Lower Deck - AFC</t>
  </si>
  <si>
    <t>EE-3160</t>
  </si>
  <si>
    <t>Lighting and Small Power Plan - WPA02 Sump Deck and Boat Landing - IFR</t>
  </si>
  <si>
    <t>EE-3180</t>
  </si>
  <si>
    <t>Lighting and Small Power Plan - WPA02 Sump Deck and Boat Landing - AFC</t>
  </si>
  <si>
    <t>EE-3190</t>
  </si>
  <si>
    <t>Electrical Key Single Line Diagram - WPA01 - IFR</t>
  </si>
  <si>
    <t>EE-3200</t>
  </si>
  <si>
    <t>Electrical Key Single Line Diagram - WPA01 - IFA</t>
  </si>
  <si>
    <t>EE-3210</t>
  </si>
  <si>
    <t>Electrical Key Single Line Diagram - WPA01 - AFC</t>
  </si>
  <si>
    <t>EE-3220</t>
  </si>
  <si>
    <t>Electrical Single Line Diagram - AC System-  WPA01 - IFR</t>
  </si>
  <si>
    <t>EE-3230</t>
  </si>
  <si>
    <t>Electrical Single Line Diagram - AC System-  WPA01 - IFA</t>
  </si>
  <si>
    <t>EE-3240</t>
  </si>
  <si>
    <t>Electrical Single Line Diagram - AC System-  WPA01 - AFC</t>
  </si>
  <si>
    <t>EE-3250</t>
  </si>
  <si>
    <t>Electrical Single Line Diagram - DC System &amp; Navigation Aids System -WPA01 - IFR</t>
  </si>
  <si>
    <t>EE-3260</t>
  </si>
  <si>
    <t>Electrical Single Line Diagram - DC System &amp; Navigation Aids System -WPA01 - IFA</t>
  </si>
  <si>
    <t>EE-3270</t>
  </si>
  <si>
    <t>Electrical Single Line Diagram - DC System &amp; Navigation Aids System -WPA01 - AFC</t>
  </si>
  <si>
    <t>EE-3280</t>
  </si>
  <si>
    <t>Electrical Wiring Interconnection for AC and Distribution System - WPA01 (2 Sheets) - IFR</t>
  </si>
  <si>
    <t>EE-3290</t>
  </si>
  <si>
    <t>Electrical Wiring Interconnection for AC and Distribution System - WPA01 (2 Sheets) - IFA</t>
  </si>
  <si>
    <t>EE-3300</t>
  </si>
  <si>
    <t>Electrical Wiring Interconnection for AC and Distribution System - WPA01 (2 Sheets) - AFC</t>
  </si>
  <si>
    <t>EE-3310</t>
  </si>
  <si>
    <t>Electrical Wiring Interconnection for DC Distribution System - WPA01 (2 Sheets) - IFR</t>
  </si>
  <si>
    <t>EE-3320</t>
  </si>
  <si>
    <t>Electrical Wiring Interconnection for DC Distribution System - WPA01 (2 Sheets) - IFA</t>
  </si>
  <si>
    <t>EE-3330</t>
  </si>
  <si>
    <t>Electrical Wiring Interconnection for DC Distribution System - WPA01 (2 Sheets) - AFC</t>
  </si>
  <si>
    <t>EE-3340</t>
  </si>
  <si>
    <t>Electrical Wiring Interconnection for Navigation Aid System - WPA01 - IFR</t>
  </si>
  <si>
    <t>EE-3350</t>
  </si>
  <si>
    <t>Electrical Wiring Interconnection for Navigation Aid System - WPA01 - IFA</t>
  </si>
  <si>
    <t>EE-3360</t>
  </si>
  <si>
    <t>Electrical Wiring Interconnection for Navigation Aid System - WPA01 - AFC</t>
  </si>
  <si>
    <t>EE-3370</t>
  </si>
  <si>
    <t>Electrical Key Single Line Diagram - WPA02 - IFR</t>
  </si>
  <si>
    <t>EE-3380</t>
  </si>
  <si>
    <t>Electrical Key Single Line Diagram - WPA02 - IFA</t>
  </si>
  <si>
    <t>EE-3390</t>
  </si>
  <si>
    <t>Electrical Key Single Line Diagram - WPA02 - AFC</t>
  </si>
  <si>
    <t>EE-3400</t>
  </si>
  <si>
    <t>Electrical Single Line Diagram - AC System - WPA02 - IFR</t>
  </si>
  <si>
    <t>EE-3410</t>
  </si>
  <si>
    <t>Electrical Single Line Diagram - AC System - WPA02 - IFA</t>
  </si>
  <si>
    <t>EE-3420</t>
  </si>
  <si>
    <t>Electrical Single Line Diagram - AC System - WPA02 - AFC</t>
  </si>
  <si>
    <t>EE-3430</t>
  </si>
  <si>
    <t>Electrical Single Line Diagram - DC System &amp; Navigation Aids System - WPA02 - IFR</t>
  </si>
  <si>
    <t>EE-3440</t>
  </si>
  <si>
    <t>Electrical Single Line Diagram - DC System &amp; Navigation Aids System - WPA02 - IFA</t>
  </si>
  <si>
    <t>EE-3450</t>
  </si>
  <si>
    <t>Electrical Single Line Diagram - DC System &amp; Navigation Aids System - WPA02 - AFC</t>
  </si>
  <si>
    <t>EE-3460</t>
  </si>
  <si>
    <t>Electrical Wiring Interconnection for AC and Distribution System - WPA02 (2 Sheets) - IFR</t>
  </si>
  <si>
    <t>EE-3470</t>
  </si>
  <si>
    <t>Electrical Wiring Interconnection for AC and Distribution System - WPA02 (2 Sheets) - IFA</t>
  </si>
  <si>
    <t>EE-3480</t>
  </si>
  <si>
    <t>Electrical Wiring Interconnection for AC and Distribution System - WPA02 (2 Sheets) - AFC</t>
  </si>
  <si>
    <t>EE-3490</t>
  </si>
  <si>
    <t>Electrical Wiring Interconnection for DC Distribution System - WPA02 (2 Sheets) - IFR</t>
  </si>
  <si>
    <t>EE-3500</t>
  </si>
  <si>
    <t>Electrical Wiring Interconnection for DC Distribution System - WPA02 (2 Sheets) - IFA</t>
  </si>
  <si>
    <t>EE-3510</t>
  </si>
  <si>
    <t>Electrical Wiring Interconnection for DC Distribution System - WPA02 (2 Sheets) - AFC</t>
  </si>
  <si>
    <t>EE-3520</t>
  </si>
  <si>
    <t>Electrical Wiring Interconnection for Navigation Aid System - WPA02 - IFR</t>
  </si>
  <si>
    <t>EE-3530</t>
  </si>
  <si>
    <t>Electrical Wiring Interconnection for Navigation Aid System - WPA02 - IFA</t>
  </si>
  <si>
    <t>EE-3540</t>
  </si>
  <si>
    <t>Electrical Wiring Interconnection for Navigation Aid System - WPA02 - AFC</t>
  </si>
  <si>
    <t>Datasheet-Electrical</t>
  </si>
  <si>
    <t>EE-1660</t>
  </si>
  <si>
    <t>Datasheet for AC and DC Distribution Boards/Panels - WPA01 - IFR</t>
  </si>
  <si>
    <t>EE-1670</t>
  </si>
  <si>
    <t>Datasheet for AC and DC Distribution Boards/Panels - WPA01 - IFA</t>
  </si>
  <si>
    <t>EE-1680</t>
  </si>
  <si>
    <t>Datasheet for AC and DC Distribution Boards/Panels - WPA01 - AFC</t>
  </si>
  <si>
    <t>EE-1690</t>
  </si>
  <si>
    <t>Datasheet for Solar power system  - WPA01 - IFR</t>
  </si>
  <si>
    <t>EE-1700</t>
  </si>
  <si>
    <t>Datasheet for Solar power system  - WPA01 - IFA</t>
  </si>
  <si>
    <t>EE-1710</t>
  </si>
  <si>
    <t>Datasheet for Solar power system  - WPA01 - AFC</t>
  </si>
  <si>
    <t>EE-1720</t>
  </si>
  <si>
    <t>Datasheet for Navigation Aid system  - WPA01 - IFR</t>
  </si>
  <si>
    <t>EE-1730</t>
  </si>
  <si>
    <t>Datasheet for Navigation Aid system  - WPA01 - IFA</t>
  </si>
  <si>
    <t>EE-1740</t>
  </si>
  <si>
    <t>Datasheet for Navigation Aid system  - WPA01 - AFC</t>
  </si>
  <si>
    <t>EE-1750</t>
  </si>
  <si>
    <t>Datasheet for External Battery Charger  - WPA01 - IFR</t>
  </si>
  <si>
    <t>EE-1760</t>
  </si>
  <si>
    <t>Datasheet for External Battery Charger  - WPA01 - IFA</t>
  </si>
  <si>
    <t>EE-1770</t>
  </si>
  <si>
    <t>Datasheet for External Battery Charger  - WPA01 - AFC</t>
  </si>
  <si>
    <t>EE-1780</t>
  </si>
  <si>
    <t>Datasheet for Electrical Cables  - WPA01 - IFR</t>
  </si>
  <si>
    <t>EE-1800</t>
  </si>
  <si>
    <t>Datasheet for Electrical Cables  - WPA01 - AFC</t>
  </si>
  <si>
    <t>EE-1810</t>
  </si>
  <si>
    <t>Datasheet for Electrical Bulk Materials  - WPA01 - IFR</t>
  </si>
  <si>
    <t>EE-1830</t>
  </si>
  <si>
    <t>Datasheet for Electrical Bulk Materials  - WPA01 - AFC</t>
  </si>
  <si>
    <t>EE-1833</t>
  </si>
  <si>
    <t>Datasheet for FOG HORN - WPA01 - IFR</t>
  </si>
  <si>
    <t>EE-1835</t>
  </si>
  <si>
    <t>Datasheet for FOG HORN - WPA01 - IFA</t>
  </si>
  <si>
    <t>EE-1837</t>
  </si>
  <si>
    <t>Datasheet for FOG HORN - WPA01 - AFC</t>
  </si>
  <si>
    <t>EE-1840</t>
  </si>
  <si>
    <t>Datasheet for AC and DC Distribution Boards/Panels  - WPA02 - IFR</t>
  </si>
  <si>
    <t>EE-1850</t>
  </si>
  <si>
    <t>Datasheet for AC and DC Distribution Boards/Panels  - WPA02 - IFA</t>
  </si>
  <si>
    <t>EE-1860</t>
  </si>
  <si>
    <t>Datasheet for AC and DC Distribution Boards/Panels  - WPA02 - AFC</t>
  </si>
  <si>
    <t>EE-1870</t>
  </si>
  <si>
    <t>Datasheet for Solar power system  - WPA02 - IFR</t>
  </si>
  <si>
    <t>EE-1880</t>
  </si>
  <si>
    <t>Datasheet for Solar power system  - WPA02 - IFA</t>
  </si>
  <si>
    <t>EE-1890</t>
  </si>
  <si>
    <t>Datasheet for Solar power system  - WPA02 - AFC</t>
  </si>
  <si>
    <t>EE-1900</t>
  </si>
  <si>
    <t>Datasheet for Navigation Aid system  - WPA02 - IFR</t>
  </si>
  <si>
    <t>EE-1910</t>
  </si>
  <si>
    <t>Datasheet for Navigation Aid system  - WPA02 - IFA</t>
  </si>
  <si>
    <t>EE-1920</t>
  </si>
  <si>
    <t>Datasheet for Navigation Aid system  - WPA02 - AFC</t>
  </si>
  <si>
    <t>EE-1930</t>
  </si>
  <si>
    <t>Datasheet for External Battery Charger  - WPA02 - IFR</t>
  </si>
  <si>
    <t>EE-1940</t>
  </si>
  <si>
    <t>Datasheet for External Battery Charger  - WPA02 - IFA</t>
  </si>
  <si>
    <t>EE-1950</t>
  </si>
  <si>
    <t>Datasheet for External Battery Charger  - WPA02 - AFC</t>
  </si>
  <si>
    <t>EE-1960</t>
  </si>
  <si>
    <t>Datasheet for Electrical Cables  - WPA02 - IFR</t>
  </si>
  <si>
    <t>EE-1980</t>
  </si>
  <si>
    <t>Datasheet for Electrical Cables  - WPA02 - AFC</t>
  </si>
  <si>
    <t>EE-1990</t>
  </si>
  <si>
    <t>Datasheet for Electrical Bulk Materials  - WPA02 - IFR</t>
  </si>
  <si>
    <t>EE-2010</t>
  </si>
  <si>
    <t>Datasheet for Electrical Bulk Materials  - WPA02 - AFC</t>
  </si>
  <si>
    <t>EE-2020</t>
  </si>
  <si>
    <t>Datasheet for AC Generator  - WPA02 - IFR</t>
  </si>
  <si>
    <t>EE-2030</t>
  </si>
  <si>
    <t>Datasheet for AC Generator  - WPA02 - IFA</t>
  </si>
  <si>
    <t>EE-2040</t>
  </si>
  <si>
    <t>Datasheet for AC Generator  - WPA02 - AFC</t>
  </si>
  <si>
    <t>EE-2050</t>
  </si>
  <si>
    <t>Datasheet for Motor Control Center  - WPA02 - IFR</t>
  </si>
  <si>
    <t>EE-2060</t>
  </si>
  <si>
    <t>Datasheet for Motor Control Center  - WPA02 - IFA</t>
  </si>
  <si>
    <t>EE-2070</t>
  </si>
  <si>
    <t>Datasheet for Motor Control Center  - WPA02 - AFC</t>
  </si>
  <si>
    <t>EE-2080</t>
  </si>
  <si>
    <t>Datasheet for Induction Motor  - WPA02 - IFR</t>
  </si>
  <si>
    <t>EE-2090</t>
  </si>
  <si>
    <t>Datasheet for Induction Motor  - WPA02 - IFA</t>
  </si>
  <si>
    <t>EE-2100</t>
  </si>
  <si>
    <t>Datasheet for Induction Motor  - WPA02 - AFC</t>
  </si>
  <si>
    <t>EE-4042</t>
  </si>
  <si>
    <t>Datasheet for FOG HORN - WPA02 - IFR</t>
  </si>
  <si>
    <t>EE-4044</t>
  </si>
  <si>
    <t>Datasheet for FOG HORN - WPA02 - IFA</t>
  </si>
  <si>
    <t>EE-4046</t>
  </si>
  <si>
    <t>Datasheet for FOG HORN - WPA02 - AFC</t>
  </si>
  <si>
    <t>MR-Electrical</t>
  </si>
  <si>
    <t>EE-3550</t>
  </si>
  <si>
    <t>Material Requisition for AC &amp; DC Distribution Boards/Panels - WPA01 - IFR</t>
  </si>
  <si>
    <t>EE-3560</t>
  </si>
  <si>
    <t>Material Requisition for AC &amp; DC Distribution Boards/Panels - WPA01 - AFC</t>
  </si>
  <si>
    <t>EE-3570</t>
  </si>
  <si>
    <t>Material Requisition for Solar power system - WPA01 - IFR</t>
  </si>
  <si>
    <t>EE-3580</t>
  </si>
  <si>
    <t>Material Requisition for Solar power system - WPA01 - AFC</t>
  </si>
  <si>
    <t>EE-3590</t>
  </si>
  <si>
    <t>Material Requisition for Navigation Aid system - WPA01 - IFR</t>
  </si>
  <si>
    <t>EE-3600</t>
  </si>
  <si>
    <t>Material Requisition for Navigation Aid system - WPA01 - AFC</t>
  </si>
  <si>
    <t>EE-3610</t>
  </si>
  <si>
    <t>Material Requisition for External Battery Charger - WPA01 - IFR</t>
  </si>
  <si>
    <t>EE-3620</t>
  </si>
  <si>
    <t>Material Requisition for External Battery Charger - WPA01 - AFC</t>
  </si>
  <si>
    <t>EE-3630</t>
  </si>
  <si>
    <t>Material Requisition for Electrical Cables - WPA01 - IFR</t>
  </si>
  <si>
    <t>EE-3640</t>
  </si>
  <si>
    <t>Material Requisition for Electrical Cables - WPA01 - AFC</t>
  </si>
  <si>
    <t>EE-3650</t>
  </si>
  <si>
    <t>Material Requisition for Electrical Bulk Materials - WPA01 - IFR</t>
  </si>
  <si>
    <t>EE-3660</t>
  </si>
  <si>
    <t>Material Requisition for Electrical Bulk Materials - WPA01 - AFC</t>
  </si>
  <si>
    <t>EE-3661</t>
  </si>
  <si>
    <t>Material Requisition for FOG HORN - WPA01 - IFR</t>
  </si>
  <si>
    <t>EE-3665</t>
  </si>
  <si>
    <t>Material Requisition for FOG HORN - WPA01 - AFC</t>
  </si>
  <si>
    <t>EE-3670</t>
  </si>
  <si>
    <t>Material Requisition for AC &amp; DC Distribution Boards/Panels - WPA02 - IFR</t>
  </si>
  <si>
    <t>EE-3680</t>
  </si>
  <si>
    <t>Material Requisition for AC &amp; DC Distribution Boards/Panels - WPA02 - AFC</t>
  </si>
  <si>
    <t>EE-3690</t>
  </si>
  <si>
    <t>Material Requisition for Solar power system - WPA02 - IFR</t>
  </si>
  <si>
    <t>EE-3700</t>
  </si>
  <si>
    <t>Material Requisition for Solar power system - WPA02 - AFC</t>
  </si>
  <si>
    <t>EE-3710</t>
  </si>
  <si>
    <t>Material Requisition for Navigation Aid system - WPA02 - IFR</t>
  </si>
  <si>
    <t>EE-3720</t>
  </si>
  <si>
    <t>Material Requisition for Navigation Aid system - WPA02 - AFC</t>
  </si>
  <si>
    <t>EE-3730</t>
  </si>
  <si>
    <t>Material Requisition for External Battery Charger - WPA02 - IFR</t>
  </si>
  <si>
    <t>EE-3740</t>
  </si>
  <si>
    <t>Material Requisition for External Battery Charger - WPA02 - AFC</t>
  </si>
  <si>
    <t>EE-3750</t>
  </si>
  <si>
    <t>Material Requisition for Electrical Cables - WPA02 - IFR</t>
  </si>
  <si>
    <t>EE-3760</t>
  </si>
  <si>
    <t>Material Requisition for Electrical Cables - WPA02 - AFC</t>
  </si>
  <si>
    <t>EE-3770</t>
  </si>
  <si>
    <t>Material Requisition for Electrical Bulk Materials - WPA02 - IFR</t>
  </si>
  <si>
    <t>EE-3780</t>
  </si>
  <si>
    <t>Material Requisition for Electrical Bulk Materials - WPA02 - AFC</t>
  </si>
  <si>
    <t>EE-4048</t>
  </si>
  <si>
    <t>Material Requisition for FOG HORN - WPA02 - IFR</t>
  </si>
  <si>
    <t>EE-4050</t>
  </si>
  <si>
    <t>Material Requisition for FOG HORN - WPA02 - AFC</t>
  </si>
  <si>
    <t>EE-4056</t>
  </si>
  <si>
    <t>Material Requisition for Motor Control Center - WPA02 - IFR</t>
  </si>
  <si>
    <t>EE-4058</t>
  </si>
  <si>
    <t>Material Requisition for Motor Control Center - WPA02 - AFC</t>
  </si>
  <si>
    <t>TBE-Electrical</t>
  </si>
  <si>
    <t>EE-3790</t>
  </si>
  <si>
    <t>Technical Bid Evaluation for AC &amp; DC Distribution Boards/Panels - WPA01 - IFR</t>
  </si>
  <si>
    <t>EE-3800</t>
  </si>
  <si>
    <t>Technical Bid Evaluation for AC &amp; DC Distribution Boards/Panels - WPA01 - AFC</t>
  </si>
  <si>
    <t>EE-3810</t>
  </si>
  <si>
    <t>Technical Bid Evaluation for Solar power system - WPA01 - IFR</t>
  </si>
  <si>
    <t>EE-3820</t>
  </si>
  <si>
    <t>Technical Bid Evaluation for Solar power system - WPA01 - AFC</t>
  </si>
  <si>
    <t>EE-3830</t>
  </si>
  <si>
    <t>Technical Bid Evaluation for Navigation Aid system - WPA01 - IFR</t>
  </si>
  <si>
    <t>EE-3840</t>
  </si>
  <si>
    <t>Technical Bid Evaluation for Navigation Aid system - WPA01 - AFC</t>
  </si>
  <si>
    <t>EE-3850</t>
  </si>
  <si>
    <t>Technical Bid Evaluation for External Battery Charger - WPA01 - IFR</t>
  </si>
  <si>
    <t>EE-3860</t>
  </si>
  <si>
    <t>Technical Bid Evaluation for External Battery Charger - WPA01 - AFC</t>
  </si>
  <si>
    <t>EE-3870</t>
  </si>
  <si>
    <t>Technical Bid Evaluation for Electrical Cables - WPA01 - IFR</t>
  </si>
  <si>
    <t>EE-3880</t>
  </si>
  <si>
    <t>Technical Bid Evaluation for Electrical Cables - WPA01 - AFC</t>
  </si>
  <si>
    <t>EE-3890</t>
  </si>
  <si>
    <t>Technical Bid Evaluation for Electrical Bulk Materials - WPA01 - IFR</t>
  </si>
  <si>
    <t>EE-3900</t>
  </si>
  <si>
    <t>Technical Bid Evaluation for Electrical Bulk Materials - WPA01 - AFC</t>
  </si>
  <si>
    <t>EE-3905</t>
  </si>
  <si>
    <t>Technical Bid Evaluation for FOG HORN - WPA01- IFR</t>
  </si>
  <si>
    <t>EE-3908</t>
  </si>
  <si>
    <t>Technical Bid Evaluation for FOG HORN - WPA01 - AFC</t>
  </si>
  <si>
    <t>EE-3910</t>
  </si>
  <si>
    <t>Technical Bid Evaluation for AC &amp; DC Distribution Boards/Panels - WPA02 - IFR</t>
  </si>
  <si>
    <t>EE-3920</t>
  </si>
  <si>
    <t>Technical Bid Evaluation for AC &amp; DC Distribution Boards/Panels - WPA02 - AFC</t>
  </si>
  <si>
    <t>EE-3930</t>
  </si>
  <si>
    <t>Technical Bid Evaluation for Solar power system - WPA02 - IFR</t>
  </si>
  <si>
    <t>EE-3940</t>
  </si>
  <si>
    <t>Technical Bid Evaluation for Solar power system - WPA02 - AFC</t>
  </si>
  <si>
    <t>EE-3950</t>
  </si>
  <si>
    <t>Technical Bid Evaluation for Navigation Aid system - WPA02 - IFR</t>
  </si>
  <si>
    <t>EE-3960</t>
  </si>
  <si>
    <t>Technical Bid Evaluation for Navigation Aid system - WPA02 - AFC</t>
  </si>
  <si>
    <t>EE-3970</t>
  </si>
  <si>
    <t>Technical Bid Evaluation for External Battery Charger - WPA02 - IFR</t>
  </si>
  <si>
    <t>EE-3980</t>
  </si>
  <si>
    <t>Technical Bid Evaluation for External Battery Charger - WPA02 - AFC</t>
  </si>
  <si>
    <t>EE-3990</t>
  </si>
  <si>
    <t>Technical Bid Evaluation for Electrical Cables - WPA02 - IFR</t>
  </si>
  <si>
    <t>EE-4000</t>
  </si>
  <si>
    <t>Technical Bid Evaluation for Electrical Cables - WPA02 - AFC</t>
  </si>
  <si>
    <t>EE-4010</t>
  </si>
  <si>
    <t>Technical Bid Evaluation for Electrical Bulk Materials - WPA02 - IFR</t>
  </si>
  <si>
    <t>EE-4020</t>
  </si>
  <si>
    <t>Technical Bid Evaluation for Electrical Bulk Materials - WPA02 - AFC</t>
  </si>
  <si>
    <t>EE-4030</t>
  </si>
  <si>
    <t>Technical Bid Evaluation for Motor Control Center - IFR</t>
  </si>
  <si>
    <t>EE-4040</t>
  </si>
  <si>
    <t>Technical Bid Evaluation for Motor Control Center - AFC</t>
  </si>
  <si>
    <t>EE-4052</t>
  </si>
  <si>
    <t>Technical Bid Evaluation for FOG HORN - WPA02- IFR</t>
  </si>
  <si>
    <t>EE-4054</t>
  </si>
  <si>
    <t>Technical Bid Evaluation for FOG HORN - WPA02 - AFC</t>
  </si>
  <si>
    <t>INSTRUMENTANDCONTROLSYSTEMENGINEERING</t>
  </si>
  <si>
    <t>IN-1000</t>
  </si>
  <si>
    <t>Instrument Basis Of Design - IFR</t>
  </si>
  <si>
    <t>IN-1010</t>
  </si>
  <si>
    <t>Instrument Basis Of Design - AFC</t>
  </si>
  <si>
    <t>IN-1020</t>
  </si>
  <si>
    <t>Instrument / Control And Safety System Philosophy - IFR</t>
  </si>
  <si>
    <t>IN-1030</t>
  </si>
  <si>
    <t>Instrument / Control And Safety System Philosophy - IFA</t>
  </si>
  <si>
    <t>IN-1040</t>
  </si>
  <si>
    <t>Instrument / Control And Safety System Philosophy - AFC</t>
  </si>
  <si>
    <t>IN-1050</t>
  </si>
  <si>
    <t>Project Particular Specification For SCADA Systems and PLC Gateway - IFR</t>
  </si>
  <si>
    <t>IN-1060</t>
  </si>
  <si>
    <t>Project Particular Specification For SCADA Systems and PLC Gateway - AFC</t>
  </si>
  <si>
    <t>IN-1070</t>
  </si>
  <si>
    <t>Project Particular Specification For PLC Systems - IFR</t>
  </si>
  <si>
    <t>IN-1080</t>
  </si>
  <si>
    <t>Project Particular Specification For PLC Systems - AFC</t>
  </si>
  <si>
    <t>IN-1090</t>
  </si>
  <si>
    <t>Project Particular Specification For Wellhead Control Panel - IFR</t>
  </si>
  <si>
    <t>IN-1100</t>
  </si>
  <si>
    <t>Project Particular Specification For Wellhead Control Panel - AFC</t>
  </si>
  <si>
    <t>IN-1110</t>
  </si>
  <si>
    <t>Project Particular Specification For Instrument For Measurement - IFR</t>
  </si>
  <si>
    <t>IN-1120</t>
  </si>
  <si>
    <t>Project Particular Specification For Instrument For Measurement - AFC</t>
  </si>
  <si>
    <t>IN-1130</t>
  </si>
  <si>
    <t>Project Particular Specification For Instrument Cables - IFR</t>
  </si>
  <si>
    <t>IN-1140</t>
  </si>
  <si>
    <t>Project Particular Specification For Instrument Cables - AFC</t>
  </si>
  <si>
    <t>IN-1150</t>
  </si>
  <si>
    <t>Project Particular Specification For Instrument Bulk Material - IFR</t>
  </si>
  <si>
    <t>IN-1160</t>
  </si>
  <si>
    <t>Project Particular Specification For Instrument Bulk Material - AFC</t>
  </si>
  <si>
    <t>IN-1170</t>
  </si>
  <si>
    <t>Project Particular Specification For Actuated Choke Valves - IFR</t>
  </si>
  <si>
    <t>IN-1180</t>
  </si>
  <si>
    <t>Project Particular Specification For Actuated Choke Valves - AFC</t>
  </si>
  <si>
    <t>IN-1190</t>
  </si>
  <si>
    <t>Project Particular Specification For Actuated Ball Valves - IFR</t>
  </si>
  <si>
    <t>IN-1200</t>
  </si>
  <si>
    <t>Project Particular Specification For Actuated Ball Valves - AFC</t>
  </si>
  <si>
    <t>IN-1210</t>
  </si>
  <si>
    <t>Project Particular Specification For Acuated Compact Ball Valve - IFR</t>
  </si>
  <si>
    <t>IN-1220</t>
  </si>
  <si>
    <t>Project Particular Specification For Acuated Compact Ball Valve - AFC</t>
  </si>
  <si>
    <t>IN-1230</t>
  </si>
  <si>
    <t>Project Particular Specification For Control Valves And Self Actuated Pcv - IFR</t>
  </si>
  <si>
    <t>IN-1240</t>
  </si>
  <si>
    <t>Project Particular Specification For Control Valves And Self Actuated Pcv - AFC</t>
  </si>
  <si>
    <t>IN-1250</t>
  </si>
  <si>
    <t>Project Particular Specification For Relief Valves - IFR</t>
  </si>
  <si>
    <t>IN-1260</t>
  </si>
  <si>
    <t>Project Particular Specification For Relief Valves - AFC</t>
  </si>
  <si>
    <t>IN-1270</t>
  </si>
  <si>
    <t>Project Particular Specification For Coriolis Flow Meters - IFR</t>
  </si>
  <si>
    <t>IN-1280</t>
  </si>
  <si>
    <t>Project Particular Specification For Coriolis Flow Meters - AFC</t>
  </si>
  <si>
    <t>IN-1290</t>
  </si>
  <si>
    <t>Project Particular Specification For Vortex Flow Meters - IFR</t>
  </si>
  <si>
    <t>IN-1300</t>
  </si>
  <si>
    <t>Project Particular Specification For Vortex Flow Meters - AFC</t>
  </si>
  <si>
    <t>IN-1310</t>
  </si>
  <si>
    <t>Project Particular Specification For Fire &amp; Gas Detectors - IFR</t>
  </si>
  <si>
    <t>IN-1320</t>
  </si>
  <si>
    <t>Project Particular Specification For Fire &amp; Gas Detectors - AFC</t>
  </si>
  <si>
    <t>IN-1330</t>
  </si>
  <si>
    <t>Project Particular Specification For Installation Of Instrumentation And Control - IFR</t>
  </si>
  <si>
    <t>IN-1340</t>
  </si>
  <si>
    <t>Project Particular Specification For Installation Of  Instrumentation And Control - AFC</t>
  </si>
  <si>
    <t>IN-1380</t>
  </si>
  <si>
    <t>Instrument Cable Block Diagram For SCADA System - IFR</t>
  </si>
  <si>
    <t>IN-1390</t>
  </si>
  <si>
    <t>Instrument Cable Block Diagram For SCADA System - IFA</t>
  </si>
  <si>
    <t>IN-1400</t>
  </si>
  <si>
    <t>Instrument Cable Block Diagram For SCADA System - AFC</t>
  </si>
  <si>
    <t>IN-1410</t>
  </si>
  <si>
    <t>Overall Instrument Earthing Diagram - IFR</t>
  </si>
  <si>
    <t>IN-1420</t>
  </si>
  <si>
    <t>Overall Instrument Earthing Diagram - IFA</t>
  </si>
  <si>
    <t>IN-1430</t>
  </si>
  <si>
    <t>Overall Instrument Earthing Diagram - AFC</t>
  </si>
  <si>
    <t>IN-1440</t>
  </si>
  <si>
    <t>Instrument Typical Installation Details - IFR</t>
  </si>
  <si>
    <t>IN-1450</t>
  </si>
  <si>
    <t>Instrument Typical Installation Details - AFC</t>
  </si>
  <si>
    <t>IN-1480</t>
  </si>
  <si>
    <t>Instrument Drawing Index -Wp01 - IFR</t>
  </si>
  <si>
    <t>IN-1490</t>
  </si>
  <si>
    <t>Instrument Drawing Index -Wp01 - IFA</t>
  </si>
  <si>
    <t>IN-1500</t>
  </si>
  <si>
    <t>Instrument Drawing Index -Wp01 - AFC</t>
  </si>
  <si>
    <t>IN-1510</t>
  </si>
  <si>
    <t>Instrument Index-Wp01 - IFR</t>
  </si>
  <si>
    <t>IN-1520</t>
  </si>
  <si>
    <t>Instrument Index-Wp01 - IFA</t>
  </si>
  <si>
    <t>IN-1530</t>
  </si>
  <si>
    <t>Instrument Index-Wp01 - AFC</t>
  </si>
  <si>
    <t>IN-1540</t>
  </si>
  <si>
    <t>Plc Input/Output List-Wp01 - IFR</t>
  </si>
  <si>
    <t>IN-1550</t>
  </si>
  <si>
    <t>Plc Input/Output List-Wp01 - IFA</t>
  </si>
  <si>
    <t>IN-1560</t>
  </si>
  <si>
    <t>Plc Input/Output List-Wp01 - AFC</t>
  </si>
  <si>
    <t>IN-1570</t>
  </si>
  <si>
    <t>Control System Block Diagram For-Wp01 - IFR</t>
  </si>
  <si>
    <t>IN-1580</t>
  </si>
  <si>
    <t>Control System Block Diagram For-Wp01 - IFA</t>
  </si>
  <si>
    <t>IN-1590</t>
  </si>
  <si>
    <t>Control System Block Diagram For-Wp01 - AFC</t>
  </si>
  <si>
    <t>IN-1600</t>
  </si>
  <si>
    <t>Instrument Cable Block Diagram Pcs/Esd/Fgs-Wp01 - IFR</t>
  </si>
  <si>
    <t>IN-1610</t>
  </si>
  <si>
    <t>Instrument Cable Block Diagram Pcs/Esd/Fgs-Wp01 - IFA</t>
  </si>
  <si>
    <t>IN-1620</t>
  </si>
  <si>
    <t>Instrument Cable Block Diagram Pcs/Esd/Fgs-Wp01 - AFC</t>
  </si>
  <si>
    <t>IN-2210</t>
  </si>
  <si>
    <t>Instrument Loop Diagram- Wp01 - IFR</t>
  </si>
  <si>
    <t>IN-2220</t>
  </si>
  <si>
    <t>Instrument Loop Diagram- Wp01 - AFC</t>
  </si>
  <si>
    <t>IN-2230</t>
  </si>
  <si>
    <t>Instrument Cable Tray Layout- Wp01 - IFR</t>
  </si>
  <si>
    <t>IN-2240</t>
  </si>
  <si>
    <t>Instrument Cable Tray Layout- Wp01 - IFA</t>
  </si>
  <si>
    <t>IN-2250</t>
  </si>
  <si>
    <t>Instrument Cable Tray Layout- Wp01 - AFC</t>
  </si>
  <si>
    <t>IN-2260</t>
  </si>
  <si>
    <t>Instrument Cable Routing Plan And Junction Boxes Layout- Wp01 - IFR</t>
  </si>
  <si>
    <t>IN-2270</t>
  </si>
  <si>
    <t>Instrument Cable Routing Plan And Junction Boxes Layout- Wp01 - IFA</t>
  </si>
  <si>
    <t>IN-2280</t>
  </si>
  <si>
    <t>Instrument Cable Routing Plan And Junction Boxes Layout- Wp01 - AFC</t>
  </si>
  <si>
    <t>IN-2290</t>
  </si>
  <si>
    <t>Instrument Cable Schedule- Wp01 - IFR</t>
  </si>
  <si>
    <t>IN-2300</t>
  </si>
  <si>
    <t>Instrument Cable Schedule- Wp01 - IFA</t>
  </si>
  <si>
    <t>IN-2310</t>
  </si>
  <si>
    <t>Instrument Cable Schedule- Wp01 - AFC</t>
  </si>
  <si>
    <t>IN-2320</t>
  </si>
  <si>
    <t>Instrument Multi Cable Transit Schedule- Wp01 - IFR</t>
  </si>
  <si>
    <t>IN-2330</t>
  </si>
  <si>
    <t>Instrument Multi Cable Transit Schedule- Wp01 - IFA</t>
  </si>
  <si>
    <t>IN-2340</t>
  </si>
  <si>
    <t>Instrument Multi Cable Transit Schedule- Wp01 - AFC</t>
  </si>
  <si>
    <t>IN-2341</t>
  </si>
  <si>
    <t>Instrument Location Plan - WP01 - IFR</t>
  </si>
  <si>
    <t>IN-2342</t>
  </si>
  <si>
    <t>Instrument Location Plan - WP01 - IFA</t>
  </si>
  <si>
    <t>IN-2343</t>
  </si>
  <si>
    <t>Instrument Location Plan - WP01 - AFC</t>
  </si>
  <si>
    <t>IN-2344</t>
  </si>
  <si>
    <t>Instrument Tubing Tray Laout - WP01 - IFR</t>
  </si>
  <si>
    <t>IN-2345</t>
  </si>
  <si>
    <t>Instrument Tubing Tray Laout - WP01 - IFA</t>
  </si>
  <si>
    <t>IN-2346</t>
  </si>
  <si>
    <t>Instrument Tubing Tray Laout - WP01 - AFC</t>
  </si>
  <si>
    <t>IN-2347</t>
  </si>
  <si>
    <t>Instrument Tubing Schedule - WP01 - IFR</t>
  </si>
  <si>
    <t>IN-2348</t>
  </si>
  <si>
    <t>Instrument Tubing Schedule - WP01 - IFA</t>
  </si>
  <si>
    <t>IN-2349</t>
  </si>
  <si>
    <t>Instrument Tubing Schedule - WP01 - AFC</t>
  </si>
  <si>
    <t>IN-2350</t>
  </si>
  <si>
    <t>Instrument Hook-Up Drawing - WP01 - IFR</t>
  </si>
  <si>
    <t>IN-2351</t>
  </si>
  <si>
    <t>Instrument Hook-Up Drawing - WP01 - IFA</t>
  </si>
  <si>
    <t>IN-2352</t>
  </si>
  <si>
    <t>Instrument Hook-Up Drawing - WP01 - AFC</t>
  </si>
  <si>
    <t>IN-2353</t>
  </si>
  <si>
    <t>Instrument Wiring Diagram (PCS AND SIS/FGS SYSTEM) - WP01 - IFR</t>
  </si>
  <si>
    <t>IN-2354</t>
  </si>
  <si>
    <t>Instrument Wiring Diagram (PCS AND SIS/FGS SYSTEM) - WP01 - IFA</t>
  </si>
  <si>
    <t>IN-2355</t>
  </si>
  <si>
    <t>Instrument Wiring Diagram (PCS AND SIS/FGS SYSTEM) - WP01 - AFC</t>
  </si>
  <si>
    <t>IN-2356</t>
  </si>
  <si>
    <t>Instrument Equipment And Explosion Proof Equipment Schedule- Wp01 - IFR</t>
  </si>
  <si>
    <t>IN-2357</t>
  </si>
  <si>
    <t>Instrument Equipment And Explosion Proof Equipment Schedule- Wp01 - IFA</t>
  </si>
  <si>
    <t>IN-2358</t>
  </si>
  <si>
    <t>Instrument Equipment And Explosion Proof Equipment Schedule- Wp01 - AFC</t>
  </si>
  <si>
    <t>IN-2359</t>
  </si>
  <si>
    <t>Fusible Plug And F&amp;G Layout- Wp01 - IFR</t>
  </si>
  <si>
    <t>IN-2360</t>
  </si>
  <si>
    <t>Fusible Plug And F&amp;G Layout- Wp01 - AFC</t>
  </si>
  <si>
    <t>IN-2370</t>
  </si>
  <si>
    <t>Instrument Bulk Material Take Off- Wp01 - IFR</t>
  </si>
  <si>
    <t>IN-2380</t>
  </si>
  <si>
    <t>Instrument Bulk Material Take Off- Wp01 - IFA</t>
  </si>
  <si>
    <t>IN-2390</t>
  </si>
  <si>
    <t>Instrument Bulk Material Take Off- Wp01 - AFC</t>
  </si>
  <si>
    <t>IN-2420</t>
  </si>
  <si>
    <t>Instrument Shiploose List For Offshore Installation- Wp01 - IFR</t>
  </si>
  <si>
    <t>IN-2430</t>
  </si>
  <si>
    <t>Instrument Shiploose List For Offshore Installation- Wp01 - AFC</t>
  </si>
  <si>
    <t>IN-2440</t>
  </si>
  <si>
    <t>Instrument Shiploose List Handover To Company Operation Team- Wp01 - IFR</t>
  </si>
  <si>
    <t>IN-2450</t>
  </si>
  <si>
    <t>Instrument Shiploose List Handover To Company Operation Team- Wp01 - AFC</t>
  </si>
  <si>
    <t>IN-2460</t>
  </si>
  <si>
    <t>Instrument Drawing Index -Wp02 - IFR</t>
  </si>
  <si>
    <t>IN-2470</t>
  </si>
  <si>
    <t>Instrument Drawing Index -Wp02 - IFA</t>
  </si>
  <si>
    <t>IN-2480</t>
  </si>
  <si>
    <t>Instrument Drawing Index -Wp02 - AFC</t>
  </si>
  <si>
    <t>IN-2490</t>
  </si>
  <si>
    <t>Instrument Index-Wp02 - IFR</t>
  </si>
  <si>
    <t>IN-2500</t>
  </si>
  <si>
    <t>Instrument Index-Wp02 - IFA</t>
  </si>
  <si>
    <t>IN-2510</t>
  </si>
  <si>
    <t>Instrument Index-Wp02 - AFC</t>
  </si>
  <si>
    <t>IN-2520</t>
  </si>
  <si>
    <t>Plc Input/Output List-Wp02 - IFR</t>
  </si>
  <si>
    <t>IN-2530</t>
  </si>
  <si>
    <t>Plc Input/Output List-Wp02 - IFA</t>
  </si>
  <si>
    <t>IN-2540</t>
  </si>
  <si>
    <t>Plc Input/Output List-Wp02 - AFC</t>
  </si>
  <si>
    <t>IN-2541</t>
  </si>
  <si>
    <t>Control System Block Diagram For-Wp02 - IFR</t>
  </si>
  <si>
    <t>IN-2542</t>
  </si>
  <si>
    <t>Control System Block Diagram For-Wp02 - IFA</t>
  </si>
  <si>
    <t>IN-2543</t>
  </si>
  <si>
    <t>Control System Block Diagram For-Wp02 - AFC</t>
  </si>
  <si>
    <t>IN-2544</t>
  </si>
  <si>
    <t>Instrument Cable Block Diagram Pcs/Esd/Fgs-Wp02 - IFR</t>
  </si>
  <si>
    <t>IN-2545</t>
  </si>
  <si>
    <t>Instrument Cable Block Diagram Pcs/Esd/Fgs-Wp02 - IFA</t>
  </si>
  <si>
    <t>IN-2546</t>
  </si>
  <si>
    <t>Instrument Cable Block Diagram Pcs/Esd/Fgs-Wp02 - AFC</t>
  </si>
  <si>
    <t>IN-3170</t>
  </si>
  <si>
    <t>Instrument Loop Diagram- Wp02 - IFR</t>
  </si>
  <si>
    <t>IN-3180</t>
  </si>
  <si>
    <t>Instrument Loop Diagram- Wp02 - AFC</t>
  </si>
  <si>
    <t>IN-3190</t>
  </si>
  <si>
    <t>Instrument Cable Tray Layout- Wp02 - IFR</t>
  </si>
  <si>
    <t>IN-3195</t>
  </si>
  <si>
    <t>Instrument Cable Tray Layout- Wp02 - IFA</t>
  </si>
  <si>
    <t>IN-3200</t>
  </si>
  <si>
    <t>Instrument Cable Tray Layout- Wp02 - AFC</t>
  </si>
  <si>
    <t>IN-3210</t>
  </si>
  <si>
    <t>Instrument Cable Routing Plan And Junction Boxes Layout- Wp02 - IFR</t>
  </si>
  <si>
    <t>IN-3220</t>
  </si>
  <si>
    <t>Instrument Cable Routing Plan And Junction Boxes Layout- Wp02 - IFA</t>
  </si>
  <si>
    <t>IN-3230</t>
  </si>
  <si>
    <t>Instrument Cable Routing Plan And Junction Boxes Layout- Wp02 - AFC</t>
  </si>
  <si>
    <t>IN-3240</t>
  </si>
  <si>
    <t>Instrument Cable Schedule- Wp02 - IFR</t>
  </si>
  <si>
    <t>IN-3250</t>
  </si>
  <si>
    <t>Instrument Cable Schedule- Wp02 - IFA</t>
  </si>
  <si>
    <t>IN-3260</t>
  </si>
  <si>
    <t>Instrument Cable Schedule- Wp02 - AFC</t>
  </si>
  <si>
    <t>IN-3270</t>
  </si>
  <si>
    <t>Instrument Multi Cable Transit Schedule- Wp02 - IFR</t>
  </si>
  <si>
    <t>IN-3280</t>
  </si>
  <si>
    <t>Instrument Multi Cable Transit Schedule- Wp02 - IFA</t>
  </si>
  <si>
    <t>IN-3290</t>
  </si>
  <si>
    <t>Instrument Multi Cable Transit Schedule- Wp02 - AFC</t>
  </si>
  <si>
    <t>IN-3291</t>
  </si>
  <si>
    <t>Instrument Location Plan- Wp02 - IFR</t>
  </si>
  <si>
    <t>IN-3292</t>
  </si>
  <si>
    <t>Instrument Location Plan- Wp02 - IFA</t>
  </si>
  <si>
    <t>IN-3293</t>
  </si>
  <si>
    <t>Instrument Location Plan- Wp02 - AFC</t>
  </si>
  <si>
    <t>IN-3294</t>
  </si>
  <si>
    <t>Instrument Tubing Tray Layout - Wp02 - IFR</t>
  </si>
  <si>
    <t>IN-3295</t>
  </si>
  <si>
    <t>Instrument Tubing Tray Layout - Wp02 - IFA</t>
  </si>
  <si>
    <t>IN-3296</t>
  </si>
  <si>
    <t>Instrument Tubing Tray Layout - Wp02 - AFC</t>
  </si>
  <si>
    <t>IN-3320</t>
  </si>
  <si>
    <t>Instrument Tubing Schedule- Wp02 - IFR</t>
  </si>
  <si>
    <t>IN-3330</t>
  </si>
  <si>
    <t>Instrument Tubing Schedule- Wp02 - IFA</t>
  </si>
  <si>
    <t>IN-3340</t>
  </si>
  <si>
    <t>Instrument Tubing Schedule- Wp02 - AFC</t>
  </si>
  <si>
    <t>IN-3380</t>
  </si>
  <si>
    <t>Instrument Hook-Up Drawings- Wp02 - IFR</t>
  </si>
  <si>
    <t>IN-3390</t>
  </si>
  <si>
    <t>Instrument Hook-Up Drawings- Wp02 - IFA</t>
  </si>
  <si>
    <t>IN-3400</t>
  </si>
  <si>
    <t>Instrument Hook-Up Drawings- Wp02 - AFC</t>
  </si>
  <si>
    <t>IN-3440</t>
  </si>
  <si>
    <t>Instrument Wiring Diagrams (PCS AND SIS/FGS SYSTEM) - Wp02 - IFR</t>
  </si>
  <si>
    <t>IN-3450</t>
  </si>
  <si>
    <t>Instrument Wiring Diagrams (PCS AND SIS/FGS SYSTEM) - Wp02 - IFA</t>
  </si>
  <si>
    <t>IN-3460</t>
  </si>
  <si>
    <t>Instrument Wiring Diagrams (PCS AND SIS/FGS SYSTEM) - Wp02 - AFC</t>
  </si>
  <si>
    <t>IN-3470</t>
  </si>
  <si>
    <t>Instrument Equipment And Explosion Proof Equipment Schedule- Wp02 - IFR</t>
  </si>
  <si>
    <t>IN-3480</t>
  </si>
  <si>
    <t>Instrument Equipment And Explosion Proof Equipment Schedule- Wp02 - IFA</t>
  </si>
  <si>
    <t>IN-3490</t>
  </si>
  <si>
    <t>Instrument Equipment And Explosion Proof Equipment Schedule- Wp02 - AFC</t>
  </si>
  <si>
    <t>IN-3500</t>
  </si>
  <si>
    <t>Fusible Plug And F&amp;G Layout- Wp02 - IFR</t>
  </si>
  <si>
    <t>IN-3510</t>
  </si>
  <si>
    <t>Fusible Plug And F&amp;G Layout- Wp02 - AFC</t>
  </si>
  <si>
    <t>IN-3520</t>
  </si>
  <si>
    <t>Instrument Bulk Material Take Off- Wp02 - IFR</t>
  </si>
  <si>
    <t>IN-3530</t>
  </si>
  <si>
    <t>Instrument Bulk Material Take Off- Wp02 - IFA</t>
  </si>
  <si>
    <t>IN-3540</t>
  </si>
  <si>
    <t>Instrument Bulk Material Take Off- Wp02 - AFC</t>
  </si>
  <si>
    <t>IN-3570</t>
  </si>
  <si>
    <t>Instrument Shiploose List For Offshore Installation- Wp02 - IFR</t>
  </si>
  <si>
    <t>IN-3580</t>
  </si>
  <si>
    <t>Instrument Shiploose List For Offshore Installation- Wp02 - AFC</t>
  </si>
  <si>
    <t>IN-3590</t>
  </si>
  <si>
    <t>Instrument Shiploose List Handover To Company Operation Team- Wp02 - IFR</t>
  </si>
  <si>
    <t>IN-3600</t>
  </si>
  <si>
    <t>Instrument Shiploose List Handover To Company Operation Team- Wp02 - AFC</t>
  </si>
  <si>
    <t>Datasheets-Instrument</t>
  </si>
  <si>
    <t>IN-1350</t>
  </si>
  <si>
    <t>Data Sheets For Supervisory Control And Data Acquisition System (Scada) - IFR</t>
  </si>
  <si>
    <t>IN-1360</t>
  </si>
  <si>
    <t>Data Sheets For Supervisory Control And Data Acquisition System (Scada) - IFA</t>
  </si>
  <si>
    <t>IN-1370</t>
  </si>
  <si>
    <t>Data Sheets For Supervisory Control And Data Acquisition System (Scada) - AFC</t>
  </si>
  <si>
    <t>IN-1630</t>
  </si>
  <si>
    <t>Data Sheets For Whcp-Wp01 - IFR</t>
  </si>
  <si>
    <t>IN-1640</t>
  </si>
  <si>
    <t>Data Sheets For Whcp-Wp01 - IFA</t>
  </si>
  <si>
    <t>IN-1650</t>
  </si>
  <si>
    <t>Data Sheets For Whcp-Wp01 - AFC</t>
  </si>
  <si>
    <t>IN-1660</t>
  </si>
  <si>
    <t>Data Sheet For Control Valves-Wp01 - IFR</t>
  </si>
  <si>
    <t>IN-1670</t>
  </si>
  <si>
    <t>Data Sheet For Control Valves-Wp01 - IFA</t>
  </si>
  <si>
    <t>IN-1680</t>
  </si>
  <si>
    <t>Data Sheet For Control Valves-Wp01 - AFC</t>
  </si>
  <si>
    <t>IN-1690</t>
  </si>
  <si>
    <t>Data Sheet For Self Actuated Pcv-Wp01 - IFR</t>
  </si>
  <si>
    <t>IN-1700</t>
  </si>
  <si>
    <t>Data Sheet For Self Actuated Pcv-Wp01 - IFA</t>
  </si>
  <si>
    <t>IN-1710</t>
  </si>
  <si>
    <t>Data Sheet For Self Actuated Pcv-Wp01 - AFC</t>
  </si>
  <si>
    <t>IN-1720</t>
  </si>
  <si>
    <t>Data Sheet For Actuated Choke Valves-Wp01 - IFR</t>
  </si>
  <si>
    <t>IN-1730</t>
  </si>
  <si>
    <t>Data Sheet For Actuated Choke Valves-Wp01 - IFA</t>
  </si>
  <si>
    <t>IN-1740</t>
  </si>
  <si>
    <t>Data Sheet For Actuated Choke Valves-Wp01 - AFC</t>
  </si>
  <si>
    <t>IN-1750</t>
  </si>
  <si>
    <t>Data Sheets For Actuated Ball Valves-Wp01 - IFR</t>
  </si>
  <si>
    <t>IN-1760</t>
  </si>
  <si>
    <t>Data Sheets For Actuated Ball Valves-Wp01 - IFA</t>
  </si>
  <si>
    <t>IN-1770</t>
  </si>
  <si>
    <t>Data Sheets For Actuated Ball Valves-Wp01 - AFC</t>
  </si>
  <si>
    <t>IN-1780</t>
  </si>
  <si>
    <t>Data Sheet For Actuated Compact Ball Valves-Wp01 - IFR</t>
  </si>
  <si>
    <t>IN-1790</t>
  </si>
  <si>
    <t>Data Sheet For Actuated Compact Ball Valves-Wp01 - IFA</t>
  </si>
  <si>
    <t>IN-1800</t>
  </si>
  <si>
    <t>Data Sheet For Actuated Compact Ball Valves-Wp01 - AFC</t>
  </si>
  <si>
    <t>IN-1810</t>
  </si>
  <si>
    <t>Data Sheet For Safety Relief Valves-Wp01 - IFR</t>
  </si>
  <si>
    <t>IN-1820</t>
  </si>
  <si>
    <t>Data Sheet For Safety Relief Valves-Wp01 - IFA</t>
  </si>
  <si>
    <t>IN-1830</t>
  </si>
  <si>
    <t>Data Sheet For Safety Relief Valves-Wp01 - AFC</t>
  </si>
  <si>
    <t>IN-1840</t>
  </si>
  <si>
    <t>Data Sheet For Coriolis Flow Meters-Wp01 - IFR</t>
  </si>
  <si>
    <t>IN-1850</t>
  </si>
  <si>
    <t>Data Sheet For Coriolis Flow Meters-Wp01 - IFA</t>
  </si>
  <si>
    <t>IN-1860</t>
  </si>
  <si>
    <t>Data Sheet For Coriolis Flow Meters-Wp01 - AFC</t>
  </si>
  <si>
    <t>IN-1870</t>
  </si>
  <si>
    <t>Data Sheets For Vortex Flow Meters-Wp01 - IFR</t>
  </si>
  <si>
    <t>IN-1880</t>
  </si>
  <si>
    <t>Data Sheets For Vortex Flow Meters-Wp01 - IFA</t>
  </si>
  <si>
    <t>IN-1890</t>
  </si>
  <si>
    <t>Data Sheets For Vortex Flow Meters-Wp01 - AFC</t>
  </si>
  <si>
    <t>IN-1900</t>
  </si>
  <si>
    <t>Data Sheets For Flow Switch-Wp01 - IFR</t>
  </si>
  <si>
    <t>IN-1910</t>
  </si>
  <si>
    <t>Data Sheets For Flow Switch-Wp01 - AFC</t>
  </si>
  <si>
    <t>IN-1920</t>
  </si>
  <si>
    <t>Data Sheet For Pressure Gauges-Wp01 - IFR</t>
  </si>
  <si>
    <t>IN-1930</t>
  </si>
  <si>
    <t>Data Sheet For Pressure Gauges-Wp01 - AFC</t>
  </si>
  <si>
    <t>IN-1940</t>
  </si>
  <si>
    <t>Data Sheet For Pressure Transmitters-Wp01 - IFR</t>
  </si>
  <si>
    <t>IN-1950</t>
  </si>
  <si>
    <t>Data Sheet For Pressure Transmitters-Wp01 - AFC</t>
  </si>
  <si>
    <t>IN-1960</t>
  </si>
  <si>
    <t>Data Sheet For Temperature Gauge And Thermowell-Wp01 - IFR</t>
  </si>
  <si>
    <t>IN-1970</t>
  </si>
  <si>
    <t>Data Sheet For Temperature Gauge And Thermowell-Wp01 - AFC</t>
  </si>
  <si>
    <t>IN-1980</t>
  </si>
  <si>
    <t>Data Sheet For Temperature Transmitters And Thermowells-Wp01 - IFR</t>
  </si>
  <si>
    <t>IN-1990</t>
  </si>
  <si>
    <t>Data Sheet For Temperature Transmitters And Thermowells-Wp01 - AFC</t>
  </si>
  <si>
    <t>IN-2000</t>
  </si>
  <si>
    <t>Data Sheets For Magnetic Level Gauge And Transmitters-Wp01 - IFR</t>
  </si>
  <si>
    <t>IN-2010</t>
  </si>
  <si>
    <t>Data Sheets For Magnetic Level Gauge And Transmitters-Wp01 - IFA</t>
  </si>
  <si>
    <t>IN-2020</t>
  </si>
  <si>
    <t>Data Sheets For Magnetic Level Gauge And Transmitters-Wp01 - AFC</t>
  </si>
  <si>
    <t>IN-2030</t>
  </si>
  <si>
    <t>Data Sheet For Dip Tape Level Indicator-Wp01 - IFR</t>
  </si>
  <si>
    <t>IN-2040</t>
  </si>
  <si>
    <t>Data Sheet For Dip Tape Level Indicator-Wp01 - IFA</t>
  </si>
  <si>
    <t>IN-2050</t>
  </si>
  <si>
    <t>Data Sheet For Dip Tape Level Indicator-Wp01 - AFC</t>
  </si>
  <si>
    <t>IN-2060</t>
  </si>
  <si>
    <t>Data Sheets For Level Switch-Wp01 - IFR</t>
  </si>
  <si>
    <t>IN-2070</t>
  </si>
  <si>
    <t>Data Sheets For Level Switch-Wp01 - IFA</t>
  </si>
  <si>
    <t>IN-2080</t>
  </si>
  <si>
    <t>Data Sheets For Level Switch-Wp01 - AFC</t>
  </si>
  <si>
    <t>IN-2090</t>
  </si>
  <si>
    <t>Data Sheets For Dp Level Transmitters-Wp01 - IFR</t>
  </si>
  <si>
    <t>IN-2100</t>
  </si>
  <si>
    <t>Data Sheets For Dp Level Transmitters-Wp01 - AFC</t>
  </si>
  <si>
    <t>IN-2110</t>
  </si>
  <si>
    <t>Data Sheets For Restriction Orifice- Wp01 - IFR</t>
  </si>
  <si>
    <t>IN-2120</t>
  </si>
  <si>
    <t>Data Sheets For Restriction Orifice- Wp01 - AFC</t>
  </si>
  <si>
    <t>IN-2130</t>
  </si>
  <si>
    <t>Data Sheet For Fire &amp; Gas Detectors- Wp01 - IFR</t>
  </si>
  <si>
    <t>IN-2140</t>
  </si>
  <si>
    <t>Data Sheet For Fire &amp; Gas Detectors- Wp01 - IFA</t>
  </si>
  <si>
    <t>IN-2150</t>
  </si>
  <si>
    <t>Data Sheet For Fire &amp; Gas Detectors- Wp01 - AFC</t>
  </si>
  <si>
    <t>IN-2160</t>
  </si>
  <si>
    <t>Data Sheets For Position Limit Switches- Wp01 - IFR</t>
  </si>
  <si>
    <t>IN-2170</t>
  </si>
  <si>
    <t>Data Sheets For Position Limit Switches- Wp01 - IFA</t>
  </si>
  <si>
    <t>IN-2180</t>
  </si>
  <si>
    <t>Data Sheets For Position Limit Switches- Wp01 - AFC</t>
  </si>
  <si>
    <t>IN-2190</t>
  </si>
  <si>
    <t>Data Sheets For Pig Signaller - Wp01 - IFR</t>
  </si>
  <si>
    <t>IN-2200</t>
  </si>
  <si>
    <t>Data Sheets For Pig Signaller - Wp01 - AFC</t>
  </si>
  <si>
    <t>IN-2550</t>
  </si>
  <si>
    <t>Data Sheets For Whcp-Wp02 - IFR</t>
  </si>
  <si>
    <t>IN-2560</t>
  </si>
  <si>
    <t>Data Sheets For Whcp-Wp02 - IFA</t>
  </si>
  <si>
    <t>IN-2570</t>
  </si>
  <si>
    <t>Data Sheets For Whcp-Wp02 - AFC</t>
  </si>
  <si>
    <t>IN-2580</t>
  </si>
  <si>
    <t>Data Sheet For Control Valves-Wp02 - IFR</t>
  </si>
  <si>
    <t>IN-2590</t>
  </si>
  <si>
    <t>Data Sheet For Control Valves-Wp02 - IFA</t>
  </si>
  <si>
    <t>IN-2600</t>
  </si>
  <si>
    <t>Data Sheet For Control Valves-Wp02 - AFC</t>
  </si>
  <si>
    <t>IN-2610</t>
  </si>
  <si>
    <t>Data Sheet For Self Actuated Pcv-Wp02 - IFR</t>
  </si>
  <si>
    <t>IN-2620</t>
  </si>
  <si>
    <t>Data Sheet For Self Actuated Pcv-Wp02 - IFA</t>
  </si>
  <si>
    <t>IN-2630</t>
  </si>
  <si>
    <t>Data Sheet For Self Actuated Pcv-Wp02 - AFC</t>
  </si>
  <si>
    <t>IN-2640</t>
  </si>
  <si>
    <t>Data Sheet For Actuated Choke Valves-Wp02 - IFR</t>
  </si>
  <si>
    <t>IN-2650</t>
  </si>
  <si>
    <t>Data Sheet For Actuated Choke Valves-Wp02 - IFA</t>
  </si>
  <si>
    <t>IN-2660</t>
  </si>
  <si>
    <t>Data Sheet For Actuated Choke Valves-Wp02 - AFC</t>
  </si>
  <si>
    <t>IN-2670</t>
  </si>
  <si>
    <t>Data Sheets For Actuated Ball Valves-Wp02 - IFR</t>
  </si>
  <si>
    <t>IN-2680</t>
  </si>
  <si>
    <t>Data Sheets For Actuated Ball Valves-Wp02 - IFA</t>
  </si>
  <si>
    <t>IN-2690</t>
  </si>
  <si>
    <t>Data Sheets For Actuated Ball Valves-Wp02 - AFC</t>
  </si>
  <si>
    <t>IN-2700</t>
  </si>
  <si>
    <t>Data Sheet For Actuated Compact Ball Valves-Wp02 - IFR</t>
  </si>
  <si>
    <t>IN-2710</t>
  </si>
  <si>
    <t>Data Sheet For Actuated Compact Ball Valves-Wp02 - IFA</t>
  </si>
  <si>
    <t>IN-2720</t>
  </si>
  <si>
    <t>Data Sheet For Actuated Compact Ball Valves-Wp02 - AFC</t>
  </si>
  <si>
    <t>IN-2730</t>
  </si>
  <si>
    <t>Data Sheet For Safety Relief Valves-Wp02 - IFR</t>
  </si>
  <si>
    <t>IN-2740</t>
  </si>
  <si>
    <t>Data Sheet For Safety Relief Valves-Wp02 - IFA</t>
  </si>
  <si>
    <t>IN-2750</t>
  </si>
  <si>
    <t>Data Sheet For Safety Relief Valves-Wp02 - AFC</t>
  </si>
  <si>
    <t>IN-2760</t>
  </si>
  <si>
    <t>Data Sheet For Coriolis Flow Meters-Wp02 - IFR</t>
  </si>
  <si>
    <t>IN-2770</t>
  </si>
  <si>
    <t>Data Sheet For Coriolis Flow Meters-Wp02 - IFA</t>
  </si>
  <si>
    <t>IN-2780</t>
  </si>
  <si>
    <t>Data Sheet For Coriolis Flow Meters-Wp02 - AFC</t>
  </si>
  <si>
    <t>IN-2790</t>
  </si>
  <si>
    <t>Data Sheets For Vortex Flow Meters-Wp02 - IFR</t>
  </si>
  <si>
    <t>IN-2800</t>
  </si>
  <si>
    <t>Data Sheets For Vortex Flow Meters-Wp02 - IFA</t>
  </si>
  <si>
    <t>IN-2810</t>
  </si>
  <si>
    <t>Data Sheets For Vortex Flow Meters-Wp02 - AFC</t>
  </si>
  <si>
    <t>IN-2820</t>
  </si>
  <si>
    <t>Data Sheets For Flow Switch-Wp02 - IFR</t>
  </si>
  <si>
    <t>IN-2830</t>
  </si>
  <si>
    <t>Data Sheets For Flow Switch-Wp02 - AFC</t>
  </si>
  <si>
    <t>IN-2840</t>
  </si>
  <si>
    <t>Data Sheet For Pressure Gauges-Wp02 - IFR</t>
  </si>
  <si>
    <t>IN-2850</t>
  </si>
  <si>
    <t>Data Sheet For Pressure Gauges-Wp02 - AFC</t>
  </si>
  <si>
    <t>IN-2860</t>
  </si>
  <si>
    <t>Data Sheets For Pressure Transmitters-Wp02 - IFR</t>
  </si>
  <si>
    <t>IN-2870</t>
  </si>
  <si>
    <t>Data Sheets For Pressure Transmitters-Wp02 - AFC</t>
  </si>
  <si>
    <t>IN-2880</t>
  </si>
  <si>
    <t>Data Sheet For Temperature Gauge And Thermowell-Wp02 - IFR</t>
  </si>
  <si>
    <t>IN-2890</t>
  </si>
  <si>
    <t>Data Sheet For Temperature Gauge And Thermowell-Wp02 - AFC</t>
  </si>
  <si>
    <t>IN-2900</t>
  </si>
  <si>
    <t>Data Sheet For Temperature Transmitters And Thermowells-Wp02 - IFR</t>
  </si>
  <si>
    <t>IN-2910</t>
  </si>
  <si>
    <t>Data Sheet For Temperature Transmitters And Thermowells-Wp02 - AFC</t>
  </si>
  <si>
    <t>IN-2920</t>
  </si>
  <si>
    <t>Data Sheets For Magnetic Level Gauge And Transmitters-Wp02 - IFR</t>
  </si>
  <si>
    <t>IN-2930</t>
  </si>
  <si>
    <t>Data Sheets For Magnetic Level Gauge And Transmitters-Wp02 - IFA</t>
  </si>
  <si>
    <t>IN-2940</t>
  </si>
  <si>
    <t>Data Sheets For Magnetic Level Gauge And Transmitters-Wp02 - AFC</t>
  </si>
  <si>
    <t>IN-2950</t>
  </si>
  <si>
    <t>Data Sheet For Dip Tape Level Indicator-Wp02 - IFR</t>
  </si>
  <si>
    <t>IN-2960</t>
  </si>
  <si>
    <t>Data Sheet For Dip Tape Level Indicator-Wp02 - IFA</t>
  </si>
  <si>
    <t>IN-2970</t>
  </si>
  <si>
    <t>Data Sheet For Dip Tape Level Indicator-Wp02 - AFC</t>
  </si>
  <si>
    <t>IN-2980</t>
  </si>
  <si>
    <t>Data Sheets For Level Switch-Wp02 - IFR</t>
  </si>
  <si>
    <t>IN-2990</t>
  </si>
  <si>
    <t>Data Sheets For Level Switch-Wp02 - IFA</t>
  </si>
  <si>
    <t>IN-3000</t>
  </si>
  <si>
    <t>Data Sheets For Level Switch-Wp02 - AFC</t>
  </si>
  <si>
    <t>IN-3010</t>
  </si>
  <si>
    <t>Data Sheet For Guided Wave Radar Level Transmitter - Wp02 - IFR</t>
  </si>
  <si>
    <t>IN-3020</t>
  </si>
  <si>
    <t>Data Sheet For Guided Wave Radar Level Transmitter - Wp02 - IFA</t>
  </si>
  <si>
    <t>IN-3030</t>
  </si>
  <si>
    <t>Data Sheet For Guided Wave Radar Level Transmitter - Wp02 - AFC</t>
  </si>
  <si>
    <t>IN-3040</t>
  </si>
  <si>
    <t>Data Sheets For Dp Level Transmitters-Wp02 - IFR</t>
  </si>
  <si>
    <t>IN-3050</t>
  </si>
  <si>
    <t>Data Sheets For Dp Level Transmitters-Wp02 - AFC</t>
  </si>
  <si>
    <t>IN-3060</t>
  </si>
  <si>
    <t>Data Sheets For Restriction Orifice- Wp02 - IFR</t>
  </si>
  <si>
    <t>IN-3070</t>
  </si>
  <si>
    <t>Data Sheets For Restriction Orifice- Wp02 - AFC</t>
  </si>
  <si>
    <t>IN-3080</t>
  </si>
  <si>
    <t>Data Sheet For Fire &amp; Gas Detectors- Wp02 - IFR</t>
  </si>
  <si>
    <t>IN-3090</t>
  </si>
  <si>
    <t>Data Sheet For Fire &amp; Gas Detectors- Wp02 - IFA</t>
  </si>
  <si>
    <t>IN-3100</t>
  </si>
  <si>
    <t>Data Sheet For Fire &amp; Gas Detectors- Wp02 - AFC</t>
  </si>
  <si>
    <t>IN-3110</t>
  </si>
  <si>
    <t>Data Sheets For Position Limit Switches- Wp02 - IFR</t>
  </si>
  <si>
    <t>IN-3120</t>
  </si>
  <si>
    <t>Data Sheets For Position Limit Switches- Wp02 - IFA</t>
  </si>
  <si>
    <t>IN-3130</t>
  </si>
  <si>
    <t>Data Sheets For Position Limit Switches- Wp02 - AFC</t>
  </si>
  <si>
    <t>IN-3140</t>
  </si>
  <si>
    <t>Data Sheet For Oil In Water Analyzer - Wp02 - IFR</t>
  </si>
  <si>
    <t>IN-3150</t>
  </si>
  <si>
    <t>Data Sheet For Oil In Water Analyzer - Wp02 - IFA</t>
  </si>
  <si>
    <t>IN-3160</t>
  </si>
  <si>
    <t>Data Sheet For Oil In Water Analyzer - Wp02 - AFC</t>
  </si>
  <si>
    <t>MR-Instrument</t>
  </si>
  <si>
    <t>IN-3610</t>
  </si>
  <si>
    <t>Material Requisition For Wellhead Control Panel - IFR</t>
  </si>
  <si>
    <t>IN-3620</t>
  </si>
  <si>
    <t>Material Requisition For Wellhead Control Panel - AFC</t>
  </si>
  <si>
    <t>IN-3630</t>
  </si>
  <si>
    <t>Material Requisition For SCADA - IFR</t>
  </si>
  <si>
    <t>IN-3640</t>
  </si>
  <si>
    <t>Material Requisition For SCADA - AFC</t>
  </si>
  <si>
    <t>IN-3650</t>
  </si>
  <si>
    <t>Material Requisition For PLC And SCADA System - IFR</t>
  </si>
  <si>
    <t>IN-3660</t>
  </si>
  <si>
    <t>Material Requisition For PLC And SCADA System - AFC</t>
  </si>
  <si>
    <t>IN-3670</t>
  </si>
  <si>
    <t>Material Requisition For Control Valves - IFR</t>
  </si>
  <si>
    <t>IN-3680</t>
  </si>
  <si>
    <t>Material Requisition For Control Valves - AFC</t>
  </si>
  <si>
    <t>IN-3690</t>
  </si>
  <si>
    <t>Material Requisition For Self Regulator Valves - IFR</t>
  </si>
  <si>
    <t>IN-3700</t>
  </si>
  <si>
    <t>Material Requisition For Self Regulator Valves - AFC</t>
  </si>
  <si>
    <t>IN-3710</t>
  </si>
  <si>
    <t>Material Requisition For Actuated Choke Valves - IFR</t>
  </si>
  <si>
    <t>IN-3720</t>
  </si>
  <si>
    <t>Material Requisition For Actuated Choke Valves - AFC</t>
  </si>
  <si>
    <t>IN-3730</t>
  </si>
  <si>
    <t>Material Requisition For Actuated Ball Valves - IFR</t>
  </si>
  <si>
    <t>IN-3740</t>
  </si>
  <si>
    <t>Material Requisition For Actuated Ball Valves - AFC</t>
  </si>
  <si>
    <t>IN-3750</t>
  </si>
  <si>
    <t>Material Requisition For Actuated Compact Ball Valves - IFR</t>
  </si>
  <si>
    <t>IN-3760</t>
  </si>
  <si>
    <t>Material Requisition For Actuated Compact Ball Valves - AFC</t>
  </si>
  <si>
    <t>IN-3770</t>
  </si>
  <si>
    <t>Material Requisition For Safety Relief Valves - IFR</t>
  </si>
  <si>
    <t>IN-3780</t>
  </si>
  <si>
    <t>Material Requisition For Safety Relief Valves - AFC</t>
  </si>
  <si>
    <t>IN-3790</t>
  </si>
  <si>
    <t>Material Requisition For Coriolis Flow Meters - IFR</t>
  </si>
  <si>
    <t>IN-3800</t>
  </si>
  <si>
    <t>Material Requisition For Coriolis Flow Meters - AFC</t>
  </si>
  <si>
    <t>IN-3810</t>
  </si>
  <si>
    <t>Material Requisition For Vortex Flow Meters - IFR</t>
  </si>
  <si>
    <t>IN-3820</t>
  </si>
  <si>
    <t>Material Requisition For Vortex Flow Meters - AFC</t>
  </si>
  <si>
    <t>IN-3830</t>
  </si>
  <si>
    <t>Material Requisition For Flow Switch - IFR</t>
  </si>
  <si>
    <t>IN-3840</t>
  </si>
  <si>
    <t>Material Requisition For Flow Switch - AFC</t>
  </si>
  <si>
    <t>IN-3850</t>
  </si>
  <si>
    <t>Material Requisition For Pressure Gauges - IFR</t>
  </si>
  <si>
    <t>IN-3860</t>
  </si>
  <si>
    <t>Material Requisition For Pressure Gauges - AFC</t>
  </si>
  <si>
    <t>IN-3870</t>
  </si>
  <si>
    <t>Material Requisition For Pressure Transmitters - IFR</t>
  </si>
  <si>
    <t>IN-3880</t>
  </si>
  <si>
    <t>Material Requisition For Pressure Transmitters - AFC</t>
  </si>
  <si>
    <t>IN-3890</t>
  </si>
  <si>
    <t>Material Requisition For Temperature Gauges - IFR</t>
  </si>
  <si>
    <t>IN-3900</t>
  </si>
  <si>
    <t>Material Requisition For Temperature Gauges - AFC</t>
  </si>
  <si>
    <t>IN-3910</t>
  </si>
  <si>
    <t>Material Requisition For Temperature Transmitters - IFR</t>
  </si>
  <si>
    <t>IN-3920</t>
  </si>
  <si>
    <t>Material Requisition For Temperature Transmitters - AFC</t>
  </si>
  <si>
    <t>IN-3930</t>
  </si>
  <si>
    <t>Material Requisition For Level Gauge And Transmitters - IFR</t>
  </si>
  <si>
    <t>IN-3940</t>
  </si>
  <si>
    <t>Material Requisition For Level Gauge And Transmitters - AFC</t>
  </si>
  <si>
    <t>IN-3950</t>
  </si>
  <si>
    <t>Material Requisition For Dip Tape Level Indicator - IFR</t>
  </si>
  <si>
    <t>IN-3960</t>
  </si>
  <si>
    <t>Material Requisition For Dip Tape Level Indicator - AFC</t>
  </si>
  <si>
    <t>IN-3970</t>
  </si>
  <si>
    <t>Material Requisition For Level Switch - IFR</t>
  </si>
  <si>
    <t>IN-3980</t>
  </si>
  <si>
    <t>Material Requisition For Level Switch - AFC</t>
  </si>
  <si>
    <t>IN-3990</t>
  </si>
  <si>
    <t>Material Requisition For Guided Wave Radar Level Transmitter - IFR</t>
  </si>
  <si>
    <t>IN-4000</t>
  </si>
  <si>
    <t>Material Requisition For Guided Wave Radar Level Transmitter - AFC</t>
  </si>
  <si>
    <t>IN-4010</t>
  </si>
  <si>
    <t>Material Requisition For Dp Level Transmitters - IFR</t>
  </si>
  <si>
    <t>IN-4020</t>
  </si>
  <si>
    <t>Material Requisition For Dp Level Transmitters - AFC</t>
  </si>
  <si>
    <t>IN-4030</t>
  </si>
  <si>
    <t>Material Requisition For Instrument Cables - IFR</t>
  </si>
  <si>
    <t>IN-4040</t>
  </si>
  <si>
    <t>Material Requisition For Instrument Cables - AFC</t>
  </si>
  <si>
    <t>IN-4050</t>
  </si>
  <si>
    <t>Material Requisition For Restriction Orifice - IFR</t>
  </si>
  <si>
    <t>IN-4060</t>
  </si>
  <si>
    <t>Material Requisition For Restriction Orifice - AFC</t>
  </si>
  <si>
    <t>IN-4070</t>
  </si>
  <si>
    <t>Material Requisition For Fire &amp; Gas Detectors - IFR</t>
  </si>
  <si>
    <t>IN-4080</t>
  </si>
  <si>
    <t>Material Requisition For Fire &amp; Gas Detectors - AFC</t>
  </si>
  <si>
    <t>IN-4090</t>
  </si>
  <si>
    <t>Material Requisition For Position Limit Switches - IFR</t>
  </si>
  <si>
    <t>IN-4100</t>
  </si>
  <si>
    <t>Material Requisition For Position Limit Switches - AFC</t>
  </si>
  <si>
    <t>IN-4110</t>
  </si>
  <si>
    <t>Material Requisition For Oil In Water Analyzer - Wp02 - IFR</t>
  </si>
  <si>
    <t>IN-4120</t>
  </si>
  <si>
    <t>Material Requisition For Oil In Water Analyzer - Wp02 - AFC</t>
  </si>
  <si>
    <t>IN-4130</t>
  </si>
  <si>
    <t>Material Requisition For Pig Signaller - IFR</t>
  </si>
  <si>
    <t>IN-4140</t>
  </si>
  <si>
    <t>Material Requisition For Pig Signaller - AFC</t>
  </si>
  <si>
    <t>IN-4150</t>
  </si>
  <si>
    <t>Material Requisition For Instrument Bulk Materials - IFR</t>
  </si>
  <si>
    <t>IN-4160</t>
  </si>
  <si>
    <t>Material Requisition For Instrument Bulk Materials - AFC</t>
  </si>
  <si>
    <t>TBE-Instrument</t>
  </si>
  <si>
    <t>IN-4170</t>
  </si>
  <si>
    <t>Technical Bid Evaluation For SCADA - IFR</t>
  </si>
  <si>
    <t>IN-4180</t>
  </si>
  <si>
    <t>Technical Bid Evaluation For SCADA - AFC</t>
  </si>
  <si>
    <t>IN-4190</t>
  </si>
  <si>
    <t>Technical Bid Evaluation For Wellhead Control Panel - IFR</t>
  </si>
  <si>
    <t>IN-4200</t>
  </si>
  <si>
    <t>Technical Bid Evaluation For Wellhead Control Panel - AFC</t>
  </si>
  <si>
    <t>IN-4210</t>
  </si>
  <si>
    <t>Technical Bid Evaluation For PLC And SCADA System - IFR</t>
  </si>
  <si>
    <t>IN-4220</t>
  </si>
  <si>
    <t>Technical Bid Evaluation For PLC And SCADA System - AFC</t>
  </si>
  <si>
    <t>IN-4230</t>
  </si>
  <si>
    <t>Technical Bid Evaluation For Control Valves - IFR</t>
  </si>
  <si>
    <t>IN-4240</t>
  </si>
  <si>
    <t>Technical Bid Evaluation For Control Valves - AFC</t>
  </si>
  <si>
    <t>IN-4250</t>
  </si>
  <si>
    <t>Technical Bid Evaluation For Self Regulator Valves - IFR</t>
  </si>
  <si>
    <t>IN-4260</t>
  </si>
  <si>
    <t>Technical Bid Evaluation For Self Regulator Valves - AFC</t>
  </si>
  <si>
    <t>IN-4270</t>
  </si>
  <si>
    <t>Technical Bid Evaluation For Actuated Choke Valves - IFR</t>
  </si>
  <si>
    <t>IN-4280</t>
  </si>
  <si>
    <t>Technical Bid Evaluation For Actuated Choke Valves - AFC</t>
  </si>
  <si>
    <t>IN-4290</t>
  </si>
  <si>
    <t>Technical Bid Evaluation For Actuated Ball Valves - IFR</t>
  </si>
  <si>
    <t>IN-4300</t>
  </si>
  <si>
    <t>Technical Bid Evaluation For Actuated Ball Valves - AFC</t>
  </si>
  <si>
    <t>IN-4310</t>
  </si>
  <si>
    <t>Technical Bid Evaluation For Actuated Compact Ball Valves - IFR</t>
  </si>
  <si>
    <t>IN-4320</t>
  </si>
  <si>
    <t>Technical Bid Evaluation For Actuated Compact Ball Valves - AFC</t>
  </si>
  <si>
    <t>IN-4330</t>
  </si>
  <si>
    <t>Technical Bid Evaluation For Safety Relief Valves - IFR</t>
  </si>
  <si>
    <t>IN-4340</t>
  </si>
  <si>
    <t>Technical Bid Evaluation For Safety Relief Valves - AFC</t>
  </si>
  <si>
    <t>IN-4350</t>
  </si>
  <si>
    <t>Technical Bid Evaluation For Coriolis Flow Meters - IFR</t>
  </si>
  <si>
    <t>IN-4360</t>
  </si>
  <si>
    <t>Technical Bid Evaluation For Coriolis Flow Meters - AFC</t>
  </si>
  <si>
    <t>IN-4370</t>
  </si>
  <si>
    <t>Technical Bid Evaluation For Vortex Flow Meters - IFR</t>
  </si>
  <si>
    <t>IN-4380</t>
  </si>
  <si>
    <t>Technical Bid Evaluation For Vortex Flow Meters - AFC</t>
  </si>
  <si>
    <t>IN-4390</t>
  </si>
  <si>
    <t>Technical Bid Evaluation For Flow Switch - IFR</t>
  </si>
  <si>
    <t>IN-4400</t>
  </si>
  <si>
    <t>Technical Bid Evaluation For Flow Switch - AFC</t>
  </si>
  <si>
    <t>IN-4410</t>
  </si>
  <si>
    <t>Technical Bid Evaluation For Pressure Gauges - IFR</t>
  </si>
  <si>
    <t>IN-4420</t>
  </si>
  <si>
    <t>Technical Bid Evaluation For Pressure Gauges - AFC</t>
  </si>
  <si>
    <t>IN-4430</t>
  </si>
  <si>
    <t>Technical Bid Evaluation For Pressure Transmitters - IFR</t>
  </si>
  <si>
    <t>IN-4440</t>
  </si>
  <si>
    <t>Technical Bid Evaluation For Pressure Transmitters - AFC</t>
  </si>
  <si>
    <t>IN-4450</t>
  </si>
  <si>
    <t>Technical Bid Evaluation For Temperature Gauges - IFR</t>
  </si>
  <si>
    <t>IN-4460</t>
  </si>
  <si>
    <t>Technical Bid Evaluation For Temperature Gauges - AFC</t>
  </si>
  <si>
    <t>IN-4470</t>
  </si>
  <si>
    <t>Technical Bid Evaluation For Temperature Transmitters - IFR</t>
  </si>
  <si>
    <t>IN-4480</t>
  </si>
  <si>
    <t>Technical Bid Evaluation For Temperature Transmitters - AFC</t>
  </si>
  <si>
    <t>IN-4490</t>
  </si>
  <si>
    <t>Technical Bid Evaluation For Level Gauge And Transmitters - IFR</t>
  </si>
  <si>
    <t>IN-4500</t>
  </si>
  <si>
    <t>Technical Bid Evaluation For Level Gauge And Transmitters - AFC</t>
  </si>
  <si>
    <t>IN-4510</t>
  </si>
  <si>
    <t>Technical Bid Evaluation For Dip Tape Level Indicator - IFR</t>
  </si>
  <si>
    <t>IN-4520</t>
  </si>
  <si>
    <t>Technical Bid Evaluation For Dip Tape Level Indicator - AFC</t>
  </si>
  <si>
    <t>IN-4530</t>
  </si>
  <si>
    <t>Technical Bid Evaluation For Level Switch - IFR</t>
  </si>
  <si>
    <t>IN-4540</t>
  </si>
  <si>
    <t>Technical Bid Evaluation For Level Switch - AFC</t>
  </si>
  <si>
    <t>IN-4550</t>
  </si>
  <si>
    <t>Technical Bid Evaluation For Guided Wave Radar Level Transmitter - IFR</t>
  </si>
  <si>
    <t>IN-4560</t>
  </si>
  <si>
    <t>Technical Bid Evaluation For Guided Wave Radar Level Transmitter - AFC</t>
  </si>
  <si>
    <t>IN-4570</t>
  </si>
  <si>
    <t>Technical Bid Evaluation For Dp Level Transmitters - IFR</t>
  </si>
  <si>
    <t>IN-4580</t>
  </si>
  <si>
    <t>Technical Bid Evaluation For Dp Level Transmitters - AFC</t>
  </si>
  <si>
    <t>IN-4590</t>
  </si>
  <si>
    <t>Technical Bid Evaluation For Instrument Cables - IFR</t>
  </si>
  <si>
    <t>IN-4600</t>
  </si>
  <si>
    <t>Technical Bid Evaluation For Instrument Cables - AFC</t>
  </si>
  <si>
    <t>IN-4610</t>
  </si>
  <si>
    <t>Technical Bid Evaluation For Restriction Orifice - IFR</t>
  </si>
  <si>
    <t>IN-4620</t>
  </si>
  <si>
    <t>Technical Bid Evaluation For Restriction Orifice - AFC</t>
  </si>
  <si>
    <t>IN-4630</t>
  </si>
  <si>
    <t>Technical Bid Evaluation For Fire &amp; Gas Detectors - IFR</t>
  </si>
  <si>
    <t>IN-4640</t>
  </si>
  <si>
    <t>Technical Bid Evaluation For Fire &amp; Gas Detectors - AFC</t>
  </si>
  <si>
    <t>IN-4650</t>
  </si>
  <si>
    <t>Technical Bid Evaluation For Position Limit Switches - IFR</t>
  </si>
  <si>
    <t>IN-4660</t>
  </si>
  <si>
    <t>Technical Bid Evaluation For Position Limit Switches - AFC</t>
  </si>
  <si>
    <t>IN-4670</t>
  </si>
  <si>
    <t>Technical Bid Evaluation For Oil In Water Analyzer - IFR</t>
  </si>
  <si>
    <t>IN-4680</t>
  </si>
  <si>
    <t>Technical Bid Evaluation For Oil In Water Analyzer - AFC</t>
  </si>
  <si>
    <t>IN-4690</t>
  </si>
  <si>
    <t>Technical Bid Evaluation For Pig Signaller - IFR</t>
  </si>
  <si>
    <t>IN-4700</t>
  </si>
  <si>
    <t>Technical Bid Evaluation For Pig Signaller - AFC</t>
  </si>
  <si>
    <t>IN-4710</t>
  </si>
  <si>
    <t>Technical Bid Evaluation For Instrument Bulk Materials - IFR</t>
  </si>
  <si>
    <t>IN-4720</t>
  </si>
  <si>
    <t>Technical Bid Evaluation For Instrument Bulk Materials - AFC</t>
  </si>
  <si>
    <t>TELECOMMUNICATIONENGINEERING</t>
  </si>
  <si>
    <t>TE-1000</t>
  </si>
  <si>
    <t>Telecommunication Basis Of Design - IFR</t>
  </si>
  <si>
    <t>TE-1010</t>
  </si>
  <si>
    <t>Telecommunication Basis Of Design - IFA</t>
  </si>
  <si>
    <t>TE-1020</t>
  </si>
  <si>
    <t>Telecommunication Basis Of Design - AFC</t>
  </si>
  <si>
    <t>TE-1030</t>
  </si>
  <si>
    <t>Whp Telecommunication System Philosophy - IFR</t>
  </si>
  <si>
    <t>TE-1040</t>
  </si>
  <si>
    <t>Whp Telecommunication System Philosophy - IFA</t>
  </si>
  <si>
    <t>TE-1050</t>
  </si>
  <si>
    <t>Whp Telecommunication System Philosophy - AFC</t>
  </si>
  <si>
    <t>TE-1060</t>
  </si>
  <si>
    <t>Project Specification For Telecommunication Package - IFR</t>
  </si>
  <si>
    <t>TE-1070</t>
  </si>
  <si>
    <t>Project Specification For Telecommunication Package - AFC</t>
  </si>
  <si>
    <t>TE-1080</t>
  </si>
  <si>
    <t>Project  Specification For Marine Racon - IFR</t>
  </si>
  <si>
    <t>TE-1090</t>
  </si>
  <si>
    <t>Project  Specification For Marine Racon - AFC</t>
  </si>
  <si>
    <t>TE-1100</t>
  </si>
  <si>
    <t>Vsat Location Options And Selection Report - IFR</t>
  </si>
  <si>
    <t>TE-1110</t>
  </si>
  <si>
    <t>Vsat Location Options And Selection Report - IFA</t>
  </si>
  <si>
    <t>TE-1120</t>
  </si>
  <si>
    <t>Vsat Location Options And Selection Report - AFC</t>
  </si>
  <si>
    <t>TE-1130</t>
  </si>
  <si>
    <t>Design Report For Communication Links - IFR</t>
  </si>
  <si>
    <t>TE-1140</t>
  </si>
  <si>
    <t>Design Report For Communication Links - IFA</t>
  </si>
  <si>
    <t>TE-1150</t>
  </si>
  <si>
    <t>Design Report For Communication Links - AFC</t>
  </si>
  <si>
    <t>TE-1160</t>
  </si>
  <si>
    <t>Design Report For Overall Transmission Media Requirements - IFR</t>
  </si>
  <si>
    <t>TE-1170</t>
  </si>
  <si>
    <t>Design Report For Overall Transmission Media Requirements - IFA</t>
  </si>
  <si>
    <t>TE-1180</t>
  </si>
  <si>
    <t>Design Report For Overall Transmission Media Requirements - AFC</t>
  </si>
  <si>
    <t>TE-1190</t>
  </si>
  <si>
    <t>Design Report For Telecommunication  Equipment On Whp'S Safety Zone With Fire And Explosion Risk Analysis - IFR</t>
  </si>
  <si>
    <t>TE-1200</t>
  </si>
  <si>
    <t>Design Report For Telecommunication  Equipment On Whp'S Safety Zone With Fire And Explosion Risk Analysis - IFA</t>
  </si>
  <si>
    <t>TE-1210</t>
  </si>
  <si>
    <t>Design Report For Telecommunication  Equipment On Whp'S Safety Zone With Fire And Explosion Risk Analysis - AFC</t>
  </si>
  <si>
    <t>TE-1220</t>
  </si>
  <si>
    <t>Telecommuniction Equipment And Ex-Certificates List - IFR</t>
  </si>
  <si>
    <t>TE-1230</t>
  </si>
  <si>
    <t>Telecommuniction Equipment And Ex-Certificates List - IFA</t>
  </si>
  <si>
    <t>TE-1240</t>
  </si>
  <si>
    <t>Telecommuniction Equipment And Ex-Certificates List - AFC</t>
  </si>
  <si>
    <t>TE-1250</t>
  </si>
  <si>
    <t>Overall Telecommunication System Block Diagram - IFR</t>
  </si>
  <si>
    <t>TE-1260</t>
  </si>
  <si>
    <t>Overall Telecommunication System Block Diagram - IFA</t>
  </si>
  <si>
    <t>TE-1270</t>
  </si>
  <si>
    <t>Overall Telecommunication System Block Diagram - AFC</t>
  </si>
  <si>
    <t>TE-1490</t>
  </si>
  <si>
    <t>Telecommuniction Document Index - Wp01 - IFR</t>
  </si>
  <si>
    <t>TE-1500</t>
  </si>
  <si>
    <t>Telecommuniction Document Index - Wp01 - IFA</t>
  </si>
  <si>
    <t>TE-1510</t>
  </si>
  <si>
    <t>Telecommuniction Document Index - Wp01 - AFC</t>
  </si>
  <si>
    <t>TE-1520</t>
  </si>
  <si>
    <t>Telecommuniction Equipment List - Wp01 - IFR</t>
  </si>
  <si>
    <t>TE-1530</t>
  </si>
  <si>
    <t>Telecommuniction Equipment List - Wp01 - IFA</t>
  </si>
  <si>
    <t>TE-1540</t>
  </si>
  <si>
    <t>Telecommuniction Equipment List - Wp01 - AFC</t>
  </si>
  <si>
    <t>TE-1550</t>
  </si>
  <si>
    <t>Telecommuniction Cable Schedule - Wp01 - IFR</t>
  </si>
  <si>
    <t>TE-1560</t>
  </si>
  <si>
    <t>Telecommuniction Cable Schedule - Wp01 - IFA</t>
  </si>
  <si>
    <t>TE-1570</t>
  </si>
  <si>
    <t>Telecommuniction Cable Schedule - Wp01 - AFC</t>
  </si>
  <si>
    <t>TE-1580</t>
  </si>
  <si>
    <t>Telecommuniction Power Cpnstruction And Heat Dissipation List - Wp01 - IFR</t>
  </si>
  <si>
    <t>TE-1590</t>
  </si>
  <si>
    <t>Telecommuniction Power Cpnstruction And Heat Dissipation List - Wp01 - IFA</t>
  </si>
  <si>
    <t>TE-1600</t>
  </si>
  <si>
    <t>Telecommuniction Power Cpnstruction And Heat Dissipation List - Wp01 - AFC</t>
  </si>
  <si>
    <t>TE-1610</t>
  </si>
  <si>
    <t>Telecommuniction Bulk Material Take -Off - Wp01 - IFR</t>
  </si>
  <si>
    <t>TE-1620</t>
  </si>
  <si>
    <t>Telecommuniction Bulk Material Take -Off - Wp01 - IFA</t>
  </si>
  <si>
    <t>TE-1630</t>
  </si>
  <si>
    <t>Telecommuniction Bulk Material Take -Off - Wp01 - AFC</t>
  </si>
  <si>
    <t>TE-1850</t>
  </si>
  <si>
    <t>Telecommuniction Document Index - Wp02 - IFR</t>
  </si>
  <si>
    <t>TE-1860</t>
  </si>
  <si>
    <t>Telecommuniction Document Index - Wp02 - IFA</t>
  </si>
  <si>
    <t>TE-1870</t>
  </si>
  <si>
    <t>Telecommuniction Document Index - Wp02 - AFC</t>
  </si>
  <si>
    <t>TE-1880</t>
  </si>
  <si>
    <t>Telecommuniction Equipment List - Wp02 - IFR</t>
  </si>
  <si>
    <t>TE-1890</t>
  </si>
  <si>
    <t>Telecommuniction Equipment List - Wp02 - IFA</t>
  </si>
  <si>
    <t>TE-1900</t>
  </si>
  <si>
    <t>Telecommuniction Equipment List - Wp02 - AFC</t>
  </si>
  <si>
    <t>TE-1910</t>
  </si>
  <si>
    <t>Telecommuniction Cable Schedule - Wp02 - IFR</t>
  </si>
  <si>
    <t>TE-1920</t>
  </si>
  <si>
    <t>Telecommuniction Cable Schedule - Wp02 - IFA</t>
  </si>
  <si>
    <t>TE-1930</t>
  </si>
  <si>
    <t>Telecommuniction Cable Schedule - Wp02 - AFC</t>
  </si>
  <si>
    <t>TE-1940</t>
  </si>
  <si>
    <t>Telecommuniction Power Cpnstruction And Heat Dissipation List - Wp02 - IFR</t>
  </si>
  <si>
    <t>TE-1950</t>
  </si>
  <si>
    <t>Telecommuniction Power Cpnstruction And Heat Dissipation List - Wp02 - IFA</t>
  </si>
  <si>
    <t>TE-1960</t>
  </si>
  <si>
    <t>Telecommuniction Power Cpnstruction And Heat Dissipation List - Wp02 - AFC</t>
  </si>
  <si>
    <t>TE-1970</t>
  </si>
  <si>
    <t>Telecommuniction Bulk Material Take -Off - Wp02 - IFR</t>
  </si>
  <si>
    <t>TE-1980</t>
  </si>
  <si>
    <t>Telecommuniction Bulk Material Take -Off - Wp02 - IFA</t>
  </si>
  <si>
    <t>TE-1990</t>
  </si>
  <si>
    <t>Telecommuniction Bulk Material Take -Off - Wp02 - AFC</t>
  </si>
  <si>
    <t>TE-2000</t>
  </si>
  <si>
    <t>Telecommuniction Drawing Index - Wp01 - IFR</t>
  </si>
  <si>
    <t>TE-2010</t>
  </si>
  <si>
    <t>Telecommuniction Drawing Index - Wp01 - IFA</t>
  </si>
  <si>
    <t>TE-2020</t>
  </si>
  <si>
    <t>Telecommuniction Drawing Index - Wp01 - AFC</t>
  </si>
  <si>
    <t>TE-2030</t>
  </si>
  <si>
    <t>Telecommuniction System Block Diagram - Wp01 - IFR</t>
  </si>
  <si>
    <t>TE-2040</t>
  </si>
  <si>
    <t>Telecommuniction System Block Diagram - Wp01 - IFA</t>
  </si>
  <si>
    <t>TE-2050</t>
  </si>
  <si>
    <t>Telecommuniction System Block Diagram - Wp01 - AFC</t>
  </si>
  <si>
    <t>TE-2060</t>
  </si>
  <si>
    <t>Telecommuniction Equipment Layout - Wp01 - IFR</t>
  </si>
  <si>
    <t>TE-2070</t>
  </si>
  <si>
    <t>Telecommuniction Equipment Layout - Wp01 - IFA</t>
  </si>
  <si>
    <t>TE-2080</t>
  </si>
  <si>
    <t>Telecommuniction Equipment Layout - Wp01 - AFC</t>
  </si>
  <si>
    <t>TE-2090</t>
  </si>
  <si>
    <t>Telecommuniction Cable  Routing Plan - Wp01 - IFR</t>
  </si>
  <si>
    <t>TE-2100</t>
  </si>
  <si>
    <t>Telecommuniction Cable  Routing Plan - Wp01 - IFA</t>
  </si>
  <si>
    <t>TE-2110</t>
  </si>
  <si>
    <t>Telecommuniction Cable  Routing Plan - Wp01 - AFC</t>
  </si>
  <si>
    <t>TE-2120</t>
  </si>
  <si>
    <t>Telecommuniction Schematic Diagram - Wp01 - IFR</t>
  </si>
  <si>
    <t>TE-2130</t>
  </si>
  <si>
    <t>Telecommuniction Schematic Diagram - Wp01 - IFA</t>
  </si>
  <si>
    <t>TE-2140</t>
  </si>
  <si>
    <t>Telecommuniction Schematic Diagram - Wp01 - AFC</t>
  </si>
  <si>
    <t>TE-2150</t>
  </si>
  <si>
    <t>Telecommuniction System Wiring Diagram - Wp01 - IFR</t>
  </si>
  <si>
    <t>TE-2160</t>
  </si>
  <si>
    <t>Telecommuniction System Wiring Diagram - Wp01 - IFA</t>
  </si>
  <si>
    <t>TE-2170</t>
  </si>
  <si>
    <t>Telecommuniction System Wiring Diagram - Wp01 - AFC</t>
  </si>
  <si>
    <t>TE-2180</t>
  </si>
  <si>
    <t>Telecommuniction Installation And Mounting Detail - Wp01 - IFR</t>
  </si>
  <si>
    <t>TE-2190</t>
  </si>
  <si>
    <t>Telecommuniction Installation And Mounting Detail - Wp01 - IFA</t>
  </si>
  <si>
    <t>TE-2200</t>
  </si>
  <si>
    <t>Telecommuniction Installation And Mounting Detail - Wp01 - AFC</t>
  </si>
  <si>
    <t>TE-2210</t>
  </si>
  <si>
    <t>Telecommuniction Drawing Index - Wp02 - IFR</t>
  </si>
  <si>
    <t>TE-2220</t>
  </si>
  <si>
    <t>Telecommuniction Drawing Index - Wp02 - IFA</t>
  </si>
  <si>
    <t>TE-2230</t>
  </si>
  <si>
    <t>Telecommuniction Drawing Index - Wp02 - AFC</t>
  </si>
  <si>
    <t>TE-2240</t>
  </si>
  <si>
    <t>Telecommuniction System Block Diagram - Wp02 - IFR</t>
  </si>
  <si>
    <t>TE-2250</t>
  </si>
  <si>
    <t>Telecommuniction System Block Diagram - Wp02 - IFA</t>
  </si>
  <si>
    <t>TE-2260</t>
  </si>
  <si>
    <t>Telecommuniction System Block Diagram - Wp02 - AFC</t>
  </si>
  <si>
    <t>TE-2270</t>
  </si>
  <si>
    <t>Telecommuniction Equipment Layout - Wp02 - IFR</t>
  </si>
  <si>
    <t>TE-2280</t>
  </si>
  <si>
    <t>Telecommuniction Equipment Layout - Wp02 - IFA</t>
  </si>
  <si>
    <t>TE-2290</t>
  </si>
  <si>
    <t>Telecommuniction Equipment Layout - Wp02 - AFC</t>
  </si>
  <si>
    <t>TE-2300</t>
  </si>
  <si>
    <t>Telecommuniction Cable  Routing Plan - Wp02 - IFR</t>
  </si>
  <si>
    <t>TE-2310</t>
  </si>
  <si>
    <t>Telecommuniction Cable  Routing Plan - Wp02 - IFA</t>
  </si>
  <si>
    <t>TE-2320</t>
  </si>
  <si>
    <t>Telecommuniction Cable  Routing Plan - Wp02 - AFC</t>
  </si>
  <si>
    <t>TE-2330</t>
  </si>
  <si>
    <t>Telecommuniction Schematic Diagram - Wp02 - IFR</t>
  </si>
  <si>
    <t>TE-2340</t>
  </si>
  <si>
    <t>Telecommuniction Schematic Diagram - Wp02 - IFA</t>
  </si>
  <si>
    <t>TE-2350</t>
  </si>
  <si>
    <t>Telecommuniction Schematic Diagram - Wp02 - AFC</t>
  </si>
  <si>
    <t>TE-2360</t>
  </si>
  <si>
    <t>Telecommuniction System Wiring Diagram - Wp02 - IFR</t>
  </si>
  <si>
    <t>TE-2370</t>
  </si>
  <si>
    <t>Telecommuniction System Wiring Diagram - Wp02 - IFA</t>
  </si>
  <si>
    <t>TE-2380</t>
  </si>
  <si>
    <t>Telecommuniction System Wiring Diagram - Wp02 - AFC</t>
  </si>
  <si>
    <t>TE-2390</t>
  </si>
  <si>
    <t>Telecommuniction Installation And Mounting Detail - Wp02 - IFR</t>
  </si>
  <si>
    <t>TE-2400</t>
  </si>
  <si>
    <t>Telecommuniction Installation And Mounting Detail - Wp02 - IFA</t>
  </si>
  <si>
    <t>TE-2410</t>
  </si>
  <si>
    <t>Telecommuniction Installation And Mounting Detail - Wp02 - AFC</t>
  </si>
  <si>
    <t>TE-2550</t>
  </si>
  <si>
    <t>Telecommunication Shiploose List For Offshore Installation - IFR</t>
  </si>
  <si>
    <t>TE-2560</t>
  </si>
  <si>
    <t>Telecommunication Shiploose List For Offshore Installation - AFC</t>
  </si>
  <si>
    <t>TE-2570</t>
  </si>
  <si>
    <t>Telecommunication Shiploose List Handover To Company Operation Team - IFR</t>
  </si>
  <si>
    <t>TE-2580</t>
  </si>
  <si>
    <t>Telecommunication Shiploose List Handover To Company Operation Team - AFC</t>
  </si>
  <si>
    <t>Datasheets-Telecommunication</t>
  </si>
  <si>
    <t>TE-1280</t>
  </si>
  <si>
    <t>Data Sheet For Wimax Radio - Wp01 - IFR</t>
  </si>
  <si>
    <t>TE-1290</t>
  </si>
  <si>
    <t>Data Sheet For Wimax Radio - Wp01 - IFA</t>
  </si>
  <si>
    <t>TE-1300</t>
  </si>
  <si>
    <t>Data Sheet For Wimax Radio - Wp01 - AFC</t>
  </si>
  <si>
    <t>TE-1310</t>
  </si>
  <si>
    <t>Data Sheet For  Radar  Beacon - Wp01 - IFR</t>
  </si>
  <si>
    <t>TE-1320</t>
  </si>
  <si>
    <t>Data Sheet For  Radar  Beacon - Wp01 - IFA</t>
  </si>
  <si>
    <t>TE-1330</t>
  </si>
  <si>
    <t>Data Sheet For  Radar  Beacon - Wp01 - AFC</t>
  </si>
  <si>
    <t>TE-1340</t>
  </si>
  <si>
    <t>Data Sheet For  Automatic Identification System - Wp01 - IFR</t>
  </si>
  <si>
    <t>TE-1350</t>
  </si>
  <si>
    <t>Data Sheet For  Automatic Identification System - Wp01 - IFA</t>
  </si>
  <si>
    <t>TE-1360</t>
  </si>
  <si>
    <t>Data Sheet For  Automatic Identification System - Wp01 - AFC</t>
  </si>
  <si>
    <t>TE-1370</t>
  </si>
  <si>
    <t>Data Sheet For  Vhf-Dmr - Wp01 - IFR</t>
  </si>
  <si>
    <t>TE-1380</t>
  </si>
  <si>
    <t>Data Sheet For  Vhf-Dmr - Wp01 - IFA</t>
  </si>
  <si>
    <t>TE-1390</t>
  </si>
  <si>
    <t>Data Sheet For  Vhf-Dmr - Wp01 - AFC</t>
  </si>
  <si>
    <t>TE-1400</t>
  </si>
  <si>
    <t>Data Sheet For  Vhf-Fm - Wp01 - IFR</t>
  </si>
  <si>
    <t>TE-1410</t>
  </si>
  <si>
    <t>Data Sheet For  Vhf-Fm - Wp01 - IFA</t>
  </si>
  <si>
    <t>TE-1420</t>
  </si>
  <si>
    <t>Data Sheet For  Vhf-Fm - Wp01 - AFC</t>
  </si>
  <si>
    <t>TE-1430</t>
  </si>
  <si>
    <t>Data Sheet For  Telephone - Wp01 - IFR</t>
  </si>
  <si>
    <t>TE-1440</t>
  </si>
  <si>
    <t>Data Sheet For  Telephone - Wp01 - IFA</t>
  </si>
  <si>
    <t>TE-1450</t>
  </si>
  <si>
    <t>Data Sheet For  Telephone - Wp01 - AFC</t>
  </si>
  <si>
    <t>TE-1460</t>
  </si>
  <si>
    <t>Data Sheet For  Bulk Material - Wp01 - IFR</t>
  </si>
  <si>
    <t>TE-1470</t>
  </si>
  <si>
    <t>Data Sheet For  Bulk Material - Wp01 - IFA</t>
  </si>
  <si>
    <t>TE-1480</t>
  </si>
  <si>
    <t>Data Sheet For  Bulk Material - Wp01 - AFC</t>
  </si>
  <si>
    <t>TE-1640</t>
  </si>
  <si>
    <t>Data Sheet For Wimax Radio - Wp02 - IFR</t>
  </si>
  <si>
    <t>TE-1650</t>
  </si>
  <si>
    <t>Data Sheet For Wimax Radio - Wp02 - IFA</t>
  </si>
  <si>
    <t>TE-1660</t>
  </si>
  <si>
    <t>Data Sheet For Wimax Radio - Wp02 - AFC</t>
  </si>
  <si>
    <t>TE-1670</t>
  </si>
  <si>
    <t>Data Sheet For  Radar  Beacon - Wp02 - IFR</t>
  </si>
  <si>
    <t>TE-1680</t>
  </si>
  <si>
    <t>Data Sheet For  Radar  Beacon - Wp02 - IFA</t>
  </si>
  <si>
    <t>TE-1690</t>
  </si>
  <si>
    <t>Data Sheet For  Radar  Beacon - Wp02 - AFC</t>
  </si>
  <si>
    <t>TE-1700</t>
  </si>
  <si>
    <t>Data Sheet For  Automatic Identification System - Wp02 - IFR</t>
  </si>
  <si>
    <t>TE-1710</t>
  </si>
  <si>
    <t>Data Sheet For  Automatic Identification System - Wp02 - IFA</t>
  </si>
  <si>
    <t>TE-1720</t>
  </si>
  <si>
    <t>Data Sheet For  Automatic Identification System - Wp02 - AFC</t>
  </si>
  <si>
    <t>TE-1730</t>
  </si>
  <si>
    <t>Data Sheet For  Vhf-Dmr - Wp02 - IFR</t>
  </si>
  <si>
    <t>TE-1740</t>
  </si>
  <si>
    <t>Data Sheet For  Vhf-Dmr - Wp02 - IFA</t>
  </si>
  <si>
    <t>TE-1750</t>
  </si>
  <si>
    <t>Data Sheet For  Vhf-Dmr - Wp02 - AFC</t>
  </si>
  <si>
    <t>TE-1760</t>
  </si>
  <si>
    <t>Data Sheet For  Vhf-Fm - Wp02 - IFR</t>
  </si>
  <si>
    <t>TE-1770</t>
  </si>
  <si>
    <t>Data Sheet For  Vhf-Fm - Wp02 - IFA</t>
  </si>
  <si>
    <t>TE-1780</t>
  </si>
  <si>
    <t>Data Sheet For  Vhf-Fm - Wp02 - AFC</t>
  </si>
  <si>
    <t>TE-1790</t>
  </si>
  <si>
    <t>Data Sheet For  Telephone - Wp02 - IFR</t>
  </si>
  <si>
    <t>TE-1800</t>
  </si>
  <si>
    <t>Data Sheet For  Telephone - Wp02 - IFA</t>
  </si>
  <si>
    <t>TE-1810</t>
  </si>
  <si>
    <t>Data Sheet For  Telephone - Wp02 - AFC</t>
  </si>
  <si>
    <t>TE-1820</t>
  </si>
  <si>
    <t>Data Sheet For  Bulk Material - Wp02 - IFR</t>
  </si>
  <si>
    <t>TE-1830</t>
  </si>
  <si>
    <t>Data Sheet For  Bulk Material - Wp02 - IFA</t>
  </si>
  <si>
    <t>TE-1840</t>
  </si>
  <si>
    <t>Data Sheet For  Bulk Material - Wp02 - AFC</t>
  </si>
  <si>
    <t>MR-Telecommunication</t>
  </si>
  <si>
    <t>TE-2420</t>
  </si>
  <si>
    <t>Material Requisition For Telecommunication System - IFR</t>
  </si>
  <si>
    <t>TE-2430</t>
  </si>
  <si>
    <t>Material Requisition For Telecommunication System - IFA</t>
  </si>
  <si>
    <t>TE-2440</t>
  </si>
  <si>
    <t>Material Requisition For Telecommunication System - AFC</t>
  </si>
  <si>
    <t>TE-2450</t>
  </si>
  <si>
    <t>Material Requisition For Marine Racon (Racon) - IFR</t>
  </si>
  <si>
    <t>TE-2460</t>
  </si>
  <si>
    <t>Material Requisition For Marine Racon (Racon) - AFC</t>
  </si>
  <si>
    <t>TE-2470</t>
  </si>
  <si>
    <t>Material Requisition For For Telecommunication Bulk Material - IFR</t>
  </si>
  <si>
    <t>TE-2480</t>
  </si>
  <si>
    <t>Material Requisition For For Telecommunication Bulk Material - AFC</t>
  </si>
  <si>
    <t>TBE-Telecommunication</t>
  </si>
  <si>
    <t>TE-2490</t>
  </si>
  <si>
    <t>Technical Bid Evaluation For Telecommunication System - IFR</t>
  </si>
  <si>
    <t>TE-2500</t>
  </si>
  <si>
    <t>Technical Bid Evaluation For Telecommunication System - AFC</t>
  </si>
  <si>
    <t>TE-2510</t>
  </si>
  <si>
    <t>Technical Bid Evaluation For Marine Racon (Racon) - IFR</t>
  </si>
  <si>
    <t>TE-2520</t>
  </si>
  <si>
    <t>Technical Bid Evaluation For Marine Racon (Racon) - AFC</t>
  </si>
  <si>
    <t>TE-2530</t>
  </si>
  <si>
    <t>Technical Bid Evaluation For Telecommunication Bulk Material - IFR</t>
  </si>
  <si>
    <t>TE-2540</t>
  </si>
  <si>
    <t>Technical Bid Evaluation For Telecommunication Bulk Material - AFC</t>
  </si>
  <si>
    <t>SAFETY</t>
  </si>
  <si>
    <t>SF-1000</t>
  </si>
  <si>
    <t>Safety Security Health and Environment Concept (SSHE) (Offshore) - IFR</t>
  </si>
  <si>
    <t>SF-1010</t>
  </si>
  <si>
    <t>Safety Security Health and Environment Concept (SSHE) (Offshore) - IFA</t>
  </si>
  <si>
    <t>SF-1020</t>
  </si>
  <si>
    <t>Safety Security Health and Environment Concept (SSHE) (Offshore) - AFC</t>
  </si>
  <si>
    <t>SF-1030</t>
  </si>
  <si>
    <t>FERA and QRA Assumption Register - IFR</t>
  </si>
  <si>
    <t>SF-1040</t>
  </si>
  <si>
    <t>FERA and QRA Assumption Register - AFC</t>
  </si>
  <si>
    <t>SF-1050</t>
  </si>
  <si>
    <t>Reliability, Availability and Maintainability (RAM) Study Assumption Register - IFR</t>
  </si>
  <si>
    <t>SF-1060</t>
  </si>
  <si>
    <t>Reliability, Availability and Maintainability (RAM) Study Assumption Register - AFC</t>
  </si>
  <si>
    <t>SF-1070</t>
  </si>
  <si>
    <t>Reliability, Availability and Maintainability (RAM) Study Report (for WHP) - IFR</t>
  </si>
  <si>
    <t>SF-1080</t>
  </si>
  <si>
    <t>Reliability, Availability and Maintainability (RAM) Study Report (for WHP) - AFC</t>
  </si>
  <si>
    <t>SF-1090</t>
  </si>
  <si>
    <t>HAZID TOR (Offshore) - IFR</t>
  </si>
  <si>
    <t>SF-1100</t>
  </si>
  <si>
    <t>HAZID TOR (Offshore) - AFC</t>
  </si>
  <si>
    <t>SF-1110</t>
  </si>
  <si>
    <t>HAZID Report (Offshore) - IFR</t>
  </si>
  <si>
    <t>SF-1120</t>
  </si>
  <si>
    <t>HAZID Report (Offshore) - AFC</t>
  </si>
  <si>
    <t>SF-1121</t>
  </si>
  <si>
    <t>HAZID Closed Out Report - IFI</t>
  </si>
  <si>
    <t>SF-1130</t>
  </si>
  <si>
    <t>HAZOP TOR (Offshore) - IFR</t>
  </si>
  <si>
    <t>SF-1140</t>
  </si>
  <si>
    <t>HAZOP TOR (Offshore) - AFC</t>
  </si>
  <si>
    <t>SF-1150</t>
  </si>
  <si>
    <t>HAZOP Report (Offshore) - IFR</t>
  </si>
  <si>
    <t>SF-1160</t>
  </si>
  <si>
    <t>HAZOP Report (Offshore) - AFC</t>
  </si>
  <si>
    <t>SF-1161</t>
  </si>
  <si>
    <t>HAZOP Closed Out Report - IFI</t>
  </si>
  <si>
    <t>SF-1170</t>
  </si>
  <si>
    <t>SIL TOR (Offshore) - IFR</t>
  </si>
  <si>
    <t>SF-1180</t>
  </si>
  <si>
    <t>SIL TOR (Offshore) - AFC</t>
  </si>
  <si>
    <t>SF-1190</t>
  </si>
  <si>
    <t>SIL Classification Report (Offshore) - IFR</t>
  </si>
  <si>
    <t>SF-1200</t>
  </si>
  <si>
    <t>SIL Classification Report (Offshore) - AFC</t>
  </si>
  <si>
    <t>SF-1210</t>
  </si>
  <si>
    <t>SIL Verification (Offshore) - IFR</t>
  </si>
  <si>
    <t>SF-1220</t>
  </si>
  <si>
    <t>SIL Verification (Offshore) - IFA</t>
  </si>
  <si>
    <t>SF-1230</t>
  </si>
  <si>
    <t>SIL Verification (Offshore) - AFC</t>
  </si>
  <si>
    <t>SF-1231</t>
  </si>
  <si>
    <t>SIL Closed Out Report - IFI</t>
  </si>
  <si>
    <t>SF-1240</t>
  </si>
  <si>
    <t>ALARP Study TOR (Offshore) - IFR</t>
  </si>
  <si>
    <t>SF-1250</t>
  </si>
  <si>
    <t>ALARP Study TOR (Offshore) - AFC</t>
  </si>
  <si>
    <t>SF-1260</t>
  </si>
  <si>
    <t>ALARP Study Report (Offshore) - IFR</t>
  </si>
  <si>
    <t>SF-1270</t>
  </si>
  <si>
    <t>ALARP Study Report (Offshore) - AFC</t>
  </si>
  <si>
    <t>SF-1280</t>
  </si>
  <si>
    <t>Vent Dispersion &amp; Thermal Radiation Study - IFR</t>
  </si>
  <si>
    <t>SF-1290</t>
  </si>
  <si>
    <t>Vent Dispersion &amp; Thermal Radiation Study - IFA</t>
  </si>
  <si>
    <t>SF-1300</t>
  </si>
  <si>
    <t>Vent Dispersion &amp; Thermal Radiation Study - AFC</t>
  </si>
  <si>
    <t>SF-1310</t>
  </si>
  <si>
    <t>Dropped Object Study (DOS) (Topside &amp; associate Pipelines) - IFR</t>
  </si>
  <si>
    <t>SF-1320</t>
  </si>
  <si>
    <t>Dropped Object Study (DOS) (Topside &amp; associate Pipelines) - IFA</t>
  </si>
  <si>
    <t>SF-1330</t>
  </si>
  <si>
    <t>Dropped Object Study (DOS) (Topside &amp; associate Pipelines) - AFC</t>
  </si>
  <si>
    <t>SF-1340</t>
  </si>
  <si>
    <t>Fire and Explosion Risk Analysis Report (FERA) - IFR</t>
  </si>
  <si>
    <t>SF-1350</t>
  </si>
  <si>
    <t>Fire and Explosion Risk Analysis Report (FERA) - IFA</t>
  </si>
  <si>
    <t>SF-1360</t>
  </si>
  <si>
    <t>Fire and Explosion Risk Analysis Report (FERA) - AFC</t>
  </si>
  <si>
    <t>SF-1370</t>
  </si>
  <si>
    <t>Qualitative Risk Assessment (QRA) - IFR</t>
  </si>
  <si>
    <t>SF-1380</t>
  </si>
  <si>
    <t>Qualitative Risk Assessment (QRA) - IFA</t>
  </si>
  <si>
    <t>SF-1390</t>
  </si>
  <si>
    <t>Qualitative Risk Assessment (QRA) - AFC</t>
  </si>
  <si>
    <t>SF-1400</t>
  </si>
  <si>
    <t>Escape, Evacuation and Rescue Analysis (EERA) - IFR</t>
  </si>
  <si>
    <t>SF-1410</t>
  </si>
  <si>
    <t>Escape, Evacuation and Rescue Analysis (EERA) - IFA</t>
  </si>
  <si>
    <t>SF-1420</t>
  </si>
  <si>
    <t>Escape, Evacuation and Rescue Analysis (EERA) - AFC</t>
  </si>
  <si>
    <t>SF-1430</t>
  </si>
  <si>
    <t>Design Safety Critical Element and Performance Standard (SCE PS) - IFR</t>
  </si>
  <si>
    <t>SF-1440</t>
  </si>
  <si>
    <t>Design Safety Critical Element and Performance Standard (SCE PS) - IFA</t>
  </si>
  <si>
    <t>SF-1450</t>
  </si>
  <si>
    <t>Design Safety Critical Element and Performance Standard (SCE PS) - AFC</t>
  </si>
  <si>
    <t>SF-1460</t>
  </si>
  <si>
    <t>Safety Engineering Action Tracking Monitoring System (SEAMS) Report (monthly report) - IFR</t>
  </si>
  <si>
    <t>SF-1470</t>
  </si>
  <si>
    <t>Safety Engineering Action Tracking Monitoring System (SEAMS) Report (monthly report) - IFA</t>
  </si>
  <si>
    <t>SF-1480</t>
  </si>
  <si>
    <t>Safety Engineering Action Tracking Monitoring System (SEAMS) Report (monthly report) - AFC</t>
  </si>
  <si>
    <t>SF-1490</t>
  </si>
  <si>
    <t>Bow-Tie Diagrams for MAE/high risk hazards Analysis - IFR</t>
  </si>
  <si>
    <t>SF-1500</t>
  </si>
  <si>
    <t>Bow-Tie Diagrams for MAE/high risk hazards Analysis - IFA</t>
  </si>
  <si>
    <t>SF-1510</t>
  </si>
  <si>
    <t>Bow-Tie Diagrams for MAE/high risk hazards Analysis - AFC</t>
  </si>
  <si>
    <t>SF-1520</t>
  </si>
  <si>
    <t>Design Safety Case - IFR</t>
  </si>
  <si>
    <t>SF-1530</t>
  </si>
  <si>
    <t>Design Safety Case - AFC</t>
  </si>
  <si>
    <t>SF-1531</t>
  </si>
  <si>
    <t>Exhaust Plume Study Report - IFR</t>
  </si>
  <si>
    <t>SF-1532</t>
  </si>
  <si>
    <t>Exhaust Plume Study Report  - AFC</t>
  </si>
  <si>
    <t>SF-1540</t>
  </si>
  <si>
    <t>Specification for Firefighting Equipment - IFR</t>
  </si>
  <si>
    <t>SF-1550</t>
  </si>
  <si>
    <t>Specification for Firefighting Equipment - IFA</t>
  </si>
  <si>
    <t>SF-1560</t>
  </si>
  <si>
    <t>Specification for Firefighting Equipment - AFC</t>
  </si>
  <si>
    <t>SF-1570</t>
  </si>
  <si>
    <t>Specification for Lifesaving Equipment and Safety Equipment - IFR</t>
  </si>
  <si>
    <t>SF-1580</t>
  </si>
  <si>
    <t>Specification for Lifesaving Equipment and Safety Equipment - AFC</t>
  </si>
  <si>
    <t>SF-1590</t>
  </si>
  <si>
    <t>Specification for Safety Signs - IFR</t>
  </si>
  <si>
    <t>SF-1600</t>
  </si>
  <si>
    <t>Specification for Safety Signs - AFC</t>
  </si>
  <si>
    <t>SF-1670</t>
  </si>
  <si>
    <t>Firefighting, Lifesaving Equipment and Safety Equipment List - IFR</t>
  </si>
  <si>
    <t>SF-1680</t>
  </si>
  <si>
    <t>Firefighting, Lifesaving Equipment and Safety Equipment List - IFA</t>
  </si>
  <si>
    <t>SF-1690</t>
  </si>
  <si>
    <t>Firefighting, Lifesaving Equipment and Safety Equipment List - AFC</t>
  </si>
  <si>
    <t>SF-1700</t>
  </si>
  <si>
    <t>Hazardous Equipment Schedule (Normal operations, SIMOPS) - IFR</t>
  </si>
  <si>
    <t>SF-1710</t>
  </si>
  <si>
    <t>Hazardous Equipment Schedule (Normal operations, SIMOPS) - IFA</t>
  </si>
  <si>
    <t>SF-1720</t>
  </si>
  <si>
    <t>Hazardous Equipment Schedule (Normal operations, SIMOPS) - AFC</t>
  </si>
  <si>
    <t>SF-1730</t>
  </si>
  <si>
    <t>Hazardous Area Classification Drawing (Normal operations) WP01 (10Sheets) - IFR</t>
  </si>
  <si>
    <t>SF-1740</t>
  </si>
  <si>
    <t>Hazardous Area Classification Drawing (Normal operations) WP01 (10Sheets) - IFA</t>
  </si>
  <si>
    <t>SF-1750</t>
  </si>
  <si>
    <t>Hazardous Area Classification Drawing (Normal operations) WP01 (10Sheets) - AFC</t>
  </si>
  <si>
    <t>SF-1760</t>
  </si>
  <si>
    <t>Hazardous Area Classification Drawing (SIMOPS) Index WP01 (10Sheets) - IFR</t>
  </si>
  <si>
    <t>SF-1770</t>
  </si>
  <si>
    <t>Hazardous Area Classification Drawing (SIMOPS) Index WP01 (10Sheets) - IFA</t>
  </si>
  <si>
    <t>SF-1780</t>
  </si>
  <si>
    <t>Hazardous Area Classification Drawing (SIMOPS) Index WP01 (10Sheets) - AFC</t>
  </si>
  <si>
    <t>SF-1790</t>
  </si>
  <si>
    <t>Hazardous Area Classification Drawing (Normal operations) WP02 (10Sheets) - IFR</t>
  </si>
  <si>
    <t>SF-1800</t>
  </si>
  <si>
    <t>Hazardous Area Classification Drawing (Normal operations) WP02 (10Sheets) - IFA</t>
  </si>
  <si>
    <t>SF-1810</t>
  </si>
  <si>
    <t>Hazardous Area Classification Drawing (Normal operations) WP02 (10Sheets) - AFC</t>
  </si>
  <si>
    <t>SF-1820</t>
  </si>
  <si>
    <t>Hazardous Area Classification Drawing (SIMOPS) Index WP02 (10Sheets) - IFR</t>
  </si>
  <si>
    <t>SF-1830</t>
  </si>
  <si>
    <t>Hazardous Area Classification Drawing (SIMOPS) Index WP02 (10Sheets) - IFA</t>
  </si>
  <si>
    <t>SF-1840</t>
  </si>
  <si>
    <t>Hazardous Area Classification Drawing (SIMOPS) Index WP02 (10Sheets) - AFC</t>
  </si>
  <si>
    <t>SF-1850</t>
  </si>
  <si>
    <t>Escape Routes,  Lifesaving Equipment &amp; Safety Equipment Layout Drawing WP01 (6 Sheets) - IFR</t>
  </si>
  <si>
    <t>SF-1860</t>
  </si>
  <si>
    <t>Escape Routes,  Lifesaving Equipment &amp; Safety Equipment Layout Drawing WP01 (6 Sheets) - IFA</t>
  </si>
  <si>
    <t>SF-1870</t>
  </si>
  <si>
    <t>Escape Routes,  Lifesaving Equipment &amp; Safety Equipment Layout Drawing WP01 (6 Sheets) - AFC</t>
  </si>
  <si>
    <t>SF-1880</t>
  </si>
  <si>
    <t>Escape Routes,  Lifesaving Equipment &amp; Safety Equipment Layout Drawing WP02 (6 Sheets) - IFR</t>
  </si>
  <si>
    <t>SF-1890</t>
  </si>
  <si>
    <t>Escape Routes,  Lifesaving Equipment &amp; Safety Equipment Layout Drawing WP02 (6 Sheets) - IFA</t>
  </si>
  <si>
    <t>SF-1900</t>
  </si>
  <si>
    <t>Escape Routes,  Lifesaving Equipment &amp; Safety Equipment Layout Drawing WP02 (6 Sheets) - AFC</t>
  </si>
  <si>
    <t>SF-1910</t>
  </si>
  <si>
    <t>Firefighting Equipment Layout Drawing WP01 (6 Sheets) - IFR</t>
  </si>
  <si>
    <t>SF-1920</t>
  </si>
  <si>
    <t>Firefighting Equipment Layout Drawing WP01 (6 Sheets) - IFA</t>
  </si>
  <si>
    <t>SF-1930</t>
  </si>
  <si>
    <t>Firefighting Equipment Layout Drawing WP01 (6 Sheets) - AFC</t>
  </si>
  <si>
    <t>SF-1940</t>
  </si>
  <si>
    <t>Firefighting Equipment Layout Drawing WP02 (6 Sheets) - IFR</t>
  </si>
  <si>
    <t>SF-1950</t>
  </si>
  <si>
    <t>Firefighting Equipment Layout Drawing WP02 (6 Sheets) - IFA</t>
  </si>
  <si>
    <t>SF-1960</t>
  </si>
  <si>
    <t>Firefighting Equipment Layout Drawing WP02 (6 Sheets) - AFC</t>
  </si>
  <si>
    <t>SF-1970</t>
  </si>
  <si>
    <t>Safety Signs Layout Drawing WP01 (6 Sheets) - IFR</t>
  </si>
  <si>
    <t>SF-1980</t>
  </si>
  <si>
    <t>Safety Signs Layout Drawing WP01 (6 Sheets) - IFA</t>
  </si>
  <si>
    <t>SF-1990</t>
  </si>
  <si>
    <t>Safety Signs Layout Drawing WP01 (6 Sheets) - AFC</t>
  </si>
  <si>
    <t>SF-2000</t>
  </si>
  <si>
    <t>Safety Signs Layout Drawing WP02 (6 Sheets) - IFR</t>
  </si>
  <si>
    <t>SF-2010</t>
  </si>
  <si>
    <t>Safety Signs Layout Drawing WP02 (6 Sheets) - IFA</t>
  </si>
  <si>
    <t>SF-2020</t>
  </si>
  <si>
    <t>Safety Signs Layout Drawing WP02 (6 Sheets) - AFC</t>
  </si>
  <si>
    <t>SF-2030</t>
  </si>
  <si>
    <t>Fire and Gas Detector Layout Drawing WP01 (6 Sheets) - IFR</t>
  </si>
  <si>
    <t>SF-2040</t>
  </si>
  <si>
    <t>Fire and Gas Detector Layout Drawing WP01 (6 Sheets) - IFA</t>
  </si>
  <si>
    <t>SF-2050</t>
  </si>
  <si>
    <t>Fire and Gas Detector Layout Drawing WP01 (6 Sheets) - AFC</t>
  </si>
  <si>
    <t>SF-2060</t>
  </si>
  <si>
    <t>Fire and Gas Detector Layout Drawing WP02 (6 Sheets) - IFR</t>
  </si>
  <si>
    <t>SF-2070</t>
  </si>
  <si>
    <t>Fire and Gas Detector Layout Drawing WP02 (6 Sheets) - IFA</t>
  </si>
  <si>
    <t>SF-2080</t>
  </si>
  <si>
    <t>Fire and Gas Detector Layout Drawing WP02 (6 Sheets) - AFC</t>
  </si>
  <si>
    <t>Datasheets-Safety</t>
  </si>
  <si>
    <t>SF-1610</t>
  </si>
  <si>
    <t>Datasheet for Firefighting Equipment - IFR</t>
  </si>
  <si>
    <t>SF-1620</t>
  </si>
  <si>
    <t>Datasheet for Firefighting Equipment - AFC</t>
  </si>
  <si>
    <t>SF-1630</t>
  </si>
  <si>
    <t>Datasheet for Lifesaving Equipment and Safety Equipment - IFR</t>
  </si>
  <si>
    <t>SF-1640</t>
  </si>
  <si>
    <t>Datasheet for Lifesaving Equipment and Safety Equipment - AFC</t>
  </si>
  <si>
    <t>SF-1650</t>
  </si>
  <si>
    <t>Datasheet for Safety Signs - IFR</t>
  </si>
  <si>
    <t>SF-1660</t>
  </si>
  <si>
    <t>Datasheet for Safety Signs - AFC</t>
  </si>
  <si>
    <t>MR-Safety</t>
  </si>
  <si>
    <t>SF-2090</t>
  </si>
  <si>
    <t>Material Requisition for Firefighting Equipment - IFR</t>
  </si>
  <si>
    <t>SF-2100</t>
  </si>
  <si>
    <t>Material Requisition for Firefighting Equipment - AFC</t>
  </si>
  <si>
    <t>SF-2110</t>
  </si>
  <si>
    <t>Material Requisition for Lifesaving Equipment and Safety Equipment - IFR</t>
  </si>
  <si>
    <t>SF-2120</t>
  </si>
  <si>
    <t>Material Requisition for Lifesaving Equipment and Safety Equipment - AFC</t>
  </si>
  <si>
    <t>SF-2130</t>
  </si>
  <si>
    <t>Material Requisition for Safety Signs - IFR</t>
  </si>
  <si>
    <t>SF-2140</t>
  </si>
  <si>
    <t>Material Requisition for Safety Signs - AFC</t>
  </si>
  <si>
    <t>TBE-Safety</t>
  </si>
  <si>
    <t>SF-2150</t>
  </si>
  <si>
    <t>Technical Bid Evaluation For Firefighting Equipment - IFR</t>
  </si>
  <si>
    <t>SF-2160</t>
  </si>
  <si>
    <t>Technical Bid Evaluation For Firefighting Equipment - IFA</t>
  </si>
  <si>
    <t>SF-2170</t>
  </si>
  <si>
    <t>Technical Bid Evaluation For Firefighting Equipment - AFC</t>
  </si>
  <si>
    <t>SF-2180</t>
  </si>
  <si>
    <t>Technical Bid Evaluation For Lifesaving Equipment and Safety Equipment - IFR</t>
  </si>
  <si>
    <t>SF-2190</t>
  </si>
  <si>
    <t>Technical Bid Evaluation For Lifesaving Equipment and Safety Equipment - IFA</t>
  </si>
  <si>
    <t>SF-2200</t>
  </si>
  <si>
    <t>Technical Bid Evaluation For Lifesaving Equipment and Safety Equipment - AFC</t>
  </si>
  <si>
    <t>SF-2210</t>
  </si>
  <si>
    <t>Technical Bid Evaluation For Safety Signs - IFR</t>
  </si>
  <si>
    <t>SF-2220</t>
  </si>
  <si>
    <t>Technical Bid Evaluation For Safety Signs - IFA</t>
  </si>
  <si>
    <t>SF-2230</t>
  </si>
  <si>
    <t>Technical Bid Evaluation For Safety Signs - AFC</t>
  </si>
  <si>
    <t>ME-1510_X_</t>
  </si>
  <si>
    <t>Mechanical Datasheet for Material Handling Equipment - IFR_X_</t>
  </si>
  <si>
    <t>ZM167 PTTEPI ASK Procurement Plan - Before Award</t>
  </si>
  <si>
    <t xml:space="preserve">    </t>
  </si>
  <si>
    <t>MR.No</t>
  </si>
  <si>
    <t>PO NO.</t>
  </si>
  <si>
    <t>MR Issued</t>
  </si>
  <si>
    <t>Bidding Duration</t>
  </si>
  <si>
    <t>Delivery Date</t>
  </si>
  <si>
    <t>Lead Time
(Days)</t>
  </si>
  <si>
    <t>Earlier ROS date</t>
  </si>
  <si>
    <t>Float (Day)</t>
  </si>
  <si>
    <t>Final&amp;Best Proposal Submission</t>
  </si>
  <si>
    <t>TJE CBE approval (LOI Issue)</t>
  </si>
  <si>
    <t>MRP</t>
  </si>
  <si>
    <t>Transportation time</t>
  </si>
  <si>
    <t>RFQ-001</t>
  </si>
  <si>
    <t>Pedestal Crane</t>
  </si>
  <si>
    <t>Plan</t>
  </si>
  <si>
    <t>RFQ-002</t>
  </si>
  <si>
    <t>RFQ-003</t>
  </si>
  <si>
    <t>RFQ-004</t>
  </si>
  <si>
    <t>Production &amp; Test Seperator</t>
  </si>
  <si>
    <t>RFQ-005</t>
  </si>
  <si>
    <t>Pig Launcher and Receiver</t>
  </si>
  <si>
    <t>RFQ-006</t>
  </si>
  <si>
    <t>Corrosion Inhibitor Injection Pump</t>
  </si>
  <si>
    <t>RFQ-007</t>
  </si>
  <si>
    <t>Demulsifier/Water Clarifier Injection Pump</t>
  </si>
  <si>
    <t>RFQ-008</t>
  </si>
  <si>
    <t>De-Oiler Hydrocyclone</t>
  </si>
  <si>
    <t xml:space="preserve">  </t>
  </si>
  <si>
    <t>RFQ-009</t>
  </si>
  <si>
    <t>Degasser</t>
  </si>
  <si>
    <t>RFQ-010</t>
  </si>
  <si>
    <t>RFQ-011</t>
  </si>
  <si>
    <t>RFQ-012</t>
  </si>
  <si>
    <t xml:space="preserve"> Storage Tote Tank</t>
  </si>
  <si>
    <t>RFQ-013</t>
  </si>
  <si>
    <t>RFQ-014</t>
  </si>
  <si>
    <t>Closed Drain Sump Pump</t>
  </si>
  <si>
    <t>RFQ-015</t>
  </si>
  <si>
    <t>Diesel Transfer Pump</t>
  </si>
  <si>
    <t>RFQ-016</t>
  </si>
  <si>
    <t>Open Drain Caisson Pump</t>
  </si>
  <si>
    <t>RFQ-017</t>
  </si>
  <si>
    <t>DC Distribution Board</t>
  </si>
  <si>
    <t>RFQ-018</t>
  </si>
  <si>
    <t>RFQ-019</t>
  </si>
  <si>
    <t>RFQ-020</t>
  </si>
  <si>
    <t>RFQ-021</t>
  </si>
  <si>
    <t>RFQ-022</t>
  </si>
  <si>
    <t>RFQ-023</t>
  </si>
  <si>
    <t>RFQ-024</t>
  </si>
  <si>
    <t>RFQ-025</t>
  </si>
  <si>
    <t>RFQ-026</t>
  </si>
  <si>
    <t>RFQ-027</t>
  </si>
  <si>
    <t>RFQ-028</t>
  </si>
  <si>
    <t>RFQ-029</t>
  </si>
  <si>
    <t>RFQ-030</t>
  </si>
  <si>
    <t>RFQ-031</t>
  </si>
  <si>
    <t>RFQ-032</t>
  </si>
  <si>
    <t>RFQ-033</t>
  </si>
  <si>
    <t>RFQ-034</t>
  </si>
  <si>
    <t>Level Transmitter and Gauge</t>
  </si>
  <si>
    <t>RFQ-035</t>
  </si>
  <si>
    <t>RFQ-036</t>
  </si>
  <si>
    <t>RFQ-037</t>
  </si>
  <si>
    <t>RFQ-038</t>
  </si>
  <si>
    <t>Fire and Gas Detector</t>
  </si>
  <si>
    <t>RFQ-039</t>
  </si>
  <si>
    <t>Dip Tape Level Indicator</t>
  </si>
  <si>
    <t>RFQ-040</t>
  </si>
  <si>
    <t>RFQ-041</t>
  </si>
  <si>
    <t>RFQ-042</t>
  </si>
  <si>
    <t>Oil in Water Analyzer</t>
  </si>
  <si>
    <t>RFQ-043</t>
  </si>
  <si>
    <t>RFQ-044</t>
  </si>
  <si>
    <t>Flow Switch</t>
  </si>
  <si>
    <t>RFQ-045</t>
  </si>
  <si>
    <t>RFQ-046</t>
  </si>
  <si>
    <t>Telecommunication System (WiMAX, Telephone, Marine Radio)</t>
  </si>
  <si>
    <t>RFQ-047</t>
  </si>
  <si>
    <t>Marine Racon</t>
  </si>
  <si>
    <t>RFQ-048</t>
  </si>
  <si>
    <t>BALL VALVE (FLANGE END)</t>
  </si>
  <si>
    <t>RFQ-049</t>
  </si>
  <si>
    <t>GLOBE VALVE (FLANGE END)</t>
  </si>
  <si>
    <t>RFQ-050</t>
  </si>
  <si>
    <t>GLOBE VALVE (WELDED END)</t>
  </si>
  <si>
    <t>RFQ-051</t>
  </si>
  <si>
    <t>CHECK VALVE (FLANGE END)</t>
  </si>
  <si>
    <t>RFQ-052</t>
  </si>
  <si>
    <t>CHECK VALVE (WELDED END)</t>
  </si>
  <si>
    <t>RFQ-053</t>
  </si>
  <si>
    <t>COMPACT CHECK VALVE (WELDED END)</t>
  </si>
  <si>
    <t>Primary Steel - Plate</t>
  </si>
  <si>
    <t>Primary Steel -  Joint Connection for Topside</t>
  </si>
  <si>
    <t>Primary Steel - Beam for topside (Standard)</t>
  </si>
  <si>
    <t>Primary Steel - Beam</t>
  </si>
  <si>
    <t>Primary Steel - Beam for topside (non-standard)</t>
  </si>
  <si>
    <t>Primary Steel - Seamless Pipe for topside</t>
  </si>
  <si>
    <t>Primary Steel - Seamless Pipe</t>
  </si>
  <si>
    <t xml:space="preserve">Primary Steel - Tubular for topside </t>
  </si>
  <si>
    <t xml:space="preserve">Primary Steel -Beam for jacket </t>
  </si>
  <si>
    <t>Primary Steel -Tubular for jacket (column)</t>
  </si>
  <si>
    <t>Primary Steel -Tubular for jacket (bracing)</t>
  </si>
  <si>
    <t>Primary Steel -Tubular for Pile</t>
  </si>
  <si>
    <t>Special items</t>
  </si>
  <si>
    <t>SPECIAL PIPE SUPPORT</t>
  </si>
  <si>
    <t>SS &amp; DSS Fitting</t>
  </si>
  <si>
    <t>SS &amp; DSS Flange</t>
  </si>
  <si>
    <t>SAW Welded Pipe</t>
  </si>
  <si>
    <t>DSS Pipes</t>
  </si>
  <si>
    <t>Steamless SS pipes</t>
  </si>
  <si>
    <t>Bolts &amp; Nuts</t>
  </si>
  <si>
    <t>ZM167 PTTEPI ASK Procurement Status Report (PSR) - After Award</t>
  </si>
  <si>
    <t>Most complexity RFQ</t>
  </si>
  <si>
    <t>date</t>
  </si>
  <si>
    <t xml:space="preserve"> - Forecast later than Plan</t>
  </si>
  <si>
    <t>High complexity RFQ</t>
  </si>
  <si>
    <t xml:space="preserve"> - Two weeks forecasted activities</t>
  </si>
  <si>
    <t>Normal complexity  RFQ</t>
  </si>
  <si>
    <t xml:space="preserve"> - Overdue activities</t>
  </si>
  <si>
    <t>Low complexity  RFQ</t>
  </si>
  <si>
    <t>PIC</t>
  </si>
  <si>
    <t>DIS</t>
  </si>
  <si>
    <t>LLI</t>
  </si>
  <si>
    <t>Vendors</t>
  </si>
  <si>
    <t xml:space="preserve">Description </t>
  </si>
  <si>
    <t xml:space="preserve">MRQ No.  </t>
  </si>
  <si>
    <t>weight</t>
  </si>
  <si>
    <t>P/F/A</t>
  </si>
  <si>
    <t>VDR Submission</t>
  </si>
  <si>
    <t>Approval of Final Documentation</t>
  </si>
  <si>
    <t>Delivery Condition</t>
  </si>
  <si>
    <t>ETA Date</t>
  </si>
  <si>
    <t>ROS date (input)</t>
  </si>
  <si>
    <t>Improved time for ROS date</t>
  </si>
  <si>
    <t xml:space="preserve">PO No.  </t>
  </si>
  <si>
    <t>Awarded Supplier</t>
  </si>
  <si>
    <t>Y/N</t>
  </si>
  <si>
    <t>TJE QA/QC</t>
  </si>
  <si>
    <t>PTTEPI</t>
  </si>
  <si>
    <t>TJE PRC</t>
  </si>
  <si>
    <t>Bidder</t>
  </si>
  <si>
    <t>TJE ENG</t>
  </si>
  <si>
    <t>Vendor</t>
  </si>
  <si>
    <t xml:space="preserve"> </t>
  </si>
  <si>
    <t>Progress</t>
  </si>
  <si>
    <t>Use FEED deliverables</t>
  </si>
  <si>
    <t>TBA</t>
  </si>
  <si>
    <t>MEC</t>
  </si>
  <si>
    <t>FAVELLE FAVCO
OIL STATES
SCM</t>
  </si>
  <si>
    <t>P</t>
  </si>
  <si>
    <t>DDP ZHJT Yard</t>
  </si>
  <si>
    <t>F</t>
  </si>
  <si>
    <t>A</t>
  </si>
  <si>
    <t>Yale
Excellift
Crosby
KITO</t>
  </si>
  <si>
    <t>AVL Approval for ZHJT Yard and lead time is TBC</t>
  </si>
  <si>
    <t xml:space="preserve"> Pall
Crest
ZHJT</t>
  </si>
  <si>
    <t>AVL Approval for ZHJT Yard to reduce by 2 months
To study installation sequence</t>
  </si>
  <si>
    <t>AMC
ALPHA ECC 
Zhuhai Jutal</t>
  </si>
  <si>
    <t>PIP</t>
  </si>
  <si>
    <t xml:space="preserve">AMC
ALPHA ECC 
APPLIED ENGINEERING
Zhuhai Jutal
</t>
  </si>
  <si>
    <t>AVL Approval for WASCO and lead time is 28 weeks 
Early issuance of Datasheet</t>
  </si>
  <si>
    <r>
      <rPr>
        <sz val="9"/>
        <rFont val="Arial Narrow"/>
        <charset val="134"/>
      </rPr>
      <t xml:space="preserve">WILLIAM (under MILTON ROY) </t>
    </r>
    <r>
      <rPr>
        <sz val="9"/>
        <rFont val="微软雅黑"/>
        <charset val="134"/>
      </rPr>
      <t>（</t>
    </r>
    <r>
      <rPr>
        <sz val="9"/>
        <rFont val="Arial Narrow"/>
        <charset val="134"/>
      </rPr>
      <t xml:space="preserve">Packager: Multiphase)
WILLIAM (under MILTON ROY) </t>
    </r>
    <r>
      <rPr>
        <sz val="9"/>
        <rFont val="微软雅黑"/>
        <charset val="134"/>
      </rPr>
      <t>（</t>
    </r>
    <r>
      <rPr>
        <sz val="9"/>
        <rFont val="Arial Narrow"/>
        <charset val="134"/>
      </rPr>
      <t>Packager: Ashburn International Trade (Tianjin) Co., Ltd)
TEXSTEAM (under Dresser)</t>
    </r>
  </si>
  <si>
    <t>Mitigation required, ZJHT approval required to reduce the lead time by 40 days
To study installation sequence</t>
  </si>
  <si>
    <t>Sulzer
Zhuhai Jutal  (FMC internal)
Burgess Manning (under CECO)
ALPHA ECC   (FMC internal)</t>
  </si>
  <si>
    <t>Mitigation requied, ZJHT approval required to reduce the lead time by 40 days
To study installation sequence</t>
  </si>
  <si>
    <t>Mitigation requied, ZJHT approval required to reduce the lead time by 2 months
To study installation sequence</t>
  </si>
  <si>
    <t>Mitigation requied, ZJHT approval required to reduce the lead time by 1 months</t>
  </si>
  <si>
    <t>Diesel Storage Tote Tank</t>
  </si>
  <si>
    <t>Corrosion Inhibitor Storage Tank</t>
  </si>
  <si>
    <t>AVL approval for WASCO (20 weeks lead time)
To study installation sequence</t>
  </si>
  <si>
    <t>Mc FARLAND
HASKEL (Package: Ashburn International Trade (Tianjin) Co., Ltd)</t>
  </si>
  <si>
    <r>
      <rPr>
        <sz val="9"/>
        <rFont val="Arial Narrow"/>
        <charset val="134"/>
      </rPr>
      <t xml:space="preserve">WILDEN  </t>
    </r>
    <r>
      <rPr>
        <sz val="9"/>
        <rFont val="微软雅黑"/>
        <charset val="134"/>
      </rPr>
      <t>（</t>
    </r>
    <r>
      <rPr>
        <sz val="9"/>
        <rFont val="Arial"/>
        <charset val="134"/>
      </rPr>
      <t>C/O Multiphase)
ARO (Under INGERSOLL RAND</t>
    </r>
    <r>
      <rPr>
        <sz val="9"/>
        <rFont val="微软雅黑"/>
        <charset val="134"/>
      </rPr>
      <t>）</t>
    </r>
    <r>
      <rPr>
        <sz val="9"/>
        <rFont val="Arial"/>
        <charset val="134"/>
      </rPr>
      <t>(C/O Shanghai Shuyi Machine Engineering &amp; Equipment Co.,Ltd</t>
    </r>
    <r>
      <rPr>
        <sz val="9"/>
        <rFont val="微软雅黑"/>
        <charset val="134"/>
      </rPr>
      <t>）</t>
    </r>
    <r>
      <rPr>
        <sz val="9"/>
        <rFont val="Arial"/>
        <charset val="134"/>
      </rPr>
      <t xml:space="preserve">
SANDPIPER (C/O SHANGHAI YIZHI FLOW CONTROL EQUIPMENT CO., LTD )</t>
    </r>
  </si>
  <si>
    <r>
      <rPr>
        <sz val="9"/>
        <rFont val="Arial Narrow"/>
        <charset val="134"/>
      </rPr>
      <t>ARO (Under INGERSOLL RAND</t>
    </r>
    <r>
      <rPr>
        <sz val="9"/>
        <rFont val="微软雅黑"/>
        <charset val="134"/>
      </rPr>
      <t>）</t>
    </r>
    <r>
      <rPr>
        <sz val="9"/>
        <rFont val="Arial"/>
        <charset val="134"/>
      </rPr>
      <t>(C/O Shanghai Shuyi Machine Engineering &amp; Equipment Co.,Ltd</t>
    </r>
    <r>
      <rPr>
        <sz val="9"/>
        <rFont val="微软雅黑"/>
        <charset val="134"/>
      </rPr>
      <t>）</t>
    </r>
    <r>
      <rPr>
        <sz val="9"/>
        <rFont val="Arial"/>
        <charset val="134"/>
      </rPr>
      <t xml:space="preserve">
SANDPIPER (C/O SHANGHAI YIZHI FLOW CONTROL EQUIPMENT CO., LTD )</t>
    </r>
  </si>
  <si>
    <t>ELE</t>
  </si>
  <si>
    <t>STAHL
Swift Energy
Beijing Talented Electrical Sets Co., Ltd.
Anhui Schutten Solar Energy Co.,ltd
Semitech Control &amp; Engineering PTE Ltd</t>
  </si>
  <si>
    <t>PVL approval for Beijing Talented / Warom to reduce the lead time (60 days)
To study installation sequence</t>
  </si>
  <si>
    <t>Swift Energy
Beijing Talented Electrical Sets Co., Ltd.
Anhui Schutten Solar Energy Co.,ltd
Semitech Control &amp; Engineering PTE Ltd
MDS (Orga)</t>
  </si>
  <si>
    <t>Swift Energy
MDS (Orga)</t>
  </si>
  <si>
    <t>INS</t>
  </si>
  <si>
    <t>FISHER
CCI
FLOWSERVE</t>
  </si>
  <si>
    <t>CCI
CAMERON(SLB)
MASTER FLO
MOKVELD</t>
  </si>
  <si>
    <t>COMBET
Flowserve</t>
  </si>
  <si>
    <t>TechnipFMC
COMBET
Flowserve</t>
  </si>
  <si>
    <t>CROSBY 
DRESSER / CONSOLIDATED
IMI
FARRIS</t>
  </si>
  <si>
    <t>Yokogawa
MICRO MOTIONS (EMERSON)</t>
  </si>
  <si>
    <t>MitigationTBC 
Consider FEED Doc.</t>
  </si>
  <si>
    <t>wilmax
FST
IVS
Matorly</t>
  </si>
  <si>
    <t>ASHCROFT 
BOUDON HASEM
WIKA</t>
  </si>
  <si>
    <t xml:space="preserve">Yokogawa
EMERSON
E+H </t>
  </si>
  <si>
    <t>ASCHROFT
WIKA
EMERSON</t>
  </si>
  <si>
    <t>EMERSON
YOKOGAWA
HONEYWELL</t>
  </si>
  <si>
    <t>Yokogawa
EMERSON</t>
  </si>
  <si>
    <t>Magnetrol
WIKA</t>
  </si>
  <si>
    <t xml:space="preserve">EMERSON
Shenyang Yongye
T.D. Williamson </t>
  </si>
  <si>
    <t>EMERSON
WIKA</t>
  </si>
  <si>
    <t>Rockwell China
Rockwell Thailand</t>
  </si>
  <si>
    <t>Draeger
Honeywell</t>
  </si>
  <si>
    <t>MAC 
Yokogawa</t>
  </si>
  <si>
    <t>TOPWORX-GO SWITCH
WESTLOCK (MAGNUM SERIES)</t>
  </si>
  <si>
    <t>VEGA
Krohne
EMERSON</t>
  </si>
  <si>
    <t>E+H 
EMERSON</t>
  </si>
  <si>
    <t>MAGNETROL
EMERSON
VEGA</t>
  </si>
  <si>
    <t xml:space="preserve"> E+H 
VEGA</t>
  </si>
  <si>
    <t>Excel
OMEGA
Fusion</t>
  </si>
  <si>
    <t>MDS</t>
  </si>
  <si>
    <t>YDF
Neway
VALVITALIA</t>
  </si>
  <si>
    <t xml:space="preserve">Place Order 70% preliminary FEED MTO
</t>
  </si>
  <si>
    <t>STR</t>
  </si>
  <si>
    <t>RFQ-054</t>
  </si>
  <si>
    <t>Primary Steel - Seamless</t>
  </si>
  <si>
    <t>Primary Steel - Welding</t>
  </si>
  <si>
    <t>TBC with Yard</t>
  </si>
  <si>
    <t>JUNCTION BOX AND RECEPTACLES</t>
  </si>
  <si>
    <t>CABLE GLAND</t>
  </si>
  <si>
    <t>ELECTRICAL CABLE LADDER / TRAY</t>
  </si>
  <si>
    <t>EARTHING SYSTEM</t>
  </si>
  <si>
    <t>MULTI-CABLE TRANSIT (MCT)</t>
  </si>
  <si>
    <t>ELECTRICAL CABLE</t>
  </si>
  <si>
    <t>NAVIGATIONAL AIDS LANTERN AND FOG HORN</t>
  </si>
  <si>
    <t>FLASHING BEACON AND WARNING SIREN</t>
  </si>
  <si>
    <t>PRESERVATION AND SEA-FASTENING MATERIAL</t>
  </si>
  <si>
    <t>PIPING SURPPORT</t>
  </si>
  <si>
    <t>BOLT &amp; NUTS</t>
  </si>
  <si>
    <t>CS FITTING</t>
  </si>
  <si>
    <t>SS &amp; DSS FITTING</t>
  </si>
  <si>
    <t>Welding Electrode</t>
  </si>
  <si>
    <t>Cable Ladder/Tray-GRP</t>
  </si>
  <si>
    <t xml:space="preserve">Flameproof Enclosure (Ex'd)            </t>
  </si>
  <si>
    <t>Pushbutton</t>
  </si>
  <si>
    <t>INT</t>
  </si>
  <si>
    <t>ESD Button / Station</t>
  </si>
  <si>
    <t>Tube Clamp (Anti Corrosion Type)</t>
  </si>
  <si>
    <t>TUBE</t>
  </si>
  <si>
    <t>Instrument Cable Glands</t>
  </si>
  <si>
    <t>Instrument cables</t>
  </si>
  <si>
    <t>AC Distribution Pane</t>
  </si>
  <si>
    <t>CS FLANGES</t>
  </si>
  <si>
    <t>DSS &amp; SS FLANGES</t>
  </si>
  <si>
    <t>GASKETS</t>
  </si>
  <si>
    <t>SEAMLESS CS PIPE</t>
  </si>
  <si>
    <t>SEAMLESS SS &amp; DSS STEEL</t>
  </si>
  <si>
    <t>CLAMP Type Connectors</t>
  </si>
  <si>
    <t>Painting</t>
  </si>
  <si>
    <t>Fire fighting</t>
  </si>
  <si>
    <t>Life saving</t>
  </si>
  <si>
    <t>SAFETY SIGNS</t>
  </si>
  <si>
    <t>Jacket Anode</t>
  </si>
  <si>
    <t>Steel Grating</t>
  </si>
  <si>
    <t>MIS</t>
  </si>
  <si>
    <t>`</t>
  </si>
  <si>
    <t>Date</t>
  </si>
  <si>
    <t>Holiday Name</t>
  </si>
  <si>
    <t>Father's Day</t>
  </si>
  <si>
    <t>Constitution Day</t>
  </si>
  <si>
    <t>New Year's Day</t>
  </si>
  <si>
    <t>The Buddha Day</t>
  </si>
  <si>
    <t>Kutkuri Dynasty Memorial Day</t>
  </si>
  <si>
    <t>Songkran Festival</t>
  </si>
  <si>
    <t>International Workers' Day</t>
  </si>
  <si>
    <t xml:space="preserve">The anniversary of the King's accession to the throne </t>
  </si>
  <si>
    <t>Mother's Day</t>
  </si>
  <si>
    <t>The anniversary of the death of the 9th King</t>
  </si>
  <si>
    <t>The anniversary of the death of the 5th King Father's Day</t>
  </si>
  <si>
    <t>佛历节日，日期为预测</t>
  </si>
  <si>
    <t>Vesak Festival</t>
  </si>
  <si>
    <t>The Birthday Anniversary of the Queen</t>
  </si>
  <si>
    <r>
      <rPr>
        <sz val="11.5"/>
        <color rgb="FF0F1115"/>
        <rFont val="宋体"/>
        <charset val="134"/>
      </rPr>
      <t>母亲节</t>
    </r>
  </si>
  <si>
    <r>
      <rPr>
        <sz val="11.5"/>
        <color rgb="FF0F1115"/>
        <rFont val="宋体"/>
        <charset val="134"/>
      </rPr>
      <t>九世王逝世纪念日</t>
    </r>
  </si>
  <si>
    <r>
      <rPr>
        <sz val="11.5"/>
        <color rgb="FF0F1115"/>
        <rFont val="宋体"/>
        <charset val="134"/>
      </rPr>
      <t>五世王逝世纪念日</t>
    </r>
  </si>
  <si>
    <r>
      <rPr>
        <sz val="11.5"/>
        <color rgb="FF0F1115"/>
        <rFont val="宋体"/>
        <charset val="134"/>
      </rPr>
      <t>父亲节</t>
    </r>
  </si>
  <si>
    <r>
      <rPr>
        <sz val="11.5"/>
        <color rgb="FF0F1115"/>
        <rFont val="宋体"/>
        <charset val="134"/>
      </rPr>
      <t>宪法纪念日</t>
    </r>
  </si>
  <si>
    <r>
      <rPr>
        <sz val="11.5"/>
        <color rgb="FF0F1115"/>
        <rFont val="宋体"/>
        <charset val="134"/>
      </rPr>
      <t>新年前夜</t>
    </r>
  </si>
  <si>
    <r>
      <rPr>
        <sz val="11.5"/>
        <color rgb="FF0F1115"/>
        <rFont val="宋体"/>
        <charset val="134"/>
      </rPr>
      <t>新年元旦</t>
    </r>
  </si>
  <si>
    <r>
      <rPr>
        <sz val="11.5"/>
        <color rgb="FF0F1115"/>
        <rFont val="宋体"/>
        <charset val="134"/>
      </rPr>
      <t>万佛节</t>
    </r>
  </si>
  <si>
    <r>
      <rPr>
        <sz val="11.5"/>
        <color rgb="FF0F1115"/>
        <rFont val="宋体"/>
        <charset val="134"/>
      </rPr>
      <t>却克里王朝纪念日</t>
    </r>
  </si>
  <si>
    <r>
      <rPr>
        <sz val="11.5"/>
        <color rgb="FF0F1115"/>
        <rFont val="宋体"/>
        <charset val="134"/>
      </rPr>
      <t>宋干节</t>
    </r>
  </si>
  <si>
    <r>
      <rPr>
        <sz val="11.5"/>
        <color rgb="FF0F1115"/>
        <rFont val="宋体"/>
        <charset val="134"/>
      </rPr>
      <t>劳动节</t>
    </r>
  </si>
  <si>
    <r>
      <rPr>
        <sz val="11.5"/>
        <color rgb="FF0F1115"/>
        <rFont val="宋体"/>
        <charset val="134"/>
      </rPr>
      <t>泰王登基纪念日</t>
    </r>
  </si>
  <si>
    <r>
      <rPr>
        <sz val="11.5"/>
        <color rgb="FF0F1115"/>
        <rFont val="宋体"/>
        <charset val="134"/>
      </rPr>
      <t>卫塞节</t>
    </r>
  </si>
  <si>
    <r>
      <rPr>
        <sz val="11.5"/>
        <color rgb="FF0F1115"/>
        <rFont val="宋体"/>
        <charset val="134"/>
      </rPr>
      <t>王后诞辰纪念日</t>
    </r>
  </si>
  <si>
    <r>
      <rPr>
        <sz val="11.5"/>
        <color rgb="FF0F1115"/>
        <rFont val="宋体"/>
        <charset val="134"/>
      </rPr>
      <t>守夏节</t>
    </r>
  </si>
  <si>
    <r>
      <rPr>
        <sz val="11.25"/>
        <color rgb="FF0F1115"/>
        <rFont val="Segoe UI"/>
        <charset val="134"/>
      </rPr>
      <t xml:space="preserve">Spring Festival
</t>
    </r>
    <r>
      <rPr>
        <sz val="11.25"/>
        <color rgb="FF0F1115"/>
        <rFont val="微软雅黑"/>
        <charset val="134"/>
      </rPr>
      <t>元旦</t>
    </r>
    <r>
      <rPr>
        <sz val="11.25"/>
        <color rgb="FF0F1115"/>
        <rFont val="Segoe UI"/>
        <charset val="134"/>
      </rPr>
      <t xml:space="preserve">
</t>
    </r>
    <r>
      <rPr>
        <sz val="11.25"/>
        <color rgb="FF0F1115"/>
        <rFont val="微软雅黑"/>
        <charset val="134"/>
      </rPr>
      <t>元旦</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端午节</t>
    </r>
    <r>
      <rPr>
        <sz val="11.25"/>
        <color rgb="FF0F1115"/>
        <rFont val="Segoe UI"/>
        <charset val="134"/>
      </rPr>
      <t xml:space="preserve">
</t>
    </r>
    <r>
      <rPr>
        <sz val="11.25"/>
        <color rgb="FF0F1115"/>
        <rFont val="微软雅黑"/>
        <charset val="134"/>
      </rPr>
      <t>端午节</t>
    </r>
    <r>
      <rPr>
        <sz val="11.25"/>
        <color rgb="FF0F1115"/>
        <rFont val="Segoe UI"/>
        <charset val="134"/>
      </rPr>
      <t xml:space="preserve">
</t>
    </r>
    <r>
      <rPr>
        <sz val="11.25"/>
        <color rgb="FF0F1115"/>
        <rFont val="微软雅黑"/>
        <charset val="134"/>
      </rPr>
      <t>端午节</t>
    </r>
  </si>
  <si>
    <t>Qingming Festival</t>
  </si>
  <si>
    <t>Dragon Boat Festival</t>
  </si>
  <si>
    <t>National Day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</si>
</sst>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yyyy/m/d;@"/>
    <numFmt numFmtId="178" formatCode="yy\.mm\.dd"/>
    <numFmt numFmtId="179" formatCode="0_);[Red]\(0\)"/>
    <numFmt numFmtId="180" formatCode="0.0%"/>
    <numFmt numFmtId="181" formatCode="0.000%"/>
    <numFmt numFmtId="182" formatCode="yy/m/d;@"/>
    <numFmt numFmtId="183" formatCode="yyyy/mm/dd;@"/>
    <numFmt numFmtId="184" formatCode="[$-409]d\-mmm\-yy;@"/>
    <numFmt numFmtId="185" formatCode="m/d/yyyy;@"/>
    <numFmt numFmtId="186" formatCode="[$-409]dd\-mmm\-yy;@"/>
    <numFmt numFmtId="187" formatCode="0.00_);[Red]\(0.00\)"/>
    <numFmt numFmtId="188" formatCode="0.00_ "/>
  </numFmts>
  <fonts count="76">
    <font>
      <sz val="11"/>
      <color theme="1"/>
      <name val="等线"/>
      <charset val="134"/>
      <scheme val="minor"/>
    </font>
    <font>
      <sz val="10"/>
      <color rgb="FF000000"/>
      <name val="Arial"/>
      <charset val="134"/>
    </font>
    <font>
      <sz val="10"/>
      <name val="Arial"/>
      <charset val="134"/>
    </font>
    <font>
      <sz val="10"/>
      <color rgb="FF000000"/>
      <name val="Times New Roman"/>
      <charset val="134"/>
    </font>
    <font>
      <sz val="11.25"/>
      <color rgb="FF0F1115"/>
      <name val="Segoe UI"/>
      <charset val="134"/>
    </font>
    <font>
      <sz val="11.25"/>
      <color rgb="FF0F1115"/>
      <name val="微软雅黑"/>
      <charset val="134"/>
    </font>
    <font>
      <sz val="11.25"/>
      <color rgb="FF0F1115"/>
      <name val="Arial"/>
      <charset val="134"/>
    </font>
    <font>
      <sz val="11.5"/>
      <color rgb="FF0F1115"/>
      <name val="Arial"/>
      <charset val="134"/>
    </font>
    <font>
      <sz val="11.5"/>
      <color rgb="FF0F1115"/>
      <name val="宋体"/>
      <charset val="134"/>
    </font>
    <font>
      <b/>
      <sz val="16"/>
      <name val="Times New Roman"/>
      <charset val="134"/>
    </font>
    <font>
      <b/>
      <sz val="10"/>
      <name val="Times New Roman"/>
      <charset val="134"/>
    </font>
    <font>
      <b/>
      <sz val="8"/>
      <name val="Times New Roman"/>
      <charset val="134"/>
    </font>
    <font>
      <sz val="10"/>
      <name val="Times New Roman"/>
      <charset val="134"/>
    </font>
    <font>
      <sz val="14"/>
      <name val="宋体"/>
      <charset val="134"/>
    </font>
    <font>
      <sz val="12"/>
      <name val="Arial"/>
      <charset val="134"/>
    </font>
    <font>
      <sz val="9"/>
      <name val="Arial"/>
      <charset val="134"/>
    </font>
    <font>
      <sz val="12"/>
      <name val="Times New Roman"/>
      <charset val="134"/>
    </font>
    <font>
      <b/>
      <sz val="12"/>
      <name val="Arial"/>
      <charset val="134"/>
    </font>
    <font>
      <b/>
      <sz val="20"/>
      <name val="Arial"/>
      <charset val="134"/>
    </font>
    <font>
      <sz val="20"/>
      <name val="Arial"/>
      <charset val="134"/>
    </font>
    <font>
      <b/>
      <u/>
      <sz val="10"/>
      <name val="Times New Roman"/>
      <charset val="134"/>
    </font>
    <font>
      <u/>
      <sz val="10"/>
      <name val="Times New Roman"/>
      <charset val="134"/>
    </font>
    <font>
      <b/>
      <sz val="9"/>
      <name val="Arial"/>
      <charset val="134"/>
    </font>
    <font>
      <sz val="8"/>
      <name val="Arial"/>
      <charset val="134"/>
    </font>
    <font>
      <b/>
      <sz val="8"/>
      <name val="Arial"/>
      <charset val="134"/>
    </font>
    <font>
      <sz val="10"/>
      <name val="Arial Narrow"/>
      <charset val="134"/>
    </font>
    <font>
      <sz val="9"/>
      <name val="Arial Narrow"/>
      <charset val="134"/>
    </font>
    <font>
      <sz val="9"/>
      <color rgb="FFFF0000"/>
      <name val="Arial"/>
      <charset val="134"/>
    </font>
    <font>
      <u/>
      <sz val="9"/>
      <name val="Arial"/>
      <charset val="134"/>
    </font>
    <font>
      <sz val="9"/>
      <color indexed="8"/>
      <name val="Arial"/>
      <charset val="134"/>
    </font>
    <font>
      <sz val="10"/>
      <color rgb="FFFF0000"/>
      <name val="Times New Roman"/>
      <charset val="134"/>
    </font>
    <font>
      <b/>
      <sz val="11"/>
      <color theme="1"/>
      <name val="等线"/>
      <charset val="134"/>
      <scheme val="minor"/>
    </font>
    <font>
      <b/>
      <sz val="11"/>
      <name val="等线"/>
      <charset val="134"/>
      <scheme val="minor"/>
    </font>
    <font>
      <sz val="11"/>
      <name val="等线"/>
      <charset val="134"/>
      <scheme val="minor"/>
    </font>
    <font>
      <sz val="11"/>
      <color rgb="FFFF0000"/>
      <name val="等线"/>
      <charset val="134"/>
      <scheme val="minor"/>
    </font>
    <font>
      <sz val="10"/>
      <color rgb="FFFF0000"/>
      <name val="Arial Narrow"/>
      <charset val="134"/>
    </font>
    <font>
      <b/>
      <sz val="11"/>
      <name val="Arial"/>
      <charset val="134"/>
    </font>
    <font>
      <sz val="11"/>
      <color theme="1"/>
      <name val="Arial"/>
      <charset val="134"/>
    </font>
    <font>
      <sz val="11"/>
      <name val="Arial"/>
      <charset val="134"/>
    </font>
    <font>
      <strike/>
      <sz val="10"/>
      <name val="Arial"/>
      <charset val="134"/>
    </font>
    <font>
      <sz val="9"/>
      <color theme="1"/>
      <name val="Arial"/>
      <charset val="134"/>
    </font>
    <font>
      <sz val="10"/>
      <color theme="1"/>
      <name val="Arial"/>
      <charset val="134"/>
    </font>
    <font>
      <b/>
      <sz val="11"/>
      <color theme="1"/>
      <name val="Arial"/>
      <charset val="134"/>
    </font>
    <font>
      <b/>
      <sz val="12"/>
      <color theme="1"/>
      <name val="Arial"/>
      <charset val="134"/>
    </font>
    <font>
      <b/>
      <sz val="16"/>
      <name val="Arial"/>
      <charset val="134"/>
    </font>
    <font>
      <b/>
      <sz val="10"/>
      <name val="Arial"/>
      <charset val="134"/>
    </font>
    <font>
      <b/>
      <sz val="9"/>
      <color rgb="FFFF0000"/>
      <name val="Arial"/>
      <charset val="134"/>
    </font>
    <font>
      <sz val="10"/>
      <color rgb="FFFF0000"/>
      <name val="Arial"/>
      <charset val="134"/>
    </font>
    <font>
      <i/>
      <sz val="10"/>
      <name val="Arial"/>
      <charset val="134"/>
    </font>
    <font>
      <b/>
      <i/>
      <sz val="10"/>
      <name val="Arial"/>
      <charset val="134"/>
    </font>
    <font>
      <b/>
      <strike/>
      <sz val="10"/>
      <name val="Arial"/>
      <charset val="134"/>
    </font>
    <font>
      <strike/>
      <sz val="10"/>
      <color rgb="FFFF0000"/>
      <name val="Arial"/>
      <charset val="134"/>
    </font>
    <font>
      <sz val="10"/>
      <name val="等线"/>
      <charset val="134"/>
      <scheme val="minor"/>
    </font>
    <font>
      <u/>
      <sz val="14.4"/>
      <color indexed="12"/>
      <name val="Arial"/>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name val="微软雅黑"/>
      <charset val="134"/>
    </font>
    <font>
      <sz val="10"/>
      <name val="SimSun"/>
      <charset val="134"/>
    </font>
    <font>
      <b/>
      <sz val="9"/>
      <name val="SimSun"/>
      <charset val="134"/>
    </font>
    <font>
      <sz val="9"/>
      <name val="SimSun"/>
      <charset val="134"/>
    </font>
  </fonts>
  <fills count="55">
    <fill>
      <patternFill patternType="none"/>
    </fill>
    <fill>
      <patternFill patternType="gray125"/>
    </fill>
    <fill>
      <patternFill patternType="solid">
        <fgColor rgb="FFFFFFFF"/>
        <bgColor rgb="FF000000"/>
      </patternFill>
    </fill>
    <fill>
      <patternFill patternType="solid">
        <fgColor indexed="9"/>
        <bgColor indexed="64"/>
      </patternFill>
    </fill>
    <fill>
      <patternFill patternType="solid">
        <fgColor theme="4" tint="0.799340800195319"/>
        <bgColor indexed="64"/>
      </patternFill>
    </fill>
    <fill>
      <patternFill patternType="solid">
        <fgColor theme="5" tint="0.599993896298105"/>
        <bgColor indexed="64"/>
      </patternFill>
    </fill>
    <fill>
      <patternFill patternType="solid">
        <fgColor rgb="FFFFC000"/>
        <bgColor indexed="64"/>
      </patternFill>
    </fill>
    <fill>
      <patternFill patternType="solid">
        <fgColor rgb="FFFF0000"/>
        <bgColor indexed="64"/>
      </patternFill>
    </fill>
    <fill>
      <patternFill patternType="solid">
        <fgColor indexed="41"/>
        <bgColor indexed="64"/>
      </patternFill>
    </fill>
    <fill>
      <patternFill patternType="solid">
        <fgColor indexed="42"/>
        <bgColor indexed="64"/>
      </patternFill>
    </fill>
    <fill>
      <patternFill patternType="solid">
        <fgColor theme="5" tint="0.399334696493423"/>
        <bgColor indexed="64"/>
      </patternFill>
    </fill>
    <fill>
      <patternFill patternType="solid">
        <fgColor indexed="43"/>
        <bgColor indexed="64"/>
      </patternFill>
    </fill>
    <fill>
      <patternFill patternType="solid">
        <fgColor theme="7" tint="0.399334696493423"/>
        <bgColor indexed="64"/>
      </patternFill>
    </fill>
    <fill>
      <patternFill patternType="solid">
        <fgColor theme="7" tint="0.799340800195319"/>
        <bgColor indexed="64"/>
      </patternFill>
    </fill>
    <fill>
      <patternFill patternType="solid">
        <fgColor theme="5" tint="0.799340800195319"/>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768059327982"/>
        <bgColor indexed="64"/>
      </patternFill>
    </fill>
    <fill>
      <patternFill patternType="solid">
        <fgColor theme="0" tint="-0.349986266670736"/>
        <bgColor indexed="64"/>
      </patternFill>
    </fill>
    <fill>
      <patternFill patternType="solid">
        <fgColor theme="7"/>
        <bgColor indexed="64"/>
      </patternFill>
    </fill>
    <fill>
      <patternFill patternType="solid">
        <fgColor theme="5" tint="0.799432355723746"/>
        <bgColor indexed="64"/>
      </patternFill>
    </fill>
    <fill>
      <patternFill patternType="solid">
        <fgColor rgb="FFFFF2CC"/>
        <bgColor indexed="64"/>
      </patternFill>
    </fill>
    <fill>
      <patternFill patternType="solid">
        <fgColor rgb="FF92D050"/>
        <bgColor indexed="64"/>
      </patternFill>
    </fill>
    <fill>
      <patternFill patternType="solid">
        <fgColor theme="4" tint="0.399914548173467"/>
        <bgColor indexed="64"/>
      </patternFill>
    </fill>
    <fill>
      <patternFill patternType="solid">
        <fgColor theme="7" tint="0.799798577837458"/>
        <bgColor indexed="64"/>
      </patternFill>
    </fill>
    <fill>
      <patternFill patternType="solid">
        <fgColor theme="9"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4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thin">
        <color auto="1"/>
      </right>
      <top style="double">
        <color auto="1"/>
      </top>
      <bottom style="hair">
        <color auto="1"/>
      </bottom>
      <diagonal/>
    </border>
    <border>
      <left style="double">
        <color auto="1"/>
      </left>
      <right style="thin">
        <color auto="1"/>
      </right>
      <top style="double">
        <color auto="1"/>
      </top>
      <bottom/>
      <diagonal/>
    </border>
    <border>
      <left style="thin">
        <color auto="1"/>
      </left>
      <right style="medium">
        <color auto="1"/>
      </right>
      <top style="double">
        <color auto="1"/>
      </top>
      <bottom style="hair">
        <color auto="1"/>
      </bottom>
      <diagonal/>
    </border>
    <border>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double">
        <color auto="1"/>
      </left>
      <right style="thin">
        <color auto="1"/>
      </right>
      <top/>
      <bottom/>
      <diagonal/>
    </border>
    <border>
      <left style="thin">
        <color auto="1"/>
      </left>
      <right style="medium">
        <color auto="1"/>
      </right>
      <top style="hair">
        <color auto="1"/>
      </top>
      <bottom style="hair">
        <color auto="1"/>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thin">
        <color auto="1"/>
      </right>
      <top style="hair">
        <color auto="1"/>
      </top>
      <bottom style="double">
        <color auto="1"/>
      </bottom>
      <diagonal/>
    </border>
    <border>
      <left style="double">
        <color auto="1"/>
      </left>
      <right style="thin">
        <color auto="1"/>
      </right>
      <top/>
      <bottom style="double">
        <color auto="1"/>
      </bottom>
      <diagonal/>
    </border>
    <border>
      <left style="thin">
        <color auto="1"/>
      </left>
      <right style="medium">
        <color auto="1"/>
      </right>
      <top style="hair">
        <color auto="1"/>
      </top>
      <bottom style="double">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double">
        <color auto="1"/>
      </right>
      <top style="double">
        <color auto="1"/>
      </top>
      <bottom/>
      <diagonal/>
    </border>
    <border>
      <left style="thin">
        <color auto="1"/>
      </left>
      <right style="double">
        <color auto="1"/>
      </right>
      <top/>
      <bottom/>
      <diagonal/>
    </border>
    <border>
      <left style="thin">
        <color auto="1"/>
      </left>
      <right style="double">
        <color auto="1"/>
      </right>
      <top/>
      <bottom style="double">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auto="1"/>
      </right>
      <top/>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
      <left style="thin">
        <color rgb="FF000000"/>
      </left>
      <right style="thin">
        <color auto="1"/>
      </right>
      <top/>
      <bottom style="double">
        <color rgb="FF000000"/>
      </bottom>
      <diagonal/>
    </border>
    <border>
      <left style="thin">
        <color rgb="FF000000"/>
      </left>
      <right style="thin">
        <color rgb="FF000000"/>
      </right>
      <top/>
      <bottom/>
      <diagonal/>
    </border>
    <border>
      <left style="thin">
        <color rgb="FF000000"/>
      </left>
      <right style="thin">
        <color rgb="FF000000"/>
      </right>
      <top/>
      <bottom style="double">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0" fontId="53" fillId="0" borderId="0" applyNumberFormat="0" applyFill="0" applyBorder="0" applyAlignment="0" applyProtection="0">
      <alignment vertical="top"/>
      <protection locked="0"/>
    </xf>
    <xf numFmtId="0" fontId="54" fillId="0" borderId="0" applyNumberFormat="0" applyFill="0" applyBorder="0" applyAlignment="0" applyProtection="0">
      <alignment vertical="center"/>
    </xf>
    <xf numFmtId="0" fontId="0" fillId="27" borderId="41" applyNumberFormat="0" applyFont="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0" borderId="42" applyNumberFormat="0" applyFill="0" applyAlignment="0" applyProtection="0">
      <alignment vertical="center"/>
    </xf>
    <xf numFmtId="0" fontId="59" fillId="0" borderId="42" applyNumberFormat="0" applyFill="0" applyAlignment="0" applyProtection="0">
      <alignment vertical="center"/>
    </xf>
    <xf numFmtId="0" fontId="60" fillId="0" borderId="43" applyNumberFormat="0" applyFill="0" applyAlignment="0" applyProtection="0">
      <alignment vertical="center"/>
    </xf>
    <xf numFmtId="0" fontId="60" fillId="0" borderId="0" applyNumberFormat="0" applyFill="0" applyBorder="0" applyAlignment="0" applyProtection="0">
      <alignment vertical="center"/>
    </xf>
    <xf numFmtId="0" fontId="61" fillId="28" borderId="44" applyNumberFormat="0" applyAlignment="0" applyProtection="0">
      <alignment vertical="center"/>
    </xf>
    <xf numFmtId="0" fontId="62" fillId="29" borderId="45" applyNumberFormat="0" applyAlignment="0" applyProtection="0">
      <alignment vertical="center"/>
    </xf>
    <xf numFmtId="0" fontId="63" fillId="29" borderId="44" applyNumberFormat="0" applyAlignment="0" applyProtection="0">
      <alignment vertical="center"/>
    </xf>
    <xf numFmtId="0" fontId="64" fillId="30" borderId="46" applyNumberFormat="0" applyAlignment="0" applyProtection="0">
      <alignment vertical="center"/>
    </xf>
    <xf numFmtId="0" fontId="65" fillId="0" borderId="47" applyNumberFormat="0" applyFill="0" applyAlignment="0" applyProtection="0">
      <alignment vertical="center"/>
    </xf>
    <xf numFmtId="0" fontId="66" fillId="0" borderId="48" applyNumberFormat="0" applyFill="0" applyAlignment="0" applyProtection="0">
      <alignment vertical="center"/>
    </xf>
    <xf numFmtId="0" fontId="67" fillId="31" borderId="0" applyNumberFormat="0" applyBorder="0" applyAlignment="0" applyProtection="0">
      <alignment vertical="center"/>
    </xf>
    <xf numFmtId="0" fontId="68" fillId="32" borderId="0" applyNumberFormat="0" applyBorder="0" applyAlignment="0" applyProtection="0">
      <alignment vertical="center"/>
    </xf>
    <xf numFmtId="0" fontId="69" fillId="33" borderId="0" applyNumberFormat="0" applyBorder="0" applyAlignment="0" applyProtection="0">
      <alignment vertical="center"/>
    </xf>
    <xf numFmtId="0" fontId="70" fillId="34" borderId="0" applyNumberFormat="0" applyBorder="0" applyAlignment="0" applyProtection="0">
      <alignment vertical="center"/>
    </xf>
    <xf numFmtId="0" fontId="71" fillId="35" borderId="0" applyNumberFormat="0" applyBorder="0" applyAlignment="0" applyProtection="0">
      <alignment vertical="center"/>
    </xf>
    <xf numFmtId="0" fontId="71" fillId="36" borderId="0" applyNumberFormat="0" applyBorder="0" applyAlignment="0" applyProtection="0">
      <alignment vertical="center"/>
    </xf>
    <xf numFmtId="0" fontId="70" fillId="37" borderId="0" applyNumberFormat="0" applyBorder="0" applyAlignment="0" applyProtection="0">
      <alignment vertical="center"/>
    </xf>
    <xf numFmtId="0" fontId="70" fillId="38" borderId="0" applyNumberFormat="0" applyBorder="0" applyAlignment="0" applyProtection="0">
      <alignment vertical="center"/>
    </xf>
    <xf numFmtId="0" fontId="71" fillId="39" borderId="0" applyNumberFormat="0" applyBorder="0" applyAlignment="0" applyProtection="0">
      <alignment vertical="center"/>
    </xf>
    <xf numFmtId="0" fontId="71" fillId="5" borderId="0" applyNumberFormat="0" applyBorder="0" applyAlignment="0" applyProtection="0">
      <alignment vertical="center"/>
    </xf>
    <xf numFmtId="0" fontId="70" fillId="40" borderId="0" applyNumberFormat="0" applyBorder="0" applyAlignment="0" applyProtection="0">
      <alignment vertical="center"/>
    </xf>
    <xf numFmtId="0" fontId="70" fillId="41" borderId="0" applyNumberFormat="0" applyBorder="0" applyAlignment="0" applyProtection="0">
      <alignment vertical="center"/>
    </xf>
    <xf numFmtId="0" fontId="71" fillId="42" borderId="0" applyNumberFormat="0" applyBorder="0" applyAlignment="0" applyProtection="0">
      <alignment vertical="center"/>
    </xf>
    <xf numFmtId="0" fontId="71" fillId="43" borderId="0" applyNumberFormat="0" applyBorder="0" applyAlignment="0" applyProtection="0">
      <alignment vertical="center"/>
    </xf>
    <xf numFmtId="0" fontId="70" fillId="44" borderId="0" applyNumberFormat="0" applyBorder="0" applyAlignment="0" applyProtection="0">
      <alignment vertical="center"/>
    </xf>
    <xf numFmtId="0" fontId="70" fillId="20" borderId="0" applyNumberFormat="0" applyBorder="0" applyAlignment="0" applyProtection="0">
      <alignment vertical="center"/>
    </xf>
    <xf numFmtId="0" fontId="71" fillId="45" borderId="0" applyNumberFormat="0" applyBorder="0" applyAlignment="0" applyProtection="0">
      <alignment vertical="center"/>
    </xf>
    <xf numFmtId="0" fontId="71" fillId="46" borderId="0" applyNumberFormat="0" applyBorder="0" applyAlignment="0" applyProtection="0">
      <alignment vertical="center"/>
    </xf>
    <xf numFmtId="0" fontId="70" fillId="47" borderId="0" applyNumberFormat="0" applyBorder="0" applyAlignment="0" applyProtection="0">
      <alignment vertical="center"/>
    </xf>
    <xf numFmtId="0" fontId="70" fillId="48" borderId="0" applyNumberFormat="0" applyBorder="0" applyAlignment="0" applyProtection="0">
      <alignment vertical="center"/>
    </xf>
    <xf numFmtId="0" fontId="71" fillId="49" borderId="0" applyNumberFormat="0" applyBorder="0" applyAlignment="0" applyProtection="0">
      <alignment vertical="center"/>
    </xf>
    <xf numFmtId="0" fontId="71" fillId="50" borderId="0" applyNumberFormat="0" applyBorder="0" applyAlignment="0" applyProtection="0">
      <alignment vertical="center"/>
    </xf>
    <xf numFmtId="0" fontId="70" fillId="51" borderId="0" applyNumberFormat="0" applyBorder="0" applyAlignment="0" applyProtection="0">
      <alignment vertical="center"/>
    </xf>
    <xf numFmtId="0" fontId="70" fillId="52" borderId="0" applyNumberFormat="0" applyBorder="0" applyAlignment="0" applyProtection="0">
      <alignment vertical="center"/>
    </xf>
    <xf numFmtId="0" fontId="71" fillId="53" borderId="0" applyNumberFormat="0" applyBorder="0" applyAlignment="0" applyProtection="0">
      <alignment vertical="center"/>
    </xf>
    <xf numFmtId="0" fontId="71" fillId="26" borderId="0" applyNumberFormat="0" applyBorder="0" applyAlignment="0" applyProtection="0">
      <alignment vertical="center"/>
    </xf>
    <xf numFmtId="0" fontId="70" fillId="54" borderId="0" applyNumberFormat="0" applyBorder="0" applyAlignment="0" applyProtection="0">
      <alignment vertical="center"/>
    </xf>
    <xf numFmtId="0" fontId="14" fillId="0" borderId="0"/>
    <xf numFmtId="0" fontId="3" fillId="0" borderId="0"/>
    <xf numFmtId="0" fontId="3" fillId="0" borderId="0"/>
  </cellStyleXfs>
  <cellXfs count="522">
    <xf numFmtId="0" fontId="0" fillId="0" borderId="0" xfId="0"/>
    <xf numFmtId="0" fontId="1" fillId="0" borderId="0" xfId="51" applyFont="1" applyAlignment="1">
      <alignment horizontal="left" vertical="top"/>
    </xf>
    <xf numFmtId="0" fontId="2" fillId="0" borderId="0" xfId="50" applyFont="1" applyAlignment="1">
      <alignment horizontal="center" vertical="center"/>
    </xf>
    <xf numFmtId="177" fontId="3" fillId="0" borderId="0" xfId="51" applyNumberFormat="1" applyAlignment="1">
      <alignment horizontal="center" vertical="top"/>
    </xf>
    <xf numFmtId="0" fontId="3" fillId="0" borderId="0" xfId="51" applyAlignment="1">
      <alignment horizontal="left" vertical="top"/>
    </xf>
    <xf numFmtId="177" fontId="4" fillId="2" borderId="1" xfId="49" applyNumberFormat="1" applyFont="1" applyFill="1" applyBorder="1" applyAlignment="1">
      <alignment horizontal="center" wrapText="1"/>
    </xf>
    <xf numFmtId="0" fontId="4" fillId="2" borderId="2" xfId="49" applyFont="1" applyFill="1" applyBorder="1" applyAlignment="1">
      <alignment horizontal="left" wrapText="1"/>
    </xf>
    <xf numFmtId="177" fontId="4" fillId="2" borderId="3" xfId="49" applyNumberFormat="1" applyFont="1" applyFill="1" applyBorder="1" applyAlignment="1">
      <alignment horizontal="center" wrapText="1"/>
    </xf>
    <xf numFmtId="0" fontId="4" fillId="2" borderId="4" xfId="49" applyFont="1" applyFill="1" applyBorder="1" applyAlignment="1">
      <alignment wrapText="1"/>
    </xf>
    <xf numFmtId="0" fontId="1" fillId="0" borderId="0" xfId="50" applyFont="1" applyAlignment="1">
      <alignment vertical="center"/>
    </xf>
    <xf numFmtId="0" fontId="5" fillId="2" borderId="4" xfId="49" applyFont="1" applyFill="1" applyBorder="1" applyAlignment="1">
      <alignment wrapText="1"/>
    </xf>
    <xf numFmtId="177" fontId="1" fillId="0" borderId="0" xfId="51" applyNumberFormat="1" applyFont="1" applyAlignment="1">
      <alignment horizontal="center" vertical="top"/>
    </xf>
    <xf numFmtId="177" fontId="6" fillId="2" borderId="1" xfId="49" applyNumberFormat="1" applyFont="1" applyFill="1" applyBorder="1" applyAlignment="1">
      <alignment horizontal="center" wrapText="1"/>
    </xf>
    <xf numFmtId="0" fontId="6" fillId="2" borderId="2" xfId="49" applyFont="1" applyFill="1" applyBorder="1" applyAlignment="1">
      <alignment horizontal="left" wrapText="1"/>
    </xf>
    <xf numFmtId="177" fontId="6" fillId="2" borderId="3" xfId="49" applyNumberFormat="1" applyFont="1" applyFill="1" applyBorder="1" applyAlignment="1">
      <alignment horizontal="center" wrapText="1"/>
    </xf>
    <xf numFmtId="0" fontId="7" fillId="2" borderId="4" xfId="49" applyFont="1" applyFill="1" applyBorder="1" applyAlignment="1">
      <alignment wrapText="1"/>
    </xf>
    <xf numFmtId="0" fontId="8" fillId="2" borderId="4" xfId="49" applyFont="1" applyFill="1" applyBorder="1" applyAlignment="1">
      <alignment wrapText="1"/>
    </xf>
    <xf numFmtId="0" fontId="9" fillId="3" borderId="0" xfId="0" applyFont="1" applyFill="1"/>
    <xf numFmtId="0" fontId="10" fillId="3"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xf>
    <xf numFmtId="0" fontId="12" fillId="3" borderId="0" xfId="0" applyFont="1" applyFill="1" applyAlignment="1">
      <alignment horizontal="left" vertical="center"/>
    </xf>
    <xf numFmtId="0" fontId="13" fillId="3" borderId="0" xfId="0" applyFont="1" applyFill="1"/>
    <xf numFmtId="0" fontId="13" fillId="3" borderId="0" xfId="0" applyFont="1" applyFill="1" applyAlignment="1">
      <alignment vertical="center"/>
    </xf>
    <xf numFmtId="0" fontId="14" fillId="0" borderId="0" xfId="0" applyFont="1" applyAlignment="1">
      <alignment horizontal="center"/>
    </xf>
    <xf numFmtId="0" fontId="14" fillId="0" borderId="0" xfId="0" applyFont="1"/>
    <xf numFmtId="0" fontId="2" fillId="3" borderId="0" xfId="0" applyFont="1" applyFill="1" applyAlignment="1">
      <alignment horizontal="left" wrapText="1"/>
    </xf>
    <xf numFmtId="0" fontId="15" fillId="3" borderId="0" xfId="0" applyFont="1" applyFill="1" applyAlignment="1">
      <alignment horizontal="left" vertical="top" wrapText="1"/>
    </xf>
    <xf numFmtId="0" fontId="16" fillId="3" borderId="0" xfId="0" applyFont="1" applyFill="1" applyAlignment="1">
      <alignment horizontal="center" vertical="center"/>
    </xf>
    <xf numFmtId="0" fontId="16" fillId="3" borderId="0" xfId="0" applyFont="1" applyFill="1"/>
    <xf numFmtId="178" fontId="16" fillId="0" borderId="0" xfId="0" applyNumberFormat="1" applyFont="1"/>
    <xf numFmtId="178" fontId="16" fillId="3" borderId="0" xfId="0" applyNumberFormat="1" applyFont="1" applyFill="1"/>
    <xf numFmtId="178" fontId="16" fillId="4" borderId="0" xfId="0" applyNumberFormat="1" applyFont="1" applyFill="1"/>
    <xf numFmtId="1" fontId="16" fillId="4" borderId="0" xfId="0" applyNumberFormat="1" applyFont="1" applyFill="1"/>
    <xf numFmtId="58" fontId="16" fillId="3" borderId="0" xfId="1" applyNumberFormat="1" applyFont="1" applyFill="1"/>
    <xf numFmtId="0" fontId="17" fillId="0" borderId="0" xfId="0" applyFont="1" applyAlignment="1">
      <alignment vertical="center"/>
    </xf>
    <xf numFmtId="0" fontId="15" fillId="0" borderId="0" xfId="0" applyFont="1" applyAlignment="1">
      <alignment horizontal="left" vertical="top"/>
    </xf>
    <xf numFmtId="0" fontId="14" fillId="0" borderId="0" xfId="0" applyFont="1" applyAlignment="1">
      <alignment horizontal="center" vertical="center"/>
    </xf>
    <xf numFmtId="0" fontId="18" fillId="0" borderId="0" xfId="0" applyFont="1" applyAlignment="1">
      <alignment vertical="center"/>
    </xf>
    <xf numFmtId="0" fontId="19" fillId="0" borderId="0" xfId="0" applyFont="1" applyAlignment="1">
      <alignment vertical="center"/>
    </xf>
    <xf numFmtId="58" fontId="14" fillId="0" borderId="0" xfId="0" applyNumberFormat="1" applyFont="1"/>
    <xf numFmtId="58" fontId="14" fillId="0" borderId="0" xfId="1" applyNumberFormat="1" applyFont="1"/>
    <xf numFmtId="0" fontId="14" fillId="4" borderId="0" xfId="0" applyFont="1" applyFill="1"/>
    <xf numFmtId="1" fontId="14" fillId="4" borderId="0" xfId="0" applyNumberFormat="1" applyFont="1" applyFill="1"/>
    <xf numFmtId="0" fontId="14"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vertical="center"/>
    </xf>
    <xf numFmtId="179" fontId="20" fillId="0" borderId="0" xfId="0" applyNumberFormat="1" applyFont="1" applyAlignment="1">
      <alignment horizontal="right" vertical="center"/>
    </xf>
    <xf numFmtId="0" fontId="15" fillId="5" borderId="0" xfId="0" applyFont="1" applyFill="1" applyAlignment="1">
      <alignment vertical="center"/>
    </xf>
    <xf numFmtId="58" fontId="14" fillId="0" borderId="0" xfId="0" applyNumberFormat="1" applyFont="1" applyAlignment="1">
      <alignment horizontal="center" vertical="center"/>
    </xf>
    <xf numFmtId="0" fontId="15" fillId="6" borderId="0" xfId="0" applyFont="1" applyFill="1" applyAlignment="1">
      <alignment vertical="center"/>
    </xf>
    <xf numFmtId="0" fontId="15" fillId="7" borderId="0" xfId="0" applyFont="1" applyFill="1" applyAlignment="1">
      <alignment vertical="center"/>
    </xf>
    <xf numFmtId="180" fontId="10" fillId="3" borderId="0" xfId="1" applyNumberFormat="1" applyFont="1" applyFill="1" applyBorder="1" applyAlignment="1"/>
    <xf numFmtId="181" fontId="10" fillId="3" borderId="0" xfId="1" applyNumberFormat="1" applyFont="1" applyFill="1" applyBorder="1" applyAlignment="1"/>
    <xf numFmtId="179" fontId="21" fillId="3" borderId="0" xfId="0" applyNumberFormat="1" applyFont="1" applyFill="1" applyAlignment="1">
      <alignment horizontal="right" vertical="center"/>
    </xf>
    <xf numFmtId="179" fontId="21" fillId="4" borderId="0" xfId="0" applyNumberFormat="1" applyFont="1" applyFill="1" applyAlignment="1">
      <alignment horizontal="right" vertical="center"/>
    </xf>
    <xf numFmtId="1" fontId="21" fillId="4" borderId="0" xfId="0" applyNumberFormat="1" applyFont="1" applyFill="1" applyAlignment="1">
      <alignment horizontal="right" vertical="center"/>
    </xf>
    <xf numFmtId="177" fontId="10" fillId="3" borderId="0" xfId="0" applyNumberFormat="1" applyFont="1" applyFill="1" applyAlignment="1">
      <alignment horizontal="right" vertical="center"/>
    </xf>
    <xf numFmtId="177" fontId="10" fillId="3" borderId="0" xfId="0" applyNumberFormat="1" applyFont="1" applyFill="1" applyAlignment="1">
      <alignment horizontal="center" vertical="center"/>
    </xf>
    <xf numFmtId="58" fontId="9" fillId="3" borderId="0" xfId="1" applyNumberFormat="1" applyFont="1" applyFill="1"/>
    <xf numFmtId="0" fontId="22" fillId="8" borderId="5" xfId="0" applyFont="1" applyFill="1" applyBorder="1" applyAlignment="1">
      <alignment horizontal="center" vertical="center" wrapText="1"/>
    </xf>
    <xf numFmtId="0" fontId="22" fillId="8" borderId="1" xfId="0" applyFont="1" applyFill="1" applyBorder="1" applyAlignment="1">
      <alignment horizontal="center" vertical="center" wrapText="1"/>
    </xf>
    <xf numFmtId="182" fontId="23" fillId="9" borderId="2" xfId="0" applyNumberFormat="1" applyFont="1" applyFill="1" applyBorder="1" applyAlignment="1">
      <alignment horizontal="center"/>
    </xf>
    <xf numFmtId="182" fontId="23" fillId="9" borderId="1" xfId="0" applyNumberFormat="1" applyFont="1" applyFill="1" applyBorder="1" applyAlignment="1">
      <alignment horizontal="center"/>
    </xf>
    <xf numFmtId="58" fontId="10" fillId="3" borderId="0" xfId="1" applyNumberFormat="1" applyFont="1" applyFill="1" applyAlignment="1">
      <alignment vertical="center"/>
    </xf>
    <xf numFmtId="0" fontId="22" fillId="8" borderId="3" xfId="0" applyFont="1" applyFill="1" applyBorder="1" applyAlignment="1">
      <alignment horizontal="center" vertical="center" wrapText="1"/>
    </xf>
    <xf numFmtId="0" fontId="24" fillId="8" borderId="1" xfId="0" applyFont="1" applyFill="1" applyBorder="1" applyAlignment="1">
      <alignment vertical="center" wrapText="1"/>
    </xf>
    <xf numFmtId="0" fontId="24" fillId="8" borderId="1" xfId="0" applyFont="1" applyFill="1" applyBorder="1" applyAlignment="1">
      <alignment horizontal="center" vertical="center" wrapText="1"/>
    </xf>
    <xf numFmtId="0" fontId="22" fillId="8" borderId="1" xfId="0" applyFont="1" applyFill="1" applyBorder="1" applyAlignment="1">
      <alignment horizontal="left" vertical="top" wrapText="1"/>
    </xf>
    <xf numFmtId="0" fontId="24" fillId="8" borderId="6" xfId="0" applyFont="1" applyFill="1" applyBorder="1" applyAlignment="1">
      <alignment horizontal="center" vertical="center" wrapText="1"/>
    </xf>
    <xf numFmtId="0" fontId="24" fillId="8" borderId="7" xfId="0" applyFont="1" applyFill="1" applyBorder="1" applyAlignment="1">
      <alignment horizontal="center" vertical="center" wrapText="1"/>
    </xf>
    <xf numFmtId="0" fontId="24" fillId="8" borderId="2" xfId="0" applyFont="1" applyFill="1" applyBorder="1" applyAlignment="1">
      <alignment horizontal="center" vertical="center" wrapText="1"/>
    </xf>
    <xf numFmtId="0" fontId="24" fillId="4" borderId="1" xfId="0" applyFont="1" applyFill="1" applyBorder="1" applyAlignment="1">
      <alignment horizontal="center" vertical="center" wrapText="1"/>
    </xf>
    <xf numFmtId="1" fontId="24" fillId="4" borderId="1" xfId="0" applyNumberFormat="1" applyFont="1" applyFill="1" applyBorder="1" applyAlignment="1">
      <alignment horizontal="center" vertical="center" wrapText="1"/>
    </xf>
    <xf numFmtId="58" fontId="11" fillId="3" borderId="0" xfId="1" applyNumberFormat="1" applyFont="1" applyFill="1" applyAlignment="1">
      <alignment vertical="center"/>
    </xf>
    <xf numFmtId="9" fontId="24" fillId="8" borderId="1" xfId="3" applyFont="1" applyFill="1" applyBorder="1" applyAlignment="1">
      <alignment horizontal="center" vertical="center" wrapText="1"/>
    </xf>
    <xf numFmtId="9" fontId="24" fillId="8" borderId="6" xfId="3" applyFont="1" applyFill="1" applyBorder="1" applyAlignment="1">
      <alignment horizontal="center" vertical="center" wrapText="1"/>
    </xf>
    <xf numFmtId="9" fontId="24" fillId="8" borderId="7" xfId="3" applyFont="1" applyFill="1" applyBorder="1" applyAlignment="1">
      <alignment horizontal="center" vertical="center" wrapText="1"/>
    </xf>
    <xf numFmtId="9" fontId="24" fillId="8" borderId="2" xfId="3" applyFont="1" applyFill="1" applyBorder="1" applyAlignment="1">
      <alignment horizontal="center" vertical="center" wrapText="1"/>
    </xf>
    <xf numFmtId="9" fontId="24" fillId="4" borderId="1" xfId="3" applyFont="1" applyFill="1" applyBorder="1" applyAlignment="1">
      <alignment horizontal="center" vertical="center" wrapText="1"/>
    </xf>
    <xf numFmtId="1" fontId="24" fillId="4" borderId="1" xfId="3" applyNumberFormat="1" applyFont="1" applyFill="1" applyBorder="1" applyAlignment="1">
      <alignment horizontal="center" vertical="center" wrapText="1"/>
    </xf>
    <xf numFmtId="0" fontId="25" fillId="3" borderId="8" xfId="0" applyFont="1" applyFill="1" applyBorder="1" applyAlignment="1">
      <alignment horizontal="center" vertical="center" wrapText="1"/>
    </xf>
    <xf numFmtId="0" fontId="25" fillId="10" borderId="9" xfId="0" applyFont="1" applyFill="1" applyBorder="1" applyAlignment="1">
      <alignment horizontal="center" vertical="center" wrapText="1"/>
    </xf>
    <xf numFmtId="0" fontId="25" fillId="3" borderId="9"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0" borderId="10" xfId="0" applyFont="1" applyBorder="1" applyAlignment="1">
      <alignment horizontal="center" vertical="center" wrapText="1"/>
    </xf>
    <xf numFmtId="0" fontId="26" fillId="3" borderId="9" xfId="0" applyFont="1" applyFill="1" applyBorder="1" applyAlignment="1">
      <alignment horizontal="left" vertical="top" wrapText="1"/>
    </xf>
    <xf numFmtId="0" fontId="15" fillId="10" borderId="10" xfId="0" applyFont="1" applyFill="1" applyBorder="1" applyAlignment="1">
      <alignment horizontal="center" vertical="center" wrapText="1"/>
    </xf>
    <xf numFmtId="10" fontId="15" fillId="3" borderId="10" xfId="0" applyNumberFormat="1" applyFont="1" applyFill="1" applyBorder="1" applyAlignment="1">
      <alignment horizontal="center" vertical="center" wrapText="1"/>
    </xf>
    <xf numFmtId="0" fontId="15" fillId="11" borderId="10" xfId="0" applyFont="1" applyFill="1" applyBorder="1" applyAlignment="1">
      <alignment horizontal="center" vertical="center"/>
    </xf>
    <xf numFmtId="177" fontId="15" fillId="11" borderId="10" xfId="0" applyNumberFormat="1" applyFont="1" applyFill="1" applyBorder="1" applyAlignment="1">
      <alignment horizontal="center" vertical="center"/>
    </xf>
    <xf numFmtId="0" fontId="15" fillId="9" borderId="11" xfId="0" applyFont="1" applyFill="1" applyBorder="1" applyAlignment="1">
      <alignment horizontal="center" vertical="center" wrapText="1"/>
    </xf>
    <xf numFmtId="0" fontId="15" fillId="9" borderId="9" xfId="0" applyFont="1" applyFill="1" applyBorder="1" applyAlignment="1">
      <alignment horizontal="center" vertical="center" wrapText="1"/>
    </xf>
    <xf numFmtId="179" fontId="27" fillId="12" borderId="1" xfId="0" applyNumberFormat="1" applyFont="1" applyFill="1" applyBorder="1" applyAlignment="1">
      <alignment horizontal="center" vertical="center" wrapText="1"/>
    </xf>
    <xf numFmtId="58" fontId="15" fillId="9" borderId="11" xfId="0" applyNumberFormat="1" applyFont="1" applyFill="1" applyBorder="1" applyAlignment="1">
      <alignment horizontal="center" vertical="center" wrapText="1"/>
    </xf>
    <xf numFmtId="58" fontId="15" fillId="9" borderId="9" xfId="0" applyNumberFormat="1" applyFont="1" applyFill="1" applyBorder="1" applyAlignment="1">
      <alignment horizontal="center" vertical="center" wrapText="1"/>
    </xf>
    <xf numFmtId="58" fontId="15" fillId="12" borderId="9" xfId="0" applyNumberFormat="1" applyFont="1" applyFill="1" applyBorder="1" applyAlignment="1">
      <alignment horizontal="center" vertical="center" wrapText="1"/>
    </xf>
    <xf numFmtId="1" fontId="15" fillId="12" borderId="9" xfId="0" applyNumberFormat="1" applyFont="1" applyFill="1" applyBorder="1" applyAlignment="1">
      <alignment horizontal="center" vertical="center" wrapText="1"/>
    </xf>
    <xf numFmtId="179" fontId="15" fillId="11" borderId="10" xfId="0" applyNumberFormat="1" applyFont="1" applyFill="1" applyBorder="1" applyAlignment="1">
      <alignment horizontal="center" vertical="center"/>
    </xf>
    <xf numFmtId="0" fontId="28" fillId="11" borderId="12" xfId="6" applyNumberFormat="1" applyFont="1" applyFill="1" applyBorder="1" applyAlignment="1" applyProtection="1">
      <alignment horizontal="center" vertical="center"/>
    </xf>
    <xf numFmtId="10" fontId="25" fillId="3" borderId="13" xfId="0" applyNumberFormat="1" applyFont="1" applyFill="1" applyBorder="1" applyAlignment="1">
      <alignment horizontal="center" vertical="center"/>
    </xf>
    <xf numFmtId="10" fontId="25" fillId="3" borderId="14" xfId="0" applyNumberFormat="1" applyFont="1" applyFill="1" applyBorder="1" applyAlignment="1">
      <alignment horizontal="center" vertical="center"/>
    </xf>
    <xf numFmtId="58" fontId="12" fillId="3" borderId="0" xfId="1" applyNumberFormat="1" applyFont="1" applyFill="1" applyAlignment="1">
      <alignment vertical="center"/>
    </xf>
    <xf numFmtId="0" fontId="25" fillId="3" borderId="15" xfId="0" applyFont="1" applyFill="1" applyBorder="1" applyAlignment="1">
      <alignment horizontal="center" vertical="center" wrapText="1"/>
    </xf>
    <xf numFmtId="0" fontId="25" fillId="10" borderId="16" xfId="0" applyFont="1" applyFill="1" applyBorder="1" applyAlignment="1">
      <alignment horizontal="center" vertical="center" wrapText="1"/>
    </xf>
    <xf numFmtId="0" fontId="25" fillId="3" borderId="16" xfId="0" applyFont="1" applyFill="1" applyBorder="1" applyAlignment="1">
      <alignment horizontal="center" vertical="center" wrapText="1"/>
    </xf>
    <xf numFmtId="0" fontId="15" fillId="9" borderId="17"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5" fillId="0" borderId="17" xfId="0" applyFont="1" applyBorder="1" applyAlignment="1">
      <alignment horizontal="center" vertical="center"/>
    </xf>
    <xf numFmtId="0" fontId="26" fillId="3" borderId="16" xfId="0" applyFont="1" applyFill="1" applyBorder="1" applyAlignment="1">
      <alignment horizontal="left" vertical="top" wrapText="1"/>
    </xf>
    <xf numFmtId="0" fontId="15" fillId="10" borderId="17" xfId="0" applyFont="1" applyFill="1" applyBorder="1" applyAlignment="1">
      <alignment horizontal="center" vertical="center"/>
    </xf>
    <xf numFmtId="10" fontId="15" fillId="3" borderId="17" xfId="0" applyNumberFormat="1" applyFont="1" applyFill="1" applyBorder="1" applyAlignment="1">
      <alignment horizontal="center" vertical="center" wrapText="1"/>
    </xf>
    <xf numFmtId="0" fontId="15" fillId="9" borderId="17" xfId="0" applyFont="1" applyFill="1" applyBorder="1" applyAlignment="1">
      <alignment horizontal="center" vertical="center"/>
    </xf>
    <xf numFmtId="177" fontId="15" fillId="9" borderId="17" xfId="0" applyNumberFormat="1" applyFont="1" applyFill="1" applyBorder="1" applyAlignment="1">
      <alignment horizontal="center" vertical="center"/>
    </xf>
    <xf numFmtId="177" fontId="15" fillId="9" borderId="17" xfId="0" applyNumberFormat="1" applyFont="1" applyFill="1" applyBorder="1" applyAlignment="1">
      <alignment horizontal="center" vertical="center" wrapText="1"/>
    </xf>
    <xf numFmtId="177" fontId="15" fillId="9" borderId="18" xfId="0" applyNumberFormat="1" applyFont="1" applyFill="1" applyBorder="1" applyAlignment="1">
      <alignment horizontal="center" vertical="center"/>
    </xf>
    <xf numFmtId="0" fontId="15" fillId="9" borderId="19" xfId="0" applyFont="1" applyFill="1" applyBorder="1" applyAlignment="1">
      <alignment horizontal="center" vertical="center" wrapText="1"/>
    </xf>
    <xf numFmtId="0" fontId="15" fillId="9" borderId="16" xfId="0" applyFont="1" applyFill="1" applyBorder="1" applyAlignment="1">
      <alignment horizontal="center" vertical="center" wrapText="1"/>
    </xf>
    <xf numFmtId="58" fontId="15" fillId="9" borderId="19" xfId="0" applyNumberFormat="1" applyFont="1" applyFill="1" applyBorder="1" applyAlignment="1">
      <alignment horizontal="center" vertical="center" wrapText="1"/>
    </xf>
    <xf numFmtId="58" fontId="15" fillId="9" borderId="16" xfId="0" applyNumberFormat="1" applyFont="1" applyFill="1" applyBorder="1" applyAlignment="1">
      <alignment horizontal="center" vertical="center" wrapText="1"/>
    </xf>
    <xf numFmtId="58" fontId="15" fillId="12" borderId="16" xfId="0" applyNumberFormat="1" applyFont="1" applyFill="1" applyBorder="1" applyAlignment="1">
      <alignment horizontal="center" vertical="center" wrapText="1"/>
    </xf>
    <xf numFmtId="1" fontId="15" fillId="12" borderId="16" xfId="0" applyNumberFormat="1" applyFont="1" applyFill="1" applyBorder="1" applyAlignment="1">
      <alignment horizontal="center" vertical="center" wrapText="1"/>
    </xf>
    <xf numFmtId="179" fontId="15" fillId="9" borderId="17" xfId="0" applyNumberFormat="1" applyFont="1" applyFill="1" applyBorder="1" applyAlignment="1">
      <alignment horizontal="center" vertical="center"/>
    </xf>
    <xf numFmtId="0" fontId="15" fillId="9" borderId="20" xfId="0" applyFont="1" applyFill="1" applyBorder="1" applyAlignment="1">
      <alignment horizontal="center" vertical="center"/>
    </xf>
    <xf numFmtId="0" fontId="25" fillId="3" borderId="21" xfId="0" applyFont="1" applyFill="1" applyBorder="1" applyAlignment="1">
      <alignment horizontal="center" vertical="center" wrapText="1"/>
    </xf>
    <xf numFmtId="0" fontId="25" fillId="10" borderId="22" xfId="0" applyFont="1" applyFill="1" applyBorder="1" applyAlignment="1">
      <alignment horizontal="center" vertical="center" wrapText="1"/>
    </xf>
    <xf numFmtId="0" fontId="25" fillId="3" borderId="22" xfId="0" applyFont="1" applyFill="1" applyBorder="1" applyAlignment="1">
      <alignment horizontal="center" vertical="center" wrapText="1"/>
    </xf>
    <xf numFmtId="0" fontId="15" fillId="9" borderId="23" xfId="0" applyFont="1" applyFill="1" applyBorder="1" applyAlignment="1">
      <alignment horizontal="center" vertical="center" wrapText="1"/>
    </xf>
    <xf numFmtId="0" fontId="15" fillId="3" borderId="23" xfId="0" applyFont="1" applyFill="1" applyBorder="1" applyAlignment="1">
      <alignment horizontal="center" vertical="center" wrapText="1"/>
    </xf>
    <xf numFmtId="0" fontId="15" fillId="0" borderId="23" xfId="0" applyFont="1" applyBorder="1" applyAlignment="1">
      <alignment horizontal="center" vertical="center" wrapText="1"/>
    </xf>
    <xf numFmtId="0" fontId="26" fillId="3" borderId="22" xfId="0" applyFont="1" applyFill="1" applyBorder="1" applyAlignment="1">
      <alignment horizontal="left" vertical="top" wrapText="1"/>
    </xf>
    <xf numFmtId="10" fontId="15" fillId="3" borderId="23" xfId="0" applyNumberFormat="1" applyFont="1" applyFill="1" applyBorder="1" applyAlignment="1">
      <alignment horizontal="center" vertical="center" wrapText="1"/>
    </xf>
    <xf numFmtId="0" fontId="15" fillId="8" borderId="23" xfId="0" applyFont="1" applyFill="1" applyBorder="1" applyAlignment="1">
      <alignment horizontal="center" vertical="center"/>
    </xf>
    <xf numFmtId="0" fontId="15" fillId="9" borderId="24" xfId="0" applyFont="1" applyFill="1" applyBorder="1" applyAlignment="1">
      <alignment horizontal="center" vertical="center" wrapText="1"/>
    </xf>
    <xf numFmtId="0" fontId="15" fillId="9" borderId="22" xfId="0" applyFont="1" applyFill="1" applyBorder="1" applyAlignment="1">
      <alignment horizontal="center" vertical="center" wrapText="1"/>
    </xf>
    <xf numFmtId="58" fontId="15" fillId="9" borderId="24" xfId="0" applyNumberFormat="1" applyFont="1" applyFill="1" applyBorder="1" applyAlignment="1">
      <alignment horizontal="center" vertical="center" wrapText="1"/>
    </xf>
    <xf numFmtId="58" fontId="15" fillId="9" borderId="22" xfId="0" applyNumberFormat="1" applyFont="1" applyFill="1" applyBorder="1" applyAlignment="1">
      <alignment horizontal="center" vertical="center" wrapText="1"/>
    </xf>
    <xf numFmtId="58" fontId="15" fillId="4" borderId="22" xfId="0" applyNumberFormat="1" applyFont="1" applyFill="1" applyBorder="1" applyAlignment="1">
      <alignment horizontal="center" vertical="center" wrapText="1"/>
    </xf>
    <xf numFmtId="1" fontId="15" fillId="12" borderId="22" xfId="0" applyNumberFormat="1" applyFont="1" applyFill="1" applyBorder="1" applyAlignment="1">
      <alignment horizontal="center" vertical="center" wrapText="1"/>
    </xf>
    <xf numFmtId="179" fontId="15" fillId="8" borderId="23" xfId="0" applyNumberFormat="1" applyFont="1" applyFill="1" applyBorder="1" applyAlignment="1">
      <alignment horizontal="center" vertical="center"/>
    </xf>
    <xf numFmtId="0" fontId="15" fillId="8" borderId="25" xfId="0" applyFont="1" applyFill="1" applyBorder="1" applyAlignment="1">
      <alignment horizontal="center" vertical="center"/>
    </xf>
    <xf numFmtId="10" fontId="25" fillId="3" borderId="26" xfId="0" applyNumberFormat="1" applyFont="1" applyFill="1" applyBorder="1" applyAlignment="1">
      <alignment horizontal="center" vertical="center"/>
    </xf>
    <xf numFmtId="10" fontId="25" fillId="3" borderId="27" xfId="0" applyNumberFormat="1" applyFont="1" applyFill="1" applyBorder="1" applyAlignment="1">
      <alignment horizontal="center" vertical="center"/>
    </xf>
    <xf numFmtId="179" fontId="15" fillId="13" borderId="1" xfId="0" applyNumberFormat="1" applyFont="1" applyFill="1" applyBorder="1" applyAlignment="1">
      <alignment horizontal="center" vertical="center" wrapText="1"/>
    </xf>
    <xf numFmtId="0" fontId="25" fillId="14" borderId="9" xfId="0" applyFont="1" applyFill="1" applyBorder="1" applyAlignment="1">
      <alignment horizontal="center" vertical="center" wrapText="1"/>
    </xf>
    <xf numFmtId="0" fontId="15" fillId="14" borderId="10" xfId="0" applyFont="1" applyFill="1" applyBorder="1" applyAlignment="1">
      <alignment horizontal="center" vertical="center" wrapText="1"/>
    </xf>
    <xf numFmtId="0" fontId="25" fillId="14" borderId="16" xfId="0" applyFont="1" applyFill="1" applyBorder="1" applyAlignment="1">
      <alignment horizontal="center" vertical="center" wrapText="1"/>
    </xf>
    <xf numFmtId="0" fontId="15" fillId="14" borderId="17" xfId="0" applyFont="1" applyFill="1" applyBorder="1" applyAlignment="1">
      <alignment horizontal="center" vertical="center"/>
    </xf>
    <xf numFmtId="183" fontId="15" fillId="9" borderId="17" xfId="0" applyNumberFormat="1" applyFont="1" applyFill="1" applyBorder="1" applyAlignment="1">
      <alignment horizontal="center" vertical="center" wrapText="1"/>
    </xf>
    <xf numFmtId="0" fontId="25" fillId="14" borderId="22" xfId="0" applyFont="1" applyFill="1" applyBorder="1" applyAlignment="1">
      <alignment horizontal="center" vertical="center" wrapText="1"/>
    </xf>
    <xf numFmtId="177" fontId="15" fillId="8" borderId="23" xfId="0" applyNumberFormat="1" applyFont="1" applyFill="1" applyBorder="1" applyAlignment="1">
      <alignment horizontal="center" vertical="center"/>
    </xf>
    <xf numFmtId="179" fontId="27" fillId="13" borderId="1" xfId="0" applyNumberFormat="1" applyFont="1" applyFill="1" applyBorder="1" applyAlignment="1">
      <alignment horizontal="center" vertical="center" wrapText="1"/>
    </xf>
    <xf numFmtId="0" fontId="15" fillId="3" borderId="10" xfId="0" applyFont="1" applyFill="1" applyBorder="1" applyAlignment="1">
      <alignment horizontal="left" vertical="center" wrapText="1"/>
    </xf>
    <xf numFmtId="0" fontId="15" fillId="0" borderId="10" xfId="0" applyFont="1" applyBorder="1" applyAlignment="1">
      <alignment horizontal="left" vertical="center" wrapText="1"/>
    </xf>
    <xf numFmtId="10" fontId="15" fillId="3" borderId="10" xfId="0" applyNumberFormat="1" applyFont="1" applyFill="1" applyBorder="1" applyAlignment="1">
      <alignment horizontal="left" vertical="center" wrapText="1"/>
    </xf>
    <xf numFmtId="0" fontId="15" fillId="11" borderId="10" xfId="0" applyFont="1" applyFill="1" applyBorder="1" applyAlignment="1">
      <alignment horizontal="left" vertical="center"/>
    </xf>
    <xf numFmtId="179" fontId="15" fillId="11" borderId="10" xfId="0" applyNumberFormat="1" applyFont="1" applyFill="1" applyBorder="1" applyAlignment="1">
      <alignment horizontal="left" vertical="center"/>
    </xf>
    <xf numFmtId="0" fontId="28" fillId="11" borderId="12" xfId="6" applyNumberFormat="1" applyFont="1" applyFill="1" applyBorder="1" applyAlignment="1" applyProtection="1">
      <alignment horizontal="left" vertical="center"/>
    </xf>
    <xf numFmtId="10" fontId="25" fillId="3" borderId="13" xfId="0" applyNumberFormat="1" applyFont="1" applyFill="1" applyBorder="1" applyAlignment="1">
      <alignment horizontal="left" vertical="center"/>
    </xf>
    <xf numFmtId="10" fontId="25" fillId="3" borderId="14" xfId="0" applyNumberFormat="1" applyFont="1" applyFill="1" applyBorder="1" applyAlignment="1">
      <alignment horizontal="left" vertical="center"/>
    </xf>
    <xf numFmtId="58" fontId="12" fillId="3" borderId="0" xfId="1" applyNumberFormat="1" applyFont="1" applyFill="1" applyAlignment="1">
      <alignment horizontal="left" vertical="center"/>
    </xf>
    <xf numFmtId="0" fontId="15" fillId="3" borderId="17" xfId="0" applyFont="1" applyFill="1" applyBorder="1" applyAlignment="1">
      <alignment horizontal="left" vertical="center" wrapText="1"/>
    </xf>
    <xf numFmtId="0" fontId="15" fillId="0" borderId="17" xfId="0" applyFont="1" applyBorder="1" applyAlignment="1">
      <alignment horizontal="left" vertical="center"/>
    </xf>
    <xf numFmtId="10" fontId="15" fillId="3" borderId="17" xfId="0" applyNumberFormat="1" applyFont="1" applyFill="1" applyBorder="1" applyAlignment="1">
      <alignment horizontal="left" vertical="center" wrapText="1"/>
    </xf>
    <xf numFmtId="0" fontId="15" fillId="9" borderId="17" xfId="0" applyFont="1" applyFill="1" applyBorder="1" applyAlignment="1">
      <alignment horizontal="left" vertical="center"/>
    </xf>
    <xf numFmtId="177" fontId="15" fillId="9" borderId="17" xfId="0" applyNumberFormat="1" applyFont="1" applyFill="1" applyBorder="1" applyAlignment="1">
      <alignment horizontal="left" vertical="center"/>
    </xf>
    <xf numFmtId="177" fontId="15" fillId="9" borderId="17" xfId="0" applyNumberFormat="1" applyFont="1" applyFill="1" applyBorder="1" applyAlignment="1">
      <alignment horizontal="left" vertical="center" wrapText="1"/>
    </xf>
    <xf numFmtId="177" fontId="15" fillId="9" borderId="18" xfId="0" applyNumberFormat="1" applyFont="1" applyFill="1" applyBorder="1" applyAlignment="1">
      <alignment horizontal="left" vertical="center"/>
    </xf>
    <xf numFmtId="179" fontId="15" fillId="9" borderId="17" xfId="0" applyNumberFormat="1" applyFont="1" applyFill="1" applyBorder="1" applyAlignment="1">
      <alignment horizontal="left" vertical="center"/>
    </xf>
    <xf numFmtId="0" fontId="15" fillId="9" borderId="20" xfId="0" applyFont="1" applyFill="1" applyBorder="1" applyAlignment="1">
      <alignment horizontal="left" vertical="center"/>
    </xf>
    <xf numFmtId="0" fontId="15" fillId="3" borderId="23" xfId="0" applyFont="1" applyFill="1" applyBorder="1" applyAlignment="1">
      <alignment horizontal="left" vertical="center" wrapText="1"/>
    </xf>
    <xf numFmtId="0" fontId="15" fillId="0" borderId="23" xfId="0" applyFont="1" applyBorder="1" applyAlignment="1">
      <alignment horizontal="left" vertical="center" wrapText="1"/>
    </xf>
    <xf numFmtId="10" fontId="15" fillId="3" borderId="23" xfId="0" applyNumberFormat="1" applyFont="1" applyFill="1" applyBorder="1" applyAlignment="1">
      <alignment horizontal="left" vertical="center" wrapText="1"/>
    </xf>
    <xf numFmtId="0" fontId="15" fillId="8" borderId="23" xfId="0" applyFont="1" applyFill="1" applyBorder="1" applyAlignment="1">
      <alignment horizontal="left" vertical="center"/>
    </xf>
    <xf numFmtId="177" fontId="15" fillId="8" borderId="23" xfId="0" applyNumberFormat="1" applyFont="1" applyFill="1" applyBorder="1" applyAlignment="1">
      <alignment horizontal="left" vertical="center"/>
    </xf>
    <xf numFmtId="179" fontId="15" fillId="8" borderId="23" xfId="0" applyNumberFormat="1" applyFont="1" applyFill="1" applyBorder="1" applyAlignment="1">
      <alignment horizontal="left" vertical="center"/>
    </xf>
    <xf numFmtId="0" fontId="15" fillId="8" borderId="25" xfId="0" applyFont="1" applyFill="1" applyBorder="1" applyAlignment="1">
      <alignment horizontal="left" vertical="center"/>
    </xf>
    <xf numFmtId="10" fontId="25" fillId="3" borderId="26" xfId="0" applyNumberFormat="1" applyFont="1" applyFill="1" applyBorder="1" applyAlignment="1">
      <alignment horizontal="left" vertical="center"/>
    </xf>
    <xf numFmtId="10" fontId="25" fillId="3" borderId="27" xfId="0" applyNumberFormat="1" applyFont="1" applyFill="1" applyBorder="1" applyAlignment="1">
      <alignment horizontal="left" vertical="center"/>
    </xf>
    <xf numFmtId="0" fontId="25" fillId="3" borderId="9" xfId="0" applyFont="1" applyFill="1" applyBorder="1" applyAlignment="1">
      <alignment horizontal="left" vertical="center" wrapText="1"/>
    </xf>
    <xf numFmtId="177" fontId="15" fillId="11" borderId="10" xfId="0" applyNumberFormat="1" applyFont="1" applyFill="1" applyBorder="1" applyAlignment="1">
      <alignment horizontal="left" vertical="center"/>
    </xf>
    <xf numFmtId="179" fontId="15" fillId="9" borderId="28" xfId="0" applyNumberFormat="1" applyFont="1" applyFill="1" applyBorder="1" applyAlignment="1">
      <alignment horizontal="center" vertical="center" wrapText="1"/>
    </xf>
    <xf numFmtId="0" fontId="25" fillId="3" borderId="16" xfId="0" applyFont="1" applyFill="1" applyBorder="1" applyAlignment="1">
      <alignment horizontal="left" vertical="center" wrapText="1"/>
    </xf>
    <xf numFmtId="179" fontId="15" fillId="9" borderId="29" xfId="0" applyNumberFormat="1" applyFont="1" applyFill="1" applyBorder="1" applyAlignment="1">
      <alignment horizontal="center" vertical="center" wrapText="1"/>
    </xf>
    <xf numFmtId="0" fontId="25" fillId="3" borderId="22" xfId="0" applyFont="1" applyFill="1" applyBorder="1" applyAlignment="1">
      <alignment horizontal="left" vertical="center" wrapText="1"/>
    </xf>
    <xf numFmtId="179" fontId="15" fillId="9" borderId="30" xfId="0" applyNumberFormat="1" applyFont="1" applyFill="1" applyBorder="1" applyAlignment="1">
      <alignment horizontal="center" vertical="center" wrapText="1"/>
    </xf>
    <xf numFmtId="0" fontId="15" fillId="0" borderId="10" xfId="0" applyFont="1" applyBorder="1" applyAlignment="1">
      <alignment horizontal="left" vertical="top" wrapText="1"/>
    </xf>
    <xf numFmtId="0" fontId="15" fillId="0" borderId="17" xfId="0" applyFont="1" applyBorder="1" applyAlignment="1">
      <alignment horizontal="left" vertical="top"/>
    </xf>
    <xf numFmtId="0" fontId="15" fillId="0" borderId="23" xfId="0" applyFont="1" applyBorder="1" applyAlignment="1">
      <alignment horizontal="left" vertical="top" wrapText="1"/>
    </xf>
    <xf numFmtId="0" fontId="15" fillId="15" borderId="10" xfId="0" applyFont="1" applyFill="1" applyBorder="1" applyAlignment="1">
      <alignment horizontal="center" vertical="center" wrapText="1"/>
    </xf>
    <xf numFmtId="0" fontId="15" fillId="15" borderId="17" xfId="0" applyFont="1" applyFill="1" applyBorder="1" applyAlignment="1">
      <alignment horizontal="center" vertical="center"/>
    </xf>
    <xf numFmtId="0" fontId="29" fillId="15" borderId="23" xfId="0" applyFont="1" applyFill="1" applyBorder="1" applyAlignment="1">
      <alignment horizontal="center" vertical="center" wrapText="1"/>
    </xf>
    <xf numFmtId="0" fontId="9" fillId="0" borderId="0" xfId="0" applyFont="1"/>
    <xf numFmtId="0" fontId="10" fillId="0" borderId="0" xfId="0" applyFont="1" applyAlignment="1">
      <alignment horizontal="center" vertical="center"/>
    </xf>
    <xf numFmtId="0" fontId="12" fillId="15" borderId="0" xfId="0" applyFont="1" applyFill="1" applyAlignment="1">
      <alignment vertical="center"/>
    </xf>
    <xf numFmtId="0" fontId="12" fillId="0" borderId="0" xfId="0" applyFont="1" applyAlignment="1">
      <alignment vertical="center"/>
    </xf>
    <xf numFmtId="0" fontId="30" fillId="12" borderId="0" xfId="0" applyFont="1" applyFill="1" applyAlignment="1">
      <alignment vertical="center"/>
    </xf>
    <xf numFmtId="0" fontId="30" fillId="15" borderId="0" xfId="0" applyFont="1" applyFill="1" applyAlignment="1">
      <alignment vertical="center"/>
    </xf>
    <xf numFmtId="0" fontId="13" fillId="0" borderId="0" xfId="0" applyFont="1"/>
    <xf numFmtId="0" fontId="2" fillId="0" borderId="0" xfId="0" applyFont="1" applyAlignment="1">
      <alignment horizontal="left" wrapText="1"/>
    </xf>
    <xf numFmtId="0" fontId="16" fillId="0" borderId="0" xfId="0" applyFont="1"/>
    <xf numFmtId="178" fontId="16" fillId="15" borderId="0" xfId="0" applyNumberFormat="1" applyFont="1" applyFill="1"/>
    <xf numFmtId="2" fontId="16" fillId="14" borderId="0" xfId="0" applyNumberFormat="1" applyFont="1" applyFill="1"/>
    <xf numFmtId="2" fontId="16" fillId="15" borderId="0" xfId="0" applyNumberFormat="1" applyFont="1" applyFill="1"/>
    <xf numFmtId="2" fontId="16" fillId="15" borderId="0" xfId="1" applyNumberFormat="1" applyFont="1" applyFill="1" applyAlignment="1">
      <alignment horizontal="center"/>
    </xf>
    <xf numFmtId="184" fontId="16" fillId="15" borderId="0" xfId="0" applyNumberFormat="1" applyFont="1" applyFill="1"/>
    <xf numFmtId="1" fontId="16" fillId="15" borderId="0" xfId="0" applyNumberFormat="1" applyFont="1" applyFill="1"/>
    <xf numFmtId="178" fontId="16" fillId="14" borderId="0" xfId="0" applyNumberFormat="1" applyFont="1" applyFill="1"/>
    <xf numFmtId="58" fontId="16" fillId="0" borderId="0" xfId="1" applyNumberFormat="1" applyFont="1" applyFill="1"/>
    <xf numFmtId="0" fontId="19" fillId="15" borderId="0" xfId="0" applyFont="1" applyFill="1" applyAlignment="1">
      <alignment vertical="center"/>
    </xf>
    <xf numFmtId="2" fontId="19" fillId="14" borderId="0" xfId="0" applyNumberFormat="1" applyFont="1" applyFill="1" applyAlignment="1">
      <alignment vertical="center"/>
    </xf>
    <xf numFmtId="2" fontId="19" fillId="15" borderId="0" xfId="0" applyNumberFormat="1" applyFont="1" applyFill="1" applyAlignment="1">
      <alignment vertical="center"/>
    </xf>
    <xf numFmtId="2" fontId="19" fillId="15" borderId="0" xfId="1" applyNumberFormat="1" applyFont="1" applyFill="1" applyAlignment="1">
      <alignment horizontal="center" vertical="center"/>
    </xf>
    <xf numFmtId="58" fontId="14" fillId="15" borderId="0" xfId="0" applyNumberFormat="1" applyFont="1" applyFill="1"/>
    <xf numFmtId="0" fontId="14" fillId="15" borderId="0" xfId="0" applyFont="1" applyFill="1"/>
    <xf numFmtId="184" fontId="14" fillId="15" borderId="0" xfId="0" applyNumberFormat="1" applyFont="1" applyFill="1"/>
    <xf numFmtId="1" fontId="14" fillId="15" borderId="0" xfId="0" applyNumberFormat="1" applyFont="1" applyFill="1"/>
    <xf numFmtId="0" fontId="14" fillId="14" borderId="0" xfId="0" applyFont="1" applyFill="1"/>
    <xf numFmtId="0" fontId="15" fillId="0" borderId="0" xfId="0" applyFont="1" applyAlignment="1">
      <alignment horizontal="center" vertical="center" wrapText="1"/>
    </xf>
    <xf numFmtId="179" fontId="20" fillId="15" borderId="0" xfId="0" applyNumberFormat="1" applyFont="1" applyFill="1" applyAlignment="1">
      <alignment horizontal="right" vertical="center"/>
    </xf>
    <xf numFmtId="179" fontId="21" fillId="15" borderId="0" xfId="0" applyNumberFormat="1" applyFont="1" applyFill="1" applyAlignment="1">
      <alignment horizontal="right" vertical="center"/>
    </xf>
    <xf numFmtId="2" fontId="21" fillId="14" borderId="0" xfId="0" applyNumberFormat="1" applyFont="1" applyFill="1" applyAlignment="1">
      <alignment horizontal="right" vertical="center"/>
    </xf>
    <xf numFmtId="2" fontId="21" fillId="15" borderId="0" xfId="0" applyNumberFormat="1" applyFont="1" applyFill="1" applyAlignment="1">
      <alignment horizontal="right" vertical="center"/>
    </xf>
    <xf numFmtId="2" fontId="21" fillId="15" borderId="0" xfId="1" applyNumberFormat="1" applyFont="1" applyFill="1" applyAlignment="1">
      <alignment horizontal="center" vertical="center"/>
    </xf>
    <xf numFmtId="181" fontId="10" fillId="0" borderId="0" xfId="1" applyNumberFormat="1" applyFont="1" applyFill="1" applyBorder="1" applyAlignment="1"/>
    <xf numFmtId="184" fontId="21" fillId="15" borderId="0" xfId="0" applyNumberFormat="1" applyFont="1" applyFill="1" applyAlignment="1">
      <alignment horizontal="right" vertical="center"/>
    </xf>
    <xf numFmtId="1" fontId="21" fillId="15" borderId="0" xfId="0" applyNumberFormat="1" applyFont="1" applyFill="1" applyAlignment="1">
      <alignment horizontal="right" vertical="center"/>
    </xf>
    <xf numFmtId="179" fontId="21" fillId="14" borderId="0" xfId="0" applyNumberFormat="1" applyFont="1" applyFill="1" applyAlignment="1">
      <alignment horizontal="right" vertical="center"/>
    </xf>
    <xf numFmtId="58" fontId="9" fillId="0" borderId="0" xfId="1" applyNumberFormat="1" applyFont="1" applyFill="1"/>
    <xf numFmtId="0" fontId="22"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15" borderId="1" xfId="0" applyFont="1" applyFill="1" applyBorder="1" applyAlignment="1">
      <alignment horizontal="center" vertical="center" wrapText="1"/>
    </xf>
    <xf numFmtId="2" fontId="32" fillId="14" borderId="1" xfId="0" applyNumberFormat="1" applyFont="1" applyFill="1" applyBorder="1" applyAlignment="1">
      <alignment horizontal="center" vertical="center" wrapText="1"/>
    </xf>
    <xf numFmtId="2" fontId="32" fillId="15" borderId="1" xfId="0" applyNumberFormat="1" applyFont="1" applyFill="1" applyBorder="1" applyAlignment="1">
      <alignment horizontal="center" vertical="center" wrapText="1"/>
    </xf>
    <xf numFmtId="2" fontId="32" fillId="15" borderId="1" xfId="1" applyNumberFormat="1" applyFont="1" applyFill="1" applyBorder="1" applyAlignment="1">
      <alignment horizontal="center" vertical="center" wrapText="1"/>
    </xf>
    <xf numFmtId="0" fontId="22" fillId="15" borderId="1" xfId="0" applyFont="1" applyFill="1" applyBorder="1" applyAlignment="1">
      <alignment horizontal="center" vertical="center" wrapText="1"/>
    </xf>
    <xf numFmtId="182" fontId="23" fillId="0" borderId="2" xfId="0" applyNumberFormat="1" applyFont="1" applyBorder="1" applyAlignment="1">
      <alignment horizontal="center"/>
    </xf>
    <xf numFmtId="182" fontId="23" fillId="0" borderId="1" xfId="0" applyNumberFormat="1" applyFont="1" applyBorder="1" applyAlignment="1">
      <alignment horizontal="center"/>
    </xf>
    <xf numFmtId="0" fontId="22" fillId="14" borderId="1" xfId="0" applyFont="1" applyFill="1" applyBorder="1" applyAlignment="1">
      <alignment horizontal="center" vertical="center" wrapText="1"/>
    </xf>
    <xf numFmtId="58" fontId="10" fillId="0" borderId="0" xfId="1" applyNumberFormat="1" applyFont="1" applyFill="1" applyAlignment="1">
      <alignment horizontal="center" vertical="center"/>
    </xf>
    <xf numFmtId="0" fontId="25" fillId="15" borderId="1" xfId="0" applyFont="1" applyFill="1" applyBorder="1" applyAlignment="1">
      <alignment horizontal="center" vertical="center" wrapText="1"/>
    </xf>
    <xf numFmtId="0" fontId="25" fillId="15" borderId="5" xfId="0" applyFont="1" applyFill="1" applyBorder="1" applyAlignment="1">
      <alignment horizontal="center" vertical="center" wrapText="1"/>
    </xf>
    <xf numFmtId="0" fontId="15" fillId="15" borderId="1"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33" fillId="15" borderId="5" xfId="0" applyFont="1" applyFill="1" applyBorder="1" applyAlignment="1">
      <alignment horizontal="center" vertical="center"/>
    </xf>
    <xf numFmtId="0" fontId="33" fillId="15" borderId="1" xfId="0" applyFont="1" applyFill="1" applyBorder="1"/>
    <xf numFmtId="184" fontId="15" fillId="15" borderId="1" xfId="0" applyNumberFormat="1" applyFont="1" applyFill="1" applyBorder="1" applyAlignment="1">
      <alignment horizontal="center" vertical="center"/>
    </xf>
    <xf numFmtId="2" fontId="15" fillId="14" borderId="1" xfId="0" applyNumberFormat="1" applyFont="1" applyFill="1" applyBorder="1" applyAlignment="1">
      <alignment horizontal="center" vertical="center"/>
    </xf>
    <xf numFmtId="2" fontId="15" fillId="15" borderId="1" xfId="0" applyNumberFormat="1" applyFont="1" applyFill="1" applyBorder="1" applyAlignment="1">
      <alignment horizontal="center" vertical="center"/>
    </xf>
    <xf numFmtId="2" fontId="15" fillId="15" borderId="1" xfId="1" applyNumberFormat="1" applyFont="1" applyFill="1" applyBorder="1" applyAlignment="1">
      <alignment horizontal="center" vertical="center"/>
    </xf>
    <xf numFmtId="179" fontId="15" fillId="15" borderId="1" xfId="0" applyNumberFormat="1" applyFont="1" applyFill="1" applyBorder="1" applyAlignment="1">
      <alignment horizontal="center" vertical="center" wrapText="1"/>
    </xf>
    <xf numFmtId="184" fontId="15" fillId="16" borderId="1" xfId="0" applyNumberFormat="1" applyFont="1" applyFill="1" applyBorder="1" applyAlignment="1">
      <alignment horizontal="center" vertical="center" wrapText="1"/>
    </xf>
    <xf numFmtId="184" fontId="15" fillId="15" borderId="1" xfId="0" applyNumberFormat="1" applyFont="1" applyFill="1" applyBorder="1" applyAlignment="1">
      <alignment horizontal="center" vertical="center" wrapText="1"/>
    </xf>
    <xf numFmtId="1" fontId="15" fillId="15" borderId="1" xfId="0" applyNumberFormat="1" applyFont="1" applyFill="1" applyBorder="1" applyAlignment="1">
      <alignment horizontal="center" vertical="center" wrapText="1"/>
    </xf>
    <xf numFmtId="10" fontId="25" fillId="15" borderId="13" xfId="0" applyNumberFormat="1" applyFont="1" applyFill="1" applyBorder="1" applyAlignment="1">
      <alignment horizontal="center" vertical="center"/>
    </xf>
    <xf numFmtId="10" fontId="25" fillId="15" borderId="14" xfId="0" applyNumberFormat="1" applyFont="1" applyFill="1" applyBorder="1" applyAlignment="1">
      <alignment horizontal="center" vertical="center"/>
    </xf>
    <xf numFmtId="179" fontId="15" fillId="14" borderId="1" xfId="0" applyNumberFormat="1" applyFont="1" applyFill="1" applyBorder="1" applyAlignment="1">
      <alignment horizontal="center" vertical="center" wrapText="1"/>
    </xf>
    <xf numFmtId="58" fontId="12" fillId="15" borderId="0" xfId="1" applyNumberFormat="1" applyFont="1" applyFill="1" applyAlignment="1">
      <alignment vertical="center"/>
    </xf>
    <xf numFmtId="0" fontId="25" fillId="15" borderId="16" xfId="0" applyFont="1" applyFill="1" applyBorder="1" applyAlignment="1">
      <alignment horizontal="center" vertical="center" wrapText="1"/>
    </xf>
    <xf numFmtId="0" fontId="15" fillId="15" borderId="16" xfId="0" applyFont="1" applyFill="1" applyBorder="1" applyAlignment="1">
      <alignment horizontal="center" vertical="center" wrapText="1"/>
    </xf>
    <xf numFmtId="0" fontId="33" fillId="15" borderId="16" xfId="0" applyFont="1" applyFill="1" applyBorder="1" applyAlignment="1">
      <alignment horizontal="center" vertical="center"/>
    </xf>
    <xf numFmtId="0" fontId="25" fillId="15" borderId="3" xfId="0" applyFont="1" applyFill="1" applyBorder="1" applyAlignment="1">
      <alignment horizontal="center" vertical="center" wrapText="1"/>
    </xf>
    <xf numFmtId="0" fontId="15" fillId="15" borderId="3" xfId="0" applyFont="1" applyFill="1" applyBorder="1" applyAlignment="1">
      <alignment horizontal="center" vertical="center" wrapText="1"/>
    </xf>
    <xf numFmtId="0" fontId="33" fillId="15" borderId="3" xfId="0" applyFont="1" applyFill="1" applyBorder="1" applyAlignment="1">
      <alignment horizontal="center" vertical="center"/>
    </xf>
    <xf numFmtId="2" fontId="15" fillId="14" borderId="1" xfId="0" applyNumberFormat="1" applyFont="1" applyFill="1" applyBorder="1" applyAlignment="1">
      <alignment horizontal="center" vertical="center" wrapText="1"/>
    </xf>
    <xf numFmtId="2" fontId="15" fillId="15" borderId="1" xfId="0" applyNumberFormat="1" applyFont="1" applyFill="1" applyBorder="1" applyAlignment="1">
      <alignment horizontal="center" vertical="center" wrapText="1"/>
    </xf>
    <xf numFmtId="2" fontId="15" fillId="15" borderId="1" xfId="1" applyNumberFormat="1" applyFont="1" applyFill="1" applyBorder="1" applyAlignment="1">
      <alignment horizontal="center" vertical="center" wrapText="1"/>
    </xf>
    <xf numFmtId="10" fontId="25" fillId="15" borderId="26" xfId="0" applyNumberFormat="1" applyFont="1" applyFill="1" applyBorder="1" applyAlignment="1">
      <alignment horizontal="center" vertical="center"/>
    </xf>
    <xf numFmtId="10" fontId="25" fillId="15" borderId="27" xfId="0" applyNumberFormat="1" applyFont="1" applyFill="1" applyBorder="1" applyAlignment="1">
      <alignment horizontal="center" vertical="center"/>
    </xf>
    <xf numFmtId="0" fontId="25"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0" fillId="0" borderId="5" xfId="0" applyBorder="1" applyAlignment="1">
      <alignment horizontal="center" vertical="center"/>
    </xf>
    <xf numFmtId="0" fontId="15" fillId="0" borderId="5" xfId="0" applyFont="1" applyBorder="1" applyAlignment="1">
      <alignment horizontal="center" vertical="center" wrapText="1"/>
    </xf>
    <xf numFmtId="0" fontId="0" fillId="0" borderId="1" xfId="0" applyBorder="1"/>
    <xf numFmtId="10" fontId="25" fillId="0" borderId="13" xfId="0" applyNumberFormat="1" applyFont="1" applyBorder="1" applyAlignment="1">
      <alignment horizontal="center" vertical="center"/>
    </xf>
    <xf numFmtId="10" fontId="25" fillId="0" borderId="14" xfId="0" applyNumberFormat="1" applyFont="1" applyBorder="1" applyAlignment="1">
      <alignment horizontal="center" vertical="center"/>
    </xf>
    <xf numFmtId="58" fontId="12" fillId="0" borderId="0" xfId="1" applyNumberFormat="1" applyFont="1" applyFill="1" applyAlignment="1">
      <alignment vertical="center"/>
    </xf>
    <xf numFmtId="0" fontId="0" fillId="0" borderId="16" xfId="0" applyBorder="1" applyAlignment="1">
      <alignment horizontal="center" vertical="center"/>
    </xf>
    <xf numFmtId="0" fontId="15" fillId="0" borderId="16" xfId="0" applyFont="1" applyBorder="1" applyAlignment="1">
      <alignment horizontal="center" vertical="center" wrapText="1"/>
    </xf>
    <xf numFmtId="0" fontId="0" fillId="0" borderId="3" xfId="0" applyBorder="1" applyAlignment="1">
      <alignment horizontal="center" vertical="center"/>
    </xf>
    <xf numFmtId="0" fontId="15" fillId="0" borderId="3" xfId="0" applyFont="1" applyBorder="1" applyAlignment="1">
      <alignment horizontal="center" vertical="center" wrapText="1"/>
    </xf>
    <xf numFmtId="10" fontId="25" fillId="0" borderId="26" xfId="0" applyNumberFormat="1" applyFont="1" applyBorder="1" applyAlignment="1">
      <alignment horizontal="center" vertical="center"/>
    </xf>
    <xf numFmtId="10" fontId="25" fillId="0" borderId="27" xfId="0" applyNumberFormat="1" applyFont="1" applyBorder="1" applyAlignment="1">
      <alignment horizontal="center" vertical="center"/>
    </xf>
    <xf numFmtId="0" fontId="27" fillId="10" borderId="1" xfId="0" applyFont="1" applyFill="1" applyBorder="1" applyAlignment="1">
      <alignment horizontal="center" vertical="center" wrapText="1"/>
    </xf>
    <xf numFmtId="0" fontId="34" fillId="10" borderId="5" xfId="0" applyFont="1" applyFill="1" applyBorder="1" applyAlignment="1">
      <alignment horizontal="center" vertical="center"/>
    </xf>
    <xf numFmtId="0" fontId="34" fillId="10" borderId="16" xfId="0" applyFont="1" applyFill="1" applyBorder="1" applyAlignment="1">
      <alignment horizontal="center" vertical="center"/>
    </xf>
    <xf numFmtId="0" fontId="34" fillId="10" borderId="3" xfId="0" applyFont="1" applyFill="1" applyBorder="1" applyAlignment="1">
      <alignment horizontal="center" vertical="center"/>
    </xf>
    <xf numFmtId="0" fontId="35" fillId="10" borderId="1" xfId="0" applyFont="1" applyFill="1" applyBorder="1" applyAlignment="1">
      <alignment horizontal="center" vertical="center" wrapText="1"/>
    </xf>
    <xf numFmtId="184" fontId="15" fillId="15" borderId="5" xfId="0" applyNumberFormat="1" applyFont="1" applyFill="1" applyBorder="1" applyAlignment="1">
      <alignment horizontal="center" vertical="center" wrapText="1"/>
    </xf>
    <xf numFmtId="10" fontId="35" fillId="12" borderId="13" xfId="0" applyNumberFormat="1" applyFont="1" applyFill="1" applyBorder="1" applyAlignment="1">
      <alignment horizontal="center" vertical="center"/>
    </xf>
    <xf numFmtId="10" fontId="35" fillId="12" borderId="14" xfId="0" applyNumberFormat="1" applyFont="1" applyFill="1" applyBorder="1" applyAlignment="1">
      <alignment horizontal="center" vertical="center"/>
    </xf>
    <xf numFmtId="58" fontId="30" fillId="12" borderId="0" xfId="1" applyNumberFormat="1" applyFont="1" applyFill="1" applyAlignment="1">
      <alignment vertical="center"/>
    </xf>
    <xf numFmtId="184" fontId="15" fillId="15" borderId="16" xfId="0" applyNumberFormat="1" applyFont="1" applyFill="1" applyBorder="1" applyAlignment="1">
      <alignment horizontal="center" vertical="center" wrapText="1"/>
    </xf>
    <xf numFmtId="0" fontId="35" fillId="12" borderId="1" xfId="0" applyFont="1" applyFill="1" applyBorder="1" applyAlignment="1">
      <alignment horizontal="center" vertical="center" wrapText="1"/>
    </xf>
    <xf numFmtId="184" fontId="15" fillId="15" borderId="3" xfId="0" applyNumberFormat="1" applyFont="1" applyFill="1" applyBorder="1" applyAlignment="1">
      <alignment horizontal="center" vertical="center" wrapText="1"/>
    </xf>
    <xf numFmtId="10" fontId="35" fillId="12" borderId="26" xfId="0" applyNumberFormat="1" applyFont="1" applyFill="1" applyBorder="1" applyAlignment="1">
      <alignment horizontal="center" vertical="center"/>
    </xf>
    <xf numFmtId="10" fontId="35" fillId="12" borderId="27" xfId="0" applyNumberFormat="1" applyFont="1" applyFill="1" applyBorder="1" applyAlignment="1">
      <alignment horizontal="center" vertical="center"/>
    </xf>
    <xf numFmtId="179" fontId="15" fillId="15" borderId="5" xfId="0" applyNumberFormat="1" applyFont="1" applyFill="1" applyBorder="1" applyAlignment="1">
      <alignment horizontal="center" vertical="center" wrapText="1"/>
    </xf>
    <xf numFmtId="179" fontId="15" fillId="15" borderId="16" xfId="0" applyNumberFormat="1" applyFont="1" applyFill="1" applyBorder="1" applyAlignment="1">
      <alignment horizontal="center" vertical="center" wrapText="1"/>
    </xf>
    <xf numFmtId="179" fontId="15" fillId="15" borderId="3" xfId="0" applyNumberFormat="1" applyFont="1" applyFill="1" applyBorder="1" applyAlignment="1">
      <alignment horizontal="center" vertical="center" wrapText="1"/>
    </xf>
    <xf numFmtId="177" fontId="15" fillId="15" borderId="1" xfId="0" applyNumberFormat="1" applyFont="1" applyFill="1" applyBorder="1" applyAlignment="1">
      <alignment horizontal="center" vertical="center"/>
    </xf>
    <xf numFmtId="0" fontId="0" fillId="15" borderId="5" xfId="0" applyFill="1" applyBorder="1" applyAlignment="1">
      <alignment horizontal="center" vertical="center"/>
    </xf>
    <xf numFmtId="0" fontId="0" fillId="15" borderId="1" xfId="0" applyFill="1" applyBorder="1"/>
    <xf numFmtId="0" fontId="0" fillId="15" borderId="16" xfId="0" applyFill="1" applyBorder="1" applyAlignment="1">
      <alignment horizontal="center" vertical="center"/>
    </xf>
    <xf numFmtId="0" fontId="0" fillId="15" borderId="3" xfId="0" applyFill="1" applyBorder="1" applyAlignment="1">
      <alignment horizontal="center" vertical="center"/>
    </xf>
    <xf numFmtId="10" fontId="35" fillId="15" borderId="13" xfId="0" applyNumberFormat="1" applyFont="1" applyFill="1" applyBorder="1" applyAlignment="1">
      <alignment horizontal="center" vertical="center"/>
    </xf>
    <xf numFmtId="10" fontId="35" fillId="15" borderId="14" xfId="0" applyNumberFormat="1" applyFont="1" applyFill="1" applyBorder="1" applyAlignment="1">
      <alignment horizontal="center" vertical="center"/>
    </xf>
    <xf numFmtId="58" fontId="30" fillId="15" borderId="0" xfId="1" applyNumberFormat="1" applyFont="1" applyFill="1" applyAlignment="1">
      <alignment vertical="center"/>
    </xf>
    <xf numFmtId="0" fontId="0" fillId="15" borderId="1" xfId="0" applyFill="1" applyBorder="1" applyAlignment="1">
      <alignment vertical="center"/>
    </xf>
    <xf numFmtId="10" fontId="35" fillId="15" borderId="26" xfId="0" applyNumberFormat="1" applyFont="1" applyFill="1" applyBorder="1" applyAlignment="1">
      <alignment horizontal="center" vertical="center"/>
    </xf>
    <xf numFmtId="10" fontId="35" fillId="15" borderId="27" xfId="0" applyNumberFormat="1" applyFont="1" applyFill="1" applyBorder="1" applyAlignment="1">
      <alignment horizontal="center" vertical="center"/>
    </xf>
    <xf numFmtId="0" fontId="27" fillId="12" borderId="1" xfId="0" applyFont="1" applyFill="1" applyBorder="1" applyAlignment="1">
      <alignment horizontal="center" vertical="center" wrapText="1"/>
    </xf>
    <xf numFmtId="0" fontId="27" fillId="12" borderId="5" xfId="0" applyFont="1" applyFill="1" applyBorder="1" applyAlignment="1">
      <alignment horizontal="center" vertical="center" wrapText="1"/>
    </xf>
    <xf numFmtId="0" fontId="34" fillId="12" borderId="5" xfId="0" applyFont="1" applyFill="1" applyBorder="1" applyAlignment="1">
      <alignment horizontal="center" vertical="center"/>
    </xf>
    <xf numFmtId="0" fontId="27" fillId="12" borderId="16" xfId="0" applyFont="1" applyFill="1" applyBorder="1" applyAlignment="1">
      <alignment horizontal="center" vertical="center" wrapText="1"/>
    </xf>
    <xf numFmtId="0" fontId="34" fillId="12" borderId="16" xfId="0" applyFont="1" applyFill="1" applyBorder="1" applyAlignment="1">
      <alignment horizontal="center" vertical="center"/>
    </xf>
    <xf numFmtId="0" fontId="27" fillId="12" borderId="3" xfId="0" applyFont="1" applyFill="1" applyBorder="1" applyAlignment="1">
      <alignment horizontal="center" vertical="center" wrapText="1"/>
    </xf>
    <xf numFmtId="0" fontId="34" fillId="12" borderId="3" xfId="0" applyFont="1" applyFill="1" applyBorder="1" applyAlignment="1">
      <alignment horizontal="center" vertical="center"/>
    </xf>
    <xf numFmtId="16" fontId="30" fillId="12" borderId="0" xfId="0" applyNumberFormat="1" applyFont="1" applyFill="1" applyAlignment="1">
      <alignment horizontal="center" vertical="center"/>
    </xf>
    <xf numFmtId="16" fontId="30" fillId="12" borderId="0" xfId="0" applyNumberFormat="1" applyFont="1" applyFill="1" applyAlignment="1">
      <alignment vertical="center"/>
    </xf>
    <xf numFmtId="15" fontId="0" fillId="0" borderId="0" xfId="0" applyNumberFormat="1"/>
    <xf numFmtId="0" fontId="36" fillId="0" borderId="1" xfId="0" applyFont="1" applyBorder="1" applyAlignment="1">
      <alignment horizontal="center" vertical="center" wrapText="1"/>
    </xf>
    <xf numFmtId="0" fontId="36" fillId="17" borderId="1" xfId="0" applyFont="1" applyFill="1" applyBorder="1" applyAlignment="1">
      <alignment horizontal="center" vertical="center" wrapText="1"/>
    </xf>
    <xf numFmtId="0" fontId="2" fillId="0" borderId="17" xfId="0" applyFont="1" applyBorder="1" applyAlignment="1">
      <alignment horizontal="center" vertical="center" wrapText="1"/>
    </xf>
    <xf numFmtId="0" fontId="2" fillId="0" borderId="1" xfId="0" applyFont="1" applyBorder="1" applyAlignment="1">
      <alignment horizontal="center" vertical="center" wrapText="1"/>
    </xf>
    <xf numFmtId="184" fontId="2" fillId="0" borderId="1" xfId="0" applyNumberFormat="1" applyFont="1" applyBorder="1" applyAlignment="1">
      <alignment horizontal="center" vertical="center"/>
    </xf>
    <xf numFmtId="179" fontId="2"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37" fillId="0" borderId="0" xfId="0" applyFont="1"/>
    <xf numFmtId="0" fontId="38" fillId="0" borderId="0" xfId="0" applyFont="1"/>
    <xf numFmtId="0" fontId="15" fillId="0" borderId="0" xfId="0" applyFont="1"/>
    <xf numFmtId="0" fontId="38" fillId="0" borderId="0" xfId="0" applyFont="1" applyAlignment="1">
      <alignment horizontal="center"/>
    </xf>
    <xf numFmtId="0" fontId="2" fillId="0" borderId="0" xfId="0" applyFont="1" applyAlignment="1">
      <alignment vertical="center"/>
    </xf>
    <xf numFmtId="0" fontId="2" fillId="15" borderId="0" xfId="0" applyFont="1" applyFill="1" applyAlignment="1">
      <alignment vertical="center"/>
    </xf>
    <xf numFmtId="0" fontId="2" fillId="18" borderId="0" xfId="0" applyFont="1" applyFill="1" applyAlignment="1">
      <alignment vertical="center"/>
    </xf>
    <xf numFmtId="0" fontId="39" fillId="19" borderId="0" xfId="0" applyFont="1" applyFill="1" applyAlignment="1">
      <alignment vertical="center"/>
    </xf>
    <xf numFmtId="0" fontId="2" fillId="0" borderId="0" xfId="0" applyFont="1"/>
    <xf numFmtId="0" fontId="40" fillId="0" borderId="0" xfId="0" applyFont="1" applyAlignment="1">
      <alignment horizontal="center" vertical="center"/>
    </xf>
    <xf numFmtId="0" fontId="40" fillId="0" borderId="0" xfId="0" applyFont="1"/>
    <xf numFmtId="0" fontId="40" fillId="15" borderId="0" xfId="0" applyFont="1" applyFill="1"/>
    <xf numFmtId="0" fontId="37" fillId="0" borderId="0" xfId="0" applyFont="1" applyAlignment="1">
      <alignment horizontal="center" vertical="center"/>
    </xf>
    <xf numFmtId="0" fontId="37" fillId="15" borderId="0" xfId="0" applyFont="1" applyFill="1"/>
    <xf numFmtId="0" fontId="40" fillId="0" borderId="0" xfId="0" applyFont="1" applyAlignment="1">
      <alignment wrapText="1"/>
    </xf>
    <xf numFmtId="0" fontId="41" fillId="0" borderId="0" xfId="0" applyFont="1"/>
    <xf numFmtId="0" fontId="27" fillId="0" borderId="0" xfId="0" applyFont="1"/>
    <xf numFmtId="0" fontId="40" fillId="0" borderId="0" xfId="0" applyFont="1" applyAlignment="1">
      <alignment horizontal="center"/>
    </xf>
    <xf numFmtId="0" fontId="40" fillId="15" borderId="0" xfId="0" applyFont="1" applyFill="1" applyAlignment="1">
      <alignment horizontal="center"/>
    </xf>
    <xf numFmtId="0" fontId="15" fillId="15" borderId="0" xfId="0" applyFont="1" applyFill="1" applyAlignment="1">
      <alignment horizontal="center" vertical="center"/>
    </xf>
    <xf numFmtId="0" fontId="37" fillId="0" borderId="0" xfId="0" applyFont="1" applyAlignment="1">
      <alignment wrapText="1"/>
    </xf>
    <xf numFmtId="0" fontId="37" fillId="0" borderId="0" xfId="0" applyFont="1" applyAlignment="1">
      <alignment horizontal="center"/>
    </xf>
    <xf numFmtId="0" fontId="37" fillId="15" borderId="0" xfId="0" applyFont="1" applyFill="1" applyAlignment="1">
      <alignment horizontal="center"/>
    </xf>
    <xf numFmtId="0" fontId="38" fillId="15" borderId="0" xfId="0" applyFont="1" applyFill="1" applyAlignment="1">
      <alignment horizontal="center" vertical="center"/>
    </xf>
    <xf numFmtId="0" fontId="42" fillId="0" borderId="0" xfId="0" applyFont="1"/>
    <xf numFmtId="0" fontId="42" fillId="15" borderId="0" xfId="0" applyFont="1" applyFill="1"/>
    <xf numFmtId="0" fontId="42" fillId="0" borderId="0" xfId="0" applyFont="1" applyAlignment="1">
      <alignment horizontal="center" vertical="center"/>
    </xf>
    <xf numFmtId="0" fontId="43" fillId="0" borderId="0" xfId="0" applyFont="1" applyAlignment="1">
      <alignment horizontal="right"/>
    </xf>
    <xf numFmtId="0" fontId="38" fillId="0" borderId="0" xfId="0" applyFont="1" applyAlignment="1">
      <alignment horizontal="center" vertical="center"/>
    </xf>
    <xf numFmtId="0" fontId="38" fillId="15" borderId="0" xfId="0" applyFont="1" applyFill="1"/>
    <xf numFmtId="0" fontId="15" fillId="16" borderId="0" xfId="0" applyFont="1" applyFill="1" applyAlignment="1">
      <alignment horizontal="left" vertical="center"/>
    </xf>
    <xf numFmtId="0" fontId="38" fillId="16" borderId="0" xfId="0" applyFont="1" applyFill="1" applyAlignment="1">
      <alignment wrapText="1"/>
    </xf>
    <xf numFmtId="0" fontId="38" fillId="16" borderId="0" xfId="0" applyFont="1" applyFill="1"/>
    <xf numFmtId="0" fontId="2" fillId="16" borderId="0" xfId="0" applyFont="1" applyFill="1"/>
    <xf numFmtId="0" fontId="38" fillId="15" borderId="0" xfId="0" applyFont="1" applyFill="1" applyAlignment="1">
      <alignment horizontal="center"/>
    </xf>
    <xf numFmtId="0" fontId="44" fillId="0" borderId="0" xfId="0" applyFont="1" applyAlignment="1">
      <alignment vertical="center"/>
    </xf>
    <xf numFmtId="0" fontId="15" fillId="0" borderId="0" xfId="0" applyFont="1" applyAlignment="1">
      <alignment horizontal="left" vertical="center"/>
    </xf>
    <xf numFmtId="0" fontId="38" fillId="0" borderId="0" xfId="0" applyFont="1" applyAlignment="1">
      <alignment wrapText="1"/>
    </xf>
    <xf numFmtId="179" fontId="21" fillId="0" borderId="0" xfId="0" applyNumberFormat="1" applyFont="1" applyAlignment="1">
      <alignment horizontal="right" vertical="center"/>
    </xf>
    <xf numFmtId="179" fontId="20" fillId="0" borderId="0" xfId="0" applyNumberFormat="1" applyFont="1" applyAlignment="1">
      <alignment horizontal="center" vertical="center"/>
    </xf>
    <xf numFmtId="179" fontId="20" fillId="20" borderId="0" xfId="0" applyNumberFormat="1" applyFont="1" applyFill="1" applyAlignment="1">
      <alignment horizontal="right" vertical="center"/>
    </xf>
    <xf numFmtId="179" fontId="20" fillId="21" borderId="0" xfId="0" applyNumberFormat="1" applyFont="1" applyFill="1" applyAlignment="1">
      <alignment horizontal="right" vertical="center"/>
    </xf>
    <xf numFmtId="0" fontId="36" fillId="22" borderId="31" xfId="0" applyFont="1" applyFill="1" applyBorder="1" applyAlignment="1">
      <alignment horizontal="center" vertical="center" wrapText="1"/>
    </xf>
    <xf numFmtId="0" fontId="36" fillId="8" borderId="1" xfId="0" applyFont="1" applyFill="1" applyBorder="1" applyAlignment="1">
      <alignment horizontal="center" vertical="center" wrapText="1"/>
    </xf>
    <xf numFmtId="0" fontId="36" fillId="6" borderId="1" xfId="0" applyFont="1" applyFill="1" applyBorder="1" applyAlignment="1">
      <alignment horizontal="center" vertical="center" wrapText="1"/>
    </xf>
    <xf numFmtId="0" fontId="45" fillId="8" borderId="1" xfId="0" applyFont="1" applyFill="1" applyBorder="1" applyAlignment="1">
      <alignment horizontal="center" vertical="center" wrapText="1"/>
    </xf>
    <xf numFmtId="0" fontId="45" fillId="6" borderId="1" xfId="0" applyFont="1" applyFill="1" applyBorder="1" applyAlignment="1">
      <alignment horizontal="center" vertical="center" wrapText="1"/>
    </xf>
    <xf numFmtId="0" fontId="22" fillId="6" borderId="1" xfId="0" applyFont="1" applyFill="1" applyBorder="1" applyAlignment="1">
      <alignment horizontal="center" vertical="center" wrapText="1"/>
    </xf>
    <xf numFmtId="0" fontId="22" fillId="21" borderId="1" xfId="0" applyFont="1" applyFill="1" applyBorder="1" applyAlignment="1">
      <alignment horizontal="center" vertical="center" wrapText="1"/>
    </xf>
    <xf numFmtId="0" fontId="46" fillId="6" borderId="1" xfId="0" applyFont="1" applyFill="1" applyBorder="1" applyAlignment="1">
      <alignment horizontal="center" vertical="center" wrapText="1"/>
    </xf>
    <xf numFmtId="0" fontId="38" fillId="4" borderId="1" xfId="0" applyFont="1" applyFill="1" applyBorder="1" applyAlignment="1">
      <alignment horizontal="center" vertical="center"/>
    </xf>
    <xf numFmtId="0" fontId="38" fillId="0" borderId="1" xfId="0" applyFont="1" applyBorder="1"/>
    <xf numFmtId="0" fontId="38" fillId="15" borderId="1" xfId="0" applyFont="1" applyFill="1" applyBorder="1"/>
    <xf numFmtId="0" fontId="38" fillId="22" borderId="31" xfId="0" applyFont="1" applyFill="1" applyBorder="1" applyAlignment="1">
      <alignment horizontal="center" vertical="center"/>
    </xf>
    <xf numFmtId="0" fontId="36" fillId="4" borderId="1" xfId="0" applyFont="1" applyFill="1" applyBorder="1" applyAlignment="1">
      <alignment horizontal="center" vertical="center" wrapText="1"/>
    </xf>
    <xf numFmtId="0" fontId="38" fillId="4" borderId="1" xfId="0" applyFont="1" applyFill="1" applyBorder="1"/>
    <xf numFmtId="0" fontId="2" fillId="4" borderId="1" xfId="0" applyFont="1" applyFill="1" applyBorder="1"/>
    <xf numFmtId="0" fontId="36" fillId="15" borderId="1" xfId="0" applyFont="1" applyFill="1" applyBorder="1" applyAlignment="1">
      <alignment horizontal="center" vertical="center" wrapText="1"/>
    </xf>
    <xf numFmtId="0" fontId="38" fillId="4" borderId="5" xfId="0" applyFont="1" applyFill="1" applyBorder="1" applyAlignment="1">
      <alignment horizontal="center" vertical="center"/>
    </xf>
    <xf numFmtId="0" fontId="38" fillId="0" borderId="5" xfId="0" applyFont="1" applyBorder="1" applyAlignment="1">
      <alignment horizontal="center"/>
    </xf>
    <xf numFmtId="0" fontId="38" fillId="15" borderId="5" xfId="0" applyFont="1" applyFill="1" applyBorder="1" applyAlignment="1">
      <alignment horizontal="center"/>
    </xf>
    <xf numFmtId="0" fontId="38" fillId="22" borderId="32" xfId="0" applyFont="1" applyFill="1" applyBorder="1" applyAlignment="1">
      <alignment horizontal="center" vertical="center"/>
    </xf>
    <xf numFmtId="0" fontId="36" fillId="4" borderId="5" xfId="0" applyFont="1" applyFill="1" applyBorder="1" applyAlignment="1">
      <alignment horizontal="center" vertical="center" wrapText="1"/>
    </xf>
    <xf numFmtId="0" fontId="38" fillId="4" borderId="5" xfId="0" applyFont="1" applyFill="1" applyBorder="1" applyAlignment="1">
      <alignment horizontal="center"/>
    </xf>
    <xf numFmtId="0" fontId="24" fillId="8" borderId="16" xfId="0" applyFont="1" applyFill="1" applyBorder="1" applyAlignment="1">
      <alignment horizontal="center" vertical="center" wrapText="1"/>
    </xf>
    <xf numFmtId="0" fontId="2" fillId="4" borderId="5" xfId="0" applyFont="1" applyFill="1" applyBorder="1" applyAlignment="1">
      <alignment horizontal="center"/>
    </xf>
    <xf numFmtId="0" fontId="36" fillId="15" borderId="5" xfId="0" applyFont="1" applyFill="1" applyBorder="1" applyAlignment="1">
      <alignment horizontal="center" vertical="center" wrapText="1"/>
    </xf>
    <xf numFmtId="0" fontId="45" fillId="0" borderId="16" xfId="0" applyFont="1" applyBorder="1" applyAlignment="1">
      <alignment horizontal="center" vertical="center" wrapText="1"/>
    </xf>
    <xf numFmtId="0" fontId="2" fillId="15" borderId="17" xfId="0" applyFont="1" applyFill="1" applyBorder="1" applyAlignment="1">
      <alignment horizontal="center" vertical="center" wrapText="1"/>
    </xf>
    <xf numFmtId="2" fontId="45" fillId="0" borderId="33" xfId="0" applyNumberFormat="1" applyFont="1" applyBorder="1" applyAlignment="1">
      <alignment vertical="center" wrapText="1"/>
    </xf>
    <xf numFmtId="0" fontId="2" fillId="0" borderId="17" xfId="0" applyFont="1" applyBorder="1" applyAlignment="1">
      <alignment horizontal="center" vertical="center"/>
    </xf>
    <xf numFmtId="0" fontId="2" fillId="0" borderId="16"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17" xfId="0" applyFont="1" applyBorder="1" applyAlignment="1">
      <alignment horizontal="left" vertical="center" wrapText="1"/>
    </xf>
    <xf numFmtId="184" fontId="2" fillId="0" borderId="34" xfId="0" applyNumberFormat="1" applyFont="1" applyBorder="1" applyAlignment="1">
      <alignment horizontal="center" vertical="center"/>
    </xf>
    <xf numFmtId="184" fontId="2" fillId="0" borderId="17" xfId="0" applyNumberFormat="1" applyFont="1" applyBorder="1" applyAlignment="1">
      <alignment horizontal="center" vertical="center"/>
    </xf>
    <xf numFmtId="2" fontId="2" fillId="15" borderId="17" xfId="1" applyNumberFormat="1" applyFont="1" applyFill="1" applyBorder="1" applyAlignment="1">
      <alignment horizontal="center" vertical="center"/>
    </xf>
    <xf numFmtId="179" fontId="2" fillId="0" borderId="16" xfId="0" applyNumberFormat="1" applyFont="1" applyBorder="1" applyAlignment="1">
      <alignment horizontal="center" vertical="center" wrapText="1"/>
    </xf>
    <xf numFmtId="184" fontId="2" fillId="0" borderId="16" xfId="0" applyNumberFormat="1" applyFont="1" applyBorder="1" applyAlignment="1">
      <alignment horizontal="center" vertical="center"/>
    </xf>
    <xf numFmtId="185" fontId="2" fillId="0" borderId="16" xfId="0" applyNumberFormat="1" applyFont="1" applyBorder="1" applyAlignment="1">
      <alignment horizontal="center" vertical="center"/>
    </xf>
    <xf numFmtId="0" fontId="2" fillId="0" borderId="16" xfId="0" applyFont="1" applyBorder="1" applyAlignment="1">
      <alignment vertical="center"/>
    </xf>
    <xf numFmtId="186" fontId="2" fillId="0" borderId="35" xfId="0" applyNumberFormat="1" applyFont="1" applyBorder="1" applyAlignment="1">
      <alignment horizontal="center" vertical="center" wrapText="1"/>
    </xf>
    <xf numFmtId="184" fontId="47" fillId="0" borderId="17" xfId="0" applyNumberFormat="1" applyFont="1" applyBorder="1" applyAlignment="1">
      <alignment horizontal="center" vertical="center"/>
    </xf>
    <xf numFmtId="184" fontId="2" fillId="23" borderId="17" xfId="0" applyNumberFormat="1" applyFont="1" applyFill="1" applyBorder="1" applyAlignment="1">
      <alignment horizontal="center" vertical="center"/>
    </xf>
    <xf numFmtId="185" fontId="2" fillId="0" borderId="17" xfId="0" applyNumberFormat="1" applyFont="1" applyBorder="1" applyAlignment="1">
      <alignment horizontal="center" vertical="center"/>
    </xf>
    <xf numFmtId="0" fontId="45" fillId="0" borderId="22" xfId="0" applyFont="1" applyBorder="1" applyAlignment="1">
      <alignment horizontal="center" vertical="center" wrapText="1"/>
    </xf>
    <xf numFmtId="0" fontId="2" fillId="0" borderId="23" xfId="0" applyFont="1" applyBorder="1" applyAlignment="1">
      <alignment horizontal="center" vertical="center" wrapText="1"/>
    </xf>
    <xf numFmtId="2" fontId="45" fillId="0" borderId="36" xfId="0" applyNumberFormat="1" applyFont="1" applyBorder="1" applyAlignment="1">
      <alignment vertical="center" wrapText="1"/>
    </xf>
    <xf numFmtId="0" fontId="2" fillId="0" borderId="23" xfId="0" applyFont="1" applyBorder="1" applyAlignment="1">
      <alignment horizontal="center" vertical="center"/>
    </xf>
    <xf numFmtId="0" fontId="2" fillId="0" borderId="22" xfId="0" applyFont="1" applyBorder="1" applyAlignment="1">
      <alignment horizontal="center" vertical="center" wrapText="1"/>
    </xf>
    <xf numFmtId="0" fontId="2" fillId="0" borderId="23" xfId="0" applyFont="1" applyBorder="1" applyAlignment="1">
      <alignment horizontal="left" vertical="center" wrapText="1"/>
    </xf>
    <xf numFmtId="184" fontId="2" fillId="0" borderId="23" xfId="0" applyNumberFormat="1" applyFont="1" applyBorder="1" applyAlignment="1">
      <alignment horizontal="center" vertical="center"/>
    </xf>
    <xf numFmtId="184" fontId="2" fillId="23" borderId="23" xfId="0" applyNumberFormat="1" applyFont="1" applyFill="1" applyBorder="1" applyAlignment="1">
      <alignment horizontal="center" vertical="center"/>
    </xf>
    <xf numFmtId="2" fontId="2" fillId="15" borderId="23" xfId="1" applyNumberFormat="1" applyFont="1" applyFill="1" applyBorder="1" applyAlignment="1">
      <alignment horizontal="center" vertical="center" wrapText="1"/>
    </xf>
    <xf numFmtId="179" fontId="2" fillId="0" borderId="22" xfId="0" applyNumberFormat="1" applyFont="1" applyBorder="1" applyAlignment="1">
      <alignment horizontal="center" vertical="center" wrapText="1"/>
    </xf>
    <xf numFmtId="184" fontId="2" fillId="0" borderId="22" xfId="0" applyNumberFormat="1" applyFont="1" applyBorder="1" applyAlignment="1">
      <alignment horizontal="center" vertical="center"/>
    </xf>
    <xf numFmtId="0" fontId="2" fillId="0" borderId="22" xfId="0" applyFont="1" applyBorder="1" applyAlignment="1">
      <alignment horizontal="center" vertical="center"/>
    </xf>
    <xf numFmtId="0" fontId="2" fillId="0" borderId="22" xfId="0" applyFont="1" applyBorder="1" applyAlignment="1">
      <alignment vertical="center"/>
    </xf>
    <xf numFmtId="0" fontId="2" fillId="0" borderId="33" xfId="0" applyFont="1" applyBorder="1" applyAlignment="1">
      <alignment vertical="center" wrapText="1"/>
    </xf>
    <xf numFmtId="2" fontId="2" fillId="0" borderId="17" xfId="1" applyNumberFormat="1" applyFont="1" applyFill="1" applyBorder="1" applyAlignment="1">
      <alignment horizontal="center" vertical="center"/>
    </xf>
    <xf numFmtId="0" fontId="2" fillId="0" borderId="36" xfId="0" applyFont="1" applyBorder="1" applyAlignment="1">
      <alignment vertical="center" wrapText="1"/>
    </xf>
    <xf numFmtId="2" fontId="2" fillId="0" borderId="33" xfId="0" applyNumberFormat="1" applyFont="1" applyBorder="1" applyAlignment="1">
      <alignment vertical="center" wrapText="1"/>
    </xf>
    <xf numFmtId="184" fontId="2" fillId="0" borderId="17" xfId="0" applyNumberFormat="1" applyFont="1" applyBorder="1" applyAlignment="1">
      <alignment horizontal="center" vertical="center" wrapText="1"/>
    </xf>
    <xf numFmtId="184" fontId="2" fillId="24" borderId="17" xfId="0" applyNumberFormat="1" applyFont="1" applyFill="1" applyBorder="1" applyAlignment="1">
      <alignment horizontal="center" vertical="center" wrapText="1"/>
    </xf>
    <xf numFmtId="184" fontId="47" fillId="24" borderId="17" xfId="0" applyNumberFormat="1" applyFont="1" applyFill="1" applyBorder="1" applyAlignment="1">
      <alignment horizontal="center" vertical="center" wrapText="1"/>
    </xf>
    <xf numFmtId="185" fontId="2" fillId="0" borderId="16" xfId="0" applyNumberFormat="1" applyFont="1" applyBorder="1" applyAlignment="1">
      <alignment horizontal="center" vertical="center" wrapText="1"/>
    </xf>
    <xf numFmtId="2" fontId="2" fillId="0" borderId="36" xfId="0" applyNumberFormat="1" applyFont="1" applyBorder="1" applyAlignment="1">
      <alignment vertical="center" wrapText="1"/>
    </xf>
    <xf numFmtId="184" fontId="2" fillId="0" borderId="23" xfId="0" applyNumberFormat="1" applyFont="1" applyBorder="1" applyAlignment="1">
      <alignment horizontal="center" vertical="center" wrapText="1"/>
    </xf>
    <xf numFmtId="58" fontId="2" fillId="0" borderId="23" xfId="0" applyNumberFormat="1" applyFont="1" applyFill="1" applyBorder="1" applyAlignment="1">
      <alignment horizontal="center" vertical="center"/>
    </xf>
    <xf numFmtId="184" fontId="2" fillId="0" borderId="22" xfId="0" applyNumberFormat="1" applyFont="1" applyBorder="1" applyAlignment="1">
      <alignment horizontal="center" vertical="center" wrapText="1"/>
    </xf>
    <xf numFmtId="0" fontId="2" fillId="0" borderId="22" xfId="0" applyFont="1" applyBorder="1" applyAlignment="1">
      <alignment vertical="center" wrapText="1"/>
    </xf>
    <xf numFmtId="0" fontId="2" fillId="16" borderId="17" xfId="0" applyFont="1" applyFill="1" applyBorder="1" applyAlignment="1">
      <alignment horizontal="center" vertical="center" wrapText="1"/>
    </xf>
    <xf numFmtId="184" fontId="2" fillId="15" borderId="17" xfId="0" applyNumberFormat="1" applyFont="1" applyFill="1" applyBorder="1" applyAlignment="1">
      <alignment horizontal="center" vertical="center"/>
    </xf>
    <xf numFmtId="0" fontId="2" fillId="0" borderId="35" xfId="0" applyFont="1" applyBorder="1" applyAlignment="1">
      <alignment horizontal="center" vertical="center" wrapText="1"/>
    </xf>
    <xf numFmtId="184" fontId="47" fillId="15" borderId="17" xfId="0" applyNumberFormat="1" applyFont="1" applyFill="1" applyBorder="1" applyAlignment="1">
      <alignment horizontal="center" vertical="center"/>
    </xf>
    <xf numFmtId="187" fontId="2" fillId="0" borderId="23" xfId="0" applyNumberFormat="1" applyFont="1" applyBorder="1" applyAlignment="1">
      <alignment horizontal="center" vertical="center"/>
    </xf>
    <xf numFmtId="2" fontId="47" fillId="0" borderId="17" xfId="1" applyNumberFormat="1" applyFont="1" applyFill="1" applyBorder="1" applyAlignment="1">
      <alignment horizontal="center" vertical="center"/>
    </xf>
    <xf numFmtId="179" fontId="47" fillId="0" borderId="16" xfId="0" applyNumberFormat="1" applyFont="1" applyBorder="1" applyAlignment="1">
      <alignment horizontal="center" vertical="center" wrapText="1"/>
    </xf>
    <xf numFmtId="0" fontId="2" fillId="15" borderId="23" xfId="0" applyFont="1" applyFill="1" applyBorder="1" applyAlignment="1">
      <alignment horizontal="center" vertical="center" wrapText="1"/>
    </xf>
    <xf numFmtId="2" fontId="45" fillId="0" borderId="33" xfId="0" applyNumberFormat="1" applyFont="1" applyBorder="1" applyAlignment="1">
      <alignment horizontal="center" vertical="center" wrapText="1"/>
    </xf>
    <xf numFmtId="0" fontId="2" fillId="0" borderId="37" xfId="0" applyFont="1" applyBorder="1" applyAlignment="1">
      <alignment horizontal="center" vertical="center"/>
    </xf>
    <xf numFmtId="0" fontId="2" fillId="0" borderId="38" xfId="0" applyFont="1" applyBorder="1" applyAlignment="1">
      <alignment horizontal="center" vertical="center"/>
    </xf>
    <xf numFmtId="16" fontId="2" fillId="0" borderId="23" xfId="0" applyNumberFormat="1" applyFont="1" applyBorder="1" applyAlignment="1">
      <alignment horizontal="center" vertical="center"/>
    </xf>
    <xf numFmtId="184" fontId="2" fillId="16" borderId="23" xfId="0" applyNumberFormat="1" applyFont="1" applyFill="1" applyBorder="1" applyAlignment="1">
      <alignment horizontal="center" vertical="center"/>
    </xf>
    <xf numFmtId="2" fontId="2" fillId="15" borderId="17" xfId="1" applyNumberFormat="1" applyFont="1" applyFill="1" applyBorder="1" applyAlignment="1">
      <alignment horizontal="center" vertical="center" wrapText="1"/>
    </xf>
    <xf numFmtId="184" fontId="47" fillId="0" borderId="23" xfId="0" applyNumberFormat="1" applyFont="1" applyBorder="1" applyAlignment="1">
      <alignment horizontal="center" vertical="center"/>
    </xf>
    <xf numFmtId="0" fontId="41" fillId="15" borderId="0" xfId="0" applyFont="1" applyFill="1" applyAlignment="1">
      <alignment horizontal="center" vertical="center"/>
    </xf>
    <xf numFmtId="184" fontId="47" fillId="0" borderId="16" xfId="0" applyNumberFormat="1" applyFont="1" applyBorder="1" applyAlignment="1">
      <alignment horizontal="center" vertical="center"/>
    </xf>
    <xf numFmtId="186" fontId="2" fillId="0" borderId="23" xfId="0" applyNumberFormat="1" applyFont="1" applyBorder="1" applyAlignment="1">
      <alignment horizontal="center" vertical="center"/>
    </xf>
    <xf numFmtId="186" fontId="48" fillId="16" borderId="23" xfId="0" applyNumberFormat="1" applyFont="1" applyFill="1" applyBorder="1" applyAlignment="1">
      <alignment horizontal="center" vertical="center"/>
    </xf>
    <xf numFmtId="0" fontId="45" fillId="18" borderId="22" xfId="0" applyFont="1" applyFill="1" applyBorder="1" applyAlignment="1">
      <alignment horizontal="center" vertical="center" wrapText="1"/>
    </xf>
    <xf numFmtId="0" fontId="2" fillId="18" borderId="23" xfId="0" applyFont="1" applyFill="1" applyBorder="1" applyAlignment="1">
      <alignment horizontal="center" vertical="center" wrapText="1"/>
    </xf>
    <xf numFmtId="0" fontId="2" fillId="25" borderId="23" xfId="0" applyFont="1" applyFill="1" applyBorder="1" applyAlignment="1">
      <alignment horizontal="center" vertical="center" wrapText="1"/>
    </xf>
    <xf numFmtId="0" fontId="2" fillId="18" borderId="38" xfId="0" applyFont="1" applyFill="1" applyBorder="1" applyAlignment="1">
      <alignment horizontal="center" vertical="center"/>
    </xf>
    <xf numFmtId="0" fontId="2" fillId="18" borderId="23" xfId="0" applyFont="1" applyFill="1" applyBorder="1" applyAlignment="1">
      <alignment horizontal="center" vertical="center"/>
    </xf>
    <xf numFmtId="0" fontId="2" fillId="18" borderId="22" xfId="0" applyFont="1" applyFill="1" applyBorder="1" applyAlignment="1">
      <alignment horizontal="center" vertical="center" wrapText="1"/>
    </xf>
    <xf numFmtId="0" fontId="2" fillId="18" borderId="17" xfId="0" applyFont="1" applyFill="1" applyBorder="1" applyAlignment="1">
      <alignment horizontal="center" vertical="center" wrapText="1"/>
    </xf>
    <xf numFmtId="0" fontId="2" fillId="18" borderId="23" xfId="0" applyFont="1" applyFill="1" applyBorder="1" applyAlignment="1">
      <alignment horizontal="left" vertical="center" wrapText="1"/>
    </xf>
    <xf numFmtId="184" fontId="2" fillId="18" borderId="23" xfId="0" applyNumberFormat="1" applyFont="1" applyFill="1" applyBorder="1" applyAlignment="1">
      <alignment horizontal="center" vertical="center"/>
    </xf>
    <xf numFmtId="179" fontId="2" fillId="18" borderId="22" xfId="0" applyNumberFormat="1" applyFont="1" applyFill="1" applyBorder="1" applyAlignment="1">
      <alignment horizontal="center" vertical="center" wrapText="1"/>
    </xf>
    <xf numFmtId="184" fontId="2" fillId="18" borderId="17" xfId="0" applyNumberFormat="1" applyFont="1" applyFill="1" applyBorder="1" applyAlignment="1">
      <alignment horizontal="center" vertical="center"/>
    </xf>
    <xf numFmtId="184" fontId="2" fillId="18" borderId="22" xfId="0" applyNumberFormat="1" applyFont="1" applyFill="1" applyBorder="1" applyAlignment="1">
      <alignment horizontal="center" vertical="center"/>
    </xf>
    <xf numFmtId="0" fontId="2" fillId="18" borderId="22" xfId="0" applyFont="1" applyFill="1" applyBorder="1" applyAlignment="1">
      <alignment horizontal="center" vertical="center"/>
    </xf>
    <xf numFmtId="0" fontId="2" fillId="18" borderId="22" xfId="0" applyFont="1" applyFill="1" applyBorder="1" applyAlignment="1">
      <alignment vertical="center"/>
    </xf>
    <xf numFmtId="184" fontId="49" fillId="0" borderId="23" xfId="0" applyNumberFormat="1" applyFont="1" applyBorder="1" applyAlignment="1">
      <alignment horizontal="center" vertical="center"/>
    </xf>
    <xf numFmtId="2" fontId="2" fillId="0" borderId="23" xfId="1" applyNumberFormat="1" applyFont="1" applyFill="1" applyBorder="1" applyAlignment="1">
      <alignment horizontal="center" vertical="center" wrapText="1"/>
    </xf>
    <xf numFmtId="0" fontId="2" fillId="22" borderId="37" xfId="0" applyFont="1" applyFill="1" applyBorder="1" applyAlignment="1">
      <alignment horizontal="center" vertical="center"/>
    </xf>
    <xf numFmtId="0" fontId="2" fillId="22" borderId="38" xfId="0" applyFont="1" applyFill="1" applyBorder="1" applyAlignment="1">
      <alignment horizontal="center" vertical="center"/>
    </xf>
    <xf numFmtId="0" fontId="50" fillId="19" borderId="16" xfId="0" applyFont="1" applyFill="1" applyBorder="1" applyAlignment="1">
      <alignment horizontal="center" vertical="center" wrapText="1"/>
    </xf>
    <xf numFmtId="0" fontId="39" fillId="19" borderId="17" xfId="0" applyFont="1" applyFill="1" applyBorder="1" applyAlignment="1">
      <alignment horizontal="center" vertical="center" wrapText="1"/>
    </xf>
    <xf numFmtId="0" fontId="39" fillId="19" borderId="17" xfId="0" applyFont="1" applyFill="1" applyBorder="1" applyAlignment="1">
      <alignment horizontal="center" vertical="center"/>
    </xf>
    <xf numFmtId="2" fontId="50" fillId="19" borderId="33" xfId="0" applyNumberFormat="1" applyFont="1" applyFill="1" applyBorder="1" applyAlignment="1">
      <alignment horizontal="center" vertical="center" wrapText="1"/>
    </xf>
    <xf numFmtId="0" fontId="39" fillId="19" borderId="16" xfId="0" applyFont="1" applyFill="1" applyBorder="1" applyAlignment="1">
      <alignment horizontal="center" vertical="center" wrapText="1"/>
    </xf>
    <xf numFmtId="0" fontId="39" fillId="19" borderId="34" xfId="0" applyFont="1" applyFill="1" applyBorder="1" applyAlignment="1">
      <alignment horizontal="center" vertical="center" wrapText="1"/>
    </xf>
    <xf numFmtId="0" fontId="39" fillId="19" borderId="17" xfId="0" applyFont="1" applyFill="1" applyBorder="1" applyAlignment="1">
      <alignment horizontal="left" vertical="center" wrapText="1"/>
    </xf>
    <xf numFmtId="184" fontId="39" fillId="19" borderId="34" xfId="0" applyNumberFormat="1" applyFont="1" applyFill="1" applyBorder="1" applyAlignment="1">
      <alignment horizontal="center" vertical="center"/>
    </xf>
    <xf numFmtId="184" fontId="39" fillId="19" borderId="17" xfId="0" applyNumberFormat="1" applyFont="1" applyFill="1" applyBorder="1" applyAlignment="1">
      <alignment horizontal="center" vertical="center"/>
    </xf>
    <xf numFmtId="188" fontId="39" fillId="19" borderId="17" xfId="0" applyNumberFormat="1" applyFont="1" applyFill="1" applyBorder="1" applyAlignment="1">
      <alignment horizontal="center" vertical="center"/>
    </xf>
    <xf numFmtId="179" fontId="39" fillId="19" borderId="16" xfId="0" applyNumberFormat="1" applyFont="1" applyFill="1" applyBorder="1" applyAlignment="1">
      <alignment horizontal="center" vertical="center" wrapText="1"/>
    </xf>
    <xf numFmtId="184" fontId="39" fillId="19" borderId="16" xfId="0" applyNumberFormat="1" applyFont="1" applyFill="1" applyBorder="1" applyAlignment="1">
      <alignment horizontal="center" vertical="center"/>
    </xf>
    <xf numFmtId="185" fontId="39" fillId="19" borderId="16" xfId="0" applyNumberFormat="1" applyFont="1" applyFill="1" applyBorder="1" applyAlignment="1">
      <alignment horizontal="center" vertical="center"/>
    </xf>
    <xf numFmtId="0" fontId="39" fillId="19" borderId="16" xfId="0" applyFont="1" applyFill="1" applyBorder="1" applyAlignment="1">
      <alignment vertical="center"/>
    </xf>
    <xf numFmtId="186" fontId="39" fillId="19" borderId="35" xfId="0" applyNumberFormat="1" applyFont="1" applyFill="1" applyBorder="1" applyAlignment="1">
      <alignment horizontal="center" vertical="center" wrapText="1"/>
    </xf>
    <xf numFmtId="184" fontId="39" fillId="19" borderId="39" xfId="0" applyNumberFormat="1" applyFont="1" applyFill="1" applyBorder="1" applyAlignment="1">
      <alignment horizontal="center" vertical="center"/>
    </xf>
    <xf numFmtId="184" fontId="51" fillId="19" borderId="17" xfId="0" applyNumberFormat="1" applyFont="1" applyFill="1" applyBorder="1" applyAlignment="1">
      <alignment horizontal="center" vertical="center"/>
    </xf>
    <xf numFmtId="2" fontId="39" fillId="19" borderId="17" xfId="1" applyNumberFormat="1" applyFont="1" applyFill="1" applyBorder="1" applyAlignment="1">
      <alignment horizontal="center" vertical="center"/>
    </xf>
    <xf numFmtId="0" fontId="50" fillId="19" borderId="22" xfId="0" applyFont="1" applyFill="1" applyBorder="1" applyAlignment="1">
      <alignment horizontal="center" vertical="center" wrapText="1"/>
    </xf>
    <xf numFmtId="0" fontId="39" fillId="19" borderId="23" xfId="0" applyFont="1" applyFill="1" applyBorder="1" applyAlignment="1">
      <alignment horizontal="center" vertical="center" wrapText="1"/>
    </xf>
    <xf numFmtId="0" fontId="39" fillId="19" borderId="23" xfId="0" applyFont="1" applyFill="1" applyBorder="1" applyAlignment="1">
      <alignment horizontal="center" vertical="center"/>
    </xf>
    <xf numFmtId="184" fontId="39" fillId="19" borderId="40" xfId="0" applyNumberFormat="1" applyFont="1" applyFill="1" applyBorder="1" applyAlignment="1">
      <alignment horizontal="center" vertical="center"/>
    </xf>
    <xf numFmtId="0" fontId="39" fillId="19" borderId="22" xfId="0" applyFont="1" applyFill="1" applyBorder="1" applyAlignment="1">
      <alignment horizontal="center" vertical="center" wrapText="1"/>
    </xf>
    <xf numFmtId="0" fontId="39" fillId="19" borderId="23" xfId="0" applyFont="1" applyFill="1" applyBorder="1" applyAlignment="1">
      <alignment horizontal="left" vertical="center" wrapText="1"/>
    </xf>
    <xf numFmtId="184" fontId="39" fillId="19" borderId="23" xfId="0" applyNumberFormat="1" applyFont="1" applyFill="1" applyBorder="1" applyAlignment="1">
      <alignment horizontal="center" vertical="center"/>
    </xf>
    <xf numFmtId="0" fontId="39" fillId="19" borderId="22" xfId="0" applyFont="1" applyFill="1" applyBorder="1" applyAlignment="1">
      <alignment horizontal="center" vertical="center"/>
    </xf>
    <xf numFmtId="0" fontId="39" fillId="19" borderId="22" xfId="0" applyFont="1" applyFill="1" applyBorder="1" applyAlignment="1">
      <alignment vertical="center"/>
    </xf>
    <xf numFmtId="49" fontId="2" fillId="0" borderId="22" xfId="0" applyNumberFormat="1" applyFont="1" applyBorder="1" applyAlignment="1">
      <alignment horizontal="center" vertical="center" wrapText="1"/>
    </xf>
    <xf numFmtId="184" fontId="45" fillId="0" borderId="17" xfId="0" applyNumberFormat="1" applyFont="1" applyBorder="1" applyAlignment="1">
      <alignment horizontal="center" vertical="center"/>
    </xf>
    <xf numFmtId="185" fontId="47" fillId="0" borderId="16" xfId="0" applyNumberFormat="1" applyFont="1" applyBorder="1" applyAlignment="1">
      <alignment horizontal="center" vertical="center"/>
    </xf>
    <xf numFmtId="0" fontId="2" fillId="0" borderId="16" xfId="0" applyFont="1" applyBorder="1" applyAlignment="1">
      <alignment vertical="center" wrapText="1"/>
    </xf>
    <xf numFmtId="0" fontId="45" fillId="0" borderId="17" xfId="0" applyFont="1" applyBorder="1" applyAlignment="1">
      <alignment horizontal="center" vertical="center" wrapText="1"/>
    </xf>
    <xf numFmtId="0" fontId="52" fillId="0" borderId="16" xfId="0" applyFont="1" applyBorder="1" applyAlignment="1">
      <alignment vertical="center" wrapText="1"/>
    </xf>
    <xf numFmtId="0" fontId="45" fillId="0" borderId="23" xfId="0" applyFont="1" applyBorder="1" applyAlignment="1">
      <alignment horizontal="center" vertical="center" wrapText="1"/>
    </xf>
    <xf numFmtId="0" fontId="52" fillId="0" borderId="22" xfId="0" applyFont="1" applyBorder="1" applyAlignment="1">
      <alignment vertical="center" wrapText="1"/>
    </xf>
    <xf numFmtId="179" fontId="2" fillId="0" borderId="23" xfId="0" applyNumberFormat="1" applyFont="1" applyBorder="1" applyAlignment="1">
      <alignment vertical="center"/>
    </xf>
    <xf numFmtId="184" fontId="2" fillId="0" borderId="23" xfId="0" applyNumberFormat="1" applyFont="1" applyBorder="1" applyAlignment="1">
      <alignment vertical="center" wrapText="1"/>
    </xf>
    <xf numFmtId="0" fontId="2" fillId="0" borderId="33" xfId="0" applyFont="1" applyBorder="1" applyAlignment="1">
      <alignment vertical="center"/>
    </xf>
    <xf numFmtId="0" fontId="2" fillId="0" borderId="36" xfId="0" applyFont="1" applyBorder="1" applyAlignment="1">
      <alignment vertical="center"/>
    </xf>
    <xf numFmtId="184" fontId="47" fillId="23" borderId="23" xfId="0" applyNumberFormat="1" applyFont="1" applyFill="1" applyBorder="1" applyAlignment="1">
      <alignment horizontal="center" vertical="center"/>
    </xf>
    <xf numFmtId="49" fontId="2" fillId="0" borderId="16" xfId="0" applyNumberFormat="1" applyFont="1" applyBorder="1" applyAlignment="1">
      <alignment horizontal="center" vertical="center" wrapText="1"/>
    </xf>
    <xf numFmtId="184" fontId="2" fillId="0" borderId="22" xfId="0" applyNumberFormat="1" applyFont="1" applyBorder="1" applyAlignment="1">
      <alignment vertical="center" wrapText="1"/>
    </xf>
    <xf numFmtId="0" fontId="40" fillId="7" borderId="0" xfId="0" applyFont="1" applyFill="1"/>
    <xf numFmtId="0" fontId="40" fillId="6" borderId="0" xfId="0" applyFont="1" applyFill="1"/>
    <xf numFmtId="0" fontId="40" fillId="26" borderId="0" xfId="0" applyFont="1" applyFill="1"/>
    <xf numFmtId="0" fontId="2" fillId="0" borderId="23" xfId="0" applyFont="1" applyBorder="1" applyAlignment="1" quotePrefix="1">
      <alignment horizontal="center"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 name="常规 3" xfId="51"/>
  </cellStyles>
  <dxfs count="9">
    <dxf>
      <fill>
        <patternFill patternType="solid">
          <bgColor rgb="FFFF0000"/>
        </patternFill>
      </fill>
    </dxf>
    <dxf>
      <fill>
        <patternFill patternType="solid">
          <bgColor rgb="FFFFC000"/>
        </patternFill>
      </fill>
    </dxf>
    <dxf>
      <fill>
        <patternFill patternType="solid">
          <bgColor theme="9" tint="0.599993896298105"/>
        </patternFill>
      </fill>
    </dxf>
    <dxf>
      <fill>
        <patternFill patternType="solid">
          <bgColor rgb="FFCCFFFF"/>
        </patternFill>
      </fill>
    </dxf>
    <dxf>
      <fill>
        <patternFill patternType="solid">
          <bgColor theme="5" tint="0.799340800195319"/>
        </patternFill>
      </fill>
    </dxf>
    <dxf>
      <font>
        <color rgb="FF9C0006"/>
      </font>
      <fill>
        <patternFill patternType="solid">
          <bgColor theme="9" tint="0.799340800195319"/>
        </patternFill>
      </fill>
    </dxf>
    <dxf>
      <font>
        <b val="1"/>
        <i val="0"/>
        <color rgb="FF9C0006"/>
      </font>
      <fill>
        <patternFill patternType="none"/>
      </fill>
    </dxf>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000000"/>
      <color rgb="00FFFF00"/>
      <color rgb="0092D05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8" Type="http://schemas.openxmlformats.org/officeDocument/2006/relationships/styles" Target="styles.xml"/><Relationship Id="rId47" Type="http://schemas.openxmlformats.org/officeDocument/2006/relationships/sheetMetadata" Target="metadata.xml"/><Relationship Id="rId46" Type="http://schemas.openxmlformats.org/officeDocument/2006/relationships/sharedStrings" Target="sharedStrings.xml"/><Relationship Id="rId45" Type="http://schemas.openxmlformats.org/officeDocument/2006/relationships/theme" Target="theme/theme1.xml"/><Relationship Id="rId44" Type="http://schemas.openxmlformats.org/officeDocument/2006/relationships/externalLink" Target="externalLinks/externalLink36.xml"/><Relationship Id="rId43" Type="http://schemas.openxmlformats.org/officeDocument/2006/relationships/externalLink" Target="externalLinks/externalLink35.xml"/><Relationship Id="rId42" Type="http://schemas.openxmlformats.org/officeDocument/2006/relationships/externalLink" Target="externalLinks/externalLink34.xml"/><Relationship Id="rId41" Type="http://schemas.openxmlformats.org/officeDocument/2006/relationships/externalLink" Target="externalLinks/externalLink33.xml"/><Relationship Id="rId40" Type="http://schemas.openxmlformats.org/officeDocument/2006/relationships/externalLink" Target="externalLinks/externalLink32.xml"/><Relationship Id="rId4" Type="http://schemas.openxmlformats.org/officeDocument/2006/relationships/worksheet" Target="worksheets/sheet4.xml"/><Relationship Id="rId39" Type="http://schemas.openxmlformats.org/officeDocument/2006/relationships/externalLink" Target="externalLinks/externalLink31.xml"/><Relationship Id="rId38" Type="http://schemas.openxmlformats.org/officeDocument/2006/relationships/externalLink" Target="externalLinks/externalLink30.xml"/><Relationship Id="rId37" Type="http://schemas.openxmlformats.org/officeDocument/2006/relationships/externalLink" Target="externalLinks/externalLink29.xml"/><Relationship Id="rId36" Type="http://schemas.openxmlformats.org/officeDocument/2006/relationships/externalLink" Target="externalLinks/externalLink28.xml"/><Relationship Id="rId35" Type="http://schemas.openxmlformats.org/officeDocument/2006/relationships/externalLink" Target="externalLinks/externalLink27.xml"/><Relationship Id="rId34" Type="http://schemas.openxmlformats.org/officeDocument/2006/relationships/externalLink" Target="externalLinks/externalLink26.xml"/><Relationship Id="rId33" Type="http://schemas.openxmlformats.org/officeDocument/2006/relationships/externalLink" Target="externalLinks/externalLink25.xml"/><Relationship Id="rId32" Type="http://schemas.openxmlformats.org/officeDocument/2006/relationships/externalLink" Target="externalLinks/externalLink24.xml"/><Relationship Id="rId31" Type="http://schemas.openxmlformats.org/officeDocument/2006/relationships/externalLink" Target="externalLinks/externalLink23.xml"/><Relationship Id="rId30" Type="http://schemas.openxmlformats.org/officeDocument/2006/relationships/externalLink" Target="externalLinks/externalLink22.xml"/><Relationship Id="rId3" Type="http://schemas.openxmlformats.org/officeDocument/2006/relationships/worksheet" Target="worksheets/sheet3.xml"/><Relationship Id="rId29" Type="http://schemas.openxmlformats.org/officeDocument/2006/relationships/externalLink" Target="externalLinks/externalLink21.xml"/><Relationship Id="rId28" Type="http://schemas.openxmlformats.org/officeDocument/2006/relationships/externalLink" Target="externalLinks/externalLink20.xml"/><Relationship Id="rId27" Type="http://schemas.openxmlformats.org/officeDocument/2006/relationships/externalLink" Target="externalLinks/externalLink19.xml"/><Relationship Id="rId26" Type="http://schemas.openxmlformats.org/officeDocument/2006/relationships/externalLink" Target="externalLinks/externalLink18.xml"/><Relationship Id="rId25" Type="http://schemas.openxmlformats.org/officeDocument/2006/relationships/externalLink" Target="externalLinks/externalLink17.xml"/><Relationship Id="rId24" Type="http://schemas.openxmlformats.org/officeDocument/2006/relationships/externalLink" Target="externalLinks/externalLink16.xml"/><Relationship Id="rId23" Type="http://schemas.openxmlformats.org/officeDocument/2006/relationships/externalLink" Target="externalLinks/externalLink15.xml"/><Relationship Id="rId22" Type="http://schemas.openxmlformats.org/officeDocument/2006/relationships/externalLink" Target="externalLinks/externalLink14.xml"/><Relationship Id="rId21" Type="http://schemas.openxmlformats.org/officeDocument/2006/relationships/externalLink" Target="externalLinks/externalLink13.xml"/><Relationship Id="rId20" Type="http://schemas.openxmlformats.org/officeDocument/2006/relationships/externalLink" Target="externalLinks/externalLink12.xml"/><Relationship Id="rId2" Type="http://schemas.openxmlformats.org/officeDocument/2006/relationships/worksheet" Target="worksheets/sheet2.xml"/><Relationship Id="rId19" Type="http://schemas.openxmlformats.org/officeDocument/2006/relationships/externalLink" Target="externalLinks/externalLink11.xml"/><Relationship Id="rId18" Type="http://schemas.openxmlformats.org/officeDocument/2006/relationships/externalLink" Target="externalLinks/externalLink10.xml"/><Relationship Id="rId17" Type="http://schemas.openxmlformats.org/officeDocument/2006/relationships/externalLink" Target="externalLinks/externalLink9.xml"/><Relationship Id="rId16" Type="http://schemas.openxmlformats.org/officeDocument/2006/relationships/externalLink" Target="externalLinks/externalLink8.xml"/><Relationship Id="rId15" Type="http://schemas.openxmlformats.org/officeDocument/2006/relationships/externalLink" Target="externalLinks/externalLink7.xml"/><Relationship Id="rId14" Type="http://schemas.openxmlformats.org/officeDocument/2006/relationships/externalLink" Target="externalLinks/externalLink6.xml"/><Relationship Id="rId13" Type="http://schemas.openxmlformats.org/officeDocument/2006/relationships/externalLink" Target="externalLinks/externalLink5.xml"/><Relationship Id="rId12" Type="http://schemas.openxmlformats.org/officeDocument/2006/relationships/externalLink" Target="externalLinks/externalLink4.xml"/><Relationship Id="rId11" Type="http://schemas.openxmlformats.org/officeDocument/2006/relationships/externalLink" Target="externalLinks/externalLink3.xml"/><Relationship Id="rId10" Type="http://schemas.openxmlformats.org/officeDocument/2006/relationships/externalLink" Target="externalLinks/externalLink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KMAR1\RIS\2268\LISTER\2268P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MM_Projects\2695%20Moss%20LNGC%20Conversion\Load%20Balance\2695%20Load%20Balance%20Intercross%202+%202%20STEAM%20TURBINES_05_05_2003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85.0.252\ATOE-Project\Prosjekt\3106\EIT\Electrical%20Documents\El.%20Consumerlist%20and%20LoadBalance\ConsumerList%20and%20Load%20Balance%20Golar%20Spirit%2018.05.2006%20Rev.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psgrwfn46\cvlong1$\DATA\NIGERIA\ECON\BONGA6EX.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85.0.252\ATOE-Project\sites\MISC-OBUPRM\NP\NP144-BRC\Bid%20Phase\02%20MISC-OCYAN%20Working%20Folder\00%20Technical\04%20Cost%20Estimation\Bill%20of%20Quantities%20(BOQ)\Topside%20BOQ\Planning&amp;report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D01\!EUDC\DATA\NIGERIA\ECON\1997\NIG97MD6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basf.sharepoint.com\Users\SONGHT\Desktop\Prefeed%20TDS%20Template\E-P-MC%20010%20TDS\Internals-tray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201.55\toyo\Data\ThdInd\Thd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4221\ba442pgfs\QATAR\CALCFILE\LINE\QATAR_M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KFP-FIL01\PROARC\Estimation\BU%20Felles\06_Procurement\Projects\1001%20SMART%2001%20RELIANCE%20MA%20FIELD%20DEVELOPMENT\Procurement\PMP%20-%20MEL\20072301%20PMP_AFP%20RELIANC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Y:\02_Engineering(Working)\01_Process\01%20Owner%20input%20and%20MOM\FORMAT\STATIC\BIG_AA-V061-V1X-MC-100-C1XXX-R2_0-D-01-TDS%20for%20C1XXX%20C2XXX%20Towers.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GPP5-6\EXCEL\UTY-CNS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QATAR\OPE_MA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00%20Deliverable\1.5%20Fluid%20List\ED-C00-PRS-LST-0002%20Fluid%20List%20%20R0-15010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6%20Equipment%20List\PRS-IDI-001-Equipment%20list-0A-141208.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ec035\d\Calgon\loaddt2.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LISTELEC1"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Material_balance_100kT_11.5_Rev9%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85.0.252\ATOE-Project\Documents%20and%20Settings\hnss\Local%20Settings\Temporary%20Internet%20Files\OLK3A4\valve%20list%20m%20layout%2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odfs\data\Documents%20and%20Settings\user\Desktop\GTC%20TECHNIP\GTC%20TECHNIP%20PS%201700.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T:\EVERYONE\QTP\INST\P.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CDB4DF4\Expander%20Suction%20Drum%20datasheet%20Rev%20D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oppfil014\ho_n3os\225_Process\Work085\Berenice\YDS-20A_B\YDS-20A_B%20HP_MP%20Steam%20Desuperheater%20Calc%20Coversheet%20Rev%20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YUKONG\SILHAENG\SEOUL\PRO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QILIN_Calcul_dimensionnement_Rev%20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ec-server11\toyo\My%20Documents\Line%20(DeC3%20OVH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92.168.201.55\toyo\Documentum\JLU\Protection\LIST030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WORKING%20FILE\INTERNATIONAL\technip-coflexip\moho%20bilondo\revised%20format\disk%201%20rev.%20format\TEPC%202197-SC002-EXB-Mech-BOQ-rev0%20(submissio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ttp:\www1.mwk.com\machinery\forms\datashts\Revised%20l551aeds%20New%20Log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Retour%20WPC\PR\List%20of%20utility-\TO%20ARKEMA\9-9\Power%20Balanc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EVERYONE\QTP\INST\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85.0.252\ATOE-Project\WORKING%20FILE\INTERNATIONAL\technip-coflexip\moho%20bilondo\revised%20format\disk%201%20rev.%20format\TEPC%202197-SC002-EXB-Mech-BOQ-rev0%20(submissio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03049D\Pcm\Cost\Subcon%20ITB\My%20Documents\CIVIL\&#53664;&#47785;&#44204;&#51201;\#2CDU&#49892;&#54665;.xls" TargetMode="External"/></Relationships>
</file>

<file path=xl/externalLinks/_rels/externalLink35.xml.rels><?xml version="1.0" encoding="UTF-8" standalone="yes"?>
<Relationships xmlns="http://schemas.openxmlformats.org/package/2006/relationships"><Relationship Id="rId3" Type="http://schemas.openxmlformats.org/officeDocument/2006/relationships/externalLinkPath" Target="file:///\\..\Week%2026\Attachment%202-Procurement%20Plan-ASK-20260918.xlsx" TargetMode="External"/><Relationship Id="rId2" Type="http://schemas.openxmlformats.org/officeDocument/2006/relationships/externalLinkPath" Target="file:///C:\Users\User\Desktop\Weekly%20Report%20Meeting\Week%2026\Attachment%202-Procurement%20Plan-ASK-20260918.xlsx" TargetMode="External"/><Relationship Id="rId1" Type="http://schemas.openxmlformats.org/officeDocument/2006/relationships/externalLinkPath" Target="\Users\User\Desktop\Weekly%20Report%20Meeting\Week%2026\Attachment%202-Procurement%20Plan-ASK-20260918.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Users\Administrator\Desktop\Procurement%20Plan\Procurement%20Plan-ROS-19%20Mar-%20LLI.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List"/>
      <sheetName val="Legend"/>
      <sheetName val="Sheet1"/>
      <sheetName val="Cashflow Analysis"/>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2695 Intercross STEAM TURBINE"/>
      <sheetName val="2695 Intercross Fuel Cost Calc."/>
      <sheetName val="2695 Intercross STEAM Load Bal."/>
      <sheetName val="WIP"/>
      <sheetName val="Consumer List and Load B"/>
    </sheetNames>
    <sheetDataSet>
      <sheetData sheetId="0" refreshError="1"/>
      <sheetData sheetId="1" refreshError="1"/>
      <sheetData sheetId="2"/>
      <sheetData sheetId="3" refreshError="1"/>
      <sheetData sheetId="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front page"/>
      <sheetName val="Description"/>
      <sheetName val="Summary"/>
      <sheetName val="Consumer List and Load B"/>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Economic setup"/>
      <sheetName val="Summary Results"/>
      <sheetName val="P&amp;B Summary"/>
      <sheetName val="Sensitivities"/>
      <sheetName val="Cashflow Analysis"/>
      <sheetName val="Data 1 "/>
      <sheetName val="Details"/>
      <sheetName val="Summary"/>
      <sheetName val="FA1A1 Ground"/>
      <sheetName val="FA1A0 Concrete Pad"/>
      <sheetName val="FA1A3 Teflon"/>
      <sheetName val="FA1B0 PACA"/>
      <sheetName val="QAQC"/>
      <sheetName val="SC140 Loadout Weighing Ballast"/>
      <sheetName val="SC160 Ext Cleaning PIP"/>
      <sheetName val="SC140 Port Dues"/>
      <sheetName val="SC220 GRE Subc"/>
      <sheetName val="SC230 Galv"/>
      <sheetName val="SC251 High Voltage Cable"/>
      <sheetName val="SC260 RT Estructural "/>
      <sheetName val="SC400 Rolling &amp; Machining"/>
      <sheetName val="SC260 RT Piping"/>
      <sheetName val="SC270 Elevator"/>
      <sheetName val="SC450 UVIE"/>
      <sheetName val="SC480 Calibration"/>
      <sheetName val="SC490 Launch Cradle"/>
      <sheetName val="SC510 Leak-Test ER"/>
      <sheetName val="Rental Equipment"/>
      <sheetName val="FA5BE NDE cons STR"/>
      <sheetName val="  FA5BB E&amp;I Consumables"/>
      <sheetName val="FA5AB Building"/>
      <sheetName val="FA5AB Seafastening"/>
      <sheetName val="FA5AB Const Aids"/>
      <sheetName val="FA5AC Grillage L. Bridge"/>
      <sheetName val="SC500 TIMBER"/>
      <sheetName val="FA5AD  DSF"/>
      <sheetName val="FA5D Barge Skidways"/>
      <sheetName val="FA5BA Hydro Test"/>
      <sheetName val="FA5BA Hydro Test (Inertized)"/>
      <sheetName val="FA5BD Consumables"/>
      <sheetName val="FA5BD GRE Consumables"/>
      <sheetName val="FA5BF Blasting"/>
      <sheetName val="FA5BG (PWHT)"/>
      <sheetName val="FA8B1 DownTime "/>
      <sheetName val="Toilet"/>
      <sheetName val="Yard Office"/>
      <sheetName val="MDR Office"/>
      <sheetName val="Client Office PEM"/>
      <sheetName val="Client Office GE"/>
      <sheetName val="Rate Forecasts"/>
      <sheetName val="SC220 GRE Trainning"/>
      <sheetName val="PopLists"/>
      <sheetName val="Sensitivity classification"/>
      <sheetName val="Impact"/>
      <sheetName val="Book Earnings and ROCE"/>
      <sheetName val="Cashflow and Earnings Profile"/>
      <sheetName val="Inflation"/>
      <sheetName val="Prices"/>
      <sheetName val="Block 316  12-2-96"/>
      <sheetName val="Block 212  8-22-96"/>
      <sheetName val="Govt Take"/>
      <sheetName val="Drilling"/>
      <sheetName val="Transportation"/>
      <sheetName val="Exxon Cashflow"/>
      <sheetName val="Social Cashflow"/>
      <sheetName val="PPT graphic"/>
      <sheetName val="Schedules"/>
      <sheetName val="Data initialization"/>
      <sheetName val="Book calculations"/>
      <sheetName val="Block 212  5-15-96"/>
      <sheetName val="Module1"/>
      <sheetName val="FOREX Table"/>
      <sheetName val="EAGLE LOUISIANA VOs"/>
      <sheetName val="EAGLE TEXAS VOs"/>
      <sheetName val="Overview"/>
      <sheetName val="Sum DRAFT"/>
      <sheetName val="Allowance"/>
      <sheetName val="Actuals"/>
      <sheetName val="Expend"/>
      <sheetName val="PMT11"/>
      <sheetName val="PMT10"/>
      <sheetName val="CA11"/>
      <sheetName val="CA10"/>
      <sheetName val="3P"/>
      <sheetName val="NCA MP"/>
      <sheetName val="ConRD"/>
      <sheetName val="PMT Bdgt"/>
      <sheetName val="CA Bdgt"/>
      <sheetName val="3P Bdgt"/>
      <sheetName val="BD Bdgt DRAFT"/>
      <sheetName val="RATES P&amp;B10"/>
      <sheetName val="RATES P&amp;B11"/>
      <sheetName val="XE"/>
      <sheetName val="Input"/>
      <sheetName val="FTE G2 to G3"/>
      <sheetName val="Economic_setup"/>
      <sheetName val="SummaryTable"/>
      <sheetName val="Summary_Results"/>
      <sheetName val="P&amp;B_Summary"/>
      <sheetName val="Cashflow_Analysis"/>
      <sheetName val="Sheet1"/>
      <sheetName val="Economic_setup1"/>
      <sheetName val="Summary_Results1"/>
      <sheetName val="P&amp;B_Summary1"/>
      <sheetName val="Cashflow_Analysis1"/>
      <sheetName val="Sensitivity_classification"/>
      <sheetName val="Fechas, costes lab y coef"/>
      <sheetName val="Sched-Sum"/>
      <sheetName val="FitOutConfCentre"/>
      <sheetName val="Change Order Categorization"/>
      <sheetName val="Cost Centre"/>
      <sheetName val="PHST"/>
      <sheetName val="Sheet3"/>
      <sheetName val="PC - E,P.C&amp;I"/>
      <sheetName val="Opex_Data_Base_New"/>
      <sheetName val="Book_Earnings_and_ROCE"/>
      <sheetName val="Cashflow_and_Earnings_Profile"/>
      <sheetName val="Block_316__12-2-96"/>
      <sheetName val="Block_212__8-22-96"/>
      <sheetName val="Govt_Take"/>
      <sheetName val="Exxon_Cashflow"/>
      <sheetName val="Social_Cashflow"/>
      <sheetName val="PPT_graphic"/>
      <sheetName val="Data_initialization"/>
      <sheetName val="Book_calculations"/>
      <sheetName val="Block_212__5-15-96"/>
      <sheetName val="Sum_DRAFT"/>
      <sheetName val="NCA_MP"/>
      <sheetName val="PMT_Bdgt"/>
      <sheetName val="CA_Bdgt"/>
      <sheetName val="3P_Bdgt"/>
      <sheetName val="BD_Bdgt_DRAFT"/>
      <sheetName val="RATES_P&amp;B10"/>
      <sheetName val="RATES_P&amp;B11"/>
      <sheetName val="FOREX_Table"/>
      <sheetName val="Change_Order_Categorization"/>
      <sheetName val="Cost_Centre"/>
      <sheetName val="Exchange Rates"/>
      <sheetName val="Staffing"/>
      <sheetName val="Code Mob Chart"/>
      <sheetName val="Spares LB"/>
      <sheetName val="Spares RL"/>
      <sheetName val="Code_Mob_Chart"/>
      <sheetName val=""/>
      <sheetName val="Sheet2"/>
      <sheetName val="LU"/>
      <sheetName val="4 x 5 MTA 2018 start up"/>
      <sheetName val="List2"/>
      <sheetName val="Simplified Escalation"/>
      <sheetName val="Dropdown Lists"/>
      <sheetName val="Lists"/>
      <sheetName val="DO NO DELETE"/>
      <sheetName val="Case Names"/>
      <sheetName val="Cash Flow Engine"/>
      <sheetName val="Inputs Outputs"/>
      <sheetName val="Look Ups"/>
      <sheetName val="Foreign Currency Exposure"/>
      <sheetName val="Economic_setup2"/>
      <sheetName val="Summary_Results2"/>
      <sheetName val="P&amp;B_Summary2"/>
      <sheetName val="Cashflow_Analysis2"/>
      <sheetName val="Data_1_"/>
      <sheetName val="FA1A1_Ground"/>
      <sheetName val="FA1A0_Concrete_Pad"/>
      <sheetName val="FA1A3_Teflon"/>
      <sheetName val="FA1B0_PACA"/>
      <sheetName val="SC140_Loadout_Weighing_Ballast"/>
      <sheetName val="SC160_Ext_Cleaning_PIP"/>
      <sheetName val="SC140_Port_Dues"/>
      <sheetName val="SC220_GRE_Subc"/>
      <sheetName val="SC230_Galv"/>
      <sheetName val="SC251_High_Voltage_Cable"/>
      <sheetName val="SC260_RT_Estructural_"/>
      <sheetName val="SC400_Rolling_&amp;_Machining"/>
      <sheetName val="SC260_RT_Piping"/>
      <sheetName val="SC270_Elevator"/>
      <sheetName val="SC450_UVIE"/>
      <sheetName val="SC480_Calibration"/>
      <sheetName val="SC490_Launch_Cradle"/>
      <sheetName val="SC510_Leak-Test_ER"/>
      <sheetName val="Rental_Equipment"/>
      <sheetName val="FA5BE_NDE_cons_STR"/>
      <sheetName val="__FA5BB_E&amp;I_Consumables"/>
      <sheetName val="FA5AB_Building"/>
      <sheetName val="FA5AB_Seafastening"/>
      <sheetName val="FA5AB_Const_Aids"/>
      <sheetName val="FA5AC_Grillage_L__Bridge"/>
      <sheetName val="SC500_TIMBER"/>
      <sheetName val="FA5AD__DSF"/>
      <sheetName val="FA5D_Barge_Skidways"/>
      <sheetName val="FA5BA_Hydro_Test"/>
      <sheetName val="FA5BA_Hydro_Test_(Inertized)"/>
      <sheetName val="FA5BD_Consumables"/>
      <sheetName val="FA5BD_GRE_Consumables"/>
      <sheetName val="FA5BF_Blasting"/>
      <sheetName val="FA5BG_(PWHT)"/>
      <sheetName val="FA8B1_DownTime_"/>
      <sheetName val="Yard_Office"/>
      <sheetName val="MDR_Office"/>
      <sheetName val="Client_Office_PEM"/>
      <sheetName val="Client_Office_GE"/>
      <sheetName val="Rate_Forecasts"/>
      <sheetName val="SC220_GRE_Trainning"/>
      <sheetName val="Sensitivity_classification1"/>
      <sheetName val="Fechas,_costes_lab_y_coef"/>
      <sheetName val="Book_Earnings_and_ROCE1"/>
      <sheetName val="Cashflow_and_Earnings_Profile1"/>
      <sheetName val="Block_316__12-2-961"/>
      <sheetName val="Block_212__8-22-961"/>
      <sheetName val="Govt_Take1"/>
      <sheetName val="Exxon_Cashflow1"/>
      <sheetName val="Social_Cashflow1"/>
      <sheetName val="PPT_graphic1"/>
      <sheetName val="Data_initialization1"/>
      <sheetName val="Book_calculations1"/>
      <sheetName val="Block_212__5-15-961"/>
      <sheetName val="Sum_DRAFT1"/>
      <sheetName val="NCA_MP1"/>
      <sheetName val="PMT_Bdgt1"/>
      <sheetName val="CA_Bdgt1"/>
      <sheetName val="3P_Bdgt1"/>
      <sheetName val="BD_Bdgt_DRAFT1"/>
      <sheetName val="RATES_P&amp;B101"/>
      <sheetName val="RATES_P&amp;B111"/>
      <sheetName val="FOREX_Table1"/>
      <sheetName val="Change_Order_Categorization1"/>
      <sheetName val="Cost_Centre1"/>
      <sheetName val="PC_-_E,P_C&amp;I"/>
      <sheetName val="Spares_LB"/>
      <sheetName val="Spares_RL"/>
      <sheetName val="EAGLE_LOUISIANA_VOs"/>
      <sheetName val="EAGLE_TEXAS_VOs"/>
      <sheetName val="FTE_G2_to_G3"/>
      <sheetName val="Exchange_Rates"/>
      <sheetName val="Foreign_Currency_Exposure"/>
      <sheetName val="Economic_setup3"/>
      <sheetName val="Summary_Results3"/>
      <sheetName val="P&amp;B_Summary3"/>
      <sheetName val="Cashflow_Analysis3"/>
      <sheetName val="Data_1_1"/>
      <sheetName val="FA1A1_Ground1"/>
      <sheetName val="FA1A0_Concrete_Pad1"/>
      <sheetName val="FA1A3_Teflon1"/>
      <sheetName val="FA1B0_PACA1"/>
      <sheetName val="SC140_Loadout_Weighing_Ballast1"/>
      <sheetName val="SC160_Ext_Cleaning_PIP1"/>
      <sheetName val="SC140_Port_Dues1"/>
      <sheetName val="SC220_GRE_Subc1"/>
      <sheetName val="SC230_Galv1"/>
      <sheetName val="SC251_High_Voltage_Cable1"/>
      <sheetName val="SC260_RT_Estructural_1"/>
      <sheetName val="SC400_Rolling_&amp;_Machining1"/>
      <sheetName val="SC260_RT_Piping1"/>
      <sheetName val="SC270_Elevator1"/>
      <sheetName val="SC450_UVIE1"/>
      <sheetName val="SC480_Calibration1"/>
      <sheetName val="SC490_Launch_Cradle1"/>
      <sheetName val="SC510_Leak-Test_ER1"/>
      <sheetName val="Rental_Equipment1"/>
      <sheetName val="FA5BE_NDE_cons_STR1"/>
      <sheetName val="__FA5BB_E&amp;I_Consumables1"/>
      <sheetName val="FA5AB_Building1"/>
      <sheetName val="FA5AB_Seafastening1"/>
      <sheetName val="FA5AB_Const_Aids1"/>
      <sheetName val="FA5AC_Grillage_L__Bridge1"/>
      <sheetName val="SC500_TIMBER1"/>
      <sheetName val="FA5AD__DSF1"/>
      <sheetName val="FA5D_Barge_Skidways1"/>
      <sheetName val="FA5BA_Hydro_Test1"/>
      <sheetName val="FA5BA_Hydro_Test_(Inertized)1"/>
      <sheetName val="FA5BD_Consumables1"/>
      <sheetName val="FA5BD_GRE_Consumables1"/>
      <sheetName val="FA5BF_Blasting1"/>
      <sheetName val="FA5BG_(PWHT)1"/>
      <sheetName val="FA8B1_DownTime_1"/>
      <sheetName val="Yard_Office1"/>
      <sheetName val="MDR_Office1"/>
      <sheetName val="Client_Office_PEM1"/>
      <sheetName val="Client_Office_GE1"/>
      <sheetName val="Rate_Forecasts1"/>
      <sheetName val="SC220_GRE_Trainning1"/>
      <sheetName val="Sensitivity_classification2"/>
      <sheetName val="Fechas,_costes_lab_y_coef1"/>
      <sheetName val="Book_Earnings_and_ROCE2"/>
      <sheetName val="Cashflow_and_Earnings_Profile2"/>
      <sheetName val="Block_316__12-2-962"/>
      <sheetName val="Block_212__8-22-962"/>
      <sheetName val="Govt_Take2"/>
      <sheetName val="Exxon_Cashflow2"/>
      <sheetName val="Social_Cashflow2"/>
      <sheetName val="PPT_graphic2"/>
      <sheetName val="Data_initialization2"/>
      <sheetName val="Book_calculations2"/>
      <sheetName val="Block_212__5-15-962"/>
      <sheetName val="Sum_DRAFT2"/>
      <sheetName val="NCA_MP2"/>
      <sheetName val="PMT_Bdgt2"/>
      <sheetName val="CA_Bdgt2"/>
      <sheetName val="3P_Bdgt2"/>
      <sheetName val="BD_Bdgt_DRAFT2"/>
      <sheetName val="RATES_P&amp;B102"/>
      <sheetName val="RATES_P&amp;B112"/>
      <sheetName val="FOREX_Table2"/>
      <sheetName val="Change_Order_Categorization2"/>
      <sheetName val="Cost_Centre2"/>
      <sheetName val="PC_-_E,P_C&amp;I1"/>
      <sheetName val="Spares_LB1"/>
      <sheetName val="Spares_RL1"/>
      <sheetName val="EAGLE_LOUISIANA_VOs1"/>
      <sheetName val="EAGLE_TEXAS_VOs1"/>
      <sheetName val="FTE_G2_to_G31"/>
      <sheetName val="Notes"/>
      <sheetName val="Cashflow"/>
      <sheetName val="AR"/>
      <sheetName val="AR May"/>
      <sheetName val="AR LIVE"/>
      <sheetName val="Rec"/>
      <sheetName val="Taxes"/>
      <sheetName val="AR 0307 - July"/>
      <sheetName val="AR 3006 - July"/>
      <sheetName val="Ithaca"/>
      <sheetName val="Arctic repayments"/>
      <sheetName val="Kestrel repayments"/>
      <sheetName val="Other PMTs"/>
      <sheetName val="Phoenix"/>
      <sheetName val="Seagreen"/>
      <sheetName val="Vega"/>
      <sheetName val="Brazil"/>
      <sheetName val="Forward FX Rates"/>
      <sheetName val="Calendar"/>
      <sheetName val="Instruction"/>
      <sheetName val="Budget Percentage"/>
      <sheetName val="Budget Summary"/>
      <sheetName val="Budget Summary by Month"/>
      <sheetName val="OOK PMT AS SOLD"/>
      <sheetName val="OOK ENG AS SOLD"/>
      <sheetName val="IK PMT AS SOLD "/>
      <sheetName val="OOK PMT FORECAST"/>
      <sheetName val="ZCL DATA run on 18012021"/>
      <sheetName val="OOK ENG FORECAST"/>
      <sheetName val="Variance"/>
      <sheetName val="IK PMTENG FORECAST"/>
      <sheetName val="IK - Saudi Interns"/>
      <sheetName val="WBR 2020"/>
      <sheetName val="ZCL DATA TRANSFERRED"/>
      <sheetName val="Escalation"/>
      <sheetName val="WBR2019"/>
      <sheetName val="Project Exchange"/>
      <sheetName val="OOK PMT MANPOWER AS SOLD"/>
      <sheetName val="OOK ENG MANPOWER AS SOLD"/>
      <sheetName val="IK PMT MANPOWER AS SOLD"/>
      <sheetName val="Staffing - 47"/>
      <sheetName val="Staffing - 48"/>
      <sheetName val="Staffing - 49"/>
      <sheetName val="Accruals file"/>
      <sheetName val="PMSR"/>
      <sheetName val="PMSR ACWP"/>
      <sheetName val="SAP"/>
      <sheetName val="SAP PT"/>
      <sheetName val="RCE"/>
      <sheetName val="Packs"/>
      <sheetName val="SAP for check"/>
      <sheetName val="SAP for check PT"/>
      <sheetName val="REVENUE REC"/>
      <sheetName val="Procurement"/>
      <sheetName val="SAP check PT"/>
      <sheetName val="First Sheet"/>
      <sheetName val="CURRENCY"/>
      <sheetName val="PC_-_E,P_C&amp;I2"/>
      <sheetName val="Exchange_Rates1"/>
      <sheetName val="data"/>
      <sheetName val="MTO"/>
      <sheetName val="A. TUBULARS &amp; CONES_R01_200511"/>
      <sheetName val="B. SEAMLESS PIPES_R01_200511"/>
      <sheetName val="D. PLATES_R01_200511"/>
      <sheetName val="C. ROLLED SHAPES_R01_200511"/>
      <sheetName val="F. FASTENES_R01_200511"/>
      <sheetName val="G. GRATING &amp; TREAD_R01_200511"/>
      <sheetName val="MEC R01"/>
      <sheetName val="M. MISCELLANEOUS_R01_200511"/>
      <sheetName val="JAN 2019"/>
      <sheetName val="FEB 2019"/>
      <sheetName val="MAR 2019"/>
      <sheetName val="APR 2019"/>
      <sheetName val="MAY 2019"/>
      <sheetName val="JUN 2019"/>
      <sheetName val="JUL 2019"/>
      <sheetName val="AUG 2019"/>
      <sheetName val="SEP 2019"/>
      <sheetName val="OCT 2019"/>
      <sheetName val="NOV 2019"/>
      <sheetName val="DEC 2019"/>
      <sheetName val="Input Data"/>
      <sheetName val="2. Price Sheet"/>
      <sheetName val="Data painting"/>
      <sheetName val="A"/>
      <sheetName val="WIP"/>
      <sheetName val="BQMPALOC"/>
      <sheetName val="CutOffDates"/>
      <sheetName val="TIPO 1"/>
      <sheetName val="BQMP"/>
      <sheetName val="Data_painting"/>
      <sheetName val="4_x_5_MTA_2018_start_up"/>
      <sheetName val="Data_painting1"/>
      <sheetName val="Code_Mob_Chart1"/>
      <sheetName val="4_x_5_MTA_2018_start_up1"/>
      <sheetName val="갑지"/>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BM"/>
      <sheetName val="Wellhrs"/>
      <sheetName val="LISTE DEROULANTE"/>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sheetData sheetId="59"/>
      <sheetData sheetId="60" refreshError="1"/>
      <sheetData sheetId="61"/>
      <sheetData sheetId="62"/>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refreshError="1"/>
      <sheetData sheetId="433"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FWBS 9000"/>
      <sheetName val="A000"/>
      <sheetName val="FWBS A000"/>
      <sheetName val="B000"/>
      <sheetName val="FWBS B000"/>
      <sheetName val="Z000"/>
      <sheetName val="FWBS Z000"/>
      <sheetName val="SUMMARY"/>
      <sheetName val="3000-A"/>
      <sheetName val="5000-A"/>
      <sheetName val="6000-A"/>
      <sheetName val="9000-A"/>
      <sheetName val="管道资料"/>
      <sheetName val="9DATA"/>
      <sheetName val="A000-A"/>
      <sheetName val="0DATA"/>
      <sheetName val="9管道资料"/>
      <sheetName val="TYPE-A"/>
      <sheetName val="Final(1)summary"/>
      <sheetName val="12CGOU"/>
      <sheetName val="B"/>
      <sheetName val="Chart"/>
      <sheetName val="COA-17"/>
      <sheetName val="C-18"/>
      <sheetName val="95신규호표"/>
      <sheetName val="SALA-002"/>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Cash2"/>
      <sheetName val="Z"/>
      <sheetName val="A"/>
      <sheetName val="INVOICE_CERT EIV'S"/>
      <sheetName val="산근"/>
      <sheetName val="Planning&amp;reporting"/>
      <sheetName val="DRUM"/>
      <sheetName val="집계표"/>
      <sheetName val="EE-PROP"/>
      <sheetName val="PNTEXT"/>
      <sheetName val="Basic"/>
      <sheetName val="Building BD"/>
      <sheetName val="Onerous Terms"/>
      <sheetName val="0000"/>
      <sheetName val="EQUIPMENT"/>
      <sheetName val="실제 도면출도"/>
      <sheetName val="자금운영"/>
      <sheetName val="도"/>
      <sheetName val="jobhist"/>
      <sheetName val=" Sum"/>
      <sheetName val="INSTR"/>
      <sheetName val="嗔5喸5"/>
      <sheetName val="표지"/>
      <sheetName val="D-623D"/>
      <sheetName val="TTL"/>
      <sheetName val="MTP"/>
      <sheetName val="SOHAR(2nd)"/>
      <sheetName val="공사비 내역 (가)"/>
      <sheetName val="33628-Rev. A"/>
      <sheetName val="ENE-CAL"/>
      <sheetName val="plan&amp;section of foundation"/>
      <sheetName val="design criteria"/>
      <sheetName val="CAL"/>
      <sheetName val="대비표"/>
      <sheetName val="#REF"/>
      <sheetName val="w't table"/>
      <sheetName val="BQMP"/>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CASH"/>
      <sheetName val="PRO_DCI"/>
      <sheetName val="INST_DCI"/>
      <sheetName val="HVAC_DCI"/>
      <sheetName val="PIPE_DCI"/>
      <sheetName val="DESCRIPTION"/>
      <sheetName val="BM DATA SHEET"/>
      <sheetName val="Eq. Mobilization"/>
      <sheetName val="당초"/>
      <sheetName val="Progress Tab"/>
      <sheetName val="BATCH"/>
      <sheetName val="具志川H社"/>
      <sheetName val="ORIGINAL"/>
      <sheetName val="공사비SUM"/>
      <sheetName val=""/>
      <sheetName val="입찰내역 발주처 양식"/>
      <sheetName val="BM"/>
      <sheetName val="집계표(OPTION)"/>
      <sheetName val="Sheet1"/>
      <sheetName val="기계내역서"/>
      <sheetName val="合成単価作成表-BLDG"/>
      <sheetName val="WIP"/>
      <sheetName val="REINF."/>
      <sheetName val="SKETCH"/>
      <sheetName val="기성내역"/>
      <sheetName val="INVOICE_CERT_EIV'S"/>
      <sheetName val="LinerWt"/>
      <sheetName val="Sheet4"/>
      <sheetName val="M 11"/>
      <sheetName val="PIPING"/>
      <sheetName val="Sheet13"/>
      <sheetName val="Sheet14"/>
      <sheetName val="PC CATCH PIT 1X1X1.2M"/>
      <sheetName val="PC CATCH PIT .6X.6X1.0M"/>
      <sheetName val="PC COVER 100MM THK .95x.3"/>
      <sheetName val="PC COVER 250MM THK 2.2x.3"/>
      <sheetName val="Chiet tinh dz35"/>
      <sheetName val="Kuan&amp;Har(PT)"/>
      <sheetName val="Alat"/>
      <sheetName val="AC"/>
      <sheetName val="7102"/>
      <sheetName val="member design"/>
      <sheetName val="working load at the btm ft."/>
      <sheetName val="soil bearing check"/>
      <sheetName val="기둥(원형)"/>
      <sheetName val="목표세부명세"/>
      <sheetName val="Running compatibility check A"/>
      <sheetName val="상반기손익차2총괄"/>
      <sheetName val="3. GROUNDING SYSTEM"/>
      <sheetName val="Adjusted Bids"/>
      <sheetName val="EQT-ESTN"/>
      <sheetName val="List"/>
      <sheetName val="Concept Offshore"/>
      <sheetName val="SUM_FSBLT2"/>
      <sheetName val="Overall_Project2"/>
      <sheetName val="Overall_Process2"/>
      <sheetName val="Overall_Utility2"/>
      <sheetName val="FWBS_10002"/>
      <sheetName val="FWBS_20002"/>
      <sheetName val="FWBS_30002"/>
      <sheetName val="FWBS_50002"/>
      <sheetName val="FWBS_60002"/>
      <sheetName val="FWBS_70002"/>
      <sheetName val="FWBS_80002"/>
      <sheetName val="FWBS_90002"/>
      <sheetName val="FWBS_A0002"/>
      <sheetName val="FWBS_B0002"/>
      <sheetName val="FWBS_Z0002"/>
      <sheetName val="Onerous_Terms"/>
      <sheetName val="Building_BD"/>
      <sheetName val="_Sum"/>
      <sheetName val="실제_도면출도"/>
      <sheetName val="공사비_내역_(가)"/>
      <sheetName val="33628-Rev__A"/>
      <sheetName val="plan&amp;section_of_foundation"/>
      <sheetName val="design_criteria"/>
      <sheetName val="w't_table"/>
      <sheetName val="BM_DATA_SHEET"/>
      <sheetName val="Eq__Mobilization"/>
      <sheetName val="Progress_Tab"/>
      <sheetName val="입찰내역_발주처_양식"/>
      <sheetName val="INVOICE_CERT_EIV'S1"/>
      <sheetName val="M_11"/>
      <sheetName val="REINF_"/>
      <sheetName val="Running_compatibility_check_A"/>
      <sheetName val="3__GROUNDING_SYSTEM"/>
      <sheetName val="Running compatibility check "/>
      <sheetName val="Hoja1"/>
      <sheetName val="뜃맟뭁돽띿맟?-BLDG"/>
      <sheetName val="Auxi"/>
      <sheetName val="Building_BD1"/>
      <sheetName val="Onerous_Terms1"/>
      <sheetName val="_Sum1"/>
      <sheetName val="A(Rev.3)"/>
      <sheetName val="Breakdown-1"/>
      <sheetName val="Pipe"/>
      <sheetName val="Add"/>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실제_도면출도1"/>
      <sheetName val="INVOICE_CERT_EIV'S2"/>
      <sheetName val="공사비_내역_(가)1"/>
      <sheetName val="plan&amp;section_of_foundation1"/>
      <sheetName val="design_criteria1"/>
      <sheetName val="w't_table1"/>
      <sheetName val="Eq__Mobilization1"/>
      <sheetName val="BM_DATA_SHEET1"/>
      <sheetName val="33628-Rev__A1"/>
      <sheetName val="Progress_Tab1"/>
      <sheetName val="입찰내역_발주처_양식1"/>
      <sheetName val="M_111"/>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Running compatibility check _x0"/>
      <sheetName val="基数"/>
      <sheetName val="[Planning&amp;reporting.xlsM9000-A"/>
      <sheetName val="설비"/>
      <sheetName val="공문"/>
      <sheetName val="FitOutConfCentre"/>
      <sheetName val="RFP002"/>
      <sheetName val="코드"/>
      <sheetName val="자바라1"/>
      <sheetName val="C,E"/>
      <sheetName val="산출내역서"/>
      <sheetName val="Proposal"/>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A (2)"/>
      <sheetName val="1100"/>
      <sheetName val="datasheet"/>
      <sheetName val="설계내역서"/>
      <sheetName val="CALCULATION"/>
      <sheetName val="MCCSUM"/>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Structural Comp"/>
      <sheetName val="뜃맟뭁돽띿맟_-BLDG"/>
      <sheetName val="Running compatibility check ?A?"/>
      <sheetName val="Running compatibility check _A_"/>
      <sheetName val="Cashflow Analysis"/>
      <sheetName val="Direct Prices"/>
      <sheetName val="Лист1"/>
      <sheetName val="Structural_Comp"/>
      <sheetName val="salary"/>
      <sheetName val="Backup"/>
      <sheetName val="MTO"/>
      <sheetName val="Sheet"/>
      <sheetName val="3__GROUNDING_SYSTEM1"/>
      <sheetName val="Running_compatibility_check_"/>
      <sheetName val="A(Rev_3)"/>
      <sheetName val="REINF_2"/>
      <sheetName val="3__GROUNDING_SYSTEM2"/>
      <sheetName val="member_design1"/>
      <sheetName val="Adjusted_Bids1"/>
      <sheetName val="PC_CATCH_PIT_1X1X1_2M1"/>
      <sheetName val="PC_CATCH_PIT__6X_6X1_0M1"/>
      <sheetName val="PC_COVER_100MM_THK__95x_31"/>
      <sheetName val="PC_COVER_250MM_THK_2_2x_31"/>
      <sheetName val="working_load_at_the_btm_ft_1"/>
      <sheetName val="soil_bearing_check1"/>
      <sheetName val="Concept_Offshore1"/>
      <sheetName val="Chiet_tinh_dz351"/>
      <sheetName val="Running_compatibility_check_1"/>
      <sheetName val="A(Rev_3)1"/>
      <sheetName val="SUM_FSBLT5"/>
      <sheetName val="Overall_Project5"/>
      <sheetName val="Overall_Process5"/>
      <sheetName val="Overall_Utility5"/>
      <sheetName val="FWBS_10005"/>
      <sheetName val="FWBS_20005"/>
      <sheetName val="FWBS_30005"/>
      <sheetName val="FWBS_50005"/>
      <sheetName val="FWBS_60005"/>
      <sheetName val="FWBS_70005"/>
      <sheetName val="FWBS_80005"/>
      <sheetName val="FWBS_90005"/>
      <sheetName val="FWBS_A0005"/>
      <sheetName val="FWBS_B0005"/>
      <sheetName val="FWBS_Z0005"/>
      <sheetName val="INVOICE_CERT_EIV'S4"/>
      <sheetName val="Onerous_Terms4"/>
      <sheetName val="Building_BD4"/>
      <sheetName val="_Sum4"/>
      <sheetName val="REINF_3"/>
      <sheetName val="3__GROUNDING_SYSTEM3"/>
      <sheetName val="member_design2"/>
      <sheetName val="Adjusted_Bids2"/>
      <sheetName val="PC_CATCH_PIT_1X1X1_2M2"/>
      <sheetName val="PC_CATCH_PIT__6X_6X1_0M2"/>
      <sheetName val="PC_COVER_100MM_THK__95x_32"/>
      <sheetName val="PC_COVER_250MM_THK_2_2x_32"/>
      <sheetName val="working_load_at_the_btm_ft_2"/>
      <sheetName val="soil_bearing_check2"/>
      <sheetName val="Concept_Offshore2"/>
      <sheetName val="Chiet_tinh_dz352"/>
      <sheetName val="Running_compatibility_check_2"/>
      <sheetName val="A(Rev_3)2"/>
      <sheetName val="SUM_FSBLT6"/>
      <sheetName val="Overall_Project6"/>
      <sheetName val="Overall_Process6"/>
      <sheetName val="Overall_Utility6"/>
      <sheetName val="FWBS_10006"/>
      <sheetName val="FWBS_20006"/>
      <sheetName val="FWBS_30006"/>
      <sheetName val="FWBS_50006"/>
      <sheetName val="FWBS_60006"/>
      <sheetName val="FWBS_70006"/>
      <sheetName val="FWBS_80006"/>
      <sheetName val="FWBS_90006"/>
      <sheetName val="FWBS_A0006"/>
      <sheetName val="FWBS_B0006"/>
      <sheetName val="FWBS_Z0006"/>
      <sheetName val="INVOICE_CERT_EIV'S5"/>
      <sheetName val="Onerous_Terms5"/>
      <sheetName val="Building_BD5"/>
      <sheetName val="_Sum5"/>
      <sheetName val="plan&amp;section_of_foundation4"/>
      <sheetName val="design_criteria4"/>
      <sheetName val="실제_도면출도4"/>
      <sheetName val="공사비_내역_(가)4"/>
      <sheetName val="BM_DATA_SHEET4"/>
      <sheetName val="Progress_Tab4"/>
      <sheetName val="w't_table4"/>
      <sheetName val="Eq__Mobilization4"/>
      <sheetName val="33628-Rev__A4"/>
      <sheetName val="입찰내역_발주처_양식4"/>
      <sheetName val="M_114"/>
      <sheetName val="REINF_4"/>
      <sheetName val="3__GROUNDING_SYSTEM4"/>
      <sheetName val="member_design3"/>
      <sheetName val="Adjusted_Bids3"/>
      <sheetName val="PC_CATCH_PIT_1X1X1_2M3"/>
      <sheetName val="PC_CATCH_PIT__6X_6X1_0M3"/>
      <sheetName val="PC_COVER_100MM_THK__95x_33"/>
      <sheetName val="PC_COVER_250MM_THK_2_2x_33"/>
      <sheetName val="working_load_at_the_btm_ft_3"/>
      <sheetName val="soil_bearing_check3"/>
      <sheetName val="Concept_Offshore3"/>
      <sheetName val="Chiet_tinh_dz353"/>
      <sheetName val="Running_compatibility_check_3"/>
      <sheetName val="A(Rev_3)3"/>
      <sheetName val="SUM_FSBLT7"/>
      <sheetName val="Overall_Project7"/>
      <sheetName val="Overall_Process7"/>
      <sheetName val="Overall_Utility7"/>
      <sheetName val="FWBS_10007"/>
      <sheetName val="FWBS_20007"/>
      <sheetName val="FWBS_30007"/>
      <sheetName val="FWBS_50007"/>
      <sheetName val="FWBS_60007"/>
      <sheetName val="FWBS_70007"/>
      <sheetName val="FWBS_80007"/>
      <sheetName val="FWBS_90007"/>
      <sheetName val="FWBS_A0007"/>
      <sheetName val="FWBS_B0007"/>
      <sheetName val="FWBS_Z0007"/>
      <sheetName val="INVOICE_CERT_EIV'S6"/>
      <sheetName val="Onerous_Terms6"/>
      <sheetName val="Building_BD6"/>
      <sheetName val="_Sum6"/>
      <sheetName val="plan&amp;section_of_foundation5"/>
      <sheetName val="design_criteria5"/>
      <sheetName val="실제_도면출도5"/>
      <sheetName val="공사비_내역_(가)5"/>
      <sheetName val="BM_DATA_SHEET5"/>
      <sheetName val="Progress_Tab5"/>
      <sheetName val="w't_table5"/>
      <sheetName val="Eq__Mobilization5"/>
      <sheetName val="33628-Rev__A5"/>
      <sheetName val="입찰내역_발주처_양식5"/>
      <sheetName val="M_115"/>
      <sheetName val="REINF_5"/>
      <sheetName val="3__GROUNDING_SYSTEM5"/>
      <sheetName val="member_design4"/>
      <sheetName val="Adjusted_Bids4"/>
      <sheetName val="PC_CATCH_PIT_1X1X1_2M4"/>
      <sheetName val="PC_CATCH_PIT__6X_6X1_0M4"/>
      <sheetName val="PC_COVER_100MM_THK__95x_34"/>
      <sheetName val="PC_COVER_250MM_THK_2_2x_34"/>
      <sheetName val="working_load_at_the_btm_ft_4"/>
      <sheetName val="soil_bearing_check4"/>
      <sheetName val="Concept_Offshore4"/>
      <sheetName val="Chiet_tinh_dz354"/>
      <sheetName val="Running_compatibility_check_4"/>
      <sheetName val="A(Rev_3)4"/>
      <sheetName val="Petty"/>
      <sheetName val="J"/>
      <sheetName val="DATOS"/>
      <sheetName val="WORKSHEET CS"/>
      <sheetName val="DATA"/>
      <sheetName val="CODE"/>
      <sheetName val="_Planning&amp;reporting.xlsM9000-A"/>
      <sheetName val="[Planning&amp;reporting_xlsM9000-A"/>
      <sheetName val="Cashflow_Analysis"/>
      <sheetName val="00-Summary Information-ABB"/>
      <sheetName val="FWBS_codes"/>
      <sheetName val="STANDARD_DESCRIPTION"/>
      <sheetName val="STANDARD_DESCRIPTION_-_20150519"/>
      <sheetName val="Drawings_Summary"/>
      <sheetName val="Instr_Drawing_List"/>
      <sheetName val="INDEX-Areas_B000,C000,D000,E000"/>
      <sheetName val="STANDARD_DESCRIPTION_20150715"/>
      <sheetName val="DropDown_Selections"/>
      <sheetName val="DO NOT DELETE"/>
      <sheetName val="Lists"/>
      <sheetName val="Time Rates "/>
      <sheetName val="Running_compatibility_check__x0"/>
      <sheetName val="Running_compatibility_check_?A?"/>
      <sheetName val="Running_compatibility_check__A_"/>
      <sheetName val="List_of_WorkPacks"/>
      <sheetName val="List_of_Dates"/>
      <sheetName val="A_(2)"/>
      <sheetName val="BID"/>
      <sheetName val="page 6"/>
      <sheetName val="P-Ins &amp; Bonds"/>
      <sheetName val="P-Site fac"/>
      <sheetName val="P-Clients fac"/>
      <sheetName val="P Staff fac"/>
      <sheetName val="factor "/>
      <sheetName val="CASHFLOWS"/>
      <sheetName val="vlookup - do not print"/>
      <sheetName val="BAG-2"/>
      <sheetName val="Rate Analysis"/>
      <sheetName val="차액보증"/>
      <sheetName val="19.05.2010"/>
      <sheetName val="Earthworks ERP"/>
      <sheetName val="24.06.2010"/>
      <sheetName val="Small Structures ERP"/>
      <sheetName val="Large Structures ERP"/>
      <sheetName val="Tunnelling ERP"/>
      <sheetName val="0124"/>
      <sheetName val="Notes"/>
      <sheetName val="SUM_FSBLT9"/>
      <sheetName val="Overall_Project9"/>
      <sheetName val="Overall_Process9"/>
      <sheetName val="Overall_Utility9"/>
      <sheetName val="FWBS_10009"/>
      <sheetName val="FWBS_20009"/>
      <sheetName val="FWBS_30009"/>
      <sheetName val="FWBS_50009"/>
      <sheetName val="FWBS_60009"/>
      <sheetName val="FWBS_70009"/>
      <sheetName val="FWBS_80009"/>
      <sheetName val="FWBS_90009"/>
      <sheetName val="FWBS_A0009"/>
      <sheetName val="FWBS_B0009"/>
      <sheetName val="FWBS_Z0009"/>
      <sheetName val="실제_도면출도7"/>
      <sheetName val="INVOICE_CERT_EIV'S8"/>
      <sheetName val="Building_BD8"/>
      <sheetName val="Onerous_Terms8"/>
      <sheetName val="_Sum8"/>
      <sheetName val="plan&amp;section_of_foundation7"/>
      <sheetName val="design_criteria7"/>
      <sheetName val="공사비_내역_(가)7"/>
      <sheetName val="33628-Rev__A7"/>
      <sheetName val="w't_table7"/>
      <sheetName val="BM_DATA_SHEET7"/>
      <sheetName val="Progress_Tab7"/>
      <sheetName val="Eq__Mobilization7"/>
      <sheetName val="입찰내역_발주처_양식7"/>
      <sheetName val="REINF_7"/>
      <sheetName val="M_117"/>
      <sheetName val="PC_CATCH_PIT_1X1X1_2M6"/>
      <sheetName val="PC_CATCH_PIT__6X_6X1_0M6"/>
      <sheetName val="PC_COVER_100MM_THK__95x_36"/>
      <sheetName val="PC_COVER_250MM_THK_2_2x_36"/>
      <sheetName val="Chiet_tinh_dz356"/>
      <sheetName val="member_design6"/>
      <sheetName val="working_load_at_the_btm_ft_6"/>
      <sheetName val="soil_bearing_check6"/>
      <sheetName val="3__GROUNDING_SYSTEM7"/>
      <sheetName val="Structural_Comp2"/>
      <sheetName val="Adjusted_Bids6"/>
      <sheetName val="Concept_Offshore6"/>
      <sheetName val="Running_compatibility_check_6"/>
      <sheetName val="List_of_WorkPacks1"/>
      <sheetName val="List_of_Dates1"/>
      <sheetName val="FWBS_codes2"/>
      <sheetName val="STANDARD_DESCRIPTION2"/>
      <sheetName val="STANDARD_DESCRIPTION_-_20150512"/>
      <sheetName val="Drawings_Summary2"/>
      <sheetName val="Instr_Drawing_List2"/>
      <sheetName val="INDEX-Areas_B000,C000,D000,E002"/>
      <sheetName val="STANDARD_DESCRIPTION_201507152"/>
      <sheetName val="DropDown_Selections2"/>
      <sheetName val="A(Rev_3)6"/>
      <sheetName val="[Planning&amp;reporting_xlsM9000-A2"/>
      <sheetName val="Running_compatibility_check__x1"/>
      <sheetName val="Cashflow_Analysis2"/>
      <sheetName val="Running_compatibility_check_?A1"/>
      <sheetName val="Running_compatibility_check__A1"/>
      <sheetName val="A_(2)1"/>
      <sheetName val="Direct_Prices1"/>
      <sheetName val="WORKSHEET_CS1"/>
      <sheetName val="_Planning&amp;reporting_xlsM9000-A1"/>
      <sheetName val="00-Summary_Information-ABB1"/>
      <sheetName val="DO_NOT_DELETE1"/>
      <sheetName val="Time_Rates_1"/>
      <sheetName val="SUM_FSBLT8"/>
      <sheetName val="Overall_Project8"/>
      <sheetName val="Overall_Process8"/>
      <sheetName val="Overall_Utility8"/>
      <sheetName val="FWBS_10008"/>
      <sheetName val="FWBS_20008"/>
      <sheetName val="FWBS_30008"/>
      <sheetName val="FWBS_50008"/>
      <sheetName val="FWBS_60008"/>
      <sheetName val="FWBS_70008"/>
      <sheetName val="FWBS_80008"/>
      <sheetName val="FWBS_90008"/>
      <sheetName val="FWBS_A0008"/>
      <sheetName val="FWBS_B0008"/>
      <sheetName val="FWBS_Z0008"/>
      <sheetName val="실제_도면출도6"/>
      <sheetName val="INVOICE_CERT_EIV'S7"/>
      <sheetName val="Building_BD7"/>
      <sheetName val="Onerous_Terms7"/>
      <sheetName val="_Sum7"/>
      <sheetName val="plan&amp;section_of_foundation6"/>
      <sheetName val="design_criteria6"/>
      <sheetName val="공사비_내역_(가)6"/>
      <sheetName val="33628-Rev__A6"/>
      <sheetName val="w't_table6"/>
      <sheetName val="BM_DATA_SHEET6"/>
      <sheetName val="Progress_Tab6"/>
      <sheetName val="Eq__Mobilization6"/>
      <sheetName val="입찰내역_발주처_양식6"/>
      <sheetName val="REINF_6"/>
      <sheetName val="M_116"/>
      <sheetName val="PC_CATCH_PIT_1X1X1_2M5"/>
      <sheetName val="PC_CATCH_PIT__6X_6X1_0M5"/>
      <sheetName val="PC_COVER_100MM_THK__95x_35"/>
      <sheetName val="PC_COVER_250MM_THK_2_2x_35"/>
      <sheetName val="Chiet_tinh_dz355"/>
      <sheetName val="member_design5"/>
      <sheetName val="working_load_at_the_btm_ft_5"/>
      <sheetName val="soil_bearing_check5"/>
      <sheetName val="3__GROUNDING_SYSTEM6"/>
      <sheetName val="Structural_Comp1"/>
      <sheetName val="Adjusted_Bids5"/>
      <sheetName val="Concept_Offshore5"/>
      <sheetName val="Running_compatibility_check_5"/>
      <sheetName val="FWBS_codes1"/>
      <sheetName val="STANDARD_DESCRIPTION1"/>
      <sheetName val="STANDARD_DESCRIPTION_-_20150511"/>
      <sheetName val="Drawings_Summary1"/>
      <sheetName val="Instr_Drawing_List1"/>
      <sheetName val="INDEX-Areas_B000,C000,D000,E001"/>
      <sheetName val="STANDARD_DESCRIPTION_201507151"/>
      <sheetName val="DropDown_Selections1"/>
      <sheetName val="A(Rev_3)5"/>
      <sheetName val="[Planning&amp;reporting_xlsM9000-A1"/>
      <sheetName val="Cashflow_Analysis1"/>
      <sheetName val="Direct_Prices"/>
      <sheetName val="WORKSHEET_CS"/>
      <sheetName val="_Planning&amp;reporting_xlsM9000-A"/>
      <sheetName val="00-Summary_Information-ABB"/>
      <sheetName val="DO_NOT_DELETE"/>
      <sheetName val="Time_Rates_"/>
      <sheetName val="Depreciation"/>
      <sheetName val="EmpList"/>
      <sheetName val="Personnel"/>
      <sheetName val="Calendar"/>
      <sheetName val="Orçamento"/>
      <sheetName val="COMPLEXALL"/>
      <sheetName val="ITB COST"/>
      <sheetName val="Civil Weekly"/>
      <sheetName val="0.0 Cover"/>
      <sheetName val="Hoja 3"/>
      <sheetName val="Cutoff"/>
      <sheetName val=" N Finansal Eğri"/>
      <sheetName val="1"/>
      <sheetName val="손익차9월2"/>
      <sheetName val="MOS"/>
      <sheetName val="Pricing Summary"/>
      <sheetName val="Net Cost - Final Base"/>
      <sheetName val="7.6Net Cost Agreed on Dec-04 R1"/>
      <sheetName val="Net Cost Agreed on Dec-04 Rev1"/>
      <sheetName val="7.6 Net Cost Agreed on Dec-04"/>
      <sheetName val="Net Cost Agreed on Dec-04"/>
      <sheetName val="Total for Check"/>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pg.4"/>
      <sheetName val="Subcon A"/>
      <sheetName val="갑지"/>
      <sheetName val="도급양식"/>
      <sheetName val="예산"/>
      <sheetName val="pg_4"/>
      <sheetName val="Subcon_A"/>
      <sheetName val="bill 2"/>
      <sheetName val="insulation"/>
      <sheetName val="MATERIAL'S PRICE"/>
      <sheetName val="pg_41"/>
      <sheetName val="Subcon_A1"/>
      <sheetName val="bill_2"/>
      <sheetName val="MATERIAL'S_PRICE"/>
      <sheetName val="page_6"/>
      <sheetName val="inter"/>
      <sheetName val="sum"/>
      <sheetName val="예산M11A"/>
      <sheetName val="유림콘도"/>
      <sheetName val="JK Price sheet"/>
      <sheetName val="TP Price sheet"/>
      <sheetName val="Phase 1 JK UTSE"/>
      <sheetName val="Phase 2 JK UTSE"/>
      <sheetName val="Phase 1 and 2 JK UTSE"/>
      <sheetName val="Phase 1 TP UTSE"/>
      <sheetName val="Phase 2 TP UTSE"/>
      <sheetName val="Phase 1 and 2 TP UTSE"/>
      <sheetName val="Cash Flow (BL)"/>
      <sheetName val="Cash Flow (UTSE)"/>
      <sheetName val="Estimation"/>
      <sheetName val="스케즐"/>
      <sheetName val="총괄"/>
      <sheetName val="견적서표지0204-2 (2)"/>
      <sheetName val="Piping Spool"/>
      <sheetName val="Cost Definition"/>
      <sheetName val="견적 원가 "/>
      <sheetName val="부산제일극장"/>
      <sheetName val="Sand"/>
      <sheetName val="Geotextile for geotube"/>
      <sheetName val="Geotube"/>
      <sheetName val="Hohlquader"/>
      <sheetName val="RD01"/>
      <sheetName val="Settings"/>
      <sheetName val="유림골조"/>
      <sheetName val="FAB별"/>
      <sheetName val="Specs"/>
      <sheetName val="PROJ_INFO"/>
      <sheetName val="FOREX"/>
      <sheetName val="AEROGEL CAL"/>
      <sheetName val="CRYG THKMM"/>
      <sheetName val="QUOTES"/>
      <sheetName val="PVBF"/>
      <sheetName val="SCAFF"/>
      <sheetName val="INDIRECTS"/>
      <sheetName val="LABBASIS"/>
      <sheetName val="MATBASIS"/>
      <sheetName val="TKOFF"/>
      <sheetName val="PSUM"/>
      <sheetName val="ANALYSIS"/>
      <sheetName val="ITB REVIEW"/>
      <sheetName val="SPCS SUMM."/>
      <sheetName val="ESTI. SUMM."/>
      <sheetName val="Price Summary"/>
      <sheetName val="BOQ_Insulation_Piping"/>
      <sheetName val="BOQ_Insulation_Equipment"/>
      <sheetName val="Acc Stock-INSUL"/>
      <sheetName val="Inert Balls"/>
      <sheetName val="Menu"/>
      <sheetName val="Drop Down"/>
      <sheetName val="Source Data"/>
      <sheetName val="CAPEX Categories"/>
      <sheetName val="RFP003_Building - B"/>
      <sheetName val="RFP005"/>
      <sheetName val="RFP006"/>
      <sheetName val="RFP012"/>
      <sheetName val="RFP009"/>
      <sheetName val="RFP004"/>
      <sheetName val="PERHITUNGAN  KEEKONOMIAN"/>
      <sheetName val="SENSITIVITAS"/>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Benchmark"/>
      <sheetName val="목록박스"/>
      <sheetName val="Cable Schedule"/>
      <sheetName val="EQUI"/>
      <sheetName val="2.04"/>
      <sheetName val="2.05"/>
      <sheetName val="2.07 &amp; 2.08"/>
      <sheetName val="3.01"/>
      <sheetName val="3.02"/>
      <sheetName val="3.03"/>
      <sheetName val="ratios"/>
      <sheetName val="ecart Personnel"/>
      <sheetName val="Ecart Others"/>
      <sheetName val="Other costs"/>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97 사업추정(WEKI)"/>
      <sheetName val="INDIRECT OH&amp;P "/>
      <sheetName val="Hoja2"/>
      <sheetName val="Horas"/>
      <sheetName val="Overall MTO - 20191001 (old)"/>
      <sheetName val="MTO for BMBQ"/>
      <sheetName val="PCWBS Map"/>
      <sheetName val="Paint&amp;Ins"/>
      <sheetName val="reff"/>
      <sheetName val="Valve"/>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S"/>
      <sheetName val="Tgh JGC-Inv I clp"/>
      <sheetName val="PCS "/>
      <sheetName val="Progress Statement-SI"/>
      <sheetName val="Progress Payment-3110"/>
      <sheetName val="회사99"/>
      <sheetName val="Summary (3)"/>
      <sheetName val="RRW Scaff"/>
      <sheetName val="RRW Oct-2019-1st Lot-13-10-19"/>
      <sheetName val="RRW Oct-2019-2st Lot-15-10-19"/>
      <sheetName val="Sheet16"/>
      <sheetName val="PROGRAM"/>
      <sheetName val="CASHFLOW"/>
      <sheetName val="GRAPH_DATA"/>
      <sheetName val="Report Wizard"/>
      <sheetName val="Initial Plan"/>
      <sheetName val="Progress"/>
      <sheetName val="S3-Costing"/>
      <sheetName val="S4-Costing"/>
      <sheetName val="ABBR"/>
      <sheetName val="Salary 2013"/>
      <sheetName val="Finansal tamamlanma Eğrisi"/>
      <sheetName val="1.INV"/>
      <sheetName val="2.Calculation Sheet"/>
      <sheetName val="Price Sheet"/>
      <sheetName val="3. Progress"/>
      <sheetName val="4. EDR"/>
      <sheetName val="BOM SUM"/>
      <sheetName val="Eng. Boq -1"/>
      <sheetName val="PFP,TIE COAT &amp; TOP FLG PAINTED"/>
      <sheetName val="Shop Modifications"/>
      <sheetName val="JI-2036 - Preservation"/>
      <sheetName val="Re-Application "/>
      <sheetName val="Sheet3"/>
      <sheetName val="L-FRAMES"/>
      <sheetName val="MM"/>
      <sheetName val="OLD (2)"/>
      <sheetName val="MLCL"/>
      <sheetName val="DB-Weight"/>
      <sheetName val="DB-EQL"/>
      <sheetName val="DB-BOLT SIZE"/>
      <sheetName val="REQ LIST"/>
      <sheetName val="DESC NEW PMC"/>
      <sheetName val="MTO_2020.03.11"/>
      <sheetName val="BM_PIVOT"/>
      <sheetName val="BQ_2020.03.03"/>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7422CW00"/>
      <sheetName val="P-산#1-1(WOWA1)"/>
      <sheetName val="부하계산서"/>
      <sheetName val="배5월출고"/>
      <sheetName val="BQ-E20-02(Rp)"/>
      <sheetName val="MIBK원단위"/>
      <sheetName val="BAND(200)"/>
      <sheetName val="OUTER AREA(겹침없음)"/>
      <sheetName val="EG-09"/>
      <sheetName val="LOADDAT"/>
      <sheetName val="sheet6"/>
      <sheetName val="DATA-DEP.(13-17)"/>
      <sheetName val="DATA-KBPL(17-25)"/>
      <sheetName val="DATA-GCC(25-34.7)"/>
      <sheetName val="St.-Con(0-17)"/>
      <sheetName val="St.-Con.(17-34)"/>
      <sheetName val="개시대사 (2)"/>
      <sheetName val="BLDG_DCI"/>
      <sheetName val="BLDG_MCI"/>
      <sheetName val="DIV-03"/>
      <sheetName val="Sal"/>
      <sheetName val="Harsat"/>
      <sheetName val="Equiv.Length"/>
      <sheetName val="S-Curve (Weekly)"/>
      <sheetName val="Price Summary (1)"/>
      <sheetName val="Price Summary (2)"/>
      <sheetName val="DESBASTE"/>
      <sheetName val="Item#9.3"/>
      <sheetName val="Item#1.9"/>
      <sheetName val="Item#2.6"/>
      <sheetName val="Item#3.8"/>
      <sheetName val="Item#4.10"/>
      <sheetName val="Item#5.8"/>
      <sheetName val="Item#6.7"/>
      <sheetName val="Item#7.21"/>
      <sheetName val="Item#8.7"/>
      <sheetName val="8-31-98"/>
      <sheetName val="worksheet inchican"/>
      <sheetName val="REBAR"/>
      <sheetName val="Arch"/>
      <sheetName val="DESBAST"/>
      <sheetName val="チューブ仕様"/>
      <sheetName val="LLEGADA"/>
      <sheetName val="GAE8'97"/>
      <sheetName val="2.2 띠장의 설계"/>
      <sheetName val="2.223M_due to adj profit"/>
      <sheetName val="Land Dev't. Ph-1"/>
      <sheetName val="INTERIOR WALLS"/>
      <sheetName val="CPA_EQP"/>
      <sheetName val="S-Curve"/>
      <sheetName val="5-Digit"/>
      <sheetName val="CFA"/>
      <sheetName val="Material Price"/>
      <sheetName val="combined 9-30"/>
      <sheetName val="Ex-Rate"/>
      <sheetName val="Budget"/>
      <sheetName val="GESTION FICHE"/>
      <sheetName val="TRADUCTION LISTES"/>
      <sheetName val="L V Separator"/>
      <sheetName val="TACE"/>
      <sheetName val="SUM_FSBLT10"/>
      <sheetName val="FWBS_900010"/>
      <sheetName val="Overall_Project10"/>
      <sheetName val="Overall_Process10"/>
      <sheetName val="Overall_Utility10"/>
      <sheetName val="FWBS_100010"/>
      <sheetName val="FWBS_200010"/>
      <sheetName val="FWBS_300010"/>
      <sheetName val="FWBS_500010"/>
      <sheetName val="FWBS_600010"/>
      <sheetName val="FWBS_700010"/>
      <sheetName val="FWBS_800010"/>
      <sheetName val="FWBS_A00010"/>
      <sheetName val="FWBS_B00010"/>
      <sheetName val="FWBS_Z00010"/>
      <sheetName val="INVOICE_CERT_EIV'S9"/>
      <sheetName val="Onerous_Terms9"/>
      <sheetName val="Building_BD9"/>
      <sheetName val="_Sum9"/>
      <sheetName val="plan&amp;section_of_foundation8"/>
      <sheetName val="design_criteria8"/>
      <sheetName val="실제_도면출도8"/>
      <sheetName val="공사비_내역_(가)8"/>
      <sheetName val="Progress_Tab8"/>
      <sheetName val="w't_table8"/>
      <sheetName val="BM_DATA_SHEET8"/>
      <sheetName val="Eq__Mobilization8"/>
      <sheetName val="33628-Rev__A8"/>
      <sheetName val="입찰내역_발주처_양식8"/>
      <sheetName val="REINF_8"/>
      <sheetName val="M_118"/>
      <sheetName val="PC_CATCH_PIT_1X1X1_2M7"/>
      <sheetName val="PC_CATCH_PIT__6X_6X1_0M7"/>
      <sheetName val="PC_COVER_100MM_THK__95x_37"/>
      <sheetName val="PC_COVER_250MM_THK_2_2x_37"/>
      <sheetName val="Chiet_tinh_dz357"/>
      <sheetName val="member_design7"/>
      <sheetName val="working_load_at_the_btm_ft_7"/>
      <sheetName val="soil_bearing_check7"/>
      <sheetName val="3__GROUNDING_SYSTEM8"/>
      <sheetName val="Structural_Comp3"/>
      <sheetName val="Adjusted_Bids7"/>
      <sheetName val="Concept_Offshore7"/>
      <sheetName val="Running_compatibility_check_7"/>
      <sheetName val="A(Rev_3)7"/>
      <sheetName val="[Planning&amp;reporting_xlsM9000-A3"/>
      <sheetName val="Running_compatibility_check__x2"/>
      <sheetName val="Cashflow_Analysis3"/>
      <sheetName val="Running_compatibility_check_?A2"/>
      <sheetName val="Running_compatibility_check__A2"/>
      <sheetName val="A_(2)2"/>
      <sheetName val="Direct_Prices2"/>
      <sheetName val="List_of_WorkPacks2"/>
      <sheetName val="List_of_Dates2"/>
      <sheetName val="FWBS_codes3"/>
      <sheetName val="STANDARD_DESCRIPTION3"/>
      <sheetName val="STANDARD_DESCRIPTION_-_20150513"/>
      <sheetName val="Drawings_Summary3"/>
      <sheetName val="Instr_Drawing_List3"/>
      <sheetName val="INDEX-Areas_B000,C000,D000,E003"/>
      <sheetName val="STANDARD_DESCRIPTION_201507153"/>
      <sheetName val="DropDown_Selections3"/>
      <sheetName val="WORKSHEET_CS2"/>
      <sheetName val="_Planning&amp;reporting_xlsM9000-A2"/>
      <sheetName val="00-Summary_Information-ABB2"/>
      <sheetName val="DO_NOT_DELETE2"/>
      <sheetName val="Time_Rates_2"/>
      <sheetName val="P-Ins_&amp;_Bonds"/>
      <sheetName val="P-Site_fac"/>
      <sheetName val="P-Clients_fac"/>
      <sheetName val="P_Staff_fac"/>
      <sheetName val="factor_"/>
      <sheetName val="vlookup_-_do_not_print"/>
      <sheetName val="Rate_Analysis"/>
      <sheetName val="19_05_2010"/>
      <sheetName val="Earthworks_ERP"/>
      <sheetName val="24_06_2010"/>
      <sheetName val="Small_Structures_ERP"/>
      <sheetName val="Large_Structures_ERP"/>
      <sheetName val="Tunnelling_ERP"/>
      <sheetName val="SUM_FSBLT11"/>
      <sheetName val="FWBS_900011"/>
      <sheetName val="Overall_Project11"/>
      <sheetName val="Overall_Process11"/>
      <sheetName val="Overall_Utility11"/>
      <sheetName val="FWBS_100011"/>
      <sheetName val="FWBS_200011"/>
      <sheetName val="FWBS_300011"/>
      <sheetName val="FWBS_500011"/>
      <sheetName val="FWBS_600011"/>
      <sheetName val="FWBS_700011"/>
      <sheetName val="FWBS_800011"/>
      <sheetName val="FWBS_A00011"/>
      <sheetName val="FWBS_B00011"/>
      <sheetName val="FWBS_Z00011"/>
      <sheetName val="INVOICE_CERT_EIV'S10"/>
      <sheetName val="Onerous_Terms10"/>
      <sheetName val="Building_BD10"/>
      <sheetName val="_Sum10"/>
      <sheetName val="plan&amp;section_of_foundation9"/>
      <sheetName val="design_criteria9"/>
      <sheetName val="실제_도면출도9"/>
      <sheetName val="공사비_내역_(가)9"/>
      <sheetName val="Progress_Tab9"/>
      <sheetName val="w't_table9"/>
      <sheetName val="BM_DATA_SHEET9"/>
      <sheetName val="Eq__Mobilization9"/>
      <sheetName val="33628-Rev__A9"/>
      <sheetName val="입찰내역_발주처_양식9"/>
      <sheetName val="REINF_9"/>
      <sheetName val="M_119"/>
      <sheetName val="PC_CATCH_PIT_1X1X1_2M8"/>
      <sheetName val="PC_CATCH_PIT__6X_6X1_0M8"/>
      <sheetName val="PC_COVER_100MM_THK__95x_38"/>
      <sheetName val="PC_COVER_250MM_THK_2_2x_38"/>
      <sheetName val="Chiet_tinh_dz358"/>
      <sheetName val="member_design8"/>
      <sheetName val="working_load_at_the_btm_ft_8"/>
      <sheetName val="soil_bearing_check8"/>
      <sheetName val="3__GROUNDING_SYSTEM9"/>
      <sheetName val="Structural_Comp4"/>
      <sheetName val="Adjusted_Bids8"/>
      <sheetName val="Concept_Offshore8"/>
      <sheetName val="Running_compatibility_check_8"/>
      <sheetName val="A(Rev_3)8"/>
      <sheetName val="[Planning&amp;reporting_xlsM9000-A4"/>
      <sheetName val="Running_compatibility_check__x3"/>
      <sheetName val="Cashflow_Analysis4"/>
      <sheetName val="Running_compatibility_check_?A3"/>
      <sheetName val="Running_compatibility_check__A3"/>
      <sheetName val="A_(2)3"/>
      <sheetName val="Direct_Prices3"/>
      <sheetName val="List_of_WorkPacks3"/>
      <sheetName val="List_of_Dates3"/>
      <sheetName val="FWBS_codes4"/>
      <sheetName val="STANDARD_DESCRIPTION4"/>
      <sheetName val="STANDARD_DESCRIPTION_-_20150514"/>
      <sheetName val="Drawings_Summary4"/>
      <sheetName val="Instr_Drawing_List4"/>
      <sheetName val="INDEX-Areas_B000,C000,D000,E004"/>
      <sheetName val="STANDARD_DESCRIPTION_201507154"/>
      <sheetName val="DropDown_Selections4"/>
      <sheetName val="WORKSHEET_CS3"/>
      <sheetName val="_Planning&amp;reporting_xlsM9000-A3"/>
      <sheetName val="00-Summary_Information-ABB3"/>
      <sheetName val="DO_NOT_DELETE3"/>
      <sheetName val="Time_Rates_3"/>
      <sheetName val="page_61"/>
      <sheetName val="P-Ins_&amp;_Bonds1"/>
      <sheetName val="P-Site_fac1"/>
      <sheetName val="P-Clients_fac1"/>
      <sheetName val="P_Staff_fac1"/>
      <sheetName val="factor_1"/>
      <sheetName val="vlookup_-_do_not_print1"/>
      <sheetName val="Rate_Analysis1"/>
      <sheetName val="19_05_20101"/>
      <sheetName val="Earthworks_ERP1"/>
      <sheetName val="24_06_20101"/>
      <sheetName val="Small_Structures_ERP1"/>
      <sheetName val="Large_Structures_ERP1"/>
      <sheetName val="Tunnelling_ERP1"/>
      <sheetName val="12 - MAT'L CLASSIFIC. FACTORS"/>
      <sheetName val="1 - PREFAB STR STEEL"/>
      <sheetName val="8 - SKIDS, VESSELS &amp; EQPT"/>
      <sheetName val="5 - STG PLANT - MISC  ITEMS"/>
      <sheetName val="14 - HEIGHT FACTORS"/>
      <sheetName val="10 - STEAM TURBINE PUMPS"/>
      <sheetName val="16 - ASTM CS PIPE ERECT"/>
      <sheetName val="15 - ASTM CS PIPE FAB"/>
      <sheetName val="7 - SAND BLAST &amp; PAINT"/>
      <sheetName val="breakdown"/>
      <sheetName val="마감물량"/>
      <sheetName val="Substation Column"/>
      <sheetName val="laborrates"/>
      <sheetName val="100(4)"/>
      <sheetName val="合成単価作成表_BLDG"/>
      <sheetName val="RefG"/>
      <sheetName val="IRR sponsor"/>
      <sheetName val="SG"/>
      <sheetName val="Pricing_Summary"/>
      <sheetName val="Net_Cost_-_Final_Base"/>
      <sheetName val="7_6Net_Cost_Agreed_on_Dec-04_R1"/>
      <sheetName val="Net_Cost_Agreed_on_Dec-04_Rev1"/>
      <sheetName val="7_6_Net_Cost_Agreed_on_Dec-04"/>
      <sheetName val="Net_Cost_Agreed_on_Dec-04"/>
      <sheetName val="Total_for_Check"/>
      <sheetName val="ITB_COST"/>
      <sheetName val="Civil_Weekly"/>
      <sheetName val="견적서표지0204-2_(2)"/>
      <sheetName val="Piping_Spool"/>
      <sheetName val="Cost_Definition"/>
      <sheetName val="견적_원가_"/>
      <sheetName val="pg_42"/>
      <sheetName val="Subcon_A2"/>
      <sheetName val="bill_21"/>
      <sheetName val="MATERIAL'S_PRICE1"/>
      <sheetName val="_N_Finansal_Eğri"/>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INSULATION R1"/>
      <sheetName val="BOQ LIST"/>
      <sheetName val="17安"/>
      <sheetName val="Part"/>
      <sheetName val="Setup"/>
      <sheetName val="PDS U-1400"/>
      <sheetName val="SPT vs PHI"/>
      <sheetName val="01-D.PERS"/>
      <sheetName val="Fig 4-14"/>
      <sheetName val="Fig 5-17"/>
      <sheetName val="IMPULSE"/>
      <sheetName val="Manpower List-1"/>
      <sheetName val="DAILY"/>
      <sheetName val="SUMMARY FOR DPR"/>
      <sheetName val="Index Daily Alloaction"/>
      <sheetName val="Manpower List"/>
      <sheetName val="A &amp; B"/>
      <sheetName val="conta_rapor"/>
      <sheetName val="sonuç"/>
      <sheetName val="Follow-up"/>
      <sheetName val="Sayfa1"/>
      <sheetName val="Insulatıon_status"/>
      <sheetName val="SOS_PLC &amp; Panel"/>
      <sheetName val="2000년_#1_HB"/>
      <sheetName val="Planilla CND"/>
      <sheetName val="Restricted"/>
      <sheetName val="전체계좌"/>
      <sheetName val="8104"/>
      <sheetName val="1771"/>
      <sheetName val="CASH-FLOW"/>
      <sheetName val="Table_Rates Data"/>
      <sheetName val="95삼성급(본사)"/>
      <sheetName val="APP-9"/>
      <sheetName val="MAPP"/>
      <sheetName val="rek det 1-3"/>
      <sheetName val="BP"/>
      <sheetName val="Comp equip"/>
      <sheetName val="Mach &amp; equip"/>
      <sheetName val="单价"/>
      <sheetName val="eqpmad2"/>
      <sheetName val="Financ. Overview"/>
      <sheetName val="Toolbox"/>
      <sheetName val="최적단면"/>
      <sheetName val="单价分析表2"/>
      <sheetName val="MECHANICAL（水处理厂2)"/>
      <sheetName val="XLR_NoRangeSheet"/>
      <sheetName val="内河船舶单价"/>
      <sheetName val="待摊费"/>
      <sheetName val="人工费"/>
      <sheetName val="quant"/>
      <sheetName val="材料"/>
      <sheetName val="4 代码列表"/>
      <sheetName val="人工SDP.2"/>
      <sheetName val="参数"/>
      <sheetName val="材料SDP.1"/>
      <sheetName val="Prec.OTS"/>
      <sheetName val="COLUMNS"/>
      <sheetName val="VESSELS "/>
      <sheetName val="Page 1"/>
      <sheetName val="pw&amp;shs"/>
      <sheetName val="주관사업"/>
      <sheetName val="SEX"/>
      <sheetName val="351BQMCN"/>
      <sheetName val="DAF-4"/>
      <sheetName val="Hrg Satuan"/>
      <sheetName val="analisa"/>
      <sheetName val="schbhn"/>
      <sheetName val="schalt"/>
      <sheetName val="schtng"/>
      <sheetName val="Bill rekap"/>
      <sheetName val="ESCON"/>
      <sheetName val="Div2"/>
      <sheetName val="ANALIS.2"/>
      <sheetName val="ANALIS.1"/>
      <sheetName val="Harga Satuan"/>
      <sheetName val="BHN"/>
      <sheetName val="ALT"/>
      <sheetName val="SUB"/>
      <sheetName val="UPH"/>
      <sheetName val="Aggr"/>
      <sheetName val="analis standar(8m)"/>
      <sheetName val="DAF-3"/>
      <sheetName val="REQDELTA"/>
      <sheetName val="bhn "/>
      <sheetName val="Testing"/>
      <sheetName val="BAG-III"/>
      <sheetName val="I_KAMAR"/>
      <sheetName val="D-3109"/>
      <sheetName val="Mall"/>
      <sheetName val="AHS"/>
      <sheetName val="STR"/>
      <sheetName val="NP"/>
      <sheetName val="TOTAL SCHEDULE"/>
      <sheetName val="BILL"/>
      <sheetName val="SALES"/>
      <sheetName val="PERHITUNGAN__KEEKONOMIAN"/>
      <sheetName val="RFP003_Building_-_B"/>
      <sheetName val="Total_Staff"/>
      <sheetName val="0__SUMMARY"/>
      <sheetName val="1__Engineering"/>
      <sheetName val="2__Check_point"/>
      <sheetName val="II_Changes_1"/>
      <sheetName val="III_Changes_2"/>
      <sheetName val="Qty_"/>
      <sheetName val="OQC_Summary"/>
      <sheetName val="6_Unit_Rates"/>
      <sheetName val="AEROGEL_CAL"/>
      <sheetName val="CRYG_THKMM"/>
      <sheetName val="ITB_REVIEW"/>
      <sheetName val="SPCS_SUMM_"/>
      <sheetName val="ESTI__SUMM_"/>
      <sheetName val="Price_Summary"/>
      <sheetName val="Acc_Stock-INSUL"/>
      <sheetName val="97_사업추정(WEKI)"/>
      <sheetName val="Drop_Down"/>
      <sheetName val="Source_Data"/>
      <sheetName val="Overall_MTO_-_20191001_(old)"/>
      <sheetName val="MTO_for_BMBQ"/>
      <sheetName val="BQ_Reff"/>
      <sheetName val="Sum_of_Comparison-20191007"/>
      <sheetName val="Joint_No_"/>
      <sheetName val="Unit_Weight"/>
      <sheetName val="Detail_PMC"/>
      <sheetName val="Detail_PMC_(for_full_desc)"/>
      <sheetName val="Bolt_Size"/>
      <sheetName val="NDE_Req"/>
      <sheetName val="Tgh_JGC-Inv_I_clp"/>
      <sheetName val="PCS_"/>
      <sheetName val="Progress_Statement-SI"/>
      <sheetName val="Progress_Payment-3110"/>
      <sheetName val="0_0_Cover"/>
      <sheetName val="Hoja_3"/>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CAPEX_Categories"/>
      <sheetName val="Cable_Schedule"/>
      <sheetName val="INDIRECT_OH&amp;P_"/>
      <sheetName val="JK_Price_sheet"/>
      <sheetName val="TP_Price_sheet"/>
      <sheetName val="Phase_1_JK_UTSE"/>
      <sheetName val="Phase_2_JK_UTSE"/>
      <sheetName val="Phase_1_and_2_JK_UTSE"/>
      <sheetName val="Phase_1_TP_UTSE"/>
      <sheetName val="Phase_2_TP_UTSE"/>
      <sheetName val="Phase_1_and_2_TP_UTSE"/>
      <sheetName val="Cash_Flow_(BL)"/>
      <sheetName val="Cash_Flow_(UTSE)"/>
      <sheetName val="Summary_(3)"/>
      <sheetName val="RRW_Scaff"/>
      <sheetName val="RRW_Oct-2019-1st_Lot-13-10-19"/>
      <sheetName val="RRW_Oct-2019-2st_Lot-15-10-19"/>
      <sheetName val="Report_Wizard"/>
      <sheetName val="Initial_Plan"/>
      <sheetName val="DB-BOLT_SIZE"/>
      <sheetName val="REQ_LIST"/>
      <sheetName val="DESC_NEW_PMC"/>
      <sheetName val="MTO_2020_03_11"/>
      <sheetName val="BQ_2020_03_03"/>
      <sheetName val="MTO_2020_03_03_(VDR)"/>
      <sheetName val="BQ_2020_03_03_(VDR)"/>
      <sheetName val="WEIGHT_&amp;_PAINT"/>
      <sheetName val="FW_JGC"/>
      <sheetName val="FW_VENDOR"/>
      <sheetName val="BQ_2020_02_25"/>
      <sheetName val="BM_BOLT_&amp;_NUT"/>
      <sheetName val="RT_TABLE"/>
      <sheetName val="BRANCH_&amp;_REDUCING_TABLE"/>
      <sheetName val="DESC_OLD_PMC"/>
      <sheetName val="SHORT_CODE_LIST"/>
      <sheetName val="Geotextile_for_geotube"/>
      <sheetName val="Salary_2013"/>
      <sheetName val="Finansal_tamamlanma_Eğrisi"/>
      <sheetName val="1_INV"/>
      <sheetName val="2_Calculation_Sheet"/>
      <sheetName val="Price_Sheet"/>
      <sheetName val="3__Progress"/>
      <sheetName val="4__EDR"/>
      <sheetName val="BOM_SUM"/>
      <sheetName val="Eng__Boq_-1"/>
      <sheetName val="PFP,TIE_COAT_&amp;_TOP_FLG_PAINTED"/>
      <sheetName val="Shop_Modifications"/>
      <sheetName val="JI-2036_-_Preservation"/>
      <sheetName val="Re-Application_"/>
      <sheetName val="OLD_(2)"/>
      <sheetName val="DATA-DEP_(13-17)"/>
      <sheetName val="DATA-GCC(25-34_7)"/>
      <sheetName val="St_-Con(0-17)"/>
      <sheetName val="St_-Con_(17-34)"/>
      <sheetName val="개시대사_(2)"/>
      <sheetName val="Equiv_Length"/>
      <sheetName val="S-Curve_(Weekly)"/>
      <sheetName val="Price_Summary_(1)"/>
      <sheetName val="Price_Summary_(2)"/>
      <sheetName val="Item#9_3"/>
      <sheetName val="Item#1_9"/>
      <sheetName val="Item#2_6"/>
      <sheetName val="Item#3_8"/>
      <sheetName val="Item#4_10"/>
      <sheetName val="Item#5_8"/>
      <sheetName val="Item#6_7"/>
      <sheetName val="Item#7_21"/>
      <sheetName val="Item#8_7"/>
      <sheetName val="worksheet_inchican"/>
      <sheetName val="2_2_띠장의_설계"/>
      <sheetName val="2_223M_due_to_adj_profit"/>
      <sheetName val="Land_Dev't__Ph-1"/>
      <sheetName val="INTERIOR_WALLS"/>
      <sheetName val="Material_Price"/>
      <sheetName val="combined_9-30"/>
      <sheetName val="GESTION_FICHE"/>
      <sheetName val="TRADUCTION_LISTES"/>
      <sheetName val="Inert_Balls"/>
      <sheetName val="Prec_OTS"/>
      <sheetName val="INSULATION_R1"/>
      <sheetName val="노임단가"/>
      <sheetName val="교량대비"/>
      <sheetName val="내역서"/>
      <sheetName val="page_62"/>
      <sheetName val="ITB_COST1"/>
      <sheetName val="Civil_Weekly1"/>
      <sheetName val="Pricing_Summary1"/>
      <sheetName val="Net_Cost_-_Final_Base1"/>
      <sheetName val="7_6Net_Cost_Agreed_on_Dec-04_R2"/>
      <sheetName val="Net_Cost_Agreed_on_Dec-04_Rev11"/>
      <sheetName val="7_6_Net_Cost_Agreed_on_Dec-041"/>
      <sheetName val="Net_Cost_Agreed_on_Dec-041"/>
      <sheetName val="Total_for_Check1"/>
      <sheetName val="_N_Finansal_Eğri1"/>
      <sheetName val="0_0_Cover1"/>
      <sheetName val="Hoja_31"/>
      <sheetName val="Drop_Down1"/>
      <sheetName val="Source_Data1"/>
      <sheetName val="CAPEX_Categories1"/>
      <sheetName val="RFP003_Building_-_B1"/>
      <sheetName val="pg_43"/>
      <sheetName val="Subcon_A3"/>
      <sheetName val="bill_22"/>
      <sheetName val="MATERIAL'S_PRICE2"/>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견적서표지0204-2_(2)1"/>
      <sheetName val="Piping_Spool1"/>
      <sheetName val="Cost_Definition1"/>
      <sheetName val="견적_원가_1"/>
      <sheetName val="page_63"/>
      <sheetName val="P-Ins_&amp;_Bonds2"/>
      <sheetName val="P-Site_fac2"/>
      <sheetName val="P-Clients_fac2"/>
      <sheetName val="P_Staff_fac2"/>
      <sheetName val="factor_2"/>
      <sheetName val="vlookup_-_do_not_print2"/>
      <sheetName val="Rate_Analysis2"/>
      <sheetName val="ITB_COST2"/>
      <sheetName val="19_05_20102"/>
      <sheetName val="Earthworks_ERP2"/>
      <sheetName val="24_06_20102"/>
      <sheetName val="Small_Structures_ERP2"/>
      <sheetName val="Large_Structures_ERP2"/>
      <sheetName val="Tunnelling_ERP2"/>
      <sheetName val="Civil_Weekly2"/>
      <sheetName val="Pricing_Summary2"/>
      <sheetName val="Net_Cost_-_Final_Base2"/>
      <sheetName val="7_6Net_Cost_Agreed_on_Dec-04_R3"/>
      <sheetName val="Net_Cost_Agreed_on_Dec-04_Rev12"/>
      <sheetName val="7_6_Net_Cost_Agreed_on_Dec-042"/>
      <sheetName val="Net_Cost_Agreed_on_Dec-042"/>
      <sheetName val="Total_for_Check2"/>
      <sheetName val="_N_Finansal_Eğri2"/>
      <sheetName val="0_0_Cover2"/>
      <sheetName val="Hoja_32"/>
      <sheetName val="Drop_Down2"/>
      <sheetName val="Source_Data2"/>
      <sheetName val="CAPEX_Categories2"/>
      <sheetName val="RFP003_Building_-_B2"/>
      <sheetName val="pg_44"/>
      <sheetName val="Subcon_A4"/>
      <sheetName val="bill_23"/>
      <sheetName val="MATERIAL'S_PRICE3"/>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견적서표지0204-2_(2)2"/>
      <sheetName val="Piping_Spool2"/>
      <sheetName val="Cost_Definition2"/>
      <sheetName val="견적_원가_2"/>
      <sheetName val="SUM_FSBLT12"/>
      <sheetName val="FWBS_900012"/>
      <sheetName val="Overall_Project12"/>
      <sheetName val="Overall_Process12"/>
      <sheetName val="Overall_Utility12"/>
      <sheetName val="FWBS_100012"/>
      <sheetName val="FWBS_200012"/>
      <sheetName val="FWBS_300012"/>
      <sheetName val="FWBS_500012"/>
      <sheetName val="FWBS_600012"/>
      <sheetName val="FWBS_700012"/>
      <sheetName val="FWBS_800012"/>
      <sheetName val="FWBS_A00012"/>
      <sheetName val="FWBS_B00012"/>
      <sheetName val="FWBS_Z00012"/>
      <sheetName val="INVOICE_CERT_EIV'S11"/>
      <sheetName val="Onerous_Terms11"/>
      <sheetName val="Building_BD11"/>
      <sheetName val="_Sum11"/>
      <sheetName val="실제_도면출도10"/>
      <sheetName val="공사비_내역_(가)10"/>
      <sheetName val="plan&amp;section_of_foundation10"/>
      <sheetName val="design_criteria10"/>
      <sheetName val="w't_table10"/>
      <sheetName val="33628-Rev__A10"/>
      <sheetName val="Progress_Tab10"/>
      <sheetName val="BM_DATA_SHEET10"/>
      <sheetName val="Eq__Mobilization10"/>
      <sheetName val="입찰내역_발주처_양식10"/>
      <sheetName val="M_1110"/>
      <sheetName val="REINF_10"/>
      <sheetName val="PC_CATCH_PIT_1X1X1_2M9"/>
      <sheetName val="PC_CATCH_PIT__6X_6X1_0M9"/>
      <sheetName val="PC_COVER_100MM_THK__95x_39"/>
      <sheetName val="PC_COVER_250MM_THK_2_2x_39"/>
      <sheetName val="Chiet_tinh_dz359"/>
      <sheetName val="member_design9"/>
      <sheetName val="3__GROUNDING_SYSTEM10"/>
      <sheetName val="working_load_at_the_btm_ft_9"/>
      <sheetName val="soil_bearing_check9"/>
      <sheetName val="Adjusted_Bids9"/>
      <sheetName val="Concept_Offshore9"/>
      <sheetName val="A(Rev_3)9"/>
      <sheetName val="Running_compatibility_check_9"/>
      <sheetName val="Running_compatibility_check__x4"/>
      <sheetName val="Running_compatibility_check_?A4"/>
      <sheetName val="Running_compatibility_check__A4"/>
      <sheetName val="List_of_WorkPacks4"/>
      <sheetName val="List_of_Dates4"/>
      <sheetName val="A_(2)4"/>
      <sheetName val="WORKSHEET_CS4"/>
      <sheetName val="DO_NOT_Delete4"/>
      <sheetName val="00-Summary_Information-ABB4"/>
      <sheetName val="Direct_Prices4"/>
      <sheetName val="_Planning&amp;reporting_xlsM9000-A4"/>
      <sheetName val="page_64"/>
      <sheetName val="P-Ins_&amp;_Bonds3"/>
      <sheetName val="P-Site_fac3"/>
      <sheetName val="P-Clients_fac3"/>
      <sheetName val="P_Staff_fac3"/>
      <sheetName val="factor_3"/>
      <sheetName val="vlookup_-_do_not_print3"/>
      <sheetName val="Rate_Analysis3"/>
      <sheetName val="ITB_COST3"/>
      <sheetName val="19_05_20103"/>
      <sheetName val="Earthworks_ERP3"/>
      <sheetName val="24_06_20103"/>
      <sheetName val="Small_Structures_ERP3"/>
      <sheetName val="Large_Structures_ERP3"/>
      <sheetName val="Tunnelling_ERP3"/>
      <sheetName val="Civil_Weekly3"/>
      <sheetName val="Pricing_Summary3"/>
      <sheetName val="Net_Cost_-_Final_Base3"/>
      <sheetName val="7_6Net_Cost_Agreed_on_Dec-04_R4"/>
      <sheetName val="Net_Cost_Agreed_on_Dec-04_Rev13"/>
      <sheetName val="7_6_Net_Cost_Agreed_on_Dec-043"/>
      <sheetName val="Net_Cost_Agreed_on_Dec-043"/>
      <sheetName val="Total_for_Check3"/>
      <sheetName val="_N_Finansal_Eğri3"/>
      <sheetName val="0_0_Cover3"/>
      <sheetName val="Hoja_33"/>
      <sheetName val="Drop_Down3"/>
      <sheetName val="Source_Data3"/>
      <sheetName val="CAPEX_Categories3"/>
      <sheetName val="RFP003_Building_-_B3"/>
      <sheetName val="pg_45"/>
      <sheetName val="Subcon_A5"/>
      <sheetName val="bill_24"/>
      <sheetName val="MATERIAL'S_PRICE4"/>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견적서표지0204-2_(2)3"/>
      <sheetName val="Piping_Spool3"/>
      <sheetName val="Cost_Definition3"/>
      <sheetName val="견적_원가_3"/>
      <sheetName val="PERHITUNGAN__KEEKONOMIAN1"/>
      <sheetName val="Total_Staff1"/>
      <sheetName val="0__SUMMARY1"/>
      <sheetName val="1__Engineering1"/>
      <sheetName val="2__Check_point1"/>
      <sheetName val="II_Changes_11"/>
      <sheetName val="III_Changes_21"/>
      <sheetName val="Qty_1"/>
      <sheetName val="OQC_Summary1"/>
      <sheetName val="6_Unit_Rates1"/>
      <sheetName val="AEROGEL_CAL1"/>
      <sheetName val="CRYG_THKMM1"/>
      <sheetName val="ITB_REVIEW1"/>
      <sheetName val="SPCS_SUMM_1"/>
      <sheetName val="ESTI__SUMM_1"/>
      <sheetName val="Price_Summary1"/>
      <sheetName val="Acc_Stock-INSUL1"/>
      <sheetName val="97_사업추정(WEKI)1"/>
      <sheetName val="Overall_MTO_-_20191001_(old)1"/>
      <sheetName val="MTO_for_BMBQ1"/>
      <sheetName val="BQ_Reff1"/>
      <sheetName val="Sum_of_Comparison-201910071"/>
      <sheetName val="Joint_No_1"/>
      <sheetName val="Unit_Weight1"/>
      <sheetName val="Detail_PMC1"/>
      <sheetName val="Detail_PMC_(for_full_desc)1"/>
      <sheetName val="Bolt_Size1"/>
      <sheetName val="NDE_Req1"/>
      <sheetName val="Tgh_JGC-Inv_I_clp1"/>
      <sheetName val="PCS_1"/>
      <sheetName val="Progress_Statement-SI1"/>
      <sheetName val="Progress_Payment-3110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JK_Price_sheet1"/>
      <sheetName val="TP_Price_sheet1"/>
      <sheetName val="Phase_1_JK_UTSE1"/>
      <sheetName val="Phase_2_JK_UTSE1"/>
      <sheetName val="Phase_1_and_2_JK_UTSE1"/>
      <sheetName val="Phase_1_TP_UTSE1"/>
      <sheetName val="Phase_2_TP_UTSE1"/>
      <sheetName val="Phase_1_and_2_TP_UTSE1"/>
      <sheetName val="Cash_Flow_(BL)1"/>
      <sheetName val="Cash_Flow_(UTSE)1"/>
      <sheetName val="INDIRECT_OH&amp;P_1"/>
      <sheetName val="Salary_20131"/>
      <sheetName val="Summary_(3)1"/>
      <sheetName val="RRW_Scaff1"/>
      <sheetName val="RRW_Oct-2019-1st_Lot-13-10-191"/>
      <sheetName val="RRW_Oct-2019-2st_Lot-15-10-191"/>
      <sheetName val="Cable_Schedule1"/>
      <sheetName val="Report_Wizard1"/>
      <sheetName val="Initial_Plan1"/>
      <sheetName val="GeneralFeedDevices_Labels"/>
      <sheetName val="CalmingSection_Labels"/>
      <sheetName val="Welcome"/>
      <sheetName val="tifico"/>
      <sheetName val="QMS Rev 3"/>
      <sheetName val="QMS Rev 2"/>
      <sheetName val="Rebar Assembly Progress"/>
      <sheetName val="GI Steps Progress Final"/>
      <sheetName val="QW Trench"/>
      <sheetName val="Page 1 of 5"/>
      <sheetName val="Sheet 14"/>
      <sheetName val="Riesgos y Oportunidades"/>
      <sheetName val="Process"/>
      <sheetName val="Manpower_List-1"/>
      <sheetName val="SUMMARY_FOR_DPR"/>
      <sheetName val="Index_Daily_Alloaction"/>
      <sheetName val="Manpower_List"/>
      <sheetName val="A_&amp;_B"/>
      <sheetName val="Manpower_List-11"/>
      <sheetName val="SUMMARY_FOR_DPR1"/>
      <sheetName val="Index_Daily_Alloaction1"/>
      <sheetName val="Manpower_List1"/>
      <sheetName val="A_&amp;_B1"/>
      <sheetName val="Vaccari  EST INQ-Stat. Summ "/>
      <sheetName val="견적의뢰"/>
      <sheetName val="OUTER_AREA(겹침없음)"/>
      <sheetName val="Prog-Chart"/>
      <sheetName val="kalibrasi-Tank"/>
      <sheetName val="뜃맟뭁돽띿맟_r"/>
      <sheetName val="뜃맟뭁돽띿맟_㥲ꖄ쐀㬣ꠂ"/>
      <sheetName val="뜃맟뭁돽띿맟_衲裿㤁䲄쐀"/>
      <sheetName val="Komponen Upah"/>
      <sheetName val="Inkindo 2015"/>
      <sheetName val="노임이"/>
      <sheetName val="Estimate"/>
      <sheetName val="Raw Data"/>
      <sheetName val="AOP Summary-2"/>
      <sheetName val="Fig_4-14"/>
      <sheetName val="Fig_5-17"/>
      <sheetName val="Table"/>
      <sheetName val="ANX3A65"/>
      <sheetName val="PLSt 03  "/>
      <sheetName val="П 7 курс аванса"/>
      <sheetName val="Rekapitulasi"/>
      <sheetName val="INFO UMUM"/>
      <sheetName val="DET 1"/>
      <sheetName val="DET 2"/>
      <sheetName val="BASIC PRICE"/>
      <sheetName val="QUARRY"/>
      <sheetName val=" GULF"/>
      <sheetName val="ENG-101"/>
      <sheetName val="DIV.1"/>
      <sheetName val="WKFRM"/>
      <sheetName val="6PILE  (돌출)"/>
      <sheetName val="0.품의서(전체)"/>
      <sheetName val="LAST UPDATE"/>
      <sheetName val="personnel loading"/>
      <sheetName val="MAY 00-Bobbins"/>
      <sheetName val="U_A Input"/>
      <sheetName val="Equipt Rental"/>
      <sheetName val="Activity(new)"/>
      <sheetName val="Total(new)"/>
      <sheetName val="UPA(Part C,D,E,G,H)"/>
      <sheetName val="UPA(Part F)"/>
      <sheetName val="Materials"/>
      <sheetName val="일위대가 (Part C,D,E,G,H)"/>
      <sheetName val="실행철강하도"/>
      <sheetName val="BOQ건축"/>
      <sheetName val="손익차총괄2"/>
      <sheetName val="CIM"/>
      <sheetName val="h-013211-2"/>
      <sheetName val="FlujoTJ"/>
      <sheetName val="BD_LL"/>
      <sheetName val="Daily Forwards"/>
      <sheetName val="调价系数"/>
      <sheetName val="Condicion"/>
      <sheetName val="13-List"/>
      <sheetName val="total1"/>
      <sheetName val="sis.xlm"/>
      <sheetName val="Tipo de Cambio"/>
      <sheetName val="운반"/>
      <sheetName val="HRG BAHAN &amp; UPAH okk"/>
      <sheetName val="Analis Kusen okk"/>
      <sheetName val="Inputs_Sens"/>
      <sheetName val="IS_Sum_CM"/>
      <sheetName val="RAB"/>
      <sheetName val="Bahan"/>
      <sheetName val="BUL"/>
      <sheetName val="MC-1"/>
      <sheetName val="Retaining wall &amp; Top Up"/>
      <sheetName val="매립"/>
      <sheetName val="Table_Rates_Data"/>
      <sheetName val="Summary_(3)2"/>
      <sheetName val="RRW_Scaff2"/>
      <sheetName val="RRW_Oct-2019-1st_Lot-13-10-192"/>
      <sheetName val="RRW_Oct-2019-2st_Lot-15-10-192"/>
      <sheetName val="JK_Price_sheet2"/>
      <sheetName val="TP_Price_sheet2"/>
      <sheetName val="Phase_1_JK_UTSE2"/>
      <sheetName val="Phase_2_JK_UTSE2"/>
      <sheetName val="Phase_1_and_2_JK_UTSE2"/>
      <sheetName val="Phase_1_TP_UTSE2"/>
      <sheetName val="Phase_2_TP_UTSE2"/>
      <sheetName val="Phase_1_and_2_TP_UTSE2"/>
      <sheetName val="Cash_Flow_(BL)2"/>
      <sheetName val="Cash_Flow_(UTSE)2"/>
      <sheetName val="2_042"/>
      <sheetName val="2_052"/>
      <sheetName val="2_07_&amp;_2_082"/>
      <sheetName val="3_012"/>
      <sheetName val="3_022"/>
      <sheetName val="3_032"/>
      <sheetName val="ecart_Personnel2"/>
      <sheetName val="Ecart_Others2"/>
      <sheetName val="Other_costs2"/>
      <sheetName val="3000_Steel_str2"/>
      <sheetName val="5000_Equipments2"/>
      <sheetName val="6000_Piping2"/>
      <sheetName val="7000_Instrumentation2"/>
      <sheetName val="8000_Electrical2"/>
      <sheetName val="per_supplier2"/>
      <sheetName val="Pivot_ledger2"/>
      <sheetName val="Pivot_ENT2"/>
      <sheetName val="Pivot_MAD2"/>
      <sheetName val="PERHITUNGAN__KEEKONOMIAN2"/>
      <sheetName val="Total_Staff2"/>
      <sheetName val="0__SUMMARY2"/>
      <sheetName val="1__Engineering2"/>
      <sheetName val="2__Check_point2"/>
      <sheetName val="II_Changes_12"/>
      <sheetName val="III_Changes_22"/>
      <sheetName val="Qty_2"/>
      <sheetName val="OQC_Summary2"/>
      <sheetName val="6_Unit_Rates2"/>
      <sheetName val="AEROGEL_CAL2"/>
      <sheetName val="CRYG_THKMM2"/>
      <sheetName val="ITB_REVIEW2"/>
      <sheetName val="SPCS_SUMM_2"/>
      <sheetName val="ESTI__SUMM_2"/>
      <sheetName val="Price_Summary2"/>
      <sheetName val="Acc_Stock-INSUL2"/>
      <sheetName val="97_사업추정(WEKI)2"/>
      <sheetName val="Overall_MTO_-_20191001_(old)2"/>
      <sheetName val="MTO_for_BMBQ2"/>
      <sheetName val="BQ_Reff2"/>
      <sheetName val="Sum_of_Comparison-201910072"/>
      <sheetName val="Joint_No_2"/>
      <sheetName val="Unit_Weight2"/>
      <sheetName val="Detail_PMC2"/>
      <sheetName val="Detail_PMC_(for_full_desc)2"/>
      <sheetName val="Bolt_Size2"/>
      <sheetName val="NDE_Req2"/>
      <sheetName val="Tgh_JGC-Inv_I_clp2"/>
      <sheetName val="PCS_2"/>
      <sheetName val="Progress_Statement-SI2"/>
      <sheetName val="Progress_Payment-31102"/>
      <sheetName val="Manpower_List-12"/>
      <sheetName val="SUMMARY_FOR_DPR2"/>
      <sheetName val="Index_Daily_Alloaction2"/>
      <sheetName val="Manpower_List2"/>
      <sheetName val="A_&amp;_B2"/>
      <sheetName val="VESSELS_"/>
      <sheetName val="方案1表二"/>
      <sheetName val="HIOS 93 thru 96"/>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refreshError="1"/>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refreshError="1"/>
      <sheetData sheetId="801" refreshError="1"/>
      <sheetData sheetId="802"/>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sheetData sheetId="829" refreshError="1"/>
      <sheetData sheetId="830"/>
      <sheetData sheetId="831"/>
      <sheetData sheetId="832"/>
      <sheetData sheetId="833"/>
      <sheetData sheetId="834"/>
      <sheetData sheetId="835"/>
      <sheetData sheetId="836"/>
      <sheetData sheetId="837"/>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sheetData sheetId="1221"/>
      <sheetData sheetId="1222"/>
      <sheetData sheetId="1223"/>
      <sheetData sheetId="1224"/>
      <sheetData sheetId="1225"/>
      <sheetData sheetId="1226"/>
      <sheetData sheetId="1227"/>
      <sheetData sheetId="1228"/>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refreshError="1"/>
      <sheetData sheetId="1431" refreshError="1"/>
      <sheetData sheetId="1432" refreshError="1"/>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refreshError="1"/>
      <sheetData sheetId="1686" refreshError="1"/>
      <sheetData sheetId="1687" refreshError="1"/>
      <sheetData sheetId="1688" refreshError="1"/>
      <sheetData sheetId="1689"/>
      <sheetData sheetId="1690"/>
      <sheetData sheetId="1691"/>
      <sheetData sheetId="1692"/>
      <sheetData sheetId="1693"/>
      <sheetData sheetId="1694" refreshError="1"/>
      <sheetData sheetId="1695" refreshError="1"/>
      <sheetData sheetId="1696" refreshError="1"/>
      <sheetData sheetId="1697"/>
      <sheetData sheetId="1698"/>
      <sheetData sheetId="1699"/>
      <sheetData sheetId="1700"/>
      <sheetData sheetId="1701"/>
      <sheetData sheetId="1702"/>
      <sheetData sheetId="1703"/>
      <sheetData sheetId="1704"/>
      <sheetData sheetId="1705"/>
      <sheetData sheetId="1706"/>
      <sheetData sheetId="1707"/>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refreshError="1"/>
      <sheetData sheetId="1848" refreshError="1"/>
      <sheetData sheetId="184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Sensitivities"/>
      <sheetName val="Economic setup"/>
      <sheetName val="Fiscal &amp; PSC Variations"/>
      <sheetName val="Output"/>
      <sheetName val="Summary Results"/>
      <sheetName val="P&amp;B Summary"/>
      <sheetName val="Cashflow Analysis"/>
      <sheetName val="US Tax Sensitivity"/>
      <sheetName val="Book Earnings and ROCE"/>
      <sheetName val="Cashflow and Earnings Profile"/>
      <sheetName val="Blk. 212 Bonga Expl.  8-30-97 "/>
      <sheetName val="Expl. blk. 212  8-22-96"/>
      <sheetName val="Expl. blk. 212  8-15-97 mid-yr"/>
      <sheetName val="Blk 316 Abo Expl. "/>
      <sheetName val="Blk 219 Ngolo Expl"/>
      <sheetName val="Blk 219 Ngolo Expl. (2)"/>
      <sheetName val="Prices"/>
      <sheetName val="Inflation"/>
      <sheetName val="Financing"/>
      <sheetName val="Transportation"/>
      <sheetName val="PPT graphic"/>
      <sheetName val="Schedules"/>
      <sheetName val="Data initialization"/>
      <sheetName val="Module1"/>
      <sheetName val="Module2"/>
      <sheetName val="Module3"/>
      <sheetName val="US Tax Sensitivity (3)"/>
      <sheetName val="US Tax Sensitivity (2)"/>
      <sheetName val=""/>
      <sheetName val="Menu"/>
      <sheetName val="DATA BASE_From_COSMOS"/>
      <sheetName val="산근"/>
      <sheetName val="기성내역"/>
      <sheetName val="갑지"/>
      <sheetName val="Economic_setup"/>
      <sheetName val="Fiscal_&amp;_PSC_Variations"/>
      <sheetName val="Summary_Results"/>
      <sheetName val="P&amp;B_Summary"/>
      <sheetName val="Cashflow_Analysis"/>
      <sheetName val="US_Tax_Sensitivity"/>
      <sheetName val="Book_Earnings_and_ROCE"/>
      <sheetName val="Cashflow_and_Earnings_Profile"/>
      <sheetName val="Blk__212_Bonga_Expl___8-30-97_"/>
      <sheetName val="Expl__blk__212__8-22-96"/>
      <sheetName val="Expl__blk__212__8-15-97_mid-yr"/>
      <sheetName val="Blk_316_Abo_Expl__"/>
      <sheetName val="Blk_219_Ngolo_Expl"/>
      <sheetName val="Blk_219_Ngolo_Expl__(2)"/>
      <sheetName val="PPT_graphic"/>
      <sheetName val="Data_initialization"/>
      <sheetName val="US_Tax_Sensitivity_(3)"/>
      <sheetName val="US_Tax_Sensitivity_(2)"/>
      <sheetName val="Economic_setup1"/>
      <sheetName val="Fiscal_&amp;_PSC_Variations1"/>
      <sheetName val="Summary_Results1"/>
      <sheetName val="P&amp;B_Summary1"/>
      <sheetName val="Cashflow_Analysis1"/>
      <sheetName val="US_Tax_Sensitivity1"/>
      <sheetName val="Book_Earnings_and_ROCE1"/>
      <sheetName val="Cashflow_and_Earnings_Profile1"/>
      <sheetName val="Blk__212_Bonga_Expl___8-30-97_1"/>
      <sheetName val="Expl__blk__212__8-22-961"/>
      <sheetName val="Expl__blk__212__8-15-97_mid-yr1"/>
      <sheetName val="Blk_316_Abo_Expl__1"/>
      <sheetName val="Blk_219_Ngolo_Expl1"/>
      <sheetName val="Blk_219_Ngolo_Expl__(2)1"/>
      <sheetName val="PPT_graphic1"/>
      <sheetName val="Data_initialization1"/>
      <sheetName val="US_Tax_Sensitivity_(3)1"/>
      <sheetName val="US_Tax_Sensitivity_(2)1"/>
      <sheetName val="DATA_BASE_From_COSMOS"/>
      <sheetName val="OrgRates2000"/>
      <sheetName val="운반"/>
      <sheetName val="ProArcInfo"/>
      <sheetName val="SILICATE"/>
      <sheetName val="EQUIPOS"/>
      <sheetName val="Finansal tamamlanma Eğrisi"/>
      <sheetName val="BQMPALOC"/>
      <sheetName val="Analisa"/>
      <sheetName val="WIP"/>
      <sheetName val="Takeoff"/>
      <sheetName val="E1"/>
      <sheetName val="Units"/>
      <sheetName val="人工时台账"/>
      <sheetName val="Home Office"/>
      <sheetName val="당초"/>
      <sheetName val="Bond &amp; Stamp"/>
      <sheetName val="Summary"/>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SSS_SSE MOD "/>
      <sheetName val="Sheet1"/>
      <sheetName val="Sheet2"/>
      <sheetName val="TIPO 1"/>
      <sheetName val="Eq. Mobilization"/>
      <sheetName val="T6"/>
      <sheetName val="4. VO and VORRegister "/>
      <sheetName val="MH Unit Rate Table-NET"/>
      <sheetName val="Economic_setup2"/>
      <sheetName val="Fiscal_&amp;_PSC_Variations2"/>
      <sheetName val="Summary_Results2"/>
      <sheetName val="P&amp;B_Summary2"/>
      <sheetName val="Cashflow_Analysis2"/>
      <sheetName val="US_Tax_Sensitivity2"/>
      <sheetName val="Book_Earnings_and_ROCE2"/>
      <sheetName val="Cashflow_and_Earnings_Profile2"/>
      <sheetName val="Blk__212_Bonga_Expl___8-30-97_2"/>
      <sheetName val="Expl__blk__212__8-22-962"/>
      <sheetName val="Expl__blk__212__8-15-97_mid-yr2"/>
      <sheetName val="Blk_316_Abo_Expl__2"/>
      <sheetName val="Blk_219_Ngolo_Expl2"/>
      <sheetName val="Blk_219_Ngolo_Expl__(2)2"/>
      <sheetName val="PPT_graphic2"/>
      <sheetName val="Data_initialization2"/>
      <sheetName val="US_Tax_Sensitivity_(3)2"/>
      <sheetName val="US_Tax_Sensitivity_(2)2"/>
      <sheetName val="DATA_BASE_From_COSMOS1"/>
      <sheetName val="4__VO_and_VORRegister_"/>
      <sheetName val="MH_Unit_Rate_Table-NET"/>
      <sheetName val="Finansal_tamamlanma_Eğrisi"/>
      <sheetName val="Home_Office"/>
      <sheetName val="Economic_setup3"/>
      <sheetName val="Fiscal_&amp;_PSC_Variations3"/>
      <sheetName val="Summary_Results3"/>
      <sheetName val="P&amp;B_Summary3"/>
      <sheetName val="Cashflow_Analysis3"/>
      <sheetName val="US_Tax_Sensitivity3"/>
      <sheetName val="Book_Earnings_and_ROCE3"/>
      <sheetName val="Cashflow_and_Earnings_Profile3"/>
      <sheetName val="Blk__212_Bonga_Expl___8-30-97_3"/>
      <sheetName val="Expl__blk__212__8-22-963"/>
      <sheetName val="Expl__blk__212__8-15-97_mid-yr3"/>
      <sheetName val="Blk_316_Abo_Expl__3"/>
      <sheetName val="Blk_219_Ngolo_Expl3"/>
      <sheetName val="Blk_219_Ngolo_Expl__(2)3"/>
      <sheetName val="PPT_graphic3"/>
      <sheetName val="Data_initialization3"/>
      <sheetName val="US_Tax_Sensitivity_(3)3"/>
      <sheetName val="US_Tax_Sensitivity_(2)3"/>
      <sheetName val="DATA_BASE_From_COSMOS2"/>
      <sheetName val="4__VO_and_VORRegister_1"/>
      <sheetName val="MH_Unit_Rate_Table-NET1"/>
      <sheetName val="Lista"/>
      <sheetName val="FitOutConfCentre"/>
      <sheetName val="TemplateMngr"/>
      <sheetName val="Fiscal Inputs"/>
      <sheetName val="laroux"/>
      <sheetName val="Riesgos y Oportunidades"/>
      <sheetName val="Piping Design Data"/>
      <sheetName val="EQUIPMENT -2"/>
      <sheetName val="l1en 0290 cost 31-03-2015"/>
      <sheetName val="TARIFS"/>
      <sheetName val="TABLO-3"/>
      <sheetName val="12CGOU"/>
      <sheetName val="I&amp;C"/>
      <sheetName val="I&amp;C - Cabling "/>
      <sheetName val="Construction COST BASE COMPAR"/>
      <sheetName val="Resumen Tabs. GAS"/>
      <sheetName val="CIVIL WORKS _GAS"/>
      <sheetName val="Resumen Tabs. GIS"/>
      <sheetName val="CIVIL WORKS _GIS"/>
      <sheetName val="PILING_GIS"/>
      <sheetName val="Buildings List"/>
      <sheetName val="EXC-BOW"/>
      <sheetName val="1 BOP"/>
      <sheetName val="Summary MEC "/>
      <sheetName val="Am. II OH&amp;P ICC"/>
      <sheetName val="PIPING"/>
      <sheetName val="Cronograma"/>
      <sheetName val="Histograma"/>
      <sheetName val="ACC"/>
      <sheetName val="INS_Piping"/>
      <sheetName val="PAINT_Piping"/>
      <sheetName val="  INST 2 BOP"/>
      <sheetName val="  INST 1 BOP"/>
      <sheetName val="bqmp"/>
      <sheetName val="Rail"/>
      <sheetName val="Trucks &amp; Containers"/>
      <sheetName val="Input"/>
      <sheetName val="ALLOWANCE"/>
      <sheetName val="MH RATE"/>
      <sheetName val="EQT-ESTN"/>
      <sheetName val="Personnel"/>
      <sheetName val="ERECIN"/>
      <sheetName val="Cal"/>
      <sheetName val="drum"/>
      <sheetName val="Bond_&amp;_Stamp"/>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SSS_SSE_MOD_"/>
      <sheetName val="Finansal_tamamlanma_Eğrisi1"/>
      <sheetName val="Home_Office1"/>
      <sheetName val="Bond_&amp;_Stamp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SSS_SSE_MOD_1"/>
      <sheetName val="A"/>
      <sheetName val="inter"/>
      <sheetName val="XZLC003_PART1"/>
      <sheetName val="ESCON"/>
      <sheetName val="SEX"/>
      <sheetName val="tifico"/>
      <sheetName val="I&amp;C_-_Cabling_"/>
      <sheetName val="Construction_COST_BASE_COMPAR"/>
      <sheetName val="Resumen_Tabs__GAS"/>
      <sheetName val="CIVIL_WORKS__GAS"/>
      <sheetName val="Resumen_Tabs__GIS"/>
      <sheetName val="CIVIL_WORKS__GIS"/>
      <sheetName val="Buildings_List"/>
      <sheetName val="1_BOP"/>
      <sheetName val="Summary_MEC_"/>
      <sheetName val="Am__II_OH&amp;P_ICC"/>
      <sheetName val="__INST_2_BOP"/>
      <sheetName val="__INST_1_BOP"/>
      <sheetName val="Riesgos_y_Oportunidades"/>
      <sheetName val="Piping_Design_Data"/>
      <sheetName val="EQUIPMENT_-2"/>
      <sheetName val="Trucks_&amp;_Containers"/>
      <sheetName val="MH_RATE"/>
      <sheetName val="Economic_setup4"/>
      <sheetName val="Fiscal_&amp;_PSC_Variations4"/>
      <sheetName val="Summary_Results4"/>
      <sheetName val="P&amp;B_Summary4"/>
      <sheetName val="Cashflow_Analysis4"/>
      <sheetName val="US_Tax_Sensitivity4"/>
      <sheetName val="Book_Earnings_and_ROCE4"/>
      <sheetName val="Cashflow_and_Earnings_Profile4"/>
      <sheetName val="Blk__212_Bonga_Expl___8-30-97_4"/>
      <sheetName val="Expl__blk__212__8-22-964"/>
      <sheetName val="Expl__blk__212__8-15-97_mid-yr4"/>
      <sheetName val="Blk_316_Abo_Expl__4"/>
      <sheetName val="Blk_219_Ngolo_Expl4"/>
      <sheetName val="Blk_219_Ngolo_Expl__(2)4"/>
      <sheetName val="PPT_graphic4"/>
      <sheetName val="Data_initialization4"/>
      <sheetName val="US_Tax_Sensitivity_(3)4"/>
      <sheetName val="US_Tax_Sensitivity_(2)4"/>
      <sheetName val="DATA_BASE_From_COSMOS3"/>
      <sheetName val="Finansal_tamamlanma_Eğrisi2"/>
      <sheetName val="Home_Office2"/>
      <sheetName val="Bond_&amp;_Stamp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SSS_SSE_MOD_2"/>
      <sheetName val="l1en_0290_cost_31-03-2015"/>
      <sheetName val="B"/>
      <sheetName val="石炭性状"/>
      <sheetName val="EQUIPMENT-PRICE"/>
      <sheetName val="MANPOWER-RATES"/>
      <sheetName val="노임단가"/>
      <sheetName val="AC"/>
      <sheetName val="PipeTable"/>
      <sheetName val="DAFTAR BAHAN DAN UPAH"/>
      <sheetName val="Курсы"/>
      <sheetName val="Register"/>
      <sheetName val="Riesgos_y_Oportunidades1"/>
      <sheetName val="Piping_Design_Data1"/>
      <sheetName val="EQUIPMENT_-21"/>
      <sheetName val="l1en_0290_cost_31-03-20151"/>
      <sheetName val="Topsides Fab Detail"/>
      <sheetName val="Validation"/>
      <sheetName val="Working Interest and EFs"/>
      <sheetName val="Lookups"/>
      <sheetName val="LOOK UP KEY"/>
      <sheetName val="BP Economics"/>
      <sheetName val="Dropdown options for lookups"/>
      <sheetName val="Global &amp; PSA Inputs"/>
      <sheetName val="15. DEMOUNTING"/>
      <sheetName val="16.EQUIP. ERECTION (UNIT RATES)"/>
      <sheetName val="19. FIREPROOFING"/>
      <sheetName val="3.METALLIC PIPING ERECTION"/>
      <sheetName val="2.METALLIC PIPING PREFABR."/>
      <sheetName val="3a.METALLIC PIPING ER_REVAMPING"/>
      <sheetName val="14. MISCELLANEOUS "/>
      <sheetName val="8.NDT "/>
      <sheetName val="6.NON METALLIC PIPING ERECTION"/>
      <sheetName val="5.NON METALLIC PIPING PREFABR."/>
      <sheetName val="17. PAINTING "/>
      <sheetName val="12.PIPING PRESSURE TEST"/>
      <sheetName val="9.PWHT"/>
      <sheetName val="4.STEAM TRACING"/>
      <sheetName val="11.SUPPORTS"/>
      <sheetName val="7.TIE-INS (UNIT RATES)"/>
      <sheetName val="10.VALVES AND FLANGED CONN."/>
      <sheetName val="13.WRAPPING"/>
      <sheetName val="G2TempSheet"/>
      <sheetName val="Utility and Fire flange"/>
      <sheetName val="Uls"/>
      <sheetName val="template"/>
      <sheetName val="6PILE  (돌출)"/>
      <sheetName val="GJB"/>
      <sheetName val="SPT vs PHI"/>
      <sheetName val="TIPO_1"/>
      <sheetName val="Eq__Mobilization"/>
      <sheetName val="FA RM-MAC'07"/>
      <sheetName val="cashflow"/>
      <sheetName val="PROCPLAN-TOTAL"/>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refreshError="1"/>
      <sheetData sheetId="338" refreshError="1"/>
      <sheetData sheetId="339"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Pull-Down Menus"/>
      <sheetName val="P. 1"/>
      <sheetName val="P. 2"/>
      <sheetName val="P. 3"/>
      <sheetName val="P. 4"/>
      <sheetName val="P. 5"/>
      <sheetName val="P. 6"/>
      <sheetName val="P. 7"/>
      <sheetName val="P. 8"/>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
      <sheetName val="집계표_OPTION_"/>
      <sheetName val="당초"/>
      <sheetName val="단가(자재)"/>
      <sheetName val="단가(노임)"/>
      <sheetName val="기초목록"/>
      <sheetName val="노임단가"/>
      <sheetName val="예산"/>
      <sheetName val="KP1590_E"/>
      <sheetName val="VC2 10.99"/>
      <sheetName val="영업3"/>
      <sheetName val="영업2"/>
      <sheetName val="1월"/>
      <sheetName val="Sheet1"/>
      <sheetName val="BQMPALOC"/>
      <sheetName val="inter"/>
      <sheetName val="공문"/>
      <sheetName val="금액내역서"/>
      <sheetName val="??"/>
      <sheetName val="ERECIN"/>
      <sheetName val="INPUT DATA"/>
      <sheetName val="집계표 (25,26ဩ"/>
      <sheetName val="BQ_Utl_Off"/>
      <sheetName val="General Data"/>
      <sheetName val="»ê±Ù"/>
      <sheetName val="12CGOU"/>
      <sheetName val="경영혁신본부"/>
      <sheetName val="Final(1)summary"/>
      <sheetName val="BD集計用"/>
      <sheetName val="수입"/>
      <sheetName val="BM DATA SHEET"/>
      <sheetName val="Form 0"/>
      <sheetName val="COVER"/>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___"/>
      <sheetName val="연돌일위집계"/>
      <sheetName val="갑지"/>
      <sheetName val="세금자료"/>
      <sheetName val="DESCRIPTION"/>
      <sheetName val="Form D-1"/>
      <sheetName val="Form B-1"/>
      <sheetName val="Form F-1"/>
      <sheetName val="Assist(B-1)"/>
      <sheetName val="Form A"/>
      <sheetName val="입출재고현황 (2)"/>
      <sheetName val="__"/>
      <sheetName val="뜃맟뭁돽띿맟?-BLDG"/>
      <sheetName val="기성내역"/>
      <sheetName val="LABOR &amp; 자재"/>
      <sheetName val="제작도"/>
      <sheetName val="DHEQSUPT"/>
      <sheetName val="SANDAN"/>
      <sheetName val="M-EQPT-Z"/>
      <sheetName val="SALA-002"/>
      <sheetName val="DRUM"/>
      <sheetName val="POWER"/>
      <sheetName val="ESCON"/>
      <sheetName val="eq_data"/>
      <sheetName val="뜃맟뭁돽띿맟_-BLDG"/>
      <sheetName val="CB"/>
      <sheetName val="내역ࠜĀM4)"/>
      <sheetName val="주간기성"/>
      <sheetName val="INPUT_DATA"/>
      <sheetName val="General_Data"/>
      <sheetName val="집계표_(25,26ဩ"/>
      <sheetName val="Form_0"/>
      <sheetName val="노임단가표"/>
      <sheetName val="간접비 총괄"/>
      <sheetName val="TTL"/>
      <sheetName val="Lup2"/>
      <sheetName val="BOROUGE2"/>
      <sheetName val="???(OPTION)"/>
      <sheetName val="B"/>
      <sheetName val="3.공통공사대비"/>
      <sheetName val="Price Schedule"/>
      <sheetName val="간접비내역-1"/>
      <sheetName val="당진1,2호기전선관설치및접지4차공사내역서-을지"/>
      <sheetName val="Q&amp;pl-V"/>
      <sheetName val="PRICES"/>
      <sheetName val="INSTR"/>
      <sheetName val="h-013211-2"/>
      <sheetName val="표지"/>
      <sheetName val="Cash2"/>
      <sheetName val="Z"/>
      <sheetName val="내역서 耰&quot;"/>
      <sheetName val="_x0008_"/>
      <sheetName val="비교검토"/>
      <sheetName val="내역서 耰&quot;??"/>
      <sheetName val="24V"/>
      <sheetName val="Rate Analysis"/>
      <sheetName val="合成単価作成表-BLDG"/>
      <sheetName val="CTEMCOST"/>
      <sheetName val="F4-F7"/>
      <sheetName val="CAL."/>
      <sheetName val="EQT-ESTN"/>
      <sheetName val="???¡§????"/>
      <sheetName val="????¢ç¢®¡¿????"/>
      <sheetName val="??????????¢ç??????"/>
      <sheetName val="???????¢ç¢®¢¯????"/>
      <sheetName val="???????®¡¿????"/>
      <sheetName val="??????????????????"/>
      <sheetName val="IN"/>
      <sheetName val="WE'T"/>
      <sheetName val="EQUIPMENT -2"/>
      <sheetName val="찍기"/>
      <sheetName val="A"/>
      <sheetName val="EQUIP"/>
      <sheetName val="실행"/>
      <sheetName val="물량"/>
      <sheetName val="WEIGHT LIST"/>
      <sheetName val="산#2-1 (2)"/>
      <sheetName val="POL6차-PIPING"/>
      <sheetName val="산#3-1"/>
      <sheetName val="BEND LOSS"/>
      <sheetName val="공사비 내역 (가)"/>
      <sheetName val="내역"/>
      <sheetName val="6PILE  (돌출)"/>
      <sheetName val="단면 (2)"/>
      <sheetName val="___(OPTION)"/>
      <sheetName val="내역ࠜĀ_x005f_x005f_x005f_x0000_M4)"/>
      <sheetName val="내역ࠜĀ_x005f_x0000_M4)"/>
      <sheetName val="내역ࠜĀ"/>
      <sheetName val="Data"/>
      <sheetName val="LEGEND"/>
      <sheetName val="jobhist"/>
      <sheetName val="PROCURE"/>
      <sheetName val="기계내역서"/>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Static Equip"/>
      <sheetName val="CAT_5"/>
      <sheetName val="Form A "/>
      <sheetName val="당초내역서"/>
      <sheetName val="내역서 耰&quot;_x005f_x0000__x005f_x0000_"/>
      <sheetName val="_x005f_x0008_"/>
      <sheetName val="SOURCE"/>
      <sheetName val="___¡§____"/>
      <sheetName val="____¢ç¢®¡¿____"/>
      <sheetName val="__________¢ç______"/>
      <sheetName val="_______¢ç¢®¢¯____"/>
      <sheetName val="_______®¡¿____"/>
      <sheetName val="__________________"/>
      <sheetName val="Sheet6"/>
      <sheetName val="갑지(추정)"/>
      <sheetName val="ELEC_DCI"/>
      <sheetName val="INST_DCI"/>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01"/>
      <sheetName val="General_Data1"/>
      <sheetName val="Form_D-1"/>
      <sheetName val="Form_B-1"/>
      <sheetName val="Form_F-1"/>
      <sheetName val="Form_A"/>
      <sheetName val="LABOR_&amp;_자재"/>
      <sheetName val="입출재고현황_(2)"/>
      <sheetName val="3_공통공사대비"/>
      <sheetName val="Compare"/>
      <sheetName val="3.Breakdown Direct Paint"/>
      <sheetName val="Spl"/>
      <sheetName val="BID"/>
      <sheetName val="Quantity"/>
      <sheetName val="내역서 耰&quot;__"/>
      <sheetName val="Summary Sheets"/>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국내"/>
      <sheetName val="간접비_총괄"/>
      <sheetName val="Price_Schedule"/>
      <sheetName val="내역서_耰&quot;"/>
      <sheetName val=""/>
      <sheetName val="EQUIPMENT_-2"/>
      <sheetName val="CAL_"/>
      <sheetName val="Rate_Analysis"/>
      <sheetName val="내역서_耰&quot;??"/>
      <sheetName val="PBS"/>
      <sheetName val="내역ࠜĀ?M4)"/>
      <sheetName val="경영혁신본뷀"/>
      <sheetName val="electrical"/>
      <sheetName val="2.2 STAFF Scedule"/>
      <sheetName val="BCPAB"/>
      <sheetName val="PI"/>
      <sheetName val="입찰품의서"/>
      <sheetName val="EQUIP LIST"/>
      <sheetName val="Z- GENERAL PRICE SUMMARY"/>
      <sheetName val=" Estimate  "/>
      <sheetName val="갑지1"/>
      <sheetName val="내역서 耰&quot;_x005f_x005f_x005f_x0000__x005f_x005f_x0000"/>
      <sheetName val="_x005f_x005f_x005f_x0008_"/>
      <sheetName val="9906"/>
      <sheetName val="계측 내역서"/>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SummaryC"/>
      <sheetName val="Detail"/>
      <sheetName val="인부신상자료"/>
      <sheetName val="Sheet1 (2)"/>
      <sheetName val="수로보호공"/>
      <sheetName val="데이타"/>
      <sheetName val="식재인부"/>
      <sheetName val="입력시트"/>
      <sheetName val="견적"/>
      <sheetName val="내역ࠜĀ_M4)"/>
      <sheetName val="CIVIL"/>
      <sheetName val="ERECT"/>
      <sheetName val="PROSUM"/>
      <sheetName val="EQUIPOS"/>
      <sheetName val="내역ࠜĀ_x005f_x005f_x005f_x005f_x005f_x005f_x005f_x0000_M4"/>
      <sheetName val="내역서 耰&quot;_x005f_x005f_x005f_x005f_x005f_x005f_x005f_x0000_"/>
      <sheetName val="_x005f_x005f_x005f_x005f_x005f_x005f_x005f_x0008_"/>
      <sheetName val="Q-7100-001"/>
      <sheetName val="Administrative Prices"/>
      <sheetName val="Calc"/>
      <sheetName val="WBS 44"/>
      <sheetName val="WBS 41"/>
      <sheetName val="Precios por Administración"/>
      <sheetName val="Resumen"/>
      <sheetName val="Precios Unitarios"/>
      <sheetName val="Subcon A"/>
      <sheetName val="AILC004"/>
      <sheetName val="7. 월별투입내역서"/>
      <sheetName val="내역서_耰&quot;__"/>
      <sheetName val="직재"/>
      <sheetName val="I一般比"/>
      <sheetName val="cable-data"/>
      <sheetName val="T 3"/>
      <sheetName val="HORI. VESSEL"/>
      <sheetName val="cable"/>
      <sheetName val="배관내역"/>
      <sheetName val="수주추정"/>
      <sheetName val="Insts"/>
      <sheetName val="Vind - BtB"/>
      <sheetName val="LV induction motors"/>
      <sheetName val="인원계획"/>
      <sheetName val="BSD (2)"/>
      <sheetName val="MP MOB"/>
      <sheetName val="BATCH"/>
      <sheetName val="내역ࠜĀ_x005f_x005f_x005f_x005f_x005f_x005f_x005f_x005f_x0"/>
      <sheetName val="내역서 耰&quot;_x005f_x005f_x005f_x005f_x005f_x005f_x005f_x005f_"/>
      <sheetName val="All_2"/>
      <sheetName val="내역서"/>
      <sheetName val="Sheet4"/>
      <sheetName val="Form B"/>
      <sheetName val="Material Selections"/>
      <sheetName val="_x0002_뻘N_x0001_ࠀ역서"/>
      <sheetName val="M_DB"/>
      <sheetName val="trf(36%)"/>
      <sheetName val="Monthly Load"/>
      <sheetName val="Weekly Load"/>
      <sheetName val="금융"/>
      <sheetName val="_x005f_x005f_x005f_x005f_x005f_x005f_x005f_x005f_x005f_x005f_"/>
      <sheetName val="Lstsub"/>
      <sheetName val="[SANDAN.XLS??"/>
      <sheetName val="Hot"/>
      <sheetName val="Piping BQ for one turbine"/>
      <sheetName val="criteria"/>
      <sheetName val="sum"/>
      <sheetName val="Summary"/>
      <sheetName val="변경집계표"/>
      <sheetName val="DB@Acess"/>
      <sheetName val="집계표"/>
      <sheetName val="97 사업추정(WEKI)"/>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BOQ-B.DOWN"/>
      <sheetName val="Eq. Mobilization"/>
      <sheetName val="DCS"/>
      <sheetName val="FWBS7000,8000"/>
      <sheetName val="ANALYSER"/>
      <sheetName val="출금실적"/>
      <sheetName val="경영현황"/>
      <sheetName val="RFP002"/>
      <sheetName val="일일총괄"/>
      <sheetName val="_x0004_&#13;_x0003__x0004__x0016_&#13;_x0004_"/>
      <sheetName val="&#10;_x001b__x0006__x0006__x0008_&#10;"/>
      <sheetName val="Basic_Rate"/>
      <sheetName val="appendix_2_5_final_accounts"/>
      <sheetName val="Format"/>
      <sheetName val="Labour"/>
      <sheetName val="Material"/>
      <sheetName val="Sheet1_(2)"/>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Form1.SQP"/>
      <sheetName val="총괄표"/>
      <sheetName val="TDTKP"/>
      <sheetName val="DK-KH"/>
      <sheetName val="수량집계"/>
      <sheetName val="총괄집계표"/>
      <sheetName val="내역서 (∮ἀ嘆ɶ᠀㬁"/>
      <sheetName val="당초_xd8b4_∸ἀ"/>
      <sheetName val="Cal"/>
      <sheetName val="BM-Elec"/>
      <sheetName val="BM-Inst"/>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1350-A"/>
      <sheetName val="목표세부명세"/>
      <sheetName val="중기일위대가"/>
      <sheetName val="중기"/>
      <sheetName val="BREAKDOWN(철거설치)"/>
      <sheetName val="BREAKDOWN(신규설치)"/>
      <sheetName val="SS2"/>
      <sheetName val="품셈"/>
      <sheetName val="HP-Steamdrum"/>
      <sheetName val="한강운반비"/>
      <sheetName val="97"/>
      <sheetName val="MANP"/>
      <sheetName val="C"/>
      <sheetName val="Equipment List"/>
      <sheetName val="info"/>
      <sheetName val="TP"/>
      <sheetName val="General"/>
      <sheetName val="Menus"/>
      <sheetName val="Resource table"/>
      <sheetName val="Resource"/>
      <sheetName val="D-623D"/>
      <sheetName val="SCHEDD TAMBAHAN"/>
      <sheetName val="Preliminaries"/>
      <sheetName val="piping"/>
      <sheetName val="Mech"/>
      <sheetName val="Fire Protection"/>
      <sheetName val="Buildings"/>
      <sheetName val="Instrument"/>
      <sheetName val="입찰내역 발주처 양식"/>
      <sheetName val="원가"/>
      <sheetName val="Total"/>
      <sheetName val="AG Pipe Qty Analysis"/>
      <sheetName val="Heavy Equipments"/>
      <sheetName val="공정계획(내부계획25%,내부w.f)"/>
      <sheetName val="SFN ORIG"/>
      <sheetName val="SFN"/>
      <sheetName val="R2564AHDTS"/>
      <sheetName val="CPS"/>
      <sheetName val="_x0002_?뻘N??_x0001_ࠀ역서"/>
      <sheetName val="LOB"/>
      <sheetName val="COVER-P"/>
      <sheetName val="Utility and Fire flange"/>
      <sheetName val="Dir Manpower Other Exp."/>
      <sheetName val="7422CW00"/>
      <sheetName val="사급자재집계표"/>
      <sheetName val="HVAC(사급자재)"/>
      <sheetName val="U-W"/>
      <sheetName val="결과조달"/>
      <sheetName val="w't table"/>
      <sheetName val="_SANDAN.XLS__"/>
      <sheetName val="_x0002_"/>
      <sheetName val="수량산출서"/>
      <sheetName val="mto-rev0B"/>
      <sheetName val="내역서 (∮ἀ嘆ɶ"/>
      <sheetName val="ITB COST"/>
      <sheetName val="4-3LEVEL-5 epic.4"/>
      <sheetName val="단가 (2)"/>
      <sheetName val="MODULE CONFIRM"/>
      <sheetName val="이자율"/>
      <sheetName val="도"/>
      <sheetName val="Proposal"/>
      <sheetName val="부대비율"/>
      <sheetName val="상반기손익차2총괄"/>
      <sheetName val="breakdown_of_wage_rate"/>
      <sheetName val="Indirect_Cost"/>
      <sheetName val="생산계획"/>
      <sheetName val="VLOOKUP"/>
      <sheetName val="cal-foamglass"/>
      <sheetName val="연습"/>
      <sheetName val="운반"/>
      <sheetName val="실행예산 MM"/>
      <sheetName val="강재"/>
      <sheetName val="OD5000"/>
      <sheetName val="배수내역"/>
      <sheetName val="판가반영"/>
      <sheetName val="공사내역"/>
      <sheetName val="INPUT"/>
      <sheetName val="분전반계산서(석관)"/>
      <sheetName val="실행내역"/>
      <sheetName val="WIND"/>
      <sheetName val="FWBS 1530"/>
      <sheetName val="노임9월"/>
      <sheetName val="견적대비표"/>
      <sheetName val="VIZ4"/>
      <sheetName val="VIZ7"/>
      <sheetName val="UZ"/>
      <sheetName val="K_SURFACES"/>
      <sheetName val="Administrative_Prices"/>
      <sheetName val="WBS_44"/>
      <sheetName val="WBS_41"/>
      <sheetName val="Precios_por_Administración"/>
      <sheetName val="Precios_Unitarios"/>
      <sheetName val="Subcon_A"/>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BM_DATA_SHEET1"/>
      <sheetName val="내역서_耰&quot;1"/>
      <sheetName val="&#10;&#10;"/>
      <sheetName val="Resource_table"/>
      <sheetName val="SFN_ORIG"/>
      <sheetName val="?뻘N??ࠀ역서"/>
      <sheetName val="_SANDAN_XLS__"/>
      <sheetName val="Equipment_List"/>
      <sheetName val="Form1_SQP"/>
      <sheetName val="공정계획(내부계획25%,내부w_f)"/>
      <sheetName val="CHANNEL"/>
      <sheetName val="PROTECTION "/>
      <sheetName val="CIBATU5OO"/>
      <sheetName val="Labo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_x0004_"/>
      <sheetName val="&#10;"/>
      <sheetName val="SUM "/>
      <sheetName val="Multi-currency"/>
      <sheetName val="dc1"/>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설계명세1-1"/>
      <sheetName val="FWBS"/>
      <sheetName val="Cash In-Cash Out Actual"/>
      <sheetName val="실행(ALT1)"/>
      <sheetName val="내역서1999.8최종"/>
      <sheetName val="실행철강하도"/>
      <sheetName val="전기"/>
      <sheetName val="PROGRESS"/>
      <sheetName val="Database"/>
      <sheetName val="SILICATE"/>
      <sheetName val="REDUCER"/>
      <sheetName val="plan&amp;section of foundation"/>
      <sheetName val="DESIGN CRITERIA"/>
      <sheetName val="working load at the btm ft."/>
      <sheetName val="stability check"/>
      <sheetName val="design load"/>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일위대가(계측기설치)"/>
      <sheetName val="EP0618"/>
      <sheetName val="CÓDIGOS"/>
      <sheetName val="MTP"/>
      <sheetName val="Checklist-Parameters"/>
      <sheetName val="Fillermetal"/>
      <sheetName val="Updating Form-Oct 2011"/>
      <sheetName val="Weld Consumable"/>
      <sheetName val="WQT"/>
      <sheetName val="NDE Cost-Summary"/>
      <sheetName val="9July Above Ground Pipe"/>
      <sheetName val="M 11"/>
      <sheetName val="Process Data 1"/>
      <sheetName val="첨부1-집행내역(요약)"/>
      <sheetName val="BOQ"/>
      <sheetName val="Sum (Case-3)"/>
      <sheetName val="Man Power &amp; Comp"/>
      <sheetName val="MP-PLAN"/>
      <sheetName val="L-TIGA"/>
      <sheetName val="Data List"/>
      <sheetName val="MP_PLAN"/>
      <sheetName val="10"/>
      <sheetName val="5"/>
      <sheetName val="1"/>
      <sheetName val="PNT"/>
      <sheetName val="D7(1)"/>
      <sheetName val="5-ALAT(1)"/>
      <sheetName val="4-Basic Price"/>
      <sheetName val="Rekap"/>
      <sheetName val="AHS"/>
      <sheetName val="Evaluasi Penw"/>
      <sheetName val="master"/>
      <sheetName val="MTO"/>
      <sheetName val="Elect_BOM"/>
      <sheetName val="Elect"/>
      <sheetName val="BQ"/>
      <sheetName val="aa_piping"/>
      <sheetName val="CABLE_DATA"/>
      <sheetName val="CIVIL_UP"/>
      <sheetName val="ETUDE_de_Prix__(2)"/>
      <sheetName val="選單"/>
      <sheetName val="Unit Price "/>
      <sheetName val="Closeout Control"/>
      <sheetName val="SEX"/>
      <sheetName val="Currency Rate"/>
      <sheetName val="Personnel"/>
      <sheetName val="ANALISA"/>
      <sheetName val="예산-내부"/>
      <sheetName val="영업소실적"/>
      <sheetName val="PROJECT BRIEF"/>
      <sheetName val="tggwan(mac)"/>
      <sheetName val="CUADRO DE PRECIOS"/>
      <sheetName val="Site Findings Status Sheet"/>
      <sheetName val="Weekl_x0004__x0016_&#13;"/>
      <sheetName val="_x000e__x0005_"/>
      <sheetName val="Hoja2"/>
      <sheetName val="경제지표"/>
      <sheetName val="1100-1200-1300-1910-2140-LEV 2"/>
      <sheetName val="Library"/>
      <sheetName val="??-BLDG"/>
      <sheetName val="Unt rate"/>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ANX3A11"/>
      <sheetName val="5.) Time Delays"/>
      <sheetName val="KP_List"/>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DB"/>
      <sheetName val="내역서_(N _x000e__x000e__x000e_  _x0012__x0010_&#10;"/>
      <sheetName val="ഀࠀကЀЀԀЀԀ̀ᤀഀ؀Ѐༀ"/>
      <sheetName val="노임이"/>
      <sheetName val=" _x001b__x0006__x0006__x0008_ "/>
      <sheetName val="내역서_(N _x000e__x000e__x000e_  _x0012__x0010_&#10;"/>
      <sheetName val="CONFIG"/>
      <sheetName val="Datos"/>
      <sheetName val="할증 "/>
      <sheetName val="경상"/>
      <sheetName val="골조시행"/>
      <sheetName val="RAB AR&amp;STR"/>
      <sheetName val="I-KAMAR"/>
      <sheetName val="Pipe-Hot"/>
      <sheetName val="99. FWBS(Ref)"/>
      <sheetName val="99. Change Rate"/>
      <sheetName val="배수공"/>
      <sheetName val="Rates &amp; Legend"/>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_x0002_뻘N_"/>
      <sheetName val="Engineering&amp;Management"/>
      <sheetName val="Tools &amp; Settings"/>
      <sheetName val="Data Summary"/>
      <sheetName val="Resources"/>
      <sheetName val="FFA"/>
      <sheetName val="Currencies"/>
      <sheetName val="Crew Costs"/>
      <sheetName val="Spread Costs"/>
      <sheetName val="Unique List_Misc"/>
      <sheetName val="Codes.Pers"/>
      <sheetName val="In-House Summary"/>
      <sheetName val="7422CW_x0013_"/>
      <sheetName val="_x0004_&#13;_x0"/>
      <sheetName val="&#10;_x001b__x0"/>
      <sheetName val="_x0002__뻘N___x0001_ࠀ역서"/>
      <sheetName val="내역서_耰&quot;_x005f_x0000__x0000"/>
      <sheetName val="Discounted Cash Flow"/>
      <sheetName val="Ocean Transporation Charge"/>
      <sheetName val="HVAC"/>
      <sheetName val="예가표"/>
      <sheetName val="Cash Flow bulanan"/>
      <sheetName val="schalt"/>
      <sheetName val="schtng"/>
      <sheetName val="schbhn"/>
      <sheetName val="H.Satuan"/>
      <sheetName val="I_KAMAR"/>
      <sheetName val="SCH"/>
      <sheetName val="Direct PMS"/>
      <sheetName val="경비실"/>
      <sheetName val="OPT_x0012__x0010_&#10;"/>
      <sheetName val="_x0013__x0014_"/>
      <sheetName val="SFN_ORIG1"/>
      <sheetName val="AG_Pipe_Qty_Analysis1"/>
      <sheetName val="Equipment_List1"/>
      <sheetName val="Form1_SQP1"/>
      <sheetName val="공정계획(내부계획25%,내부w_f)1"/>
      <sheetName val="Heavy_Equipments1"/>
      <sheetName val="내역서_(∮ἀ嘆ɶ"/>
      <sheetName val="ITB_COST1"/>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검측서"/>
      <sheetName val="UP MINOR"/>
      <sheetName val="Item code"/>
      <sheetName val="업체코드"/>
      <sheetName val="장산"/>
      <sheetName val="시행분석"/>
      <sheetName val="AUX"/>
      <sheetName val="Aux."/>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Pengesahan "/>
      <sheetName val="BILL"/>
      <sheetName val="  "/>
      <sheetName val=" "/>
      <sheetName val="breakdown of wage ra`f"/>
      <sheetName val="breakdown of wage ra"/>
      <sheetName val="breakdown of wage rað-"/>
      <sheetName val="2.Overall Summary "/>
      <sheetName val="OCT.FDN"/>
      <sheetName val="D-3109"/>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Bill rekap"/>
      <sheetName val="Harga Satuan"/>
      <sheetName val="LISTRIK"/>
      <sheetName val="F ALARM"/>
      <sheetName val="Chart_Cable"/>
      <sheetName val="Exchange Rate"/>
      <sheetName val="예산실적전체당월"/>
      <sheetName val="00-Summary Information-ABB"/>
      <sheetName val="BD"/>
      <sheetName val="General Notes"/>
      <sheetName val="물량표"/>
      <sheetName val="PABS,Site info"/>
      <sheetName val="2. 현장 자금투입 집계표"/>
      <sheetName val="_도면 및 도서 제출목록 및 일정_170202.xlsx"/>
      <sheetName val="TYPE"/>
      <sheetName val="수량산출"/>
      <sheetName val="CAL1"/>
      <sheetName val="BQ_IMPORT"/>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내역서_耰&quot;_x005f_x005f_x005f_x0000_"/>
      <sheetName val="내역서_耰&quot;_x005f_x005f_x005f_x005f_"/>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내역ࠜĀ_x005f_x0000_M4"/>
      <sheetName val="내역서 耰&quot;_x005f_x0000_"/>
      <sheetName val="내역ࠜĀ_x005f_x005f_x0"/>
      <sheetName val="내역서 耰&quot;_x005f_x005f_"/>
      <sheetName val="내역서 耰&quot;_x0000"/>
      <sheetName val="_x005f_x005f_"/>
      <sheetName val="내역서_耰&quot;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손익차9월2"/>
      <sheetName val="OPT_x0012_"/>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6"/>
      <sheetName val="내역서_耰&quot;_x005f_x0000__x0005"/>
      <sheetName val="내역서_耰&quot;_x005f_x005f_x00005"/>
      <sheetName val="내역서_耰&quot;_x005f_x005f_x005f5"/>
      <sheetName val="내역서_耰&quot;_x005f_x0000_"/>
      <sheetName val="내역서_耰&quot;_x005f_x005f_"/>
      <sheetName val="내역ࠜĀM4"/>
      <sheetName val="내역ࠜĀ_x0"/>
      <sheetName val="내역서 耰&quot;_"/>
      <sheetName val="_"/>
      <sheetName val="내역서_耰&quot;_x0001"/>
      <sheetName val="내역서_耰&quot;_x00001"/>
      <sheetName val="내역서_耰&quot;_x005f1"/>
      <sheetName val="내역서_耰&quot;_x0002"/>
      <sheetName val="내역서_耰&quot;_x00002"/>
      <sheetName val="내역서_耰&quot;_x005f2"/>
      <sheetName val="Others"/>
      <sheetName val="Sheet5"/>
      <sheetName val="0. Resource　Code"/>
      <sheetName val="Direct_PMS"/>
      <sheetName val="5_)_Time_Delays"/>
      <sheetName val="OPT&#10;"/>
      <sheetName val="Weekl&#10;"/>
      <sheetName val="Aux_"/>
      <sheetName val="breakdown of wage rap"/>
      <sheetName val="breakdown of wage ra"/>
      <sheetName val="DISCIPLINE"/>
      <sheetName val="9_1차이내역"/>
      <sheetName val="pipeline-1"/>
      <sheetName val="BQMP"/>
      <sheetName val="Analysis"/>
      <sheetName val="EVA-004-MEC"/>
      <sheetName val="Distribution Table"/>
      <sheetName val="BA1047集約"/>
      <sheetName val="Raw data"/>
      <sheetName val="PWA"/>
      <sheetName val="__x001b__x0006__x"/>
      <sheetName val="_뻘N__ࠀ역서"/>
      <sheetName val="차트 (2)"/>
      <sheetName val="당초?∸ἀ"/>
      <sheetName val="Codes"/>
      <sheetName val="Material code"/>
      <sheetName val="도면자료제출일정"/>
      <sheetName val="DROP DOWN"/>
      <sheetName val="EE-PROP"/>
      <sheetName val="DATA MENTAH"/>
      <sheetName val="Linelist LNGC Process"/>
      <sheetName val="Air Cooler-E"/>
      <sheetName val="유림골조"/>
      <sheetName val="개시대사 (2)"/>
      <sheetName val="Action Item"/>
      <sheetName val="Rating"/>
      <sheetName val="ID.CD"/>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10;"/>
      <sheetName val="내역서_(N   &#10;"/>
      <sheetName val="Discounted_Cash_Flow"/>
      <sheetName val="Ocean_Transporation_Charge"/>
      <sheetName val="차트_(2)"/>
      <sheetName val="Pengesahan_"/>
      <sheetName val="Exchange_Rate"/>
      <sheetName val="뻘N_"/>
      <sheetName val="&#10;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design_criteria1"/>
      <sheetName val="TQ Format"/>
      <sheetName val="USDKRW"/>
      <sheetName val="Inquiry"/>
      <sheetName val="품셈TABLE"/>
      <sheetName val="환율"/>
      <sheetName val="HO_Site Rates-2011"/>
      <sheetName val="定额"/>
      <sheetName val="MD"/>
      <sheetName val="2003상반기노임기준"/>
      <sheetName val="용접품"/>
      <sheetName val="절단품"/>
      <sheetName val="breakdown of wage raÐ¾"/>
      <sheetName val="Additional data"/>
      <sheetName val="drg"/>
      <sheetName val="BM"/>
      <sheetName val="바닥판⽷"/>
      <sheetName val="Values"/>
      <sheetName val="Equipment Spec List"/>
      <sheetName val="대운산출"/>
      <sheetName val="Header"/>
      <sheetName val="LEGENDA"/>
      <sheetName val="208"/>
      <sheetName val="인산"/>
      <sheetName val="C-301E~305E"/>
      <sheetName val="SPEC LIST(EQUP, SYS)"/>
      <sheetName val="配管単価"/>
      <sheetName val="Mat"/>
      <sheetName val="제출계산서"/>
      <sheetName val="tifico"/>
      <sheetName val="EQUIPMENT_-"/>
      <sheetName val="Orçamento"/>
      <sheetName val="Cashflow Analysis"/>
      <sheetName val="Al Taweelah"/>
      <sheetName val="TJ1Q47"/>
      <sheetName val="Particular Sch"/>
      <sheetName val="공사비SUM"/>
      <sheetName val="백분율"/>
      <sheetName val="33628-Rev. A"/>
      <sheetName val="내역(한신APT)"/>
      <sheetName val="내역서_(N _x000e__x000e__x000e_  _x0012__x0010_ "/>
      <sheetName val="热力"/>
      <sheetName val="PHSB"/>
      <sheetName val="AN"/>
      <sheetName val="14-Eng rate"/>
      <sheetName val="공사비집계"/>
      <sheetName val="구분"/>
      <sheetName val="기기리스트"/>
      <sheetName val="11.자재단가"/>
      <sheetName val="리스크 분류체계"/>
      <sheetName val="Risk"/>
      <sheetName val="손익차총괄2"/>
      <sheetName val="Drop-Downs"/>
      <sheetName val="Attach 4-18"/>
      <sheetName val="{}"/>
      <sheetName val="내역서 ᢐ_x001f_"/>
      <sheetName val="2_Overall_Summary_"/>
      <sheetName val="Données"/>
      <sheetName val="GraphData"/>
      <sheetName val="BHANDUP"/>
      <sheetName val="Register"/>
      <sheetName val="INPUT DATA OF SCHEDULE"/>
      <sheetName val="CONST"/>
      <sheetName val="Finansal tamamlanma Eğrisi"/>
      <sheetName val="SIVA"/>
      <sheetName val="Admin Manu 2-Equipment Type ID"/>
      <sheetName val="#¡REF"/>
      <sheetName val="WIP"/>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Benchmark"/>
      <sheetName val="Grafico"/>
      <sheetName val="Master List"/>
      <sheetName val="내역서 (∮ἀ嘆ɶ?᠀㬁?"/>
      <sheetName val="당초_xd8b4_➴ȭ"/>
      <sheetName val=" _x001b__x0006__x"/>
      <sheetName val="Weekl_x0004__x0016__x000"/>
      <sheetName val="내역서_(N _x000e__x000e__x00"/>
      <sheetName val="내역서_(N _x000e__x000e__x000e_  _"/>
      <sheetName val="__-BLDG"/>
      <sheetName val="C1C2"/>
      <sheetName val="LIFE &amp; REP PROVN"/>
      <sheetName val="O&amp;M CREW"/>
      <sheetName val="EXPAN-1"/>
      <sheetName val="TABELE"/>
      <sheetName val="Fig 4-14"/>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General_Data9"/>
      <sheetName val="집계표_(25,26ဩ9"/>
      <sheetName val="Form_0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EQUIPMENT_-28"/>
      <sheetName val="6PILE__(돌출)7"/>
      <sheetName val="내역서_耰&quot;??8"/>
      <sheetName val="Static_Equip7"/>
      <sheetName val="단면_(2)7"/>
      <sheetName val="Form_A_7"/>
      <sheetName val="Man_Hole6"/>
      <sheetName val="3_Breakdown_Direct_Paint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_8"/>
      <sheetName val="Summary_Sheets7"/>
      <sheetName val="Civil_17"/>
      <sheetName val="Civil_27"/>
      <sheetName val="Civil_37"/>
      <sheetName val="Site_17"/>
      <sheetName val="Site_27"/>
      <sheetName val="Site_37"/>
      <sheetName val="Site_Faci7"/>
      <sheetName val="Monthly_Load6"/>
      <sheetName val="Weekly_Load6"/>
      <sheetName val="내역서_耰&quot;_x005f_x005f_x005f_x0000__x005f_x005f_x0006"/>
      <sheetName val="Precios_Unitarios6"/>
      <sheetName val="2_2_STAFF_Scedule6"/>
      <sheetName val="내역서_耰&quot;_x005f_x005f_x005f_x005f_x005f_x005f_x00006"/>
      <sheetName val="Administrative_Prices6"/>
      <sheetName val="WBS_446"/>
      <sheetName val="WBS_416"/>
      <sheetName val="Precios_por_Administración6"/>
      <sheetName val="Subcon_A6"/>
      <sheetName val="내역서_耰&quot;_x005f_x005f_x005f_x005f_x005f_x005f_x005f6"/>
      <sheetName val="Sheet1_(2)7"/>
      <sheetName val="7__월별투입내역서6"/>
      <sheetName val="계측_내역서6"/>
      <sheetName val="Z-_GENERAL_PRICE_SUMMARY6"/>
      <sheetName val="_Estimate__6"/>
      <sheetName val="T_36"/>
      <sheetName val="HORI__VESSEL6"/>
      <sheetName val="EQUIP_LIST6"/>
      <sheetName val="Form_B6"/>
      <sheetName val="Vind_-_BtB6"/>
      <sheetName val="LV_induction_motors6"/>
      <sheetName val="BSD_(2)6"/>
      <sheetName val="MP_MOB6"/>
      <sheetName val="BM_DATA_SHEET7"/>
      <sheetName val="[SANDAN_XLS??6"/>
      <sheetName val="Piping_BQ_for_one_turbine6"/>
      <sheetName val="97_사업추정(WEKI)6"/>
      <sheetName val="breakdown_of_wage_rate6"/>
      <sheetName val="Indirect_Cost6"/>
      <sheetName val="Material_Selections6"/>
      <sheetName val="Eq__Mobilization6"/>
      <sheetName val="SFN_ORIG6"/>
      <sheetName val="Resource_table6"/>
      <sheetName val="AG_Pipe_Qty_Analysis6"/>
      <sheetName val="Utility_and_Fire_flange6"/>
      <sheetName val="Equipment_List6"/>
      <sheetName val="Form1_SQP6"/>
      <sheetName val="공정계획(내부계획25%,내부w_f)6"/>
      <sheetName val="_SANDAN_XLS__6"/>
      <sheetName val="Heavy_Equipments6"/>
      <sheetName val="입찰내역_발주처_양식6"/>
      <sheetName val="BOQ-B_DOWN5"/>
      <sheetName val="w't_table6"/>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CUADRO_DE_PRECIOS5"/>
      <sheetName val="Updating_Form-Oct_20111"/>
      <sheetName val="Weld_Consumable1"/>
      <sheetName val="NDE_Cost-Summary1"/>
      <sheetName val="9July_Above_Ground_Pipe1"/>
      <sheetName val="M_111"/>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1100-1200-1300-1910-2140-LEV_21"/>
      <sheetName val="Currency_Rate1"/>
      <sheetName val="4-Basic_Price1"/>
      <sheetName val="Evaluasi_Penw1"/>
      <sheetName val="Man_Power_&amp;_Comp1"/>
      <sheetName val="Data_List1"/>
      <sheetName val="Material_Price1"/>
      <sheetName val="Closeout_Control1"/>
      <sheetName val="Site_Findings_Status_Sheet1"/>
      <sheetName val="Tools_&amp;_Settings1"/>
      <sheetName val="Data_Summary1"/>
      <sheetName val="Crew_Costs1"/>
      <sheetName val="Spread_Costs1"/>
      <sheetName val="Unique_List_Misc1"/>
      <sheetName val="Sum_(Case-3)1"/>
      <sheetName val="In-House_Summary1"/>
      <sheetName val="PROJECT_BRIEF1"/>
      <sheetName val="Direct_PMS1"/>
      <sheetName val="내역서_耰&quot;_x005f_x005f_x005f_x0000_1"/>
      <sheetName val="내역서_耰&quot;_x005f_x005f_x005f_x005f_1"/>
      <sheetName val="5_)_Time_Delays1"/>
      <sheetName val="Aux_1"/>
      <sheetName val="Codes_Pers1"/>
      <sheetName val="00-Summary_Information-ABB"/>
      <sheetName val="PABS,Site_info"/>
      <sheetName val="0__Resource　Code"/>
      <sheetName val="__1"/>
      <sheetName val="_1"/>
      <sheetName val="breakdown_of_wage_ra`f"/>
      <sheetName val="breakdown_of_wage_ra"/>
      <sheetName val="breakdown_of_wage_rað-"/>
      <sheetName val="Material_code"/>
      <sheetName val="__x"/>
      <sheetName val="Precios Unitariԯ"/>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16"/>
      <sheetName val="50"/>
      <sheetName val="Drop"/>
      <sheetName val="Dropdown"/>
      <sheetName val="Tender data"/>
      <sheetName val="Activity Form"/>
      <sheetName val="GM 000"/>
      <sheetName val="날개벽"/>
      <sheetName val="Pulldown"/>
      <sheetName val="2857Q&amp;PL"/>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10;1"/>
      <sheetName val="TQ_Format"/>
      <sheetName val="DROP_DOWN"/>
      <sheetName val="개시대사_(2)"/>
      <sheetName val="Action_Item"/>
      <sheetName val="ID_CD"/>
      <sheetName val="breakdown_of_wage_raÐ¾"/>
      <sheetName val="Additional_data"/>
      <sheetName val="Distribution_Table"/>
      <sheetName val="HO_Site_Rates-2011"/>
      <sheetName val="내역서_(N____"/>
      <sheetName val="단가"/>
      <sheetName val="95TOTREV"/>
      <sheetName val="일위대가 "/>
      <sheetName val="98수문일위"/>
      <sheetName val="SECL 리스크 분류체계 (2)"/>
      <sheetName val="내역서_耰&quot;_x0004"/>
      <sheetName val="내역서_耰&quot;_x0003"/>
      <sheetName val="내역서_耰&quot;_x0005"/>
      <sheetName val="내역서_耰&quot;_x00004"/>
      <sheetName val="내역서_耰&quot;_x005f4"/>
      <sheetName val="내역서_耰&quot;_x00003"/>
      <sheetName val="내역서_耰&quot;_x005f3"/>
      <sheetName val="내역서_耰&quot;_x00005"/>
      <sheetName val="내역서_耰&quot;_x005f5"/>
      <sheetName val="내역서_耰&quot;_"/>
      <sheetName val="내역서_耰&quot;7"/>
      <sheetName val="SUM_"/>
      <sheetName val="Equipment_Spec_List"/>
      <sheetName val="SPEC_LIST(EQUP,_SYS)"/>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E-160"/>
      <sheetName val="CASH"/>
      <sheetName val="Basis(site)"/>
      <sheetName val="Itembalance Report (18-sep-18)"/>
      <sheetName val="BUDGET SUMMARY "/>
      <sheetName val="Leyenda"/>
      <sheetName val="내역서_耰&quot;_x005f_x0000__x0006"/>
      <sheetName val="내역서_耰&quot;_x005f_x005f_x00006"/>
      <sheetName val="내역서_耰&quot;_x005f_x005f_x005f6"/>
      <sheetName val="내역서_耰&quot;_x005f_x0000_1"/>
      <sheetName val="내역서_耰&quot;_x005f_x005f_1"/>
      <sheetName val="BSD ᯷㧓_x0001_"/>
      <sheetName val="Direct Histogram Rev. A (f)"/>
      <sheetName val="광통신 견적내역서1"/>
      <sheetName val="Basic"/>
      <sheetName val="B_Down"/>
      <sheetName val="Scheme Area Details_Block__ C2"/>
      <sheetName val="1.설계기준"/>
      <sheetName val="FORM-0"/>
      <sheetName val="SUPTMTO"/>
      <sheetName val="ABUT수량-A1"/>
      <sheetName val="서부산시설"/>
      <sheetName val="Cash Flow"/>
      <sheetName val="Yield"/>
      <sheetName val="5. 월별투입내역서"/>
      <sheetName val="List register"/>
      <sheetName val="목록"/>
      <sheetName val="Wellhrs"/>
      <sheetName val="Rate"/>
      <sheetName val="터파기및재료"/>
      <sheetName val="Demand"/>
      <sheetName val="Occ"/>
      <sheetName val="인사자료총집계"/>
      <sheetName val="간접비"/>
      <sheetName val="조명시설"/>
      <sheetName val="설산1.나"/>
      <sheetName val="본사S"/>
      <sheetName val="건축내역"/>
      <sheetName val="견적서"/>
      <sheetName val="간접노무비"/>
      <sheetName val="BM #1"/>
      <sheetName val="TABLAS"/>
      <sheetName val="Cost Code"/>
      <sheetName val="Data Ref"/>
      <sheetName val="Interdept Rate"/>
      <sheetName val="전표분개장(공종별)"/>
      <sheetName val="노무비집계"/>
      <sheetName val="공통가설"/>
      <sheetName val="자재비"/>
      <sheetName val="감모비"/>
      <sheetName val="ADMON"/>
      <sheetName val="EQUIPOS DE SEGURIDAD"/>
      <sheetName val="MATERIALES CONSUMIBLES"/>
      <sheetName val="PERSONAL INDIRECTO "/>
      <sheetName val="REF for VV"/>
      <sheetName val="REF"/>
      <sheetName val=" _x001b__x0"/>
      <sheetName val="OPT_x0012__x0010_ "/>
      <sheetName val="Weekl "/>
      <sheetName val="내역서_(N___ "/>
      <sheetName val="내역서_(N    "/>
      <sheetName val=" _x0"/>
      <sheetName val="OPT "/>
      <sheetName val="급여"/>
      <sheetName val="Land Dev't. Ph-1"/>
      <sheetName val="4300 UTILITY BLDG (2)"/>
      <sheetName val="0000"/>
      <sheetName val="P-Ins &amp; Bonds"/>
      <sheetName val="INSTLIST 1"/>
      <sheetName val="인원聈2"/>
      <sheetName val="design_criteria2"/>
      <sheetName val="Air_Cooler-E"/>
      <sheetName val="Al_Taweelah"/>
      <sheetName val="Particular_Sch"/>
      <sheetName val="Index"/>
      <sheetName val="_x005f_x005f_x005f_x005f_x005f_x005f_x00ည톐ឮ"/>
      <sheetName val="OPT"/>
      <sheetName val="공사"/>
      <sheetName val="단가대비표"/>
      <sheetName val="총괄"/>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달력"/>
      <sheetName val="입찰안"/>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1"/>
      <sheetName val="Distribution_Table1"/>
      <sheetName val="차트_(2)2"/>
      <sheetName val="DROP_DOWN1"/>
      <sheetName val="Linelist_LNGC_Process1"/>
      <sheetName val="Action_Item1"/>
      <sheetName val="ID_CD1"/>
      <sheetName val="Equipment_Spec_List1"/>
      <sheetName val="내역서_(N___&#10;2"/>
      <sheetName val="개시대사_(2)1"/>
      <sheetName val="SPEC_LIST(EQUP,_SYS)1"/>
      <sheetName val="Air_Cooler-E1"/>
      <sheetName val="Al_Taweelah1"/>
      <sheetName val="Particular_Sch1"/>
      <sheetName val="Linelist_LNGC_Process"/>
      <sheetName val="Graph"/>
      <sheetName val="MC-1"/>
      <sheetName val="Tables 3.1 to 3.5 EXH G"/>
      <sheetName val="SPEC(RECEPTACLE)"/>
      <sheetName val="SPEC(CABLE &amp; WIRE)"/>
      <sheetName val="Att-1 CTCI MH rate"/>
      <sheetName val="LOADDAT"/>
      <sheetName val="Perm. Test"/>
      <sheetName val="Galian 1"/>
      <sheetName val="Analisa-Harga"/>
      <sheetName val="Analisa Lump sum"/>
      <sheetName val="data-pendukung"/>
      <sheetName val="CH-RANC"/>
      <sheetName val="351BQMCN"/>
      <sheetName val="rap"/>
      <sheetName val="As"/>
      <sheetName val="Sec I ML"/>
      <sheetName val="35"/>
      <sheetName val="37"/>
      <sheetName val="64.4"/>
      <sheetName val="64.5"/>
      <sheetName val="22"/>
      <sheetName val="36.2"/>
      <sheetName val="36.1"/>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Depreciation"/>
      <sheetName val="Validation"/>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내역서_(N___ 1"/>
      <sheetName val="6.공정표"/>
      <sheetName val="Har_mat"/>
      <sheetName val="chitimc"/>
      <sheetName val="dongia (2)"/>
      <sheetName val="LKVL-CK-HT-GD1"/>
      <sheetName val="주차구획선수량"/>
      <sheetName val="本体取纏"/>
      <sheetName val="鉄骨纏め"/>
      <sheetName val="34"/>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NP"/>
      <sheetName val="Enron Form"/>
      <sheetName val="表三甲"/>
      <sheetName val="合成単価作成表_BLDG"/>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Folha1"/>
      <sheetName val="SPT vs PHI"/>
      <sheetName val="품의서(지출)"/>
      <sheetName val="Offer"/>
      <sheetName val="TR Rev vs Commit"/>
      <sheetName val="TR +MMHE PL report"/>
      <sheetName val="P23P2724 _ Commitment "/>
      <sheetName val="FAB별"/>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최종(1)사용"/>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05. Curva S"/>
      <sheetName val="CCL"/>
      <sheetName val="공통부대비"/>
      <sheetName val="PI-18031-M3-BOQ"/>
      <sheetName val="Void"/>
      <sheetName val="05__Curva_S"/>
      <sheetName val="Other data"/>
      <sheetName val="MOD-MOI-DOT"/>
      <sheetName val="Budget"/>
      <sheetName val="F&amp;C"/>
      <sheetName val="EQUI-CONS"/>
      <sheetName val="PROGRAM"/>
      <sheetName val="CASHFLOW"/>
      <sheetName val="DATASHT"/>
      <sheetName val="Up"/>
      <sheetName val="부재치수입력"/>
      <sheetName val="OPT_x0012__x0010_"/>
      <sheetName val="Vehicle Log"/>
      <sheetName val="내역서_耰&quot;_x0006"/>
      <sheetName val="내역서_耰&quot;8"/>
      <sheetName val="내역서_耰&quot;_x00006"/>
      <sheetName val="내역서_耰&quot;_x005f6"/>
      <sheetName val="내역서_耰&quot;_x005f_x0000__x0007"/>
      <sheetName val="내역서_耰&quot;_x005f_x005f_x00007"/>
      <sheetName val="내역서_耰&quot;_x005f_x005f_x005f7"/>
      <sheetName val="내역서_耰&quot;_2"/>
      <sheetName val="당초_∸ἀ"/>
      <sheetName val="내역서 (∮ἀ嘆ɶ_᠀㬁_"/>
      <sheetName val="내역서_(∮ἀ嘆ɶ_᠀㬁_"/>
      <sheetName val="M&amp;E Summary"/>
      <sheetName val="rev summary"/>
      <sheetName val="M&amp;E Prelims"/>
      <sheetName val="A-ELECT&amp;ELV"/>
      <sheetName val="B-FP (2)"/>
      <sheetName val="C-ACMV"/>
      <sheetName val="D-P&amp;S"/>
      <sheetName val="Sch.6"/>
      <sheetName val="equiplist"/>
      <sheetName val="Sch.1"/>
      <sheetName val="재공품기초자료"/>
      <sheetName val="하치장수불부"/>
      <sheetName val="산수배수"/>
      <sheetName val="손익합산"/>
      <sheetName val="5. Work load(현재원기준)"/>
      <sheetName val="MEMBER"/>
      <sheetName val="SoW"/>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Lookup"/>
      <sheetName val="RefG"/>
      <sheetName val="IRR sponsor"/>
      <sheetName val="4-Lane bridge"/>
      <sheetName val="6BPRO"/>
      <sheetName val="2013电气概算 价目表 (营改增调整)"/>
      <sheetName val="06定额"/>
      <sheetName val="TESİSAT"/>
      <sheetName val="1.11.b"/>
      <sheetName val="금융비용"/>
      <sheetName val="을지"/>
      <sheetName val="BazaEL"/>
      <sheetName val="eqpmad2"/>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Map"/>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304-06"/>
      <sheetName val="name"/>
      <sheetName val="tblg denda"/>
      <sheetName val="F1.4"/>
      <sheetName val="Manpower Categories"/>
      <sheetName val="InD Mpower"/>
      <sheetName val="CodeSheet"/>
      <sheetName val="CodeSheet(신2)"/>
      <sheetName val="내역서(실행)"/>
      <sheetName val="Equipt Rental"/>
      <sheetName val="CFA"/>
      <sheetName val="EQ"/>
      <sheetName val="EQ USED (CORRECTED)"/>
      <sheetName val="CERTIFICATE"/>
      <sheetName val="Rebar Constant"/>
      <sheetName val="CONCRETE TYPE"/>
      <sheetName val="기준표"/>
      <sheetName val="Welder"/>
      <sheetName val="MASTER_RATE ANALYSIS"/>
      <sheetName val="Intro"/>
      <sheetName val="CASHFLOWS"/>
      <sheetName val="MN T.B."/>
      <sheetName val="Headings"/>
      <sheetName val="INDIGINEOUS ITEMS "/>
      <sheetName val="Core Data"/>
      <sheetName val="final abstract"/>
      <sheetName val="Option"/>
      <sheetName val="실행대비"/>
      <sheetName val="Sheet"/>
      <sheetName val="Statprod gab"/>
      <sheetName val="L 1"/>
      <sheetName val="External Issues"/>
      <sheetName val="BSD_᯷㧓"/>
      <sheetName val="Tender_data"/>
      <sheetName val="Scheme_Area_Details_Block___C2"/>
      <sheetName val="Cash_Flow"/>
      <sheetName val="5__월별투입내역서"/>
      <sheetName val="GM_000"/>
      <sheetName val="1_설계기준"/>
      <sheetName val="일위대가_"/>
      <sheetName val="Equip_Mstr"/>
      <sheetName val="Costing"/>
      <sheetName val="Equip_Mstr FOR 3A1"/>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5.Cennik"/>
      <sheetName val="5_Cennik"/>
      <sheetName val="Powierzchnie"/>
      <sheetName val=" 토목 처리장도급내역서 "/>
      <sheetName val="Garph Work-Cost"/>
      <sheetName val="Order_Summary"/>
      <sheetName val="Order_Summary_New"/>
      <sheetName val="Insulation 150108"/>
      <sheetName val="Sheet 14"/>
      <sheetName val="동상부 Tact 기준 반입일정 및 수량_0217"/>
      <sheetName val="견적의뢰"/>
      <sheetName val="영동(D)"/>
      <sheetName val="Tubing"/>
      <sheetName val="대비"/>
      <sheetName val="경영상태"/>
      <sheetName val="MOTORDATA"/>
      <sheetName val="구매DWG-정산용"/>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GRAND REKAP"/>
      <sheetName val="HARSAT"/>
      <sheetName val="analisa (2)"/>
      <sheetName val="HargaDasar"/>
      <sheetName val="D-4-Struktur"/>
      <sheetName val="Analisa 2"/>
      <sheetName val="tblg_denda"/>
      <sheetName val="LRK "/>
      <sheetName val="Units"/>
      <sheetName val="Chap 2- Page 4 "/>
      <sheetName val="Instrumentation&amp;Automation"/>
      <sheetName val="SD_Trains_2019"/>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Eng_Hrs (HO)"/>
      <sheetName val="ENE-CAL"/>
      <sheetName val="원가조정 내역"/>
      <sheetName val="RAB_AR&amp;STR3"/>
      <sheetName val="할증_3"/>
      <sheetName val="BO䁑-B_䁄OWN3"/>
      <sheetName val="내역서_耰&quot;_x005f_x0000__x00004"/>
      <sheetName val="Ocean_Transporation_Charge3"/>
      <sheetName val="Exchange_Rate3"/>
      <sheetName val="99__FWBS(Ref)3"/>
      <sheetName val="99__Change_Rate3"/>
      <sheetName val="UP_MINOR3"/>
      <sheetName val="Cash_Flow_bulanan3"/>
      <sheetName val="H_Satuan3"/>
      <sheetName val="Bill_rekap3"/>
      <sheetName val="2__현장_자금투입_집계표3"/>
      <sheetName val="Item_code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General_Notes3"/>
      <sheetName val="_도면_및_도서_제출목록_및_일정_170202_xlsx3"/>
      <sheetName val="Rates_&amp;_Legend3"/>
      <sheetName val="Discounted_Cash_Flow3"/>
      <sheetName val="OCT_FDN3"/>
      <sheetName val="Pengesahan_3"/>
      <sheetName val="Air_Cooler-E2"/>
      <sheetName val="DROP_DOWN2"/>
      <sheetName val="차트_(2)3"/>
      <sheetName val="Harga_Satuan3"/>
      <sheetName val="F_ALARM3"/>
      <sheetName val="DATA_MENTAH2"/>
      <sheetName val="HO_Site_Rates-20112"/>
      <sheetName val="Particular_Sch2"/>
      <sheetName val="Al_Taweelah2"/>
      <sheetName val="ID_CD2"/>
      <sheetName val="Equipment_Spec_List2"/>
      <sheetName val="개시대사_(2)2"/>
      <sheetName val="SPEC_LIST(EQUP,_SYS)2"/>
      <sheetName val="내역서_(N___&#10;3"/>
      <sheetName val="TQ_Format2"/>
      <sheetName val="breakdown_of_wage_raÐ¾2"/>
      <sheetName val="Additional_data2"/>
      <sheetName val="Linelist_LNGC_Process2"/>
      <sheetName val="33628-Rev__A1"/>
      <sheetName val="INPUT_DATA_OF_SCHEDULE1"/>
      <sheetName val="14-Eng_rate1"/>
      <sheetName val="Master_List1"/>
      <sheetName val="Admin_Manu_2-Equipment_Type_ID1"/>
      <sheetName val="Fig_4-14"/>
      <sheetName val="설산1_나"/>
      <sheetName val="BM_#1"/>
      <sheetName val="Itembalance_Report_(18-sep-18)1"/>
      <sheetName val="BUDGET_SUMMARY_1"/>
      <sheetName val="REF_for_VV"/>
      <sheetName val="__x0"/>
      <sheetName val="SECL_리스크_분류체계_(2)"/>
      <sheetName val="Cost_Code"/>
      <sheetName val="Data_Ref"/>
      <sheetName val="Interdept_Rate"/>
      <sheetName val="Tgh_JGC-Inv_I_clp"/>
      <sheetName val="PCS_"/>
      <sheetName val="Progress_Statement-SI"/>
      <sheetName val="Progress_Payment-3110"/>
      <sheetName val="Direct_Histogram_Rev__A_(f)"/>
      <sheetName val="Weekl_1"/>
      <sheetName val="내역서_(N____2"/>
      <sheetName val="내역서_(N____3"/>
      <sheetName val="OPT_1"/>
      <sheetName val="6_공정표"/>
      <sheetName val="Activity_Form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Tables_3_1_to_3_5_EXH_G"/>
      <sheetName val="Perm__Test"/>
      <sheetName val="Galian_1"/>
      <sheetName val="Analisa_Lump_sum"/>
      <sheetName val="Sec_I_ML"/>
      <sheetName val="EQUIPOS_DE_SEGURIDAD"/>
      <sheetName val="MATERIALES_CONSUMIBLES"/>
      <sheetName val="PERSONAL_INDIRECTO_"/>
      <sheetName val="Land_Dev't__Ph-1"/>
      <sheetName val="4300_UTILITY_BLDG_(2)"/>
      <sheetName val="P-Ins_&amp;_Bonds"/>
      <sheetName val="INSTLIST_1"/>
      <sheetName val="List_register"/>
      <sheetName val="Att-1_CTCI_MH_rate"/>
      <sheetName val="64_4"/>
      <sheetName val="64_5"/>
      <sheetName val="36_2"/>
      <sheetName val="36_1"/>
      <sheetName val="SPEC(CABLE_&amp;_WIRE)"/>
      <sheetName val="dongia_(2)"/>
      <sheetName val="Enron_Form"/>
      <sheetName val="SUMMARY_MTO_02_2_35"/>
      <sheetName val="N_G_METERING_CALC_"/>
      <sheetName val="N_G_METERING"/>
      <sheetName val="N_G_METERING_(2)"/>
      <sheetName val="CUMENE_METERING"/>
      <sheetName val="N2_METERING_"/>
      <sheetName val="H2_METERING__"/>
      <sheetName val="CO_METERING"/>
      <sheetName val="SPT_vs_PHI"/>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TR_Rev_vs_Commit"/>
      <sheetName val="TR_+MMHE_PL_report"/>
      <sheetName val="P23P2724___Commitment_"/>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내역서(전체)"/>
      <sheetName val="EXR"/>
      <sheetName val="빙장비사양"/>
      <sheetName val="장비사양"/>
      <sheetName val="철거산출근거"/>
      <sheetName val="Scaffolding Volume"/>
      <sheetName val="Statprod_gab"/>
      <sheetName val="L_1"/>
      <sheetName val="design_criteria3"/>
      <sheetName val="64_41"/>
      <sheetName val="64_51"/>
      <sheetName val="36_21"/>
      <sheetName val="36_11"/>
      <sheetName val="Statprod_gab1"/>
      <sheetName val="L_11"/>
      <sheetName val="Analisa (ok punya)"/>
      <sheetName val="SAT-DAS"/>
      <sheetName val="P2-Project Data"/>
      <sheetName val="Raw Ref"/>
      <sheetName val="Cost Codes"/>
      <sheetName val="Addendum No.1 BILL 2"/>
      <sheetName val="Expenses"/>
      <sheetName val="Code 07"/>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1234"/>
      <sheetName val="P Staff fac"/>
      <sheetName val="beam-reinft-IIInd floor"/>
      <sheetName val="P-Site fac"/>
      <sheetName val="P-Clients fac"/>
      <sheetName val="Drop-Down"/>
      <sheetName val="-0.5 TABLA PRESUPUESTOS"/>
      <sheetName val="Sithe-PPL"/>
      <sheetName val="ﾄﾞﾊﾞｲFUEL GAS追見"/>
      <sheetName val="見積書"/>
      <sheetName val="InsertListDrawing 1 "/>
      <sheetName val="ANAL"/>
      <sheetName val="VAT TU DIEN"/>
      <sheetName val="bldg list"/>
      <sheetName val="당초�ἀ"/>
      <sheetName val="MFG &amp; DEL"/>
      <sheetName val="SKEDULmaterial"/>
      <sheetName val="Up &amp; bhn"/>
      <sheetName val="Str"/>
      <sheetName val="HRG BHN"/>
      <sheetName val="lab_eng"/>
      <sheetName val="eqp"/>
      <sheetName val="lab"/>
      <sheetName val="UPAH"/>
      <sheetName val="pricelist"/>
      <sheetName val="HAL-1"/>
      <sheetName val="a.h ars sum"/>
      <sheetName val="a.h ars"/>
      <sheetName val="3"/>
      <sheetName val="DAF.HRG"/>
      <sheetName val="Urai _Resap pengikat"/>
      <sheetName val="Kolom UT"/>
      <sheetName val="HB "/>
      <sheetName val="7.공정표"/>
      <sheetName val="sdm"/>
      <sheetName val="Alat (2)"/>
      <sheetName val="RAB-NEGO"/>
      <sheetName val="DAF-2"/>
      <sheetName val="Anl"/>
      <sheetName val="AC"/>
      <sheetName val="breakdown of FA113"/>
      <sheetName val="DivLabor_Report"/>
      <sheetName val="Precios_Unitariԯ1"/>
      <sheetName val="PERSONNELIST"/>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집계표_(25,26ဩ12"/>
      <sheetName val="INPUT_DATA12"/>
      <sheetName val="입출재고현황_(2)11"/>
      <sheetName val="Form_012"/>
      <sheetName val="Form_D-111"/>
      <sheetName val="Form_B-111"/>
      <sheetName val="Form_F-111"/>
      <sheetName val="Form_A11"/>
      <sheetName val="General_Data12"/>
      <sheetName val="LABOR_&amp;_자재11"/>
      <sheetName val="Price_Schedule11"/>
      <sheetName val="간접비_총괄11"/>
      <sheetName val="3_공통공사대비11"/>
      <sheetName val="Rate_Analysis11"/>
      <sheetName val="내역서_耰&quot;??11"/>
      <sheetName val="EQUIPMENT_-211"/>
      <sheetName val="CAL_11"/>
      <sheetName val="WEIGHT_LIST10"/>
      <sheetName val="산#2-1_(2)10"/>
      <sheetName val="BEND_LOSS10"/>
      <sheetName val="공사비_내역_(가)10"/>
      <sheetName val="6PILE__(돌출)10"/>
      <sheetName val="단면_(2)10"/>
      <sheetName val="BM_DATA_SHEET10"/>
      <sheetName val="Static_Equip10"/>
      <sheetName val="Form_A_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3_Breakdown_Direct_Paint10"/>
      <sheetName val="내역서_耰&quot;_x005f_x0000__x005f_x0000_10"/>
      <sheetName val="내역서_耰&quot;__11"/>
      <sheetName val="Summary_Sheets10"/>
      <sheetName val="Civil_110"/>
      <sheetName val="Civil_210"/>
      <sheetName val="Civil_310"/>
      <sheetName val="Site_110"/>
      <sheetName val="Site_210"/>
      <sheetName val="Site_310"/>
      <sheetName val="Site_Faci10"/>
      <sheetName val="EQUIP_LIST9"/>
      <sheetName val="Z-_GENERAL_PRICE_SUMMARY9"/>
      <sheetName val="_Estimate__9"/>
      <sheetName val="2_2_STAFF_Scedule9"/>
      <sheetName val="내역서_耰&quot;_x005f_x005f_x005f_x0000__x005f_x005f_x0009"/>
      <sheetName val="계측_내역서9"/>
      <sheetName val="Man_Hole9"/>
      <sheetName val="Sheet1_(2)10"/>
      <sheetName val="내역서_耰&quot;_x005f_x005f_x005f_x005f_x005f_x005f_x00009"/>
      <sheetName val="Administrative_Prices9"/>
      <sheetName val="WBS_449"/>
      <sheetName val="WBS_419"/>
      <sheetName val="Precios_por_Administración9"/>
      <sheetName val="Precios_Unitarios9"/>
      <sheetName val="Subcon_A9"/>
      <sheetName val="7__월별투입내역서9"/>
      <sheetName val="T_39"/>
      <sheetName val="HORI__VESSEL9"/>
      <sheetName val="Vind_-_BtB9"/>
      <sheetName val="LV_induction_motors9"/>
      <sheetName val="BSD_(2)9"/>
      <sheetName val="Monthly_Load9"/>
      <sheetName val="Weekly_Load9"/>
      <sheetName val="MP_MOB9"/>
      <sheetName val="Form_B9"/>
      <sheetName val="Material_Selections9"/>
      <sheetName val="CUADRO_DE_PRECIOS8"/>
      <sheetName val="내역서_耰&quot;_x005f_x005f_x005f_x005f_x005f_x005f_x005f9"/>
      <sheetName val="breakdown_of_wage_rate9"/>
      <sheetName val="Indirect_Cost9"/>
      <sheetName val="97_사업추정(WEKI)9"/>
      <sheetName val="Eq__Mobilization9"/>
      <sheetName val="[SANDAN_XLS??9"/>
      <sheetName val="Piping_BQ_for_one_turbine9"/>
      <sheetName val="Utility_and_Fire_flange9"/>
      <sheetName val="Resource_table9"/>
      <sheetName val="SFN_ORIG9"/>
      <sheetName val="Equipment_List9"/>
      <sheetName val="Form1_SQP9"/>
      <sheetName val="공정계획(내부계획25%,내부w_f)9"/>
      <sheetName val="_SANDAN_XLS__9"/>
      <sheetName val="w't_table9"/>
      <sheetName val="Heavy_Equipments9"/>
      <sheetName val="실행예산_MM8"/>
      <sheetName val="AG_Pipe_Qty_Analysis9"/>
      <sheetName val="SCHEDD_TAMBAHAN9"/>
      <sheetName val="Fire_Protection9"/>
      <sheetName val="입찰내역_발주처_양식9"/>
      <sheetName val="FWBS_15308"/>
      <sheetName val="단가_(2)8"/>
      <sheetName val="4-3LEVEL-5_epic_48"/>
      <sheetName val="BOQ-B_DOWN8"/>
      <sheetName val="Dir_Manpower_Other_Exp_9"/>
      <sheetName val="ITB_COST9"/>
      <sheetName val="내역서_耰&quot;9"/>
      <sheetName val="내역서_(∮ἀ嘆ɶ8"/>
      <sheetName val="MODULE_CONFIRM8"/>
      <sheetName val="Unit_Price_4"/>
      <sheetName val="PROTECTION_8"/>
      <sheetName val="Cash_In-Cash_Out_Actual8"/>
      <sheetName val="내역서1999_8최종4"/>
      <sheetName val="plan&amp;section_of_foundation5"/>
      <sheetName val="working_load_at_the_btm_ft_5"/>
      <sheetName val="stability_check5"/>
      <sheetName val="design_load5"/>
      <sheetName val="Updating_Form-Oct_20114"/>
      <sheetName val="Weld_Consumable4"/>
      <sheetName val="NDE_Cost-Summary4"/>
      <sheetName val="9July_Above_Ground_Pipe4"/>
      <sheetName val="M_114"/>
      <sheetName val="Process_Data_1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Closeout_Control4"/>
      <sheetName val="Direct_PMS4"/>
      <sheetName val="PROJECT_BRIEF4"/>
      <sheetName val="Site_Findings_Status_Sheet4"/>
      <sheetName val="Sum_(Case-3)4"/>
      <sheetName val="Man_Power_&amp;_Comp4"/>
      <sheetName val="Data_List4"/>
      <sheetName val="4-Basic_Price4"/>
      <sheetName val="Evaluasi_Penw4"/>
      <sheetName val="Currency_Rate4"/>
      <sheetName val="5_)_Time_Delays4"/>
      <sheetName val="Aux_4"/>
      <sheetName val="1100-1200-1300-1910-2140-LEV_24"/>
      <sheetName val="Material_Price4"/>
      <sheetName val="내역서_耰&quot;_x005f_x005f_x005f_x0000_4"/>
      <sheetName val="내역서_耰&quot;_x005f_x005f_x005f_x005f_4"/>
      <sheetName val="Codes_Pers4"/>
      <sheetName val="Tools_&amp;_Settings4"/>
      <sheetName val="Data_Summary4"/>
      <sheetName val="Crew_Costs4"/>
      <sheetName val="Spread_Costs4"/>
      <sheetName val="Unique_List_Misc4"/>
      <sheetName val="In-House_Summary4"/>
      <sheetName val="00-Summary_Information-ABB3"/>
      <sheetName val="__4"/>
      <sheetName val="_4"/>
      <sheetName val="breakdown_of_wage_ra`f3"/>
      <sheetName val="breakdown_of_wage_ra3"/>
      <sheetName val="breakdown_of_wage_rað-3"/>
      <sheetName val="Process_Data_(2)4"/>
      <sheetName val="Material_code3"/>
      <sheetName val="내역서_耰&quot;_x005f_x0000_4"/>
      <sheetName val="내역서_耰&quot;_x005f_x005f_4"/>
      <sheetName val="2_Overall_Summary_3"/>
      <sheetName val="0__Resource　Code3"/>
      <sheetName val="breakdown_of_wage_rap3"/>
      <sheetName val="PABS,Site_info3"/>
      <sheetName val="Distribution_Table3"/>
      <sheetName val="Raw_data3"/>
      <sheetName val="Action_Item3"/>
      <sheetName val="내역서_耰&quot;_3"/>
      <sheetName val="Cashflow_Analysis2"/>
      <sheetName val="Finansal_tamamlanma_Eğrisi2"/>
      <sheetName val="Attach_4-182"/>
      <sheetName val="SUM_2"/>
      <sheetName val="내역서_(∮ἀ嘆ɶ?᠀㬁?2"/>
      <sheetName val="광통신_견적내역서12"/>
      <sheetName val="리스크_분류체계2"/>
      <sheetName val="11_자재단가2"/>
      <sheetName val="LIFE_&amp;_REP_PROVN2"/>
      <sheetName val="O&amp;M_CREW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내역서_(N__x002"/>
      <sheetName val="GM_0001"/>
      <sheetName val="RESUMEN_CD"/>
      <sheetName val="BOQ_REV6"/>
      <sheetName val="Maliyet_Ozet"/>
      <sheetName val="1_1-1_2"/>
      <sheetName val="1_3-_1_4"/>
      <sheetName val="3_1"/>
      <sheetName val="3_2"/>
      <sheetName val="4_1(a)"/>
      <sheetName val="4_1(b)"/>
      <sheetName val="4_1_(c)"/>
      <sheetName val="5_1"/>
      <sheetName val="Tender_data1"/>
      <sheetName val="Scheme_Area_Details_Block___C21"/>
      <sheetName val="Cash_Flow1"/>
      <sheetName val="5__월별투입내역서1"/>
      <sheetName val="일위대가_1"/>
      <sheetName val="1_설계기준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0_5_TABLA_PRESUPUESTOS"/>
      <sheetName val="ﾄﾞﾊﾞｲFUEL_GAS追見"/>
      <sheetName val="Pomoćni"/>
      <sheetName val="breakdown_of_wage_ra3"/>
      <sheetName val="SI-1"/>
      <sheetName val="revenue"/>
      <sheetName val="sga"/>
      <sheetName val="engineering"/>
      <sheetName val="Item_code4"/>
      <sheetName val="design_criteria4"/>
      <sheetName val="RAB_AR&amp;STR4"/>
      <sheetName val="내역서_耰&quot;_x005f_x0000__x00005"/>
      <sheetName val="할증_4"/>
      <sheetName val="Air_Cooler-E3"/>
      <sheetName val="2__현장_자금투입_집계표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General_Notes4"/>
      <sheetName val="BO䁑-B_䁄OWN4"/>
      <sheetName val="_도면_및_도서_제출목록_및_일정_170202_xlsx4"/>
      <sheetName val="Rates_&amp;_Legend4"/>
      <sheetName val="Pengesahan_4"/>
      <sheetName val="Harga_Satuan4"/>
      <sheetName val="F_ALARM4"/>
      <sheetName val="Exchange_Rate4"/>
      <sheetName val="Bill_rekap4"/>
      <sheetName val="차트_(2)4"/>
      <sheetName val="DATA_MENTAH3"/>
      <sheetName val="Equipment_Spec_List3"/>
      <sheetName val="SPEC_LIST(EQUP,_SYS)3"/>
      <sheetName val="DROP_DOWN3"/>
      <sheetName val="ID_CD3"/>
      <sheetName val="개시대사_(2)3"/>
      <sheetName val="내역서_(N___&#10;4"/>
      <sheetName val="HO_Site_Rates-20113"/>
      <sheetName val="Al_Taweelah3"/>
      <sheetName val="Particular_Sch3"/>
      <sheetName val="5__Work_load(현재원기준)1"/>
      <sheetName val="Linelist_LNGC_Process3"/>
      <sheetName val="Direct_Histogram_Rev__A_(f)1"/>
      <sheetName val="Fig_4-141"/>
      <sheetName val="설산1_나1"/>
      <sheetName val="Tables_3_1_to_3_5_EXH_G1"/>
      <sheetName val="EQUIPOS_DE_SEGURIDAD1"/>
      <sheetName val="MATERIALES_CONSUMIBLES1"/>
      <sheetName val="PERSONAL_INDIRECTO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List_register1"/>
      <sheetName val="Att-1_CTCI_MH_rate1"/>
      <sheetName val="dongia_(2)1"/>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10;5"/>
      <sheetName val="INPUT_DATA_OF_SCHEDULE2"/>
      <sheetName val="Linelist_LNGC_Process4"/>
      <sheetName val="SUM_3"/>
      <sheetName val="Tender_data2"/>
      <sheetName val="TQ_Format3"/>
      <sheetName val="breakdown_of_wage_raÐ¾3"/>
      <sheetName val="Additional_data3"/>
      <sheetName val="33628-Rev__A2"/>
      <sheetName val="Master_List2"/>
      <sheetName val="Cash_Flow2"/>
      <sheetName val="Scheme_Area_Details_Block___C22"/>
      <sheetName val="14-Eng_rate2"/>
      <sheetName val="Admin_Manu_2-Equipment_Type_ID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Att-1_CTCI_MH_rate2"/>
      <sheetName val="Perm__Test2"/>
      <sheetName val="Galian_12"/>
      <sheetName val="Analisa_Lump_sum2"/>
      <sheetName val="Sec_I_ML2"/>
      <sheetName val="dongia_(2)2"/>
      <sheetName val="64_42"/>
      <sheetName val="64_52"/>
      <sheetName val="36_22"/>
      <sheetName val="36_12"/>
      <sheetName val="5__Work_load(현재원기준)2"/>
      <sheetName val="공통비총괄표"/>
      <sheetName val="FC04_2030"/>
      <sheetName val="FC04_203099"/>
      <sheetName val="TABLE-A"/>
      <sheetName val="PCV"/>
      <sheetName val="Dsr Hitung"/>
      <sheetName val="내역서_(N   _"/>
      <sheetName val="Mat Tower"/>
      <sheetName val="RT13526 CPI"/>
      <sheetName val="RT15918"/>
      <sheetName val="OE (KSB)"/>
      <sheetName val="TEST1"/>
      <sheetName val="Sew-Tahan"/>
      <sheetName val="Mobilisasi"/>
      <sheetName val="Default"/>
      <sheetName val="harga"/>
      <sheetName val="4-MVAC"/>
      <sheetName val="G_SUMMARY"/>
      <sheetName val="Memb Schd"/>
      <sheetName val="PPC"/>
      <sheetName val="Tableau"/>
      <sheetName val="Coef et données"/>
      <sheetName val="SAP"/>
      <sheetName val="Pag_hal"/>
      <sheetName val="SAT-BHN"/>
      <sheetName val="Load"/>
      <sheetName val="Data_ST"/>
      <sheetName val="VV_Ped"/>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galian saluran"/>
      <sheetName val="Ana. PU"/>
      <sheetName val="tr-28202"/>
      <sheetName val="Statprod_gab2"/>
      <sheetName val="L_12"/>
      <sheetName val="Analisa_(ok_punya)"/>
      <sheetName val="Perhit.Alat"/>
      <sheetName val="CF"/>
      <sheetName val="05 Analisa Teknik"/>
      <sheetName val="내역ࠜĀ_x005f"/>
      <sheetName val="내역서 耰&quot;_x005f"/>
      <sheetName val="_x005f_x005f_x005f_x005F_x005f_x005f_"/>
      <sheetName val="당초?ἀ"/>
      <sheetName val="_x0004_?&#13;?_x0003_?_x0004_?_x0016_?&#13;?_x0004_"/>
      <sheetName val="&#10;?_x001b_?_x0006_?_x0006_?_x0008_?&#10;??"/>
      <sheetName val="내역서_耰&quot;_x005f"/>
      <sheetName val=" ?_x001b_?_x0006_?_x0006_?_x0008_? ??"/>
      <sheetName val="Weekl_x0004_?_x0016_?&#13;?"/>
      <sheetName val="?_x000e_?_x0005_"/>
      <sheetName val="_x0002_?뻘N??_"/>
      <sheetName val="_x0004_?&#13;?_x0"/>
      <sheetName val="&#10;?_x001b_?_x0"/>
      <sheetName val="7422CW_x0013_?"/>
      <sheetName val="OPT_x0012_?_x0010_?&#10;?"/>
      <sheetName val="?_x0013_?_x0014_"/>
      <sheetName val="Analisa SNI STANDART "/>
      <sheetName val="Site"/>
      <sheetName val="MRS"/>
      <sheetName val="P&amp;L"/>
      <sheetName val="Monthly S Curve SPK"/>
      <sheetName val="Schedul"/>
      <sheetName val="1.B"/>
      <sheetName val="EVAL-ANAL"/>
      <sheetName val="div-6"/>
      <sheetName val="RKP"/>
      <sheetName val="div-2"/>
      <sheetName val="GAEYO"/>
      <sheetName val="CEQ_Master"/>
      <sheetName val="Man_Master"/>
      <sheetName val="여흥"/>
      <sheetName val="Diary"/>
      <sheetName val="RSC"/>
      <sheetName val="TTL_Qty"/>
      <sheetName val="QTY"/>
      <sheetName val="Week ending"/>
      <sheetName val="Planners Workload"/>
      <sheetName val="Setup"/>
      <sheetName val="@"/>
      <sheetName val="05__Curva_S1"/>
      <sheetName val="Other_data"/>
      <sheetName val="SWALE (구산)"/>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Tabla"/>
      <sheetName val="배합비(99-05-25)"/>
      <sheetName val="UPAH &amp; BHN ARS"/>
      <sheetName val="AHS ARS"/>
      <sheetName val="Analisa HSP"/>
      <sheetName val="입찰내역 발주처 양卤"/>
      <sheetName val="Analisa Neraca"/>
      <sheetName val="Condition"/>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PLSt 03  "/>
      <sheetName val="П 7 курс аванса"/>
      <sheetName val="IncStat 03-04"/>
      <sheetName val="IncStat 03  "/>
      <sheetName val="Авансы по СНГ"/>
      <sheetName val="09월"/>
      <sheetName val="10월"/>
      <sheetName val="자금신청서"/>
      <sheetName val="ENE-CAL 1"/>
      <sheetName val="매립"/>
      <sheetName val="phuluc1"/>
      <sheetName val="TONGKE1P"/>
      <sheetName val="TKThep"/>
      <sheetName val="Bang KL"/>
      <sheetName val="소화실적"/>
      <sheetName val="계수"/>
      <sheetName val="수주계획('22)"/>
      <sheetName val="수주계획(22)"/>
      <sheetName val="전계가"/>
      <sheetName val="Monomers"/>
      <sheetName val="BQ_E20_02_Rp_"/>
      <sheetName val="ANAL.BOW"/>
      <sheetName val="Isolasi Luar Dalam"/>
      <sheetName val="Isolasi Luar"/>
      <sheetName val="график финансирования"/>
      <sheetName val="내역서_(N___ 2"/>
      <sheetName val="파이프류"/>
      <sheetName val="변수"/>
      <sheetName val="CAP"/>
      <sheetName val="Data Ref."/>
      <sheetName val="KKS System Codes"/>
      <sheetName val="Price Schedule Code"/>
      <sheetName val="REF.ONLY"/>
      <sheetName val="Assmpns"/>
      <sheetName val="일위"/>
      <sheetName val="JGSummit Package 2 (CTCI)"/>
      <sheetName val="Appendix A"/>
      <sheetName val="MAY 00-Bobbins"/>
      <sheetName val="BALAN1"/>
      <sheetName val="2.2 띠장의 설계"/>
      <sheetName val="(10) Other Costs5"/>
      <sheetName val="7.6.3.J.Inline Instrument"/>
      <sheetName val="F-31"/>
      <sheetName val="6.2 Floor Finishes"/>
      <sheetName val="Addition-ProtectionSummary"/>
      <sheetName val="Project D"/>
      <sheetName val="ARCH"/>
      <sheetName val="Tender Summary"/>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INPUT_TABLE"/>
      <sheetName val="LDB"/>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S1BOQ"/>
      <sheetName val="C1 (calcolo)"/>
      <sheetName val="TABLO-3"/>
      <sheetName val="CC"/>
      <sheetName val="5.5FWBS CODE"/>
      <sheetName val="JKT"/>
      <sheetName val="1195 B1"/>
      <sheetName val="page 6"/>
      <sheetName val="Capel KI"/>
      <sheetName val="Capel PK"/>
      <sheetName val="Summary HS Pipa CS"/>
      <sheetName val="AsumsiDasar"/>
      <sheetName val="Raw Data-Combined"/>
      <sheetName val="Rates"/>
      <sheetName val="Spread"/>
      <sheetName val="TRNS-C1"/>
      <sheetName val="plumbing"/>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lkalibrasi BENENAIN"/>
      <sheetName val="HSATUAN"/>
      <sheetName val="Terbilang"/>
      <sheetName val="har-sat"/>
      <sheetName val="Harga Mat "/>
      <sheetName val="Definitions"/>
      <sheetName val="_x005f_x005f_x00ည톐ឮ"/>
      <sheetName val="Integrated-S Curve"/>
      <sheetName val="변경내역대비표(2)"/>
      <sheetName val="Lists"/>
      <sheetName val="Riser-1"/>
      <sheetName val="6_2_Floor_Finishes"/>
      <sheetName val="CC8"/>
      <sheetName val="SOR"/>
      <sheetName val="FR"/>
      <sheetName val="Elektrikal"/>
      <sheetName val="PESANTREN"/>
      <sheetName val="G"/>
      <sheetName val=" hrg bhn"/>
      <sheetName val="BAHAN"/>
      <sheetName val="Page1"/>
      <sheetName val="Home Office"/>
      <sheetName val="Process Piping"/>
      <sheetName val="REQDELTA"/>
      <sheetName val="기준"/>
      <sheetName val="IndirectSum"/>
      <sheetName val="2공구산출내역"/>
      <sheetName val="MSH51C"/>
      <sheetName val="Micro"/>
      <sheetName val="Macro"/>
      <sheetName val="Accountingword"/>
      <sheetName val="Main Control"/>
      <sheetName val="upa"/>
      <sheetName val="Ra  stair"/>
      <sheetName val="热工设备"/>
      <sheetName val="仪表设备"/>
      <sheetName val="Man Power"/>
      <sheetName val="grafik"/>
      <sheetName val="OP-DSU"/>
      <sheetName val="pro ra op"/>
      <sheetName val="analis standar(8m)"/>
      <sheetName val="Ex_Rate"/>
      <sheetName val="ShareCapital "/>
      <sheetName val="Inventories"/>
      <sheetName val="BAG_2"/>
      <sheetName val="HS"/>
      <sheetName val="Koordinat"/>
      <sheetName val="3-DIV4"/>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음료실행"/>
      <sheetName val="Áý°èÇ¥_(TOTAN)5"/>
      <sheetName val="단가표"/>
      <sheetName val="_______x005f_x005f_x005f_x0000__x005f_x005f_x00_2"/>
      <sheetName val="_____x005f_x005f_x005f_x005f_x005f_x005f_x005f_x0000__2"/>
      <sheetName val="_______x005f_x005f_x005f_x005f_x005f_x005f_x000_2"/>
      <sheetName val="Section 1"/>
      <sheetName val="GKP"/>
      <sheetName val="renc mgn"/>
      <sheetName val="내역서 耰&quot;_x005f_x0000__x005f_x005f_x0000"/>
      <sheetName val="SCOPES"/>
      <sheetName val="분양가표"/>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EST_EQUIPOS"/>
      <sheetName val="내역서_耰&quot;10"/>
      <sheetName val="TR_Rev_vs_Commit1"/>
      <sheetName val="TR_+MMHE_PL_report1"/>
      <sheetName val="P23P2724___Commitment_1"/>
      <sheetName val="Precios_Unitariԯ2"/>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Sch_61"/>
      <sheetName val="InD_Mpower1"/>
      <sheetName val="내역서_(∮ἀ嘆ɶ_᠀㬁_2"/>
      <sheetName val="Vehicle_Log1"/>
      <sheetName val="M&amp;E_Summary1"/>
      <sheetName val="rev_summary1"/>
      <sheetName val="M&amp;E_Prelims1"/>
      <sheetName val="B-FP_(2)1"/>
      <sheetName val="Sch_1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IRR_sponsor1"/>
      <sheetName val="2013电气概算_价目表_(营改增调整)1"/>
      <sheetName val="내역서_(N____12"/>
      <sheetName val="List_Equip1"/>
      <sheetName val="Process_C_(1-166)1"/>
      <sheetName val="TRUCK_HAUL_CYCLE-waste1"/>
      <sheetName val="Existing_PC_Pavement1"/>
      <sheetName val="Master_Data1"/>
      <sheetName val="ind'l_cp1"/>
      <sheetName val="LAST_UPDATE1"/>
      <sheetName val="0_품의서(전체)1"/>
      <sheetName val="3_부제O호표1"/>
      <sheetName val="5_소모재료비1"/>
      <sheetName val="8_시멘트제원표1"/>
      <sheetName val="2_품제O호표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tblg_denda2"/>
      <sheetName val="F1_41"/>
      <sheetName val="Manpower_Categories1"/>
      <sheetName val="Equipt_Rental1"/>
      <sheetName val="EQ_USED_(CORRECTED)1"/>
      <sheetName val="Rebar_Constant1"/>
      <sheetName val="CONCRETE_TYPE1"/>
      <sheetName val="External_Issues1"/>
      <sheetName val="Equip_Mstr_FOR_3A11"/>
      <sheetName val="G_R300경비1"/>
      <sheetName val="AS포장복구_1"/>
      <sheetName val="중기조종사_단위단가1"/>
      <sheetName val="설_계1"/>
      <sheetName val="5_Cennik2"/>
      <sheetName val="_토목_처리장도급내역서_1"/>
      <sheetName val="Garph_Work-Cost1"/>
      <sheetName val="LRK_1"/>
      <sheetName val="Insulation_1501081"/>
      <sheetName val="동상부_Tact_기준_반입일정_및_수량_02171"/>
      <sheetName val="MASTER_RATE_ANALYSIS1"/>
      <sheetName val="MN_T_B_1"/>
      <sheetName val="INDIGINEOUS_ITEMS_1"/>
      <sheetName val="Core_Data1"/>
      <sheetName val="final_abstract1"/>
      <sheetName val="Manpower_Categories"/>
      <sheetName val="Equip_Mstr_FOR_3A1"/>
      <sheetName val="_토목_처리장도급내역서_"/>
      <sheetName val="Garph_Work-Cost"/>
      <sheetName val="동상부_Tact_기준_반입일정_및_수량_0217"/>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breakdown_of_wage_ra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10;6"/>
      <sheetName val="TQ_Format4"/>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breakdown_of_wage_raÐ¾4"/>
      <sheetName val="Additional_data4"/>
      <sheetName val="11_자재단가3"/>
      <sheetName val="LIFE_&amp;_REP_PROVN3"/>
      <sheetName val="O&amp;M_CREW3"/>
      <sheetName val="33628-Rev__A3"/>
      <sheetName val="Cashflow_Analysis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Attach_4-183"/>
      <sheetName val="INPUT_DATA_OF_SCHEDULE3"/>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Finansal_tamamlanma_Eğrisi3"/>
      <sheetName val="Master_List3"/>
      <sheetName val="Scheme_Area_Details_Block___C23"/>
      <sheetName val="14-Eng_rate3"/>
      <sheetName val="리스크_분류체계3"/>
      <sheetName val="Tender_data3"/>
      <sheetName val="Activity_Form3"/>
      <sheetName val="GM_0003"/>
      <sheetName val="Admin_Manu_2-Equipment_Type_ID3"/>
      <sheetName val="일위대가_3"/>
      <sheetName val="SECL_리스크_분류체계_(2)3"/>
      <sheetName val="1_설계기준3"/>
      <sheetName val="Cash_Flow3"/>
      <sheetName val="REF_for_VV3"/>
      <sheetName val="P-Ins_&amp;_Bonds3"/>
      <sheetName val="INSTLIST_13"/>
      <sheetName val="내역서_(∮ἀ嘆ɶ?᠀㬁?3"/>
      <sheetName val="Fig_4-143"/>
      <sheetName val="Itembalance_Report_(18-sep-18)3"/>
      <sheetName val="BUDGET_SUMMARY_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7"/>
      <sheetName val="내역서_(N____8"/>
      <sheetName val="__x03"/>
      <sheetName val="OPT_4"/>
      <sheetName val="내역서_(N__x003"/>
      <sheetName val="List_register3"/>
      <sheetName val="Direct_Histogram_Rev__A_(f)3"/>
      <sheetName val="Tables_3_1_to_3_5_EXH_G3"/>
      <sheetName val="64_43"/>
      <sheetName val="64_53"/>
      <sheetName val="36_23"/>
      <sheetName val="36_13"/>
      <sheetName val="EQUIPOS_DE_SEGURIDAD3"/>
      <sheetName val="MATERIALES_CONSUMIBLES3"/>
      <sheetName val="PERSONAL_INDIRECTO_3"/>
      <sheetName val="Cost_Code3"/>
      <sheetName val="Data_Ref3"/>
      <sheetName val="Interdept_Rate3"/>
      <sheetName val="4300_UTILITY_BLDG_(2)3"/>
      <sheetName val="5__Work_load(현재원기준)3"/>
      <sheetName val="GRAND_REKAP"/>
      <sheetName val="analisa_(2)"/>
      <sheetName val="Analisa_2"/>
      <sheetName val="Up_&amp;_bhn"/>
      <sheetName val="HRG_BHN"/>
      <sheetName val="Alat_(2)"/>
      <sheetName val="Rekap_Biaya"/>
      <sheetName val="Kuantitas_&amp;_Harga"/>
      <sheetName val="Nopember_(2)"/>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Eng_Hrs_(HO)"/>
      <sheetName val="MFG_&amp;_DEL"/>
      <sheetName val="원가조정_내역"/>
      <sheetName val="InsertListDrawing_1_"/>
      <sheetName val="P_Staff_fac"/>
      <sheetName val="beam-reinft-IIInd_floor"/>
      <sheetName val="P-Site_fac"/>
      <sheetName val="P-Clients_fac"/>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내역서_耰&quot;11"/>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breakdown_of_wage_ra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10;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SUMMARY_MTO_02_2_352"/>
      <sheetName val="N_G_METERING_CALC_2"/>
      <sheetName val="N_G_METERING2"/>
      <sheetName val="N_G_METERING_(2)2"/>
      <sheetName val="CUMENE_METERING2"/>
      <sheetName val="N2_METERING_2"/>
      <sheetName val="H2_METERING__2"/>
      <sheetName val="CO_METERING2"/>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TR_Rev_vs_Commit2"/>
      <sheetName val="TR_+MMHE_PL_report2"/>
      <sheetName val="P23P2724___Commitment_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05__Curva_S3"/>
      <sheetName val="Cost_Code4"/>
      <sheetName val="Data_Ref4"/>
      <sheetName val="Interdept_Rate4"/>
      <sheetName val="4300_UTILITY_BLDG_(2)4"/>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Enron_Form2"/>
      <sheetName val="IRR_sponsor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Sch_62"/>
      <sheetName val="2013电气概算_价目表_(营改增调整)2"/>
      <sheetName val="1_11_b2"/>
      <sheetName val="SPEC(CABLE_&amp;_WIRE)2"/>
      <sheetName val="RESUMEN_CD2"/>
      <sheetName val="BOQ_REV62"/>
      <sheetName val="Maliyet_Ozet2"/>
      <sheetName val="1_1-1_22"/>
      <sheetName val="1_3-_1_42"/>
      <sheetName val="3_12"/>
      <sheetName val="3_22"/>
      <sheetName val="4_1(a)2"/>
      <sheetName val="4_1(b)2"/>
      <sheetName val="4_1_(c)2"/>
      <sheetName val="5_12"/>
      <sheetName val="내역서_(N____13"/>
      <sheetName val="6_공정표2"/>
      <sheetName val="List_Equip2"/>
      <sheetName val="Process_C_(1-166)2"/>
      <sheetName val="TRUCK_HAUL_CYCLE-waste2"/>
      <sheetName val="Existing_PC_Pavement2"/>
      <sheetName val="Master_Data2"/>
      <sheetName val="ind'l_cp2"/>
      <sheetName val="LAST_UPDATE2"/>
      <sheetName val="0_품의서(전체)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External_Issues2"/>
      <sheetName val="Statprod_gab3"/>
      <sheetName val="L_13"/>
      <sheetName val="Equip_Mstr_FOR_3A12"/>
      <sheetName val="G_R300경비2"/>
      <sheetName val="AS포장복구_2"/>
      <sheetName val="중기조종사_단위단가2"/>
      <sheetName val="설_계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GRAND_REKAP1"/>
      <sheetName val="analisa_(2)1"/>
      <sheetName val="Analisa_21"/>
      <sheetName val="Up_&amp;_bhn1"/>
      <sheetName val="HRG_BHN1"/>
      <sheetName val="Analisa_(ok_punya)1"/>
      <sheetName val="Alat_(2)1"/>
      <sheetName val="Rekap_Biaya1"/>
      <sheetName val="Kuantitas_&amp;_Harga1"/>
      <sheetName val="Nopember_(2)1"/>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Eng_Hrs_(HO)1"/>
      <sheetName val="MFG_&amp;_DEL1"/>
      <sheetName val="원가조정_내역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breakdown_of_wage_ra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10;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BQ Summary"/>
      <sheetName val="FittingR1"/>
      <sheetName val="Gasket"/>
      <sheetName val="Bolt"/>
      <sheetName val="LV induction _x0005_묠"/>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P. control"/>
      <sheetName val="EVAL"/>
      <sheetName val="Costing Detailed"/>
      <sheetName val="ER10_Old"/>
      <sheetName val="Basic Data Inputs"/>
      <sheetName val="BLN_PKG"/>
      <sheetName val="TEMP PROFILE"/>
      <sheetName val="_선택 속성(잠금)"/>
      <sheetName val="Drop-down lists"/>
      <sheetName val="AIRCOND"/>
      <sheetName val="EXTERNAL"/>
      <sheetName val="MDGAS"/>
      <sheetName val="BILL 1"/>
      <sheetName val="Step2 -&gt; Mat. Cost"/>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7"/>
      <sheetName val="MOBSCH"/>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表三"/>
      <sheetName val="建筑定额 (2002)"/>
      <sheetName val="ADI"/>
      <sheetName val="运"/>
      <sheetName val="建筑定额"/>
      <sheetName val="原始数据"/>
      <sheetName val="经评"/>
      <sheetName val="G2TempSheet"/>
      <sheetName val="30万表三"/>
      <sheetName val="ADI Edison Termoelettrica"/>
      <sheetName val="uraian analisa"/>
      <sheetName val="8LT 12"/>
      <sheetName val="Basic Price"/>
      <sheetName val="TL"/>
      <sheetName val="mob"/>
      <sheetName val="igp-03"/>
      <sheetName val="PNT-QUOT-#3"/>
      <sheetName val="COAT&amp;WRAP-QIOT-#3"/>
      <sheetName val="价格取值"/>
      <sheetName val="Daily Forwards"/>
      <sheetName val="KUWATI(Total)_18"/>
      <sheetName val="OPTION_218"/>
      <sheetName val="OPTION_3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2002년_현장공사비_국내_실적18"/>
      <sheetName val="2003년국내현장공사비_실적18"/>
      <sheetName val="VC2_10_9918"/>
      <sheetName val="INPUT_DATA17"/>
      <sheetName val="집계표_(25,26ဩ17"/>
      <sheetName val="General_Data17"/>
      <sheetName val="Form_017"/>
      <sheetName val="LABOR_&amp;_자재16"/>
      <sheetName val="입출재고현황_(2)16"/>
      <sheetName val="Form_D-116"/>
      <sheetName val="Form_B-116"/>
      <sheetName val="Form_F-116"/>
      <sheetName val="Form_A16"/>
      <sheetName val="3_공통공사대비16"/>
      <sheetName val="간접비_총괄16"/>
      <sheetName val="Rate_Analysis16"/>
      <sheetName val="Price_Schedule16"/>
      <sheetName val="CAL_16"/>
      <sheetName val="EQUIPMENT_-216"/>
      <sheetName val="Z-_GENERAL_PRICE_SUMMARY14"/>
      <sheetName val="_Estimate__14"/>
      <sheetName val="WEIGHT_LIST15"/>
      <sheetName val="산#2-1_(2)15"/>
      <sheetName val="BEND_LOSS15"/>
      <sheetName val="공사비_내역_(가)15"/>
      <sheetName val="내역서_耰&quot;??16"/>
      <sheetName val="단면_(2)15"/>
      <sheetName val="6PILE__(돌출)15"/>
      <sheetName val="Static_Equip15"/>
      <sheetName val="Form_A_15"/>
      <sheetName val="내역서_耰&quot;_x005f_x0000__x005f_x0000_15"/>
      <sheetName val="3_Breakdown_Direct_Paint15"/>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_16"/>
      <sheetName val="Summary_Sheets15"/>
      <sheetName val="Man_Hole14"/>
      <sheetName val="Sheet1_(2)15"/>
      <sheetName val="Civil_115"/>
      <sheetName val="Civil_215"/>
      <sheetName val="Civil_315"/>
      <sheetName val="Site_115"/>
      <sheetName val="Site_215"/>
      <sheetName val="Site_315"/>
      <sheetName val="Site_Faci15"/>
      <sheetName val="내역서_耰&quot;_x005f_x005f_x005f_x0000__x005f_x005f_x0014"/>
      <sheetName val="7__월별투입내역서14"/>
      <sheetName val="계측_내역서14"/>
      <sheetName val="2_2_STAFF_Scedule14"/>
      <sheetName val="내역서_耰&quot;_x005f_x005f_x005f_x005f_x005f_x005f_x00014"/>
      <sheetName val="T_314"/>
      <sheetName val="HORI__VESSEL14"/>
      <sheetName val="EQUIP_LIST14"/>
      <sheetName val="MP_MOB14"/>
      <sheetName val="Form_B14"/>
      <sheetName val="Precios_Unitarios14"/>
      <sheetName val="Administrative_Prices14"/>
      <sheetName val="WBS_4414"/>
      <sheetName val="WBS_4114"/>
      <sheetName val="Precios_por_Administración14"/>
      <sheetName val="Subcon_A14"/>
      <sheetName val="Monthly_Load14"/>
      <sheetName val="Weekly_Load14"/>
      <sheetName val="BM_DATA_SHEET15"/>
      <sheetName val="Vind_-_BtB14"/>
      <sheetName val="LV_induction_motors14"/>
      <sheetName val="BSD_(2)14"/>
      <sheetName val="내역서_耰&quot;_x005f_x005f_x005f_x005f_x005f_x005f_x00514"/>
      <sheetName val="Material_Selections14"/>
      <sheetName val="내역서_耰&quot;13"/>
      <sheetName val="breakdown_of_wage_rate14"/>
      <sheetName val="Indirect_Cost14"/>
      <sheetName val="97_사업추정(WEKI)14"/>
      <sheetName val="[SANDAN_XLS??14"/>
      <sheetName val="Piping_BQ_for_one_turbine14"/>
      <sheetName val="Utility_and_Fire_flange14"/>
      <sheetName val="_SANDAN_XLS__14"/>
      <sheetName val="Eq__Mobilization14"/>
      <sheetName val="Fire_Protection14"/>
      <sheetName val="입찰내역_발주처_양식14"/>
      <sheetName val="Heavy_Equipments14"/>
      <sheetName val="AG_Pipe_Qty_Analysis14"/>
      <sheetName val="FWBS_153013"/>
      <sheetName val="Resource_table14"/>
      <sheetName val="Equipment_List14"/>
      <sheetName val="Form1_SQP14"/>
      <sheetName val="공정계획(내부계획25%,내부w_f)14"/>
      <sheetName val="SFN_ORIG14"/>
      <sheetName val="Currency_Rate9"/>
      <sheetName val="w't_table14"/>
      <sheetName val="SCHEDD_TAMBAHAN14"/>
      <sheetName val="실행예산_MM13"/>
      <sheetName val="MODULE_CONFIRM13"/>
      <sheetName val="ITB_COST14"/>
      <sheetName val="내역서_(∮ἀ嘆ɶ13"/>
      <sheetName val="Dir_Manpower_Other_Exp_14"/>
      <sheetName val="4-3LEVEL-5_epic_413"/>
      <sheetName val="단가_(2)13"/>
      <sheetName val="BOQ-B_DOWN13"/>
      <sheetName val="Cash_In-Cash_Out_Actual13"/>
      <sheetName val="PROTECTION_13"/>
      <sheetName val="내역서1999_8최종9"/>
      <sheetName val="Unit_Price_9"/>
      <sheetName val="plan&amp;section_of_foundation10"/>
      <sheetName val="working_load_at_the_btm_ft_10"/>
      <sheetName val="stability_check10"/>
      <sheetName val="design_load10"/>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Sum_(Case-3)9"/>
      <sheetName val="Man_Power_&amp;_Comp9"/>
      <sheetName val="Data_List9"/>
      <sheetName val="4-Basic_Price9"/>
      <sheetName val="Evaluasi_Penw9"/>
      <sheetName val="Closeout_Control9"/>
      <sheetName val="PROJECT_BRIEF9"/>
      <sheetName val="CUADRO_DE_PRECIOS13"/>
      <sheetName val="Site_Findings_Status_Sheet9"/>
      <sheetName val="5_)_Time_Delays9"/>
      <sheetName val="Unt_rate9"/>
      <sheetName val="1100-1200-1300-1910-2140-LEV_29"/>
      <sheetName val="내역서_耰&quot;_x005f_x005f_x005f_x0000_9"/>
      <sheetName val="내역서_耰&quot;_x005f_x005f_x005f_x005f_9"/>
      <sheetName val="내역서_耰&quot;_x005f_x0000__x000010"/>
      <sheetName val="RAB_AR&amp;STR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할증_9"/>
      <sheetName val="99__FWBS(Ref)9"/>
      <sheetName val="99__Change_Rate9"/>
      <sheetName val="Discounted_Cash_Flow9"/>
      <sheetName val="Ocean_Transporation_Charg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Cash_Flow_bulanan9"/>
      <sheetName val="H_Satuan9"/>
      <sheetName val="In-House_Summary9"/>
      <sheetName val="Tools_&amp;_Settings9"/>
      <sheetName val="Data_Summary9"/>
      <sheetName val="Crew_Costs9"/>
      <sheetName val="Spread_Costs9"/>
      <sheetName val="Unique_List_Misc9"/>
      <sheetName val="Codes_Pers9"/>
      <sheetName val="Direct_PMS9"/>
      <sheetName val="UP_MINOR9"/>
      <sheetName val="Item_code9"/>
      <sheetName val="Aux_9"/>
      <sheetName val="Pengesahan_9"/>
      <sheetName val="__9"/>
      <sheetName val="_9"/>
      <sheetName val="breakdown_of_wage_ra`f8"/>
      <sheetName val="breakdown_of_wage_ra8"/>
      <sheetName val="breakdown_of_wage_rað-8"/>
      <sheetName val="2_Overall_Summary_8"/>
      <sheetName val="Rates_&amp;_Legend9"/>
      <sheetName val="OCT_FDN9"/>
      <sheetName val="BO䁑-B_䁄OWN9"/>
      <sheetName val="Bill_rekap9"/>
      <sheetName val="Harga_Satuan9"/>
      <sheetName val="F_ALARM9"/>
      <sheetName val="0__Resource　Code8"/>
      <sheetName val="breakdown_of_wage_rap8"/>
      <sheetName val="00-Summary_Information-ABB8"/>
      <sheetName val="breakdown_of_wage_ra8"/>
      <sheetName val="Exchange_Rate9"/>
      <sheetName val="General_Notes9"/>
      <sheetName val="내역서_耰&quot;_x005f_x0000_9"/>
      <sheetName val="내역서_耰&quot;_x005f_x005f_9"/>
      <sheetName val="Process_Data_(2)9"/>
      <sheetName val="PABS,Site_info8"/>
      <sheetName val="내역서_耰&quot;_8"/>
      <sheetName val="2__현장_자금투입_집계표9"/>
      <sheetName val="_도면_및_도서_제출목록_및_일정_170202_xlsx9"/>
      <sheetName val="Distribution_Table8"/>
      <sheetName val="Raw_data8"/>
      <sheetName val="차트_(2)9"/>
      <sheetName val="Material_code8"/>
      <sheetName val="DROP_DOWN8"/>
      <sheetName val="개시대사_(2)8"/>
      <sheetName val="DATA_MENTAH8"/>
      <sheetName val="내역서_(N___&#10;9"/>
      <sheetName val="TQ_Format7"/>
      <sheetName val="HO_Site_Rates-20118"/>
      <sheetName val="Linelist_LNGC_Process8"/>
      <sheetName val="Equipment_Spec_List8"/>
      <sheetName val="SPEC_LIST(EQUP,_SYS)8"/>
      <sheetName val="Action_Item8"/>
      <sheetName val="ID_CD8"/>
      <sheetName val="Air_Cooler-E8"/>
      <sheetName val="SUM_7"/>
      <sheetName val="Al_Taweelah8"/>
      <sheetName val="Particular_Sch8"/>
      <sheetName val="breakdown_of_wage_raÐ¾7"/>
      <sheetName val="Additional_data7"/>
      <sheetName val="11_자재단가6"/>
      <sheetName val="LIFE_&amp;_REP_PROVN6"/>
      <sheetName val="O&amp;M_CREW6"/>
      <sheetName val="33628-Rev__A6"/>
      <sheetName val="Cashflow_Analysis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Attach_4-186"/>
      <sheetName val="INPUT_DATA_OF_SCHEDULE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Finansal_tamamlanma_Eğrisi6"/>
      <sheetName val="Master_List6"/>
      <sheetName val="Scheme_Area_Details_Block___C26"/>
      <sheetName val="14-Eng_rate6"/>
      <sheetName val="리스크_분류체계6"/>
      <sheetName val="Admin_Manu_2-Equipment_Type_ID6"/>
      <sheetName val="Activity_Form6"/>
      <sheetName val="내역서_(∮ἀ嘆ɶ?᠀㬁?6"/>
      <sheetName val="Itembalance_Report_(18-sep-18)6"/>
      <sheetName val="BUDGET_SUMMARY_6"/>
      <sheetName val="Tender_data6"/>
      <sheetName val="1_설계기준6"/>
      <sheetName val="광통신_견적내역서16"/>
      <sheetName val="Cash_Flow6"/>
      <sheetName val="5__월별투입내역서6"/>
      <sheetName val="Att-1_CTCI_MH_rate6"/>
      <sheetName val="SUMMARY_MTO_02_2_354"/>
      <sheetName val="N_G_METERING_CALC_4"/>
      <sheetName val="N_G_METERING4"/>
      <sheetName val="N_G_METERING_(2)4"/>
      <sheetName val="CUMENE_METERING4"/>
      <sheetName val="N2_METERING_4"/>
      <sheetName val="H2_METERING__4"/>
      <sheetName val="CO_METERING4"/>
      <sheetName val="SECL_리스크_분류체계_(2)6"/>
      <sheetName val="Direct_Histogram_Rev__A_(f)6"/>
      <sheetName val="Fig_4-146"/>
      <sheetName val="GM_0006"/>
      <sheetName val="일위대가_6"/>
      <sheetName val="REF_for_VV6"/>
      <sheetName val="P-Ins_&amp;_Bonds6"/>
      <sheetName val="INSTLIST_16"/>
      <sheetName val="TR_Rev_vs_Commit4"/>
      <sheetName val="TR_+MMHE_PL_report4"/>
      <sheetName val="P23P2724___Commitment_4"/>
      <sheetName val="설산1_나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Perm__Test6"/>
      <sheetName val="Galian_16"/>
      <sheetName val="Analisa_Lump_sum6"/>
      <sheetName val="Sec_I_ML6"/>
      <sheetName val="dongia_(2)6"/>
      <sheetName val="BM_#16"/>
      <sheetName val="Weekl_7"/>
      <sheetName val="내역서_(N____17"/>
      <sheetName val="내역서_(N____18"/>
      <sheetName val="__x06"/>
      <sheetName val="OPT_7"/>
      <sheetName val="내역서_(N__x006"/>
      <sheetName val="List_register6"/>
      <sheetName val="Tables_3_1_to_3_5_EXH_G6"/>
      <sheetName val="64_46"/>
      <sheetName val="64_56"/>
      <sheetName val="36_26"/>
      <sheetName val="36_16"/>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Precios_Unitariԯ5"/>
      <sheetName val="EQUIPOS_DE_SEGURIDAD6"/>
      <sheetName val="MATERIALES_CONSUMIBLES6"/>
      <sheetName val="PERSONAL_INDIRECTO_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SPT_vs_PHI4"/>
      <sheetName val="05__Curva_S5"/>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Sch_64"/>
      <sheetName val="InD_Mpower4"/>
      <sheetName val="Cost_Code6"/>
      <sheetName val="Data_Ref6"/>
      <sheetName val="Interdept_Rate6"/>
      <sheetName val="4300_UTILITY_BLDG_(2)6"/>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Enron_Form4"/>
      <sheetName val="내역서_(∮ἀ嘆ɶ_᠀㬁_5"/>
      <sheetName val="Vehicle_Log4"/>
      <sheetName val="RESUMEN_CD4"/>
      <sheetName val="BOQ_REV64"/>
      <sheetName val="Maliyet_Ozet4"/>
      <sheetName val="1_1-1_24"/>
      <sheetName val="1_3-_1_44"/>
      <sheetName val="3_14"/>
      <sheetName val="3_24"/>
      <sheetName val="4_1(a)4"/>
      <sheetName val="4_1(b)4"/>
      <sheetName val="4_1_(c)4"/>
      <sheetName val="5_14"/>
      <sheetName val="Other_data4"/>
      <sheetName val="M&amp;E_Summary4"/>
      <sheetName val="rev_summary4"/>
      <sheetName val="M&amp;E_Prelims4"/>
      <sheetName val="B-FP_(2)4"/>
      <sheetName val="Sch_14"/>
      <sheetName val="5__Work_load(현재원기준)6"/>
      <sheetName val="SPEC(CABLE_&amp;_WIRE)4"/>
      <sheetName val="6_공정표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IRR_sponsor4"/>
      <sheetName val="2013电气概算_价目表_(营改增调整)4"/>
      <sheetName val="내역서_(N____19"/>
      <sheetName val="1_11_b4"/>
      <sheetName val="List_Equip4"/>
      <sheetName val="Process_C_(1-166)4"/>
      <sheetName val="TRUCK_HAUL_CYCLE-waste4"/>
      <sheetName val="Existing_PC_Pavement4"/>
      <sheetName val="Master_Data4"/>
      <sheetName val="ind'l_cp4"/>
      <sheetName val="LAST_UPDATE4"/>
      <sheetName val="0_품의서(전체)4"/>
      <sheetName val="3_부제O호표4"/>
      <sheetName val="5_소모재료비4"/>
      <sheetName val="8_시멘트제원표4"/>
      <sheetName val="2_품제O호표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tblg_denda5"/>
      <sheetName val="F1_44"/>
      <sheetName val="Manpower_Categories4"/>
      <sheetName val="Equipt_Rental4"/>
      <sheetName val="EQ_USED_(CORRECTED)4"/>
      <sheetName val="Rebar_Constant4"/>
      <sheetName val="CONCRETE_TYPE4"/>
      <sheetName val="External_Issues4"/>
      <sheetName val="Statprod_gab5"/>
      <sheetName val="L_15"/>
      <sheetName val="Equip_Mstr_FOR_3A14"/>
      <sheetName val="G_R300경비4"/>
      <sheetName val="AS포장복구_4"/>
      <sheetName val="중기조종사_단위단가4"/>
      <sheetName val="설_계4"/>
      <sheetName val="5_Cennik5"/>
      <sheetName val="_토목_처리장도급내역서_4"/>
      <sheetName val="Garph_Work-Cost4"/>
      <sheetName val="LRK_4"/>
      <sheetName val="Insulation_1501084"/>
      <sheetName val="동상부_Tact_기준_반입일정_및_수량_02174"/>
      <sheetName val="MASTER_RATE_ANALYSIS4"/>
      <sheetName val="MN_T_B_4"/>
      <sheetName val="INDIGINEOUS_ITEMS_4"/>
      <sheetName val="Core_Data4"/>
      <sheetName val="final_abstract4"/>
      <sheetName val="GRAND_REKAP3"/>
      <sheetName val="analisa_(2)3"/>
      <sheetName val="Analisa_23"/>
      <sheetName val="Up_&amp;_bhn3"/>
      <sheetName val="HRG_BHN3"/>
      <sheetName val="Analisa_(ok_punya)3"/>
      <sheetName val="Alat_(2)3"/>
      <sheetName val="Rekap_Biaya3"/>
      <sheetName val="Kuantitas_&amp;_Harga3"/>
      <sheetName val="Nopember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Urai__Resap_pengikat3"/>
      <sheetName val="DAF_HRG3"/>
      <sheetName val="7_공정표3"/>
      <sheetName val="Kolom_UT3"/>
      <sheetName val="HB_3"/>
      <sheetName val="Memb_Schd3"/>
      <sheetName val="Coef_et_données3"/>
      <sheetName val="Eng_Hrs_(HO)3"/>
      <sheetName val="MFG_&amp;_DEL3"/>
      <sheetName val="원가조정_내역3"/>
      <sheetName val="InsertListDrawing_1_3"/>
      <sheetName val="P_Staff_fac3"/>
      <sheetName val="beam-reinft-IIInd_floor3"/>
      <sheetName val="P-Site_fac3"/>
      <sheetName val="P-Clients_fac3"/>
      <sheetName val="P2-Project_Data3"/>
      <sheetName val="a_h_ars_sum3"/>
      <sheetName val="a_h_ars3"/>
      <sheetName val="Chap_2-_Page_4_1"/>
      <sheetName val="VAT_TU_DIEN1"/>
      <sheetName val="bldg_list1"/>
      <sheetName val="Scaffolding_Volume1"/>
      <sheetName val="REF_ONLY"/>
      <sheetName val="PLSt_03__"/>
      <sheetName val="П_7_курс_аванса"/>
      <sheetName val="IncStat_03-04"/>
      <sheetName val="IncStat_03__"/>
      <sheetName val="Авансы_по_СНГ"/>
      <sheetName val="Process_Piping"/>
      <sheetName val="SWALE_(구산)"/>
      <sheetName val="Data_Ref_"/>
      <sheetName val="KKS_System_Codes"/>
      <sheetName val="Price_Schedule_Code"/>
      <sheetName val="Detail_Eng"/>
      <sheetName val="ENE-CAL_1"/>
      <sheetName val="내역서_(N____20"/>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SP-Operator_Building-Area_C"/>
      <sheetName val="Monthly_S_Curve_SPK"/>
      <sheetName val="UPAH_&amp;_BHN_ARS"/>
      <sheetName val="AHS_ARS"/>
      <sheetName val="Analisa_HSP"/>
      <sheetName val="입찰내역_발주처_양卤"/>
      <sheetName val="Analisa_Neraca"/>
      <sheetName val="-0_5_TABLA_PRESUPUESTOS1"/>
      <sheetName val="ﾄﾞﾊﾞｲFUEL_GAS追見1"/>
      <sheetName val="Sheet_14"/>
      <sheetName val="Raw_Ref"/>
      <sheetName val="Cost_Codes"/>
      <sheetName val="Code_07"/>
      <sheetName val="OE_(KSB)"/>
      <sheetName val="galian_saluran"/>
      <sheetName val="Ana__PU"/>
      <sheetName val="Perhit_Alat"/>
      <sheetName val="05_Analisa_Teknik"/>
      <sheetName val="?&#10;????&#10;?"/>
      <sheetName val="&#10;?????&#10;??"/>
      <sheetName val="_?????_??"/>
      <sheetName val="Weekl??&#10;?"/>
      <sheetName val="?뻘N??_"/>
      <sheetName val="?&#10;?_x0"/>
      <sheetName val="&#10;??_x0"/>
      <sheetName val="7422CW?"/>
      <sheetName val="OPT??&#10;?"/>
      <sheetName val="Analisa_SNI_STANDART_"/>
      <sheetName val="1_B"/>
      <sheetName val="Week_ending"/>
      <sheetName val="Planners_Workload"/>
      <sheetName val="breakdown_of_FA113"/>
      <sheetName val="SANDAN_XLS8"/>
      <sheetName val="Page 2"/>
      <sheetName val="Project Grading"/>
      <sheetName val="satuan"/>
      <sheetName val="DHSD"/>
      <sheetName val="kalibrasi-Tank"/>
      <sheetName val="terdistribusi"/>
      <sheetName val="MAT&amp;LABOR"/>
      <sheetName val="5대총괄"/>
      <sheetName val="ouse_Summary2_________________2"/>
      <sheetName val="Faktor"/>
      <sheetName val="luar"/>
      <sheetName val="RINC hotel"/>
      <sheetName val="RINC FIN T4 "/>
      <sheetName val="RINC FIN T4  _3_"/>
      <sheetName val="RINC FIN T4  _2_"/>
      <sheetName val="Breadown"/>
      <sheetName val="合成単価作成・-BLDG"/>
      <sheetName val="XL4Poppy"/>
      <sheetName val="내역서_(∮ἀ嘆ɶ᠀㬁1"/>
      <sheetName val="MAN-STD"/>
      <sheetName val="LV induction "/>
      <sheetName val="내역서(전기)"/>
      <sheetName val="본부소개"/>
      <sheetName val="NM2"/>
      <sheetName val="NW1"/>
      <sheetName val="NW2"/>
      <sheetName val="PW3"/>
      <sheetName val="PW4"/>
      <sheetName val="SC1"/>
      <sheetName val="DNW"/>
      <sheetName val="NE"/>
      <sheetName val="PM"/>
      <sheetName val="TR"/>
      <sheetName val="ENE-CAL_11"/>
      <sheetName val="2_x0010_&#10;_x0003_&#13;_x0008__x0010__x0004__x0004__x0004_"/>
      <sheetName val="9011 EXPAT_MANP"/>
      <sheetName val="2_x0010_"/>
      <sheetName val="PriceSummary"/>
      <sheetName val="App A Basis of Design"/>
      <sheetName val="CBA"/>
      <sheetName val="MH and Unit Cost"/>
      <sheetName val="BOQ_PAINTING"/>
      <sheetName val="Material Cost(as per Nation)"/>
      <sheetName val="VS P-Q"/>
      <sheetName val="Harga material_1"/>
      <sheetName val="abcdef"/>
      <sheetName val="bahan,upah,alat"/>
      <sheetName val="Peralatan (2)"/>
      <sheetName val="집계표(2 안)"/>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Z- GENERAL PRIC橿⿂⒘ࡈ"/>
      <sheetName val="Z- GENERAL PRIC鋘@俀~橿⿂⍈"/>
      <sheetName val="Z- GENERAL PRIC_x0005_ẹ"/>
      <sheetName val="tabel berat"/>
      <sheetName val="daf_3_OK_"/>
      <sheetName val="daf_7_OK_"/>
      <sheetName val="L_TIGA"/>
      <sheetName val="SWALE_(구산)1"/>
      <sheetName val="REF_ONLY1"/>
      <sheetName val="Data_Ref_1"/>
      <sheetName val="KKS_System_Codes1"/>
      <sheetName val="Price_Schedule_Code1"/>
      <sheetName val="MC-P1"/>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aily Photo"/>
      <sheetName val="Manpower Status"/>
      <sheetName val="opstat"/>
      <sheetName val="costs"/>
      <sheetName val="Selling_Sheet_cons"/>
      <sheetName val="JGSummit_Package_2_(CTCI)"/>
      <sheetName val="MenuSheet"/>
      <sheetName val="Forecast"/>
      <sheetName val="Batam Forecast"/>
      <sheetName val="Batam Forecast_jun"/>
      <sheetName val="Fabrication Summary"/>
      <sheetName val="D6978 Mar 21 - FProj07"/>
      <sheetName val="Ecosys-Mar'21"/>
      <sheetName val="GEAC - Dec19"/>
      <sheetName val="breakdown_of_FA1131"/>
      <sheetName val="Sheet_141"/>
      <sheetName val="MSP-Operator_Building-Area_C1"/>
      <sheetName val="JGSummit_Package_2_(CTCI)1"/>
      <sheetName val="-0_5_TABLA_PRESUPUESTOS2"/>
      <sheetName val="ﾄﾞﾊﾞｲFUEL_GAS追見2"/>
      <sheetName val="BG Working Sheet"/>
      <sheetName val="당초?➴ȭ"/>
      <sheetName val="COS_REP.XLS"/>
      <sheetName val="ANL_TEK.6"/>
      <sheetName val="HM.MEK."/>
      <sheetName val="Volume"/>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Fire Fighting"/>
      <sheetName val="HARGA DASAR"/>
      <sheetName val="MACROS"/>
      <sheetName val="KR2&amp;KVCM(MAR 1-6'99)"/>
      <sheetName val="電源計画"/>
      <sheetName val="AnalisisHSPekerjaan"/>
      <sheetName val="ANALISA KONST BTN"/>
      <sheetName val="당초_ἀ"/>
      <sheetName val="_x0004__&#13;__x0003___x0004___x0016__&#13;__x0004_"/>
      <sheetName val="___x001b___x0006___x0006___x0008_____"/>
      <sheetName val=" __x001b___x0006___x0006___x0008__ __"/>
      <sheetName val="Weekl_x0004___x0016__&#13;_"/>
      <sheetName val="__x000e___x0005_"/>
      <sheetName val="_x0002__뻘N___"/>
      <sheetName val="_x0004__&#13;__x0"/>
      <sheetName val="___x001b___x0"/>
      <sheetName val="7422CW_x0013__"/>
      <sheetName val="OPT_x0012___x0010____"/>
      <sheetName val="__x0013___x0014_"/>
      <sheetName val="Bill of Qty"/>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LV induction mot_x0005_"/>
      <sheetName val="원가&amp;하도급원가"/>
      <sheetName val="건축(을)"/>
      <sheetName val="Sheet_x0005_ư"/>
      <sheetName val="Sheet_x0005_፠"/>
      <sheetName val="Sheet_x0005__xded0_"/>
      <sheetName val="Sheet_x0005_팠"/>
      <sheetName val="Sheet_x0005_⡰"/>
      <sheetName val="Sheet_x0005_㜰"/>
      <sheetName val="Sheet_x0005_븰"/>
      <sheetName val="적용단가"/>
      <sheetName val="리비아견적작업"/>
      <sheetName val="SUMMARY_철거"/>
      <sheetName val="내역(정지)"/>
      <sheetName val="차이내역"/>
      <sheetName val="내역서_(N____21"/>
      <sheetName val="ANAL_BOW"/>
      <sheetName val="Isolasi_Luar_Dalam"/>
      <sheetName val="Isolasi_Luar"/>
      <sheetName val="график_финансирования"/>
      <sheetName val="keyword"/>
      <sheetName val="TH VL, NC, DDHT Thanhphuoc"/>
      <sheetName val="현금흐름표"/>
      <sheetName val="COMPLEXALL"/>
      <sheetName val="Materials "/>
      <sheetName val="MAchinery(R1)"/>
      <sheetName val="State List"/>
      <sheetName val="TIE-INS"/>
      <sheetName val="black_out"/>
      <sheetName val="WK"/>
      <sheetName val="IPL_SCHEDULE"/>
      <sheetName val="DAILY"/>
      <sheetName val="SANDAN_XLS9"/>
      <sheetName val="내역서_(∮ἀ嘆ɶ᠀㬁2"/>
      <sheetName val="1.0_Criteria_New"/>
      <sheetName val="cost curve calc"/>
      <sheetName val="QPL"/>
      <sheetName val="TOWN"/>
      <sheetName val="ALAT1"/>
      <sheetName val="ALAT2 (TDK DIPAKAI)"/>
      <sheetName val="DIV10"/>
      <sheetName val="Fill this out first___"/>
      <sheetName val="Pesanan"/>
      <sheetName val="Penjualan"/>
      <sheetName val="FAI-1"/>
      <sheetName val="idx-03"/>
      <sheetName val="PERBULAN"/>
      <sheetName val="SUJAKA"/>
      <sheetName val="KALTIM"/>
      <sheetName val="KALSEL"/>
      <sheetName val="IDX06"/>
      <sheetName val="BLOK-BJR"/>
      <sheetName val="DPro"/>
      <sheetName val="PercenDiv"/>
      <sheetName val="pro_ra_op"/>
      <sheetName val="analis_standar(8m)"/>
      <sheetName val="renc_mgn"/>
      <sheetName val="ShareCapital_"/>
      <sheetName val="Instrument_Proc"/>
      <sheetName val="MTO_Civil_Work"/>
      <sheetName val="Sched_3_(Construction)"/>
      <sheetName val="Sched_1_(Engineering)"/>
      <sheetName val="Sched_2_(Procurement_"/>
      <sheetName val="lkalibrasi_BENENAIN"/>
      <sheetName val="Rekap_Addendum"/>
      <sheetName val="AT_2"/>
      <sheetName val="Ch"/>
      <sheetName val="Perhitungan RAB"/>
      <sheetName val="5-Peralatan"/>
      <sheetName val="trans"/>
      <sheetName val="INPUT DATAS"/>
      <sheetName val="PaintBreak"/>
      <sheetName val="INSSUBCON"/>
      <sheetName val="ABK.04.AWALR+CO+TAB.RUPS"/>
      <sheetName val="9 58&quot;_single"/>
      <sheetName val="COSTPERBBL"/>
      <sheetName val="Material_Price15"/>
      <sheetName val="Land_Dev't__Ph-118"/>
      <sheetName val="4-Lane_bridge18"/>
      <sheetName val="Addendum_No_1_BILL_21"/>
      <sheetName val="Home_Office"/>
      <sheetName val="7_6_3_J_Inline_Instrument"/>
      <sheetName val="6_2_Floor_Finishes1"/>
      <sheetName val="Project_D"/>
      <sheetName val="Tender_Summary"/>
      <sheetName val="MAY_00-Bobbins"/>
      <sheetName val="2_2_띠장의_설계"/>
      <sheetName val="(10)_Other_Costs5"/>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3_-RESOURCE_LIST"/>
      <sheetName val="0_-SUMMARY"/>
      <sheetName val="3_2_AUX"/>
      <sheetName val="3_3_AUX-2"/>
      <sheetName val="GRAND_SUM"/>
      <sheetName val="VCC_11110-461"/>
      <sheetName val="Appendix_A"/>
      <sheetName val="C1_(calcolo)"/>
      <sheetName val="5_5FWBS_CODE"/>
      <sheetName val="1195_B1"/>
      <sheetName val="page_6"/>
      <sheetName val="Capel_KI"/>
      <sheetName val="Capel_PK"/>
      <sheetName val="Summary_HS_Pipa_CS"/>
      <sheetName val="Raw_Data-Combined"/>
      <sheetName val="JOB_Code"/>
      <sheetName val="COVER_RECAP_INSTALL_(2)"/>
      <sheetName val="Rekap_Summary"/>
      <sheetName val="Rekap_Breakdown"/>
      <sheetName val="Equiv_Length"/>
      <sheetName val="Harga_Mat_"/>
      <sheetName val="Integrated-S_Curve"/>
      <sheetName val="Bang_KL"/>
      <sheetName val="_hrg_bhn"/>
      <sheetName val="Section_1"/>
      <sheetName val="Main_Control"/>
      <sheetName val="Ra__stair"/>
      <sheetName val="Man_Power"/>
      <sheetName val="내역서_(∮ἀ嘆ɶ_x005f_x0000_᠀㬁_x005f_x0000_"/>
      <sheetName val="내역서_(N__x005f_x000e__x005f_x000e__x005f_x000e____"/>
      <sheetName val="Bangunan_Utama"/>
      <sheetName val="Hrg_Sat"/>
      <sheetName val="Subcon Rate"/>
      <sheetName val="Z- GENERAL PRIC橿⿂"/>
      <sheetName val="Z- GENERAL PRIC鋘@俀~橿⿂"/>
      <sheetName val="Z- GENERAL PRIC"/>
      <sheetName val="PROC%"/>
      <sheetName val="LV induction mot"/>
      <sheetName val="Notes"/>
      <sheetName val="4B-H150"/>
      <sheetName val="8B1s-H440"/>
      <sheetName val="8B0s"/>
      <sheetName val="H244"/>
      <sheetName val="4334-Summary"/>
      <sheetName val="Eng_Hrs"/>
      <sheetName val="A-11 Steel Str"/>
      <sheetName val="A-03 Pile"/>
      <sheetName val="CONS."/>
      <sheetName val="내역서_耰&quot;_x0008"/>
      <sheetName val="내역서_耰&quot;_x00008"/>
      <sheetName val="내역서_耰&quot;_x005f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Country (kVA-Hz.)"/>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ENGG_CVL"/>
      <sheetName val="PAD TR보호대기초"/>
      <sheetName val="가로등기초"/>
      <sheetName val="HANDHOLE(2)"/>
      <sheetName val="Vind -鴃宼蠀"/>
      <sheetName val="입력시|"/>
      <sheetName val="R05"/>
      <sheetName val="İnsan Gücü"/>
      <sheetName val="정산내역서"/>
      <sheetName val="견적단가"/>
      <sheetName val="계약단가"/>
      <sheetName val="ELECTRIC"/>
      <sheetName val="주요자재집계"/>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소비자가"/>
      <sheetName val="TBM-T6+5S(Alt1)"/>
      <sheetName val="cespiti cet2 piombino (2)"/>
      <sheetName val="建筑工程统计表06月份 "/>
      <sheetName val="FlujoTJ"/>
      <sheetName val="배포용표지"/>
      <sheetName val="Tra_bang"/>
      <sheetName val="HX"/>
      <sheetName val="ENE-CAL_12"/>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Daily_Photo"/>
      <sheetName val="Manpower_Status"/>
      <sheetName val="LV_induction_묠"/>
      <sheetName val="__x005f_x0000__x005f_x001b__x005f_x0000__x005f_x0006__1"/>
      <sheetName val="내역서_耰&quot;_x005f_x005f_x005f_x0000__x00004"/>
      <sheetName val="내역서_(N____x005f_x000a_3"/>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P__control"/>
      <sheetName val="Costing_Detailed"/>
      <sheetName val="Basic_Data_Inputs"/>
      <sheetName val="BILL_1"/>
      <sheetName val="Step2_-&gt;_Mat__Cost"/>
      <sheetName val="TEMP_PROFILE"/>
      <sheetName val="_선택_속성(잠금)"/>
      <sheetName val="Drop-down_lists"/>
      <sheetName val="建筑定额_(2002)"/>
      <sheetName val="ADI_Edison_Termoelettrica"/>
      <sheetName val="Daily_Forwards"/>
      <sheetName val="VS_P-Q"/>
      <sheetName val="BQ_Summary"/>
      <sheetName val="Sheetư"/>
      <sheetName val="Sheet፠"/>
      <sheetName val="Sheet팠"/>
      <sheetName val="Sheet⡰"/>
      <sheetName val="Sheet㜰"/>
      <sheetName val="Sheet븰"/>
      <sheetName val="LV_induction_"/>
      <sheetName val="LV_induction_mot"/>
      <sheetName val="Harga_material_1"/>
      <sheetName val="Peralatan_(2)"/>
      <sheetName val="Team_3_S-Curve"/>
      <sheetName val="MH_and_Unit_Cost"/>
      <sheetName val="Material_Cost(as_per_Nation)"/>
      <sheetName val="FA_LISTING"/>
      <sheetName val="FA-LISTING"/>
      <sheetName val="6MONTHS"/>
      <sheetName val="負荷集計（断熱不燃）"/>
      <sheetName val="NoDelete_NoHide"/>
      <sheetName val="报价说明 (3)"/>
      <sheetName val="报价说明 (4)"/>
      <sheetName val="2.履约阶段供应链管理计划"/>
      <sheetName val="XREF"/>
      <sheetName val="sis.xlm"/>
      <sheetName val="spot prices"/>
      <sheetName val="Forma E-17"/>
      <sheetName val="1999 BUDGET"/>
      <sheetName val="Boq(1)"/>
      <sheetName val="Risk Variables"/>
      <sheetName val="간접비 총괄표"/>
      <sheetName val="BOQ LIST"/>
      <sheetName val="石炭性状"/>
      <sheetName val="SUM-AIR-Submit"/>
      <sheetName val="Star Rate"/>
      <sheetName val="sch 1.2"/>
      <sheetName val="B_6"/>
      <sheetName val="B_7"/>
      <sheetName val="B_8"/>
      <sheetName val="B_9"/>
      <sheetName val="B_10 (4)"/>
      <sheetName val="AGG"/>
      <sheetName val="MT"/>
      <sheetName val="BP"/>
      <sheetName val="Cover-L"/>
      <sheetName val="Rev "/>
      <sheetName val="LIST"/>
      <sheetName val="支架原始数据"/>
      <sheetName val="材料规格"/>
      <sheetName val="Sheet1 (4)"/>
      <sheetName val="ISBL-J10"/>
      <sheetName val="BQ Working"/>
      <sheetName val="PipWT"/>
      <sheetName val="N-detail"/>
      <sheetName val="FACSUM"/>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div-4"/>
      <sheetName val="DIV 2"/>
      <sheetName val="DIV 7"/>
      <sheetName val="DIV 8"/>
      <sheetName val="UBA"/>
      <sheetName val="DIV 3"/>
      <sheetName val="SDHU&amp;B"/>
      <sheetName val="S"/>
      <sheetName val="가격조사서"/>
      <sheetName val="TEKNIS"/>
      <sheetName val="Mob2"/>
      <sheetName val="MR EUR"/>
      <sheetName val="changes"/>
      <sheetName val="Ind. Budget"/>
      <sheetName val="1) COMMON FACILITIES"/>
      <sheetName val="Basisdaten"/>
      <sheetName val="SA516-60,70 (정리)"/>
      <sheetName val="ENQ222394AL NASR_Steel Report"/>
      <sheetName val="DP"/>
      <sheetName val="범례"/>
      <sheetName val="КС2_24.1-8 (4.1.8.11.200)corr"/>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SANDAN_XLS10"/>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cost_curve_calc"/>
      <sheetName val="КС2_24_1-8_(4_1_8_11_200)corr"/>
      <sheetName val="2&#10;&#10;"/>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분석"/>
      <sheetName val="DO NOT DELETE"/>
      <sheetName val="첨부 #8 기자재 Cost Summary"/>
      <sheetName val="Considerations"/>
      <sheetName val="Dia Inch"/>
      <sheetName val="JP-I.500155"/>
      <sheetName val="PBAC budget"/>
      <sheetName val="3.6M RETAINING WALL"/>
      <sheetName val="指數Case"/>
      <sheetName val="TRENCH"/>
      <sheetName val="Cost Control"/>
      <sheetName val="Factor Sheet"/>
      <sheetName val="Cost Factor Sheet"/>
      <sheetName val="Ragama"/>
      <sheetName val="Price Sheet"/>
      <sheetName val="Room Type"/>
      <sheetName val="Basement2 DB"/>
      <sheetName val="FAC"/>
      <sheetName val="COST"/>
      <sheetName val="BOQ SUM"/>
      <sheetName val="MALZEME"/>
      <sheetName val="UNIT RATE"/>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KUWATI(Total)_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OPTION_219"/>
      <sheetName val="OPTION_319"/>
      <sheetName val="2002년_현장공사비_국내_실적19"/>
      <sheetName val="2003년국내현장공사비_실적19"/>
      <sheetName val="VC2_10_9919"/>
      <sheetName val="INPUT_DATA18"/>
      <sheetName val="집계표_(25,26ဩ18"/>
      <sheetName val="Form_018"/>
      <sheetName val="General_Data18"/>
      <sheetName val="입출재고현황_(2)17"/>
      <sheetName val="Form_D-117"/>
      <sheetName val="Form_B-117"/>
      <sheetName val="Form_F-117"/>
      <sheetName val="Form_A17"/>
      <sheetName val="LABOR_&amp;_자재17"/>
      <sheetName val="3_공통공사대비17"/>
      <sheetName val="간접비_총괄17"/>
      <sheetName val="Price_Schedule17"/>
      <sheetName val="CAL_17"/>
      <sheetName val="Rate_Analysis17"/>
      <sheetName val="WEIGHT_LIST16"/>
      <sheetName val="산#2-1_(2)16"/>
      <sheetName val="BEND_LOSS16"/>
      <sheetName val="공사비_내역_(가)16"/>
      <sheetName val="내역서_耰&quot;??17"/>
      <sheetName val="EQUIPMENT_-217"/>
      <sheetName val="6PILE__(돌출)16"/>
      <sheetName val="Static_Equip16"/>
      <sheetName val="Form_A_16"/>
      <sheetName val="단면_(2)16"/>
      <sheetName val="내역서_耰&quot;_x005f_x0000__x005f_x0000_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2_2_STAFF_Scedule15"/>
      <sheetName val="Man_Hole15"/>
      <sheetName val="7__월별투입내역서15"/>
      <sheetName val="계측_내역서15"/>
      <sheetName val="내역서_耰&quot;_x005f_x005f_x005f_x005f_x005f_x005f_x00015"/>
      <sheetName val="Z-_GENERAL_PRICE_SUMMARY15"/>
      <sheetName val="_Estimate__15"/>
      <sheetName val="T_315"/>
      <sheetName val="Sheet1_(2)16"/>
      <sheetName val="HORI__VESSEL15"/>
      <sheetName val="EQUIP_LIST15"/>
      <sheetName val="BM_DATA_SHEET16"/>
      <sheetName val="Vind_-_BtB15"/>
      <sheetName val="LV_induction_motors15"/>
      <sheetName val="BSD_(2)15"/>
      <sheetName val="Precios_Unitarios15"/>
      <sheetName val="Administrative_Prices15"/>
      <sheetName val="WBS_4415"/>
      <sheetName val="WBS_4115"/>
      <sheetName val="Precios_por_Administración15"/>
      <sheetName val="Subcon_A15"/>
      <sheetName val="내역서_耰&quot;_x005f_x005f_x005f_x005f_x005f_x005f_x00515"/>
      <sheetName val="MP_MOB15"/>
      <sheetName val="Form_B15"/>
      <sheetName val="Monthly_Load15"/>
      <sheetName val="Weekly_Load15"/>
      <sheetName val="[SANDAN_XLS??15"/>
      <sheetName val="breakdown_of_wage_rate15"/>
      <sheetName val="Indirect_Cost15"/>
      <sheetName val="97_사업추정(WEKI)15"/>
      <sheetName val="Eq__Mobilization15"/>
      <sheetName val="Piping_BQ_for_one_turbine15"/>
      <sheetName val="Material_Selections15"/>
      <sheetName val="Resource_table15"/>
      <sheetName val="Utility_and_Fire_flange15"/>
      <sheetName val="Heavy_Equipments15"/>
      <sheetName val="AG_Pipe_Qty_Analysis15"/>
      <sheetName val="_SANDAN_XLS__15"/>
      <sheetName val="입찰내역_발주처_양식15"/>
      <sheetName val="Equipment_List15"/>
      <sheetName val="Form1_SQP15"/>
      <sheetName val="공정계획(내부계획25%,내부w_f)15"/>
      <sheetName val="FWBS_153014"/>
      <sheetName val="Fire_Protection15"/>
      <sheetName val="SFN_ORIG15"/>
      <sheetName val="내역서_(∮ἀ嘆ɶ14"/>
      <sheetName val="w't_table15"/>
      <sheetName val="SCHEDD_TAMBAHAN15"/>
      <sheetName val="Dir_Manpower_Other_Exp_15"/>
      <sheetName val="실행예산_MM14"/>
      <sheetName val="MODULE_CONFIRM14"/>
      <sheetName val="ITB_COST15"/>
      <sheetName val="4-3LEVEL-5_epic_414"/>
      <sheetName val="단가_(2)14"/>
      <sheetName val="BOQ-B_DOWN14"/>
      <sheetName val="내역서1999_8최종10"/>
      <sheetName val="Cash_In-Cash_Out_Actual14"/>
      <sheetName val="PROTECTION_14"/>
      <sheetName val="plan&amp;section_of_foundation11"/>
      <sheetName val="working_load_at_the_btm_ft_11"/>
      <sheetName val="stability_check11"/>
      <sheetName val="design_load11"/>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PROJECT_BRIEF10"/>
      <sheetName val="Unit_Price_10"/>
      <sheetName val="CUADRO_DE_PRECIOS14"/>
      <sheetName val="Closeout_Control10"/>
      <sheetName val="Site_Findings_Status_Sheet10"/>
      <sheetName val="Sum_(Case-3)10"/>
      <sheetName val="Man_Power_&amp;_Comp10"/>
      <sheetName val="Data_List10"/>
      <sheetName val="4-Basic_Price10"/>
      <sheetName val="Evaluasi_Penw10"/>
      <sheetName val="Currency_Rate10"/>
      <sheetName val="1100-1200-1300-1910-2140-LEV_10"/>
      <sheetName val="5_)_Time_Delays10"/>
      <sheetName val="Material_Price16"/>
      <sheetName val="내역서_耰&quot;_x005f_x005f_x005f_x0000_10"/>
      <sheetName val="내역서_耰&quot;_x005f_x005f_x005f_x005f_10"/>
      <sheetName val="내역서_耰&quot;_x005f_x0000__x000011"/>
      <sheetName val="할증_10"/>
      <sheetName val="RAB_AR&amp;STR10"/>
      <sheetName val="Unt_rate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UP_MINOR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Item_code10"/>
      <sheetName val="In-House_Summary10"/>
      <sheetName val="2__현장_자금투입_집계표10"/>
      <sheetName val="_도면_및_도서_제출목록_및_일정_170202_xls10"/>
      <sheetName val="Direct_PMS10"/>
      <sheetName val="Aux_10"/>
      <sheetName val="Codes_Pers10"/>
      <sheetName val="Rates_&amp;_Legend10"/>
      <sheetName val="Discounted_Cash_Flow10"/>
      <sheetName val="Ocean_Transporation_Charge10"/>
      <sheetName val="Cash_Flow_bulanan10"/>
      <sheetName val="H_Satuan10"/>
      <sheetName val="OCT_FDN10"/>
      <sheetName val="Exchange_Rate10"/>
      <sheetName val="General_Notes10"/>
      <sheetName val="BO䁑-B_䁄OWN10"/>
      <sheetName val="Pengesahan_10"/>
      <sheetName val="차트_(2)10"/>
      <sheetName val="00-Summary_Information-ABB9"/>
      <sheetName val="PABS,Site_info9"/>
      <sheetName val="Harga_Satuan10"/>
      <sheetName val="F_ALARM10"/>
      <sheetName val="DATA_MENTAH9"/>
      <sheetName val="2_Overall_Summary_9"/>
      <sheetName val="Bill_rekap10"/>
      <sheetName val="breakdown_of_wage_ra9"/>
      <sheetName val="breakdown_of_wage_ra`f9"/>
      <sheetName val="__10"/>
      <sheetName val="_10"/>
      <sheetName val="breakdown_of_wage_rað-9"/>
      <sheetName val="breakdown_of_wage_rap9"/>
      <sheetName val="내역서_耰&quot;_x005f_x0000_10"/>
      <sheetName val="내역서_耰&quot;_x005f_x005f_10"/>
      <sheetName val="Process_Data_(2)10"/>
      <sheetName val="breakdown_of_wage_ra9"/>
      <sheetName val="Raw_data9"/>
      <sheetName val="내역서_(N___&#10;10"/>
      <sheetName val="0__Resource　Code9"/>
      <sheetName val="Material_code9"/>
      <sheetName val="TQ_Format8"/>
      <sheetName val="내역서_耰&quot;14"/>
      <sheetName val="SUM_8"/>
      <sheetName val="Distribution_Table9"/>
      <sheetName val="HO_Site_Rates-20119"/>
      <sheetName val="Particular_Sch9"/>
      <sheetName val="내역서_耰&quot;_9"/>
      <sheetName val="DROP_DOWN9"/>
      <sheetName val="Al_Taweelah9"/>
      <sheetName val="Air_Cooler-E9"/>
      <sheetName val="Action_Item9"/>
      <sheetName val="ID_CD9"/>
      <sheetName val="Equipment_Spec_List9"/>
      <sheetName val="개시대사_(2)9"/>
      <sheetName val="SPEC_LIST(EQUP,_SYS)9"/>
      <sheetName val="Linelist_LNGC_Process9"/>
      <sheetName val="리스크_분류체계7"/>
      <sheetName val="SECL_리스크_분류체계_(2)7"/>
      <sheetName val="INPUT_DATA_OF_SCHEDULE7"/>
      <sheetName val="Cashflow_Analysis7"/>
      <sheetName val="breakdown_of_wage_raÐ¾8"/>
      <sheetName val="Additional_data8"/>
      <sheetName val="11_자재단가7"/>
      <sheetName val="LIFE_&amp;_REP_PROVN7"/>
      <sheetName val="O&amp;M_CREW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33628-Rev__A7"/>
      <sheetName val="14-Eng_rate7"/>
      <sheetName val="Attach_4-18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Finansal_tamamlanma_Eğrisi7"/>
      <sheetName val="Master_List7"/>
      <sheetName val="Scheme_Area_Details_Block___C27"/>
      <sheetName val="Admin_Manu_2-Equipment_Type_ID7"/>
      <sheetName val="SUMMARY_MTO_02_2_356"/>
      <sheetName val="N_G_METERING_CALC_6"/>
      <sheetName val="N_G_METERING6"/>
      <sheetName val="N_G_METERING_(2)6"/>
      <sheetName val="CUMENE_METERING6"/>
      <sheetName val="N2_METERING_6"/>
      <sheetName val="H2_METERING__6"/>
      <sheetName val="CO_METERING6"/>
      <sheetName val="Tender_data7"/>
      <sheetName val="Activity_Form7"/>
      <sheetName val="GM_0007"/>
      <sheetName val="일위대가_7"/>
      <sheetName val="Cash_Flow7"/>
      <sheetName val="Direct_Histogram_Rev__A_(f)7"/>
      <sheetName val="광통신_견적내역서17"/>
      <sheetName val="내역서_(∮ἀ嘆ɶ?᠀㬁?7"/>
      <sheetName val="Fig_4-147"/>
      <sheetName val="Itembalance_Report_(18-sep-18)7"/>
      <sheetName val="BUDGET_SUMMARY_7"/>
      <sheetName val="1_설계기준7"/>
      <sheetName val="5__월별투입내역서7"/>
      <sheetName val="Att-1_CTCI_MH_rate7"/>
      <sheetName val="REF_for_VV7"/>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List_register7"/>
      <sheetName val="TR_Rev_vs_Commit5"/>
      <sheetName val="TR_+MMHE_PL_report5"/>
      <sheetName val="P23P2724___Commitment_5"/>
      <sheetName val="설산1_나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Perm__Test7"/>
      <sheetName val="Galian_17"/>
      <sheetName val="Analisa_Lump_sum7"/>
      <sheetName val="Sec_I_ML7"/>
      <sheetName val="dongia_(2)7"/>
      <sheetName val="BM_#17"/>
      <sheetName val="Weekl_8"/>
      <sheetName val="내역서_(N____23"/>
      <sheetName val="__x07"/>
      <sheetName val="OPT_8"/>
      <sheetName val="내역서_(N__x007"/>
      <sheetName val="Tables_3_1_to_3_5_EXH_G7"/>
      <sheetName val="64_47"/>
      <sheetName val="64_57"/>
      <sheetName val="36_27"/>
      <sheetName val="36_17"/>
      <sheetName val="Cost_Code7"/>
      <sheetName val="Data_Ref7"/>
      <sheetName val="Interdept_Rate7"/>
      <sheetName val="INSTLIST_17"/>
      <sheetName val="P-Ins_&amp;_Bonds7"/>
      <sheetName val="EQUIPOS_DE_SEGURIDAD7"/>
      <sheetName val="MATERIALES_CONSUMIBLES7"/>
      <sheetName val="PERSONAL_INDIRECTO_7"/>
      <sheetName val="Land_Dev't__Ph-119"/>
      <sheetName val="4300_UTILITY_BLDG_(2)7"/>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05__Curva_S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Enron_Form6"/>
      <sheetName val="IRR_sponsor6"/>
      <sheetName val="4-Lane_bridge19"/>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Sch_66"/>
      <sheetName val="2013电气概算_价目表_(营改增调整)6"/>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1_11_b5"/>
      <sheetName val="Precios_Unitariԯ6"/>
      <sheetName val="SPEC(CABLE_&amp;_WIRE)5"/>
      <sheetName val="RESUMEN_CD5"/>
      <sheetName val="BOQ_REV65"/>
      <sheetName val="Maliyet_Ozet5"/>
      <sheetName val="1_1-1_25"/>
      <sheetName val="1_3-_1_45"/>
      <sheetName val="3_15"/>
      <sheetName val="3_25"/>
      <sheetName val="4_1(a)5"/>
      <sheetName val="4_1(b)5"/>
      <sheetName val="4_1_(c)5"/>
      <sheetName val="5_15"/>
      <sheetName val="내역서_(N____110"/>
      <sheetName val="6_공정표5"/>
      <sheetName val="List_Equip6"/>
      <sheetName val="Process_C_(1-166)6"/>
      <sheetName val="TRUCK_HAUL_CYCLE-waste6"/>
      <sheetName val="Existing_PC_Pavement6"/>
      <sheetName val="Master_Data6"/>
      <sheetName val="ind'l_cp6"/>
      <sheetName val="LAST_UPDATE6"/>
      <sheetName val="0_품의서(전체)6"/>
      <sheetName val="3_부제O호표5"/>
      <sheetName val="5_소모재료비5"/>
      <sheetName val="8_시멘트제원표5"/>
      <sheetName val="2_품제O호표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5__Work_load(현재원기준)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Equipt_Rental5"/>
      <sheetName val="EQ_USED_(CORRECTED)5"/>
      <sheetName val="Rebar_Constant5"/>
      <sheetName val="CONCRETE_TYPE5"/>
      <sheetName val="Other_data6"/>
      <sheetName val="External_Issues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Vehicle_Log5"/>
      <sheetName val="Statprod_gab6"/>
      <sheetName val="L_16"/>
      <sheetName val="동상부_Tact_기준_반입일정_및_수량_02175"/>
      <sheetName val="5_Cennik6"/>
      <sheetName val="tblg_denda6"/>
      <sheetName val="_토목_처리장도급내역서_5"/>
      <sheetName val="G_R300경비5"/>
      <sheetName val="AS포장복구_5"/>
      <sheetName val="중기조종사_단위단가5"/>
      <sheetName val="설_계5"/>
      <sheetName val="Equip_Mstr_FOR_3A15"/>
      <sheetName val="F1_45"/>
      <sheetName val="내역서_(∮ἀ嘆ɶ_᠀㬁_6"/>
      <sheetName val="M&amp;E_Summary5"/>
      <sheetName val="rev_summary5"/>
      <sheetName val="M&amp;E_Prelims5"/>
      <sheetName val="B-FP_(2)5"/>
      <sheetName val="Sch_15"/>
      <sheetName val="Manpower_Categories5"/>
      <sheetName val="Garph_Work-Cost5"/>
      <sheetName val="Scaffolding_Volume2"/>
      <sheetName val="Rekap_Biaya4"/>
      <sheetName val="Kuantitas_&amp;_Harga4"/>
      <sheetName val="Nopember_(2)4"/>
      <sheetName val="GRAND_REKAP4"/>
      <sheetName val="analisa_(2)4"/>
      <sheetName val="Analisa_24"/>
      <sheetName val="LRK_5"/>
      <sheetName val="MASTER_RATE_ANALYSIS5"/>
      <sheetName val="MN_T_B_5"/>
      <sheetName val="INDIGINEOUS_ITEMS_5"/>
      <sheetName val="Core_Data5"/>
      <sheetName val="final_abstract5"/>
      <sheetName val="InD_Mpower5"/>
      <sheetName val="P_Staff_fac4"/>
      <sheetName val="beam-reinft-IIInd_floor4"/>
      <sheetName val="P-Site_fac4"/>
      <sheetName val="P-Clients_fac4"/>
      <sheetName val="Eng_Hrs_(HO)4"/>
      <sheetName val="원가조정_내역4"/>
      <sheetName val="InsertListDrawing_1_4"/>
      <sheetName val="Analisa_(ok_punya)4"/>
      <sheetName val="Up_&amp;_bhn4"/>
      <sheetName val="HRG_BHN4"/>
      <sheetName val="Alat_(2)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Urai__Resap_pengikat4"/>
      <sheetName val="DAF_HRG4"/>
      <sheetName val="7_공정표4"/>
      <sheetName val="Kolom_UT4"/>
      <sheetName val="HB_4"/>
      <sheetName val="Memb_Schd4"/>
      <sheetName val="Coef_et_données4"/>
      <sheetName val="MFG_&amp;_DEL4"/>
      <sheetName val="P2-Project_Data4"/>
      <sheetName val="a_h_ars_sum4"/>
      <sheetName val="a_h_ars4"/>
      <sheetName val="Insulation_1501085"/>
      <sheetName val="PLSt_03__1"/>
      <sheetName val="П_7_курс_аванса1"/>
      <sheetName val="IncStat_03-041"/>
      <sheetName val="IncStat_03__1"/>
      <sheetName val="Авансы_по_СНГ1"/>
      <sheetName val="Sheet_142"/>
      <sheetName val="Raw_Ref1"/>
      <sheetName val="Cost_Codes1"/>
      <sheetName val="Addendum_No_1_BILL_22"/>
      <sheetName val="Code_071"/>
      <sheetName val="JGSummit_Package_2_(CTCI)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ENE-CAL_13"/>
      <sheetName val="내역서_(N____25"/>
      <sheetName val="Monthly_S_Curve_SPK2"/>
      <sheetName val="Week_ending1"/>
      <sheetName val="Planners_Workload1"/>
      <sheetName val="Appendix_A1"/>
      <sheetName val="7_6_3_J_Inline_Instrument1"/>
      <sheetName val="-0_5_TABLA_PRESUPUESTOS3"/>
      <sheetName val="ﾄﾞﾊﾞｲFUEL_GAS追見3"/>
      <sheetName val="내역서_耰&quot;_x005f9"/>
      <sheetName val="MAY_00-Bobbins1"/>
      <sheetName val="2_2_띠장의_설계1"/>
      <sheetName val="(10)_Other_Costs51"/>
      <sheetName val="breakdown_of_FA1132"/>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5_5FWBS_CODE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Detail_Eng1"/>
      <sheetName val="Equiv_Length1"/>
      <sheetName val="Integrated-S_Curve1"/>
      <sheetName val="Bang_KL1"/>
      <sheetName val="Main_Control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Home_Office1"/>
      <sheetName val="Process_Piping1"/>
      <sheetName val="renc_mgn1"/>
      <sheetName val="내역서_耰&quot;_x005f_x0000__x005f_x005f_x0000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建筑定额_(2002)1"/>
      <sheetName val="ADI_Edison_Termoelettrica1"/>
      <sheetName val="BQ_Summary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p_mgmt"/>
      <sheetName val="Dati_base"/>
      <sheetName val="Asset_Mansys_Sum"/>
      <sheetName val="Job_List_(2)"/>
      <sheetName val="Constn_&amp;_Install_-_LEV_4"/>
      <sheetName val="LEV_4_Project_Managem"/>
      <sheetName val="Site_Management"/>
      <sheetName val="Manhrs_Sum"/>
      <sheetName val="BILL_11"/>
      <sheetName val="Step2_-&gt;_Mat__Cost1"/>
      <sheetName val="BG_Working_Sheet"/>
      <sheetName val="P__control1"/>
      <sheetName val="Costing_Detailed1"/>
      <sheetName val="Basic_Data_Inputs1"/>
      <sheetName val="TEMP_PROFILE1"/>
      <sheetName val="_선택_속성(잠금)1"/>
      <sheetName val="Drop-down_lists1"/>
      <sheetName val="Team_3_S-Curve1"/>
      <sheetName val="LV_induction_1"/>
      <sheetName val="Daily_Forwards1"/>
      <sheetName val="ANALISA_KONST_BTN"/>
      <sheetName val="uraian_analisa1"/>
      <sheetName val="8LT_121"/>
      <sheetName val="Basic_Price1"/>
      <sheetName val="VS_P-Q1"/>
      <sheetName val="집계표(2_안)1"/>
      <sheetName val="Harga_material_11"/>
      <sheetName val="Peralatan_(2)1"/>
      <sheetName val="Daily_Photo1"/>
      <sheetName val="Manpower_Status1"/>
      <sheetName val="MH_and_Unit_Cost1"/>
      <sheetName val="Material_Cost(as_per_Nation)1"/>
      <sheetName val="TH_VL,_NC,_DDHT_Thanhphuoc"/>
      <sheetName val="Project_Grading"/>
      <sheetName val="Fire_Fighting"/>
      <sheetName val="HARGA_DASAR"/>
      <sheetName val="KR2&amp;KVCM(MAR_1-6'99)"/>
      <sheetName val="RINC_hotel"/>
      <sheetName val="RINC_FIN_T4_"/>
      <sheetName val="RINC_FIN_T4___3_"/>
      <sheetName val="RINC_FIN_T4___2_"/>
      <sheetName val="Page_21"/>
      <sheetName val="Bilanz_Bus_plan_2002"/>
      <sheetName val="Mei_LD"/>
      <sheetName val="Data_Input"/>
      <sheetName val="Project_budget_BTS"/>
      <sheetName val="Well_Plan_1"/>
      <sheetName val="1_0_Criteria_New"/>
      <sheetName val="_&#10;____&#10;_"/>
      <sheetName val="_________"/>
      <sheetName val="_________1"/>
      <sheetName val="Weekl__&#10;_"/>
      <sheetName val="_뻘N___"/>
      <sheetName val="_&#10;__x0"/>
      <sheetName val="____x0"/>
      <sheetName val="7422CW_"/>
      <sheetName val="OPT____"/>
      <sheetName val="ANL_TEK_6"/>
      <sheetName val="HM_MEK_"/>
      <sheetName val="Bill_of_Qty"/>
      <sheetName val="ALAT2_(TDK_DIPAKAI)"/>
      <sheetName val="Fill_this_out_first___"/>
      <sheetName val="Perhitungan_RAB"/>
      <sheetName val="INPUT_DATAS"/>
      <sheetName val="ABK_04_AWALR+CO+TAB_RUPS"/>
      <sheetName val="9_58&quot;_single"/>
      <sheetName val="LV_induction_mot1"/>
      <sheetName val="Z-_GENERAL_PRIC橿⿂"/>
      <sheetName val="Z-_GENERAL_PRIC鋘@俀~橿⿂"/>
      <sheetName val="Z-_GENERAL_PRIC"/>
      <sheetName val="A-11_Steel_Str"/>
      <sheetName val="A-03_Pile"/>
      <sheetName val="CONS_"/>
      <sheetName val="Country_(kVA-Hz_)"/>
      <sheetName val="Materials_"/>
      <sheetName val="PAD_TR보호대기초"/>
      <sheetName val="Vind_-鴃宼蠀"/>
      <sheetName val="İnsan_Gücü"/>
      <sheetName val="1_집계표(일반전기)"/>
      <sheetName val="2_집계표(선행공사)"/>
      <sheetName val="3_집계표(소방공사)"/>
      <sheetName val="CABLE_TRAY"/>
      <sheetName val="아파트_기성내역서"/>
      <sheetName val="HaulingLine_hardware"/>
      <sheetName val="S_Curve"/>
      <sheetName val="Branch_Power"/>
      <sheetName val="C__letter_3rd_QT"/>
      <sheetName val="cespiti_cet2_piombino_(2)"/>
      <sheetName val="建筑工程统计表06月份_"/>
      <sheetName val="报价说明_(3)"/>
      <sheetName val="报价说明_(4)"/>
      <sheetName val="2_履约阶段供应链管理计划"/>
      <sheetName val="sis_xlm"/>
      <sheetName val="spot_prices"/>
      <sheetName val="Forma_E-17"/>
      <sheetName val="1999_BUDGET"/>
      <sheetName val="M_MM"/>
      <sheetName val="Batam_Forecast"/>
      <sheetName val="Batam_Forecast_jun"/>
      <sheetName val="Fabrication_Summary"/>
      <sheetName val="D6978_Mar_21_-_FProj07"/>
      <sheetName val="GEAC_-_Dec19"/>
      <sheetName val="COS_REP_XLS"/>
      <sheetName val="DIV_3"/>
      <sheetName val="DIV_9"/>
      <sheetName val="LOKASI_RIG_Litbang"/>
      <sheetName val="struktur_tdk_dipakai"/>
      <sheetName val="upah_bahan"/>
      <sheetName val="AnalisaSIPIL_RIIL"/>
      <sheetName val="Har_Sat"/>
      <sheetName val="Rek_Analisa"/>
      <sheetName val="HRG_BAHAN_&amp;_UPAH_okk"/>
      <sheetName val="TS_MINGGUAN_rev_(2)"/>
      <sheetName val="DAF_ALAT"/>
      <sheetName val="State_List"/>
      <sheetName val="sch_1_2"/>
      <sheetName val="B_10_(4)"/>
      <sheetName val="Rev_"/>
      <sheetName val="Sheet1_(4)"/>
      <sheetName val="샘플표지"/>
      <sheetName val="일위대가(가설)"/>
      <sheetName val="Tmp1"/>
      <sheetName val="B表"/>
      <sheetName val="チューブ仕様"/>
      <sheetName val="Breakdown Instrument"/>
      <sheetName val="XLR_NoRangeSheet"/>
      <sheetName val="Hujan BUlanan"/>
      <sheetName val="Gas Specific Gravities and GHV"/>
      <sheetName val="ELXX"/>
      <sheetName val="Bored Pile"/>
      <sheetName val="mat'ls"/>
      <sheetName val="03-13 Anticipated"/>
      <sheetName val="03-13 Approved"/>
      <sheetName val="hauling"/>
      <sheetName val="IS"/>
      <sheetName val="PR-BF"/>
      <sheetName val="CP_TU_AD"/>
      <sheetName val="SHL"/>
      <sheetName val="Pivot Table"/>
      <sheetName val="SUP-DET"/>
      <sheetName val="GRSummary"/>
      <sheetName val="WITHOUT C&amp;I PROFIT (3)"/>
      <sheetName val="CCD-SF-405"/>
      <sheetName val="Dynamic Query"/>
      <sheetName val="GENDATA Sht 1"/>
      <sheetName val="Issue Log "/>
      <sheetName val="Basic Rate"/>
      <sheetName val="PROG."/>
      <sheetName val="Calc Sheet"/>
      <sheetName val="ECA"/>
      <sheetName val="2. Steel Structural"/>
      <sheetName val="Material Groups"/>
      <sheetName val="Material Kind"/>
      <sheetName val="Unit of Measurement "/>
      <sheetName val="Projekt4"/>
      <sheetName val="Base_Data"/>
      <sheetName val="PipTable"/>
      <sheetName val="82巴基斯坦tapal"/>
      <sheetName val="Batam_Forecast2"/>
      <sheetName val="Batam_Forecast_jun2"/>
      <sheetName val="Fabrication_Summary2"/>
      <sheetName val="D6978_Mar_21_-_FProj072"/>
      <sheetName val="GEAC_-_Dec192"/>
      <sheetName val="Batam_Forecast1"/>
      <sheetName val="Batam_Forecast_jun1"/>
      <sheetName val="Fabrication_Summary1"/>
      <sheetName val="D6978_Mar_21_-_FProj071"/>
      <sheetName val="GEAC_-_Dec191"/>
      <sheetName val="Unit-1"/>
      <sheetName val="내역서_(∮ἀ嘆ɶ᠀㬁3"/>
      <sheetName val="LM001"/>
      <sheetName val="LM002"/>
      <sheetName val="LM003"/>
      <sheetName val="LM005"/>
      <sheetName val="LM006"/>
      <sheetName val="LM008"/>
      <sheetName val="LM004"/>
      <sheetName val="1)_COMMON_FACILITIES"/>
      <sheetName val="월간보고자료FORM2"/>
      <sheetName val="PSV2701F"/>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HARGA SAT"/>
      <sheetName val="F3a"/>
      <sheetName val="G1"/>
      <sheetName val="G3"/>
      <sheetName val="G4a"/>
      <sheetName val="F4b"/>
      <sheetName val="F5a"/>
      <sheetName val="plant"/>
      <sheetName val="data_val"/>
      <sheetName val="D-3 (M)"/>
      <sheetName val="D-7 (M)"/>
      <sheetName val="Anls-Um"/>
      <sheetName val="01A- RAB"/>
      <sheetName val="SLNK"/>
      <sheetName val="bahan-mos"/>
      <sheetName val="Cycle Time"/>
      <sheetName val="UtilitasTM"/>
      <sheetName val="rekap harga satuan pek"/>
      <sheetName val="PERSIAPAN"/>
      <sheetName val="tanah"/>
      <sheetName val="pembesian"/>
      <sheetName val="A-ALAT"/>
      <sheetName val="design_criteria6"/>
      <sheetName val="rab j17"/>
      <sheetName val="________"/>
      <sheetName val="Weekl____"/>
      <sheetName val="첨부2. 물량소화계획 상세"/>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Daf 1"/>
      <sheetName val="Data SRL"/>
      <sheetName val="Data Prod_Graf"/>
      <sheetName val="Curup"/>
      <sheetName val="Prabu"/>
      <sheetName val="Process"/>
      <sheetName val="Refinery"/>
      <sheetName val="Fructose"/>
      <sheetName val="RAB J18 "/>
      <sheetName val="HARGA J18"/>
      <sheetName val="analisa J18"/>
      <sheetName val="Cash Out Table"/>
      <sheetName val="Net Cash Table"/>
      <sheetName val="본사공가현황"/>
      <sheetName val="앉음벽 (2)"/>
      <sheetName val="WORKER"/>
      <sheetName val="5.새들부해석 및 철근배근"/>
      <sheetName val="reinforce"/>
      <sheetName val="Executive Summary (Aug 25)"/>
      <sheetName val="P-J"/>
      <sheetName val="P.M 별"/>
      <sheetName val="5.세운W-A"/>
      <sheetName val="Rek.An"/>
      <sheetName val="Rencana Anggaran Biaya"/>
      <sheetName val="BCC CABLE DATA"/>
      <sheetName val="FJR CABLE DATA"/>
      <sheetName val="JRT CABLE DATA"/>
      <sheetName val="PD CABLE DATA "/>
      <sheetName val="TBA CABLE DATA"/>
      <sheetName val="TY CABLE DATA"/>
      <sheetName val="5a. Code_E"/>
      <sheetName val="LstsÙÁ"/>
      <sheetName val="DE-110"/>
      <sheetName val="WBS"/>
      <sheetName val="coastal"/>
      <sheetName val="3. PE Unit "/>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Issue Detail (2nd Stage)"/>
      <sheetName val="PUNCH DESCRIPTION"/>
      <sheetName val="p17 POP 2"/>
      <sheetName val="p16 POP 1"/>
      <sheetName val="p14 cooling mp 2"/>
      <sheetName val="p15 cooling mp 3"/>
      <sheetName val="Committed Cost"/>
      <sheetName val="Div26 - Elect"/>
      <sheetName val="proj"/>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Riesgos y Oportunidades"/>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archi(본사)"/>
      <sheetName val="간접비NE"/>
      <sheetName val="0226"/>
      <sheetName val="FPF-Unit Rates"/>
      <sheetName val="PNT-Unit Rates"/>
      <sheetName val="E1"/>
      <sheetName val="1 间接人工费"/>
      <sheetName val="CW"/>
      <sheetName val="RELACION COSTE"/>
      <sheetName val="NC"/>
      <sheetName val="Named Range"/>
      <sheetName val="Floor Level"/>
      <sheetName val="DataSheet"/>
      <sheetName val="Chemreq"/>
      <sheetName val="19. drill CD6"/>
      <sheetName val="MASTER AR"/>
      <sheetName val="Sheet_x0005_"/>
      <sheetName val="Cause Categories"/>
      <sheetName val="Change Order Log"/>
      <sheetName val="11FEB"/>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BOKOR TOPSIDE LS_3.17M480R"/>
      <sheetName val="ZKPAOINCURREDTS"/>
      <sheetName val="ZKPAOBALANCETSJKT"/>
      <sheetName val="ZKPAOBALANCETS"/>
      <sheetName val="ZKPAOINCURREDJKT"/>
      <sheetName val="ZKPAOPRJKT"/>
      <sheetName val="ZKPAOPRTS"/>
      <sheetName val="MPP"/>
      <sheetName val="S&amp;M Opex"/>
      <sheetName val="골조"/>
      <sheetName val="ExchRate"/>
      <sheetName val="지계"/>
      <sheetName val="Solieu"/>
      <sheetName val="Xuly Data"/>
      <sheetName val="환경기계공정표 (3)"/>
      <sheetName val="Project Information In-Out"/>
      <sheetName val="機器リスト"/>
      <sheetName val="Fee Rate Summary"/>
      <sheetName val="교각계산"/>
      <sheetName val="Sheet15"/>
      <sheetName val="Sheet13"/>
      <sheetName val="APT"/>
      <sheetName val="New Rates"/>
      <sheetName val="OOC Form"/>
      <sheetName val="사통"/>
      <sheetName val="J直材4"/>
      <sheetName val="원하도급내역서(당초)"/>
      <sheetName val="WITHOUT_C&amp;I_PROFIT_(3)"/>
      <sheetName val="ENQ222394AL_NASR_Steel_Report"/>
      <sheetName val="Dynamic_Query"/>
      <sheetName val="설비원가"/>
      <sheetName val="배관쳻᫥"/>
      <sheetName val="배관䳝ᇪ"/>
      <sheetName val="배관᳝᧪"/>
      <sheetName val="8&gt;한국인수당 (Master file)"/>
      <sheetName val="N賃率-職"/>
      <sheetName val="공사사진"/>
      <sheetName val="잡철물"/>
      <sheetName val="TOWER 12TON"/>
      <sheetName val="TOWER 10TON"/>
      <sheetName val="인원칠ᦑ"/>
      <sheetName val="날개벽수량표"/>
      <sheetName val="샘플수"/>
      <sheetName val="FS-LT"/>
      <sheetName val="5-ALAT"/>
      <sheetName val="4-BASIC"/>
      <sheetName val="AP 'S ANALYSIS"/>
      <sheetName val="DATA(입력)"/>
      <sheetName val="배명(단가)"/>
      <sheetName val="drop down list"/>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内訳書"/>
      <sheetName val="Chart Data"/>
      <sheetName val="단중"/>
      <sheetName val="품셈표"/>
      <sheetName val="당초_ȭ"/>
      <sheetName val="당초_➴ȭ"/>
      <sheetName val="TWO PASS"/>
      <sheetName val="THREE PASS"/>
      <sheetName val="Fuel"/>
      <sheetName val="D.Base"/>
      <sheetName val="BBM"/>
      <sheetName val="Neraca"/>
      <sheetName val="R-L"/>
      <sheetName val="DETANAL-AUG"/>
      <sheetName val="YRACCT"/>
      <sheetName val="ocean voyage"/>
      <sheetName val="내역서_耰&quot;_x0009"/>
      <sheetName val="내역서_耰&quot;_x0010"/>
      <sheetName val="내역서_耰&quot;_x00009"/>
      <sheetName val="내역서_耰&quot;_x00010"/>
      <sheetName val="내역서_耰&quot;_x00510"/>
      <sheetName val="_______x005f_x0000__x00_2"/>
      <sheetName val="_______x005f_x005f_x000_2"/>
      <sheetName val="TOSHIBA-Structure"/>
      <sheetName val="Perhitungan"/>
      <sheetName val="REN2000"/>
      <sheetName val="STEP1.a-JUL03"/>
      <sheetName val="Equip COA Sumry"/>
      <sheetName val="Admin"/>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data-hujan"/>
      <sheetName val="23.FILTH "/>
      <sheetName val="29Formalin"/>
      <sheetName val="24TVBN"/>
      <sheetName val="02.01E.coli"/>
      <sheetName val="실행예산갑지"/>
      <sheetName val="현장관리비"/>
      <sheetName val=" anal hrg sat"/>
      <sheetName val="HS_TRG"/>
      <sheetName val="RAB KapukII"/>
      <sheetName val="BAU"/>
      <sheetName val="개산공사비"/>
      <sheetName val="부하계산서"/>
      <sheetName val="U4350"/>
      <sheetName val="Introduction"/>
      <sheetName val="Cover (sh 1)"/>
      <sheetName val="Instructions"/>
      <sheetName val="SI No.25"/>
      <sheetName val="Additional Work"/>
      <sheetName val="DPA"/>
      <sheetName val="D -12"/>
      <sheetName val="2004"/>
      <sheetName val="SPK"/>
      <sheetName val="BA"/>
      <sheetName val="A H S P"/>
      <sheetName val="Harga Bahan"/>
      <sheetName val="HSA &amp; PAB"/>
      <sheetName val="Format Report-for analysis only"/>
      <sheetName val="Rekap BQ-Pompong"/>
      <sheetName val="Page 2api"/>
      <sheetName val="1.Unit Price"/>
      <sheetName val="_x0004__ __x0003___x0004___x0016__ __x0004_"/>
      <sheetName val="Weekl_x0004___x0016__ _"/>
      <sheetName val="_x0004__ __x0"/>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SS MH"/>
      <sheetName val="__x001b__x0006__x0006__x0008__"/>
      <sheetName val="__x001b__x0"/>
      <sheetName val="OPT_x0012__x0010__"/>
      <sheetName val="2_x0010___x0003_&#13;_x0008__x0010__x0004__x0004__x0004_"/>
      <sheetName val="Grand summary Lot#1"/>
      <sheetName val="Part1 Preliminaries &amp; General"/>
      <sheetName val="Part2 Wastewater System"/>
      <sheetName val="Part3 Stormwater Drainage Syste"/>
      <sheetName val="Part4 Dayworks"/>
      <sheetName val="Part5 O&amp;M Equipment"/>
      <sheetName val="Part6 Training"/>
      <sheetName val="Saisie"/>
      <sheetName val="MTO 18 Jul07&amp;19Nov08"/>
      <sheetName val="GIAVLIEU"/>
      <sheetName val="Analisa HS"/>
      <sheetName val="HPS PC"/>
      <sheetName val="Pile Cap"/>
      <sheetName val="SUR-HARGA"/>
      <sheetName val="COMM"/>
      <sheetName val="기타 (3)"/>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Varible"/>
      <sheetName val="Inputdata"/>
      <sheetName val="Progress Tables"/>
      <sheetName val="Twr (15)"/>
      <sheetName val="Shedule"/>
      <sheetName val="D8(1)"/>
      <sheetName val="Analisa ME"/>
      <sheetName val="MTL(AG)"/>
      <sheetName val="rumus"/>
      <sheetName val="Time Schedule"/>
      <sheetName val="Cancelled"/>
      <sheetName val="Data1"/>
      <sheetName val="DataMO"/>
      <sheetName val="RFI_Bolt"/>
      <sheetName val="sc"/>
      <sheetName val="?????????"/>
      <sheetName val="기성"/>
      <sheetName val="_x005f_x005f_x005f_x005f_x005f_x005f_x00Ȋ䀀"/>
      <sheetName val="_x005f_x005f_x005f_x005f_x005f_x005f_x00《䕩堤"/>
      <sheetName val="MOTOR OPERATED VALVE LIST_1"/>
      <sheetName val="Sheet_x0005_�"/>
      <sheetName val="输煤冲洗水泵房"/>
      <sheetName val="Chap_2-_Page_4_3"/>
      <sheetName val="VAT_TU_DIEN3"/>
      <sheetName val="bldg_list3"/>
      <sheetName val="OE_(KSB)2"/>
      <sheetName val="galian_saluran2"/>
      <sheetName val="Ana__PU2"/>
      <sheetName val="Perhit_Alat2"/>
      <sheetName val="05_Analisa_Teknik2"/>
      <sheetName val="Analisa_SNI_STANDART_2"/>
      <sheetName val="1_B2"/>
      <sheetName val="SWALE_(구산)3"/>
      <sheetName val="SANDAN_XLS11"/>
      <sheetName val="Data_Ref_3"/>
      <sheetName val="KKS_System_Codes3"/>
      <sheetName val="Price_Schedule_Code3"/>
      <sheetName val="UPAH_&amp;_BHN_ARS2"/>
      <sheetName val="AHS_ARS2"/>
      <sheetName val="Analisa_HSP2"/>
      <sheetName val="입찰내역_발주처_양卤2"/>
      <sheetName val="Analisa_Neraca2"/>
      <sheetName val="Harga_Mat_2"/>
      <sheetName val="REF_ONLY3"/>
      <sheetName val="Project_D2"/>
      <sheetName val="Tender_Summary2"/>
      <sheetName val="내역서_(N____26"/>
      <sheetName val="ANAL_BOW2"/>
      <sheetName val="Isolasi_Luar_Dalam2"/>
      <sheetName val="Isolasi_Luar2"/>
      <sheetName val="график_финансирования2"/>
      <sheetName val="6_2_Floor_Finishes3"/>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Ra__stair2"/>
      <sheetName val="9011_EXPAT_MANP1"/>
      <sheetName val="App_A_Basis_of_Design1"/>
      <sheetName val="tabel_berat1"/>
      <sheetName val="cost_curve_calc1"/>
      <sheetName val="Subcon_Rate"/>
      <sheetName val="SEK_Vertrieb1"/>
      <sheetName val="SEK_Montage1"/>
      <sheetName val="SEK_IBN1"/>
      <sheetName val="JP-I_500155"/>
      <sheetName val="Risk_Variables"/>
      <sheetName val="간접비_총괄표"/>
      <sheetName val="BOQ_LIST"/>
      <sheetName val="PBAC_budget"/>
      <sheetName val="3_6M_RETAINING_WALL"/>
      <sheetName val="DO_NOT_DELETE"/>
      <sheetName val="MR_EUR1"/>
      <sheetName val="Ind__Budget1"/>
      <sheetName val="BQ_Working1"/>
      <sheetName val="Star_Rate1"/>
      <sheetName val="04_09_19_Mufqi(2)"/>
      <sheetName val="04_09_19_Winda(2)"/>
      <sheetName val="Mufqi_29_08_19"/>
      <sheetName val="Ade_30_08_19"/>
      <sheetName val="Pramudibyo_30_08_19"/>
      <sheetName val="Aji_02_09_19"/>
      <sheetName val="Diah_02_09_19"/>
      <sheetName val="_09_19"/>
      <sheetName val="01A__RAB"/>
      <sheetName val="53_"/>
      <sheetName val="MH_CIVIL"/>
      <sheetName val="DIV_21"/>
      <sheetName val="DIV_7"/>
      <sheetName val="DIV_81"/>
      <sheetName val="DIV_31"/>
      <sheetName val="SA516-60,70_(정리)"/>
      <sheetName val="КС2_24_1-8_(4_1_8_11_200)corr1"/>
      <sheetName val="첨부_#8_기자재_Cost_Summary"/>
      <sheetName val="Dia_Inch"/>
      <sheetName val="Cost_Control"/>
      <sheetName val="Factor_Sheet"/>
      <sheetName val="Cost_Factor_Sheet"/>
      <sheetName val="Price_Sheet"/>
      <sheetName val="Room_Type"/>
      <sheetName val="Basement2_DB"/>
      <sheetName val="BOQ_SUM"/>
      <sheetName val="2_x0010_ _x0003_&#13;_x0008__x0010__x0004__x0004__x0004_"/>
      <sheetName val="내역서_(N___ 9"/>
      <sheetName val="? ???? ?"/>
      <sheetName val=" ????? ??"/>
      <sheetName val="Weekl?? ?"/>
      <sheetName val="? ?_x0"/>
      <sheetName val=" ??_x0"/>
      <sheetName val="OPT?? ?"/>
      <sheetName val="탈황2팀(밸브)"/>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PAY"/>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breakdown_of_wage_ra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10;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1_11_b6"/>
      <sheetName val="SPEC(CABLE_&amp;_WIRE)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16"/>
      <sheetName val="5_Cennik7"/>
      <sheetName val="내역서_(N____111"/>
      <sheetName val="External_Issues6"/>
      <sheetName val="Manpower_Categories6"/>
      <sheetName val="tblg_denda7"/>
      <sheetName val="F1_46"/>
      <sheetName val="5__Work_load(현재원기준)8"/>
      <sheetName val="4-Lane_bridge20"/>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SANDAN_XLS12"/>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Detail_Eng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Project_Grading1"/>
      <sheetName val="Fire_Fighting1"/>
      <sheetName val="HARGA_DASAR1"/>
      <sheetName val="KR2&amp;KVCM(MAR_1-6'99)1"/>
      <sheetName val="ANALISA_KONST_BTN1"/>
      <sheetName val="Page_22"/>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JIB CRANE,HOIST"/>
      <sheetName val="2002년_현장공사비_국내_ꠀꌕ⠃"/>
      <sheetName val="실행예산_MM_x0019_2"/>
      <sheetName val="ITB_COST13볷檼謀谁臛픉_x0016_"/>
      <sheetName val="배製㤁"/>
      <sheetName val="011C101"/>
      <sheetName val="15.2 - HVAC Works"/>
      <sheetName val="Sheet233"/>
      <sheetName val="Sheet229"/>
      <sheetName val="[SANDAN.XLS€??"/>
      <sheetName val="Mix Design"/>
      <sheetName val="업무처리전"/>
      <sheetName val="用水量"/>
      <sheetName val="입상내역"/>
      <sheetName val="L V Separator"/>
      <sheetName val="SITE DEV,T"/>
      <sheetName val="Change_Order_Log"/>
      <sheetName val="Bored_Pile"/>
      <sheetName val="03-13_Anticipated"/>
      <sheetName val="03-13_Approved"/>
      <sheetName val="Change_Order_Log1"/>
      <sheetName val="수량집계표"/>
      <sheetName val="MIJIBI"/>
      <sheetName val="unit_weight"/>
      <sheetName val="1)_COMMON_FACILITIES1"/>
      <sheetName val="ES-aLL"/>
      <sheetName val="HASAT"/>
      <sheetName val="Unit Price Analysis"/>
      <sheetName val="Piping_BQ_fMrZone_turbine7"/>
      <sheetName val="3_Breakdown_Direct_Saent9"/>
      <sheetName val="ocean_voyage"/>
      <sheetName val="anal_rab"/>
      <sheetName val="Pivot_Table"/>
      <sheetName val="일위대가-1"/>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원가계산서구조조정"/>
      <sheetName val="토적표"/>
      <sheetName val="Gas_Specific_Gravities_and_GHV"/>
      <sheetName val="Issue_Log_"/>
      <sheetName val="Material_Groups"/>
      <sheetName val="Material_Kind"/>
      <sheetName val="P_M_별"/>
      <sheetName val="내역서_(CIVI鷘ș痰"/>
      <sheetName val="내역서_(CIVI痰ā㨬Õ"/>
      <sheetName val="내역서_(CIVI"/>
      <sheetName val="내역서_(∮ἀ嘆ɶ᠀㬁4"/>
      <sheetName val="사업부배부A"/>
      <sheetName val="S. Détail Matériel"/>
      <sheetName val="SUMMARY_MTO_02_2_357"/>
      <sheetName val="N_G_METERING_CALC_7"/>
      <sheetName val="N_G_METERING7"/>
      <sheetName val="N_G_METERING_(2)7"/>
      <sheetName val="CUMENE_METERING7"/>
      <sheetName val="N2_METERING_7"/>
      <sheetName val="H2_METERING__7"/>
      <sheetName val="CO_METERING7"/>
      <sheetName val="SPT_vs_PHI7"/>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Enron_Form7"/>
      <sheetName val="IRR_sponsor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Sch_67"/>
      <sheetName val="2013电气概算_价目表_(营改增调整)7"/>
      <sheetName val="List_Equip7"/>
      <sheetName val="Process_C_(1-166)7"/>
      <sheetName val="TRUCK_HAUL_CYCLE-waste7"/>
      <sheetName val="Existing_PC_Pavement7"/>
      <sheetName val="Master_Data7"/>
      <sheetName val="ind'l_cp7"/>
      <sheetName val="LAST_UPDATE7"/>
      <sheetName val="0_품의서(전체)7"/>
      <sheetName val="Other_data7"/>
      <sheetName val="p_mgmt1"/>
      <sheetName val="Dati_base1"/>
      <sheetName val="Asset_Mansys_Sum1"/>
      <sheetName val="Job_List_(2)1"/>
      <sheetName val="Constn_&amp;_Install_-_LEV_41"/>
      <sheetName val="LEV_4_Project_Managem1"/>
      <sheetName val="Site_Management1"/>
      <sheetName val="Manhrs_Sum1"/>
      <sheetName val="BG_Working_Sheet1"/>
      <sheetName val="Batam_Forecast3"/>
      <sheetName val="Batam_Forecast_jun3"/>
      <sheetName val="Fabrication_Summary3"/>
      <sheetName val="D6978_Mar_21_-_FProj073"/>
      <sheetName val="GEAC_-_Dec193"/>
      <sheetName val="State_List1"/>
      <sheetName val="COS_REP_XLS1"/>
      <sheetName val="DIV_91"/>
      <sheetName val="LOKASI_RIG_Litbang1"/>
      <sheetName val="struktur_tdk_dipakai1"/>
      <sheetName val="upah_bahan1"/>
      <sheetName val="AnalisaSIPIL_RIIL1"/>
      <sheetName val="Har_Sat1"/>
      <sheetName val="Rek_Analisa1"/>
      <sheetName val="HRG_BAHAN_&amp;_UPAH_okk1"/>
      <sheetName val="TS_MINGGUAN_rev_(2)1"/>
      <sheetName val="DAF_ALAT1"/>
      <sheetName val="Perhitungan_RAB1"/>
      <sheetName val="INPUT_DATAS1"/>
      <sheetName val="ABK_04_AWALR+CO+TAB_RUPS1"/>
      <sheetName val="9_58&quot;_single1"/>
      <sheetName val="A-11_Steel_Str1"/>
      <sheetName val="A-03_Pile1"/>
      <sheetName val="CONS_1"/>
      <sheetName val="Country_(kVA-Hz_)1"/>
      <sheetName val="Vind_-鴃宼蠀1"/>
      <sheetName val="1_집계표(일반전기)1"/>
      <sheetName val="2_집계표(선행공사)1"/>
      <sheetName val="3_집계표(소방공사)1"/>
      <sheetName val="CABLE_TRAY1"/>
      <sheetName val="아파트_기성내역서1"/>
      <sheetName val="HaulingLine_hardware1"/>
      <sheetName val="S_Curve1"/>
      <sheetName val="Branch_Power1"/>
      <sheetName val="C__letter_3rd_QT1"/>
      <sheetName val="cespiti_cet2_piombino_(2)1"/>
      <sheetName val="建筑工程统计表06月份_1"/>
      <sheetName val="내역서_耰&quot;15"/>
      <sheetName val="Precios_Unitariԯ7"/>
      <sheetName val="sch_1_21"/>
      <sheetName val="B_10_(4)1"/>
      <sheetName val="Rev_1"/>
      <sheetName val="Sheet1_(4)1"/>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내역서_耰&quot;_x000010"/>
      <sheetName val="PROG_"/>
      <sheetName val="WITHOUT_C&amp;I_PROFIT_(3)1"/>
      <sheetName val="2__Steel_Structural"/>
      <sheetName val="Unit_of_Measurement_"/>
      <sheetName val="Calc_Sheet"/>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HARGA_SAT"/>
      <sheetName val="DIV_32"/>
      <sheetName val="Unit_Rate"/>
      <sheetName val="D-3_(M)"/>
      <sheetName val="D-7_(M)"/>
      <sheetName val="01A-_RAB"/>
      <sheetName val="Cycle_Time"/>
      <sheetName val="rekap_harga_satuan_pek"/>
      <sheetName val="rab_j17"/>
      <sheetName val="첨부2__물량소화계획_상세"/>
      <sheetName val="Breakdown_Instrument"/>
      <sheetName val="Hujan_BUlanan"/>
      <sheetName val="Deliverable_list"/>
      <sheetName val="member_design"/>
      <sheetName val="Data_basic_price_jgan_diprint"/>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Basic_Rate1"/>
      <sheetName val="앉음벽_(2)"/>
      <sheetName val="5_새들부해석_및_철근배근"/>
      <sheetName val="Executive_Summary_(Aug_25)"/>
      <sheetName val="5_세운W-A"/>
      <sheetName val="Rek_An"/>
      <sheetName val="Rencana_Anggaran_Biaya"/>
      <sheetName val="BCC_CABLE_DATA"/>
      <sheetName val="FJR_CABLE_DATA"/>
      <sheetName val="JRT_CABLE_DATA"/>
      <sheetName val="PD_CABLE_DATA_"/>
      <sheetName val="TBA_CABLE_DATA"/>
      <sheetName val="TY_CABLE_DATA"/>
      <sheetName val="5a__Code_E"/>
      <sheetName val="PUNCH_DESCRIPTION"/>
      <sheetName val="GENDATA_Sht_1"/>
      <sheetName val="RELACION_COSTE"/>
      <sheetName val="Sheet"/>
      <sheetName val="New_Rates"/>
      <sheetName val="OOC_Form"/>
      <sheetName val="Fee_Rate_Summary"/>
      <sheetName val="Committed_Cost"/>
      <sheetName val="Div26_-_Elect"/>
      <sheetName val="Cut_to_spoil_(sound_rock)"/>
      <sheetName val="Cut_to_spoil_(soft_rock)"/>
      <sheetName val="Extra_over_haulages__"/>
      <sheetName val="Fill_from_borrow"/>
      <sheetName val="Milling_10_6_TO_58"/>
      <sheetName val="Removal_Top_Soil"/>
      <sheetName val="Removal_unsuitable"/>
      <sheetName val="Site_clearance"/>
      <sheetName val="Data_Sheet1"/>
      <sheetName val="@risk_rents_and_incentives"/>
      <sheetName val="Car_park_lease"/>
      <sheetName val="Net_rent_analysis"/>
      <sheetName val="cost_project"/>
      <sheetName val="co-no_2"/>
      <sheetName val="Labor_abs-NMR"/>
      <sheetName val="Malaysia_incl__RET"/>
      <sheetName val="GM_&amp;_TA"/>
      <sheetName val="Zone_1"/>
      <sheetName val="Zone_2"/>
      <sheetName val="Zone_3"/>
      <sheetName val="Zone_4"/>
      <sheetName val="Zone_5"/>
      <sheetName val="0__Index"/>
      <sheetName val="Issue_Detail_(2nd_Stage)"/>
      <sheetName val="환경기계공정표_(3)"/>
      <sheetName val="Project_Information_In-Out"/>
      <sheetName val="Cause_Categories"/>
      <sheetName val="3__PE_Unit_"/>
      <sheetName val="FPF-Unit_Rates"/>
      <sheetName val="PNT-Unit_Rates"/>
      <sheetName val="1_间接人工费"/>
      <sheetName val="Chart_Data"/>
      <sheetName val="S&amp;M_Opex"/>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19__drill_CD6"/>
      <sheetName val="Named_Range"/>
      <sheetName val="Floor_Level"/>
      <sheetName val="MASTER_AR"/>
      <sheetName val="8&gt;한국인수당_(Master_file)"/>
      <sheetName val="Ca_máy"/>
      <sheetName val="Cước_VC_+_ĐM_CP_Tư_vấn"/>
      <sheetName val="Dự_toán"/>
      <sheetName val="Đơn_Giá_TH"/>
      <sheetName val="Nhân_công"/>
      <sheetName val="Phân_tích"/>
      <sheetName val="Hệ_số"/>
      <sheetName val="C_P_Thiết_bị"/>
      <sheetName val="T_H_Kinh_phí"/>
      <sheetName val="Vật_tư"/>
      <sheetName val="Trang_bìa"/>
      <sheetName val="TWO_PASS"/>
      <sheetName val="THREE_PASS"/>
      <sheetName val="D_Base"/>
      <sheetName val="STEP1_a-JUL03"/>
      <sheetName val="Equip_COA_Sumry"/>
      <sheetName val="Rekap_Bill"/>
      <sheetName val="Jdw_Alat"/>
      <sheetName val="S_Penawar"/>
      <sheetName val="Analis_harga"/>
      <sheetName val="Sat_Bah_&amp;_Up"/>
      <sheetName val="_PE-F-42_MR_9_Manpower"/>
      <sheetName val="TABEL_BAJA"/>
      <sheetName val="Analis_Kusen_okk"/>
      <sheetName val="Item_Kompensasi"/>
      <sheetName val="rekap_str+ars"/>
      <sheetName val="TOWER_12TON"/>
      <sheetName val="TOWER_10TON"/>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AP_'S_ANALYSIS"/>
      <sheetName val="23_FILTH_"/>
      <sheetName val="02_01E_coli"/>
      <sheetName val="_anal_hrg_sat"/>
      <sheetName val="RAB_KapukII"/>
      <sheetName val="BOKOR_TOPSIDE_LS_3_17M480R"/>
      <sheetName val="Riesgos_y_Oportunidades"/>
      <sheetName val="Cover_(sh_1)"/>
      <sheetName val="Control_Panel"/>
      <sheetName val="using_rjs409_progress_data"/>
      <sheetName val="Summary_F-217_R6"/>
      <sheetName val="BEU_btm_nozz_@_tsht"/>
      <sheetName val="Cover_Sheet"/>
      <sheetName val="SI_No_25"/>
      <sheetName val="Additional_Work"/>
      <sheetName val="D_-12"/>
      <sheetName val="A_H_S_P"/>
      <sheetName val="Harga_Bahan"/>
      <sheetName val="HSA_&amp;_PAB"/>
      <sheetName val="Format_Report-for_analysis_only"/>
      <sheetName val="Rekap_BQ-Pompong"/>
      <sheetName val="Page_2api"/>
      <sheetName val="1_Unit_Price"/>
      <sheetName val="Absen_4"/>
      <sheetName val="Evaluasi_Teknis__B_"/>
      <sheetName val="Koreksi_Aritmatika"/>
      <sheetName val="Range_HPS"/>
      <sheetName val="SS_MH"/>
      <sheetName val="2_&#10;"/>
      <sheetName val="Grand_summary_Lot#1"/>
      <sheetName val="Part1_Preliminaries_&amp;_General"/>
      <sheetName val="Part2_Wastewater_System"/>
      <sheetName val="Part3_Stormwater_Drainage_Syste"/>
      <sheetName val="Part4_Dayworks"/>
      <sheetName val="Part5_O&amp;M_Equipment"/>
      <sheetName val="Part6_Training"/>
      <sheetName val="p17_POP_2"/>
      <sheetName val="p16_POP_1"/>
      <sheetName val="p14_cooling_mp_2"/>
      <sheetName val="p15_cooling_mp_3"/>
      <sheetName val="Xuly_Data"/>
      <sheetName val="MTO_18_Jul07&amp;19Nov08"/>
      <sheetName val="REC. SALV."/>
      <sheetName val="WORK INDEX"/>
      <sheetName val="Part 3-Cladding"/>
      <sheetName val="MOS"/>
      <sheetName val="S-CURVE_OLD"/>
      <sheetName val="WTPLN_Rev A"/>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_x005f_x005f_x005f_x005f_x005f_x005f_x00Ȋ"/>
      <sheetName val="Lookup Table"/>
      <sheetName val="D 5243-ARAMCO"/>
      <sheetName val="D-4801 OXY"/>
      <sheetName val="ctTBA"/>
      <sheetName val="1.FACTORY"/>
      <sheetName val="C1"/>
      <sheetName val="C2"/>
      <sheetName val="Phiếu YCNT-CVXD"/>
      <sheetName val="T12"/>
      <sheetName val="T22"/>
      <sheetName val="QT2"/>
      <sheetName val="KC52"/>
      <sheetName val="BW"/>
      <sheetName val="PW"/>
      <sheetName val="LINTER"/>
      <sheetName val="BT LINTER"/>
      <sheetName val="LAN CAN"/>
      <sheetName val="TRẦN THẠCH CAO"/>
      <sheetName val="SƠN TRONG NHÀ"/>
      <sheetName val="SƠN NGOÀI NHÀ"/>
      <sheetName val="CỬA THÉP"/>
      <sheetName val="SƠN EPOXY"/>
      <sheetName val="TĂNG CỨNG NỀN"/>
      <sheetName val="CỐNG THOÁT NƯỚC"/>
      <sheetName val="BIỂN HIỆU"/>
      <sheetName val="NẮP GANG"/>
      <sheetName val="RO"/>
      <sheetName val="MA"/>
      <sheetName val="VL"/>
      <sheetName val="OTH"/>
      <sheetName val="WT"/>
      <sheetName val="SL"/>
      <sheetName val="KC82"/>
      <sheetName val="BBNT-Đ"/>
      <sheetName val="BBNT-C"/>
      <sheetName val="BBLM- Cọc"/>
      <sheetName val="BBNT-F"/>
      <sheetName val="NTCV- C"/>
      <sheetName val="BBNT-L"/>
      <sheetName val="BBNT-T"/>
      <sheetName val="VL13"/>
      <sheetName val="tblTHK"/>
      <sheetName val="쬏+쫶&amp;쫹AN.XLS]______x005f_x001f__x000_4"/>
      <sheetName val="쬏+쫶&amp;쫹AN.XLS]______x005f_x001f__x000_2"/>
      <sheetName val="쬏+쫶&amp;쫹AN.XLS]______x005f_x001f__x000_3"/>
      <sheetName val="GL"/>
      <sheetName val="구의33고"/>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ANALISA railing"/>
      <sheetName val="BELAGIO"/>
      <sheetName val="ARTAGDING"/>
      <sheetName val="POMALA"/>
      <sheetName val="SEMANAN"/>
      <sheetName val="BKPM"/>
      <sheetName val="차액보증"/>
      <sheetName val="Rot-Pack"/>
      <sheetName val="STEP"/>
      <sheetName val="공정회의자료(월요일 10시까지)"/>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rap rinci"/>
      <sheetName val="11421"/>
      <sheetName val="ArusKas"/>
      <sheetName val="CIMB IDR"/>
      <sheetName val="REKAP A BESAR"/>
      <sheetName val="Bunga"/>
      <sheetName val="RAB_DURI"/>
      <sheetName val="Mark-up"/>
      <sheetName val="Alat &amp; Bahan"/>
      <sheetName val="CONSUMABLE"/>
      <sheetName val="______"/>
      <sheetName val="_____x005f_x0000__2"/>
      <sheetName val="_______x000_2"/>
      <sheetName val="내역서_耰&quot;_x005f_x0000__x0011"/>
      <sheetName val="내역서_耰&quot;_x005f_x005f_x00011"/>
      <sheetName val="내역서_耰&quot;_x005f_x005f_x00511"/>
      <sheetName val="내역서_耰&quot;_x005f_x0000__x0012"/>
      <sheetName val="내역서_耰&quot;_x005f_x005f_x00012"/>
      <sheetName val="내역서_耰&quot;_x005f_x005f_x00512"/>
      <sheetName val="내역서_耰&quot;_x005f_x0000__x0013"/>
      <sheetName val="내역서_耰&quot;_x005f_x005f_x00013"/>
      <sheetName val="내역서_耰&quot;_x005f_x005f_x00513"/>
      <sheetName val="내역서_耰&quot;_x005f_x0000__x0014"/>
      <sheetName val="내역서_耰&quot;_x005f_x005f_x00014"/>
      <sheetName val="내역서_耰&quot;_x005f_x005f_x00514"/>
      <sheetName val="내역서_(N__x000e__x000e__x000e____"/>
      <sheetName val="내역서_ᢐ_x001f_"/>
      <sheetName val="砂石料"/>
      <sheetName val="장비명"/>
      <sheetName val="JER3"/>
      <sheetName val="화전내"/>
      <sheetName val="드롭"/>
      <sheetName val="데구"/>
      <sheetName val="U-TYPE(1)"/>
      <sheetName val="VST재료산출"/>
      <sheetName val="인원_x0008_"/>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집계표(실적)"/>
      <sheetName val="⑤-1. 기계"/>
      <sheetName val="L01 Actual Cashflow  Rev 3"/>
      <sheetName val="Material List "/>
      <sheetName val="REQ_REMARKS"/>
      <sheetName val="Project data"/>
      <sheetName val="Customize Your Invoice"/>
      <sheetName val="Parking B"/>
      <sheetName val="Progress %"/>
      <sheetName val="UC"/>
      <sheetName val="pricing"/>
      <sheetName val="Dir-Conc "/>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breakdown_of_wage_ra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10;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내역서_(N__x009"/>
      <sheetName val="05__Curva_S8"/>
      <sheetName val="TR_Rev_vs_Commit7"/>
      <sheetName val="TR_+MMHE_PL_report7"/>
      <sheetName val="P23P2724___Commitment_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4-Lane_bridge21"/>
      <sheetName val="1_11_b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내역서_(∮ἀ嘆ɶ_᠀㬁_8"/>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내역서_(N____32"/>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SANDAN_XLS13"/>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design_criteria7"/>
      <sheetName val="5_세운W-A1"/>
      <sheetName val="SA516-60,70_(정리)1"/>
      <sheetName val="Gas_Specific_Gravities_and_GHV1"/>
      <sheetName val="_x0004_?&#13;?_x0003_?_x0004_"/>
      <sheetName val="&#10;?_x001b_?_x0006_?_x0006_"/>
      <sheetName val=" ?_x001b_?_x0006_?_x0006_?_x000"/>
      <sheetName val="Z- GENERAL PRIC鋘@俀~橿⿂_x0"/>
      <sheetName val="Z- GENERAL PRIC_x"/>
      <sheetName val="_______x005f_x005f_x005f_x0000_"/>
      <sheetName val="_____x005f_x005f_x005f_x005f_x0"/>
      <sheetName val="_______x005f_x005f_x005f_x005f_"/>
      <sheetName val="LV induction _x00"/>
      <sheetName val="_x005f_x0002__x005f_x0000_뻘N_x0"/>
      <sheetName val="내역서 (∮ἀ嘆ɶ_x005f_x0000_᠀㬁_x005f"/>
      <sheetName val="_x005f_x0002__뻘N___x005f_x0001_"/>
      <sheetName val="_x005f_x0004__x005f_x0000__x005"/>
      <sheetName val="_x005f_x000a__x005f_x0000__x005"/>
      <sheetName val=" _x005f_x0000__x005f_x001b__x00"/>
      <sheetName val="Weekl_x005f_x0004__x005f_x0000_"/>
      <sheetName val="_x005f_x0000__x005f_x000e__x005"/>
      <sheetName val="내역서_(N_x005f_x0009__x000e"/>
      <sheetName val="내역서_(N _x005f_x000e__x000"/>
      <sheetName val="7422CW_x005f_x0013__x0000"/>
      <sheetName val="OPT_x005f_x0012__x005f_x0000__x"/>
      <sheetName val="_x005f_x0000__x005f_x0013__x005"/>
      <sheetName val="내역서 耰&quot;_x005f_x0000__x005f"/>
      <sheetName val="내역서 ᢐ_x005f_x001f__x005f_x0000_"/>
      <sheetName val="__x005f_x0000__x005f_x001b__x00"/>
      <sheetName val="Sheet_x0005__x000"/>
      <sheetName val="LV induction mot_"/>
      <sheetName val="내역서_(∮ἀ嘆ɶ_x005f_x0000_᠀㬁_x005f"/>
      <sheetName val="내역서_(N__x005f_x000e__x000"/>
      <sheetName val="내역서_ᢐ_x005f_x001f__x005f_x0000_"/>
      <sheetName val="내역서_耰&quot;_x005f_x0000__x005f"/>
      <sheetName val="2_x0010_&#10;_x"/>
      <sheetName val="_______x005f_x0000__x005f"/>
      <sheetName val="_x0004__&#13;__x0003___x0004_"/>
      <sheetName val="___x001b___x0006___x0006___x000"/>
      <sheetName val=" __x001b___x0006___x0006___x000"/>
      <sheetName val="_x0004_? ?_x0003_?_x0004_?_x001"/>
      <sheetName val="_x0004__ __x0003___x0004___x001"/>
      <sheetName val="2_x0010___x0003_&#13;_x0008__"/>
      <sheetName val="2_x0010_ _x0003__"/>
      <sheetName val="해평견적"/>
      <sheetName val="11.별도장부가"/>
      <sheetName val="PBC)주식기준보상부여"/>
      <sheetName val="PT_DPT_Manifold (TR)"/>
      <sheetName val="PT_DPT_Seal (TR)"/>
      <sheetName val="Item Details"/>
      <sheetName val="eqp-rek"/>
      <sheetName val="Harga "/>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JUL"/>
      <sheetName val="DAF.INVEN U.O"/>
      <sheetName val="CGS"/>
      <sheetName val="Biaya2"/>
      <sheetName val="COGM"/>
      <sheetName val="Buildg-200"/>
      <sheetName val="Price Summary (1)"/>
      <sheetName val="Price Summary (2)"/>
      <sheetName val="Base BM-rebar"/>
      <sheetName val="Bang chi tiet-Direct work"/>
      <sheetName val="DД"/>
      <sheetName val="Номенклатура BOE"/>
      <sheetName val="Типы оборудования"/>
      <sheetName val="Basic-Engineering"/>
      <sheetName val="Startphase"/>
      <sheetName val="Katsayilar"/>
      <sheetName val="Номенклатура BOM"/>
      <sheetName val="系数516"/>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Bond &amp; Stamp"/>
      <sheetName val="작성기준"/>
      <sheetName val="CutOffDates"/>
      <sheetName val="Prec.OTS"/>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Z-_GENERAL_PRIC橿⿂⒘ࡈ1"/>
      <sheetName val="Z-_GENERAL_PRIC鋘@俀~橿⿂⍈1"/>
      <sheetName val="Bahan "/>
      <sheetName val="UNIT 3"/>
      <sheetName val="BOM_TOTAL"/>
      <sheetName val="Pen Macadam"/>
      <sheetName val="BEFORE ALLOCATION"/>
      <sheetName val="COA-17"/>
      <sheetName val="C-18"/>
      <sheetName val="B2-UNIT 207"/>
      <sheetName val="BS-Notes"/>
      <sheetName val="BQ INSUL"/>
      <sheetName val="BQ PIPE"/>
      <sheetName val="SHOP FIELD INSTALL %"/>
      <sheetName val="LINE TESTS"/>
      <sheetName val="H"/>
      <sheetName val="D"/>
      <sheetName val="J"/>
      <sheetName val="Working"/>
      <sheetName val="공정표"/>
      <sheetName val="Unconfined-Reading"/>
      <sheetName val="Daf-Harga"/>
      <sheetName val="U-3.1.1 telephone"/>
      <sheetName val="AA.1.1 BNI"/>
      <sheetName val="Adf par resp"/>
      <sheetName val="rms sipil"/>
      <sheetName val="20-11-03"/>
      <sheetName val="AOP-SK"/>
      <sheetName val="assets"/>
      <sheetName val="Module2"/>
      <sheetName val="RumusTB 1 bln"/>
      <sheetName val="Ex-Rate"/>
      <sheetName val="Invoice"/>
      <sheetName val="GeneralInfo"/>
      <sheetName val="PLL"/>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IGCC査定"/>
      <sheetName val="Ulasan"/>
      <sheetName val="28"/>
      <sheetName val="DAT_1"/>
      <sheetName val="eakTG"/>
      <sheetName val="LOKASI"/>
      <sheetName val="Prog Pay Events_Prog Pay Events"/>
      <sheetName val="Critical - Key Drawings"/>
      <sheetName val="Mat Deliv Vs ZMM071"/>
      <sheetName val="girder"/>
      <sheetName val="GWC"/>
      <sheetName val="NWC"/>
      <sheetName val="Sheet284"/>
      <sheetName val="주식"/>
      <sheetName val="마감물량"/>
      <sheetName val="Assump (Static)"/>
      <sheetName val="A CONDITIONS"/>
      <sheetName val="C.Earthwork"/>
      <sheetName val="struc derive"/>
      <sheetName val="Bill No. 2 July 6"/>
      <sheetName val="(COV)"/>
      <sheetName val="FINISH"/>
      <sheetName val="guard(mac)"/>
      <sheetName val="GESTION FICHE"/>
      <sheetName val="TRADUCTION LISTES"/>
      <sheetName val="MANPOWER WITH NCII"/>
      <sheetName val="Equpt"/>
      <sheetName val="Main Bldg."/>
      <sheetName val="Coalmine"/>
      <sheetName val="fixwater"/>
      <sheetName val="TYPE-A"/>
      <sheetName val="L(1)"/>
      <sheetName val="L(2)"/>
      <sheetName val="L(3)"/>
      <sheetName val="L(4)"/>
      <sheetName val="CP"/>
      <sheetName val="평균환율-USD"/>
      <sheetName val="EqptRate (2)"/>
      <sheetName val="BOQ-P"/>
      <sheetName val="Worksheet"/>
      <sheetName val="Electrical Pricelist"/>
      <sheetName val="CONPRIS"/>
      <sheetName val="Codes,..."/>
      <sheetName val="Stl-B"/>
      <sheetName val="INNER TANK"/>
      <sheetName val="IPE"/>
      <sheetName val="C_E"/>
      <sheetName val="RATES G-5"/>
      <sheetName val="RSB_RATIO"/>
      <sheetName val="TLLine"/>
      <sheetName val="Comparative Cluster Inner"/>
      <sheetName val="SDH"/>
      <sheetName val="600(3)a"/>
      <sheetName val="Final Certificate"/>
      <sheetName val="SUMMARY QUANTITIES"/>
      <sheetName val="SC Cost FEB 03"/>
      <sheetName val="MTL"/>
      <sheetName val="EQR"/>
      <sheetName val="LBR"/>
      <sheetName val="EQT"/>
      <sheetName val="Résultats"/>
      <sheetName val="Item#9.3"/>
      <sheetName val="Item#1.9"/>
      <sheetName val="Item#6.7"/>
      <sheetName val="Item#2.6"/>
      <sheetName val="Item#4.10"/>
      <sheetName val="Item#5.8"/>
      <sheetName val="Item#7.21"/>
      <sheetName val="Item#3.8"/>
      <sheetName val="Item#8.7"/>
      <sheetName val="DPA3A-1"/>
      <sheetName val="DPA Form"/>
      <sheetName val="U_A Input"/>
      <sheetName val="LabCost"/>
      <sheetName val="Ref."/>
      <sheetName val="RCPC.RCBC QUANTITY"/>
      <sheetName val="REFERENCE"/>
      <sheetName val="tabulation of deductions"/>
      <sheetName val="Report"/>
      <sheetName val="insulation"/>
      <sheetName val="Prelims"/>
      <sheetName val="GenReq"/>
      <sheetName val="CWDerivation"/>
      <sheetName val="THISWORKSHEET"/>
      <sheetName val="MTO REV.0"/>
      <sheetName val="Candy ee"/>
      <sheetName val="TYPE-B 평균H"/>
      <sheetName val="예총"/>
      <sheetName val="N-CRAM"/>
      <sheetName val="3BPA00132-5-3 W plan HVPNL"/>
      <sheetName val="CABLE DATA"/>
      <sheetName val="prod-rates2"/>
      <sheetName val="특수선일위대가"/>
      <sheetName val="方案1表二"/>
      <sheetName val="2002상반기노임기준"/>
      <sheetName val="인원加."/>
      <sheetName val="인원叐_x001b_"/>
      <sheetName val="REP"/>
      <sheetName val="MING"/>
      <sheetName val="MOBDEMOB"/>
      <sheetName val="ANALIS 2"/>
      <sheetName val="analpp"/>
      <sheetName val="bhnpp"/>
      <sheetName val="VA.1.2"/>
      <sheetName val="mutasi"/>
      <sheetName val="JURNAL"/>
      <sheetName val="campuran"/>
      <sheetName val="Cjs "/>
      <sheetName val="coates"/>
      <sheetName val="COM"/>
      <sheetName val="fsw"/>
      <sheetName val="dasecta"/>
      <sheetName val="dck"/>
      <sheetName val="handaya"/>
      <sheetName val="hitech"/>
      <sheetName val="intimas"/>
      <sheetName val="lkm"/>
      <sheetName val="makmur box"/>
      <sheetName val="SUMMARY NEW"/>
      <sheetName val="jet"/>
      <sheetName val="nasindo se"/>
      <sheetName val="sumber tapioka"/>
      <sheetName val="putra"/>
      <sheetName val="Wangi Harapan"/>
      <sheetName val="L2"/>
      <sheetName val="Exc. Rate"/>
      <sheetName val="Marshal"/>
      <sheetName val="diana"/>
      <sheetName val="hana sp"/>
      <sheetName val="taiyo"/>
      <sheetName val="HARAPAN JAYA"/>
      <sheetName val="bakti"/>
      <sheetName val="sinar indah"/>
      <sheetName val="zug"/>
      <sheetName val="tunggal"/>
      <sheetName val="mandiri pranala"/>
      <sheetName val="tunai SP"/>
      <sheetName val="PANCA MANUNGGAL"/>
      <sheetName val="thema"/>
      <sheetName val="Himalaya-T"/>
      <sheetName val="Himalaya_T"/>
      <sheetName val="cemerlang"/>
      <sheetName val="BRJ"/>
      <sheetName val="bintoro"/>
      <sheetName val="himalaya"/>
      <sheetName val="arindo"/>
      <sheetName val="kibaroto"/>
      <sheetName val="yusuf"/>
      <sheetName val="signode"/>
      <sheetName val="karya prima"/>
      <sheetName val="alba"/>
      <sheetName val="HERMON"/>
      <sheetName val="guna jaya"/>
      <sheetName val="saudara makmur"/>
      <sheetName val="jee feeng"/>
      <sheetName val="emk"/>
      <sheetName val="colindo"/>
      <sheetName val="sigindo"/>
      <sheetName val="grapic"/>
      <sheetName val="artha"/>
      <sheetName val="pdam"/>
      <sheetName val="laksana"/>
      <sheetName val="sinar budi"/>
      <sheetName val="gp"/>
      <sheetName val="KM"/>
      <sheetName val="DINAR JAYA"/>
      <sheetName val="tunai ST"/>
      <sheetName val="ustegra"/>
      <sheetName val="daya listrik"/>
      <sheetName val="tufiadi"/>
      <sheetName val="DPIC"/>
      <sheetName val="rengo"/>
      <sheetName val="podo"/>
      <sheetName val="tunai BP"/>
      <sheetName val="noree"/>
      <sheetName val="ekamas"/>
      <sheetName val="sarana"/>
      <sheetName val="flexograf"/>
      <sheetName val="kawat"/>
      <sheetName val="talenta"/>
      <sheetName val="skp pm"/>
      <sheetName val="pertamina"/>
      <sheetName val="TOYO"/>
      <sheetName val="usaha maju"/>
      <sheetName val="MOSCA"/>
      <sheetName val="sinerga"/>
      <sheetName val="gemilang"/>
      <sheetName val="darisa"/>
      <sheetName val="karunia inti"/>
      <sheetName val="kurnia jaya"/>
      <sheetName val="teguh jaya"/>
      <sheetName val="DWI JAYA "/>
      <sheetName val="dita wire"/>
      <sheetName val="MULTI KARYA"/>
      <sheetName val="jaya"/>
      <sheetName val="TANJUNG MAS"/>
      <sheetName val="smg mkmr"/>
      <sheetName val="pura"/>
      <sheetName val="klb"/>
      <sheetName val="src TGR"/>
      <sheetName val="interpak"/>
      <sheetName val="beltros"/>
      <sheetName val="sekar jagat"/>
      <sheetName val="shirou"/>
      <sheetName val="shanghai"/>
      <sheetName val="MULIA FORM"/>
      <sheetName val="apex"/>
      <sheetName val="ANUGERAH"/>
      <sheetName val="isowa"/>
      <sheetName val="pizoku"/>
      <sheetName val="sinar pagi st"/>
      <sheetName val="kharisma cemerl"/>
      <sheetName val="mekar jaya"/>
      <sheetName val="splastindo pm"/>
      <sheetName val="heru"/>
      <sheetName val="dinary"/>
      <sheetName val="src sby"/>
      <sheetName val="SINGO"/>
      <sheetName val="tlogo"/>
      <sheetName val="setia"/>
      <sheetName val="src pm"/>
      <sheetName val="indoteras"/>
      <sheetName val="bintang mulia"/>
      <sheetName val="gunung sumber "/>
      <sheetName val="servitek"/>
      <sheetName val="NASINDO"/>
      <sheetName val="pembelian"/>
      <sheetName val="JAYA TEJA PM"/>
      <sheetName val="GM"/>
      <sheetName val="pusaka"/>
      <sheetName val="sinar jasa sp"/>
      <sheetName val="indokomsp"/>
      <sheetName val="kawan"/>
      <sheetName val="mnara "/>
      <sheetName val="suryantara"/>
      <sheetName val="jomblang"/>
      <sheetName val="FESTO"/>
      <sheetName val="satya"/>
      <sheetName val="SUTRASA"/>
      <sheetName val="komala"/>
      <sheetName val="pakerin"/>
      <sheetName val="metalisha"/>
      <sheetName val="dharma"/>
      <sheetName val="margo mulyo"/>
      <sheetName val="bina mandiri"/>
      <sheetName val="kitagawa"/>
      <sheetName val="swono pm"/>
      <sheetName val="ADIL JAYA"/>
      <sheetName val="sukma"/>
      <sheetName val="sumber"/>
      <sheetName val="mitra"/>
      <sheetName val="lestari jaya"/>
      <sheetName val="surya bp"/>
      <sheetName val="sumber murni"/>
      <sheetName val="wijaya"/>
      <sheetName val="purinusa"/>
      <sheetName val="wira"/>
      <sheetName val="LAUTAN"/>
      <sheetName val="seroja"/>
      <sheetName val="sun"/>
      <sheetName val="HUTAN"/>
      <sheetName val="sinar pagi pm"/>
      <sheetName val="arianto"/>
      <sheetName val="tondi"/>
      <sheetName val="nuraria"/>
      <sheetName val="armansa"/>
      <sheetName val="andika"/>
      <sheetName val="bahana"/>
      <sheetName val="istana"/>
      <sheetName val="LUHUR"/>
      <sheetName val="kencana"/>
      <sheetName val="ALTRAK"/>
      <sheetName val="metro data"/>
      <sheetName val="PUSAT"/>
      <sheetName val="NUSA PILLAR SP"/>
      <sheetName val="HAMADA"/>
      <sheetName val="cakramerlindo"/>
      <sheetName val="stafina"/>
      <sheetName val="WISMA BELT"/>
      <sheetName val="marquip"/>
      <sheetName val="VG"/>
      <sheetName val="menara"/>
      <sheetName val="multi jaya"/>
      <sheetName val="karunia sp"/>
      <sheetName val="MAS"/>
      <sheetName val="magnyar"/>
      <sheetName val="GRAHA U NITEK"/>
      <sheetName val="handik"/>
      <sheetName val="hormat motor"/>
      <sheetName val="akur"/>
      <sheetName val="sumitomo"/>
      <sheetName val="petrolog"/>
      <sheetName val="parlin"/>
      <sheetName val="grand indo"/>
      <sheetName val="sungai budi"/>
      <sheetName val="lkh"/>
      <sheetName val="albany"/>
      <sheetName val="rekindo"/>
      <sheetName val="dai papers"/>
      <sheetName val="tunai PM"/>
      <sheetName val="sendang indahh "/>
      <sheetName val="bina usaha"/>
      <sheetName val="batavia"/>
      <sheetName val="kencana1"/>
      <sheetName val="smg sbr sjht"/>
      <sheetName val="SUMBER MAKMUR"/>
      <sheetName val="SUBUR"/>
      <sheetName val="Stewardship"/>
      <sheetName val="TB98,oct99&amp;sap99-WPL"/>
      <sheetName val="2. BQ"/>
      <sheetName val="TABLE NEC"/>
      <sheetName val="GC-2"/>
      <sheetName val="NEW REKAP "/>
      <sheetName val="BONUS"/>
      <sheetName val="Arsitektur"/>
      <sheetName val="Annual-Plan-1998-A-US$-Rupiah-F"/>
      <sheetName val="RBP- 2"/>
      <sheetName val="AKP-1"/>
      <sheetName val="LV induction _x0005_ˠ"/>
      <sheetName val="시산표"/>
      <sheetName val="sum1 (2)"/>
      <sheetName val="단면치수"/>
      <sheetName val="CFS3"/>
      <sheetName val="bi-mnthly rep Villa"/>
      <sheetName val="TPK(I) Budget"/>
      <sheetName val="Annex2"/>
      <sheetName val="BOQ1"/>
      <sheetName val="office"/>
      <sheetName val="BC - Final Templates"/>
      <sheetName val="RCBC Reinforcement"/>
      <sheetName val="KSP_Baseline4_RecourceTable_121"/>
      <sheetName val="CCNs"/>
      <sheetName val="upa of boq"/>
      <sheetName val="inWords"/>
      <sheetName val="Summary Foreign Comp"/>
      <sheetName val="grand summary"/>
      <sheetName val="wordsdata"/>
      <sheetName val="CREW  RATE"/>
      <sheetName val="BASIS 1"/>
      <sheetName val="Basis"/>
      <sheetName val="New Bld"/>
      <sheetName val="Sched-Structure IFB"/>
      <sheetName val="Channel - final template"/>
      <sheetName val="SewerPipe"/>
      <sheetName val="取费"/>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Sheet256"/>
      <sheetName val="TB"/>
      <sheetName val="AOR"/>
      <sheetName val="SCHEDULE-3B"/>
      <sheetName val="3.1.1"/>
      <sheetName val="3.1.4"/>
      <sheetName val="2.5.1"/>
      <sheetName val="4.1.1"/>
      <sheetName val="4.3.2"/>
      <sheetName val="2.3.3"/>
      <sheetName val="5.3.1"/>
      <sheetName val="2.4.3"/>
      <sheetName val="สรุป"/>
      <sheetName val="BASEMENT 06-L05"/>
      <sheetName val="OPTIONS"/>
      <sheetName val="BCB 0"/>
      <sheetName val="Repair Pivot"/>
      <sheetName val="Sheet10"/>
      <sheetName val="JOINT_DETAILS_ALL"/>
      <sheetName val="Data Base"/>
      <sheetName val="Nation"/>
      <sheetName val="Gráficos A"/>
      <sheetName val="Progress_%"/>
      <sheetName val="REC__SALV_"/>
      <sheetName val="WORK_INDEX"/>
      <sheetName val="Price_Summary_(1)"/>
      <sheetName val="Price_Summary_(2)"/>
      <sheetName val="Gráficos_A"/>
      <sheetName val="ST-Control Bldg."/>
      <sheetName val="TABLE1"/>
      <sheetName val="[SANDA6,31%5-3_외상집계4"/>
      <sheetName val="31%DAN.XLS]P_Clients_fac3____3"/>
      <sheetName val="31%DAN.XLS]P_Clients_fac3____2"/>
      <sheetName val="HARGA SATUAN UPAH PEKERJA"/>
      <sheetName val="MARKET SEGMENT - HOTEL"/>
      <sheetName val="Montok"/>
      <sheetName val="indeks"/>
      <sheetName val="Breakdown-CommSvc"/>
      <sheetName val="Breakdown-ConstrSvc"/>
      <sheetName val="Breakdown-EngSvc"/>
      <sheetName val="Breakdown-ProjMgtServ"/>
      <sheetName val="HSE"/>
      <sheetName val="Breakdown-ProcSvc"/>
      <sheetName val="DFTR GARDIST"/>
      <sheetName val="NAME1"/>
      <sheetName val="CODE2"/>
      <sheetName val="Inert Balls"/>
      <sheetName val="PLANT LIST"/>
      <sheetName val="Progress_Tables"/>
      <sheetName val="Analisa_ME"/>
      <sheetName val="Common (LOV)"/>
      <sheetName val="Shaft Seal Type (LOV)"/>
      <sheetName val="Item Type II (LOV)"/>
      <sheetName val="Design Code (LOV)"/>
      <sheetName val="2-1"/>
      <sheetName val="投资汇总"/>
      <sheetName val="MappingTable"/>
      <sheetName val="_______x00_2"/>
      <sheetName val="__x001b__x0006__1"/>
      <sheetName val="tj定额"/>
      <sheetName val="기초단가"/>
      <sheetName val="영흥TL(UP,DOWN) "/>
      <sheetName val="bill02"/>
      <sheetName val="B14-FINISHES"/>
      <sheetName val="Staff Acco."/>
      <sheetName val="Bill 04 - water supply tb "/>
      <sheetName val="Weather"/>
      <sheetName val="成本多栏明细账"/>
      <sheetName val="Calculation"/>
      <sheetName val="PAD-F"/>
      <sheetName val="LTG-STG"/>
      <sheetName val="FORM5"/>
      <sheetName val="Material Prices"/>
      <sheetName val="13-septic"/>
      <sheetName val="7-ug"/>
      <sheetName val="2-utility"/>
      <sheetName val="11-hsd"/>
      <sheetName val="18-misc"/>
      <sheetName val="5-pipe"/>
      <sheetName val="วัดใต้"/>
      <sheetName val="CCTV_EST1"/>
      <sheetName val="B-3"/>
      <sheetName val="B-2"/>
      <sheetName val="banilad"/>
      <sheetName val="Mactan"/>
      <sheetName val="Mandaue"/>
      <sheetName val="OLD PRICES"/>
      <sheetName val="3.Labour"/>
      <sheetName val="1.Material"/>
      <sheetName val="MMI"/>
      <sheetName val="2.Machinery"/>
      <sheetName val="QTY Pipe Laying"/>
      <sheetName val="지원시설 내역서(154kV)"/>
      <sheetName val="Form 㮸"/>
      <sheetName val="Form 푨"/>
      <sheetName val="Names&amp;Cases"/>
      <sheetName val="S &amp; A"/>
      <sheetName val="Bed Class"/>
      <sheetName val="Cd"/>
      <sheetName val="Civil Works"/>
      <sheetName val="Form 6"/>
      <sheetName val="Calca"/>
      <sheetName val="내역서_耰&quot;_x000011"/>
      <sheetName val="__x001b__x0006__2"/>
      <sheetName val="내역서_(N__x000e__x000e__x000e___1"/>
      <sheetName val="내역서_ᢐ_x001f_1"/>
      <sheetName val="쬏+쫶&amp;쫹AN.XLS]______x001f__x000_4"/>
      <sheetName val="쬏+쫶&amp;쫹AN.XLS]______x001f__x000_2"/>
      <sheetName val="쬏+쫶&amp;쫹AN.XLS]______x001f__x000_3"/>
      <sheetName val="내역서_耰&quot;17"/>
      <sheetName val="내역서_耰&quot;_x000012"/>
      <sheetName val="__x001b__x0006__3"/>
      <sheetName val="내역서_(N__x000e__x000e__x000e___2"/>
      <sheetName val="내역서_ᢐ_x001f_2"/>
      <sheetName val="내역서_耰&quot;_x005f_x0000__x0015"/>
      <sheetName val="내역서_耰&quot;_x005f_x005f_x00015"/>
      <sheetName val="내역서_耰&quot;_x005f_x005f_x00515"/>
      <sheetName val="내역서_耰&quot;_x005f_x0000__x0016"/>
      <sheetName val="내역서_耰&quot;_x005f_x005f_x00016"/>
      <sheetName val="내역서_耰&quot;_x005f_x005f_x00516"/>
      <sheetName val="R"/>
      <sheetName val="EL"/>
      <sheetName val="LE_Total(G_Summ Proj)"/>
      <sheetName val="COVERUSRP"/>
      <sheetName val="Sheet261"/>
      <sheetName val="Sheet269"/>
      <sheetName val="dftr harga"/>
      <sheetName val="hrg. sat pek"/>
      <sheetName val="prhit tulangan"/>
      <sheetName val="vol pek"/>
      <sheetName val="MHR-ANLIS"/>
      <sheetName val="SENSITIVITAS"/>
      <sheetName val="LAPORAN"/>
      <sheetName val="PipeTable"/>
      <sheetName val="Rekap per-JB"/>
      <sheetName val="div 6a"/>
      <sheetName val="Rekap(Usul)"/>
      <sheetName val="TBLSKILL"/>
      <sheetName val="DATA INDUK"/>
      <sheetName val="Rinc Sewa A2B versi kenaikan"/>
      <sheetName val=" DKM"/>
      <sheetName val="COP"/>
      <sheetName val="Abstract"/>
      <sheetName val="BCDPL Certified"/>
      <sheetName val="BT3-Package 05"/>
      <sheetName val="BOQ-Civil"/>
      <sheetName val="BCDPL_Certified"/>
      <sheetName val="Old_Bars"/>
      <sheetName val="NPV"/>
      <sheetName val="DropList"/>
      <sheetName val="SPIR2"/>
      <sheetName val="건축내역서"/>
      <sheetName val="설비내역서"/>
      <sheetName val="전기내역서"/>
      <sheetName val="5사남"/>
      <sheetName val="dg-VTu"/>
      <sheetName val="내역서_(N____33"/>
      <sheetName val="PROG_1"/>
      <sheetName val="DIV_33"/>
      <sheetName val="내역서_(N____34"/>
      <sheetName val="1)_COMMON_FACILITIES2"/>
      <sheetName val="Dia_Inch1"/>
      <sheetName val="3_6M_RETAINING_WALL1"/>
      <sheetName val="Material_Groups1"/>
      <sheetName val="Material_Kind1"/>
      <sheetName val="Committed_Cost1"/>
      <sheetName val="첨부_#8_기자재_Cost_Summary1"/>
      <sheetName val="Div26_-_Elect1"/>
      <sheetName val="Bored_Pile1"/>
      <sheetName val="03-13_Anticipated1"/>
      <sheetName val="03-13_Approved1"/>
      <sheetName val="간접비_총괄표1"/>
      <sheetName val="04_09_19_Mufqi(2)1"/>
      <sheetName val="04_09_19_Winda(2)1"/>
      <sheetName val="Mufqi_29_08_191"/>
      <sheetName val="Ade_30_08_191"/>
      <sheetName val="Pramudibyo_30_08_191"/>
      <sheetName val="Aji_02_09_191"/>
      <sheetName val="Diah_02_09_191"/>
      <sheetName val="_09_191"/>
      <sheetName val="Breakdown_Instrument1"/>
      <sheetName val="Hujan_BUlanan1"/>
      <sheetName val="Issue_Log_1"/>
      <sheetName val="JP-I_5001551"/>
      <sheetName val="2__Steel_Structural1"/>
      <sheetName val="Unit_of_Measurement_1"/>
      <sheetName val="Risk_Variables1"/>
      <sheetName val="BOQ_LIST1"/>
      <sheetName val="Basic_Rate2"/>
      <sheetName val="앉음벽_(2)1"/>
      <sheetName val="5_새들부해석_및_철근배근1"/>
      <sheetName val="Executive_Summary_(Aug_25)1"/>
      <sheetName val="Named_Range1"/>
      <sheetName val="Floor_Level1"/>
      <sheetName val="19__drill_CD61"/>
      <sheetName val="MASTER_AR1"/>
      <sheetName val="P_M_별1"/>
      <sheetName val="01A__RAB1"/>
      <sheetName val="53_1"/>
      <sheetName val="MH_CIVIL1"/>
      <sheetName val="DIV_22"/>
      <sheetName val="DIV_71"/>
      <sheetName val="DIV_82"/>
      <sheetName val="DIV_34"/>
      <sheetName val="Rek_An1"/>
      <sheetName val="Rencana_Anggaran_Biaya1"/>
      <sheetName val="8&gt;한국인수당_(Master_file)1"/>
      <sheetName val="Calc_Sheet1"/>
      <sheetName val="Subcon_Rate1"/>
      <sheetName val="Sewa_Alat1"/>
      <sheetName val="BQ_ARS1"/>
      <sheetName val="DAFTAR_ISI1"/>
      <sheetName val="DAFTAR_TBL___FORM1"/>
      <sheetName val="Harga_ME_1"/>
      <sheetName val="Form_4___4_A1"/>
      <sheetName val="T-3_2_UP_Material1"/>
      <sheetName val="Analisa_STR1"/>
      <sheetName val="anal_alat1"/>
      <sheetName val="Cycle_Time1"/>
      <sheetName val="Daf_11"/>
      <sheetName val="RAB_J18_1"/>
      <sheetName val="HARGA_J181"/>
      <sheetName val="analisa_J181"/>
      <sheetName val="Cash_Out_Table1"/>
      <sheetName val="Net_Cash_Table1"/>
      <sheetName val="Data_SRL1"/>
      <sheetName val="Data_Prod_Graf1"/>
      <sheetName val="Unit_Rate1"/>
      <sheetName val="D-3_(M)1"/>
      <sheetName val="D-7_(M)1"/>
      <sheetName val="01A-_RAB1"/>
      <sheetName val="AP_'S_ANALYSIS1"/>
      <sheetName val="H__Dasar1"/>
      <sheetName val="HRG_BH1"/>
      <sheetName val="CHITIET_VL-NC-TT_-1p1"/>
      <sheetName val="TONG_HOP_VL-NC1"/>
      <sheetName val="TONGKE3p_1"/>
      <sheetName val="DON_GIA1"/>
      <sheetName val="t-h_HA_THE1"/>
      <sheetName val="THPDMoi__(2)1"/>
      <sheetName val="TONG_HOP_VL-NC_TT1"/>
      <sheetName val="TH_XL1"/>
      <sheetName val="CHITIET_VL-NC1"/>
      <sheetName val="HARGA_SAT1"/>
      <sheetName val="23_FILTH_1"/>
      <sheetName val="02_01E_coli1"/>
      <sheetName val="Deliverable_list1"/>
      <sheetName val="member_design1"/>
      <sheetName val="Data_basic_price_jgan_diprint1"/>
      <sheetName val="anal_rab1"/>
      <sheetName val="Pivot_Table1"/>
      <sheetName val="PBAC_budget1"/>
      <sheetName val="환경기계공정표_(3)1"/>
      <sheetName val="Issue_Detail_(2nd_Stage)1"/>
      <sheetName val="rekap_harga_satuan_pek1"/>
      <sheetName val="rab_j171"/>
      <sheetName val="_anal_hrg_sat1"/>
      <sheetName val="RAB_KapukII1"/>
      <sheetName val="Ca_máy1"/>
      <sheetName val="Cước_VC_+_ĐM_CP_Tư_vấn1"/>
      <sheetName val="Dự_toán1"/>
      <sheetName val="Đơn_Giá_TH1"/>
      <sheetName val="Nhân_công1"/>
      <sheetName val="Phân_tích1"/>
      <sheetName val="Hệ_số1"/>
      <sheetName val="C_P_Thiết_bị1"/>
      <sheetName val="T_H_Kinh_phí1"/>
      <sheetName val="Vật_tư1"/>
      <sheetName val="Trang_bìa1"/>
      <sheetName val="Riesgos_y_Oportunidades1"/>
      <sheetName val="첨부2__물량소화계획_상세1"/>
      <sheetName val="Project_Information_In-Out1"/>
      <sheetName val="TOWER_12TON1"/>
      <sheetName val="TOWER_10TON1"/>
      <sheetName val="Cover_(sh_1)1"/>
      <sheetName val="A2-1-S-Curve and MP histogram"/>
      <sheetName val="A6-Registre Gest des risques"/>
      <sheetName val="4. S_Overall Precom &amp; Comm"/>
      <sheetName val="ENQ222394AL_NASR_Steel_Report2"/>
      <sheetName val="Dynamic_Query2"/>
      <sheetName val="FPF-Unit_Rates1"/>
      <sheetName val="PNT-Unit_Rates1"/>
      <sheetName val="AK-2004 (2)"/>
      <sheetName val="Est"/>
      <sheetName val="수량이동"/>
      <sheetName val="CEO혁신회의_r2"/>
      <sheetName val="KABULLER.XLS"/>
      <sheetName val="CCS"/>
      <sheetName val="Environment"/>
      <sheetName val="TIPO 1"/>
      <sheetName val="DPres Calc"/>
      <sheetName val="DTmpData"/>
      <sheetName val="Datas"/>
      <sheetName val="Tab_mot"/>
      <sheetName val="Power balance"/>
      <sheetName val="EAIGESEN"/>
      <sheetName val="2  "/>
      <sheetName val="내역서_(N___ 10"/>
      <sheetName val="_ ____ _"/>
      <sheetName val="Weekl__ _"/>
      <sheetName val="_ __x0"/>
      <sheetName val="선택 속성(잠금)"/>
      <sheetName val="Условия"/>
      <sheetName val="磨煤加压"/>
      <sheetName val="[SAND_x000f__x000f_»¿ª¼­ (CIVIL-7)"/>
      <sheetName val="_____x005f_x005f_x005f_x005f_x005f_x005f_x005f_x005f__2"/>
      <sheetName val="_______x005f_x005f_x005f_x005f_x005f_x005f_x005_2"/>
      <sheetName val="_x005f_x005f_x005f_x005f_x005f_x005f_x005f_x005f_x005_2"/>
      <sheetName val="PL_USD_Aver.Eligible Vendor"/>
      <sheetName val="Table-3"/>
      <sheetName val="PLANILLA FINAL"/>
      <sheetName val="表J7工程量计算表(总图)"/>
      <sheetName val="Status_Sub_System"/>
      <sheetName val="List__Flange"/>
      <sheetName val="เขตการค้าย่อย"/>
      <sheetName val="[SANDA6,31%"/>
      <sheetName val="31%"/>
      <sheetName val="[SAND"/>
      <sheetName val="주관사업"/>
      <sheetName val="Control Network Install"/>
      <sheetName val="Control Network Supply"/>
      <sheetName val="Elec Install"/>
      <sheetName val="Inst Install"/>
      <sheetName val="XDO_HIDDEN"/>
      <sheetName val="Takeoff"/>
      <sheetName val="人员动迁计划"/>
      <sheetName val="Sheet243"/>
      <sheetName val="내역서_(N _x000e__x000e__x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sheetData sheetId="649"/>
      <sheetData sheetId="650" refreshError="1"/>
      <sheetData sheetId="651" refreshError="1"/>
      <sheetData sheetId="652"/>
      <sheetData sheetId="653"/>
      <sheetData sheetId="654" refreshError="1"/>
      <sheetData sheetId="655" refreshError="1"/>
      <sheetData sheetId="656" refreshError="1"/>
      <sheetData sheetId="657" refreshError="1"/>
      <sheetData sheetId="658" refreshError="1"/>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refreshError="1"/>
      <sheetData sheetId="794" refreshError="1"/>
      <sheetData sheetId="795" refreshError="1"/>
      <sheetData sheetId="796" refreshError="1"/>
      <sheetData sheetId="797"/>
      <sheetData sheetId="798" refreshError="1"/>
      <sheetData sheetId="799" refreshError="1"/>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refreshError="1"/>
      <sheetData sheetId="829" refreshError="1"/>
      <sheetData sheetId="830" refreshError="1"/>
      <sheetData sheetId="831" refreshError="1"/>
      <sheetData sheetId="832" refreshError="1"/>
      <sheetData sheetId="833" refreshError="1"/>
      <sheetData sheetId="834"/>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sheetData sheetId="936"/>
      <sheetData sheetId="937"/>
      <sheetData sheetId="938"/>
      <sheetData sheetId="939"/>
      <sheetData sheetId="940" refreshError="1"/>
      <sheetData sheetId="941" refreshError="1"/>
      <sheetData sheetId="942" refreshError="1"/>
      <sheetData sheetId="943"/>
      <sheetData sheetId="944"/>
      <sheetData sheetId="945" refreshError="1"/>
      <sheetData sheetId="946" refreshError="1"/>
      <sheetData sheetId="947" refreshError="1"/>
      <sheetData sheetId="948" refreshError="1"/>
      <sheetData sheetId="949"/>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refreshError="1"/>
      <sheetData sheetId="960" refreshError="1"/>
      <sheetData sheetId="961" refreshError="1"/>
      <sheetData sheetId="962" refreshError="1"/>
      <sheetData sheetId="963" refreshError="1"/>
      <sheetData sheetId="964" refreshError="1"/>
      <sheetData sheetId="965"/>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sheetData sheetId="978" refreshError="1"/>
      <sheetData sheetId="979"/>
      <sheetData sheetId="980"/>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sheetData sheetId="1293"/>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sheetData sheetId="1336"/>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refreshError="1"/>
      <sheetData sheetId="1620" refreshError="1"/>
      <sheetData sheetId="1621" refreshError="1"/>
      <sheetData sheetId="1622" refreshError="1"/>
      <sheetData sheetId="1623" refreshError="1"/>
      <sheetData sheetId="1624" refreshError="1"/>
      <sheetData sheetId="1625"/>
      <sheetData sheetId="1626" refreshError="1"/>
      <sheetData sheetId="1627" refreshError="1"/>
      <sheetData sheetId="1628" refreshError="1"/>
      <sheetData sheetId="1629" refreshError="1"/>
      <sheetData sheetId="1630" refreshError="1"/>
      <sheetData sheetId="1631" refreshError="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refreshError="1"/>
      <sheetData sheetId="1917" refreshError="1"/>
      <sheetData sheetId="1918"/>
      <sheetData sheetId="1919"/>
      <sheetData sheetId="1920"/>
      <sheetData sheetId="1921"/>
      <sheetData sheetId="1922"/>
      <sheetData sheetId="1923"/>
      <sheetData sheetId="1924"/>
      <sheetData sheetId="1925"/>
      <sheetData sheetId="1926"/>
      <sheetData sheetId="1927"/>
      <sheetData sheetId="1928"/>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sheetData sheetId="1939"/>
      <sheetData sheetId="1940"/>
      <sheetData sheetId="194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sheetData sheetId="1958" refreshError="1"/>
      <sheetData sheetId="1959" refreshError="1"/>
      <sheetData sheetId="1960" refreshError="1"/>
      <sheetData sheetId="1961"/>
      <sheetData sheetId="1962" refreshError="1"/>
      <sheetData sheetId="1963" refreshError="1"/>
      <sheetData sheetId="1964"/>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sheetData sheetId="1979"/>
      <sheetData sheetId="1980"/>
      <sheetData sheetId="1981" refreshError="1"/>
      <sheetData sheetId="1982" refreshError="1"/>
      <sheetData sheetId="1983" refreshError="1"/>
      <sheetData sheetId="1984" refreshError="1"/>
      <sheetData sheetId="1985" refreshError="1"/>
      <sheetData sheetId="1986" refreshError="1"/>
      <sheetData sheetId="1987"/>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sheetData sheetId="2176"/>
      <sheetData sheetId="2177" refreshError="1"/>
      <sheetData sheetId="2178" refreshError="1"/>
      <sheetData sheetId="2179" refreshError="1"/>
      <sheetData sheetId="2180" refreshError="1"/>
      <sheetData sheetId="2181" refreshError="1"/>
      <sheetData sheetId="2182" refreshError="1"/>
      <sheetData sheetId="2183"/>
      <sheetData sheetId="2184" refreshError="1"/>
      <sheetData sheetId="2185" refreshError="1"/>
      <sheetData sheetId="2186" refreshError="1"/>
      <sheetData sheetId="2187" refreshError="1"/>
      <sheetData sheetId="2188" refreshError="1"/>
      <sheetData sheetId="2189" refreshError="1"/>
      <sheetData sheetId="2190" refreshError="1"/>
      <sheetData sheetId="219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sheetData sheetId="2211" refreshError="1"/>
      <sheetData sheetId="2212" refreshError="1"/>
      <sheetData sheetId="2213" refreshError="1"/>
      <sheetData sheetId="2214" refreshError="1"/>
      <sheetData sheetId="2215" refreshError="1"/>
      <sheetData sheetId="2216" refreshError="1"/>
      <sheetData sheetId="2217"/>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sheetData sheetId="2238"/>
      <sheetData sheetId="2239"/>
      <sheetData sheetId="2240"/>
      <sheetData sheetId="2241"/>
      <sheetData sheetId="2242" refreshError="1"/>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refreshError="1"/>
      <sheetData sheetId="2259" refreshError="1"/>
      <sheetData sheetId="2260"/>
      <sheetData sheetId="2261" refreshError="1"/>
      <sheetData sheetId="2262" refreshError="1"/>
      <sheetData sheetId="2263" refreshError="1"/>
      <sheetData sheetId="2264" refreshError="1"/>
      <sheetData sheetId="2265"/>
      <sheetData sheetId="2266" refreshError="1"/>
      <sheetData sheetId="2267" refreshError="1"/>
      <sheetData sheetId="2268" refreshError="1"/>
      <sheetData sheetId="2269" refreshError="1"/>
      <sheetData sheetId="2270" refreshError="1"/>
      <sheetData sheetId="2271"/>
      <sheetData sheetId="2272" refreshError="1"/>
      <sheetData sheetId="2273" refreshError="1"/>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sheetData sheetId="2496" refreshError="1"/>
      <sheetData sheetId="2497"/>
      <sheetData sheetId="2498" refreshError="1"/>
      <sheetData sheetId="2499" refreshError="1"/>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refreshError="1"/>
      <sheetData sheetId="2629"/>
      <sheetData sheetId="2630"/>
      <sheetData sheetId="2631"/>
      <sheetData sheetId="2632"/>
      <sheetData sheetId="2633" refreshError="1"/>
      <sheetData sheetId="2634" refreshError="1"/>
      <sheetData sheetId="2635"/>
      <sheetData sheetId="2636"/>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sheetData sheetId="2647" refreshError="1"/>
      <sheetData sheetId="2648" refreshError="1"/>
      <sheetData sheetId="2649" refreshError="1"/>
      <sheetData sheetId="2650"/>
      <sheetData sheetId="2651" refreshError="1"/>
      <sheetData sheetId="2652"/>
      <sheetData sheetId="2653"/>
      <sheetData sheetId="2654"/>
      <sheetData sheetId="2655"/>
      <sheetData sheetId="2656"/>
      <sheetData sheetId="2657"/>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refreshError="1"/>
      <sheetData sheetId="2685" refreshError="1"/>
      <sheetData sheetId="2686"/>
      <sheetData sheetId="2687"/>
      <sheetData sheetId="2688"/>
      <sheetData sheetId="2689"/>
      <sheetData sheetId="2690"/>
      <sheetData sheetId="2691"/>
      <sheetData sheetId="2692"/>
      <sheetData sheetId="2693"/>
      <sheetData sheetId="2694"/>
      <sheetData sheetId="2695"/>
      <sheetData sheetId="2696" refreshError="1"/>
      <sheetData sheetId="2697"/>
      <sheetData sheetId="2698"/>
      <sheetData sheetId="2699"/>
      <sheetData sheetId="2700" refreshError="1"/>
      <sheetData sheetId="2701"/>
      <sheetData sheetId="2702"/>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sheetData sheetId="2743"/>
      <sheetData sheetId="2744"/>
      <sheetData sheetId="2745"/>
      <sheetData sheetId="2746"/>
      <sheetData sheetId="2747" refreshError="1"/>
      <sheetData sheetId="2748" refreshError="1"/>
      <sheetData sheetId="2749" refreshError="1"/>
      <sheetData sheetId="2750" refreshError="1"/>
      <sheetData sheetId="2751" refreshError="1"/>
      <sheetData sheetId="2752"/>
      <sheetData sheetId="2753" refreshError="1"/>
      <sheetData sheetId="2754"/>
      <sheetData sheetId="2755"/>
      <sheetData sheetId="2756"/>
      <sheetData sheetId="2757"/>
      <sheetData sheetId="2758" refreshError="1"/>
      <sheetData sheetId="2759" refreshError="1"/>
      <sheetData sheetId="2760"/>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refreshError="1"/>
      <sheetData sheetId="3319"/>
      <sheetData sheetId="3320" refreshError="1"/>
      <sheetData sheetId="3321" refreshError="1"/>
      <sheetData sheetId="3322"/>
      <sheetData sheetId="3323"/>
      <sheetData sheetId="3324"/>
      <sheetData sheetId="3325"/>
      <sheetData sheetId="3326" refreshError="1"/>
      <sheetData sheetId="3327" refreshError="1"/>
      <sheetData sheetId="3328" refreshError="1"/>
      <sheetData sheetId="3329"/>
      <sheetData sheetId="3330"/>
      <sheetData sheetId="3331"/>
      <sheetData sheetId="3332"/>
      <sheetData sheetId="3333"/>
      <sheetData sheetId="3334"/>
      <sheetData sheetId="3335"/>
      <sheetData sheetId="3336"/>
      <sheetData sheetId="3337"/>
      <sheetData sheetId="3338" refreshError="1"/>
      <sheetData sheetId="3339"/>
      <sheetData sheetId="3340" refreshError="1"/>
      <sheetData sheetId="3341" refreshError="1"/>
      <sheetData sheetId="3342" refreshError="1"/>
      <sheetData sheetId="3343" refreshError="1"/>
      <sheetData sheetId="3344" refreshError="1"/>
      <sheetData sheetId="3345"/>
      <sheetData sheetId="3346"/>
      <sheetData sheetId="3347"/>
      <sheetData sheetId="3348"/>
      <sheetData sheetId="3349"/>
      <sheetData sheetId="3350"/>
      <sheetData sheetId="3351"/>
      <sheetData sheetId="3352"/>
      <sheetData sheetId="3353"/>
      <sheetData sheetId="3354" refreshError="1"/>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refreshError="1"/>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refreshError="1"/>
      <sheetData sheetId="3403" refreshError="1"/>
      <sheetData sheetId="3404" refreshError="1"/>
      <sheetData sheetId="3405" refreshError="1"/>
      <sheetData sheetId="3406" refreshError="1"/>
      <sheetData sheetId="3407"/>
      <sheetData sheetId="3408" refreshError="1"/>
      <sheetData sheetId="3409"/>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sheetData sheetId="3422"/>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sheetData sheetId="3434"/>
      <sheetData sheetId="3435"/>
      <sheetData sheetId="3436"/>
      <sheetData sheetId="3437"/>
      <sheetData sheetId="3438" refreshError="1"/>
      <sheetData sheetId="3439" refreshError="1"/>
      <sheetData sheetId="3440" refreshError="1"/>
      <sheetData sheetId="3441"/>
      <sheetData sheetId="3442"/>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sheetData sheetId="3608"/>
      <sheetData sheetId="3609"/>
      <sheetData sheetId="3610"/>
      <sheetData sheetId="3611"/>
      <sheetData sheetId="3612"/>
      <sheetData sheetId="3613"/>
      <sheetData sheetId="3614"/>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sheetData sheetId="3701" refreshError="1"/>
      <sheetData sheetId="3702" refreshError="1"/>
      <sheetData sheetId="3703" refreshError="1"/>
      <sheetData sheetId="3704" refreshError="1"/>
      <sheetData sheetId="3705"/>
      <sheetData sheetId="3706"/>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refreshError="1"/>
      <sheetData sheetId="3966" refreshError="1"/>
      <sheetData sheetId="3967" refreshError="1"/>
      <sheetData sheetId="3968" refreshError="1"/>
      <sheetData sheetId="3969" refreshError="1"/>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refreshError="1"/>
      <sheetData sheetId="4155" refreshError="1"/>
      <sheetData sheetId="4156" refreshError="1"/>
      <sheetData sheetId="4157" refreshError="1"/>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sheetData sheetId="4350" refreshError="1"/>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refreshError="1"/>
      <sheetData sheetId="4657"/>
      <sheetData sheetId="4658" refreshError="1"/>
      <sheetData sheetId="4659" refreshError="1"/>
      <sheetData sheetId="4660" refreshError="1"/>
      <sheetData sheetId="4661" refreshError="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sheetData sheetId="5347"/>
      <sheetData sheetId="5348" refreshError="1"/>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sheetData sheetId="5597"/>
      <sheetData sheetId="5598"/>
      <sheetData sheetId="5599"/>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sheetData sheetId="5612"/>
      <sheetData sheetId="5613"/>
      <sheetData sheetId="5614"/>
      <sheetData sheetId="5615"/>
      <sheetData sheetId="5616"/>
      <sheetData sheetId="5617"/>
      <sheetData sheetId="5618"/>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sheetData sheetId="5653"/>
      <sheetData sheetId="5654"/>
      <sheetData sheetId="5655"/>
      <sheetData sheetId="5656"/>
      <sheetData sheetId="5657"/>
      <sheetData sheetId="5658" refreshError="1"/>
      <sheetData sheetId="5659" refreshError="1"/>
      <sheetData sheetId="5660" refreshError="1"/>
      <sheetData sheetId="5661"/>
      <sheetData sheetId="5662"/>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sheetData sheetId="5708"/>
      <sheetData sheetId="5709"/>
      <sheetData sheetId="5710"/>
      <sheetData sheetId="5711"/>
      <sheetData sheetId="5712"/>
      <sheetData sheetId="5713" refreshError="1"/>
      <sheetData sheetId="5714" refreshError="1"/>
      <sheetData sheetId="5715"/>
      <sheetData sheetId="5716" refreshError="1"/>
      <sheetData sheetId="5717" refreshError="1"/>
      <sheetData sheetId="5718" refreshError="1"/>
      <sheetData sheetId="5719" refreshError="1"/>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refreshError="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sheetData sheetId="6054" refreshError="1"/>
      <sheetData sheetId="6055" refreshError="1"/>
      <sheetData sheetId="6056" refreshError="1"/>
      <sheetData sheetId="6057"/>
      <sheetData sheetId="6058" refreshError="1"/>
      <sheetData sheetId="6059"/>
      <sheetData sheetId="6060"/>
      <sheetData sheetId="6061"/>
      <sheetData sheetId="6062"/>
      <sheetData sheetId="6063"/>
      <sheetData sheetId="6064"/>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sheetData sheetId="6103"/>
      <sheetData sheetId="6104"/>
      <sheetData sheetId="6105"/>
      <sheetData sheetId="6106"/>
      <sheetData sheetId="6107"/>
      <sheetData sheetId="6108"/>
      <sheetData sheetId="6109"/>
      <sheetData sheetId="6110"/>
      <sheetData sheetId="6111"/>
      <sheetData sheetId="6112" refreshError="1"/>
      <sheetData sheetId="6113"/>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sheetData sheetId="6204" refreshError="1"/>
      <sheetData sheetId="6205" refreshError="1"/>
      <sheetData sheetId="6206" refreshError="1"/>
      <sheetData sheetId="6207" refreshError="1"/>
      <sheetData sheetId="6208" refreshError="1"/>
      <sheetData sheetId="6209" refreshError="1"/>
      <sheetData sheetId="6210" refreshError="1"/>
      <sheetData sheetId="621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refreshError="1"/>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sheetData sheetId="8318"/>
      <sheetData sheetId="8319"/>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refreshError="1"/>
      <sheetData sheetId="9121" refreshError="1"/>
      <sheetData sheetId="9122" refreshError="1"/>
      <sheetData sheetId="9123" refreshError="1"/>
      <sheetData sheetId="9124" refreshError="1"/>
      <sheetData sheetId="9125" refreshError="1"/>
      <sheetData sheetId="9126" refreshError="1"/>
      <sheetData sheetId="9127"/>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sheetData sheetId="9197"/>
      <sheetData sheetId="9198"/>
      <sheetData sheetId="9199"/>
      <sheetData sheetId="9200"/>
      <sheetData sheetId="9201" refreshError="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refreshError="1"/>
      <sheetData sheetId="9283" refreshError="1"/>
      <sheetData sheetId="9284" refreshError="1"/>
      <sheetData sheetId="9285" refreshError="1"/>
      <sheetData sheetId="9286" refreshError="1"/>
      <sheetData sheetId="9287"/>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sheetData sheetId="9297"/>
      <sheetData sheetId="9298"/>
      <sheetData sheetId="9299"/>
      <sheetData sheetId="9300"/>
      <sheetData sheetId="9301"/>
      <sheetData sheetId="9302" refreshError="1"/>
      <sheetData sheetId="9303" refreshError="1"/>
      <sheetData sheetId="9304" refreshError="1"/>
      <sheetData sheetId="9305" refreshError="1"/>
      <sheetData sheetId="9306" refreshError="1"/>
      <sheetData sheetId="9307" refreshError="1"/>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sheetData sheetId="9398"/>
      <sheetData sheetId="9399"/>
      <sheetData sheetId="9400"/>
      <sheetData sheetId="940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sheetData sheetId="9415"/>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sheetData sheetId="9553"/>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sheetData sheetId="9763"/>
      <sheetData sheetId="9764"/>
      <sheetData sheetId="9765"/>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refreshError="1"/>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sheetData sheetId="9881"/>
      <sheetData sheetId="9882"/>
      <sheetData sheetId="9883" refreshError="1"/>
      <sheetData sheetId="9884" refreshError="1"/>
      <sheetData sheetId="9885" refreshError="1"/>
      <sheetData sheetId="9886" refreshError="1"/>
      <sheetData sheetId="9887" refreshError="1"/>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refreshError="1"/>
      <sheetData sheetId="10780"/>
      <sheetData sheetId="10781"/>
      <sheetData sheetId="10782" refreshError="1"/>
      <sheetData sheetId="10783"/>
      <sheetData sheetId="10784" refreshError="1"/>
      <sheetData sheetId="10785" refreshError="1"/>
      <sheetData sheetId="10786" refreshError="1"/>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refreshError="1"/>
      <sheetData sheetId="10828" refreshError="1"/>
      <sheetData sheetId="10829" refreshError="1"/>
      <sheetData sheetId="10830" refreshError="1"/>
      <sheetData sheetId="10831" refreshError="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sheetData sheetId="11092"/>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sheetData sheetId="11134"/>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sheetData sheetId="11146"/>
      <sheetData sheetId="11147"/>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sheetData sheetId="11229"/>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sheetData sheetId="11303"/>
      <sheetData sheetId="11304"/>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sheetData sheetId="11333"/>
      <sheetData sheetId="11334"/>
      <sheetData sheetId="11335" refreshError="1"/>
      <sheetData sheetId="11336"/>
      <sheetData sheetId="11337"/>
      <sheetData sheetId="11338"/>
      <sheetData sheetId="11339"/>
      <sheetData sheetId="11340"/>
      <sheetData sheetId="11341"/>
      <sheetData sheetId="11342"/>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refreshError="1"/>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refreshError="1"/>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efreshError="1"/>
      <sheetData sheetId="12477" refreshError="1"/>
      <sheetData sheetId="12478"/>
      <sheetData sheetId="12479"/>
      <sheetData sheetId="12480" refreshError="1"/>
      <sheetData sheetId="12481" refreshError="1"/>
      <sheetData sheetId="12482" refreshError="1"/>
      <sheetData sheetId="12483"/>
      <sheetData sheetId="12484"/>
      <sheetData sheetId="12485"/>
      <sheetData sheetId="12486" refreshError="1"/>
      <sheetData sheetId="12487" refreshError="1"/>
      <sheetData sheetId="12488" refreshError="1"/>
      <sheetData sheetId="12489" refreshError="1"/>
      <sheetData sheetId="12490" refreshError="1"/>
      <sheetData sheetId="12491" refreshError="1"/>
      <sheetData sheetId="12492"/>
      <sheetData sheetId="12493"/>
      <sheetData sheetId="12494"/>
      <sheetData sheetId="12495"/>
      <sheetData sheetId="12496"/>
      <sheetData sheetId="12497" refreshError="1"/>
      <sheetData sheetId="12498" refreshError="1"/>
      <sheetData sheetId="12499"/>
      <sheetData sheetId="12500"/>
      <sheetData sheetId="12501" refreshError="1"/>
      <sheetData sheetId="12502" refreshError="1"/>
      <sheetData sheetId="12503" refreshError="1"/>
      <sheetData sheetId="12504"/>
      <sheetData sheetId="12505"/>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sheetData sheetId="12531"/>
      <sheetData sheetId="12532"/>
      <sheetData sheetId="12533"/>
      <sheetData sheetId="12534"/>
      <sheetData sheetId="12535" refreshError="1"/>
      <sheetData sheetId="12536" refreshError="1"/>
      <sheetData sheetId="12537" refreshError="1"/>
      <sheetData sheetId="12538"/>
      <sheetData sheetId="12539" refreshError="1"/>
      <sheetData sheetId="12540" refreshError="1"/>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refreshError="1"/>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sheetData sheetId="12755"/>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sheetData sheetId="12784"/>
      <sheetData sheetId="12785"/>
      <sheetData sheetId="12786" refreshError="1"/>
      <sheetData sheetId="12787" refreshError="1"/>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refreshError="1"/>
      <sheetData sheetId="12804" refreshError="1"/>
      <sheetData sheetId="12805"/>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sheetData sheetId="12819"/>
      <sheetData sheetId="12820"/>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sheetData sheetId="12831" refreshError="1"/>
      <sheetData sheetId="12832"/>
      <sheetData sheetId="12833" refreshError="1"/>
      <sheetData sheetId="12834" refreshError="1"/>
      <sheetData sheetId="12835"/>
      <sheetData sheetId="12836"/>
      <sheetData sheetId="12837"/>
      <sheetData sheetId="12838"/>
      <sheetData sheetId="12839"/>
      <sheetData sheetId="12840"/>
      <sheetData sheetId="12841"/>
      <sheetData sheetId="12842"/>
      <sheetData sheetId="12843"/>
      <sheetData sheetId="12844"/>
      <sheetData sheetId="12845"/>
      <sheetData sheetId="12846" refreshError="1"/>
      <sheetData sheetId="12847"/>
      <sheetData sheetId="12848"/>
      <sheetData sheetId="12849"/>
      <sheetData sheetId="12850"/>
      <sheetData sheetId="12851" refreshError="1"/>
      <sheetData sheetId="12852" refreshError="1"/>
      <sheetData sheetId="12853"/>
      <sheetData sheetId="12854"/>
      <sheetData sheetId="12855"/>
      <sheetData sheetId="12856"/>
      <sheetData sheetId="12857"/>
      <sheetData sheetId="12858"/>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sheetData sheetId="12979" refreshError="1"/>
      <sheetData sheetId="12980" refreshError="1"/>
      <sheetData sheetId="12981"/>
      <sheetData sheetId="12982"/>
      <sheetData sheetId="12983"/>
      <sheetData sheetId="12984"/>
      <sheetData sheetId="12985"/>
      <sheetData sheetId="12986"/>
      <sheetData sheetId="12987"/>
      <sheetData sheetId="12988"/>
      <sheetData sheetId="12989"/>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sheetData sheetId="13001"/>
      <sheetData sheetId="13002" refreshError="1"/>
      <sheetData sheetId="13003" refreshError="1"/>
      <sheetData sheetId="13004" refreshError="1"/>
      <sheetData sheetId="13005" refreshError="1"/>
      <sheetData sheetId="13006" refreshError="1"/>
      <sheetData sheetId="13007"/>
      <sheetData sheetId="13008" refreshError="1"/>
      <sheetData sheetId="13009" refreshError="1"/>
      <sheetData sheetId="13010"/>
      <sheetData sheetId="13011"/>
      <sheetData sheetId="13012"/>
      <sheetData sheetId="13013"/>
      <sheetData sheetId="13014"/>
      <sheetData sheetId="13015"/>
      <sheetData sheetId="13016"/>
      <sheetData sheetId="13017"/>
      <sheetData sheetId="13018"/>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sheetData sheetId="13112"/>
      <sheetData sheetId="13113"/>
      <sheetData sheetId="13114"/>
      <sheetData sheetId="13115"/>
      <sheetData sheetId="13116"/>
      <sheetData sheetId="13117"/>
      <sheetData sheetId="13118"/>
      <sheetData sheetId="13119"/>
      <sheetData sheetId="13120"/>
      <sheetData sheetId="13121"/>
      <sheetData sheetId="13122"/>
      <sheetData sheetId="13123"/>
      <sheetData sheetId="13124"/>
      <sheetData sheetId="13125"/>
      <sheetData sheetId="13126"/>
      <sheetData sheetId="13127"/>
      <sheetData sheetId="13128"/>
      <sheetData sheetId="13129"/>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sheetData sheetId="13968"/>
      <sheetData sheetId="13969"/>
      <sheetData sheetId="13970"/>
      <sheetData sheetId="13971" refreshError="1"/>
      <sheetData sheetId="13972" refreshError="1"/>
      <sheetData sheetId="13973" refreshError="1"/>
      <sheetData sheetId="13974"/>
      <sheetData sheetId="13975"/>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sheetData sheetId="13994" refreshError="1"/>
      <sheetData sheetId="13995"/>
      <sheetData sheetId="13996" refreshError="1"/>
      <sheetData sheetId="13997" refreshError="1"/>
      <sheetData sheetId="13998"/>
      <sheetData sheetId="13999"/>
      <sheetData sheetId="14000"/>
      <sheetData sheetId="14001"/>
      <sheetData sheetId="14002" refreshError="1"/>
      <sheetData sheetId="14003"/>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sheetData sheetId="14015"/>
      <sheetData sheetId="14016"/>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sheetData sheetId="14050"/>
      <sheetData sheetId="14051"/>
      <sheetData sheetId="14052"/>
      <sheetData sheetId="14053"/>
      <sheetData sheetId="14054"/>
      <sheetData sheetId="14055"/>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refreshError="1"/>
      <sheetData sheetId="14090" refreshError="1"/>
      <sheetData sheetId="14091"/>
      <sheetData sheetId="14092"/>
      <sheetData sheetId="14093"/>
      <sheetData sheetId="14094"/>
      <sheetData sheetId="14095"/>
      <sheetData sheetId="14096"/>
      <sheetData sheetId="14097"/>
      <sheetData sheetId="14098"/>
      <sheetData sheetId="14099"/>
      <sheetData sheetId="14100" refreshError="1"/>
      <sheetData sheetId="14101" refreshError="1"/>
      <sheetData sheetId="14102" refreshError="1"/>
      <sheetData sheetId="14103" refreshError="1"/>
      <sheetData sheetId="14104" refreshError="1"/>
      <sheetData sheetId="14105"/>
      <sheetData sheetId="14106"/>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refreshError="1"/>
      <sheetData sheetId="14157" refreshError="1"/>
      <sheetData sheetId="14158" refreshError="1"/>
      <sheetData sheetId="14159" refreshError="1"/>
      <sheetData sheetId="14160" refreshError="1"/>
      <sheetData sheetId="14161" refreshError="1"/>
      <sheetData sheetId="14162"/>
      <sheetData sheetId="14163"/>
      <sheetData sheetId="14164"/>
      <sheetData sheetId="14165" refreshError="1"/>
      <sheetData sheetId="14166" refreshError="1"/>
      <sheetData sheetId="14167" refreshError="1"/>
      <sheetData sheetId="14168"/>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sheetData sheetId="14548"/>
      <sheetData sheetId="14549"/>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sheetData sheetId="14580"/>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sheetData sheetId="14634"/>
      <sheetData sheetId="14635"/>
      <sheetData sheetId="14636"/>
      <sheetData sheetId="14637" refreshError="1"/>
      <sheetData sheetId="14638" refreshError="1"/>
      <sheetData sheetId="14639" refreshError="1"/>
      <sheetData sheetId="14640"/>
      <sheetData sheetId="14641"/>
      <sheetData sheetId="14642"/>
      <sheetData sheetId="14643"/>
      <sheetData sheetId="14644"/>
      <sheetData sheetId="14645"/>
      <sheetData sheetId="14646"/>
      <sheetData sheetId="14647"/>
      <sheetData sheetId="14648"/>
      <sheetData sheetId="14649"/>
      <sheetData sheetId="14650"/>
      <sheetData sheetId="14651" refreshError="1"/>
      <sheetData sheetId="14652" refreshError="1"/>
      <sheetData sheetId="14653" refreshError="1"/>
      <sheetData sheetId="14654" refreshError="1"/>
      <sheetData sheetId="14655"/>
      <sheetData sheetId="14656"/>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sheetData sheetId="14688"/>
      <sheetData sheetId="14689" refreshError="1"/>
      <sheetData sheetId="14690"/>
      <sheetData sheetId="14691" refreshError="1"/>
      <sheetData sheetId="14692"/>
      <sheetData sheetId="14693"/>
      <sheetData sheetId="14694"/>
      <sheetData sheetId="14695"/>
      <sheetData sheetId="14696" refreshError="1"/>
      <sheetData sheetId="14697"/>
      <sheetData sheetId="14698" refreshError="1"/>
      <sheetData sheetId="14699" refreshError="1"/>
      <sheetData sheetId="14700" refreshError="1"/>
      <sheetData sheetId="14701" refreshError="1"/>
      <sheetData sheetId="14702"/>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sheetData sheetId="14716"/>
      <sheetData sheetId="14717"/>
      <sheetData sheetId="14718"/>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sheetData sheetId="14810"/>
      <sheetData sheetId="14811"/>
      <sheetData sheetId="14812"/>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Thd02"/>
      <sheetName val="HDS"/>
      <sheetName val="#REF"/>
      <sheetName val="index"/>
      <sheetName val="Switchboard"/>
      <sheetName val="CAB.XLS"/>
      <sheetName val="SCADO"/>
      <sheetName val="Sheet1"/>
      <sheetName val="Sheet2"/>
      <sheetName val="Sheet3"/>
      <sheetName val="MCC's"/>
      <sheetName val="Unit List"/>
      <sheetName val="Cable Type"/>
      <sheetName val="cnsinf"/>
      <sheetName val="MCC-21-1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bal2"/>
      <sheetName val="bal6"/>
      <sheetName val="bal11"/>
      <sheetName val="bal12"/>
      <sheetName val="ID"/>
      <sheetName val="check"/>
      <sheetName val="DESIGN"/>
      <sheetName val="WINDOW"/>
      <sheetName val="wileas"/>
      <sheetName val="suleas"/>
      <sheetName val="bal1"/>
      <sheetName val="Sheet1"/>
      <sheetName val="bal5"/>
      <sheetName val="L"/>
      <sheetName val="SV"/>
      <sheetName val="VUOTO"/>
      <sheetName val="SILICATE"/>
      <sheetName val="反応速度式検討"/>
      <sheetName val="BBSS(B-70）"/>
      <sheetName val="10241PIP1ON-SITE"/>
      <sheetName val="10241EQLIST"/>
      <sheetName val="FAB별"/>
      <sheetName val="PARAMETRES"/>
      <sheetName val="Project Metrics"/>
      <sheetName val="Overall"/>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ACHIEVED-REPORT"/>
      <sheetName val="PROCPLAN-TOTAL"/>
      <sheetName val="Delivery Follow  Up Plan"/>
      <sheetName val="Critical Item List"/>
      <sheetName val="Resp "/>
      <sheetName val="Delivery_Follow__Up_Plan"/>
      <sheetName val="Critical_Item_List"/>
      <sheetName val="Resp_"/>
      <sheetName val="Delivery_Follow__Up_Plan1"/>
      <sheetName val="Critical_Item_List1"/>
      <sheetName val="Resp_1"/>
      <sheetName val="OF-PD38 Summary"/>
      <sheetName val="Diffuser"/>
      <sheetName val="BEU btm nozz @ tsht"/>
      <sheetName val="Backup"/>
      <sheetName val="FIRE"/>
      <sheetName val="Summary"/>
      <sheetName val="401_1"/>
      <sheetName val="401_2"/>
      <sheetName val="401_3"/>
      <sheetName val="401_4"/>
      <sheetName val="401_5"/>
      <sheetName val="401_7"/>
      <sheetName val="Cover Sheet"/>
      <sheetName val="Notes"/>
      <sheetName val="Page 1 of 5"/>
      <sheetName val="BQMPALOC"/>
      <sheetName val="ProSteam Config"/>
      <sheetName val="Quantity"/>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Cover Sheet"/>
      <sheetName val="P. 2"/>
      <sheetName val="P. 3"/>
      <sheetName val="P. 4"/>
      <sheetName val="P. 5"/>
      <sheetName val="P. 6"/>
      <sheetName val="P. 7"/>
      <sheetName val="P. 8"/>
      <sheetName val="P.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2.0-A4"/>
      <sheetName val="bal11"/>
      <sheetName val="bal12"/>
      <sheetName val="bal6"/>
      <sheetName val="SV"/>
      <sheetName val="contactor"/>
      <sheetName val="Pipe Calc"/>
      <sheetName val="B-1100C触媒量"/>
      <sheetName va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SV"/>
      <sheetName val="2.0-A4"/>
      <sheetName val="bal11"/>
      <sheetName val="bal12"/>
      <sheetName val="bal6"/>
      <sheetName val="PLANT"/>
      <sheetName val="INSTRUMENT"/>
      <sheetName val="SpecITEM"/>
      <sheetName val="LINE_Sc"/>
      <sheetName val="MOTOR"/>
      <sheetName val="SILICATE"/>
      <sheetName val="Equipment List"/>
      <sheetName val="OPE_MAN"/>
      <sheetName val="04暖通"/>
      <sheetName val="反応速度式検討"/>
      <sheetName val="COA Sumry - Std Imp"/>
      <sheetName val="COA Sumry by Area"/>
      <sheetName val="COA Sumry by RG"/>
      <sheetName val="Contr TDC - Std Imp"/>
      <sheetName val="Item Sumry - Std Imp"/>
      <sheetName val="List - Equipment"/>
      <sheetName val="Proj TIC - Std Imp"/>
      <sheetName val="Project Metrics"/>
      <sheetName val="TDC COA Grp Sumry"/>
      <sheetName val="TDC COA Sumry"/>
      <sheetName val="TDC Item Dets"/>
      <sheetName val="TDC Item Dets-IPM-Full"/>
      <sheetName val="TDC Item Sumry"/>
      <sheetName val="TDC Key Qty Sumry"/>
      <sheetName val="Unit Costs - Std Imp"/>
      <sheetName val="Unit MH - Std Imp"/>
      <sheetName val="List - Components"/>
      <sheetName val="TDC Item Dets-Full"/>
      <sheetName val="COA Sumry by Contr"/>
      <sheetName val="B-1100C触媒量"/>
      <sheetName val="UOP"/>
      <sheetName val="Unit"/>
      <sheetName val="Project, Costs Sum"/>
      <sheetName val="401_1"/>
      <sheetName val="401_2"/>
      <sheetName val="401_3"/>
      <sheetName val="401_4"/>
      <sheetName val="401_5"/>
      <sheetName val="401_7"/>
      <sheetName val="Cover Sheet"/>
      <sheetName val="Notes"/>
      <sheetName val="na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封面"/>
      <sheetName val="A4-COVER"/>
      <sheetName val="COVER"/>
      <sheetName val="Fluid List"/>
      <sheetName val="Unit"/>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Sheet1"/>
      <sheetName val="Flyleaf"/>
      <sheetName val="A4-COVER"/>
      <sheetName val="Vessels"/>
      <sheetName val="Rotating"/>
      <sheetName val="Other"/>
      <sheetName val="Parameters"/>
      <sheetName val="Notice"/>
      <sheetName val="Excel procedure"/>
      <sheetName val="Attached 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phase II"/>
      <sheetName val="standard list"/>
      <sheetName val="phase I"/>
      <sheetName val="loaddata"/>
      <sheetName val="cable"/>
      <sheetName val="contactor"/>
      <sheetName val="lightning"/>
      <sheetName val="equipmentlist"/>
      <sheetName val="cableselection"/>
      <sheetName val="DOCLIST"/>
      <sheetName val="OD"/>
      <sheetName val="sheet1"/>
      <sheetName val="Sheet2"/>
      <sheetName val="Sheet3"/>
      <sheetName val="PLANT"/>
      <sheetName val="INSTRUMENT"/>
      <sheetName val="SpecITEM"/>
      <sheetName val="LINE_Sc"/>
      <sheetName val="MOTOR"/>
      <sheetName val="Harding+SATS-07"/>
      <sheetName val="ERDP7AV3"/>
      <sheetName val="ELEC"/>
      <sheetName val="G.1R-Shou COP Gf"/>
      <sheetName val="AD ST"/>
      <sheetName val="MH Compensate-Nov"/>
      <sheetName val="CTRs (HOURS) "/>
      <sheetName val="NOTES"/>
      <sheetName val="MH(on site)"/>
      <sheetName val="#REF!"/>
      <sheetName val="计算稿"/>
      <sheetName val="SPEC SHEET"/>
      <sheetName val="明细表 "/>
      <sheetName val="C5-201-CB-Concrete"/>
      <sheetName val="C5-201-TB-Concrete"/>
      <sheetName val="C5-271-TB-IW"/>
      <sheetName val="C5-212-CB-EW"/>
      <sheetName val="C5-224-CB-Roof"/>
      <sheetName val="C5-231-CB-Earthing"/>
      <sheetName val="C5-271-CB-IW"/>
      <sheetName val="C5-281-CB-FF "/>
      <sheetName val="C5-282-CB-IWF"/>
      <sheetName val="C5-283-CB-CF"/>
      <sheetName val="C5-CB Provisional"/>
      <sheetName val="C5-212-TB-EW"/>
      <sheetName val="C5-213-TB-Steel"/>
      <sheetName val="C5-224-TB-Roof"/>
      <sheetName val="C5-231-TB-Earthing"/>
      <sheetName val="C5-281-TB-FF"/>
      <sheetName val="C5-282-TB-IWF"/>
      <sheetName val="C5-283-TB-CF"/>
      <sheetName val="C5-coordinate"/>
      <sheetName val="C5-TB-Option"/>
      <sheetName val="C5 Provisional"/>
      <sheetName val="C5-200-Prelims"/>
      <sheetName val="C5-200-HSE"/>
      <sheetName val="RFP012"/>
      <sheetName val="多媒体查询"/>
      <sheetName val="中心机房"/>
      <sheetName val="会议"/>
      <sheetName val="公共广播"/>
      <sheetName val="停车场"/>
      <sheetName val="PDS"/>
      <sheetName val="移动通信"/>
      <sheetName val="BA"/>
      <sheetName val="物业"/>
      <sheetName val="防雷接地"/>
      <sheetName val="Open"/>
      <sheetName val="Labor Rates"/>
      <sheetName val="loaddt2"/>
      <sheetName val="Summary"/>
      <sheetName val="Summary "/>
      <sheetName val="Process Piping"/>
      <sheetName val="C11-2(103)-Prelims"/>
      <sheetName val="140TT447"/>
      <sheetName val="3"/>
      <sheetName val="Lagerhalle"/>
      <sheetName val="加压气化606ab工艺综合单价分析表"/>
      <sheetName val="lookups"/>
      <sheetName val="RFP002"/>
      <sheetName val="工业炉"/>
      <sheetName val="04暖通"/>
      <sheetName val="resu"/>
      <sheetName val="SPEC"/>
      <sheetName val="Area"/>
      <sheetName val="373A"/>
      <sheetName val="703r"/>
      <sheetName val="702r"/>
      <sheetName val="Dropdown LISTs"/>
      <sheetName val="Estimate Details"/>
      <sheetName val="April"/>
      <sheetName val="CFS3"/>
      <sheetName val="合成単価作成表-BLDG"/>
      <sheetName val="10 barg Steam_Cond"/>
      <sheetName val="mesc"/>
      <sheetName val="Pricing"/>
      <sheetName val="code"/>
      <sheetName val="GPP"/>
      <sheetName val="Rate"/>
      <sheetName val="P1260Projected.5700 Detail"/>
      <sheetName val="P852.5000 Detail"/>
      <sheetName val="P854.5000 Detail"/>
      <sheetName val="P856.5000 Detail"/>
      <sheetName val="P858.5000 Detail"/>
      <sheetName val="P860Baseline.5000 Detail"/>
      <sheetName val="Macro1"/>
      <sheetName val="401_1"/>
      <sheetName val="401_2"/>
      <sheetName val="401_3"/>
      <sheetName val="401_4"/>
      <sheetName val="401_5"/>
      <sheetName val="401_7"/>
      <sheetName val="Cover Sheet"/>
      <sheetName val="utility"/>
      <sheetName val="Register"/>
      <sheetName val="Pull-Down Menus"/>
      <sheetName val="PB for Mapping"/>
      <sheetName val="Project Data Page"/>
      <sheetName val="基本设置"/>
      <sheetName val="PVC"/>
      <sheetName val="XLPE"/>
      <sheetName val="Fee Rate Summary"/>
      <sheetName val="LINE LIST"/>
      <sheetName val="LEGEND"/>
      <sheetName val="Piping ClASS"/>
      <sheetName val="Details"/>
      <sheetName val="Overall"/>
      <sheetName val="110TE001"/>
      <sheetName val="Sum"/>
      <sheetName val="A"/>
      <sheetName val="MhrCost Data"/>
      <sheetName val="Insulation"/>
      <sheetName val="Piping&amp;Valve Code"/>
      <sheetName val="Painting"/>
      <sheetName val="Process Equipment"/>
      <sheetName val="CIV-DWG-ADA"/>
      <sheetName val="CIV-DOC-ADA"/>
      <sheetName val="Factor"/>
      <sheetName val="Cover"/>
      <sheetName val="SPE-FJB-001"/>
      <sheetName val="SPE-FJB-101"/>
      <sheetName val="SPE-FJB-102"/>
      <sheetName val="SPE-FJB-201"/>
      <sheetName val="SPE-FJB-202"/>
      <sheetName val="SPE-FJB-203"/>
      <sheetName val="SPE-FJB-301"/>
      <sheetName val="SPE-FJB-302"/>
      <sheetName val="SPE-FJB-401"/>
      <sheetName val="SPE-FJB-402"/>
      <sheetName val="MCJB"/>
      <sheetName val="GDS"/>
      <sheetName val="无接线箱"/>
      <sheetName val="RFP003B-Piping"/>
      <sheetName val="B-1100C触媒量"/>
      <sheetName val="電気設備表"/>
      <sheetName val="計算本体2"/>
      <sheetName val="Connections"/>
      <sheetName val="DWTables"/>
      <sheetName val="海盐加工装置"/>
      <sheetName val="内外控制表"/>
      <sheetName val="300 Instrumentation "/>
      <sheetName val="材料"/>
      <sheetName val="安装指标库"/>
      <sheetName val="表三甲"/>
      <sheetName val="万元指标1"/>
      <sheetName val="Units"/>
      <sheetName val="Input"/>
      <sheetName val="Data Storage"/>
      <sheetName val="Project Data"/>
      <sheetName val="Electr"/>
      <sheetName val="Services"/>
      <sheetName val="Instrum"/>
      <sheetName val="Training"/>
      <sheetName val="TankMetallic"/>
      <sheetName val="CAL."/>
      <sheetName val="CPS"/>
      <sheetName val="XLR_NoRangeSheet"/>
      <sheetName val="Contingency"/>
      <sheetName val="Cash Flow Data"/>
      <sheetName val="plOMBA"/>
      <sheetName val="plProject Info"/>
      <sheetName val="Spec-Face"/>
      <sheetName val="TDS_1"/>
      <sheetName val="2"/>
      <sheetName val="4"/>
      <sheetName val="Quotation"/>
      <sheetName val="Spec."/>
      <sheetName val="Final Price"/>
      <sheetName val="Deviation"/>
      <sheetName val="Data"/>
      <sheetName val="SP"/>
      <sheetName val="eqplist"/>
      <sheetName val="ΔVp &amp; Ω"/>
      <sheetName val="변수"/>
      <sheetName val="Mech"/>
      <sheetName val="Page 1"/>
      <sheetName val="Database"/>
      <sheetName val="Calc"/>
      <sheetName val="CmpName"/>
      <sheetName val="Template"/>
      <sheetName val="Functions"/>
      <sheetName val="Main"/>
      <sheetName val="Camey"/>
      <sheetName val="Safety Stock"/>
      <sheetName val="Insulation Code"/>
      <sheetName val="Pipe Class"/>
      <sheetName val="Painting Code"/>
      <sheetName val="Routing"/>
      <sheetName val="Special Item MTO"/>
      <sheetName val="评价基础数据表一"/>
      <sheetName val="固定资产投资估算计算表"/>
      <sheetName val="投资计划与资金筹措表"/>
      <sheetName val="Sammary"/>
      <sheetName val="取费表"/>
      <sheetName val="武汉丁二烯静止设备"/>
      <sheetName val="价差测算"/>
      <sheetName val="参数表"/>
      <sheetName val="Concrete Properties"/>
      <sheetName val="PV.00001"/>
      <sheetName val="蒸汽安全阀计算模板"/>
      <sheetName val="Page 3"/>
      <sheetName val="Page 2"/>
      <sheetName val="Page 4"/>
      <sheetName val="Page 5"/>
      <sheetName val="Page 7"/>
      <sheetName val="Page 8"/>
      <sheetName val="Page 9"/>
      <sheetName val="Page 10"/>
      <sheetName val="Page 11"/>
      <sheetName val="Page 6"/>
      <sheetName val="Design - Agitators"/>
      <sheetName val="Design - All Equip"/>
      <sheetName val="Design - Exchangers"/>
      <sheetName val="Design - Pumps"/>
      <sheetName val="Design - Towers"/>
      <sheetName val="Design - Vacuum"/>
      <sheetName val="Design - Vessels"/>
      <sheetName val="List - Motors"/>
      <sheetName val="Equip COA Sumry"/>
      <sheetName val="Equip COA Grp Sumry"/>
      <sheetName val="AG Pipe Qty Analysis"/>
      <sheetName val="Pipe Line List"/>
      <sheetName val="Pipe COA Sumry"/>
      <sheetName val="Pipe Item Dets"/>
      <sheetName val="Pipe Item Sumry"/>
      <sheetName val="Civil COA Sumry"/>
      <sheetName val="Civil Item Dets"/>
      <sheetName val="Civil Item Sumry"/>
      <sheetName val="Steel COA Sumry"/>
      <sheetName val="Steel COA Grp Sumry"/>
      <sheetName val="Steel Item Dets"/>
      <sheetName val="Steel Item Sumry"/>
      <sheetName val="Inst COA Sumry"/>
      <sheetName val="Inst Item Dets"/>
      <sheetName val="Inst Item Sumry"/>
      <sheetName val="Elec COA Sumry"/>
      <sheetName val="Elec Item Dets"/>
      <sheetName val="Elec Item Sumry"/>
      <sheetName val="Insul COA Sumry"/>
      <sheetName val="Insul Item Dets"/>
      <sheetName val="Insul Item Sumry"/>
      <sheetName val="Paint COA Sumry"/>
      <sheetName val="Paint Item Dets"/>
      <sheetName val="Paint Item Sumry"/>
      <sheetName val="总概"/>
      <sheetName val="综合运费"/>
      <sheetName val="初始化表格"/>
      <sheetName val="基础表格"/>
      <sheetName val="UOP"/>
      <sheetName val="공사비SUM"/>
      <sheetName val="공문"/>
      <sheetName val="Elect (3)"/>
      <sheetName val="CODE2"/>
      <sheetName val="生产成本和费用表"/>
      <sheetName val="资产负债表"/>
      <sheetName val="矿区使用费费率表"/>
      <sheetName val="固定资产投资估算表"/>
      <sheetName val="销售收入与销售税金及附加计算表"/>
      <sheetName val="SaveData"/>
      <sheetName val="损益表"/>
      <sheetName val="财务现金流量表(全部投资)"/>
      <sheetName val="财务现金流量表(自有资金)"/>
      <sheetName val="CAPEX"/>
      <sheetName val="Option Summary"/>
      <sheetName val="Summary_by_Unit"/>
      <sheetName val="Equipment Cost Split"/>
      <sheetName val="Summary  WPC_OLD"/>
      <sheetName val="Process"/>
      <sheetName val="线槽价格计算表"/>
      <sheetName val="#REF"/>
      <sheetName val="Base"/>
      <sheetName val="价目表"/>
      <sheetName val="07 LSC only"/>
      <sheetName val="07 PBS Only"/>
      <sheetName val="土建"/>
      <sheetName val="List - Components"/>
      <sheetName val="List - Equipment"/>
      <sheetName val="Definition"/>
      <sheetName val="SORTABLE ESTIMATE"/>
      <sheetName val="piping"/>
      <sheetName val="Datasheet"/>
      <sheetName val="投资汇总"/>
      <sheetName val="投资"/>
      <sheetName val="综合概算"/>
      <sheetName val="Master_Setup"/>
      <sheetName val="P. 2"/>
      <sheetName val="P. 3"/>
      <sheetName val="간접비내역-1"/>
      <sheetName val="CALCULATION"/>
      <sheetName val="sketch"/>
      <sheetName val="Pre-EPC CDI Manhour"/>
      <sheetName val="EPCM Manhour Estimate"/>
      <sheetName val="Total Sum"/>
      <sheetName val="phase_II"/>
      <sheetName val="standard_list"/>
      <sheetName val="phase_I"/>
      <sheetName val="G_1R-Shou_COP_Gf"/>
      <sheetName val="AD_ST"/>
      <sheetName val="MH_Compensate-Nov"/>
      <sheetName val="CTRs_(HOURS)_"/>
      <sheetName val="SPEC_SHEET"/>
      <sheetName val="明细表_"/>
      <sheetName val="C5-281-CB-FF_"/>
      <sheetName val="C5-CB_Provisional"/>
      <sheetName val="C5_Provisional"/>
      <sheetName val="MH(on_site)"/>
      <sheetName val="Labor_Rates"/>
      <sheetName val="Summary_"/>
      <sheetName val="Process_Piping"/>
      <sheetName val="Estimate_Details"/>
      <sheetName val="10_barg_Steam_Cond"/>
      <sheetName val="P1260Projected_5700_Detail"/>
      <sheetName val="P852_5000_Detail"/>
      <sheetName val="P854_5000_Detail"/>
      <sheetName val="P856_5000_Detail"/>
      <sheetName val="P858_5000_Detail"/>
      <sheetName val="P860Baseline_5000_Detail"/>
      <sheetName val="Cover_Sheet"/>
      <sheetName val="Pull-Down_Menus"/>
      <sheetName val="Piping_ClASS"/>
      <sheetName val="PB_for_Mapping"/>
      <sheetName val="Project_Data_Page"/>
      <sheetName val="LINE_LIST"/>
      <sheetName val="Fee_Rate_Summary"/>
      <sheetName val="2层"/>
      <sheetName val="墙板"/>
      <sheetName val="S-03"/>
      <sheetName val="B-03"/>
      <sheetName val="Control Summary"/>
      <sheetName val="土建取费"/>
      <sheetName val="中石化安装"/>
      <sheetName val="总—标示"/>
      <sheetName val="报价单"/>
      <sheetName val="标示-次标示"/>
      <sheetName val="Change Order Details"/>
      <sheetName val="SOPMA DD"/>
      <sheetName val="镀锌构件"/>
      <sheetName val="50 Piping_ Content Strut."/>
      <sheetName val="2.0-A4"/>
      <sheetName val="Installation "/>
      <sheetName val="Fabrication"/>
      <sheetName val="Project Management Organisation"/>
      <sheetName val="for PPT"/>
      <sheetName val="steam jet ejector spec sheet"/>
      <sheetName val="Emp_Data"/>
      <sheetName val="Int Eng"/>
      <sheetName val="WBS"/>
      <sheetName val="name"/>
      <sheetName val="反応速度式検討"/>
      <sheetName val="Anlage 2"/>
      <sheetName val="_REF"/>
      <sheetName val="갑지"/>
      <sheetName val="Rate Analysis"/>
      <sheetName val="BP"/>
      <sheetName val="Combo"/>
      <sheetName val="BOQ FORM FOR INQUIRY"/>
      <sheetName val="FORM OF PROPOSAL RFP-003"/>
      <sheetName val="뜃맟뭁돽띿맟?-BLDG"/>
      <sheetName val="合成??作成表-BLDG"/>
      <sheetName val="??-BLDG"/>
      <sheetName val="?-BLDG"/>
      <sheetName val="????·???·-BLDGL-03E.X"/>
      <sheetName val="‡¬’P‰¿ì¬E-BLDG"/>
      <sheetName val="¬P¿ì¬E-BLDG"/>
      <sheetName val="崌惉扨壙嶌惉?-BLDG"/>
      <sheetName val="合成単価作成・-BLDG"/>
      <sheetName val="???????-BLDG"/>
      <sheetName val="‡¬’P‰¿ì¬?-BLDG"/>
      <sheetName val="Proposal Schedule"/>
      <sheetName val="‡¬’P‰¿ì_x0010_¬?-BLDG"/>
      <sheetName val="뜃맟뭁돽띿맟__BLDG"/>
      <sheetName val="合成単価作成表_BLDG"/>
      <sheetName val="노임단가"/>
      <sheetName val="Administrative Prices"/>
      <sheetName val="뜃맟뭁돽띿맟_-BLDG"/>
      <sheetName val="合成__作成表-BLDG"/>
      <sheetName val="__-BLDG"/>
      <sheetName val="_-BLDG"/>
      <sheetName val="____·___·-BLDGL-03E.X"/>
      <sheetName val="崌惉扨壙嶌惉_-BLDG"/>
      <sheetName val="‡¬’P‰¿ì¬_-BLDG"/>
      <sheetName val="_______-BLDG"/>
      <sheetName val="‡¬’P‰¿ì_x0010_¬_-BLDG"/>
      <sheetName val="기계내역서"/>
      <sheetName val="POWER"/>
      <sheetName val="________BLDG"/>
      <sheetName val="목포전화국"/>
      <sheetName val="손익차총괄2"/>
      <sheetName val="단가조사"/>
      <sheetName val="DA0463BQ"/>
      <sheetName val="PI"/>
      <sheetName val="견적대비표"/>
      <sheetName val="상반기손익차2총괄"/>
      <sheetName val="D-623D"/>
      <sheetName val="‡¬’@‰¿ì¬?-BLDG"/>
      <sheetName val="?-BLDG"/>
      <sheetName val="合成単価作成表_BLD_x0007_"/>
      <sheetName val="PIPE"/>
      <sheetName val="FLANGE"/>
      <sheetName val="VALVE"/>
      <sheetName val="기기리스트"/>
      <sheetName val="‡¬’@‰¿ì¬_-BLDG"/>
      <sheetName val="_-BLDG"/>
      <sheetName val="손익차9월2"/>
      <sheetName val="주요물량"/>
      <sheetName val="SILICATE"/>
      <sheetName val="BM DATA SHEET"/>
      <sheetName val="‡¬’P‰¿ì_x005f_x0010_¬?-BLDG"/>
      <sheetName val="‡¬’P‰¿ì_x005f_x0010_¬_-BLDG"/>
      <sheetName val="预算"/>
      <sheetName val="‡¬’P‰¿ì_x005f_x005f_x005f_x0010_¬?-BLDG"/>
      <sheetName val="‡¬’P‰¿ì_x005f_x005f_x005f_x0010_¬_-BLDG"/>
      <sheetName val="2.1 受電設備棟"/>
      <sheetName val="2.2 受・防火水槽"/>
      <sheetName val="2.3 排水処理設備棟"/>
      <sheetName val="2.4 倉庫棟"/>
      <sheetName val="2.5 守衛棟"/>
      <sheetName val="合成単価作成表_BLD_x005f_x0007_"/>
      <sheetName val="도급양식"/>
      <sheetName val="현금"/>
      <sheetName val="CalCu"/>
      <sheetName val="당초"/>
      <sheetName val="다이꾸"/>
      <sheetName val="WORK-VOL"/>
      <sheetName val="WIND"/>
      <sheetName val="CAT_5"/>
      <sheetName val="M-EQPT-Z"/>
      <sheetName val="inter"/>
      <sheetName val="‡¬’P‰¿ì_x005f_x005f_x005f_x005f_x005f_x005f_x0"/>
      <sheetName val="合成単価作成表_BLD_x005f_x005f_x005f_x0007_"/>
      <sheetName val="Breakdown"/>
      <sheetName val="V-101 &amp; V201"/>
      <sheetName val="SPT vs PHI"/>
      <sheetName val="ITB COST"/>
      <sheetName val="SCHE"/>
      <sheetName val="1련박스"/>
      <sheetName val="Cable Ladder Detail"/>
      <sheetName val="坪合体９９（２）より"/>
      <sheetName val="배관내역서"/>
      <sheetName val="CB"/>
      <sheetName val="대우기성"/>
      <sheetName val="C1"/>
      <sheetName val="BLR-S"/>
      <sheetName val="계측 내역서"/>
      <sheetName val="N賃率-職"/>
      <sheetName val="NM2"/>
      <sheetName val="NW1"/>
      <sheetName val="NW2"/>
      <sheetName val="PW3"/>
      <sheetName val="PW4"/>
      <sheetName val="SC1"/>
      <sheetName val="DNW"/>
      <sheetName val="N+"/>
      <sheetName val="NE"/>
      <sheetName val="P+"/>
      <sheetName val="PE"/>
      <sheetName val="PM"/>
      <sheetName val="TR"/>
      <sheetName val="member design"/>
      <sheetName val="design criteria"/>
      <sheetName val="working load at the btm ft."/>
      <sheetName val="plan&amp;section of foundation"/>
      <sheetName val="soil bearing check"/>
      <sheetName val="예산서"/>
      <sheetName val="MIJIBI"/>
      <sheetName val="예가표"/>
      <sheetName val="RPP 12 SEPT"/>
      <sheetName val="공통(20-91)"/>
      <sheetName val="LinerWt"/>
      <sheetName val="Chart"/>
      <sheetName val="명세서"/>
      <sheetName val="전기공사"/>
      <sheetName val="준공조서갑지"/>
      <sheetName val="배명(단가)"/>
      <sheetName val="프랜트면허"/>
      <sheetName val="토목주소"/>
      <sheetName val="BOQ_FORM_FOR_INQUIRY"/>
      <sheetName val="FORM_OF_PROPOSAL_RFP-003"/>
      <sheetName val="____·___·-BLDGL-03E_X"/>
      <sheetName val="Proposal_Schedule"/>
      <sheetName val="‡¬’P‰¿ì¬_-BLDG"/>
      <sheetName val="Administrative_Prices"/>
      <sheetName val="合成単価作成表_BLD"/>
      <sheetName val="06C7450-S300X"/>
      <sheetName val="Vessel Size"/>
      <sheetName val="NIML"/>
      <sheetName val="INST"/>
      <sheetName val="RFP003"/>
      <sheetName val="崌惉扨壙嶌惉昞-BLDG"/>
      <sheetName val="__扨壙嶌_昞-BLDG"/>
      <sheetName val="__滿氎浉_-BLDG"/>
      <sheetName val="Estimate Summary"/>
      <sheetName val="KLHT"/>
      <sheetName val="산근"/>
      <sheetName val="12호기내역서(건축분)"/>
      <sheetName val="Q&amp;pl-V"/>
      <sheetName val="合成単価作成表_BLD_x005f_x005f_x005f_x005f_x005f_x005f_x"/>
      <sheetName val="Controls"/>
      <sheetName val="RawMatCost"/>
      <sheetName val="??????__BLDG"/>
      <sheetName val="????·???·-BLDGL-03E_X"/>
      <sheetName val="‡¬’P‰¿ì¬?-BLDG"/>
      <sheetName val="??扨壙嶌?昞-BLDG"/>
      <sheetName val="??滿氎浉?-BLDG"/>
      <sheetName val="eq_data"/>
      <sheetName val="DATE"/>
      <sheetName val="BOQ_FORM_FOR_INQUIRY1"/>
      <sheetName val="FORM_OF_PROPOSAL_RFP-0031"/>
      <sheetName val="????·???·-BLDGL-03E_X1"/>
      <sheetName val="Proposal_Schedule1"/>
      <sheetName val="Administrative_Prices1"/>
      <sheetName val="入力"/>
      <sheetName val="cable_data"/>
      <sheetName val="3core_6_6kv"/>
      <sheetName val="4core_400V"/>
      <sheetName val="NEWCA"/>
      <sheetName val="Overall_Load_List"/>
      <sheetName val="General_Data"/>
      <sheetName val="Eng_Hrs (HO)"/>
      <sheetName val="外形"/>
      <sheetName val="屋内"/>
      <sheetName val="屋外"/>
      <sheetName val="costing_CV"/>
      <sheetName val="HX"/>
      <sheetName val="설계내"/>
      <sheetName val="배관품셈총괄표"/>
      <sheetName val="현장지지물물량"/>
      <sheetName val="????�???�-BLDGL-03E.X"/>
      <sheetName val="�����P�������E-BLDG"/>
      <sheetName val="‡¬’P‰¿ì_x005f_x005f_x005f_x005f_x0"/>
      <sheetName val="合成単価作成表_BLD_x005f_x005f_x005f_x005f_x"/>
      <sheetName val="PROG"/>
      <sheetName val="一発シート"/>
      <sheetName val="Estimate"/>
      <sheetName val="系数516"/>
      <sheetName val="XL4Poppy"/>
      <sheetName val="적용환율"/>
      <sheetName val="KP1590_E"/>
      <sheetName val="Sum Price"/>
      <sheetName val="Coding"/>
      <sheetName val="給排水"/>
      <sheetName val="電氣"/>
      <sheetName val="外気負荷"/>
      <sheetName val="6,000"/>
      <sheetName val="____·___·-BLDGL-03E_X1"/>
      <sheetName val="____�___�-BLDGL-03E.X"/>
      <sheetName val="PUMP"/>
      <sheetName val="Take-Off"/>
      <sheetName val="EQUIPMENT -2"/>
      <sheetName val="BAND(200)"/>
      <sheetName val="OUTER AREA(겹침없음)"/>
      <sheetName val="90EL JACKET"/>
      <sheetName val="JACKET(50,50)"/>
      <sheetName val="내역서"/>
      <sheetName val="EL 표면적"/>
      <sheetName val="M3산출"/>
      <sheetName val="Coste PBreakdown"/>
      <sheetName val="TR NIVEL2 Total"/>
      <sheetName val="Precios"/>
      <sheetName val="‡¬’P‰¿ì_x005f_x005f_x0"/>
      <sheetName val="合成単価作成表_BLD_x005f_x005f_x"/>
      <sheetName val="약품설비"/>
      <sheetName val="BM"/>
      <sheetName val="jobhist"/>
      <sheetName val="A (2)"/>
      <sheetName val="9912SOLID생"/>
      <sheetName val="4-3 보온 기본물량집계"/>
      <sheetName val="신표지1"/>
      <sheetName val="Sheet6"/>
      <sheetName val="Y-WORK"/>
      <sheetName val="TYPE-A"/>
      <sheetName val="총괄표"/>
      <sheetName val="INSTR"/>
      <sheetName val="일위대가"/>
      <sheetName val="CAL1"/>
      <sheetName val="ENE-CAL"/>
      <sheetName val="매립"/>
      <sheetName val="ITEM"/>
      <sheetName val="ﾄﾞﾊﾞｲFUEL GAS追見"/>
      <sheetName val="품셈"/>
      <sheetName val="Resource summary"/>
      <sheetName val="건축"/>
      <sheetName val="뜃맟뭁돽띿맟_뱟j"/>
      <sheetName val="경비"/>
      <sheetName val="fin stmt"/>
      <sheetName val="2002Shipment"/>
      <sheetName val="단면가정"/>
      <sheetName val="ﾏﾃﾊﾝ土佐30MW実行予算"/>
      <sheetName val="定数"/>
      <sheetName val="TTL"/>
      <sheetName val="갑지1"/>
      <sheetName val="금액내역서"/>
      <sheetName val="‡¬’P‰¿ì_x0"/>
      <sheetName val="合成単価作成表_BLD_x"/>
      <sheetName val="COVERSHEET PAGE"/>
      <sheetName val="CIVIL"/>
      <sheetName val="BOQ_FORM_FOR_INQUIRY2"/>
      <sheetName val="FORM_OF_PROPOSAL_RFP-0032"/>
      <sheetName val="????·???·-BLDGL-03E_X2"/>
      <sheetName val="Proposal_Schedule2"/>
      <sheetName val="Administrative_Prices2"/>
      <sheetName val="Cable_Ladder_Detail"/>
      <sheetName val="BM_DATA_SHEET"/>
      <sheetName val="V-101_&amp;_V201"/>
      <sheetName val="RPP_12_SEPT"/>
      <sheetName val="Vessel_Size"/>
      <sheetName val="EQUIPMENT_-2"/>
      <sheetName val="계측_내역서"/>
      <sheetName val="member_design"/>
      <sheetName val="design_criteria"/>
      <sheetName val="working_load_at_the_btm_ft_"/>
      <sheetName val="plan&amp;section_of_foundation"/>
      <sheetName val="soil_bearing_check"/>
      <sheetName val="SPT_vs_PHI"/>
      <sheetName val="ITB_COST"/>
      <sheetName val="2_1_受電設備棟"/>
      <sheetName val="2_2_受・防火水槽"/>
      <sheetName val="2_3_排水処理設備棟"/>
      <sheetName val="2_4_倉庫棟"/>
      <sheetName val="2_5_守衛棟"/>
      <sheetName val="Estimate_Summary"/>
      <sheetName val="OUTER_AREA(겹침없음)"/>
      <sheetName val="90EL_JACKET"/>
      <sheetName val="EL_표면적"/>
      <sheetName val="Coste_PBreakdown"/>
      <sheetName val="TR_NIVEL2_Total"/>
      <sheetName val="Air Cooler-E"/>
      <sheetName val="가공비"/>
      <sheetName val="???????_BLDG"/>
      <sheetName val="ICINDEKILER"/>
      <sheetName val="Manhors &amp; Productivity"/>
      <sheetName val="Site Est"/>
      <sheetName val="Site Staff"/>
      <sheetName val="Fittings"/>
      <sheetName val="steel data sheet"/>
      <sheetName val="04 - Civil"/>
      <sheetName val="INCOTERMS"/>
      <sheetName val="내역(한신APT)"/>
      <sheetName val="Eng_Hrs_(HO)"/>
      <sheetName val="????�???�-BLDGL-03E_X"/>
      <sheetName val="daily (12)"/>
      <sheetName val="S Curve"/>
      <sheetName val="‡¬’@‰¿ì¬痰͞_x001b_"/>
      <sheetName val=""/>
      <sheetName val="rain1"/>
      <sheetName val="304-06"/>
      <sheetName val="____�___�-BLDGL-03E_X"/>
      <sheetName val="Schedule"/>
      <sheetName val="CBE"/>
      <sheetName val="ERECT"/>
      <sheetName val="SA-WBS-Approved"/>
      <sheetName val="SAP"/>
      <sheetName val="Analisa Harsat dasar"/>
      <sheetName val="harga "/>
      <sheetName val="RINCIAN"/>
      <sheetName val="DM"/>
      <sheetName val="PipeData"/>
      <sheetName val="Piping Insulation"/>
      <sheetName val="‡¬’@‰¿ì¬痰͞_x005f_x001b__x005f_x0000_娾,"/>
      <sheetName val="‡¬’@‰¿ì¬痰͞_x005f_x001b_"/>
      <sheetName val="‡¬’@‰¿ì¬痰͞_x005f_x005f_x005f_x001b__x00"/>
      <sheetName val="‡¬’@‰¿ì¬痰͞_x005f_x005f_x005f_x001b_"/>
      <sheetName val="beton"/>
      <sheetName val="GT_Mobi Plan-Direct Labor"/>
      <sheetName val="BD COST"/>
      <sheetName val="BQ"/>
      <sheetName val="단가(자재)"/>
      <sheetName val="단가(노임)"/>
      <sheetName val="기초목록"/>
      <sheetName val="GI-LIST"/>
      <sheetName val="을지"/>
      <sheetName val="연돌일위집계"/>
      <sheetName val="LOADDAT"/>
      <sheetName val="‡¬’@‰¿ì¬痰͞_x005f_x001b__x00"/>
      <sheetName val="‡¬’@‰¿ì¬痰͞_x005f_x005f_x005f_x005f_x005"/>
      <sheetName val="L4-RC_BLDG"/>
      <sheetName val="‡¬’@‰¿ì¬痰͞_x005f_x005f_x005"/>
      <sheetName val="sch"/>
      <sheetName val="Total"/>
      <sheetName val="川崎HRSG"/>
      <sheetName val="HARGA SATUAN"/>
      <sheetName val="GROUNDING 산출근거"/>
      <sheetName val="cable-data"/>
      <sheetName val="データ入力"/>
      <sheetName val="高調波計算"/>
      <sheetName val="本文"/>
      <sheetName val="MP-Basic"/>
      <sheetName val="Summary Volume"/>
      <sheetName val="Manpower Sch."/>
      <sheetName val=" 공사비예산서"/>
      <sheetName val="계측"/>
      <sheetName val="차액보증"/>
      <sheetName val="ELECTRIC"/>
      <sheetName val="건축내역"/>
      <sheetName val="____·___·-BLDGL-03E_X2"/>
      <sheetName val="뜃맟뭁돽띿맟_뱟j_x005f_x0000_耀"/>
      <sheetName val="風管工程"/>
      <sheetName val="금융비용"/>
      <sheetName val="뜃맟뭁돽띿맟_뱟j_x005f_x005f_x005f_x0000_耀"/>
      <sheetName val="ùêà÷??íÂà÷øú-BLDG"/>
      <sheetName val="¬P¿ì¬?-BLDG"/>
      <sheetName val="?¢Ô?¡þ¡¯P¢¶¢¯?i?¡þ?-BLDG"/>
      <sheetName val="?¢Ô?¡þ¡¯P¢¶¢¯?i?¡þ?E-BLDG"/>
      <sheetName val="???ÎÅ???-BLDG"/>
      <sheetName val="ùêà÷??íÂà÷?-BLDG"/>
      <sheetName val="?¢Ô?¡þ¡¯P¢¶¢¯?i_x0010_¡þ?-BLDG"/>
      <sheetName val="할증 "/>
      <sheetName val="SOL TEMP DOWN"/>
      <sheetName val="SM1-09"/>
      <sheetName val="SM2-09"/>
      <sheetName val="BD-09"/>
      <sheetName val="MT-09"/>
      <sheetName val="emto1"/>
      <sheetName val="Project budget format"/>
      <sheetName val="JUNE-14"/>
      <sheetName val="회사99"/>
      <sheetName val="식재인부"/>
      <sheetName val="1.설계조건"/>
      <sheetName val="SG"/>
      <sheetName val="h-013211-2"/>
      <sheetName val="97 사업추정(WEKI)"/>
      <sheetName val="음료실행"/>
      <sheetName val="CTEMCOST"/>
      <sheetName val="HVAC"/>
      <sheetName val="찍기"/>
      <sheetName val="경상비"/>
      <sheetName val="은행"/>
      <sheetName val="AIR SHOWER(3인용)"/>
      <sheetName val="1ST"/>
      <sheetName val="용포(소화)"/>
      <sheetName val="daily_(12)"/>
      <sheetName val="S_Curve"/>
      <sheetName val="Schedule &amp; S-Curve"/>
      <sheetName val="daily_(12)1"/>
      <sheetName val="S_Curve1"/>
      <sheetName val="Schedule_&amp;_S-Curve"/>
      <sheetName val="Drop List"/>
      <sheetName val="daily_(12)2"/>
      <sheetName val="S_Curve2"/>
      <sheetName val="Schedule_&amp;_S-Curve1"/>
      <sheetName val="RPP_12_SEPT1"/>
      <sheetName val="Drop_List"/>
      <sheetName val="01"/>
      <sheetName val="BOQ_FORM_FOR_INQUIRY3"/>
      <sheetName val="FORM_OF_PROPOSAL_RFP-0033"/>
      <sheetName val="????·???·-BLDGL-03E_X3"/>
      <sheetName val="Proposal_Schedule3"/>
      <sheetName val="Administrative_Prices3"/>
      <sheetName val="____·___·-BLDGL-03E_X3"/>
      <sheetName val="BOQ_FORM_FOR_INQUIRY5"/>
      <sheetName val="FORM_OF_PROPOSAL_RFP-0035"/>
      <sheetName val="????·???·-BLDGL-03E_X5"/>
      <sheetName val="Proposal_Schedule5"/>
      <sheetName val="Administrative_Prices5"/>
      <sheetName val="____·___·-BLDGL-03E_X5"/>
      <sheetName val="BOQ_FORM_FOR_INQUIRY4"/>
      <sheetName val="FORM_OF_PROPOSAL_RFP-0034"/>
      <sheetName val="????·???·-BLDGL-03E_X4"/>
      <sheetName val="Proposal_Schedule4"/>
      <sheetName val="Administrative_Prices4"/>
      <sheetName val="____·___·-BLDGL-03E_X4"/>
      <sheetName val="BOQ_FORM_FOR_INQUIRY6"/>
      <sheetName val="FORM_OF_PROPOSAL_RFP-0036"/>
      <sheetName val="????·???·-BLDGL-03E_X6"/>
      <sheetName val="Proposal_Schedule6"/>
      <sheetName val="Administrative_Prices6"/>
      <sheetName val="____·___·-BLDGL-03E_X6"/>
      <sheetName val="BOQ_FORM_FOR_INQUIRY10"/>
      <sheetName val="FORM_OF_PROPOSAL_RFP-00310"/>
      <sheetName val="????·???·-BLDGL-03E_X10"/>
      <sheetName val="Proposal_Schedule10"/>
      <sheetName val="Administrative_Prices10"/>
      <sheetName val="____·___·-BLDGL-03E_X10"/>
      <sheetName val="BOQ_FORM_FOR_INQUIRY7"/>
      <sheetName val="FORM_OF_PROPOSAL_RFP-0037"/>
      <sheetName val="????·???·-BLDGL-03E_X7"/>
      <sheetName val="Proposal_Schedule7"/>
      <sheetName val="Administrative_Prices7"/>
      <sheetName val="____·___·-BLDGL-03E_X7"/>
      <sheetName val="BOQ_FORM_FOR_INQUIRY8"/>
      <sheetName val="FORM_OF_PROPOSAL_RFP-0038"/>
      <sheetName val="????·???·-BLDGL-03E_X8"/>
      <sheetName val="Proposal_Schedule8"/>
      <sheetName val="Administrative_Prices8"/>
      <sheetName val="____·___·-BLDGL-03E_X8"/>
      <sheetName val="BOQ_FORM_FOR_INQUIRY9"/>
      <sheetName val="FORM_OF_PROPOSAL_RFP-0039"/>
      <sheetName val="????·???·-BLDGL-03E_X9"/>
      <sheetName val="Proposal_Schedule9"/>
      <sheetName val="Administrative_Prices9"/>
      <sheetName val="____·___·-BLDGL-03E_X9"/>
      <sheetName val="sheet"/>
      <sheetName val="粉刷"/>
      <sheetName val="裝修"/>
      <sheetName val="設備分析"/>
      <sheetName val="詳細表"/>
      <sheetName val="JHR-month"/>
      <sheetName val="BS"/>
      <sheetName val="fac_to FPC 12-17"/>
      <sheetName val="選單"/>
      <sheetName val="M 11"/>
      <sheetName val="POWER ASSUMPTIONS"/>
      <sheetName val="発注"/>
      <sheetName val="SUMMARY BQ"/>
      <sheetName val="Vessel_Size1"/>
      <sheetName val="BM_DATA_SHEET1"/>
      <sheetName val="V-101_&amp;_V2011"/>
      <sheetName val="Eng_Hrs_(HO)1"/>
      <sheetName val="Cable_Ladder_Detail1"/>
      <sheetName val="SPT_vs_PHI1"/>
      <sheetName val="Sum_Price"/>
      <sheetName val="ITB_COST1"/>
      <sheetName val="2_1_受電設備棟1"/>
      <sheetName val="2_2_受・防火水槽1"/>
      <sheetName val="2_3_排水処理設備棟1"/>
      <sheetName val="2_4_倉庫棟1"/>
      <sheetName val="2_5_守衛棟1"/>
      <sheetName val="계측_내역서1"/>
      <sheetName val="member_design1"/>
      <sheetName val="design_criteria1"/>
      <sheetName val="working_load_at_the_btm_ft_1"/>
      <sheetName val="plan&amp;section_of_foundation1"/>
      <sheetName val="soil_bearing_check1"/>
      <sheetName val="Estimate_Summary1"/>
      <sheetName val="????�???�-BLDGL-03E_X1"/>
      <sheetName val="fac_to_FPC_12-17"/>
      <sheetName val="ﾄﾞﾊﾞｲFUEL_GAS追見"/>
      <sheetName val="‡¬’@‰¿ì¬痰͞娾,"/>
      <sheetName val="‡¬’@‰¿ì¬痰͞"/>
      <sheetName val="fin_stmt"/>
      <sheetName val="4-3_보온_기본물량집계"/>
      <sheetName val="A_(2)"/>
      <sheetName val="POWER_ASSUMPTIONS"/>
      <sheetName val="auxiliary sheet"/>
      <sheetName val="Tongke"/>
      <sheetName val="bldg list"/>
      <sheetName val="Grouping List"/>
      <sheetName val="Valve Cl"/>
      <sheetName val="CODE-STR"/>
      <sheetName val="Tables"/>
      <sheetName val="FLUID_INFO"/>
      <sheetName val="NCCALC11"/>
      <sheetName val="단가비교"/>
      <sheetName val="시가지우회도로공내역서"/>
      <sheetName val="실행내역"/>
      <sheetName val="highlight"/>
      <sheetName val="ld-sd-dt"/>
      <sheetName val="ld-sd"/>
      <sheetName val="Type_Unit"/>
      <sheetName val="AG-ISBL"/>
      <sheetName val="Process_Piping1"/>
      <sheetName val="EQUIPMENT_-21"/>
      <sheetName val="Manhors_&amp;_Productivity"/>
      <sheetName val="Site_Est"/>
      <sheetName val="Site_Staff"/>
      <sheetName val="OUTER_AREA(겹침없음)1"/>
      <sheetName val="90EL_JACKET1"/>
      <sheetName val="EL_표면적1"/>
      <sheetName val="Coste_PBreakdown1"/>
      <sheetName val="TR_NIVEL2_Total1"/>
      <sheetName val="Air_Cooler-E"/>
      <sheetName val="steel_data_sheet"/>
      <sheetName val="GTDDDDDD"/>
      <sheetName val="datos"/>
      <sheetName val="Abbreviation"/>
      <sheetName val="ùêà÷__íÂà÷øú-BLDG"/>
      <sheetName val="¬P¿ì¬_-BLDG"/>
      <sheetName val="_¢Ô_¡þ¡¯P¢¶¢¯_i_¡þ_-BLDG"/>
      <sheetName val="_¢Ô_¡þ¡¯P¢¶¢¯_i_¡þ_E-BLDG"/>
      <sheetName val="___ÎÅ___-BLDG"/>
      <sheetName val="ùêà÷__íÂà÷_-BLDG"/>
      <sheetName val="_¢Ô_¡þ¡¯P¢¶¢¯_i_x0010_¡þ_-BLDG"/>
      <sheetName val="____�___�-BLDGL-03E_X1"/>
      <sheetName val="ﾄﾞﾊﾞｲFUEL_GAS追見1"/>
      <sheetName val="Sum_Price1"/>
      <sheetName val="AD_ST1"/>
      <sheetName val="4-3_보온_기본물량집계1"/>
      <sheetName val="A_(2)1"/>
      <sheetName val="_¢Ô_¡þ¡¯P¢¶¢¯_i_x005f_x0010_¡þ_-BLDG"/>
      <sheetName val="?¢Ô?¡þ¡¯P¢¶¢¯?i_x005f_x0010_¡þ?-BLDG"/>
      <sheetName val="Bond &amp; Stamp"/>
      <sheetName val="95삼성급(본사)"/>
      <sheetName val="전차선로 물량표"/>
      <sheetName val="H-PILE 박기"/>
      <sheetName val="배관-내역서(주제어)"/>
      <sheetName val="배관-품셈총괄표"/>
      <sheetName val="_공사비예산서"/>
      <sheetName val="I一般比"/>
      <sheetName val="토공정보"/>
      <sheetName val="EXPAN-1"/>
      <sheetName val="견적총괄표"/>
      <sheetName val="NERACA T"/>
      <sheetName val="CRA-Detail"/>
      <sheetName val="PROGRES "/>
      <sheetName val="COS_REP.XLS"/>
      <sheetName val="뜃맟뭁돽띿맟_뱟j耀"/>
      <sheetName val="‡¬’@‰¿ì¬痰͞_x001b_娾,"/>
      <sheetName val="Do not Delete"/>
      <sheetName val="Plan Progress"/>
      <sheetName val="전기"/>
      <sheetName val="‡¬’@‰¿ì¬痰͞_x001b_?娾,"/>
      <sheetName val="Overall MTO - 20191001 (old)"/>
      <sheetName val="MTO for BMBQ"/>
      <sheetName val="PCWBS Map"/>
      <sheetName val="Paint&amp;Ins"/>
      <sheetName val="reff"/>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MLCL"/>
      <sheetName val="DB-Weight"/>
      <sheetName val="DB-EQL"/>
      <sheetName val="DB-BOLT SIZE"/>
      <sheetName val="REQ LIST"/>
      <sheetName val="DESC NEW PMC"/>
      <sheetName val="MTO_2020.03.03"/>
      <sheetName val="BM_PIVOT"/>
      <sheetName val="BQ_2020.03.03"/>
      <sheetName val="BQ_2020.03.12 edit"/>
      <sheetName val="BQ_2020.03.12 (2)"/>
      <sheetName val="Hyperlink"/>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 Equip't Fuel Consumpt"/>
      <sheetName val="Unit"/>
      <sheetName val="Table-3"/>
      <sheetName val=" Equip't Mob Plan"/>
      <sheetName val="FAB별"/>
      <sheetName val="LISTS"/>
      <sheetName val="Peak Craft (old)"/>
      <sheetName val="BTH-TMDT"/>
      <sheetName val="tj定额"/>
      <sheetName val="BAG-2"/>
      <sheetName val="Sat. Pek."/>
      <sheetName val="INSTALLATION"/>
      <sheetName val="Minggu ke-37"/>
      <sheetName val="기자재집계"/>
      <sheetName val="날개벽(좌,우=60도-4개)"/>
      <sheetName val="合成??作成表_BLDG"/>
      <sheetName val="내역"/>
      <sheetName val="±â±â¸®½ºÆ®"/>
      <sheetName val="明細"/>
      <sheetName val="事務所"/>
      <sheetName val="‡¬’@‰¿ì¬痰͞_x001b__x00"/>
      <sheetName val="‡¬’@‰¿ì¬痰͞_x005"/>
      <sheetName val="Mech CIF"/>
      <sheetName val="04_-_Civil"/>
      <sheetName val="HARGA_SATUAN"/>
      <sheetName val="GROUNDING_산출근거"/>
      <sheetName val="?¢Ô?¡þ¡¯P¢¶¢¯?i¡þ?-BLDG"/>
      <sheetName val="할증_"/>
      <sheetName val="SOL_TEMP_DOWN"/>
      <sheetName val="Status &amp; Target Detail"/>
      <sheetName val="INDEX"/>
      <sheetName val="RFP003C"/>
      <sheetName val="RFP003D"/>
      <sheetName val="RFP003E"/>
      <sheetName val="RFP003 BRK-DWN"/>
      <sheetName val="RFP003G"/>
      <sheetName val="RFP003E BRK-DWN"/>
      <sheetName val="RFP003A "/>
      <sheetName val="RFP004"/>
      <sheetName val="RFP004E"/>
      <sheetName val="RFP005"/>
      <sheetName val="RFP006"/>
      <sheetName val="RFP007"/>
      <sheetName val="RFP008"/>
      <sheetName val="RFP009"/>
      <sheetName val="RFP010"/>
      <sheetName val="RFP011"/>
      <sheetName val="RFP11(1)"/>
      <sheetName val="RFP11(2)"/>
      <sheetName val="RFP11(3)"/>
      <sheetName val="RFP013"/>
      <sheetName val="RFP014"/>
      <sheetName val="RFP015"/>
      <sheetName val="INDEX (Tdk wajib di Isi HO)"/>
      <sheetName val="Analisa_Harsat_dasar"/>
      <sheetName val="harga_"/>
      <sheetName val="Piping_Insulation"/>
      <sheetName val="GT_Mobi_Plan-Direct_Labor"/>
      <sheetName val="BD_COST"/>
      <sheetName val="CPA33-34"/>
      <sheetName val="ac_data"/>
      <sheetName val="PDA2"/>
      <sheetName val="bp bill"/>
      <sheetName val="Master Table"/>
      <sheetName val="1. Master Table"/>
      <sheetName val="Project Information"/>
      <sheetName val="Subcontractor Information"/>
      <sheetName val="Work Location Information"/>
      <sheetName val="Area Code Information"/>
      <sheetName val="System List Information"/>
      <sheetName val="Subsystem List Information"/>
      <sheetName val="FORM"/>
      <sheetName val="リスト"/>
      <sheetName val="チューブ仕様"/>
      <sheetName val="약품공급2"/>
      <sheetName val="Qty take-off IFCplans "/>
      <sheetName val="RTO5BASEref001"/>
      <sheetName val="PIPE-HOT"/>
      <sheetName val="Setup"/>
      <sheetName val="Toolbox"/>
      <sheetName val="____-BLDG"/>
      <sheetName val="_??_-BLDG"/>
      <sheetName val="SW-TEO"/>
      <sheetName val="Subs"/>
      <sheetName val="P. 5"/>
      <sheetName val="P. 6"/>
      <sheetName val="1"/>
      <sheetName val="MOHKG"/>
      <sheetName val="Financ. Overview"/>
      <sheetName val="eqpmad2"/>
      <sheetName val="Project Details"/>
      <sheetName val="표지 "/>
      <sheetName val="Tabelle1"/>
      <sheetName val="내역서갑지"/>
      <sheetName val="2008年试用版"/>
      <sheetName val="报表目录"/>
      <sheetName val="Data Sheet"/>
      <sheetName val="General"/>
      <sheetName val="材料表"/>
      <sheetName val="contract"/>
      <sheetName val="图纸目录"/>
      <sheetName val="單價表STD"/>
      <sheetName val="우수관집계 "/>
      <sheetName val="관경별집계"/>
      <sheetName val="A-COW"/>
      <sheetName val="汇总"/>
      <sheetName val="P1012001"/>
      <sheetName val="行政区划"/>
      <sheetName val="事业发展"/>
      <sheetName val="Code Set"/>
      <sheetName val="Modified Store"/>
      <sheetName val="MATERIAL TRACKING LOG"/>
      <sheetName val="L"/>
      <sheetName val="Jabin"/>
      <sheetName val="成本分析（新）"/>
      <sheetName val="配液系统报价清单 "/>
      <sheetName val="Header Data"/>
      <sheetName val="Datas"/>
      <sheetName val="GEREPORT"/>
      <sheetName val="‡¬’@‰¿ì¬痰͞_x001b__娾,"/>
      <sheetName val="合成__作成表_BLDG"/>
      <sheetName val="_¢Ô_¡þ¡¯P¢¶¢¯_i¡þ_-BLDG"/>
      <sheetName val="Cover Pg"/>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sheetData sheetId="760" refreshError="1"/>
      <sheetData sheetId="761" refreshError="1"/>
      <sheetData sheetId="762"/>
      <sheetData sheetId="763"/>
      <sheetData sheetId="764"/>
      <sheetData sheetId="765"/>
      <sheetData sheetId="766"/>
      <sheetData sheetId="767" refreshError="1"/>
      <sheetData sheetId="768" refreshError="1"/>
      <sheetData sheetId="769" refreshError="1"/>
      <sheetData sheetId="770" refreshError="1"/>
      <sheetData sheetId="771" refreshError="1"/>
      <sheetData sheetId="772"/>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sheetData sheetId="812"/>
      <sheetData sheetId="813"/>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sheetData sheetId="824"/>
      <sheetData sheetId="825"/>
      <sheetData sheetId="826" refreshError="1"/>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refreshError="1"/>
      <sheetData sheetId="844"/>
      <sheetData sheetId="845"/>
      <sheetData sheetId="846"/>
      <sheetData sheetId="847"/>
      <sheetData sheetId="848" refreshError="1"/>
      <sheetData sheetId="849"/>
      <sheetData sheetId="850"/>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sheetData sheetId="870"/>
      <sheetData sheetId="871" refreshError="1"/>
      <sheetData sheetId="872" refreshError="1"/>
      <sheetData sheetId="873" refreshError="1"/>
      <sheetData sheetId="874"/>
      <sheetData sheetId="875"/>
      <sheetData sheetId="876"/>
      <sheetData sheetId="877"/>
      <sheetData sheetId="878"/>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sheetData sheetId="1018"/>
      <sheetData sheetId="1019"/>
      <sheetData sheetId="1020"/>
      <sheetData sheetId="1021"/>
      <sheetData sheetId="1022" refreshError="1"/>
      <sheetData sheetId="1023" refreshError="1"/>
      <sheetData sheetId="1024" refreshError="1"/>
      <sheetData sheetId="1025" refreshError="1"/>
      <sheetData sheetId="1026" refreshError="1"/>
      <sheetData sheetId="1027" refreshError="1"/>
      <sheetData sheetId="1028"/>
      <sheetData sheetId="1029"/>
      <sheetData sheetId="1030"/>
      <sheetData sheetId="1031"/>
      <sheetData sheetId="1032"/>
      <sheetData sheetId="1033"/>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sheetData sheetId="1085"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Liste Récept"/>
      <sheetName val="Liste Moteur"/>
      <sheetName val="Table"/>
    </sheetNames>
    <sheetDataSet>
      <sheetData sheetId="0" refreshError="1"/>
      <sheetData sheetId="1" refreshError="1"/>
      <sheetData sheetId="2"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revision"/>
      <sheetName val="Data Leo"/>
      <sheetName val="Annual running hours"/>
      <sheetName val="data OAU ashp"/>
      <sheetName val="OAU Qilin"/>
      <sheetName val="Data"/>
      <sheetName val="Mass balance"/>
      <sheetName val="Mass balance (no formula)"/>
      <sheetName val="Solvent_calculations"/>
      <sheetName val="Water balance"/>
      <sheetName val="Water balance (2)"/>
      <sheetName val="Properties"/>
      <sheetName val="Graphe Tv"/>
      <sheetName val="Data (leo 40 k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XDO_HIDDEN"/>
      <sheetName val="VALVE LIST.xdo"/>
    </sheetNames>
    <sheetDataSet>
      <sheetData sheetId="0"/>
      <sheetData sheetId="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Quantity"/>
      <sheetName val="PS"/>
      <sheetName val="C"/>
      <sheetName val="D"/>
      <sheetName val="G"/>
      <sheetName val="I"/>
      <sheetName val="J"/>
      <sheetName val="IJ"/>
      <sheetName val="LP"/>
      <sheetName val="P"/>
      <sheetName val="L"/>
      <sheetName val="LS"/>
      <sheetName val="LT"/>
      <sheetName val="LE"/>
      <sheetName val="N"/>
      <sheetName val="FM"/>
      <sheetName val="SF"/>
      <sheetName val="SP"/>
      <sheetName val="DW"/>
      <sheetName val="UG "/>
      <sheetName val="Synop"/>
      <sheetName val="Basis"/>
      <sheetName val="合成単価作成表-BLDG"/>
      <sheetName val="Sheet9"/>
      <sheetName val="BQMPALOC"/>
      <sheetName val="jobhist"/>
      <sheetName val="2.2 STAFF Scedule"/>
      <sheetName val=" Sum"/>
      <sheetName val="share"/>
      <sheetName val=""/>
      <sheetName val="DWG"/>
      <sheetName val="PRO"/>
      <sheetName val="수입"/>
      <sheetName val="97 사업추정(WEKI)"/>
      <sheetName val="97"/>
      <sheetName val="ANX3A11"/>
      <sheetName val="MyLists"/>
      <sheetName val="Manpower Construction"/>
      <sheetName val="summary RE &amp; CF"/>
      <sheetName val="MANP"/>
      <sheetName val="31 July 2005"/>
      <sheetName val="HSE "/>
      <sheetName val="Malaysia incl. RET"/>
      <sheetName val="Sheet1"/>
      <sheetName val="#REF"/>
      <sheetName val="Validation"/>
      <sheetName val="INSTR-A Main Work"/>
      <sheetName val="EE-SAP"/>
      <sheetName val="p.mgmt"/>
      <sheetName val="A"/>
      <sheetName val="info"/>
      <sheetName val="산근"/>
      <sheetName val="Billing amount "/>
      <sheetName val="MP-AGPip-Dir"/>
      <sheetName val="RHI GROUP"/>
      <sheetName val="RHI Konzern"/>
      <sheetName val="cov RHI GROUP"/>
      <sheetName val="PTE-Company"/>
      <sheetName val="Equipment List"/>
      <sheetName val="CAT_5"/>
      <sheetName val="pipeline-1"/>
      <sheetName val="Main"/>
      <sheetName val="TP"/>
      <sheetName val="COVER"/>
      <sheetName val="Reco"/>
      <sheetName val="bolts"/>
      <sheetName val="주관사업"/>
      <sheetName val="M_EQPT_Z"/>
      <sheetName val="NDOCBT"/>
      <sheetName val="SAP"/>
      <sheetName val="ACTLY"/>
      <sheetName val="Global"/>
      <sheetName val="summary"/>
      <sheetName val="Billing and Status Register"/>
      <sheetName val="UG_"/>
      <sheetName val="summary_RE_&amp;_CF"/>
      <sheetName val="_Sum"/>
      <sheetName val="2_2_STAFF_Scedule"/>
      <sheetName val="31_July_2005"/>
      <sheetName val="HSE_"/>
      <sheetName val="Malaysia_incl__RET"/>
      <sheetName val="INSTR-A_Main_Work"/>
      <sheetName val="p_mgmt"/>
      <sheetName val="Billing_amount_"/>
      <sheetName val="RHI_GROUP"/>
      <sheetName val="RHI_Konzern"/>
      <sheetName val="cov_RHI_GROUP"/>
      <sheetName val="Equipment_List"/>
      <sheetName val="GTC TECHNIP PS 1700.00"/>
      <sheetName val="손익차총괄2"/>
      <sheetName val="Orders &amp; Annexures"/>
      <sheetName val="UG_1"/>
      <sheetName val="summary_RE_&amp;_CF1"/>
      <sheetName val="_Sum1"/>
      <sheetName val="2_2_STAFF_Scedule1"/>
      <sheetName val="31_July_20051"/>
      <sheetName val="HSE_1"/>
      <sheetName val="Malaysia_incl__RET1"/>
      <sheetName val="INSTR-A_Main_Work1"/>
      <sheetName val="p_mgmt1"/>
      <sheetName val="Billing_amount_1"/>
      <sheetName val="RHI_GROUP1"/>
      <sheetName val="RHI_Konzern1"/>
      <sheetName val="cov_RHI_GROUP1"/>
      <sheetName val="Equipment_List1"/>
      <sheetName val="Billing_and_Status_Register"/>
      <sheetName val="GTC_TECHNIP_PS_1700_00"/>
      <sheetName val="장비"/>
      <sheetName val="노무"/>
      <sheetName val="자재"/>
      <sheetName val="산근1"/>
      <sheetName val="UG_2"/>
      <sheetName val="_Sum2"/>
      <sheetName val="summary_RE_&amp;_CF2"/>
      <sheetName val="2_2_STAFF_Scedule2"/>
      <sheetName val="31_July_20052"/>
      <sheetName val="HSE_2"/>
      <sheetName val="Malaysia_incl__RET2"/>
      <sheetName val="INSTR-A_Main_Work2"/>
      <sheetName val="p_mgmt2"/>
      <sheetName val="Billing_amount_2"/>
      <sheetName val="RHI_GROUP2"/>
      <sheetName val="RHI_Konzern2"/>
      <sheetName val="cov_RHI_GROUP2"/>
      <sheetName val="Equipment_List2"/>
      <sheetName val="Billing_and_Status_Register1"/>
      <sheetName val="GTC_TECHNIP_PS_1700_001"/>
      <sheetName val="Orders_&amp;_Annexures"/>
      <sheetName val="Link Table"/>
      <sheetName val="Weight factors"/>
      <sheetName val="SALA-002"/>
      <sheetName val="Eng."/>
      <sheetName val="6PILE  (돌출)"/>
      <sheetName val="Utility and Fire flange"/>
      <sheetName val="inter"/>
      <sheetName val="Utility_and_Fire_flange"/>
      <sheetName val="Utility_and_Fire_flange1"/>
      <sheetName val="Peak Craft (old)"/>
      <sheetName val="Thixus"/>
      <sheetName val="W1"/>
      <sheetName val="S6"/>
      <sheetName val="PL"/>
      <sheetName val="W"/>
      <sheetName val="Depl"/>
      <sheetName val="1) COMMON FACILITIES"/>
      <sheetName val="INSULATION R1"/>
      <sheetName val="UG_3"/>
      <sheetName val="2_2_STAFF_Scedule3"/>
      <sheetName val="_Sum3"/>
      <sheetName val="97_사업추정(WEKI)"/>
      <sheetName val="Manpower_Construction"/>
      <sheetName val="summary_RE_&amp;_CF3"/>
      <sheetName val="31_July_20053"/>
      <sheetName val="HSE_3"/>
      <sheetName val="Malaysia_incl__RET3"/>
      <sheetName val="INSTR-A_Main_Work3"/>
      <sheetName val="p_mgmt3"/>
      <sheetName val="Billing_amount_3"/>
      <sheetName val="RHI_GROUP3"/>
      <sheetName val="RHI_Konzern3"/>
      <sheetName val="cov_RHI_GROUP3"/>
      <sheetName val="Equipment_List3"/>
      <sheetName val="Billing_and_Status_Register2"/>
      <sheetName val="GTC_TECHNIP_PS_1700_002"/>
      <sheetName val="Orders_&amp;_Annexures1"/>
      <sheetName val="Link_Table"/>
      <sheetName val="Weight_factors"/>
      <sheetName val="Eng_"/>
      <sheetName val="6PILE__(돌출)"/>
      <sheetName val="Utility_and_Fire_flange2"/>
      <sheetName val="Peak_Craft_(old)"/>
      <sheetName val="UG_4"/>
      <sheetName val="2_2_STAFF_Scedule4"/>
      <sheetName val="_Sum4"/>
      <sheetName val="97_사업추정(WEKI)1"/>
      <sheetName val="Manpower_Construction1"/>
      <sheetName val="summary_RE_&amp;_CF4"/>
      <sheetName val="31_July_20054"/>
      <sheetName val="HSE_4"/>
      <sheetName val="Malaysia_incl__RET4"/>
      <sheetName val="INSTR-A_Main_Work4"/>
      <sheetName val="p_mgmt4"/>
      <sheetName val="Billing_amount_4"/>
      <sheetName val="RHI_GROUP4"/>
      <sheetName val="RHI_Konzern4"/>
      <sheetName val="cov_RHI_GROUP4"/>
      <sheetName val="Equipment_List4"/>
      <sheetName val="Billing_and_Status_Register3"/>
      <sheetName val="GTC_TECHNIP_PS_1700_003"/>
      <sheetName val="Orders_&amp;_Annexures2"/>
      <sheetName val="Link_Table1"/>
      <sheetName val="Weight_factors1"/>
      <sheetName val="Eng_1"/>
      <sheetName val="6PILE__(돌출)1"/>
      <sheetName val="Utility_and_Fire_flange3"/>
      <sheetName val="Peak_Craft_(old)1"/>
      <sheetName val="Benchmark"/>
      <sheetName val="Consumables"/>
      <sheetName val="33628-Rev. A"/>
      <sheetName val="inst index"/>
      <sheetName val="Jornales"/>
      <sheetName val="1)_COMMON_FACILITIES"/>
      <sheetName val="INSULATION_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sheetData sheetId="202"/>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P"/>
      <sheetName val="VUOTO"/>
      <sheetName val="2.0-A4"/>
      <sheetName val="SV"/>
      <sheetName val="contactor"/>
      <sheetName val="L"/>
      <sheetName val="RFP007"/>
      <sheetName val="SILIC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Front sheet"/>
      <sheetName val="Page 2 of 7"/>
      <sheetName val="Page 3 of 7"/>
      <sheetName val="Page 4 of 7"/>
      <sheetName val="Page 5 of 7"/>
      <sheetName val="Page 6 of 7"/>
      <sheetName val="Page 7 of 7"/>
      <sheetName val="Module2"/>
      <sheetName val="Module1"/>
      <sheetName val="Chains"/>
      <sheetName val="Drop Down List"/>
      <sheetName val="DropDownList YP"/>
      <sheetName val="Front_sheet"/>
      <sheetName val="Page_2_of_7"/>
      <sheetName val="Page_3_of_7"/>
      <sheetName val="Page_4_of_7"/>
      <sheetName val="Page_5_of_7"/>
      <sheetName val="Page_6_of_7"/>
      <sheetName val="Page_7_of_7"/>
      <sheetName val="Front_sheet1"/>
      <sheetName val="Page_2_of_71"/>
      <sheetName val="Page_3_of_71"/>
      <sheetName val="Page_4_of_71"/>
      <sheetName val="Page_5_of_71"/>
      <sheetName val="Page_6_of_71"/>
      <sheetName val="Page_7_of_71"/>
      <sheetName val="IS Calculation"/>
      <sheetName val="Sheet1"/>
      <sheetName val="Motor"/>
      <sheetName val="Drop down"/>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ProSteam Config"/>
      <sheetName val="ProSteam Calculation"/>
      <sheetName val="Cover sheet(H)"/>
      <sheetName val="#REF"/>
    </sheetNames>
    <sheetDataSet>
      <sheetData sheetId="0"/>
      <sheetData sheetId="1" refreshError="1"/>
      <sheetData sheetId="2" refreshError="1"/>
      <sheetData sheetId="3"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산근"/>
      <sheetName val="Cover sheet"/>
      <sheetName val="Quantity"/>
      <sheetName val="Aboveground Erect_"/>
      <sheetName val="AG Pipe Erect - Frac &amp; Common"/>
      <sheetName val="#REF"/>
      <sheetName val="PROCESS"/>
      <sheetName val="BQ List"/>
      <sheetName val="PipWT"/>
      <sheetName val="ITEM"/>
      <sheetName val="Sheet1"/>
      <sheetName val="CALCULATION"/>
      <sheetName val="Proposal"/>
      <sheetName val="노임"/>
      <sheetName val="Total"/>
      <sheetName val="WIND"/>
      <sheetName val="PROP"/>
      <sheetName val="터널조도"/>
      <sheetName val="IN"/>
      <sheetName val="sch(data)"/>
      <sheetName val="DATA LISTS"/>
      <sheetName val="MEXICO-C"/>
      <sheetName val="MOTOR"/>
      <sheetName val="FAB별"/>
      <sheetName val="연돌일위집계"/>
      <sheetName val="정부노임단가"/>
      <sheetName val="TIE-IN"/>
      <sheetName val="Sheet5"/>
      <sheetName val="BSD (2)"/>
      <sheetName val="금액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C201 RevB Design"/>
      <sheetName val="Scénario surpression"/>
      <sheetName val="hydrogénateurs (MJ)"/>
      <sheetName val="OLDHydrogénateur"/>
      <sheetName val="Hydrogénateur modifié (Qilin)"/>
      <sheetName val="Filtration Primaire (Qilin)"/>
      <sheetName val="Filtration Secondaire"/>
      <sheetName val="Coalesceur ST  S1260"/>
      <sheetName val="Colonne Alumine"/>
      <sheetName val="Filtration S1413"/>
      <sheetName val="Filtration H2O2 S1240"/>
      <sheetName val="Coalesceur H2O2 S1245"/>
      <sheetName val="Implantation R1210"/>
      <sheetName val="Implantation R1210 revue"/>
      <sheetName val="Colonne D1220"/>
      <sheetName val="Section Charbon 1_2"/>
      <sheetName val="Section Charbon 2_2"/>
      <sheetName val="R503"/>
      <sheetName val="R250-R502  tanks"/>
      <sheetName val="Old Section Charbon"/>
      <sheetName val="OLD Compresseur C11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Instruction"/>
      <sheetName val="Calculation"/>
      <sheetName val="Pipe Dia"/>
      <sheetName val="Pipe Calc"/>
      <sheetName val="RFP002"/>
      <sheetName val="R56600 (1)"/>
      <sheetName val="合成単価作成表-BLDG"/>
      <sheetName val="IO Types"/>
      <sheetName val="Line Siz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CAB.XLS"/>
      <sheetName val="Emp. No. (2)"/>
    </sheetNames>
    <sheetDataSet>
      <sheetData sheetId="0" refreshError="1"/>
      <sheetData sheetId="1"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산근"/>
      <sheetName val="[TEPC 2197-SC002-EXB-Mech-BOQ-r"/>
      <sheetName val="Saisie"/>
      <sheetName val="SYSTEM 945 Air&amp;Nitrogen"/>
      <sheetName val="TTL"/>
      <sheetName val=""/>
      <sheetName val="TEPC 2197-SC002-EXB-Mech-BOQ-re"/>
      <sheetName val="Cover_page"/>
      <sheetName val="M_11"/>
      <sheetName val="M_21A"/>
      <sheetName val="M_21B"/>
      <sheetName val="M_31A"/>
      <sheetName val="M_31B"/>
      <sheetName val="M_32A"/>
      <sheetName val="M_32B"/>
      <sheetName val="M_41A"/>
      <sheetName val="M_41B"/>
      <sheetName val="M_42A"/>
      <sheetName val="M_42B"/>
      <sheetName val="M_51"/>
      <sheetName val="M_52"/>
      <sheetName val="SYSTEM_945_Air&amp;Nitrogen"/>
      <sheetName val="Cover_page1"/>
      <sheetName val="M_111"/>
      <sheetName val="M_21A1"/>
      <sheetName val="M_21B1"/>
      <sheetName val="M_31A1"/>
      <sheetName val="M_31B1"/>
      <sheetName val="M_32A1"/>
      <sheetName val="M_32B1"/>
      <sheetName val="M_41A1"/>
      <sheetName val="M_41B1"/>
      <sheetName val="M_42A1"/>
      <sheetName val="M_42B1"/>
      <sheetName val="M_511"/>
      <sheetName val="M_521"/>
      <sheetName val="SYSTEM_945_Air&amp;Nitroge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Page 1"/>
      <sheetName val="Schematic"/>
      <sheetName val="Revised l551aeds New Logo"/>
      <sheetName val="BILAL2"/>
      <sheetName val="Pipe ID"/>
      <sheetName val="Alternator"/>
      <sheetName val="Page_1"/>
      <sheetName val="Electrical Load List"/>
      <sheetName val="IA drier Page 1"/>
      <sheetName val="C-3204"/>
      <sheetName val="MECH1"/>
      <sheetName val="Air Cooler kPa"/>
      <sheetName val="PipeSizes"/>
      <sheetName val="2STG"/>
      <sheetName val="DP"/>
      <sheetName val="DB_Gear"/>
      <sheetName val="DB_Master"/>
      <sheetName val="Fluids"/>
      <sheetName val="S0"/>
      <sheetName val="TWO PASS"/>
      <sheetName val="THREE PASS"/>
      <sheetName val="DEF"/>
      <sheetName val="Summary (rev0)"/>
      <sheetName val="Settings"/>
      <sheetName val="HMB 75 MMSCFD"/>
      <sheetName val="Calca"/>
      <sheetName val="Units"/>
      <sheetName val="Sheet2"/>
      <sheetName val="51-PSV8008L"/>
      <sheetName val="GEN"/>
      <sheetName val="Coupling"/>
      <sheetName val="Sheet1"/>
      <sheetName val="Rekap A"/>
      <sheetName val="UnitTable"/>
      <sheetName val="Data"/>
      <sheetName val="Revisions"/>
      <sheetName val="REF.ONLY"/>
      <sheetName val="Step"/>
      <sheetName val="date"/>
      <sheetName val="Form-3.3"/>
      <sheetName val="BOQ"/>
      <sheetName val="Rekap"/>
      <sheetName val="Data Cable"/>
      <sheetName val="CS_SS892"/>
      <sheetName val="CS_SS191"/>
      <sheetName val="CS_SS192"/>
      <sheetName val="CS_SS961"/>
      <sheetName val="CS_SS391"/>
      <sheetName val="CS_SS791"/>
      <sheetName val="CS_SS491"/>
      <sheetName val="CS_SS492"/>
      <sheetName val="MVCable"/>
      <sheetName val="COCable"/>
      <sheetName val="RXDATA"/>
      <sheetName val=" ratings"/>
      <sheetName val="PConsCS"/>
      <sheetName val="dia-in"/>
      <sheetName val="Break_down"/>
      <sheetName val="Equipment"/>
      <sheetName val="eq_data"/>
      <sheetName val="HVAC"/>
      <sheetName val="BM DATA SHEET"/>
      <sheetName val="summary"/>
      <sheetName val="Breakdown"/>
      <sheetName val="Page_11"/>
      <sheetName val="process data (2)"/>
      <sheetName val="Summary of BQ Material"/>
      <sheetName val="Satuan Dasar"/>
      <sheetName val="Calc"/>
      <sheetName val="Tank2"/>
      <sheetName val="Conn. Lib"/>
      <sheetName val="AOP Summary-2"/>
      <sheetName val="List Doc"/>
      <sheetName val="Material"/>
      <sheetName val="Works"/>
      <sheetName val="Services"/>
      <sheetName val="A(Rev.3)"/>
      <sheetName val="Template"/>
      <sheetName val="oil syst data shts"/>
      <sheetName val="Superstruc"/>
      <sheetName val="Price Summary (2)"/>
      <sheetName val="#REF"/>
      <sheetName val="HYDROTEST DIAGRAM"/>
      <sheetName val="WIP"/>
      <sheetName val="Spread"/>
      <sheetName val="PDMS DATA"/>
      <sheetName val="Scan Code Standards"/>
      <sheetName val="Page_12"/>
      <sheetName val="STRUKTUR"/>
      <sheetName val="VLL BAFF SDLL"/>
      <sheetName val="Pages 1-5"/>
      <sheetName val="CMP_A2series_Gland"/>
      <sheetName val="Kukdong_Cable_data"/>
      <sheetName val="L"/>
      <sheetName val="Assmpns"/>
      <sheetName val="Dist_analys"/>
      <sheetName val="subkon"/>
      <sheetName val="SELL-SUMM-COST"/>
      <sheetName val="XDO_HIDDEN"/>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OSBL Power Balance"/>
      <sheetName val="Revision"/>
      <sheetName val="Motor list"/>
      <sheetName val="Setup"/>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L"/>
      <sheetName val="VUOTO"/>
      <sheetName val="2.0-A4"/>
      <sheetName val="AD ST"/>
      <sheetName val="合成単価作成表-BLDG"/>
      <sheetName val="SILICATE"/>
      <sheetName val="Total Sum"/>
      <sheetName val="Lists"/>
      <sheetName val="APC UPS"/>
      <sheetName val="Phone System Planning"/>
      <sheetName val="nam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Page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왕갑지"/>
      <sheetName val="갑지"/>
      <sheetName val="내역서"/>
      <sheetName val="산근"/>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M 11"/>
      <sheetName val="Factor"/>
      <sheetName val="공문"/>
      <sheetName val="合成単価作成表-BLDG"/>
      <sheetName val="jobhist"/>
      <sheetName val="HVAC"/>
      <sheetName val="#2CDU실행"/>
      <sheetName val="w't table"/>
      <sheetName val="토목(대안)"/>
      <sheetName val="할증 "/>
      <sheetName val="#REF"/>
      <sheetName val="12CGOU"/>
      <sheetName val="뜃맟뭁돽띿맟?-BLDG"/>
      <sheetName val="단가집"/>
      <sheetName val=" Sum"/>
      <sheetName val="h-013211-2"/>
      <sheetName val="해평견적"/>
      <sheetName val="Main"/>
      <sheetName val="공정계획(내부계획25%,내부w.f)"/>
      <sheetName val="기계내역서"/>
      <sheetName val="BATCH"/>
      <sheetName val="단가"/>
      <sheetName val="99노임기준"/>
      <sheetName val="일위대가"/>
      <sheetName val="제잡비"/>
      <sheetName val="공내역서"/>
      <sheetName val="식재"/>
      <sheetName val="시설물"/>
      <sheetName val="식재출력용"/>
      <sheetName val="유지관리"/>
      <sheetName val="단가조사"/>
      <sheetName val="계수시트"/>
      <sheetName val="원가계산서"/>
      <sheetName val="대림경상68억"/>
      <sheetName val="시설물일위"/>
      <sheetName val="수목데이타"/>
      <sheetName val="가설공사"/>
      <sheetName val="단가결정"/>
      <sheetName val="내역아"/>
      <sheetName val="울타리"/>
      <sheetName val="Piping(Methanol)"/>
      <sheetName val="HO ENG MH CAL"/>
      <sheetName val="Gia vat tu"/>
      <sheetName val="환율표"/>
      <sheetName val="Sheet1"/>
      <sheetName val="수지표"/>
      <sheetName val="셀명"/>
      <sheetName val="PipWT"/>
      <sheetName val="inter"/>
      <sheetName val="PIPE"/>
      <sheetName val="FLANGE"/>
      <sheetName val="VALVE"/>
      <sheetName val="cal"/>
      <sheetName val="2-1. 경관조명 내역총괄표"/>
      <sheetName val="CAT_5"/>
      <sheetName val="Piping Design Data"/>
      <sheetName val="뜃맟뭁돽띿맟_-BLDG"/>
      <sheetName val="원가계산"/>
      <sheetName val="재료비"/>
      <sheetName val="Price Summary Sheet (Final BQ)"/>
      <sheetName val="EQT-ESTN"/>
      <sheetName val="Currencies"/>
      <sheetName val="Chi tiet"/>
      <sheetName val="PDS U-1400"/>
      <sheetName val="PROGRESS"/>
      <sheetName val="일위대가표"/>
      <sheetName val="장비종합부표"/>
      <sheetName val="집계표_식재"/>
      <sheetName val="부표"/>
      <sheetName val="경비"/>
      <sheetName val="AREA"/>
      <sheetName val="D"/>
      <sheetName val="Summary"/>
      <sheetName val="관련부서"/>
      <sheetName val="Report"/>
      <sheetName val="추가예산"/>
      <sheetName val="갑지(추정)"/>
      <sheetName val="공통(20-91)"/>
      <sheetName val="DATE"/>
      <sheetName val="Spec1"/>
      <sheetName val="견적기준"/>
      <sheetName val="노임이"/>
      <sheetName val="공사_산출"/>
      <sheetName val="산출내역"/>
      <sheetName val="준공조서갑지"/>
      <sheetName val="PSV2701F"/>
      <sheetName val="costing_CV"/>
      <sheetName val="Chiet tinh dz35"/>
      <sheetName val="Chiet tinh dz22"/>
      <sheetName val="CT Thang Mo"/>
      <sheetName val="CT  PL"/>
      <sheetName val="MTP"/>
      <sheetName val="MTP1"/>
      <sheetName val="8"/>
      <sheetName val="10"/>
      <sheetName val="12"/>
      <sheetName val="9"/>
      <sheetName val="11"/>
      <sheetName val="2"/>
      <sheetName val="AA"/>
      <sheetName val="도급"/>
      <sheetName val="도면자료제출일정"/>
      <sheetName val="MB(LAB_No.2)"/>
      <sheetName val="개산공사비"/>
      <sheetName val="AILC004"/>
      <sheetName val="설계"/>
      <sheetName val="PBS"/>
      <sheetName val="편성절차"/>
      <sheetName val="SUBCON"/>
      <sheetName val="cement"/>
      <sheetName val="TOT-SUM"/>
      <sheetName val="예총"/>
      <sheetName val="UNIT PRICES"/>
      <sheetName val="주관사업"/>
      <sheetName val="견적대비표"/>
      <sheetName val="cable-data"/>
      <sheetName val="기자재집계"/>
      <sheetName val="토공개요"/>
      <sheetName val="Pile"/>
      <sheetName val="SS2"/>
      <sheetName val="TRANSFER"/>
      <sheetName val="실행내역"/>
      <sheetName val="name"/>
      <sheetName val="BQMPALOC"/>
      <sheetName val="설계명세서"/>
      <sheetName val="품셈표"/>
      <sheetName val="設計条件"/>
      <sheetName val="Precall-new"/>
      <sheetName val="BASE DE PERSONAL"/>
      <sheetName val="Facturación A"/>
      <sheetName val="TABLAS"/>
      <sheetName val="RES"/>
      <sheetName val="SILICATE"/>
      <sheetName val="Civil"/>
      <sheetName val="DB@Acess"/>
      <sheetName val="INDIRECTS"/>
      <sheetName val="DELIVERIES"/>
      <sheetName val="참고자료"/>
      <sheetName val="見積条件入力画面"/>
      <sheetName val="性能取り纏め"/>
      <sheetName val="일위대가목차"/>
      <sheetName val="노임단가"/>
      <sheetName val="전기"/>
      <sheetName val="CODE"/>
      <sheetName val="TIE-INS"/>
      <sheetName val="A01"/>
      <sheetName val="A11"/>
      <sheetName val="A16"/>
      <sheetName val="A02"/>
      <sheetName val="A03"/>
      <sheetName val="A04"/>
      <sheetName val="A05"/>
      <sheetName val="A06"/>
      <sheetName val="A07"/>
      <sheetName val="A08a"/>
      <sheetName val="A08b"/>
      <sheetName val="CE-ORG"/>
      <sheetName val="Variations"/>
      <sheetName val="laroux"/>
      <sheetName val="단중표-ST"/>
      <sheetName val="Segment"/>
      <sheetName val="실행내역서 "/>
      <sheetName val="Q5434 EQ LIST"/>
      <sheetName val="Pump"/>
      <sheetName val="MEPS Structural Steel Index 비교"/>
      <sheetName val="MEPS CS Index 비교"/>
      <sheetName val="집계표(OPTION)"/>
      <sheetName val="M"/>
      <sheetName val="98수지배부(수정)"/>
      <sheetName val="총괄표"/>
      <sheetName val="실행철강하도"/>
      <sheetName val="잡비계산"/>
      <sheetName val="AU"/>
      <sheetName val="wp DESCRIPTION"/>
      <sheetName val="Civil Boq"/>
      <sheetName val="Total"/>
      <sheetName val="대창(함평)"/>
      <sheetName val="대창(장성)"/>
      <sheetName val="경비집계"/>
      <sheetName val="ESTI."/>
      <sheetName val="DI-ESTI"/>
      <sheetName val="96.12"/>
      <sheetName val="영업소실적"/>
      <sheetName val="3514-HV-0201"/>
      <sheetName val="PROJECT"/>
      <sheetName val="eq_data"/>
      <sheetName val="COA-17"/>
      <sheetName val="C-18"/>
      <sheetName val="9-1차이내역"/>
      <sheetName val="Questions to Vendor"/>
      <sheetName val="??-BLDG"/>
      <sheetName val="KP1590_E"/>
      <sheetName val="BOX 설계"/>
      <sheetName val="1.설계조건"/>
      <sheetName val="member design"/>
      <sheetName val="design criteria"/>
      <sheetName val="working load at the btm ft."/>
      <sheetName val="plan&amp;section of foundation"/>
      <sheetName val="soil bearing check"/>
      <sheetName val="SKETCH"/>
      <sheetName val="CAL."/>
      <sheetName val="MEXICO-C"/>
      <sheetName val="15100"/>
      <sheetName val="CONSTANTES"/>
      <sheetName val="Weights"/>
      <sheetName val="당진1,2호기전선관설치및접지4차공사내역서-을지"/>
      <sheetName val="BM"/>
      <sheetName val="costing_Misc"/>
      <sheetName val="Data"/>
      <sheetName val="Utility and Fire flange"/>
      <sheetName val="Quantity"/>
      <sheetName val="__-BLDG"/>
      <sheetName val="hGH정제"/>
      <sheetName val="거래처계좌"/>
      <sheetName val="Process Piping"/>
      <sheetName val="공사비 내역 (가)"/>
      <sheetName val="2002년12월"/>
      <sheetName val="대비표"/>
      <sheetName val="POWER"/>
      <sheetName val="설명서 "/>
      <sheetName val="토목"/>
      <sheetName val="P2-Project Data"/>
      <sheetName val="C3"/>
      <sheetName val="마감집계(창고)"/>
      <sheetName val="도장면적"/>
      <sheetName val="마감산근(창고)"/>
      <sheetName val="자재단가조사표-수목"/>
      <sheetName val="건축명"/>
      <sheetName val="기계명"/>
      <sheetName val="전기명"/>
      <sheetName val="토목명"/>
      <sheetName val="수주추정"/>
      <sheetName val="차액보증"/>
      <sheetName val="H_param"/>
      <sheetName val="명세서"/>
      <sheetName val="상반기손익차2총괄"/>
      <sheetName val="Project Details"/>
      <sheetName val="steel data sheet"/>
      <sheetName val="CTEMCOST"/>
      <sheetName val="2. Project Orgarnization(Site)"/>
      <sheetName val="X17-TOTAL"/>
      <sheetName val="견"/>
      <sheetName val="FAB별"/>
      <sheetName val="XLR_NoRangeSheet"/>
      <sheetName val="자금운영"/>
      <sheetName val="골조시행"/>
      <sheetName val="부서코드표"/>
      <sheetName val="각계정원장"/>
      <sheetName val="간접비차이_PJT"/>
      <sheetName val="자바라1"/>
      <sheetName val="1100-1200-1300-1910-2140-LEV 2"/>
      <sheetName val="Det_IH"/>
      <sheetName val="w't_table"/>
      <sheetName val="할증_"/>
      <sheetName val="_REF"/>
      <sheetName val="Fax"/>
      <sheetName val="자재코드"/>
      <sheetName val="Table"/>
      <sheetName val="기초입력"/>
      <sheetName val="비주거용"/>
      <sheetName val="TENDER PROG."/>
      <sheetName val="Katsayılar"/>
      <sheetName val="COST-TZ"/>
      <sheetName val="출금실적"/>
      <sheetName val="Summary Sheets"/>
      <sheetName val="Macro"/>
      <sheetName val="Taux"/>
      <sheetName val="PI"/>
      <sheetName val="지수"/>
      <sheetName val="INVOICE_CERT EIV'S"/>
      <sheetName val="wp_DESCRIPTION"/>
      <sheetName val="INVOICE_CERT_EIV'S"/>
      <sheetName val="_Sum"/>
      <sheetName val="공정계획(내부계획25%,내부w_f)"/>
      <sheetName val="HO_ENG_MH_CAL"/>
      <sheetName val="Gia_vat_tu"/>
      <sheetName val="2-1__경관조명_내역총괄표"/>
      <sheetName val="Piping_Design_Data"/>
      <sheetName val="Price_Summary_Sheet_(Final_BQ)"/>
      <sheetName val="Chi_tiet"/>
      <sheetName val="PDS_U-1400"/>
      <sheetName val="MB(LAB_No_2)"/>
      <sheetName val="Chiet_tinh_dz35"/>
      <sheetName val="Chiet_tinh_dz22"/>
      <sheetName val="CT_Thang_Mo"/>
      <sheetName val="CT__PL"/>
      <sheetName val="UNIT_PRICES"/>
      <sheetName val="BASE_DE_PERSONAL"/>
      <sheetName val="Facturación_A"/>
      <sheetName val="Utility_and_Fire_flange"/>
      <sheetName val="실행내역서_"/>
      <sheetName val="Q5434_EQ_LIST"/>
      <sheetName val="MEPS_Structural_Steel_Index_비교"/>
      <sheetName val="MEPS_CS_Index_비교"/>
      <sheetName val="Civil_Boq"/>
      <sheetName val="ESTI_"/>
      <sheetName val="96_12"/>
      <sheetName val="Questions_to_Vendor"/>
      <sheetName val="BOX_설계"/>
      <sheetName val="1_설계조건"/>
      <sheetName val="member_design"/>
      <sheetName val="design_criteria"/>
      <sheetName val="working_load_at_the_btm_ft_"/>
      <sheetName val="plan&amp;section_of_foundation"/>
      <sheetName val="soil_bearing_check"/>
      <sheetName val="CAL_"/>
      <sheetName val="NIML"/>
      <sheetName val="BGT-00F2907"/>
      <sheetName val="COLUMN"/>
      <sheetName val="DRUM"/>
      <sheetName val="요약배부"/>
      <sheetName val="Final(1)summary"/>
      <sheetName val="Status"/>
      <sheetName val="공사비_내역_(가)"/>
      <sheetName val="5.) Time Delays"/>
      <sheetName val="데이타"/>
      <sheetName val="식재인부"/>
      <sheetName val="입력"/>
      <sheetName val="구조물철거타공정이월"/>
      <sheetName val="Testing"/>
      <sheetName val="기기리스트"/>
      <sheetName val="정부노임단가"/>
      <sheetName val="상계견적"/>
      <sheetName val="M-EQPT-Z"/>
      <sheetName val="공사개요"/>
      <sheetName val="기준"/>
      <sheetName val="pvc vent"/>
      <sheetName val="cover"/>
      <sheetName val="INGENIERÍA"/>
      <sheetName val="당초"/>
      <sheetName val="변경"/>
      <sheetName val="집계표"/>
      <sheetName val="CB"/>
      <sheetName val="cvr"/>
      <sheetName val="sum"/>
      <sheetName val="indirect"/>
      <sheetName val="bm (2)"/>
      <sheetName val="Instrument"/>
      <sheetName val="Junction Box"/>
      <sheetName val="JB_Final checked"/>
      <sheetName val="Equipment"/>
      <sheetName val="F&amp;G System"/>
      <sheetName val="F&amp;G System (Detail)"/>
      <sheetName val="MOTOR"/>
      <sheetName val="동결보온"/>
      <sheetName val="BID"/>
      <sheetName val="금액내역서"/>
      <sheetName val=" 배관자재비-SKEC구매분"/>
      <sheetName val="제경비"/>
      <sheetName val="abc"/>
      <sheetName val="108"/>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품셈"/>
      <sheetName val="Onerous Terms"/>
      <sheetName val="fitting"/>
      <sheetName val="Erection"/>
      <sheetName val="Proposal"/>
      <sheetName val="WORK-VOL"/>
      <sheetName val="FAB_I"/>
      <sheetName val="적용환율"/>
      <sheetName val="조도계산서 (도서)"/>
      <sheetName val="도급양식"/>
      <sheetName val="입찰안"/>
      <sheetName val="직원동원SCH"/>
      <sheetName val="D-3109"/>
      <sheetName val="기성내역"/>
      <sheetName val="현장지지물물량"/>
      <sheetName val="General Data"/>
      <sheetName val="COST SUMMARY"/>
      <sheetName val="PIPING"/>
      <sheetName val="bm_(2)"/>
      <sheetName val="Junction_Box"/>
      <sheetName val="JB_Final_checked"/>
      <sheetName val="F&amp;G_System"/>
      <sheetName val="F&amp;G_System_(Detail)"/>
      <sheetName val="_배관자재비-SKEC구매분"/>
      <sheetName val="extensions lookup"/>
      <sheetName val="3. Piping"/>
      <sheetName val="EQUIP"/>
      <sheetName val="작성방법"/>
      <sheetName val="자격 땡겨오기"/>
      <sheetName val="연돌일위집계"/>
      <sheetName val="ITEM"/>
      <sheetName val="영업2"/>
      <sheetName val="4300 UTILITY BLDG (2)"/>
      <sheetName val="공정율 기초 Data"/>
      <sheetName val="가격분석@1100(990104)"/>
      <sheetName val="Escalation"/>
      <sheetName val="Rate Analysis"/>
      <sheetName val="wall"/>
      <sheetName val="결재판(삭제하지말아주세요)"/>
      <sheetName val="광통신 견적내역서1"/>
      <sheetName val="WIP"/>
      <sheetName val="PipeLines"/>
      <sheetName val="환율"/>
      <sheetName val="6.현장조직도"/>
      <sheetName val="ANALYSER"/>
      <sheetName val="base"/>
      <sheetName val="산출근거#2-3"/>
      <sheetName val="BEND LOSS"/>
      <sheetName val="공사비 내역 _가_"/>
      <sheetName val="A-12"/>
      <sheetName val="MAN-Sch"/>
      <sheetName val="RING WALL"/>
      <sheetName val="Process_Piping"/>
      <sheetName val="A1 Thru A11- LUMP SUM CONSTR"/>
      <sheetName val="Dike(H=0.9m)"/>
      <sheetName val="PIPING_total"/>
      <sheetName val="static.cal"/>
      <sheetName val="가도공"/>
      <sheetName val="TO_COST_PPS_METRIC"/>
      <sheetName val="NAMES"/>
      <sheetName val="RFP009"/>
      <sheetName val="CASE A1 CPP"/>
      <sheetName val="Sheet1 (2)"/>
      <sheetName val="근거 및 가정"/>
      <sheetName val="Database"/>
      <sheetName val="NEWDRAW"/>
      <sheetName val="수목단가"/>
      <sheetName val="시설수량표"/>
      <sheetName val="식재수량표"/>
      <sheetName val="일위목록"/>
      <sheetName val="자재단가"/>
      <sheetName val="조명시설"/>
      <sheetName val="실행(ALT1)"/>
      <sheetName val="0110이후"/>
      <sheetName val="보수0831"/>
      <sheetName val="건축"/>
      <sheetName val="PROJECT DATA"/>
      <sheetName val="7-2"/>
      <sheetName val="BP"/>
      <sheetName val="INSTR"/>
      <sheetName val="찍기"/>
      <sheetName val="CoverShawIntl"/>
      <sheetName val="VS배관내역서"/>
      <sheetName val="철거산출근거"/>
      <sheetName val="w't_table1"/>
      <sheetName val="할증_1"/>
      <sheetName val="_Sum1"/>
      <sheetName val="공정계획(내부계획25%,내부w_f)1"/>
      <sheetName val="HO_ENG_MH_CAL1"/>
      <sheetName val="Gia_vat_tu1"/>
      <sheetName val="Piping_Design_Data1"/>
      <sheetName val="2-1__경관조명_내역총괄표1"/>
      <sheetName val="BASE_DE_PERSONAL1"/>
      <sheetName val="Facturación_A1"/>
      <sheetName val="Price_Summary_Sheet_(Final_BQ)1"/>
      <sheetName val="Chi_tiet1"/>
      <sheetName val="PDS_U-14001"/>
      <sheetName val="Chiet_tinh_dz351"/>
      <sheetName val="Chiet_tinh_dz221"/>
      <sheetName val="CT_Thang_Mo1"/>
      <sheetName val="CT__PL1"/>
      <sheetName val="MB(LAB_No_2)1"/>
      <sheetName val="UNIT_PRICES1"/>
      <sheetName val="Q5434_EQ_LIST1"/>
      <sheetName val="공사비_내역_(가)1"/>
      <sheetName val="MEPS_Structural_Steel_Index_비교1"/>
      <sheetName val="MEPS_CS_Index_비교1"/>
      <sheetName val="wp_DESCRIPTION1"/>
      <sheetName val="Civil_Boq1"/>
      <sheetName val="실행내역서_1"/>
      <sheetName val="Process_Piping1"/>
      <sheetName val="BOX_설계1"/>
      <sheetName val="1_설계조건1"/>
      <sheetName val="member_design1"/>
      <sheetName val="design_criteria1"/>
      <sheetName val="working_load_at_the_btm_ft_1"/>
      <sheetName val="plan&amp;section_of_foundation1"/>
      <sheetName val="soil_bearing_check1"/>
      <sheetName val="CAL_1"/>
      <sheetName val="Project_Details"/>
      <sheetName val="steel_data_sheet"/>
      <sheetName val="ESTI_1"/>
      <sheetName val="96_121"/>
      <sheetName val="설명서_"/>
      <sheetName val="5_)_Time_Delays"/>
      <sheetName val="1100-1200-1300-1910-2140-LEV_2"/>
      <sheetName val="P2-Project_Data"/>
      <sheetName val="2__Project_Orgarnization(Site)"/>
      <sheetName val="TENDER_PROG_"/>
      <sheetName val="Summary_Sheets"/>
      <sheetName val="INVOICE_CERT_EIV'S1"/>
      <sheetName val="공사비_내역__가_"/>
      <sheetName val="6_현장조직도"/>
      <sheetName val="w't_table2"/>
      <sheetName val="할증_2"/>
      <sheetName val="_Sum2"/>
      <sheetName val="공정계획(내부계획25%,내부w_f)2"/>
      <sheetName val="HO_ENG_MH_CAL2"/>
      <sheetName val="Gia_vat_tu2"/>
      <sheetName val="Piping_Design_Data2"/>
      <sheetName val="2-1__경관조명_내역총괄표2"/>
      <sheetName val="BASE_DE_PERSONAL2"/>
      <sheetName val="Facturación_A2"/>
      <sheetName val="Price_Summary_Sheet_(Final_BQ)2"/>
      <sheetName val="Chi_tiet2"/>
      <sheetName val="PDS_U-14002"/>
      <sheetName val="Chiet_tinh_dz352"/>
      <sheetName val="Chiet_tinh_dz222"/>
      <sheetName val="CT_Thang_Mo2"/>
      <sheetName val="CT__PL2"/>
      <sheetName val="MB(LAB_No_2)2"/>
      <sheetName val="UNIT_PRICES2"/>
      <sheetName val="Q5434_EQ_LIST2"/>
      <sheetName val="공사비_내역_(가)2"/>
      <sheetName val="MEPS_Structural_Steel_Index_비교2"/>
      <sheetName val="MEPS_CS_Index_비교2"/>
      <sheetName val="wp_DESCRIPTION2"/>
      <sheetName val="Civil_Boq2"/>
      <sheetName val="실행내역서_2"/>
      <sheetName val="Process_Piping2"/>
      <sheetName val="BOX_설계2"/>
      <sheetName val="1_설계조건2"/>
      <sheetName val="member_design2"/>
      <sheetName val="design_criteria2"/>
      <sheetName val="working_load_at_the_btm_ft_2"/>
      <sheetName val="plan&amp;section_of_foundation2"/>
      <sheetName val="soil_bearing_check2"/>
      <sheetName val="CAL_2"/>
      <sheetName val="Project_Details1"/>
      <sheetName val="steel_data_sheet1"/>
      <sheetName val="ESTI_2"/>
      <sheetName val="96_122"/>
      <sheetName val="Questions_to_Vendor1"/>
      <sheetName val="설명서_1"/>
      <sheetName val="5_)_Time_Delays1"/>
      <sheetName val="1100-1200-1300-1910-2140-LEV_21"/>
      <sheetName val="P2-Project_Data1"/>
      <sheetName val="Utility_and_Fire_flange1"/>
      <sheetName val="2__Project_Orgarnization(Site)1"/>
      <sheetName val="TENDER_PROG_1"/>
      <sheetName val="Summary_Sheets1"/>
      <sheetName val="INVOICE_CERT_EIV'S2"/>
      <sheetName val="공사비_내역__가_1"/>
      <sheetName val="6_현장조직도1"/>
      <sheetName val="ANALYSIS"/>
      <sheetName val="vlookup - do not print"/>
      <sheetName val="KP_List"/>
      <sheetName val="pvc_vent"/>
      <sheetName val="RING_WALL"/>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Onerous_Terms"/>
      <sheetName val="조도계산서_(도서)"/>
      <sheetName val="General_Data"/>
      <sheetName val="COST_SUMMARY"/>
      <sheetName val="extensions_lookup"/>
      <sheetName val="3__Piping"/>
      <sheetName val="자격_땡겨오기"/>
      <sheetName val="4300_UTILITY_BLDG_(2)"/>
      <sheetName val="공정율_기초_Data"/>
      <sheetName val="Rate_Analysis"/>
      <sheetName val="광통신_견적내역서1"/>
      <sheetName val="BEND_LOSS"/>
      <sheetName val="A1_Thru_A11-_LUMP_SUM_CONSTR"/>
      <sheetName val="EQUIPMENT ERECTION BREAKDOWN"/>
      <sheetName val="Dike(H=0_9m)"/>
      <sheetName val="static_cal"/>
      <sheetName val="w't_table3"/>
      <sheetName val="할증_3"/>
      <sheetName val="_Sum3"/>
      <sheetName val="공정계획(내부계획25%,내부w_f)3"/>
      <sheetName val="HO_ENG_MH_CAL3"/>
      <sheetName val="Gia_vat_tu3"/>
      <sheetName val="Piping_Design_Data3"/>
      <sheetName val="2-1__경관조명_내역총괄표3"/>
      <sheetName val="BASE_DE_PERSONAL3"/>
      <sheetName val="Facturación_A3"/>
      <sheetName val="Price_Summary_Sheet_(Final_BQ)3"/>
      <sheetName val="Chi_tiet3"/>
      <sheetName val="PDS_U-14003"/>
      <sheetName val="Chiet_tinh_dz353"/>
      <sheetName val="Chiet_tinh_dz223"/>
      <sheetName val="CT_Thang_Mo3"/>
      <sheetName val="CT__PL3"/>
      <sheetName val="MB(LAB_No_2)3"/>
      <sheetName val="UNIT_PRICES3"/>
      <sheetName val="Q5434_EQ_LIST3"/>
      <sheetName val="공사비_내역_(가)3"/>
      <sheetName val="MEPS_Structural_Steel_Index_비교3"/>
      <sheetName val="MEPS_CS_Index_비교3"/>
      <sheetName val="wp_DESCRIPTION3"/>
      <sheetName val="Civil_Boq3"/>
      <sheetName val="실행내역서_3"/>
      <sheetName val="Process_Piping3"/>
      <sheetName val="BOX_설계3"/>
      <sheetName val="1_설계조건3"/>
      <sheetName val="member_design3"/>
      <sheetName val="design_criteria3"/>
      <sheetName val="working_load_at_the_btm_ft_3"/>
      <sheetName val="plan&amp;section_of_foundation3"/>
      <sheetName val="soil_bearing_check3"/>
      <sheetName val="CAL_3"/>
      <sheetName val="Project_Details2"/>
      <sheetName val="steel_data_sheet2"/>
      <sheetName val="ESTI_3"/>
      <sheetName val="96_123"/>
      <sheetName val="Questions_to_Vendor2"/>
      <sheetName val="설명서_2"/>
      <sheetName val="5_)_Time_Delays2"/>
      <sheetName val="1100-1200-1300-1910-2140-LEV_22"/>
      <sheetName val="P2-Project_Data2"/>
      <sheetName val="Utility_and_Fire_flange2"/>
      <sheetName val="2__Project_Orgarnization(Site)2"/>
      <sheetName val="TENDER_PROG_2"/>
      <sheetName val="Summary_Sheets2"/>
      <sheetName val="INVOICE_CERT_EIV'S3"/>
      <sheetName val="공사비_내역__가_2"/>
      <sheetName val="6_현장조직도2"/>
      <sheetName val="w't_table4"/>
      <sheetName val="할증_4"/>
      <sheetName val="_Sum4"/>
      <sheetName val="공정계획(내부계획25%,내부w_f)4"/>
      <sheetName val="HO_ENG_MH_CAL4"/>
      <sheetName val="Gia_vat_tu4"/>
      <sheetName val="Piping_Design_Data4"/>
      <sheetName val="2-1__경관조명_내역총괄표4"/>
      <sheetName val="BASE_DE_PERSONAL4"/>
      <sheetName val="Facturación_A4"/>
      <sheetName val="Price_Summary_Sheet_(Final_BQ)4"/>
      <sheetName val="Chi_tiet4"/>
      <sheetName val="PDS_U-14004"/>
      <sheetName val="Chiet_tinh_dz354"/>
      <sheetName val="Chiet_tinh_dz224"/>
      <sheetName val="CT_Thang_Mo4"/>
      <sheetName val="CT__PL4"/>
      <sheetName val="MB(LAB_No_2)4"/>
      <sheetName val="UNIT_PRICES4"/>
      <sheetName val="Q5434_EQ_LIST4"/>
      <sheetName val="공사비_내역_(가)4"/>
      <sheetName val="MEPS_Structural_Steel_Index_비교4"/>
      <sheetName val="MEPS_CS_Index_비교4"/>
      <sheetName val="wp_DESCRIPTION4"/>
      <sheetName val="Civil_Boq4"/>
      <sheetName val="실행내역서_4"/>
      <sheetName val="Process_Piping4"/>
      <sheetName val="BOX_설계4"/>
      <sheetName val="1_설계조건4"/>
      <sheetName val="member_design4"/>
      <sheetName val="design_criteria4"/>
      <sheetName val="working_load_at_the_btm_ft_4"/>
      <sheetName val="plan&amp;section_of_foundation4"/>
      <sheetName val="soil_bearing_check4"/>
      <sheetName val="CAL_4"/>
      <sheetName val="Project_Details3"/>
      <sheetName val="steel_data_sheet3"/>
      <sheetName val="ESTI_4"/>
      <sheetName val="96_124"/>
      <sheetName val="Questions_to_Vendor3"/>
      <sheetName val="설명서_3"/>
      <sheetName val="5_)_Time_Delays3"/>
      <sheetName val="1100-1200-1300-1910-2140-LEV_23"/>
      <sheetName val="P2-Project_Data3"/>
      <sheetName val="Utility_and_Fire_flange3"/>
      <sheetName val="2__Project_Orgarnization(Site)3"/>
      <sheetName val="TENDER_PROG_3"/>
      <sheetName val="Summary_Sheets3"/>
      <sheetName val="INVOICE_CERT_EIV'S4"/>
      <sheetName val="공사비_내역__가_3"/>
      <sheetName val="6_현장조직도3"/>
      <sheetName val="w't_table5"/>
      <sheetName val="할증_5"/>
      <sheetName val="_Sum5"/>
      <sheetName val="공정계획(내부계획25%,내부w_f)5"/>
      <sheetName val="HO_ENG_MH_CAL5"/>
      <sheetName val="Gia_vat_tu5"/>
      <sheetName val="Piping_Design_Data5"/>
      <sheetName val="2-1__경관조명_내역총괄표5"/>
      <sheetName val="BASE_DE_PERSONAL5"/>
      <sheetName val="Facturación_A5"/>
      <sheetName val="Price_Summary_Sheet_(Final_BQ)5"/>
      <sheetName val="Chi_tiet5"/>
      <sheetName val="PDS_U-14005"/>
      <sheetName val="Chiet_tinh_dz355"/>
      <sheetName val="Chiet_tinh_dz225"/>
      <sheetName val="CT_Thang_Mo5"/>
      <sheetName val="CT__PL5"/>
      <sheetName val="MB(LAB_No_2)5"/>
      <sheetName val="UNIT_PRICES5"/>
      <sheetName val="Q5434_EQ_LIST5"/>
      <sheetName val="공사비_내역_(가)5"/>
      <sheetName val="MEPS_Structural_Steel_Index_비교5"/>
      <sheetName val="MEPS_CS_Index_비교5"/>
      <sheetName val="wp_DESCRIPTION5"/>
      <sheetName val="Civil_Boq5"/>
      <sheetName val="실행내역서_5"/>
      <sheetName val="Process_Piping5"/>
      <sheetName val="BOX_설계5"/>
      <sheetName val="1_설계조건5"/>
      <sheetName val="member_design5"/>
      <sheetName val="design_criteria5"/>
      <sheetName val="working_load_at_the_btm_ft_5"/>
      <sheetName val="plan&amp;section_of_foundation5"/>
      <sheetName val="soil_bearing_check5"/>
      <sheetName val="CAL_5"/>
      <sheetName val="Project_Details4"/>
      <sheetName val="steel_data_sheet4"/>
      <sheetName val="ESTI_5"/>
      <sheetName val="96_125"/>
      <sheetName val="Questions_to_Vendor4"/>
      <sheetName val="설명서_4"/>
      <sheetName val="5_)_Time_Delays4"/>
      <sheetName val="1100-1200-1300-1910-2140-LEV_24"/>
      <sheetName val="P2-Project_Data4"/>
      <sheetName val="Utility_and_Fire_flange4"/>
      <sheetName val="2__Project_Orgarnization(Site)4"/>
      <sheetName val="TENDER_PROG_4"/>
      <sheetName val="Summary_Sheets4"/>
      <sheetName val="INVOICE_CERT_EIV'S5"/>
      <sheetName val="공사비_내역__가_4"/>
      <sheetName val="6_현장조직도4"/>
      <sheetName val="2000.11월설계내역"/>
      <sheetName val="manhour"/>
      <sheetName val="A.1.1.2 &amp; 3 Yard Fac &amp; Supp TS"/>
      <sheetName val="A(Rev.3)"/>
      <sheetName val="UnitList"/>
      <sheetName val="Macro1"/>
      <sheetName val="Aweer"/>
      <sheetName val="C-850R0.XLS"/>
      <sheetName val="Pittsburge"/>
      <sheetName val="activity"/>
      <sheetName val="1.cs sl(150)"/>
      <sheetName val="steam table"/>
      <sheetName val="GEN PROG"/>
      <sheetName val="TOTAL MHRS"/>
      <sheetName val="대치판정"/>
      <sheetName val="CC16-내역서"/>
      <sheetName val="معد .ث"/>
      <sheetName val="D-623D"/>
      <sheetName val="ASCEandUBC"/>
      <sheetName val="1단계"/>
      <sheetName val="을"/>
      <sheetName val="계약자료"/>
      <sheetName val="Panel제작명세서"/>
      <sheetName val="CA1"/>
      <sheetName val="Contents"/>
      <sheetName val="SYS_DB"/>
      <sheetName val="건축내역"/>
      <sheetName val="소화실적"/>
      <sheetName val="D-3503"/>
      <sheetName val="Eq. Mobilization"/>
      <sheetName val="PROCURE"/>
      <sheetName val="BoQ"/>
      <sheetName val="DESIGN"/>
      <sheetName val="도"/>
      <sheetName val="Graph (LGEN)"/>
      <sheetName val="out_prog"/>
      <sheetName val="선적schedule (2)"/>
      <sheetName val="INDEX"/>
      <sheetName val="Food court "/>
      <sheetName val="부재력정리"/>
      <sheetName val="WIND"/>
      <sheetName val="Rates"/>
      <sheetName val="WITHOUT C&amp;I PROFIT (3)"/>
      <sheetName val="EIs Progress"/>
      <sheetName val="RFP003B"/>
      <sheetName val="안전장치"/>
      <sheetName val="LS - Rev.0"/>
      <sheetName val="HP-Steamdrum"/>
      <sheetName val="대공종"/>
      <sheetName val="MP Plan &amp; Costs"/>
      <sheetName val="Finansal tamamlanma Eğrisi"/>
      <sheetName val="공사내역"/>
      <sheetName val="차수"/>
      <sheetName val="118.세금과공과"/>
      <sheetName val="고정자산원본"/>
      <sheetName val="뒤차축소"/>
      <sheetName val="PropSum"/>
      <sheetName val="Sur Site"/>
      <sheetName val="Malaysia incl. RET"/>
      <sheetName val="손익차9월2"/>
      <sheetName val="REDUCER"/>
      <sheetName val="WE'T"/>
      <sheetName val="95월별매출"/>
      <sheetName val="A131neu ,CSB (S CSB=400)"/>
      <sheetName val="est"/>
      <sheetName val="S1BOQ"/>
      <sheetName val="FORM7"/>
      <sheetName val="Labour"/>
      <sheetName val="Material"/>
      <sheetName val=" CC26R Tender Stag BoQ"/>
      <sheetName val="Labor Plan"/>
      <sheetName val="Admin"/>
      <sheetName val="EXPAN-1"/>
      <sheetName val="회전율"/>
      <sheetName val="Data Summary"/>
      <sheetName val="DB_ET200(R. A)"/>
      <sheetName val="표지"/>
      <sheetName val="P-Ph3-F-002"/>
      <sheetName val="AC"/>
      <sheetName val="CASE_A1_CPP"/>
      <sheetName val="Sheet1_(2)"/>
      <sheetName val="근거_및_가정"/>
      <sheetName val="PROJECT_DATA"/>
      <sheetName val="Setup"/>
      <sheetName val="Home Office"/>
      <sheetName val="C"/>
      <sheetName val="세금자료"/>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INS-Piping"/>
      <sheetName val="INS-Equipment"/>
      <sheetName val="ELECTRICITY"/>
      <sheetName val="INSTRUMENTATION"/>
      <sheetName val="공사비_NDE"/>
      <sheetName val="결재갑지"/>
      <sheetName val="설계기준"/>
      <sheetName val="내역1"/>
      <sheetName val="간지"/>
      <sheetName val="송전재료비"/>
      <sheetName val="단면가정"/>
      <sheetName val="LEGEND"/>
      <sheetName val="CPS"/>
      <sheetName val="PRO_A"/>
      <sheetName val="DWG"/>
      <sheetName val="ELEC_MCI"/>
      <sheetName val="INST_MCI"/>
      <sheetName val="MECH_MCI"/>
      <sheetName val="PRO"/>
      <sheetName val="D 5243-ARAMCO"/>
      <sheetName val="D-4801 OXY"/>
      <sheetName val="除灰系统表二"/>
      <sheetName val="Fin_Sched"/>
      <sheetName val="Slab_Levels"/>
      <sheetName val="Opening_Sched"/>
      <sheetName val="ESPES"/>
      <sheetName val="부대공사"/>
      <sheetName val="내역"/>
      <sheetName val="Acc Stock-INSUL"/>
      <sheetName val="4.L4-세부내역(QAR)"/>
      <sheetName val="%232CDU실행.xls"/>
      <sheetName val="BASIS"/>
      <sheetName val="Alain-Fuj"/>
      <sheetName val="BQ Working"/>
      <sheetName val="DATOS"/>
      <sheetName val="PRESUPUESTO"/>
      <sheetName val="Total Staff"/>
      <sheetName val="0. SUMMARY"/>
      <sheetName val="1. Engineering"/>
      <sheetName val="2. Check point"/>
      <sheetName val="II Changes 1"/>
      <sheetName val="III Changes 2"/>
      <sheetName val="Qty."/>
      <sheetName val="MP"/>
      <sheetName val="EQP"/>
      <sheetName val="OQC Summary"/>
      <sheetName val="6.Unit Rates"/>
      <sheetName val="Requirement(Work Crew)"/>
      <sheetName val="COST. IND"/>
      <sheetName val="MOI"/>
      <sheetName val="RESUMEN"/>
      <sheetName val="INFORME  "/>
      <sheetName val="TD COSTOS 30-06-19"/>
      <sheetName val="AMARRE"/>
      <sheetName val="Hoja3"/>
      <sheetName val="ADICIONALES"/>
      <sheetName val="SUBC"/>
      <sheetName val="ANALISIS MM"/>
      <sheetName val="EQUIPOS Y TRANSPORTE"/>
      <sheetName val="MAT"/>
      <sheetName val="HTAS"/>
      <sheetName val="MOD"/>
      <sheetName val="RESUMEN C.D."/>
      <sheetName val="EQUIPOS PROPIOS"/>
      <sheetName val="INVENTARIO JUNIO"/>
      <sheetName val="AVANCE ODC Y ORS"/>
      <sheetName val="Hoja8"/>
      <sheetName val="contabilidad 265 28-02-2019 REV"/>
      <sheetName val="CLASIF PROCU"/>
      <sheetName val="INVENTARIO"/>
      <sheetName val="Hoja2"/>
      <sheetName val="ODC - MATERIALES"/>
      <sheetName val="BAC COSTO DIRECTO"/>
      <sheetName val="PROCUR"/>
      <sheetName val="PRESUPUESTO GRAL"/>
      <sheetName val="Material Lookup"/>
      <sheetName val="ASTM Stress Table"/>
      <sheetName val="CATEGORY"/>
      <sheetName val="GM &amp; TA"/>
      <sheetName val="Steel Structure "/>
      <sheetName val="견적서표지0204-2 (2)"/>
      <sheetName val="Piping Spool"/>
      <sheetName val="Cost Definition"/>
      <sheetName val="견적 원가 "/>
      <sheetName val="EQUIPMENT -2"/>
      <sheetName val="간접비내역-1"/>
      <sheetName val="내역서1999.8최종"/>
      <sheetName val="수량산출"/>
      <sheetName val="dongia (2)"/>
      <sheetName val="TH VL, NC, DDHT Thanhphuoc"/>
      <sheetName val="Definition"/>
      <sheetName v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refreshError="1"/>
      <sheetData sheetId="334" refreshError="1"/>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refreshError="1"/>
      <sheetData sheetId="659" refreshError="1"/>
      <sheetData sheetId="660" refreshError="1"/>
      <sheetData sheetId="661" refreshError="1"/>
      <sheetData sheetId="662" refreshError="1"/>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refreshError="1"/>
      <sheetData sheetId="744"/>
      <sheetData sheetId="745" refreshError="1"/>
      <sheetData sheetId="746" refreshError="1"/>
      <sheetData sheetId="747" refreshError="1"/>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Set>
  </externalBook>
</externalLink>
</file>

<file path=xl/externalLinks/externalLink35.xml><?xml version="1.0" encoding="utf-8"?>
<externalLink xmlns="http://schemas.openxmlformats.org/spreadsheetml/2006/main">
  <externalBook xmlns:r="http://schemas.openxmlformats.org/officeDocument/2006/relationships" r:id="rId1">
    <xxl21:alternateUrls xmlns:xxl21="http://schemas.microsoft.com/office/spreadsheetml/2021/extlinks2021">
      <xxl21:absoluteUrl r:id="rId2"/>
      <xxl21:relativeUrl r:id="rId3"/>
    </xxl21:alternateUrls>
    <sheetNames>
      <sheetName val="PSR Overall Cycle"/>
      <sheetName val="Sheet1"/>
      <sheetName val="P6"/>
      <sheetName val="Before Award"/>
      <sheetName val="After Award"/>
      <sheetName val="Thai Holidays"/>
      <sheetName val="China Holidays"/>
    </sheetNames>
    <sheetDataSet>
      <sheetData sheetId="0"/>
      <sheetData sheetId="1"/>
      <sheetData sheetId="2"/>
      <sheetData sheetId="3"/>
      <sheetData sheetId="4"/>
      <sheetData sheetId="5">
        <row r="2">
          <cell r="A2">
            <v>45996</v>
          </cell>
        </row>
        <row r="3">
          <cell r="A3">
            <v>46001</v>
          </cell>
        </row>
        <row r="4">
          <cell r="A4">
            <v>46020</v>
          </cell>
        </row>
        <row r="5">
          <cell r="A5">
            <v>46021</v>
          </cell>
        </row>
        <row r="6">
          <cell r="A6">
            <v>46022</v>
          </cell>
        </row>
        <row r="7">
          <cell r="A7">
            <v>46023</v>
          </cell>
        </row>
        <row r="8">
          <cell r="A8">
            <v>46024</v>
          </cell>
        </row>
        <row r="9">
          <cell r="A9">
            <v>46065</v>
          </cell>
        </row>
        <row r="10">
          <cell r="A10">
            <v>46118</v>
          </cell>
        </row>
        <row r="11">
          <cell r="A11">
            <v>46125</v>
          </cell>
        </row>
        <row r="12">
          <cell r="A12">
            <v>46126</v>
          </cell>
        </row>
        <row r="13">
          <cell r="A13">
            <v>46127</v>
          </cell>
        </row>
        <row r="14">
          <cell r="A14">
            <v>46128</v>
          </cell>
        </row>
        <row r="15">
          <cell r="A15">
            <v>46129</v>
          </cell>
        </row>
        <row r="16">
          <cell r="A16">
            <v>46143</v>
          </cell>
        </row>
        <row r="17">
          <cell r="A17">
            <v>46146</v>
          </cell>
        </row>
        <row r="18">
          <cell r="A18">
            <v>46174</v>
          </cell>
        </row>
        <row r="19">
          <cell r="A19">
            <v>46176</v>
          </cell>
        </row>
        <row r="20">
          <cell r="A20">
            <v>46231</v>
          </cell>
        </row>
        <row r="21">
          <cell r="A21">
            <v>46232</v>
          </cell>
        </row>
        <row r="22">
          <cell r="A22">
            <v>46246</v>
          </cell>
        </row>
        <row r="23">
          <cell r="A23">
            <v>46308</v>
          </cell>
        </row>
        <row r="24">
          <cell r="A24">
            <v>46318</v>
          </cell>
        </row>
        <row r="25">
          <cell r="A25">
            <v>46363</v>
          </cell>
        </row>
        <row r="26">
          <cell r="A26">
            <v>46387</v>
          </cell>
        </row>
        <row r="27">
          <cell r="A27">
            <v>46388</v>
          </cell>
        </row>
        <row r="28">
          <cell r="A28">
            <v>46389</v>
          </cell>
        </row>
        <row r="29">
          <cell r="A29">
            <v>46439</v>
          </cell>
        </row>
        <row r="30">
          <cell r="A30">
            <v>46440</v>
          </cell>
        </row>
        <row r="31">
          <cell r="A31">
            <v>46483</v>
          </cell>
        </row>
        <row r="32">
          <cell r="A32">
            <v>46490</v>
          </cell>
        </row>
        <row r="33">
          <cell r="A33">
            <v>46491</v>
          </cell>
        </row>
        <row r="34">
          <cell r="A34">
            <v>46492</v>
          </cell>
        </row>
        <row r="35">
          <cell r="A35">
            <v>46508</v>
          </cell>
        </row>
        <row r="36">
          <cell r="A36">
            <v>46511</v>
          </cell>
        </row>
        <row r="37">
          <cell r="A37">
            <v>46527</v>
          </cell>
        </row>
        <row r="38">
          <cell r="A38">
            <v>46541</v>
          </cell>
        </row>
        <row r="39">
          <cell r="A39">
            <v>46611</v>
          </cell>
        </row>
        <row r="40">
          <cell r="A40">
            <v>46673</v>
          </cell>
        </row>
        <row r="41">
          <cell r="A41">
            <v>46683</v>
          </cell>
        </row>
        <row r="42">
          <cell r="A42">
            <v>46685</v>
          </cell>
        </row>
        <row r="43">
          <cell r="A43">
            <v>46726</v>
          </cell>
        </row>
        <row r="44">
          <cell r="A44">
            <v>46727</v>
          </cell>
        </row>
        <row r="45">
          <cell r="A45">
            <v>46731</v>
          </cell>
        </row>
        <row r="46">
          <cell r="A46">
            <v>46752</v>
          </cell>
        </row>
        <row r="47">
          <cell r="A47">
            <v>46753</v>
          </cell>
        </row>
        <row r="48">
          <cell r="A48">
            <v>46791</v>
          </cell>
        </row>
        <row r="49">
          <cell r="A49">
            <v>46849</v>
          </cell>
        </row>
        <row r="50">
          <cell r="A50">
            <v>46856</v>
          </cell>
        </row>
        <row r="51">
          <cell r="A51">
            <v>46857</v>
          </cell>
        </row>
        <row r="52">
          <cell r="A52">
            <v>46858</v>
          </cell>
        </row>
        <row r="53">
          <cell r="A53">
            <v>46874</v>
          </cell>
        </row>
        <row r="54">
          <cell r="A54">
            <v>46878</v>
          </cell>
        </row>
        <row r="55">
          <cell r="A55">
            <v>46912</v>
          </cell>
        </row>
        <row r="56">
          <cell r="A56">
            <v>46907</v>
          </cell>
        </row>
        <row r="57">
          <cell r="A57">
            <v>46958</v>
          </cell>
        </row>
        <row r="58">
          <cell r="A58">
            <v>46977</v>
          </cell>
        </row>
        <row r="59">
          <cell r="A59">
            <v>47039</v>
          </cell>
        </row>
        <row r="60">
          <cell r="A60">
            <v>47049</v>
          </cell>
        </row>
        <row r="61">
          <cell r="A61">
            <v>47092</v>
          </cell>
        </row>
        <row r="62">
          <cell r="A62">
            <v>47097</v>
          </cell>
        </row>
        <row r="63">
          <cell r="A63">
            <v>47118</v>
          </cell>
        </row>
      </sheetData>
      <sheetData sheetId="6">
        <row r="2">
          <cell r="A2">
            <v>46023</v>
          </cell>
        </row>
        <row r="3">
          <cell r="A3">
            <v>46024</v>
          </cell>
        </row>
        <row r="4">
          <cell r="A4">
            <v>46025</v>
          </cell>
        </row>
        <row r="5">
          <cell r="A5">
            <v>46068</v>
          </cell>
        </row>
        <row r="6">
          <cell r="A6">
            <v>46069</v>
          </cell>
        </row>
        <row r="7">
          <cell r="A7">
            <v>46070</v>
          </cell>
        </row>
        <row r="8">
          <cell r="A8">
            <v>46071</v>
          </cell>
        </row>
        <row r="9">
          <cell r="A9">
            <v>46072</v>
          </cell>
        </row>
        <row r="10">
          <cell r="A10">
            <v>46073</v>
          </cell>
        </row>
        <row r="11">
          <cell r="A11">
            <v>46074</v>
          </cell>
        </row>
        <row r="12">
          <cell r="A12">
            <v>46116</v>
          </cell>
        </row>
        <row r="13">
          <cell r="A13">
            <v>46117</v>
          </cell>
        </row>
        <row r="14">
          <cell r="A14">
            <v>46118</v>
          </cell>
        </row>
        <row r="15">
          <cell r="A15">
            <v>46143</v>
          </cell>
        </row>
        <row r="16">
          <cell r="A16">
            <v>46144</v>
          </cell>
        </row>
        <row r="17">
          <cell r="A17">
            <v>46145</v>
          </cell>
        </row>
        <row r="18">
          <cell r="A18">
            <v>46192</v>
          </cell>
        </row>
        <row r="19">
          <cell r="A19">
            <v>46193</v>
          </cell>
        </row>
        <row r="20">
          <cell r="A20">
            <v>46194</v>
          </cell>
        </row>
        <row r="21">
          <cell r="A21">
            <v>46290</v>
          </cell>
        </row>
        <row r="22">
          <cell r="A22">
            <v>46296</v>
          </cell>
        </row>
        <row r="23">
          <cell r="A23">
            <v>46297</v>
          </cell>
        </row>
        <row r="24">
          <cell r="A24">
            <v>46298</v>
          </cell>
        </row>
        <row r="25">
          <cell r="A25">
            <v>46299</v>
          </cell>
        </row>
        <row r="26">
          <cell r="A26">
            <v>46300</v>
          </cell>
        </row>
        <row r="27">
          <cell r="A27">
            <v>46301</v>
          </cell>
        </row>
        <row r="28">
          <cell r="A28">
            <v>46302</v>
          </cell>
        </row>
        <row r="29">
          <cell r="A29">
            <v>46388</v>
          </cell>
        </row>
        <row r="30">
          <cell r="A30">
            <v>46389</v>
          </cell>
        </row>
        <row r="31">
          <cell r="A31">
            <v>46390</v>
          </cell>
        </row>
        <row r="32">
          <cell r="A32">
            <v>46424</v>
          </cell>
        </row>
        <row r="33">
          <cell r="A33">
            <v>46425</v>
          </cell>
        </row>
        <row r="34">
          <cell r="A34">
            <v>46426</v>
          </cell>
        </row>
        <row r="35">
          <cell r="A35">
            <v>46427</v>
          </cell>
        </row>
        <row r="36">
          <cell r="A36">
            <v>46428</v>
          </cell>
        </row>
        <row r="37">
          <cell r="A37">
            <v>46429</v>
          </cell>
        </row>
        <row r="38">
          <cell r="A38">
            <v>46430</v>
          </cell>
        </row>
        <row r="39">
          <cell r="A39">
            <v>46480</v>
          </cell>
        </row>
        <row r="40">
          <cell r="A40">
            <v>46481</v>
          </cell>
        </row>
        <row r="41">
          <cell r="A41">
            <v>46482</v>
          </cell>
        </row>
        <row r="42">
          <cell r="A42">
            <v>46508</v>
          </cell>
        </row>
        <row r="43">
          <cell r="A43">
            <v>46509</v>
          </cell>
        </row>
        <row r="44">
          <cell r="A44">
            <v>46510</v>
          </cell>
        </row>
        <row r="45">
          <cell r="A45">
            <v>46549</v>
          </cell>
        </row>
        <row r="46">
          <cell r="A46">
            <v>46550</v>
          </cell>
        </row>
        <row r="47">
          <cell r="A47">
            <v>46551</v>
          </cell>
        </row>
        <row r="48">
          <cell r="A48">
            <v>46552</v>
          </cell>
        </row>
        <row r="49">
          <cell r="A49">
            <v>46645</v>
          </cell>
        </row>
        <row r="50">
          <cell r="A50">
            <v>46661</v>
          </cell>
        </row>
        <row r="51">
          <cell r="A51">
            <v>46662</v>
          </cell>
        </row>
        <row r="52">
          <cell r="A52">
            <v>46663</v>
          </cell>
        </row>
        <row r="53">
          <cell r="A53">
            <v>46664</v>
          </cell>
        </row>
        <row r="54">
          <cell r="A54">
            <v>46665</v>
          </cell>
        </row>
        <row r="55">
          <cell r="A55">
            <v>46666</v>
          </cell>
        </row>
        <row r="56">
          <cell r="A56">
            <v>46667</v>
          </cell>
        </row>
        <row r="57">
          <cell r="A57">
            <v>46753</v>
          </cell>
        </row>
        <row r="58">
          <cell r="A58">
            <v>46754</v>
          </cell>
        </row>
        <row r="59">
          <cell r="A59">
            <v>46755</v>
          </cell>
        </row>
        <row r="60">
          <cell r="A60">
            <v>46777</v>
          </cell>
        </row>
        <row r="61">
          <cell r="A61">
            <v>46778</v>
          </cell>
        </row>
        <row r="62">
          <cell r="A62">
            <v>46779</v>
          </cell>
        </row>
        <row r="63">
          <cell r="A63">
            <v>46780</v>
          </cell>
        </row>
        <row r="64">
          <cell r="A64">
            <v>46781</v>
          </cell>
        </row>
        <row r="65">
          <cell r="A65">
            <v>46782</v>
          </cell>
        </row>
        <row r="66">
          <cell r="A66">
            <v>46783</v>
          </cell>
        </row>
        <row r="67">
          <cell r="A67">
            <v>46847</v>
          </cell>
        </row>
        <row r="68">
          <cell r="A68">
            <v>46848</v>
          </cell>
        </row>
        <row r="69">
          <cell r="A69">
            <v>46849</v>
          </cell>
        </row>
        <row r="70">
          <cell r="A70">
            <v>46874</v>
          </cell>
        </row>
        <row r="71">
          <cell r="A71">
            <v>46875</v>
          </cell>
        </row>
        <row r="72">
          <cell r="A72">
            <v>46876</v>
          </cell>
        </row>
        <row r="73">
          <cell r="A73">
            <v>46904</v>
          </cell>
        </row>
        <row r="74">
          <cell r="A74">
            <v>46905</v>
          </cell>
        </row>
        <row r="75">
          <cell r="A75">
            <v>46906</v>
          </cell>
        </row>
        <row r="76">
          <cell r="A76">
            <v>47027</v>
          </cell>
        </row>
        <row r="77">
          <cell r="A77">
            <v>47028</v>
          </cell>
        </row>
        <row r="78">
          <cell r="A78">
            <v>47029</v>
          </cell>
        </row>
        <row r="79">
          <cell r="A79">
            <v>47030</v>
          </cell>
        </row>
        <row r="80">
          <cell r="A80">
            <v>47031</v>
          </cell>
        </row>
        <row r="81">
          <cell r="A81">
            <v>47032</v>
          </cell>
        </row>
        <row r="82">
          <cell r="A82">
            <v>47033</v>
          </cell>
        </row>
      </sheetData>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Before Award"/>
      <sheetName val="Equipment List and MR List (3)"/>
      <sheetName val="Procurement progress "/>
      <sheetName val="After Award"/>
      <sheetName val="Expediting Level Definition"/>
      <sheetName val="L3 schedule"/>
      <sheetName val="China Holidays"/>
      <sheetName val="Thai holidays"/>
      <sheetName val="PSR"/>
    </sheetNames>
    <sheetDataSet>
      <sheetData sheetId="0">
        <row r="15">
          <cell r="D15">
            <v>0</v>
          </cell>
        </row>
        <row r="16">
          <cell r="D16" t="str">
            <v>Package Name</v>
          </cell>
        </row>
        <row r="17">
          <cell r="D17" t="str">
            <v>Pedestal Crane</v>
          </cell>
        </row>
        <row r="18">
          <cell r="D18" t="str">
            <v>Pedestal Crane</v>
          </cell>
        </row>
        <row r="19">
          <cell r="D19" t="str">
            <v>Pedestal Crane</v>
          </cell>
        </row>
        <row r="20">
          <cell r="D20" t="str">
            <v>Material Handling Equipment</v>
          </cell>
        </row>
        <row r="21">
          <cell r="D21" t="str">
            <v>Material Handling Equipment</v>
          </cell>
        </row>
        <row r="22">
          <cell r="D22" t="str">
            <v>Material Handling Equipment</v>
          </cell>
        </row>
        <row r="23">
          <cell r="D23" t="str">
            <v>Instrument Gas Filter Coalescer</v>
          </cell>
        </row>
        <row r="24">
          <cell r="D24" t="str">
            <v>Instrument Gas Filter Coalescer</v>
          </cell>
        </row>
        <row r="25">
          <cell r="D25" t="str">
            <v>Instrument Gas Filter Coalescer</v>
          </cell>
        </row>
        <row r="26">
          <cell r="D26" t="str">
            <v>Production &amp; Test Seperator</v>
          </cell>
        </row>
        <row r="27">
          <cell r="D27" t="str">
            <v>Production &amp; Test Seperator</v>
          </cell>
        </row>
        <row r="28">
          <cell r="D28" t="str">
            <v>Production &amp; Test Seperator</v>
          </cell>
        </row>
        <row r="29">
          <cell r="D29" t="str">
            <v>Pig Launcher and Receiver</v>
          </cell>
        </row>
        <row r="30">
          <cell r="D30" t="str">
            <v>Pig Launcher and Receiver</v>
          </cell>
        </row>
        <row r="31">
          <cell r="D31" t="str">
            <v>Pig Launcher and Receiver</v>
          </cell>
        </row>
        <row r="32">
          <cell r="D32" t="str">
            <v>Corrosion Inhibitor Injection Pump</v>
          </cell>
        </row>
        <row r="33">
          <cell r="D33">
            <v>0</v>
          </cell>
        </row>
        <row r="34">
          <cell r="D34">
            <v>0</v>
          </cell>
        </row>
        <row r="35">
          <cell r="D35" t="str">
            <v>Demulsifier/Water Clarifier Injection Pump</v>
          </cell>
        </row>
        <row r="36">
          <cell r="D36" t="str">
            <v>Demulsifier/Water Clarifier Injection Pump</v>
          </cell>
        </row>
        <row r="37">
          <cell r="D37" t="str">
            <v>Demulsifier/Water Clarifier Injection Pump</v>
          </cell>
        </row>
        <row r="38">
          <cell r="D38" t="str">
            <v>De-Oiler Hydrocyclone</v>
          </cell>
        </row>
        <row r="39">
          <cell r="D39" t="str">
            <v>De-Oiler Hydrocyclone</v>
          </cell>
        </row>
        <row r="40">
          <cell r="D40" t="str">
            <v>De-Oiler Hydrocyclone</v>
          </cell>
        </row>
        <row r="41">
          <cell r="D41" t="str">
            <v>Degasser</v>
          </cell>
        </row>
        <row r="42">
          <cell r="D42" t="str">
            <v>Degasser</v>
          </cell>
        </row>
        <row r="43">
          <cell r="D43" t="str">
            <v>Degasser</v>
          </cell>
        </row>
        <row r="44">
          <cell r="D44" t="str">
            <v>Skim Tank Vessel</v>
          </cell>
        </row>
        <row r="45">
          <cell r="D45" t="str">
            <v>Skim Tank Vessel</v>
          </cell>
        </row>
        <row r="46">
          <cell r="D46" t="str">
            <v>Skim Tank Vessel</v>
          </cell>
        </row>
        <row r="47">
          <cell r="D47" t="str">
            <v>Closed Drain Sump Vessel</v>
          </cell>
        </row>
        <row r="48">
          <cell r="D48" t="str">
            <v>Closed Drain Sump Vessel</v>
          </cell>
        </row>
        <row r="49">
          <cell r="D49" t="str">
            <v>Closed Drain Sump Vessel</v>
          </cell>
        </row>
        <row r="50">
          <cell r="D50" t="str">
            <v>Storage Tote Tank</v>
          </cell>
        </row>
        <row r="51">
          <cell r="D51" t="str">
            <v>Storage Tote Tank</v>
          </cell>
        </row>
        <row r="52">
          <cell r="D52" t="str">
            <v>Storage Tote Tank</v>
          </cell>
        </row>
        <row r="53">
          <cell r="D53" t="str">
            <v>Storage Tank</v>
          </cell>
        </row>
        <row r="54">
          <cell r="D54" t="str">
            <v>Storage Tank</v>
          </cell>
        </row>
        <row r="55">
          <cell r="D55" t="str">
            <v>Storage Tank</v>
          </cell>
        </row>
        <row r="56">
          <cell r="D56" t="str">
            <v>Closed Drain Sump Pump</v>
          </cell>
        </row>
        <row r="57">
          <cell r="D57" t="str">
            <v>Closed Drain Sump Pump</v>
          </cell>
        </row>
        <row r="58">
          <cell r="D58" t="str">
            <v>Closed Drain Sump Pump</v>
          </cell>
        </row>
        <row r="59">
          <cell r="D59" t="str">
            <v>Diesel Transfer Pump</v>
          </cell>
        </row>
        <row r="60">
          <cell r="D60" t="str">
            <v>Diesel Transfer Pump</v>
          </cell>
        </row>
        <row r="61">
          <cell r="D61" t="str">
            <v>Diesel Transfer Pump</v>
          </cell>
        </row>
        <row r="62">
          <cell r="D62" t="str">
            <v>Open Drain Caisson Pump</v>
          </cell>
        </row>
        <row r="63">
          <cell r="D63" t="str">
            <v>Open Drain Caisson Pump</v>
          </cell>
        </row>
        <row r="64">
          <cell r="D64" t="str">
            <v>Open Drain Caisson Pump</v>
          </cell>
        </row>
        <row r="65">
          <cell r="D65" t="str">
            <v>DC Distribution Board</v>
          </cell>
        </row>
        <row r="66">
          <cell r="D66" t="str">
            <v>DC Distribution Board</v>
          </cell>
        </row>
        <row r="67">
          <cell r="D67" t="str">
            <v>DC Distribution Board</v>
          </cell>
        </row>
        <row r="68">
          <cell r="D68" t="str">
            <v>Solar Power System</v>
          </cell>
        </row>
        <row r="69">
          <cell r="D69" t="str">
            <v>Solar Power System</v>
          </cell>
        </row>
        <row r="70">
          <cell r="D70" t="str">
            <v>Solar Power System</v>
          </cell>
        </row>
        <row r="71">
          <cell r="D71" t="str">
            <v>Navigation Aid System</v>
          </cell>
        </row>
        <row r="72">
          <cell r="D72" t="str">
            <v>Navigation Aid System</v>
          </cell>
        </row>
        <row r="73">
          <cell r="D73" t="str">
            <v>Navigation Aid System</v>
          </cell>
        </row>
        <row r="74">
          <cell r="D74" t="str">
            <v>External Battery Charger</v>
          </cell>
        </row>
        <row r="75">
          <cell r="D75" t="str">
            <v>External Battery Charger</v>
          </cell>
        </row>
        <row r="76">
          <cell r="D76" t="str">
            <v>External Battery Charger</v>
          </cell>
        </row>
        <row r="77">
          <cell r="D77" t="str">
            <v>Control Valve</v>
          </cell>
        </row>
        <row r="78">
          <cell r="D78" t="str">
            <v>Control Valve</v>
          </cell>
        </row>
        <row r="79">
          <cell r="D79" t="str">
            <v>Control Valve</v>
          </cell>
        </row>
        <row r="80">
          <cell r="D80" t="str">
            <v>Self Regulator Valve</v>
          </cell>
        </row>
        <row r="81">
          <cell r="D81" t="str">
            <v>Self Regulator Valve</v>
          </cell>
        </row>
        <row r="82">
          <cell r="D82" t="str">
            <v>Self Regulator Valve</v>
          </cell>
        </row>
        <row r="83">
          <cell r="D83" t="str">
            <v>Actuated Choke Valve</v>
          </cell>
        </row>
        <row r="84">
          <cell r="D84" t="str">
            <v>Actuated Choke Valve</v>
          </cell>
        </row>
        <row r="85">
          <cell r="D85" t="str">
            <v>Actuated Choke Valve</v>
          </cell>
        </row>
        <row r="86">
          <cell r="D86" t="str">
            <v>Actuated Ball Valve</v>
          </cell>
        </row>
        <row r="87">
          <cell r="D87" t="str">
            <v>Actuated Ball Valve</v>
          </cell>
        </row>
        <row r="88">
          <cell r="D88" t="str">
            <v>Actuated Ball Valve</v>
          </cell>
        </row>
        <row r="89">
          <cell r="D89" t="str">
            <v>Actuated Compact Ball Valve</v>
          </cell>
        </row>
        <row r="90">
          <cell r="D90" t="str">
            <v>Actuated Compact Ball Valve</v>
          </cell>
        </row>
        <row r="91">
          <cell r="D91" t="str">
            <v>Actuated Compact Ball Valve</v>
          </cell>
        </row>
        <row r="92">
          <cell r="D92" t="str">
            <v>Safety Relief Valves</v>
          </cell>
        </row>
        <row r="93">
          <cell r="D93" t="str">
            <v>Safety Relief Valves</v>
          </cell>
        </row>
        <row r="94">
          <cell r="D94" t="str">
            <v>Safety Relief Valves</v>
          </cell>
        </row>
        <row r="95">
          <cell r="D95" t="str">
            <v>Coriolis Flow Meters</v>
          </cell>
        </row>
        <row r="96">
          <cell r="D96" t="str">
            <v>Coriolis Flow Meters</v>
          </cell>
        </row>
        <row r="97">
          <cell r="D97" t="str">
            <v>Coriolis Flow Meters</v>
          </cell>
        </row>
        <row r="98">
          <cell r="D98" t="str">
            <v>Wellhead Control Panel (WHCP)</v>
          </cell>
        </row>
        <row r="99">
          <cell r="D99" t="str">
            <v>Wellhead Control Panel (WHCP)</v>
          </cell>
        </row>
        <row r="100">
          <cell r="D100" t="str">
            <v>Wellhead Control Panel (WHCP)</v>
          </cell>
        </row>
        <row r="101">
          <cell r="D101" t="str">
            <v>Pressure Gauge</v>
          </cell>
        </row>
        <row r="102">
          <cell r="D102" t="str">
            <v>Pressure Gauge</v>
          </cell>
        </row>
        <row r="103">
          <cell r="D103" t="str">
            <v>Pressure Gauge</v>
          </cell>
        </row>
        <row r="104">
          <cell r="D104" t="str">
            <v>Pressure Transmitter</v>
          </cell>
        </row>
        <row r="105">
          <cell r="D105" t="str">
            <v>Pressure Transmitter</v>
          </cell>
        </row>
        <row r="106">
          <cell r="D106" t="str">
            <v>Pressure Transmitter</v>
          </cell>
        </row>
        <row r="107">
          <cell r="D107" t="str">
            <v>Temperature Gauge</v>
          </cell>
        </row>
        <row r="108">
          <cell r="D108" t="str">
            <v>Temperature Gauge</v>
          </cell>
        </row>
        <row r="109">
          <cell r="D109" t="str">
            <v>Temperature Gauge</v>
          </cell>
        </row>
        <row r="110">
          <cell r="D110" t="str">
            <v>Temperature Transmitter</v>
          </cell>
        </row>
        <row r="111">
          <cell r="D111" t="str">
            <v>Temperature Transmitter</v>
          </cell>
        </row>
        <row r="112">
          <cell r="D112" t="str">
            <v>Temperature Transmitter</v>
          </cell>
        </row>
        <row r="113">
          <cell r="D113" t="str">
            <v>Vortex Flow Meter</v>
          </cell>
        </row>
        <row r="114">
          <cell r="D114" t="str">
            <v>Vortex Flow Meter</v>
          </cell>
        </row>
        <row r="115">
          <cell r="D115" t="str">
            <v>Vortex Flow Meter</v>
          </cell>
        </row>
        <row r="116">
          <cell r="D116" t="str">
            <v>Level Transmitter and Gauge</v>
          </cell>
        </row>
        <row r="117">
          <cell r="D117" t="str">
            <v>Level Transmitter and Gauge</v>
          </cell>
        </row>
        <row r="118">
          <cell r="D118" t="str">
            <v>Level Transmitter and Gauge</v>
          </cell>
        </row>
        <row r="119">
          <cell r="D119" t="str">
            <v>Pig Signaller</v>
          </cell>
        </row>
        <row r="120">
          <cell r="D120" t="str">
            <v>Pig Signaller</v>
          </cell>
        </row>
        <row r="121">
          <cell r="D121" t="str">
            <v>Pig Signaller</v>
          </cell>
        </row>
        <row r="122">
          <cell r="D122" t="str">
            <v>Rrestriction Orifice</v>
          </cell>
        </row>
        <row r="123">
          <cell r="D123" t="str">
            <v>Rrestriction Orifice</v>
          </cell>
        </row>
        <row r="124">
          <cell r="D124" t="str">
            <v>Rrestriction Orifice</v>
          </cell>
        </row>
        <row r="125">
          <cell r="D125" t="str">
            <v>PLC System</v>
          </cell>
        </row>
        <row r="126">
          <cell r="D126" t="str">
            <v>PLC System</v>
          </cell>
        </row>
        <row r="127">
          <cell r="D127" t="str">
            <v>PLC System</v>
          </cell>
        </row>
        <row r="128">
          <cell r="D128" t="str">
            <v>Fire and Gas Detector</v>
          </cell>
        </row>
        <row r="129">
          <cell r="D129" t="str">
            <v>Fire and Gas Detector</v>
          </cell>
        </row>
        <row r="130">
          <cell r="D130" t="str">
            <v>Fire and Gas Detector</v>
          </cell>
        </row>
        <row r="131">
          <cell r="D131" t="str">
            <v>Dip Tape Level Indicator</v>
          </cell>
        </row>
        <row r="132">
          <cell r="D132" t="str">
            <v>Dip Tape Level Indicator</v>
          </cell>
        </row>
        <row r="133">
          <cell r="D133" t="str">
            <v>Dip Tape Level Indicator</v>
          </cell>
        </row>
        <row r="134">
          <cell r="D134" t="str">
            <v>Position Limit Switches</v>
          </cell>
        </row>
        <row r="135">
          <cell r="D135" t="str">
            <v>Position Limit Switches</v>
          </cell>
        </row>
        <row r="136">
          <cell r="D136" t="str">
            <v>Position Limit Switches</v>
          </cell>
        </row>
        <row r="137">
          <cell r="D137" t="str">
            <v>Guided Wave Radar Level Transmitter</v>
          </cell>
        </row>
        <row r="138">
          <cell r="D138" t="str">
            <v>Guided Wave Radar Level Transmitter</v>
          </cell>
        </row>
        <row r="139">
          <cell r="D139" t="str">
            <v>Guided Wave Radar Level Transmitter</v>
          </cell>
        </row>
        <row r="140">
          <cell r="D140" t="str">
            <v>Oil in Water Analyzer</v>
          </cell>
        </row>
        <row r="141">
          <cell r="D141" t="str">
            <v>Oil in Water Analyzer</v>
          </cell>
        </row>
        <row r="142">
          <cell r="D142" t="str">
            <v>Oil in Water Analyzer</v>
          </cell>
        </row>
        <row r="143">
          <cell r="D143" t="str">
            <v>Level Switch</v>
          </cell>
        </row>
        <row r="144">
          <cell r="D144" t="str">
            <v>Level Switch</v>
          </cell>
        </row>
        <row r="145">
          <cell r="D145" t="str">
            <v>Level Switch</v>
          </cell>
        </row>
        <row r="146">
          <cell r="D146" t="str">
            <v>Flow Switch</v>
          </cell>
        </row>
        <row r="147">
          <cell r="D147" t="str">
            <v>Flow Switch</v>
          </cell>
        </row>
        <row r="148">
          <cell r="D148" t="str">
            <v>Flow Switch</v>
          </cell>
        </row>
        <row r="149">
          <cell r="D149" t="str">
            <v>SCADA System</v>
          </cell>
        </row>
        <row r="150">
          <cell r="D150" t="str">
            <v>SCADA System</v>
          </cell>
        </row>
        <row r="151">
          <cell r="D151" t="str">
            <v>SCADA System</v>
          </cell>
        </row>
        <row r="152">
          <cell r="D152" t="str">
            <v>Telecommunication System (WiMAX, Telephone, Marine Radio)</v>
          </cell>
        </row>
        <row r="153">
          <cell r="D153" t="str">
            <v>Telecommunication System (WiMAX, Telephone, Marine Radio)</v>
          </cell>
        </row>
        <row r="154">
          <cell r="D154" t="str">
            <v>Telecommunication System (WiMAX, Telephone, Marine Radio)</v>
          </cell>
        </row>
        <row r="155">
          <cell r="D155" t="str">
            <v>Marine Racon</v>
          </cell>
        </row>
        <row r="156">
          <cell r="D156" t="str">
            <v>Marine Racon</v>
          </cell>
        </row>
        <row r="157">
          <cell r="D157" t="str">
            <v>Marine Racon</v>
          </cell>
        </row>
        <row r="158">
          <cell r="D158" t="str">
            <v>BALL VALVE (FLANGE END)</v>
          </cell>
        </row>
        <row r="159">
          <cell r="D159" t="str">
            <v>BALL VALVE (FLANGE END)</v>
          </cell>
        </row>
        <row r="160">
          <cell r="D160" t="str">
            <v>BALL VALVE (FLANGE END)</v>
          </cell>
        </row>
        <row r="161">
          <cell r="D161" t="str">
            <v>GLOBE VALVE (FLANGE END)</v>
          </cell>
        </row>
        <row r="162">
          <cell r="D162" t="str">
            <v>GLOBE VALVE (FLANGE END)</v>
          </cell>
        </row>
        <row r="163">
          <cell r="D163" t="str">
            <v>GLOBE VALVE (FLANGE END)</v>
          </cell>
        </row>
        <row r="164">
          <cell r="D164" t="str">
            <v>GLOBE VALVE (WELDED END)</v>
          </cell>
        </row>
        <row r="165">
          <cell r="D165" t="str">
            <v>GLOBE VALVE (WELDED END)</v>
          </cell>
        </row>
        <row r="166">
          <cell r="D166" t="str">
            <v>GLOBE VALVE (WELDED END)</v>
          </cell>
        </row>
        <row r="167">
          <cell r="D167" t="str">
            <v>CHECK VALVE (FLANGE END)</v>
          </cell>
        </row>
        <row r="168">
          <cell r="D168" t="str">
            <v>CHECK VALVE (FLANGE END)</v>
          </cell>
        </row>
        <row r="169">
          <cell r="D169" t="str">
            <v>CHECK VALVE (FLANGE END)</v>
          </cell>
        </row>
        <row r="170">
          <cell r="D170" t="str">
            <v>CHECK VALVE (WELDED END)</v>
          </cell>
        </row>
        <row r="171">
          <cell r="D171" t="str">
            <v>CHECK VALVE (WELDED END)</v>
          </cell>
        </row>
        <row r="172">
          <cell r="D172" t="str">
            <v>CHECK VALVE (WELDED END)</v>
          </cell>
        </row>
        <row r="173">
          <cell r="D173" t="str">
            <v>COMPACT CHECK VALVE (WELDED END)</v>
          </cell>
        </row>
        <row r="174">
          <cell r="D174" t="str">
            <v>COMPACT CHECK VALVE (WELDED END)</v>
          </cell>
        </row>
        <row r="175">
          <cell r="D175" t="str">
            <v>COMPACT CHECK VALVE (WELDED END)</v>
          </cell>
        </row>
        <row r="176">
          <cell r="D176" t="str">
            <v>Primary Steel - Plates for topside</v>
          </cell>
        </row>
        <row r="177">
          <cell r="D177" t="str">
            <v>Primary Steel - Plate</v>
          </cell>
        </row>
        <row r="178">
          <cell r="D178" t="str">
            <v>Primary Steel - Plate</v>
          </cell>
        </row>
        <row r="179">
          <cell r="D179" t="str">
            <v>Primary Steel -  Joint Connection for Topside</v>
          </cell>
        </row>
        <row r="180">
          <cell r="D180">
            <v>0</v>
          </cell>
        </row>
        <row r="181">
          <cell r="D181">
            <v>0</v>
          </cell>
        </row>
        <row r="182">
          <cell r="D182" t="str">
            <v>Primary Steel - Beam for topside (Standard)</v>
          </cell>
        </row>
        <row r="183">
          <cell r="D183" t="str">
            <v>Primary Steel - Beam</v>
          </cell>
        </row>
        <row r="184">
          <cell r="D184" t="str">
            <v>Primary Steel - Beam</v>
          </cell>
        </row>
        <row r="185">
          <cell r="D185" t="str">
            <v>Primary Steel - Beam for topside (non-standard)</v>
          </cell>
        </row>
        <row r="186">
          <cell r="D186" t="str">
            <v>Primary Steel - Beam</v>
          </cell>
        </row>
        <row r="187">
          <cell r="D187" t="str">
            <v>Primary Steel - Beam</v>
          </cell>
        </row>
        <row r="188">
          <cell r="D188" t="str">
            <v>Primary Steel - Seamless Pipe for topside</v>
          </cell>
        </row>
        <row r="189">
          <cell r="D189" t="str">
            <v>Primary Steel - Seamless Pipe</v>
          </cell>
        </row>
        <row r="190">
          <cell r="D190" t="str">
            <v>Primary Steel - Seamless Pipe</v>
          </cell>
        </row>
        <row r="191">
          <cell r="D191" t="str">
            <v>Primary Steel - Tubular for topside</v>
          </cell>
        </row>
        <row r="192">
          <cell r="D192">
            <v>0</v>
          </cell>
        </row>
        <row r="193">
          <cell r="D193">
            <v>0</v>
          </cell>
        </row>
        <row r="194">
          <cell r="D194" t="str">
            <v>Primary Steel - Plates for jacket</v>
          </cell>
        </row>
        <row r="195">
          <cell r="D195" t="str">
            <v>Primary Steel - Plate</v>
          </cell>
        </row>
        <row r="196">
          <cell r="D196" t="str">
            <v>Primary Steel - Plate</v>
          </cell>
        </row>
        <row r="197">
          <cell r="D197" t="str">
            <v>Primary Steel -Beam for jacket</v>
          </cell>
        </row>
        <row r="198">
          <cell r="D198">
            <v>0</v>
          </cell>
        </row>
        <row r="199">
          <cell r="D199">
            <v>0</v>
          </cell>
        </row>
        <row r="200">
          <cell r="D200" t="str">
            <v>Primary Steel -Tubular for jacket (column)</v>
          </cell>
        </row>
        <row r="201">
          <cell r="D201">
            <v>0</v>
          </cell>
        </row>
        <row r="202">
          <cell r="D202">
            <v>0</v>
          </cell>
        </row>
        <row r="203">
          <cell r="D203" t="str">
            <v>Primary Steel -Tubular for jacket (bracing)</v>
          </cell>
        </row>
        <row r="204">
          <cell r="D204">
            <v>0</v>
          </cell>
        </row>
        <row r="205">
          <cell r="D205">
            <v>0</v>
          </cell>
        </row>
        <row r="206">
          <cell r="D206" t="str">
            <v>Primary Steel - Plates for Pile</v>
          </cell>
        </row>
        <row r="207">
          <cell r="D207" t="str">
            <v>Primary Steel - Plate</v>
          </cell>
        </row>
        <row r="208">
          <cell r="D208" t="str">
            <v>Primary Steel - Plate</v>
          </cell>
        </row>
        <row r="209">
          <cell r="D209" t="str">
            <v>Primary Steel -Tubular for Pile</v>
          </cell>
        </row>
        <row r="210">
          <cell r="D210">
            <v>0</v>
          </cell>
        </row>
        <row r="211">
          <cell r="D211">
            <v>0</v>
          </cell>
        </row>
        <row r="212">
          <cell r="D212" t="str">
            <v>Special items</v>
          </cell>
        </row>
        <row r="213">
          <cell r="D213">
            <v>0</v>
          </cell>
        </row>
        <row r="214">
          <cell r="D214">
            <v>0</v>
          </cell>
        </row>
        <row r="215">
          <cell r="D215" t="str">
            <v>SPECIAL PIPE SUPPORT</v>
          </cell>
        </row>
        <row r="216">
          <cell r="D216" t="str">
            <v>SPECIAL PIPE SUPPORT</v>
          </cell>
        </row>
        <row r="217">
          <cell r="D217" t="str">
            <v>SPECIAL PIPE SUPPORT</v>
          </cell>
        </row>
        <row r="218">
          <cell r="D218" t="str">
            <v>CS Fitting</v>
          </cell>
        </row>
        <row r="219">
          <cell r="D219" t="str">
            <v>CS Fitting</v>
          </cell>
        </row>
        <row r="220">
          <cell r="D220" t="str">
            <v>CS Fitting</v>
          </cell>
        </row>
        <row r="221">
          <cell r="D221" t="str">
            <v>SS &amp; DSS Fitting</v>
          </cell>
        </row>
        <row r="222">
          <cell r="D222" t="str">
            <v>SS &amp; DSS Fitting</v>
          </cell>
        </row>
        <row r="223">
          <cell r="D223" t="str">
            <v>SS &amp; DSS Fitting</v>
          </cell>
        </row>
        <row r="224">
          <cell r="D224" t="str">
            <v>CS Flange</v>
          </cell>
        </row>
        <row r="225">
          <cell r="D225" t="str">
            <v>CS Flange</v>
          </cell>
        </row>
        <row r="226">
          <cell r="D226" t="str">
            <v>CS Flange</v>
          </cell>
        </row>
        <row r="227">
          <cell r="D227" t="str">
            <v>SS &amp; DSS Flange</v>
          </cell>
        </row>
        <row r="228">
          <cell r="D228" t="str">
            <v>SS &amp; DSS Flange</v>
          </cell>
        </row>
        <row r="229">
          <cell r="D229" t="str">
            <v>SS &amp; DSS Flange</v>
          </cell>
        </row>
        <row r="230">
          <cell r="D230" t="str">
            <v>SAW Welded Pipe</v>
          </cell>
        </row>
        <row r="231">
          <cell r="D231" t="str">
            <v>SAW Welded Pipe</v>
          </cell>
        </row>
        <row r="232">
          <cell r="D232" t="str">
            <v>SAW Welded Pipe</v>
          </cell>
        </row>
        <row r="233">
          <cell r="D233" t="str">
            <v>CS Pipe</v>
          </cell>
        </row>
        <row r="234">
          <cell r="D234" t="str">
            <v>CS Pipe</v>
          </cell>
        </row>
        <row r="235">
          <cell r="D235" t="str">
            <v>CS Pipe</v>
          </cell>
        </row>
        <row r="236">
          <cell r="D236" t="str">
            <v>DSS Pipes</v>
          </cell>
        </row>
        <row r="237">
          <cell r="D237" t="str">
            <v>DSS Pipes</v>
          </cell>
        </row>
        <row r="238">
          <cell r="D238" t="str">
            <v>DSS Pipes</v>
          </cell>
        </row>
        <row r="239">
          <cell r="D239" t="str">
            <v>Steamless SS pipes</v>
          </cell>
        </row>
        <row r="240">
          <cell r="D240" t="str">
            <v>Steamless SS pipes</v>
          </cell>
        </row>
        <row r="241">
          <cell r="D241" t="str">
            <v>Steamless SS pipes</v>
          </cell>
        </row>
        <row r="242">
          <cell r="D242" t="str">
            <v>Bolts &amp; Nuts</v>
          </cell>
        </row>
        <row r="243">
          <cell r="D243" t="str">
            <v>Bolts &amp; Nuts</v>
          </cell>
        </row>
        <row r="244">
          <cell r="D244" t="str">
            <v>Bolts &amp; Nuts</v>
          </cell>
        </row>
        <row r="245">
          <cell r="D245" t="str">
            <v>Gasket</v>
          </cell>
        </row>
        <row r="246">
          <cell r="D246" t="str">
            <v>Gasket</v>
          </cell>
        </row>
        <row r="247">
          <cell r="D247" t="str">
            <v>Gasket</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FFC000"/>
    <pageSetUpPr fitToPage="1"/>
  </sheetPr>
  <dimension ref="A1:AQ316"/>
  <sheetViews>
    <sheetView tabSelected="1" zoomScale="70" zoomScaleNormal="70" zoomScaleSheetLayoutView="55" topLeftCell="A16" workbookViewId="0">
      <pane xSplit="12" ySplit="3" topLeftCell="Y191" activePane="bottomRight" state="frozen"/>
      <selection/>
      <selection pane="topRight"/>
      <selection pane="bottomLeft"/>
      <selection pane="bottomRight" activeCell="AC212" sqref="AC212"/>
    </sheetView>
  </sheetViews>
  <sheetFormatPr defaultColWidth="9" defaultRowHeight="13.5"/>
  <cols>
    <col min="1" max="1" width="6.46902654867257" style="338" customWidth="1"/>
    <col min="2" max="2" width="15.1327433628319" style="339" customWidth="1"/>
    <col min="3" max="3" width="41.4690265486726" style="340" customWidth="1"/>
    <col min="4" max="4" width="4.33628318584071" style="341" hidden="1" customWidth="1"/>
    <col min="5" max="5" width="1.73451327433628" style="342" hidden="1" customWidth="1"/>
    <col min="6" max="6" width="5.86725663716814" style="329" hidden="1" customWidth="1"/>
    <col min="7" max="7" width="16.6637168141593" style="329" customWidth="1"/>
    <col min="8" max="8" width="4" style="329" hidden="1" customWidth="1"/>
    <col min="9" max="9" width="4.46902654867257" style="329" hidden="1" customWidth="1"/>
    <col min="10" max="10" width="8.13274336283186" style="339" customWidth="1"/>
    <col min="11" max="11" width="12.3982300884956" style="343" customWidth="1"/>
    <col min="12" max="12" width="11" style="339" hidden="1" customWidth="1" outlineLevel="1"/>
    <col min="13" max="13" width="11.7964601769912" style="330" customWidth="1" outlineLevel="1"/>
    <col min="14" max="14" width="11.8672566371681" style="330" customWidth="1" outlineLevel="1"/>
    <col min="15" max="15" width="10.2035398230088" style="330" customWidth="1" outlineLevel="1"/>
    <col min="16" max="16" width="10.7964601769912" style="330" customWidth="1" outlineLevel="1"/>
    <col min="17" max="17" width="10.8672566371681" style="330" customWidth="1" outlineLevel="1"/>
    <col min="18" max="18" width="12.3362831858407" style="330" customWidth="1" outlineLevel="1"/>
    <col min="19" max="19" width="11.2035398230088" style="330" customWidth="1" outlineLevel="1"/>
    <col min="20" max="20" width="11.4690265486726" style="337" customWidth="1" outlineLevel="1"/>
    <col min="21" max="21" width="10.6017699115044" style="337" customWidth="1"/>
    <col min="22" max="22" width="10.7345132743363" style="337" customWidth="1"/>
    <col min="23" max="23" width="13.3362831858407" style="344" hidden="1" customWidth="1"/>
    <col min="24" max="24" width="10.3362831858407" style="329" hidden="1" customWidth="1"/>
    <col min="25" max="25" width="10.6637168141593" style="339" customWidth="1"/>
    <col min="26" max="26" width="9.66371681415929" style="339" customWidth="1"/>
    <col min="27" max="28" width="9.66371681415929" style="339" hidden="1" customWidth="1"/>
    <col min="29" max="29" width="9.66371681415929" style="339" customWidth="1"/>
    <col min="30" max="30" width="9.66371681415929" style="339" hidden="1" customWidth="1" outlineLevel="1"/>
    <col min="31" max="31" width="9.66371681415929" style="345" customWidth="1" collapsed="1"/>
    <col min="32" max="32" width="9.66371681415929" style="339" customWidth="1"/>
    <col min="33" max="33" width="11.8672566371681" style="339" customWidth="1"/>
    <col min="34" max="34" width="12.6017699115044" style="339" customWidth="1"/>
    <col min="35" max="35" width="9.66371681415929" style="340" customWidth="1"/>
    <col min="36" max="36" width="9.66371681415929" style="338" customWidth="1"/>
    <col min="37" max="37" width="9.66371681415929" style="346" customWidth="1"/>
    <col min="38" max="40" width="9.66371681415929" style="347" customWidth="1"/>
    <col min="41" max="41" width="9.66371681415929" style="340" customWidth="1"/>
    <col min="42" max="42" width="9.66371681415929" style="348" customWidth="1"/>
    <col min="43" max="43" width="28" style="339" customWidth="1"/>
    <col min="44" max="16384" width="9" style="339"/>
  </cols>
  <sheetData>
    <row r="1" s="329" customFormat="1" ht="13.8" hidden="1" customHeight="1" spans="1:43">
      <c r="A1" s="341"/>
      <c r="C1" s="342"/>
      <c r="D1" s="341"/>
      <c r="E1" s="342"/>
      <c r="K1" s="349"/>
      <c r="M1" s="330"/>
      <c r="N1" s="330"/>
      <c r="O1" s="330"/>
      <c r="P1" s="330"/>
      <c r="Q1" s="330"/>
      <c r="R1" s="330"/>
      <c r="S1" s="330"/>
      <c r="T1" s="337"/>
      <c r="U1" s="337"/>
      <c r="V1" s="337"/>
      <c r="W1" s="344"/>
      <c r="AI1" s="342"/>
      <c r="AJ1" s="341"/>
      <c r="AK1" s="350"/>
      <c r="AL1" s="350"/>
      <c r="AM1" s="351"/>
      <c r="AN1" s="351"/>
      <c r="AO1" s="342"/>
      <c r="AP1" s="352"/>
    </row>
    <row r="2" s="329" customFormat="1" ht="13.8" hidden="1" customHeight="1" spans="1:43">
      <c r="A2" s="341"/>
      <c r="B2" s="353" t="s">
        <v>0</v>
      </c>
      <c r="C2" s="354" t="s">
        <v>1</v>
      </c>
      <c r="D2" s="355"/>
      <c r="E2" s="342"/>
      <c r="K2" s="349"/>
      <c r="M2" s="330"/>
      <c r="N2" s="330"/>
      <c r="O2" s="330"/>
      <c r="P2" s="330"/>
      <c r="Q2" s="330"/>
      <c r="R2" s="330"/>
      <c r="S2" s="330"/>
      <c r="T2" s="337"/>
      <c r="U2" s="337"/>
      <c r="V2" s="337"/>
      <c r="W2" s="344"/>
      <c r="AI2" s="342"/>
      <c r="AJ2" s="341"/>
      <c r="AK2" s="350"/>
      <c r="AL2" s="350"/>
      <c r="AM2" s="351"/>
      <c r="AN2" s="351"/>
      <c r="AO2" s="342"/>
      <c r="AP2" s="352"/>
    </row>
    <row r="3" s="329" customFormat="1" ht="13.8" hidden="1" customHeight="1" spans="1:43">
      <c r="A3" s="341"/>
      <c r="C3" s="354" t="s">
        <v>2</v>
      </c>
      <c r="D3" s="355"/>
      <c r="E3" s="342"/>
      <c r="K3" s="349"/>
      <c r="M3" s="330"/>
      <c r="N3" s="330"/>
      <c r="O3" s="330"/>
      <c r="P3" s="330"/>
      <c r="Q3" s="330"/>
      <c r="R3" s="330"/>
      <c r="S3" s="330"/>
      <c r="T3" s="337"/>
      <c r="U3" s="337"/>
      <c r="V3" s="337"/>
      <c r="W3" s="344"/>
      <c r="AI3" s="342"/>
      <c r="AJ3" s="341"/>
      <c r="AK3" s="350"/>
      <c r="AL3" s="350"/>
      <c r="AM3" s="351"/>
      <c r="AN3" s="351"/>
      <c r="AO3" s="342"/>
      <c r="AP3" s="352"/>
    </row>
    <row r="4" s="329" customFormat="1" ht="13.8" hidden="1" customHeight="1" spans="1:43">
      <c r="A4" s="341"/>
      <c r="C4" s="354" t="s">
        <v>3</v>
      </c>
      <c r="D4" s="355"/>
      <c r="E4" s="342"/>
      <c r="K4" s="349"/>
      <c r="M4" s="330"/>
      <c r="N4" s="330"/>
      <c r="O4" s="330"/>
      <c r="P4" s="330"/>
      <c r="Q4" s="330"/>
      <c r="R4" s="330"/>
      <c r="S4" s="330"/>
      <c r="T4" s="337"/>
      <c r="U4" s="337"/>
      <c r="V4" s="337"/>
      <c r="W4" s="344"/>
      <c r="AI4" s="342"/>
      <c r="AJ4" s="341"/>
      <c r="AK4" s="350"/>
      <c r="AL4" s="350"/>
      <c r="AM4" s="351"/>
      <c r="AN4" s="351"/>
      <c r="AO4" s="342"/>
      <c r="AP4" s="352"/>
    </row>
    <row r="5" s="329" customFormat="1" ht="15.6" hidden="1" customHeight="1" spans="1:43">
      <c r="A5" s="341"/>
      <c r="B5" s="356"/>
      <c r="C5" s="354" t="s">
        <v>4</v>
      </c>
      <c r="D5" s="355"/>
      <c r="E5" s="342"/>
      <c r="K5" s="349"/>
      <c r="M5" s="330"/>
      <c r="N5" s="330"/>
      <c r="O5" s="330"/>
      <c r="P5" s="330"/>
      <c r="Q5" s="330"/>
      <c r="R5" s="330"/>
      <c r="S5" s="330"/>
      <c r="T5" s="337"/>
      <c r="U5" s="337"/>
      <c r="V5" s="337"/>
      <c r="W5" s="344"/>
      <c r="AI5" s="342"/>
      <c r="AJ5" s="341"/>
      <c r="AK5" s="350"/>
      <c r="AL5" s="350"/>
      <c r="AM5" s="351"/>
      <c r="AN5" s="351"/>
      <c r="AO5" s="342"/>
      <c r="AP5" s="352"/>
    </row>
    <row r="6" s="329" customFormat="1" ht="15.6" hidden="1" customHeight="1" spans="1:43">
      <c r="A6" s="341"/>
      <c r="B6" s="356"/>
      <c r="C6" s="354" t="s">
        <v>5</v>
      </c>
      <c r="D6" s="355"/>
      <c r="E6" s="342"/>
      <c r="K6" s="349"/>
      <c r="M6" s="330"/>
      <c r="N6" s="330"/>
      <c r="O6" s="330"/>
      <c r="P6" s="330"/>
      <c r="Q6" s="330"/>
      <c r="R6" s="330"/>
      <c r="S6" s="330"/>
      <c r="T6" s="337"/>
      <c r="U6" s="337"/>
      <c r="V6" s="337"/>
      <c r="W6" s="344"/>
      <c r="AI6" s="342"/>
      <c r="AJ6" s="341"/>
      <c r="AK6" s="350"/>
      <c r="AL6" s="350"/>
      <c r="AM6" s="351"/>
      <c r="AN6" s="351"/>
      <c r="AO6" s="342"/>
      <c r="AP6" s="352"/>
    </row>
    <row r="7" s="329" customFormat="1" ht="13.8" hidden="1" customHeight="1" spans="1:43">
      <c r="A7" s="341"/>
      <c r="C7" s="342"/>
      <c r="D7" s="341"/>
      <c r="E7" s="342"/>
      <c r="K7" s="349"/>
      <c r="M7" s="330"/>
      <c r="N7" s="330"/>
      <c r="O7" s="330"/>
      <c r="P7" s="330"/>
      <c r="Q7" s="330"/>
      <c r="R7" s="330"/>
      <c r="S7" s="330"/>
      <c r="T7" s="337"/>
      <c r="U7" s="337"/>
      <c r="V7" s="337"/>
      <c r="W7" s="344"/>
      <c r="AI7" s="342"/>
      <c r="AJ7" s="341"/>
      <c r="AK7" s="350"/>
      <c r="AL7" s="350"/>
      <c r="AM7" s="351"/>
      <c r="AN7" s="351"/>
      <c r="AO7" s="342"/>
      <c r="AP7" s="352"/>
    </row>
    <row r="8" s="330" customFormat="1" ht="13.8" hidden="1" customHeight="1" spans="1:43">
      <c r="A8" s="357"/>
      <c r="C8" s="358"/>
      <c r="D8" s="357"/>
      <c r="E8" s="358"/>
      <c r="J8" s="359" t="s">
        <v>6</v>
      </c>
      <c r="K8" s="360"/>
      <c r="L8" s="361"/>
      <c r="M8" s="361">
        <v>1</v>
      </c>
      <c r="N8" s="361">
        <v>10</v>
      </c>
      <c r="O8" s="361">
        <v>0</v>
      </c>
      <c r="P8" s="361">
        <v>0</v>
      </c>
      <c r="Q8" s="361">
        <v>0</v>
      </c>
      <c r="R8" s="361">
        <v>10</v>
      </c>
      <c r="S8" s="361">
        <v>17</v>
      </c>
      <c r="T8" s="362">
        <v>10</v>
      </c>
      <c r="U8" s="362"/>
      <c r="V8" s="362">
        <v>9</v>
      </c>
      <c r="W8" s="337"/>
      <c r="AI8" s="358"/>
      <c r="AJ8" s="357"/>
      <c r="AK8" s="332"/>
      <c r="AL8" s="332"/>
      <c r="AM8" s="363"/>
      <c r="AN8" s="363"/>
      <c r="AO8" s="358"/>
      <c r="AP8" s="352"/>
    </row>
    <row r="9" s="330" customFormat="1" ht="13.8" hidden="1" customHeight="1" spans="1:43">
      <c r="A9" s="357"/>
      <c r="C9" s="358"/>
      <c r="D9" s="357"/>
      <c r="E9" s="358"/>
      <c r="J9" s="359" t="s">
        <v>7</v>
      </c>
      <c r="K9" s="360"/>
      <c r="L9" s="361"/>
      <c r="M9" s="361">
        <v>1</v>
      </c>
      <c r="N9" s="361">
        <v>10</v>
      </c>
      <c r="O9" s="361">
        <v>0</v>
      </c>
      <c r="P9" s="361">
        <v>0</v>
      </c>
      <c r="Q9" s="361">
        <v>0</v>
      </c>
      <c r="R9" s="361">
        <v>10</v>
      </c>
      <c r="S9" s="361">
        <v>17</v>
      </c>
      <c r="T9" s="362">
        <v>10</v>
      </c>
      <c r="U9" s="362"/>
      <c r="V9" s="362">
        <v>9</v>
      </c>
      <c r="W9" s="337"/>
      <c r="AI9" s="358"/>
      <c r="AJ9" s="357"/>
      <c r="AK9" s="332"/>
      <c r="AL9" s="332"/>
      <c r="AM9" s="363"/>
      <c r="AN9" s="363"/>
      <c r="AO9" s="358"/>
      <c r="AP9" s="352"/>
    </row>
    <row r="10" s="330" customFormat="1" ht="13.8" hidden="1" customHeight="1" spans="1:43">
      <c r="A10" s="357"/>
      <c r="C10" s="358"/>
      <c r="D10" s="357"/>
      <c r="E10" s="358"/>
      <c r="J10" s="359" t="s">
        <v>8</v>
      </c>
      <c r="K10" s="360"/>
      <c r="L10" s="361"/>
      <c r="M10" s="361">
        <v>1</v>
      </c>
      <c r="N10" s="361">
        <v>10</v>
      </c>
      <c r="O10" s="361">
        <v>0</v>
      </c>
      <c r="P10" s="361">
        <v>0</v>
      </c>
      <c r="Q10" s="361">
        <v>0</v>
      </c>
      <c r="R10" s="361">
        <v>10</v>
      </c>
      <c r="S10" s="361">
        <v>13</v>
      </c>
      <c r="T10" s="362">
        <v>10</v>
      </c>
      <c r="U10" s="362"/>
      <c r="V10" s="362">
        <v>9</v>
      </c>
      <c r="W10" s="337"/>
      <c r="AI10" s="358"/>
      <c r="AJ10" s="357"/>
      <c r="AK10" s="332"/>
      <c r="AL10" s="332"/>
      <c r="AM10" s="363"/>
      <c r="AN10" s="363"/>
      <c r="AO10" s="358"/>
      <c r="AP10" s="352"/>
    </row>
    <row r="11" s="330" customFormat="1" ht="13.8" hidden="1" customHeight="1" spans="1:43">
      <c r="A11" s="357"/>
      <c r="C11" s="358"/>
      <c r="D11" s="357"/>
      <c r="E11" s="358"/>
      <c r="J11" s="359" t="s">
        <v>9</v>
      </c>
      <c r="K11" s="360"/>
      <c r="L11" s="361"/>
      <c r="M11" s="361">
        <v>1</v>
      </c>
      <c r="N11" s="361">
        <v>10</v>
      </c>
      <c r="O11" s="361">
        <v>0</v>
      </c>
      <c r="P11" s="361">
        <v>0</v>
      </c>
      <c r="Q11" s="361">
        <v>0</v>
      </c>
      <c r="R11" s="361">
        <v>5</v>
      </c>
      <c r="S11" s="361">
        <v>7</v>
      </c>
      <c r="T11" s="362">
        <v>10</v>
      </c>
      <c r="U11" s="362"/>
      <c r="V11" s="362">
        <v>5</v>
      </c>
      <c r="W11" s="337"/>
      <c r="AI11" s="358"/>
      <c r="AJ11" s="357"/>
      <c r="AK11" s="332"/>
      <c r="AL11" s="332"/>
      <c r="AM11" s="363"/>
      <c r="AN11" s="363"/>
      <c r="AO11" s="358"/>
      <c r="AP11" s="352"/>
    </row>
    <row r="12" s="330" customFormat="1" ht="21" hidden="1" customHeight="1" spans="1:43">
      <c r="A12" s="357"/>
      <c r="B12" s="364" t="s">
        <v>10</v>
      </c>
      <c r="C12" s="358"/>
      <c r="D12" s="357"/>
      <c r="E12" s="358"/>
      <c r="J12" s="365" t="s">
        <v>6</v>
      </c>
      <c r="K12" s="366"/>
      <c r="M12" s="47">
        <v>1</v>
      </c>
      <c r="N12" s="47">
        <v>5</v>
      </c>
      <c r="O12" s="367">
        <v>1</v>
      </c>
      <c r="P12" s="47">
        <v>5</v>
      </c>
      <c r="R12" s="367">
        <v>10</v>
      </c>
      <c r="S12" s="47">
        <v>20</v>
      </c>
      <c r="T12" s="47">
        <v>3</v>
      </c>
      <c r="U12" s="47"/>
      <c r="V12" s="367">
        <v>10</v>
      </c>
      <c r="W12" s="367">
        <v>2</v>
      </c>
      <c r="X12" s="330">
        <v>5</v>
      </c>
      <c r="Y12" s="47">
        <v>20</v>
      </c>
      <c r="Z12" s="47">
        <v>10</v>
      </c>
      <c r="AD12" s="47">
        <v>5</v>
      </c>
      <c r="AE12" s="47">
        <v>5</v>
      </c>
      <c r="AF12" s="47"/>
      <c r="AG12" s="47"/>
      <c r="AH12" s="47"/>
      <c r="AI12" s="358"/>
      <c r="AJ12" s="352"/>
      <c r="AK12" s="368"/>
      <c r="AL12" s="363"/>
      <c r="AM12" s="363"/>
      <c r="AN12" s="363"/>
      <c r="AO12" s="358"/>
      <c r="AP12" s="352"/>
    </row>
    <row r="13" s="330" customFormat="1" ht="13.8" hidden="1" customHeight="1" spans="1:43">
      <c r="A13" s="357"/>
      <c r="C13" s="358"/>
      <c r="D13" s="357"/>
      <c r="E13" s="358"/>
      <c r="J13" s="365" t="s">
        <v>7</v>
      </c>
      <c r="K13" s="366"/>
      <c r="M13" s="47">
        <v>1</v>
      </c>
      <c r="N13" s="47">
        <v>5</v>
      </c>
      <c r="O13" s="367">
        <v>1</v>
      </c>
      <c r="P13" s="47">
        <v>5</v>
      </c>
      <c r="R13" s="367">
        <v>10</v>
      </c>
      <c r="S13" s="47">
        <v>20</v>
      </c>
      <c r="T13" s="47">
        <v>3</v>
      </c>
      <c r="U13" s="47"/>
      <c r="V13" s="367">
        <v>10</v>
      </c>
      <c r="W13" s="367">
        <v>2</v>
      </c>
      <c r="X13" s="330">
        <v>5</v>
      </c>
      <c r="Y13" s="47">
        <v>20</v>
      </c>
      <c r="Z13" s="47">
        <v>10</v>
      </c>
      <c r="AD13" s="47">
        <v>5</v>
      </c>
      <c r="AE13" s="47">
        <v>5</v>
      </c>
      <c r="AF13" s="47"/>
      <c r="AG13" s="47"/>
      <c r="AH13" s="47"/>
      <c r="AI13" s="358"/>
      <c r="AJ13" s="352"/>
      <c r="AK13" s="368"/>
      <c r="AL13" s="363"/>
      <c r="AM13" s="363"/>
      <c r="AN13" s="363"/>
      <c r="AO13" s="358"/>
      <c r="AP13" s="352"/>
    </row>
    <row r="14" s="330" customFormat="1" ht="13.8" hidden="1" customHeight="1" spans="1:43">
      <c r="A14" s="357"/>
      <c r="C14" s="358"/>
      <c r="D14" s="357"/>
      <c r="E14" s="358"/>
      <c r="J14" s="365" t="s">
        <v>8</v>
      </c>
      <c r="K14" s="366"/>
      <c r="M14" s="47">
        <v>3</v>
      </c>
      <c r="N14" s="369">
        <v>5</v>
      </c>
      <c r="O14" s="367">
        <v>1</v>
      </c>
      <c r="P14" s="369">
        <v>5</v>
      </c>
      <c r="R14" s="367">
        <v>10</v>
      </c>
      <c r="S14" s="47">
        <v>15</v>
      </c>
      <c r="T14" s="369">
        <v>3</v>
      </c>
      <c r="U14" s="369"/>
      <c r="V14" s="367">
        <v>10</v>
      </c>
      <c r="W14" s="367">
        <v>2</v>
      </c>
      <c r="X14" s="330">
        <v>5</v>
      </c>
      <c r="Y14" s="47">
        <v>15</v>
      </c>
      <c r="Z14" s="47">
        <v>10</v>
      </c>
      <c r="AD14" s="47">
        <v>5</v>
      </c>
      <c r="AE14" s="47">
        <v>5</v>
      </c>
      <c r="AF14" s="47"/>
      <c r="AG14" s="47"/>
      <c r="AH14" s="47"/>
      <c r="AI14" s="358"/>
      <c r="AJ14" s="352"/>
      <c r="AK14" s="368"/>
      <c r="AL14" s="363"/>
      <c r="AM14" s="363"/>
      <c r="AN14" s="363"/>
      <c r="AO14" s="358"/>
      <c r="AP14" s="352"/>
    </row>
    <row r="15" s="330" customFormat="1" ht="13.8" hidden="1" customHeight="1" spans="1:43">
      <c r="A15" s="357"/>
      <c r="C15" s="358"/>
      <c r="D15" s="357"/>
      <c r="E15" s="358"/>
      <c r="J15" s="365" t="s">
        <v>9</v>
      </c>
      <c r="K15" s="366"/>
      <c r="M15" s="47">
        <v>3</v>
      </c>
      <c r="N15" s="47">
        <v>5</v>
      </c>
      <c r="O15" s="367">
        <v>1</v>
      </c>
      <c r="P15" s="47">
        <v>3</v>
      </c>
      <c r="R15" s="367">
        <v>5</v>
      </c>
      <c r="S15" s="47">
        <v>7</v>
      </c>
      <c r="T15" s="47">
        <v>2</v>
      </c>
      <c r="U15" s="47"/>
      <c r="V15" s="367">
        <v>5</v>
      </c>
      <c r="W15" s="367">
        <v>2</v>
      </c>
      <c r="X15" s="330">
        <v>5</v>
      </c>
      <c r="Y15" s="47">
        <v>10</v>
      </c>
      <c r="Z15" s="47">
        <v>10</v>
      </c>
      <c r="AD15" s="370">
        <v>5</v>
      </c>
      <c r="AE15" s="370">
        <v>5</v>
      </c>
      <c r="AF15" s="370"/>
      <c r="AG15" s="47"/>
      <c r="AH15" s="47"/>
      <c r="AI15" s="358"/>
      <c r="AJ15" s="352"/>
      <c r="AK15" s="368"/>
      <c r="AL15" s="363"/>
      <c r="AM15" s="363"/>
      <c r="AN15" s="363"/>
      <c r="AO15" s="358"/>
      <c r="AP15" s="352"/>
    </row>
    <row r="16" s="331" customFormat="1" ht="45" customHeight="1" spans="1:43">
      <c r="A16" s="61" t="s">
        <v>11</v>
      </c>
      <c r="B16" s="230" t="s">
        <v>12</v>
      </c>
      <c r="C16" s="236" t="s">
        <v>13</v>
      </c>
      <c r="D16" s="371" t="s">
        <v>14</v>
      </c>
      <c r="E16" s="372" t="s">
        <v>15</v>
      </c>
      <c r="F16" s="372" t="s">
        <v>16</v>
      </c>
      <c r="G16" s="372" t="s">
        <v>17</v>
      </c>
      <c r="H16" s="372" t="s">
        <v>18</v>
      </c>
      <c r="I16" s="372" t="s">
        <v>19</v>
      </c>
      <c r="J16" s="61" t="s">
        <v>20</v>
      </c>
      <c r="K16" s="61"/>
      <c r="L16" s="61" t="s">
        <v>21</v>
      </c>
      <c r="M16" s="372" t="s">
        <v>22</v>
      </c>
      <c r="N16" s="372" t="s">
        <v>23</v>
      </c>
      <c r="O16" s="373" t="s">
        <v>24</v>
      </c>
      <c r="P16" s="372" t="s">
        <v>25</v>
      </c>
      <c r="Q16" s="372" t="s">
        <v>26</v>
      </c>
      <c r="R16" s="372" t="s">
        <v>27</v>
      </c>
      <c r="S16" s="373" t="s">
        <v>28</v>
      </c>
      <c r="T16" s="374" t="s">
        <v>29</v>
      </c>
      <c r="U16" s="374" t="s">
        <v>30</v>
      </c>
      <c r="V16" s="375" t="s">
        <v>31</v>
      </c>
      <c r="W16" s="374" t="s">
        <v>32</v>
      </c>
      <c r="X16" s="372" t="s">
        <v>33</v>
      </c>
      <c r="Y16" s="376" t="s">
        <v>34</v>
      </c>
      <c r="Z16" s="376" t="s">
        <v>35</v>
      </c>
      <c r="AA16" s="61" t="s">
        <v>36</v>
      </c>
      <c r="AB16" s="61" t="s">
        <v>37</v>
      </c>
      <c r="AC16" s="376" t="s">
        <v>38</v>
      </c>
      <c r="AD16" s="377" t="s">
        <v>39</v>
      </c>
      <c r="AE16" s="378" t="s">
        <v>40</v>
      </c>
      <c r="AF16" s="376" t="s">
        <v>41</v>
      </c>
      <c r="AG16" s="376" t="s">
        <v>42</v>
      </c>
      <c r="AH16" s="376" t="s">
        <v>43</v>
      </c>
      <c r="AI16" s="61" t="s">
        <v>44</v>
      </c>
      <c r="AJ16" s="61" t="s">
        <v>45</v>
      </c>
      <c r="AK16" s="61" t="s">
        <v>46</v>
      </c>
      <c r="AL16" s="61" t="s">
        <v>47</v>
      </c>
      <c r="AM16" s="61" t="s">
        <v>48</v>
      </c>
      <c r="AN16" s="61"/>
      <c r="AO16" s="61"/>
      <c r="AP16" s="61" t="s">
        <v>49</v>
      </c>
      <c r="AQ16" s="61" t="s">
        <v>50</v>
      </c>
    </row>
    <row r="17" s="330" customFormat="1" ht="15.75" hidden="1" customHeight="1" spans="1:43">
      <c r="A17" s="379"/>
      <c r="B17" s="380"/>
      <c r="C17" s="381"/>
      <c r="D17" s="382"/>
      <c r="E17" s="383"/>
      <c r="F17" s="384"/>
      <c r="G17" s="384"/>
      <c r="H17" s="384"/>
      <c r="I17" s="384"/>
      <c r="J17" s="384"/>
      <c r="K17" s="67" t="s">
        <v>51</v>
      </c>
      <c r="L17" s="384"/>
      <c r="M17" s="384"/>
      <c r="N17" s="384"/>
      <c r="O17" s="384"/>
      <c r="P17" s="384"/>
      <c r="Q17" s="384"/>
      <c r="R17" s="384"/>
      <c r="S17" s="384"/>
      <c r="T17" s="385"/>
      <c r="U17" s="385"/>
      <c r="V17" s="385"/>
      <c r="W17" s="385"/>
      <c r="X17" s="383"/>
      <c r="Y17" s="383"/>
      <c r="Z17" s="383"/>
      <c r="AA17" s="383"/>
      <c r="AB17" s="383"/>
      <c r="AC17" s="383"/>
      <c r="AD17" s="383"/>
      <c r="AE17" s="383"/>
      <c r="AF17" s="383"/>
      <c r="AG17" s="383"/>
      <c r="AH17" s="383"/>
      <c r="AI17" s="386"/>
      <c r="AJ17" s="383"/>
      <c r="AK17" s="383"/>
      <c r="AL17" s="383"/>
      <c r="AM17" s="383"/>
      <c r="AN17" s="383"/>
      <c r="AO17" s="383"/>
      <c r="AP17" s="383" t="s">
        <v>52</v>
      </c>
    </row>
    <row r="18" s="332" customFormat="1" ht="15.75" hidden="1" customHeight="1" spans="1:43">
      <c r="A18" s="387"/>
      <c r="B18" s="388"/>
      <c r="C18" s="389"/>
      <c r="D18" s="390"/>
      <c r="E18" s="391"/>
      <c r="F18" s="392"/>
      <c r="G18" s="392"/>
      <c r="H18" s="392"/>
      <c r="I18" s="392"/>
      <c r="J18" s="392"/>
      <c r="K18" s="393" t="s">
        <v>53</v>
      </c>
      <c r="L18" s="387" t="s">
        <v>54</v>
      </c>
      <c r="M18" s="392" t="s">
        <v>55</v>
      </c>
      <c r="N18" s="392" t="s">
        <v>55</v>
      </c>
      <c r="O18" s="392" t="s">
        <v>54</v>
      </c>
      <c r="P18" s="392" t="s">
        <v>55</v>
      </c>
      <c r="Q18" s="392"/>
      <c r="R18" s="392" t="s">
        <v>54</v>
      </c>
      <c r="S18" s="392" t="s">
        <v>55</v>
      </c>
      <c r="T18" s="394" t="s">
        <v>55</v>
      </c>
      <c r="U18" s="394" t="s">
        <v>54</v>
      </c>
      <c r="V18" s="394" t="s">
        <v>54</v>
      </c>
      <c r="W18" s="394" t="s">
        <v>54</v>
      </c>
      <c r="X18" s="392" t="s">
        <v>54</v>
      </c>
      <c r="Y18" s="391" t="s">
        <v>54</v>
      </c>
      <c r="Z18" s="391" t="s">
        <v>55</v>
      </c>
      <c r="AA18" s="391"/>
      <c r="AB18" s="391"/>
      <c r="AC18" s="391"/>
      <c r="AD18" s="391"/>
      <c r="AE18" s="391"/>
      <c r="AF18" s="391"/>
      <c r="AG18" s="391"/>
      <c r="AH18" s="391"/>
      <c r="AI18" s="395"/>
      <c r="AJ18" s="391"/>
      <c r="AK18" s="391"/>
      <c r="AL18" s="391"/>
      <c r="AM18" s="391"/>
      <c r="AN18" s="391"/>
      <c r="AO18" s="391"/>
      <c r="AP18" s="391"/>
    </row>
    <row r="19" s="333" customFormat="1" ht="23" hidden="1" customHeight="1" spans="1:43">
      <c r="A19" s="396">
        <v>1</v>
      </c>
      <c r="B19" s="324" t="s">
        <v>56</v>
      </c>
      <c r="C19" s="397" t="s">
        <v>57</v>
      </c>
      <c r="D19" s="398"/>
      <c r="E19" s="399"/>
      <c r="F19" s="400"/>
      <c r="G19" s="399" t="s">
        <v>58</v>
      </c>
      <c r="H19" s="324"/>
      <c r="I19" s="401"/>
      <c r="J19" s="324" t="s">
        <v>6</v>
      </c>
      <c r="K19" s="402" t="s">
        <v>59</v>
      </c>
      <c r="L19" s="403"/>
      <c r="M19" s="404">
        <v>46122</v>
      </c>
      <c r="N19" s="404">
        <v>46142</v>
      </c>
      <c r="O19" s="404">
        <v>46142</v>
      </c>
      <c r="P19" s="404">
        <v>46142</v>
      </c>
      <c r="Q19" s="404">
        <v>46145</v>
      </c>
      <c r="R19" s="404">
        <v>46157</v>
      </c>
      <c r="S19" s="404">
        <v>46184</v>
      </c>
      <c r="T19" s="404">
        <v>46198</v>
      </c>
      <c r="U19" s="404"/>
      <c r="V19" s="404">
        <v>46211</v>
      </c>
      <c r="W19" s="404">
        <v>46213</v>
      </c>
      <c r="X19" s="404">
        <v>46220</v>
      </c>
      <c r="Y19" s="404">
        <v>46248</v>
      </c>
      <c r="Z19" s="404">
        <v>46262</v>
      </c>
      <c r="AA19" s="404">
        <v>46307</v>
      </c>
      <c r="AB19" s="404">
        <v>46310</v>
      </c>
      <c r="AC19" s="404">
        <v>46313</v>
      </c>
      <c r="AD19" s="404">
        <v>46496</v>
      </c>
      <c r="AE19" s="404">
        <v>46526</v>
      </c>
      <c r="AF19" s="404">
        <v>46540</v>
      </c>
      <c r="AG19" s="404">
        <v>46554</v>
      </c>
      <c r="AH19" s="404">
        <v>46570</v>
      </c>
      <c r="AI19" s="405">
        <v>47</v>
      </c>
      <c r="AJ19" s="406">
        <f>AI19*7</f>
        <v>329</v>
      </c>
      <c r="AK19" s="404">
        <f>V19+AJ19</f>
        <v>46540</v>
      </c>
      <c r="AL19" s="407">
        <f>AL20</f>
        <v>46540</v>
      </c>
      <c r="AM19" s="399">
        <f>AL20-AK19</f>
        <v>0</v>
      </c>
      <c r="AN19" s="408" t="s">
        <v>60</v>
      </c>
      <c r="AO19" s="409" t="s">
        <v>61</v>
      </c>
      <c r="AP19" s="410">
        <v>46543</v>
      </c>
      <c r="AQ19" s="407"/>
    </row>
    <row r="20" s="334" customFormat="1" ht="23" customHeight="1" spans="1:43">
      <c r="A20" s="396"/>
      <c r="B20" s="324" t="s">
        <v>56</v>
      </c>
      <c r="C20" s="397" t="s">
        <v>57</v>
      </c>
      <c r="D20" s="398"/>
      <c r="E20" s="399"/>
      <c r="F20" s="400" t="s">
        <v>62</v>
      </c>
      <c r="G20" s="399" t="s">
        <v>58</v>
      </c>
      <c r="H20" s="324" t="s">
        <v>63</v>
      </c>
      <c r="I20" s="324">
        <v>2</v>
      </c>
      <c r="J20" s="324" t="s">
        <v>6</v>
      </c>
      <c r="K20" s="402" t="s">
        <v>64</v>
      </c>
      <c r="L20" s="404"/>
      <c r="M20" s="404"/>
      <c r="N20" s="404"/>
      <c r="O20" s="404"/>
      <c r="P20" s="404"/>
      <c r="Q20" s="404"/>
      <c r="R20" s="404"/>
      <c r="S20" s="404"/>
      <c r="T20" s="404"/>
      <c r="U20" s="404"/>
      <c r="V20" s="404"/>
      <c r="W20" s="404"/>
      <c r="X20" s="404"/>
      <c r="Y20" s="404"/>
      <c r="Z20" s="411"/>
      <c r="AA20" s="411">
        <v>46300</v>
      </c>
      <c r="AB20" s="411">
        <f>AA20</f>
        <v>46300</v>
      </c>
      <c r="AC20" s="411">
        <v>46301</v>
      </c>
      <c r="AD20" s="411">
        <v>46497</v>
      </c>
      <c r="AE20" s="411">
        <v>46521</v>
      </c>
      <c r="AF20" s="404">
        <v>46533</v>
      </c>
      <c r="AG20" s="404">
        <v>46547</v>
      </c>
      <c r="AH20" s="404">
        <v>46563</v>
      </c>
      <c r="AI20" s="405">
        <v>47</v>
      </c>
      <c r="AJ20" s="406">
        <v>329</v>
      </c>
      <c r="AK20" s="412">
        <v>46533</v>
      </c>
      <c r="AL20" s="407">
        <f>AP19-3</f>
        <v>46540</v>
      </c>
      <c r="AM20" s="399">
        <f>AL20-AK20</f>
        <v>7</v>
      </c>
      <c r="AN20" s="413" t="str">
        <f>AN19</f>
        <v>Long Lead</v>
      </c>
      <c r="AO20" s="409" t="s">
        <v>65</v>
      </c>
      <c r="AP20" s="410">
        <v>46553</v>
      </c>
      <c r="AQ20" s="407"/>
    </row>
    <row r="21" s="333" customFormat="1" ht="23" hidden="1" customHeight="1" spans="1:43">
      <c r="A21" s="414"/>
      <c r="B21" s="415" t="s">
        <v>56</v>
      </c>
      <c r="C21" s="415" t="s">
        <v>57</v>
      </c>
      <c r="D21" s="416"/>
      <c r="E21" s="417"/>
      <c r="F21" s="418"/>
      <c r="G21" s="417" t="s">
        <v>58</v>
      </c>
      <c r="H21" s="415" t="s">
        <v>63</v>
      </c>
      <c r="I21" s="324">
        <v>2</v>
      </c>
      <c r="J21" s="415" t="s">
        <v>6</v>
      </c>
      <c r="K21" s="419" t="s">
        <v>66</v>
      </c>
      <c r="L21" s="420">
        <v>46120</v>
      </c>
      <c r="M21" s="420">
        <v>46122</v>
      </c>
      <c r="N21" s="420">
        <v>46139</v>
      </c>
      <c r="O21" s="420">
        <f>N21</f>
        <v>46139</v>
      </c>
      <c r="P21" s="420">
        <f>O21</f>
        <v>46139</v>
      </c>
      <c r="Q21" s="420">
        <f>P21</f>
        <v>46139</v>
      </c>
      <c r="R21" s="420">
        <v>46143</v>
      </c>
      <c r="S21" s="420">
        <v>46185</v>
      </c>
      <c r="T21" s="420">
        <v>46190</v>
      </c>
      <c r="U21" s="420">
        <v>46204</v>
      </c>
      <c r="V21" s="420">
        <v>46240</v>
      </c>
      <c r="W21" s="420">
        <v>46240</v>
      </c>
      <c r="X21" s="420">
        <v>46213</v>
      </c>
      <c r="Y21" s="420">
        <f>X21+1</f>
        <v>46214</v>
      </c>
      <c r="Z21" s="421">
        <v>46297</v>
      </c>
      <c r="AA21" s="420"/>
      <c r="AB21" s="420"/>
      <c r="AC21" s="420"/>
      <c r="AD21" s="420"/>
      <c r="AE21" s="420"/>
      <c r="AF21" s="420"/>
      <c r="AG21" s="420"/>
      <c r="AH21" s="420"/>
      <c r="AI21" s="422"/>
      <c r="AJ21" s="423"/>
      <c r="AK21" s="420"/>
      <c r="AL21" s="424"/>
      <c r="AM21" s="417"/>
      <c r="AN21" s="425" t="str">
        <f>AN19</f>
        <v>Long Lead</v>
      </c>
      <c r="AO21" s="426"/>
      <c r="AP21" s="425" t="s">
        <v>67</v>
      </c>
      <c r="AQ21" s="424" t="s">
        <v>68</v>
      </c>
    </row>
    <row r="22" s="333" customFormat="1" ht="23" hidden="1" customHeight="1" spans="1:43">
      <c r="A22" s="396">
        <v>2</v>
      </c>
      <c r="B22" s="324" t="s">
        <v>69</v>
      </c>
      <c r="C22" s="324" t="s">
        <v>70</v>
      </c>
      <c r="D22" s="427"/>
      <c r="E22" s="399"/>
      <c r="F22" s="400"/>
      <c r="G22" s="399" t="s">
        <v>58</v>
      </c>
      <c r="H22" s="324"/>
      <c r="I22" s="401"/>
      <c r="J22" s="324" t="s">
        <v>8</v>
      </c>
      <c r="K22" s="402" t="s">
        <v>59</v>
      </c>
      <c r="L22" s="404"/>
      <c r="M22" s="404">
        <v>46203</v>
      </c>
      <c r="N22" s="404">
        <v>46217</v>
      </c>
      <c r="O22" s="404">
        <v>46217</v>
      </c>
      <c r="P22" s="404">
        <v>46217</v>
      </c>
      <c r="Q22" s="404">
        <v>46217</v>
      </c>
      <c r="R22" s="404">
        <v>46231</v>
      </c>
      <c r="S22" s="404">
        <v>46252</v>
      </c>
      <c r="T22" s="404">
        <v>46266</v>
      </c>
      <c r="U22" s="404"/>
      <c r="V22" s="404">
        <v>46279</v>
      </c>
      <c r="W22" s="404">
        <v>46281</v>
      </c>
      <c r="X22" s="404">
        <v>46288</v>
      </c>
      <c r="Y22" s="404">
        <v>46317</v>
      </c>
      <c r="Z22" s="404">
        <v>46332</v>
      </c>
      <c r="AA22" s="404">
        <v>46377</v>
      </c>
      <c r="AB22" s="404">
        <v>46380</v>
      </c>
      <c r="AC22" s="404">
        <v>46381</v>
      </c>
      <c r="AD22" s="404">
        <v>46410</v>
      </c>
      <c r="AE22" s="404">
        <v>46440</v>
      </c>
      <c r="AF22" s="404">
        <v>46454</v>
      </c>
      <c r="AG22" s="404">
        <v>46468</v>
      </c>
      <c r="AH22" s="404">
        <v>46484</v>
      </c>
      <c r="AI22" s="428">
        <v>25</v>
      </c>
      <c r="AJ22" s="406">
        <f>AI22*7</f>
        <v>175</v>
      </c>
      <c r="AK22" s="404">
        <f>V22+AJ22</f>
        <v>46454</v>
      </c>
      <c r="AL22" s="407">
        <f>AL23</f>
        <v>46459</v>
      </c>
      <c r="AM22" s="399">
        <f>AL23-AK22</f>
        <v>5</v>
      </c>
      <c r="AN22" s="408"/>
      <c r="AO22" s="409" t="s">
        <v>61</v>
      </c>
      <c r="AP22" s="410">
        <v>46462</v>
      </c>
      <c r="AQ22" s="407"/>
    </row>
    <row r="23" s="334" customFormat="1" ht="23" customHeight="1" spans="1:43">
      <c r="A23" s="396"/>
      <c r="B23" s="324" t="s">
        <v>69</v>
      </c>
      <c r="C23" s="397" t="s">
        <v>70</v>
      </c>
      <c r="D23" s="427"/>
      <c r="E23" s="399"/>
      <c r="F23" s="400" t="s">
        <v>71</v>
      </c>
      <c r="G23" s="399" t="s">
        <v>58</v>
      </c>
      <c r="H23" s="324" t="s">
        <v>72</v>
      </c>
      <c r="I23" s="324">
        <v>4</v>
      </c>
      <c r="J23" s="324" t="s">
        <v>8</v>
      </c>
      <c r="K23" s="402" t="s">
        <v>64</v>
      </c>
      <c r="L23" s="404"/>
      <c r="M23" s="404"/>
      <c r="N23" s="404"/>
      <c r="O23" s="404"/>
      <c r="P23" s="404"/>
      <c r="Q23" s="404"/>
      <c r="R23" s="404"/>
      <c r="S23" s="404"/>
      <c r="T23" s="404"/>
      <c r="U23" s="404"/>
      <c r="V23" s="404">
        <v>46301</v>
      </c>
      <c r="W23" s="404"/>
      <c r="X23" s="404">
        <v>46304</v>
      </c>
      <c r="Y23" s="404">
        <v>46317</v>
      </c>
      <c r="Z23" s="404">
        <v>46332</v>
      </c>
      <c r="AA23" s="404">
        <v>46377</v>
      </c>
      <c r="AB23" s="404">
        <v>46380</v>
      </c>
      <c r="AC23" s="404">
        <v>46381</v>
      </c>
      <c r="AD23" s="404">
        <v>46391</v>
      </c>
      <c r="AE23" s="411">
        <v>46421</v>
      </c>
      <c r="AF23" s="404">
        <v>46435</v>
      </c>
      <c r="AG23" s="404">
        <v>46449</v>
      </c>
      <c r="AH23" s="404">
        <v>46465</v>
      </c>
      <c r="AI23" s="405">
        <v>25</v>
      </c>
      <c r="AJ23" s="406">
        <v>175</v>
      </c>
      <c r="AK23" s="412">
        <v>46435</v>
      </c>
      <c r="AL23" s="407">
        <f>AP22-3</f>
        <v>46459</v>
      </c>
      <c r="AM23" s="399">
        <f>AL23-AK23</f>
        <v>24</v>
      </c>
      <c r="AN23" s="408"/>
      <c r="AO23" s="409" t="s">
        <v>65</v>
      </c>
      <c r="AP23" s="410">
        <v>46490</v>
      </c>
      <c r="AQ23" s="407" t="s">
        <v>73</v>
      </c>
    </row>
    <row r="24" s="333" customFormat="1" ht="23" hidden="1" customHeight="1" spans="1:43">
      <c r="A24" s="414"/>
      <c r="B24" s="415" t="s">
        <v>69</v>
      </c>
      <c r="C24" s="415" t="s">
        <v>70</v>
      </c>
      <c r="D24" s="429"/>
      <c r="E24" s="417"/>
      <c r="F24" s="418"/>
      <c r="G24" s="417" t="s">
        <v>58</v>
      </c>
      <c r="H24" s="415" t="s">
        <v>72</v>
      </c>
      <c r="I24" s="324">
        <v>4</v>
      </c>
      <c r="J24" s="415" t="s">
        <v>8</v>
      </c>
      <c r="K24" s="419" t="s">
        <v>66</v>
      </c>
      <c r="L24" s="417"/>
      <c r="M24" s="420">
        <v>46170</v>
      </c>
      <c r="N24" s="420">
        <v>46188</v>
      </c>
      <c r="O24" s="420">
        <v>46188</v>
      </c>
      <c r="P24" s="420">
        <v>46188</v>
      </c>
      <c r="Q24" s="420">
        <v>46191</v>
      </c>
      <c r="R24" s="420">
        <v>46204</v>
      </c>
      <c r="S24" s="420">
        <v>46242</v>
      </c>
      <c r="T24" s="420">
        <v>46288</v>
      </c>
      <c r="U24" s="420">
        <v>46260</v>
      </c>
      <c r="V24" s="417"/>
      <c r="W24" s="420">
        <v>46260</v>
      </c>
      <c r="X24" s="420"/>
      <c r="Y24" s="420"/>
      <c r="Z24" s="420"/>
      <c r="AA24" s="420"/>
      <c r="AB24" s="420"/>
      <c r="AC24" s="420"/>
      <c r="AD24" s="420"/>
      <c r="AE24" s="420"/>
      <c r="AF24" s="420"/>
      <c r="AG24" s="420"/>
      <c r="AH24" s="420"/>
      <c r="AI24" s="422"/>
      <c r="AJ24" s="423"/>
      <c r="AK24" s="420"/>
      <c r="AL24" s="424"/>
      <c r="AM24" s="417"/>
      <c r="AN24" s="425"/>
      <c r="AO24" s="426"/>
      <c r="AP24" s="425" t="s">
        <v>74</v>
      </c>
      <c r="AQ24" s="424"/>
    </row>
    <row r="25" s="333" customFormat="1" ht="23" hidden="1" customHeight="1" spans="1:43">
      <c r="A25" s="396">
        <v>3</v>
      </c>
      <c r="B25" s="324" t="s">
        <v>75</v>
      </c>
      <c r="C25" s="397" t="s">
        <v>76</v>
      </c>
      <c r="D25" s="398"/>
      <c r="E25" s="399"/>
      <c r="F25" s="400"/>
      <c r="G25" s="399" t="s">
        <v>58</v>
      </c>
      <c r="H25" s="324"/>
      <c r="I25" s="401"/>
      <c r="J25" s="324" t="s">
        <v>6</v>
      </c>
      <c r="K25" s="402" t="s">
        <v>59</v>
      </c>
      <c r="L25" s="404"/>
      <c r="M25" s="404">
        <v>46170</v>
      </c>
      <c r="N25" s="404">
        <v>46182</v>
      </c>
      <c r="O25" s="404">
        <v>46182</v>
      </c>
      <c r="P25" s="404">
        <v>46182</v>
      </c>
      <c r="Q25" s="404">
        <v>46190</v>
      </c>
      <c r="R25" s="404">
        <v>46204</v>
      </c>
      <c r="S25" s="404">
        <v>46224</v>
      </c>
      <c r="T25" s="404">
        <v>46240</v>
      </c>
      <c r="U25" s="404"/>
      <c r="V25" s="404">
        <v>46253</v>
      </c>
      <c r="W25" s="404">
        <v>46255</v>
      </c>
      <c r="X25" s="404">
        <v>46262</v>
      </c>
      <c r="Y25" s="404">
        <v>46293</v>
      </c>
      <c r="Z25" s="404">
        <v>46307</v>
      </c>
      <c r="AA25" s="404">
        <v>46367</v>
      </c>
      <c r="AB25" s="404">
        <v>46370</v>
      </c>
      <c r="AC25" s="404">
        <v>46371</v>
      </c>
      <c r="AD25" s="404">
        <v>46402</v>
      </c>
      <c r="AE25" s="404">
        <v>46432</v>
      </c>
      <c r="AF25" s="404">
        <v>46433</v>
      </c>
      <c r="AG25" s="404">
        <v>46447</v>
      </c>
      <c r="AH25" s="404">
        <v>46463</v>
      </c>
      <c r="AI25" s="405">
        <v>25.7142857142857</v>
      </c>
      <c r="AJ25" s="406">
        <f>AI25*7</f>
        <v>180</v>
      </c>
      <c r="AK25" s="404">
        <f>V25+AJ25</f>
        <v>46433</v>
      </c>
      <c r="AL25" s="407">
        <f>AL26</f>
        <v>46444</v>
      </c>
      <c r="AM25" s="399">
        <f>AL26-AK25</f>
        <v>11</v>
      </c>
      <c r="AN25" s="408"/>
      <c r="AO25" s="409" t="s">
        <v>61</v>
      </c>
      <c r="AP25" s="410">
        <v>46447</v>
      </c>
      <c r="AQ25" s="407"/>
    </row>
    <row r="26" s="333" customFormat="1" ht="23" customHeight="1" spans="1:43">
      <c r="A26" s="396"/>
      <c r="B26" s="324" t="s">
        <v>75</v>
      </c>
      <c r="C26" s="397" t="s">
        <v>76</v>
      </c>
      <c r="D26" s="398"/>
      <c r="E26" s="399"/>
      <c r="F26" s="400" t="s">
        <v>77</v>
      </c>
      <c r="G26" s="399" t="s">
        <v>58</v>
      </c>
      <c r="H26" s="324" t="s">
        <v>63</v>
      </c>
      <c r="I26" s="324">
        <v>3</v>
      </c>
      <c r="J26" s="324" t="s">
        <v>6</v>
      </c>
      <c r="K26" s="402" t="s">
        <v>64</v>
      </c>
      <c r="L26" s="404"/>
      <c r="M26" s="404"/>
      <c r="N26" s="404"/>
      <c r="O26" s="404"/>
      <c r="P26" s="404"/>
      <c r="Q26" s="404"/>
      <c r="R26" s="404"/>
      <c r="S26" s="404"/>
      <c r="T26" s="404"/>
      <c r="U26" s="404"/>
      <c r="V26" s="404"/>
      <c r="W26" s="404"/>
      <c r="X26" s="404"/>
      <c r="Y26" s="411"/>
      <c r="Z26" s="411">
        <v>46336</v>
      </c>
      <c r="AA26" s="411">
        <v>46345</v>
      </c>
      <c r="AB26" s="411">
        <v>46346</v>
      </c>
      <c r="AC26" s="411">
        <v>46347</v>
      </c>
      <c r="AD26" s="411">
        <v>46415</v>
      </c>
      <c r="AE26" s="411">
        <v>46417</v>
      </c>
      <c r="AF26" s="411">
        <v>46417</v>
      </c>
      <c r="AG26" s="404">
        <v>46431</v>
      </c>
      <c r="AH26" s="404">
        <v>46447</v>
      </c>
      <c r="AI26" s="405">
        <v>28.2857142857143</v>
      </c>
      <c r="AJ26" s="406">
        <v>198</v>
      </c>
      <c r="AK26" s="412">
        <v>46417</v>
      </c>
      <c r="AL26" s="407">
        <f>AP25-3</f>
        <v>46444</v>
      </c>
      <c r="AM26" s="399">
        <f>AL26-AK26</f>
        <v>27</v>
      </c>
      <c r="AN26" s="408"/>
      <c r="AO26" s="409" t="s">
        <v>65</v>
      </c>
      <c r="AP26" s="410">
        <v>46472</v>
      </c>
      <c r="AQ26" s="407"/>
    </row>
    <row r="27" s="333" customFormat="1" ht="23" hidden="1" customHeight="1" spans="1:43">
      <c r="A27" s="414"/>
      <c r="B27" s="415" t="s">
        <v>75</v>
      </c>
      <c r="C27" s="415" t="s">
        <v>76</v>
      </c>
      <c r="D27" s="416"/>
      <c r="E27" s="417"/>
      <c r="F27" s="418"/>
      <c r="G27" s="417" t="s">
        <v>58</v>
      </c>
      <c r="H27" s="415" t="s">
        <v>63</v>
      </c>
      <c r="I27" s="324">
        <v>3</v>
      </c>
      <c r="J27" s="415" t="s">
        <v>6</v>
      </c>
      <c r="K27" s="419" t="s">
        <v>66</v>
      </c>
      <c r="L27" s="420">
        <v>46136</v>
      </c>
      <c r="M27" s="420">
        <v>46165</v>
      </c>
      <c r="N27" s="420">
        <v>46183</v>
      </c>
      <c r="O27" s="420">
        <v>46183</v>
      </c>
      <c r="P27" s="420">
        <v>46183</v>
      </c>
      <c r="Q27" s="420">
        <v>46183</v>
      </c>
      <c r="R27" s="420">
        <v>46192</v>
      </c>
      <c r="S27" s="420">
        <v>46220</v>
      </c>
      <c r="T27" s="420">
        <v>46224</v>
      </c>
      <c r="U27" s="420">
        <v>46219</v>
      </c>
      <c r="V27" s="420">
        <v>46219</v>
      </c>
      <c r="W27" s="420">
        <v>46219</v>
      </c>
      <c r="X27" s="420">
        <v>46226</v>
      </c>
      <c r="Y27" s="420">
        <f>X27+1</f>
        <v>46227</v>
      </c>
      <c r="Z27" s="420"/>
      <c r="AA27" s="420"/>
      <c r="AB27" s="420"/>
      <c r="AC27" s="420"/>
      <c r="AD27" s="420"/>
      <c r="AE27" s="420"/>
      <c r="AF27" s="420"/>
      <c r="AG27" s="420"/>
      <c r="AH27" s="420"/>
      <c r="AI27" s="422"/>
      <c r="AJ27" s="423"/>
      <c r="AK27" s="420"/>
      <c r="AL27" s="424"/>
      <c r="AM27" s="417"/>
      <c r="AN27" s="425"/>
      <c r="AO27" s="426"/>
      <c r="AP27" s="425" t="s">
        <v>78</v>
      </c>
      <c r="AQ27" s="424" t="s">
        <v>79</v>
      </c>
    </row>
    <row r="28" s="333" customFormat="1" ht="23" hidden="1" customHeight="1" spans="1:43">
      <c r="A28" s="396">
        <v>4</v>
      </c>
      <c r="B28" s="324" t="s">
        <v>80</v>
      </c>
      <c r="C28" s="397" t="s">
        <v>81</v>
      </c>
      <c r="D28" s="398"/>
      <c r="E28" s="399"/>
      <c r="F28" s="400"/>
      <c r="G28" s="399" t="s">
        <v>58</v>
      </c>
      <c r="H28" s="324"/>
      <c r="I28" s="401"/>
      <c r="J28" s="324" t="s">
        <v>6</v>
      </c>
      <c r="K28" s="402" t="s">
        <v>59</v>
      </c>
      <c r="L28" s="403"/>
      <c r="M28" s="404">
        <v>46154</v>
      </c>
      <c r="N28" s="404">
        <v>46162</v>
      </c>
      <c r="O28" s="404">
        <v>46162</v>
      </c>
      <c r="P28" s="404">
        <v>46162</v>
      </c>
      <c r="Q28" s="404">
        <v>46170</v>
      </c>
      <c r="R28" s="404">
        <v>46183</v>
      </c>
      <c r="S28" s="404">
        <v>46211</v>
      </c>
      <c r="T28" s="404">
        <v>46216</v>
      </c>
      <c r="U28" s="404"/>
      <c r="V28" s="404">
        <v>46230</v>
      </c>
      <c r="W28" s="404">
        <v>46232</v>
      </c>
      <c r="X28" s="404">
        <v>46239</v>
      </c>
      <c r="Y28" s="404">
        <v>46267</v>
      </c>
      <c r="Z28" s="404">
        <v>46281</v>
      </c>
      <c r="AA28" s="404">
        <v>46341</v>
      </c>
      <c r="AB28" s="404">
        <v>46344</v>
      </c>
      <c r="AC28" s="404">
        <v>46345</v>
      </c>
      <c r="AD28" s="404">
        <v>46430</v>
      </c>
      <c r="AE28" s="404">
        <v>46433</v>
      </c>
      <c r="AF28" s="404">
        <v>46440</v>
      </c>
      <c r="AG28" s="404">
        <v>46454</v>
      </c>
      <c r="AH28" s="404">
        <v>46470</v>
      </c>
      <c r="AI28" s="405">
        <v>30</v>
      </c>
      <c r="AJ28" s="406">
        <f>AI28*7</f>
        <v>210</v>
      </c>
      <c r="AK28" s="404">
        <f>V28+AJ28</f>
        <v>46440</v>
      </c>
      <c r="AL28" s="407">
        <f>AL29</f>
        <v>46448</v>
      </c>
      <c r="AM28" s="399">
        <f>AL29-AK28</f>
        <v>8</v>
      </c>
      <c r="AN28" s="408" t="s">
        <v>60</v>
      </c>
      <c r="AO28" s="409" t="s">
        <v>61</v>
      </c>
      <c r="AP28" s="410">
        <v>46451</v>
      </c>
      <c r="AQ28" s="407"/>
    </row>
    <row r="29" s="333" customFormat="1" ht="23" customHeight="1" spans="1:43">
      <c r="A29" s="396"/>
      <c r="B29" s="324" t="s">
        <v>80</v>
      </c>
      <c r="C29" s="397" t="s">
        <v>81</v>
      </c>
      <c r="D29" s="398"/>
      <c r="E29" s="399"/>
      <c r="F29" s="400" t="s">
        <v>82</v>
      </c>
      <c r="G29" s="399" t="s">
        <v>58</v>
      </c>
      <c r="H29" s="324" t="s">
        <v>63</v>
      </c>
      <c r="I29" s="324">
        <v>2</v>
      </c>
      <c r="J29" s="324" t="s">
        <v>6</v>
      </c>
      <c r="K29" s="402" t="s">
        <v>64</v>
      </c>
      <c r="L29" s="404"/>
      <c r="M29" s="404"/>
      <c r="N29" s="404"/>
      <c r="O29" s="404"/>
      <c r="P29" s="404"/>
      <c r="Q29" s="404"/>
      <c r="R29" s="404"/>
      <c r="S29" s="404"/>
      <c r="T29" s="404"/>
      <c r="U29" s="404"/>
      <c r="V29" s="404"/>
      <c r="W29" s="404"/>
      <c r="X29" s="404"/>
      <c r="Y29" s="411"/>
      <c r="Z29" s="411">
        <v>46336</v>
      </c>
      <c r="AA29" s="411">
        <v>46343</v>
      </c>
      <c r="AB29" s="411">
        <v>46344</v>
      </c>
      <c r="AC29" s="411">
        <v>46345</v>
      </c>
      <c r="AD29" s="411">
        <v>46430</v>
      </c>
      <c r="AE29" s="411">
        <v>46433</v>
      </c>
      <c r="AF29" s="411">
        <v>46433</v>
      </c>
      <c r="AG29" s="404">
        <v>46447</v>
      </c>
      <c r="AH29" s="404">
        <v>46463</v>
      </c>
      <c r="AI29" s="405">
        <v>30.5714285714286</v>
      </c>
      <c r="AJ29" s="406">
        <v>214</v>
      </c>
      <c r="AK29" s="412">
        <v>46433</v>
      </c>
      <c r="AL29" s="407">
        <f>AP28-3</f>
        <v>46448</v>
      </c>
      <c r="AM29" s="399">
        <f>AL29-AK29</f>
        <v>15</v>
      </c>
      <c r="AN29" s="413" t="str">
        <f>AN28</f>
        <v>Long Lead</v>
      </c>
      <c r="AO29" s="409" t="s">
        <v>65</v>
      </c>
      <c r="AP29" s="410">
        <v>46472</v>
      </c>
      <c r="AQ29" s="407"/>
    </row>
    <row r="30" s="333" customFormat="1" ht="23" hidden="1" customHeight="1" spans="1:43">
      <c r="A30" s="414"/>
      <c r="B30" s="415" t="s">
        <v>80</v>
      </c>
      <c r="C30" s="415" t="s">
        <v>81</v>
      </c>
      <c r="D30" s="416"/>
      <c r="E30" s="417"/>
      <c r="F30" s="418"/>
      <c r="G30" s="417" t="s">
        <v>58</v>
      </c>
      <c r="H30" s="415" t="s">
        <v>63</v>
      </c>
      <c r="I30" s="324">
        <v>2</v>
      </c>
      <c r="J30" s="415" t="s">
        <v>6</v>
      </c>
      <c r="K30" s="419" t="s">
        <v>66</v>
      </c>
      <c r="L30" s="420">
        <v>46136</v>
      </c>
      <c r="M30" s="420">
        <v>46157</v>
      </c>
      <c r="N30" s="420">
        <v>46182</v>
      </c>
      <c r="O30" s="420">
        <v>46182</v>
      </c>
      <c r="P30" s="420">
        <v>46182</v>
      </c>
      <c r="Q30" s="420">
        <v>46182</v>
      </c>
      <c r="R30" s="420">
        <v>46190</v>
      </c>
      <c r="S30" s="420">
        <v>46206</v>
      </c>
      <c r="T30" s="420">
        <v>46210</v>
      </c>
      <c r="U30" s="420">
        <v>46219</v>
      </c>
      <c r="V30" s="420">
        <v>46219</v>
      </c>
      <c r="W30" s="420">
        <v>46219</v>
      </c>
      <c r="X30" s="420">
        <v>46226</v>
      </c>
      <c r="Y30" s="420">
        <v>46260</v>
      </c>
      <c r="Z30" s="420"/>
      <c r="AA30" s="420"/>
      <c r="AB30" s="420"/>
      <c r="AC30" s="420"/>
      <c r="AD30" s="420"/>
      <c r="AE30" s="420"/>
      <c r="AF30" s="420"/>
      <c r="AG30" s="420"/>
      <c r="AH30" s="420"/>
      <c r="AI30" s="422"/>
      <c r="AJ30" s="423"/>
      <c r="AK30" s="420"/>
      <c r="AL30" s="424"/>
      <c r="AM30" s="417"/>
      <c r="AN30" s="425" t="str">
        <f>AN28</f>
        <v>Long Lead</v>
      </c>
      <c r="AO30" s="426"/>
      <c r="AP30" s="425" t="s">
        <v>78</v>
      </c>
      <c r="AQ30" s="424" t="s">
        <v>79</v>
      </c>
    </row>
    <row r="31" s="333" customFormat="1" ht="23" hidden="1" customHeight="1" spans="1:43">
      <c r="A31" s="396">
        <v>5</v>
      </c>
      <c r="B31" s="324" t="s">
        <v>83</v>
      </c>
      <c r="C31" s="397" t="s">
        <v>84</v>
      </c>
      <c r="D31" s="398"/>
      <c r="E31" s="399"/>
      <c r="F31" s="400"/>
      <c r="G31" s="324" t="s">
        <v>85</v>
      </c>
      <c r="H31" s="324"/>
      <c r="I31" s="401"/>
      <c r="J31" s="324" t="s">
        <v>6</v>
      </c>
      <c r="K31" s="402" t="s">
        <v>59</v>
      </c>
      <c r="L31" s="403"/>
      <c r="M31" s="404">
        <v>46157</v>
      </c>
      <c r="N31" s="404">
        <v>46175</v>
      </c>
      <c r="O31" s="404">
        <v>46175</v>
      </c>
      <c r="P31" s="404">
        <v>46175</v>
      </c>
      <c r="Q31" s="404">
        <v>46176</v>
      </c>
      <c r="R31" s="404">
        <v>46189</v>
      </c>
      <c r="S31" s="404">
        <v>46217</v>
      </c>
      <c r="T31" s="404">
        <v>46227</v>
      </c>
      <c r="U31" s="404"/>
      <c r="V31" s="404">
        <v>46234</v>
      </c>
      <c r="W31" s="404">
        <v>46238</v>
      </c>
      <c r="X31" s="404">
        <v>46245</v>
      </c>
      <c r="Y31" s="404">
        <v>46273</v>
      </c>
      <c r="Z31" s="404">
        <v>46287</v>
      </c>
      <c r="AA31" s="404">
        <v>46347</v>
      </c>
      <c r="AB31" s="404">
        <v>46350</v>
      </c>
      <c r="AC31" s="404">
        <v>46351</v>
      </c>
      <c r="AD31" s="404">
        <v>46427</v>
      </c>
      <c r="AE31" s="404">
        <v>46457</v>
      </c>
      <c r="AF31" s="404">
        <v>46458</v>
      </c>
      <c r="AG31" s="404">
        <v>46472</v>
      </c>
      <c r="AH31" s="404">
        <v>46488</v>
      </c>
      <c r="AI31" s="405">
        <v>32</v>
      </c>
      <c r="AJ31" s="406">
        <f>AI31*7</f>
        <v>224</v>
      </c>
      <c r="AK31" s="404">
        <f>V31+AJ31</f>
        <v>46458</v>
      </c>
      <c r="AL31" s="407">
        <f>AL32</f>
        <v>46466</v>
      </c>
      <c r="AM31" s="399">
        <f>AL32-AK31</f>
        <v>8</v>
      </c>
      <c r="AN31" s="408"/>
      <c r="AO31" s="409" t="s">
        <v>61</v>
      </c>
      <c r="AP31" s="410">
        <v>46469</v>
      </c>
      <c r="AQ31" s="407"/>
    </row>
    <row r="32" s="333" customFormat="1" ht="23" customHeight="1" spans="1:43">
      <c r="A32" s="396"/>
      <c r="B32" s="324" t="s">
        <v>83</v>
      </c>
      <c r="C32" s="397" t="s">
        <v>84</v>
      </c>
      <c r="D32" s="430"/>
      <c r="E32" s="324"/>
      <c r="F32" s="400" t="s">
        <v>86</v>
      </c>
      <c r="G32" s="324" t="s">
        <v>85</v>
      </c>
      <c r="H32" s="324" t="s">
        <v>63</v>
      </c>
      <c r="I32" s="324">
        <v>2</v>
      </c>
      <c r="J32" s="324" t="s">
        <v>6</v>
      </c>
      <c r="K32" s="402" t="s">
        <v>64</v>
      </c>
      <c r="L32" s="431"/>
      <c r="M32" s="431"/>
      <c r="N32" s="431"/>
      <c r="O32" s="431"/>
      <c r="P32" s="431"/>
      <c r="Q32" s="431"/>
      <c r="R32" s="431"/>
      <c r="S32" s="431"/>
      <c r="T32" s="431"/>
      <c r="U32" s="431"/>
      <c r="V32" s="431"/>
      <c r="W32" s="431"/>
      <c r="X32" s="431"/>
      <c r="Y32" s="432">
        <v>46300</v>
      </c>
      <c r="Z32" s="432">
        <v>46320</v>
      </c>
      <c r="AA32" s="431">
        <v>46300</v>
      </c>
      <c r="AB32" s="431">
        <v>46322</v>
      </c>
      <c r="AC32" s="431">
        <v>46323</v>
      </c>
      <c r="AD32" s="431">
        <f>AE32-7</f>
        <v>46454</v>
      </c>
      <c r="AE32" s="433">
        <v>46461</v>
      </c>
      <c r="AF32" s="432">
        <v>46471</v>
      </c>
      <c r="AG32" s="431"/>
      <c r="AH32" s="431"/>
      <c r="AI32" s="405">
        <v>20</v>
      </c>
      <c r="AJ32" s="406">
        <v>140</v>
      </c>
      <c r="AK32" s="412">
        <f>U33+AJ32</f>
        <v>46405</v>
      </c>
      <c r="AL32" s="407">
        <f>AP31-3</f>
        <v>46466</v>
      </c>
      <c r="AM32" s="324">
        <f>AL32-AK32</f>
        <v>61</v>
      </c>
      <c r="AN32" s="434"/>
      <c r="AO32" s="409" t="s">
        <v>65</v>
      </c>
      <c r="AP32" s="410">
        <v>46472</v>
      </c>
      <c r="AQ32" s="407" t="s">
        <v>79</v>
      </c>
    </row>
    <row r="33" s="333" customFormat="1" ht="23" hidden="1" customHeight="1" spans="1:43">
      <c r="A33" s="414"/>
      <c r="B33" s="415" t="s">
        <v>83</v>
      </c>
      <c r="C33" s="415" t="s">
        <v>84</v>
      </c>
      <c r="D33" s="435"/>
      <c r="E33" s="415"/>
      <c r="F33" s="418"/>
      <c r="G33" s="415" t="s">
        <v>85</v>
      </c>
      <c r="H33" s="415" t="s">
        <v>63</v>
      </c>
      <c r="I33" s="324">
        <v>2</v>
      </c>
      <c r="J33" s="415" t="s">
        <v>6</v>
      </c>
      <c r="K33" s="419" t="s">
        <v>66</v>
      </c>
      <c r="L33" s="436">
        <v>46136</v>
      </c>
      <c r="M33" s="436">
        <v>46163</v>
      </c>
      <c r="N33" s="420">
        <v>46182</v>
      </c>
      <c r="O33" s="420">
        <v>46182</v>
      </c>
      <c r="P33" s="420">
        <v>46182</v>
      </c>
      <c r="Q33" s="420">
        <v>46182</v>
      </c>
      <c r="R33" s="436">
        <v>46199</v>
      </c>
      <c r="S33" s="436">
        <v>46225</v>
      </c>
      <c r="T33" s="436">
        <v>46240</v>
      </c>
      <c r="U33" s="436">
        <v>46265</v>
      </c>
      <c r="V33" s="437">
        <v>46289</v>
      </c>
      <c r="W33" s="436">
        <v>46241</v>
      </c>
      <c r="X33" s="436">
        <v>46248</v>
      </c>
      <c r="Y33" s="420"/>
      <c r="Z33" s="436"/>
      <c r="AA33" s="436"/>
      <c r="AB33" s="436"/>
      <c r="AC33" s="436"/>
      <c r="AD33" s="436"/>
      <c r="AE33" s="436"/>
      <c r="AF33" s="436"/>
      <c r="AG33" s="436"/>
      <c r="AH33" s="436"/>
      <c r="AI33" s="422"/>
      <c r="AJ33" s="423"/>
      <c r="AK33" s="436"/>
      <c r="AL33" s="438"/>
      <c r="AM33" s="415"/>
      <c r="AN33" s="418"/>
      <c r="AO33" s="439"/>
      <c r="AP33" s="425" t="s">
        <v>87</v>
      </c>
      <c r="AQ33" s="438"/>
    </row>
    <row r="34" s="333" customFormat="1" ht="23" hidden="1" customHeight="1" spans="1:43">
      <c r="A34" s="396">
        <v>6</v>
      </c>
      <c r="B34" s="324" t="s">
        <v>88</v>
      </c>
      <c r="C34" s="324" t="s">
        <v>89</v>
      </c>
      <c r="D34" s="398"/>
      <c r="E34" s="399"/>
      <c r="F34" s="400"/>
      <c r="G34" s="399" t="s">
        <v>58</v>
      </c>
      <c r="H34" s="324"/>
      <c r="I34" s="401"/>
      <c r="J34" s="324" t="s">
        <v>6</v>
      </c>
      <c r="K34" s="402" t="s">
        <v>59</v>
      </c>
      <c r="L34" s="403"/>
      <c r="M34" s="404">
        <v>46153</v>
      </c>
      <c r="N34" s="404">
        <v>46182</v>
      </c>
      <c r="O34" s="404">
        <v>46182</v>
      </c>
      <c r="P34" s="404">
        <v>46182</v>
      </c>
      <c r="Q34" s="404">
        <v>46169</v>
      </c>
      <c r="R34" s="404">
        <v>46183</v>
      </c>
      <c r="S34" s="404">
        <v>46210</v>
      </c>
      <c r="T34" s="404">
        <v>46213</v>
      </c>
      <c r="U34" s="404"/>
      <c r="V34" s="404">
        <v>46227</v>
      </c>
      <c r="W34" s="404">
        <v>46231</v>
      </c>
      <c r="X34" s="404">
        <v>46238</v>
      </c>
      <c r="Y34" s="404">
        <v>46266</v>
      </c>
      <c r="Z34" s="404">
        <v>46280</v>
      </c>
      <c r="AA34" s="404">
        <v>46392</v>
      </c>
      <c r="AB34" s="404">
        <v>46395</v>
      </c>
      <c r="AC34" s="404">
        <v>46396</v>
      </c>
      <c r="AD34" s="404">
        <v>46421</v>
      </c>
      <c r="AE34" s="404">
        <v>46437</v>
      </c>
      <c r="AF34" s="404">
        <v>46451</v>
      </c>
      <c r="AG34" s="404">
        <v>46465</v>
      </c>
      <c r="AH34" s="404">
        <v>46481</v>
      </c>
      <c r="AI34" s="405">
        <v>32</v>
      </c>
      <c r="AJ34" s="406">
        <f>AI34*7</f>
        <v>224</v>
      </c>
      <c r="AK34" s="404">
        <f>V34+AJ34</f>
        <v>46451</v>
      </c>
      <c r="AL34" s="407">
        <f>AL35</f>
        <v>46451</v>
      </c>
      <c r="AM34" s="399">
        <f>AL35-AK34</f>
        <v>0</v>
      </c>
      <c r="AN34" s="408" t="s">
        <v>60</v>
      </c>
      <c r="AO34" s="409" t="s">
        <v>61</v>
      </c>
      <c r="AP34" s="410">
        <v>46454</v>
      </c>
      <c r="AQ34" s="407"/>
    </row>
    <row r="35" s="333" customFormat="1" ht="23" customHeight="1" spans="1:43">
      <c r="A35" s="396"/>
      <c r="B35" s="324" t="s">
        <v>88</v>
      </c>
      <c r="C35" s="440" t="s">
        <v>89</v>
      </c>
      <c r="D35" s="398"/>
      <c r="E35" s="399"/>
      <c r="F35" s="400" t="s">
        <v>90</v>
      </c>
      <c r="G35" s="399" t="s">
        <v>58</v>
      </c>
      <c r="H35" s="324" t="s">
        <v>63</v>
      </c>
      <c r="I35" s="324">
        <v>3</v>
      </c>
      <c r="J35" s="324" t="s">
        <v>6</v>
      </c>
      <c r="K35" s="402" t="s">
        <v>64</v>
      </c>
      <c r="L35" s="404"/>
      <c r="M35" s="404"/>
      <c r="N35" s="431"/>
      <c r="O35" s="404"/>
      <c r="P35" s="404"/>
      <c r="Q35" s="404"/>
      <c r="R35" s="404"/>
      <c r="S35" s="404"/>
      <c r="T35" s="404"/>
      <c r="U35" s="404"/>
      <c r="V35" s="404"/>
      <c r="W35" s="404"/>
      <c r="X35" s="404"/>
      <c r="Y35" s="404"/>
      <c r="Z35" s="411">
        <v>46339</v>
      </c>
      <c r="AA35" s="411">
        <v>46366</v>
      </c>
      <c r="AB35" s="411">
        <v>46366</v>
      </c>
      <c r="AC35" s="411">
        <v>46366</v>
      </c>
      <c r="AD35" s="411">
        <v>46469</v>
      </c>
      <c r="AE35" s="411">
        <v>46471</v>
      </c>
      <c r="AF35" s="411">
        <v>46476</v>
      </c>
      <c r="AG35" s="404">
        <v>46490</v>
      </c>
      <c r="AH35" s="404">
        <v>46506</v>
      </c>
      <c r="AI35" s="405">
        <v>35.1428571428571</v>
      </c>
      <c r="AJ35" s="406">
        <v>246</v>
      </c>
      <c r="AK35" s="412">
        <v>46476</v>
      </c>
      <c r="AL35" s="407">
        <f>AP34-3</f>
        <v>46451</v>
      </c>
      <c r="AM35" s="399">
        <f>AL35-AK35</f>
        <v>-25</v>
      </c>
      <c r="AN35" s="413" t="str">
        <f>AN34</f>
        <v>Long Lead</v>
      </c>
      <c r="AO35" s="409" t="s">
        <v>65</v>
      </c>
      <c r="AP35" s="410">
        <v>46472</v>
      </c>
      <c r="AQ35" s="407"/>
    </row>
    <row r="36" s="333" customFormat="1" ht="23" hidden="1" customHeight="1" spans="1:43">
      <c r="A36" s="414"/>
      <c r="B36" s="415" t="s">
        <v>88</v>
      </c>
      <c r="C36" s="415" t="s">
        <v>89</v>
      </c>
      <c r="D36" s="416"/>
      <c r="E36" s="417"/>
      <c r="F36" s="418"/>
      <c r="G36" s="417" t="s">
        <v>58</v>
      </c>
      <c r="H36" s="415" t="s">
        <v>63</v>
      </c>
      <c r="I36" s="324">
        <v>3</v>
      </c>
      <c r="J36" s="415" t="s">
        <v>6</v>
      </c>
      <c r="K36" s="419" t="s">
        <v>66</v>
      </c>
      <c r="L36" s="420">
        <v>46133</v>
      </c>
      <c r="M36" s="420">
        <v>46157</v>
      </c>
      <c r="N36" s="420">
        <v>46182</v>
      </c>
      <c r="O36" s="420">
        <v>46182</v>
      </c>
      <c r="P36" s="420">
        <v>46182</v>
      </c>
      <c r="Q36" s="420">
        <v>46182</v>
      </c>
      <c r="R36" s="420">
        <v>46183</v>
      </c>
      <c r="S36" s="420">
        <v>46206</v>
      </c>
      <c r="T36" s="420">
        <v>46210</v>
      </c>
      <c r="U36" s="420">
        <v>46230</v>
      </c>
      <c r="V36" s="417"/>
      <c r="W36" s="420">
        <v>46230</v>
      </c>
      <c r="X36" s="420">
        <v>46237</v>
      </c>
      <c r="Y36" s="420">
        <v>46262</v>
      </c>
      <c r="Z36" s="420"/>
      <c r="AA36" s="420"/>
      <c r="AB36" s="420"/>
      <c r="AC36" s="420"/>
      <c r="AD36" s="420"/>
      <c r="AE36" s="420"/>
      <c r="AF36" s="420"/>
      <c r="AG36" s="420"/>
      <c r="AH36" s="420"/>
      <c r="AI36" s="422"/>
      <c r="AJ36" s="423"/>
      <c r="AK36" s="420"/>
      <c r="AL36" s="424"/>
      <c r="AM36" s="417"/>
      <c r="AN36" s="425" t="str">
        <f>AN34</f>
        <v>Long Lead</v>
      </c>
      <c r="AO36" s="426"/>
      <c r="AP36" s="418" t="s">
        <v>91</v>
      </c>
      <c r="AQ36" s="424" t="s">
        <v>79</v>
      </c>
    </row>
    <row r="37" s="333" customFormat="1" ht="23" hidden="1" customHeight="1" spans="1:43">
      <c r="A37" s="396">
        <v>8</v>
      </c>
      <c r="B37" s="324" t="s">
        <v>92</v>
      </c>
      <c r="C37" s="397" t="s">
        <v>93</v>
      </c>
      <c r="D37" s="398"/>
      <c r="E37" s="399"/>
      <c r="F37" s="400"/>
      <c r="G37" s="399" t="s">
        <v>58</v>
      </c>
      <c r="H37" s="324"/>
      <c r="I37" s="401"/>
      <c r="J37" s="324" t="s">
        <v>6</v>
      </c>
      <c r="K37" s="402" t="s">
        <v>59</v>
      </c>
      <c r="L37" s="403"/>
      <c r="M37" s="404">
        <v>46141</v>
      </c>
      <c r="N37" s="404">
        <v>46153</v>
      </c>
      <c r="O37" s="404">
        <v>46153</v>
      </c>
      <c r="P37" s="404">
        <v>46161</v>
      </c>
      <c r="Q37" s="404">
        <v>46161</v>
      </c>
      <c r="R37" s="404">
        <v>46183</v>
      </c>
      <c r="S37" s="404">
        <v>46203</v>
      </c>
      <c r="T37" s="404">
        <v>46206</v>
      </c>
      <c r="U37" s="404"/>
      <c r="V37" s="404">
        <v>46220</v>
      </c>
      <c r="W37" s="404">
        <v>46224</v>
      </c>
      <c r="X37" s="404">
        <v>46231</v>
      </c>
      <c r="Y37" s="404">
        <v>46259</v>
      </c>
      <c r="Z37" s="404">
        <v>46273</v>
      </c>
      <c r="AA37" s="411">
        <v>46340</v>
      </c>
      <c r="AB37" s="411">
        <v>46340</v>
      </c>
      <c r="AC37" s="411">
        <v>46340</v>
      </c>
      <c r="AD37" s="411">
        <v>46457</v>
      </c>
      <c r="AE37" s="411">
        <v>46461</v>
      </c>
      <c r="AF37" s="411">
        <f>AE37+3</f>
        <v>46464</v>
      </c>
      <c r="AG37" s="411">
        <f>AF37+14</f>
        <v>46478</v>
      </c>
      <c r="AH37" s="411">
        <f>AK37+30</f>
        <v>46494</v>
      </c>
      <c r="AI37" s="405">
        <v>34</v>
      </c>
      <c r="AJ37" s="406">
        <f t="shared" ref="AJ37:AJ40" si="0">AI37*7</f>
        <v>238</v>
      </c>
      <c r="AK37" s="411">
        <f>AF37</f>
        <v>46464</v>
      </c>
      <c r="AL37" s="407">
        <f>AL38</f>
        <v>46469</v>
      </c>
      <c r="AM37" s="399">
        <f>AL38-AK37</f>
        <v>5</v>
      </c>
      <c r="AN37" s="408"/>
      <c r="AO37" s="409" t="s">
        <v>61</v>
      </c>
      <c r="AP37" s="410" t="s">
        <v>94</v>
      </c>
      <c r="AQ37" s="407"/>
    </row>
    <row r="38" s="333" customFormat="1" ht="23" customHeight="1" spans="1:43">
      <c r="A38" s="396"/>
      <c r="B38" s="324" t="s">
        <v>92</v>
      </c>
      <c r="C38" s="397" t="s">
        <v>93</v>
      </c>
      <c r="D38" s="398"/>
      <c r="E38" s="399"/>
      <c r="F38" s="400" t="s">
        <v>95</v>
      </c>
      <c r="G38" s="399" t="s">
        <v>58</v>
      </c>
      <c r="H38" s="324" t="s">
        <v>63</v>
      </c>
      <c r="I38" s="324">
        <v>2</v>
      </c>
      <c r="J38" s="324" t="s">
        <v>6</v>
      </c>
      <c r="K38" s="402" t="s">
        <v>64</v>
      </c>
      <c r="L38" s="404"/>
      <c r="M38" s="404"/>
      <c r="N38" s="404"/>
      <c r="O38" s="404"/>
      <c r="P38" s="404"/>
      <c r="Q38" s="404"/>
      <c r="R38" s="404"/>
      <c r="S38" s="404"/>
      <c r="T38" s="404"/>
      <c r="U38" s="404"/>
      <c r="V38" s="404"/>
      <c r="W38" s="404"/>
      <c r="X38" s="404"/>
      <c r="Y38" s="411"/>
      <c r="Z38" s="411">
        <v>46380</v>
      </c>
      <c r="AA38" s="411">
        <v>46329</v>
      </c>
      <c r="AB38" s="411">
        <v>46329</v>
      </c>
      <c r="AC38" s="411">
        <v>46340</v>
      </c>
      <c r="AD38" s="411">
        <v>46461</v>
      </c>
      <c r="AE38" s="411">
        <v>46461</v>
      </c>
      <c r="AF38" s="411">
        <v>46461</v>
      </c>
      <c r="AG38" s="404">
        <v>46475</v>
      </c>
      <c r="AH38" s="404">
        <v>46491</v>
      </c>
      <c r="AI38" s="405">
        <v>34.5714285714286</v>
      </c>
      <c r="AJ38" s="406">
        <v>242</v>
      </c>
      <c r="AK38" s="412">
        <v>46461</v>
      </c>
      <c r="AL38" s="407">
        <f>AP38-3</f>
        <v>46469</v>
      </c>
      <c r="AM38" s="399">
        <f>AL38-AK38</f>
        <v>8</v>
      </c>
      <c r="AN38" s="408"/>
      <c r="AO38" s="409" t="s">
        <v>65</v>
      </c>
      <c r="AP38" s="410">
        <v>46472</v>
      </c>
      <c r="AQ38" s="407" t="s">
        <v>96</v>
      </c>
    </row>
    <row r="39" s="333" customFormat="1" ht="23" hidden="1" customHeight="1" spans="1:43">
      <c r="A39" s="414"/>
      <c r="B39" s="415" t="s">
        <v>92</v>
      </c>
      <c r="C39" s="415" t="s">
        <v>93</v>
      </c>
      <c r="D39" s="416"/>
      <c r="E39" s="417"/>
      <c r="F39" s="418"/>
      <c r="G39" s="417" t="s">
        <v>58</v>
      </c>
      <c r="H39" s="415" t="s">
        <v>63</v>
      </c>
      <c r="I39" s="324">
        <v>2</v>
      </c>
      <c r="J39" s="415" t="s">
        <v>6</v>
      </c>
      <c r="K39" s="419" t="s">
        <v>66</v>
      </c>
      <c r="L39" s="420">
        <v>46136</v>
      </c>
      <c r="M39" s="420">
        <v>46139</v>
      </c>
      <c r="N39" s="420">
        <v>46153</v>
      </c>
      <c r="O39" s="420">
        <v>46153</v>
      </c>
      <c r="P39" s="420">
        <f>N39</f>
        <v>46153</v>
      </c>
      <c r="Q39" s="420">
        <f>N39</f>
        <v>46153</v>
      </c>
      <c r="R39" s="420">
        <v>46182</v>
      </c>
      <c r="S39" s="420">
        <v>46200</v>
      </c>
      <c r="T39" s="420">
        <v>46202</v>
      </c>
      <c r="U39" s="420">
        <v>46219</v>
      </c>
      <c r="V39" s="420">
        <v>46219</v>
      </c>
      <c r="W39" s="420">
        <v>46219</v>
      </c>
      <c r="X39" s="420">
        <v>46226</v>
      </c>
      <c r="Y39" s="420">
        <v>46260</v>
      </c>
      <c r="Z39" s="420"/>
      <c r="AA39" s="420"/>
      <c r="AB39" s="420"/>
      <c r="AC39" s="420"/>
      <c r="AD39" s="420"/>
      <c r="AE39" s="420"/>
      <c r="AF39" s="420"/>
      <c r="AG39" s="420"/>
      <c r="AH39" s="420"/>
      <c r="AI39" s="422"/>
      <c r="AJ39" s="423"/>
      <c r="AK39" s="420"/>
      <c r="AL39" s="424"/>
      <c r="AM39" s="417"/>
      <c r="AN39" s="425"/>
      <c r="AO39" s="426"/>
      <c r="AP39" s="425" t="s">
        <v>78</v>
      </c>
      <c r="AQ39" s="424" t="s">
        <v>79</v>
      </c>
    </row>
    <row r="40" s="333" customFormat="1" ht="23" hidden="1" customHeight="1" spans="1:43">
      <c r="A40" s="396">
        <v>9</v>
      </c>
      <c r="B40" s="324" t="s">
        <v>97</v>
      </c>
      <c r="C40" s="397" t="s">
        <v>98</v>
      </c>
      <c r="D40" s="398"/>
      <c r="E40" s="399"/>
      <c r="F40" s="400"/>
      <c r="G40" s="399" t="s">
        <v>58</v>
      </c>
      <c r="H40" s="324"/>
      <c r="I40" s="401"/>
      <c r="J40" s="324" t="s">
        <v>6</v>
      </c>
      <c r="K40" s="402" t="s">
        <v>59</v>
      </c>
      <c r="L40" s="403"/>
      <c r="M40" s="404">
        <v>46134</v>
      </c>
      <c r="N40" s="404">
        <v>46153</v>
      </c>
      <c r="O40" s="404">
        <v>46153</v>
      </c>
      <c r="P40" s="404">
        <v>46153</v>
      </c>
      <c r="Q40" s="404">
        <v>46154</v>
      </c>
      <c r="R40" s="404">
        <v>46167</v>
      </c>
      <c r="S40" s="404">
        <v>46197</v>
      </c>
      <c r="T40" s="404">
        <v>46202</v>
      </c>
      <c r="U40" s="404"/>
      <c r="V40" s="404">
        <v>46216</v>
      </c>
      <c r="W40" s="404">
        <v>46218</v>
      </c>
      <c r="X40" s="404">
        <v>46225</v>
      </c>
      <c r="Y40" s="404">
        <v>46253</v>
      </c>
      <c r="Z40" s="404">
        <v>46267</v>
      </c>
      <c r="AA40" s="411">
        <v>46340</v>
      </c>
      <c r="AB40" s="411">
        <v>46340</v>
      </c>
      <c r="AC40" s="411">
        <v>46343</v>
      </c>
      <c r="AD40" s="411">
        <v>46453</v>
      </c>
      <c r="AE40" s="411">
        <v>46456</v>
      </c>
      <c r="AF40" s="411">
        <f>AE40+3</f>
        <v>46459</v>
      </c>
      <c r="AG40" s="411">
        <f>AF40+14</f>
        <v>46473</v>
      </c>
      <c r="AH40" s="411">
        <f>AK40+30</f>
        <v>46489</v>
      </c>
      <c r="AI40" s="405">
        <v>34</v>
      </c>
      <c r="AJ40" s="406">
        <f t="shared" si="0"/>
        <v>238</v>
      </c>
      <c r="AK40" s="411">
        <f>AF40</f>
        <v>46459</v>
      </c>
      <c r="AL40" s="407">
        <f>AL41</f>
        <v>46470</v>
      </c>
      <c r="AM40" s="399">
        <f>AL41-AK40</f>
        <v>11</v>
      </c>
      <c r="AN40" s="408"/>
      <c r="AO40" s="409" t="s">
        <v>61</v>
      </c>
      <c r="AP40" s="410" t="s">
        <v>94</v>
      </c>
      <c r="AQ40" s="407"/>
    </row>
    <row r="41" s="333" customFormat="1" ht="23" customHeight="1" spans="1:43">
      <c r="A41" s="396"/>
      <c r="B41" s="324" t="s">
        <v>97</v>
      </c>
      <c r="C41" s="397" t="s">
        <v>98</v>
      </c>
      <c r="D41" s="398"/>
      <c r="E41" s="399"/>
      <c r="F41" s="400" t="s">
        <v>99</v>
      </c>
      <c r="G41" s="399" t="s">
        <v>58</v>
      </c>
      <c r="H41" s="324" t="s">
        <v>63</v>
      </c>
      <c r="I41" s="324">
        <v>2</v>
      </c>
      <c r="J41" s="324" t="s">
        <v>6</v>
      </c>
      <c r="K41" s="402" t="s">
        <v>64</v>
      </c>
      <c r="L41" s="404"/>
      <c r="M41" s="404"/>
      <c r="N41" s="404"/>
      <c r="O41" s="404"/>
      <c r="P41" s="404"/>
      <c r="Q41" s="404"/>
      <c r="R41" s="404"/>
      <c r="S41" s="404"/>
      <c r="T41" s="404"/>
      <c r="U41" s="404"/>
      <c r="V41" s="404"/>
      <c r="W41" s="404"/>
      <c r="X41" s="404"/>
      <c r="Y41" s="411"/>
      <c r="Z41" s="411">
        <v>46380</v>
      </c>
      <c r="AA41" s="411">
        <v>46280</v>
      </c>
      <c r="AB41" s="411">
        <v>46281</v>
      </c>
      <c r="AC41" s="411">
        <v>46282</v>
      </c>
      <c r="AD41" s="411">
        <v>46451</v>
      </c>
      <c r="AE41" s="411">
        <v>46456</v>
      </c>
      <c r="AF41" s="411">
        <v>46456</v>
      </c>
      <c r="AG41" s="404">
        <v>46470</v>
      </c>
      <c r="AH41" s="404">
        <v>46486</v>
      </c>
      <c r="AI41" s="405">
        <v>33.8571428571429</v>
      </c>
      <c r="AJ41" s="406">
        <v>237</v>
      </c>
      <c r="AK41" s="412">
        <v>46456</v>
      </c>
      <c r="AL41" s="407">
        <f>AP41-3</f>
        <v>46470</v>
      </c>
      <c r="AM41" s="399">
        <f>AL41-AK41</f>
        <v>14</v>
      </c>
      <c r="AN41" s="408"/>
      <c r="AO41" s="409" t="s">
        <v>65</v>
      </c>
      <c r="AP41" s="410">
        <v>46473</v>
      </c>
      <c r="AQ41" s="407" t="s">
        <v>96</v>
      </c>
    </row>
    <row r="42" s="333" customFormat="1" ht="23" hidden="1" customHeight="1" spans="1:43">
      <c r="A42" s="414"/>
      <c r="B42" s="415" t="s">
        <v>97</v>
      </c>
      <c r="C42" s="415" t="s">
        <v>98</v>
      </c>
      <c r="D42" s="416"/>
      <c r="E42" s="417"/>
      <c r="F42" s="418"/>
      <c r="G42" s="417" t="s">
        <v>58</v>
      </c>
      <c r="H42" s="415" t="s">
        <v>63</v>
      </c>
      <c r="I42" s="324">
        <v>2</v>
      </c>
      <c r="J42" s="415" t="s">
        <v>6</v>
      </c>
      <c r="K42" s="419" t="s">
        <v>66</v>
      </c>
      <c r="L42" s="420">
        <v>46135</v>
      </c>
      <c r="M42" s="420">
        <v>46135</v>
      </c>
      <c r="N42" s="420">
        <v>46151</v>
      </c>
      <c r="O42" s="420">
        <v>46151</v>
      </c>
      <c r="P42" s="420">
        <f>N42</f>
        <v>46151</v>
      </c>
      <c r="Q42" s="420">
        <f>N42</f>
        <v>46151</v>
      </c>
      <c r="R42" s="420">
        <v>46181</v>
      </c>
      <c r="S42" s="420">
        <v>46202</v>
      </c>
      <c r="T42" s="420">
        <v>46204</v>
      </c>
      <c r="U42" s="420">
        <v>46219</v>
      </c>
      <c r="V42" s="420">
        <v>46219</v>
      </c>
      <c r="W42" s="420">
        <v>46219</v>
      </c>
      <c r="X42" s="420">
        <v>46226</v>
      </c>
      <c r="Y42" s="420">
        <v>46260</v>
      </c>
      <c r="Z42" s="420"/>
      <c r="AA42" s="420"/>
      <c r="AB42" s="420"/>
      <c r="AC42" s="420"/>
      <c r="AD42" s="420"/>
      <c r="AE42" s="420"/>
      <c r="AF42" s="420"/>
      <c r="AG42" s="420"/>
      <c r="AH42" s="420"/>
      <c r="AI42" s="422"/>
      <c r="AJ42" s="423"/>
      <c r="AK42" s="420"/>
      <c r="AL42" s="424"/>
      <c r="AM42" s="417"/>
      <c r="AN42" s="425"/>
      <c r="AO42" s="426"/>
      <c r="AP42" s="425" t="s">
        <v>78</v>
      </c>
      <c r="AQ42" s="424" t="s">
        <v>79</v>
      </c>
    </row>
    <row r="43" s="333" customFormat="1" ht="23" hidden="1" customHeight="1" spans="1:43">
      <c r="A43" s="396">
        <v>10</v>
      </c>
      <c r="B43" s="324" t="s">
        <v>100</v>
      </c>
      <c r="C43" s="397" t="s">
        <v>101</v>
      </c>
      <c r="D43" s="398"/>
      <c r="E43" s="399"/>
      <c r="F43" s="400"/>
      <c r="G43" s="399" t="s">
        <v>58</v>
      </c>
      <c r="H43" s="324"/>
      <c r="I43" s="401"/>
      <c r="J43" s="324" t="s">
        <v>6</v>
      </c>
      <c r="K43" s="402" t="s">
        <v>59</v>
      </c>
      <c r="L43" s="403"/>
      <c r="M43" s="404">
        <v>46147</v>
      </c>
      <c r="N43" s="404">
        <v>46167</v>
      </c>
      <c r="O43" s="404">
        <v>46167</v>
      </c>
      <c r="P43" s="404">
        <v>46167</v>
      </c>
      <c r="Q43" s="404">
        <v>46163</v>
      </c>
      <c r="R43" s="404">
        <v>46190</v>
      </c>
      <c r="S43" s="404">
        <v>46204</v>
      </c>
      <c r="T43" s="404">
        <v>46209</v>
      </c>
      <c r="U43" s="404"/>
      <c r="V43" s="404">
        <v>46223</v>
      </c>
      <c r="W43" s="404">
        <v>46225</v>
      </c>
      <c r="X43" s="404">
        <v>46232</v>
      </c>
      <c r="Y43" s="404">
        <v>46260</v>
      </c>
      <c r="Z43" s="404">
        <v>46274</v>
      </c>
      <c r="AA43" s="404">
        <v>46334</v>
      </c>
      <c r="AB43" s="404">
        <v>46337</v>
      </c>
      <c r="AC43" s="404">
        <v>46338</v>
      </c>
      <c r="AD43" s="404">
        <v>46374</v>
      </c>
      <c r="AE43" s="404">
        <v>46446</v>
      </c>
      <c r="AF43" s="404">
        <v>46447</v>
      </c>
      <c r="AG43" s="404">
        <v>46461</v>
      </c>
      <c r="AH43" s="404">
        <v>46477</v>
      </c>
      <c r="AI43" s="405">
        <v>32</v>
      </c>
      <c r="AJ43" s="406">
        <f>AI43*7</f>
        <v>224</v>
      </c>
      <c r="AK43" s="404">
        <f>V43+AJ43</f>
        <v>46447</v>
      </c>
      <c r="AL43" s="407">
        <f>AL44</f>
        <v>46469</v>
      </c>
      <c r="AM43" s="399">
        <f>AL44-AK43</f>
        <v>22</v>
      </c>
      <c r="AN43" s="408"/>
      <c r="AO43" s="409" t="s">
        <v>61</v>
      </c>
      <c r="AP43" s="410" t="s">
        <v>94</v>
      </c>
      <c r="AQ43" s="407"/>
    </row>
    <row r="44" s="333" customFormat="1" ht="23" customHeight="1" spans="1:43">
      <c r="A44" s="396"/>
      <c r="B44" s="324" t="s">
        <v>100</v>
      </c>
      <c r="C44" s="397" t="s">
        <v>101</v>
      </c>
      <c r="D44" s="398"/>
      <c r="E44" s="399"/>
      <c r="F44" s="400" t="s">
        <v>102</v>
      </c>
      <c r="G44" s="399" t="s">
        <v>58</v>
      </c>
      <c r="H44" s="324" t="s">
        <v>63</v>
      </c>
      <c r="I44" s="324">
        <v>2</v>
      </c>
      <c r="J44" s="324" t="s">
        <v>6</v>
      </c>
      <c r="K44" s="402" t="s">
        <v>64</v>
      </c>
      <c r="L44" s="404"/>
      <c r="M44" s="404"/>
      <c r="N44" s="404"/>
      <c r="O44" s="404"/>
      <c r="P44" s="404"/>
      <c r="Q44" s="404"/>
      <c r="R44" s="404"/>
      <c r="S44" s="404"/>
      <c r="T44" s="404"/>
      <c r="U44" s="404"/>
      <c r="V44" s="404"/>
      <c r="W44" s="404"/>
      <c r="X44" s="404"/>
      <c r="Y44" s="411"/>
      <c r="Z44" s="411">
        <v>46336</v>
      </c>
      <c r="AA44" s="411">
        <v>46345</v>
      </c>
      <c r="AB44" s="411">
        <v>46346</v>
      </c>
      <c r="AC44" s="411">
        <v>46347</v>
      </c>
      <c r="AD44" s="411">
        <f>AE44-5</f>
        <v>46441</v>
      </c>
      <c r="AE44" s="411">
        <v>46446</v>
      </c>
      <c r="AF44" s="411">
        <v>46446</v>
      </c>
      <c r="AG44" s="404">
        <v>46460</v>
      </c>
      <c r="AH44" s="404">
        <v>46476</v>
      </c>
      <c r="AI44" s="405">
        <v>32.4285714285714</v>
      </c>
      <c r="AJ44" s="406">
        <v>227</v>
      </c>
      <c r="AK44" s="412">
        <v>46446</v>
      </c>
      <c r="AL44" s="407">
        <f>AP44-3</f>
        <v>46469</v>
      </c>
      <c r="AM44" s="399">
        <f>AL44-AK44</f>
        <v>23</v>
      </c>
      <c r="AN44" s="408"/>
      <c r="AO44" s="409" t="s">
        <v>65</v>
      </c>
      <c r="AP44" s="410">
        <v>46472</v>
      </c>
      <c r="AQ44" s="407" t="s">
        <v>96</v>
      </c>
    </row>
    <row r="45" s="333" customFormat="1" ht="23" hidden="1" customHeight="1" spans="1:43">
      <c r="A45" s="414"/>
      <c r="B45" s="415" t="s">
        <v>100</v>
      </c>
      <c r="C45" s="415" t="s">
        <v>101</v>
      </c>
      <c r="D45" s="416"/>
      <c r="E45" s="417"/>
      <c r="F45" s="418"/>
      <c r="G45" s="417" t="s">
        <v>58</v>
      </c>
      <c r="H45" s="415" t="s">
        <v>63</v>
      </c>
      <c r="I45" s="324">
        <v>2</v>
      </c>
      <c r="J45" s="415" t="s">
        <v>6</v>
      </c>
      <c r="K45" s="419" t="s">
        <v>66</v>
      </c>
      <c r="L45" s="420">
        <v>46136</v>
      </c>
      <c r="M45" s="420">
        <v>46150</v>
      </c>
      <c r="N45" s="420">
        <v>46167</v>
      </c>
      <c r="O45" s="420">
        <v>46167</v>
      </c>
      <c r="P45" s="420">
        <v>46167</v>
      </c>
      <c r="Q45" s="420">
        <v>46167</v>
      </c>
      <c r="R45" s="420">
        <v>46190</v>
      </c>
      <c r="S45" s="420">
        <v>46206</v>
      </c>
      <c r="T45" s="420">
        <v>46210</v>
      </c>
      <c r="U45" s="420">
        <v>46219</v>
      </c>
      <c r="V45" s="420">
        <v>46219</v>
      </c>
      <c r="W45" s="420">
        <v>46219</v>
      </c>
      <c r="X45" s="420">
        <v>46226</v>
      </c>
      <c r="Y45" s="420">
        <v>46260</v>
      </c>
      <c r="Z45" s="420"/>
      <c r="AA45" s="420"/>
      <c r="AB45" s="420"/>
      <c r="AC45" s="420"/>
      <c r="AD45" s="420"/>
      <c r="AE45" s="420"/>
      <c r="AF45" s="420"/>
      <c r="AG45" s="420"/>
      <c r="AH45" s="420"/>
      <c r="AI45" s="422"/>
      <c r="AJ45" s="423"/>
      <c r="AK45" s="420"/>
      <c r="AL45" s="424"/>
      <c r="AM45" s="417"/>
      <c r="AN45" s="425"/>
      <c r="AO45" s="426"/>
      <c r="AP45" s="425" t="s">
        <v>78</v>
      </c>
      <c r="AQ45" s="424" t="s">
        <v>79</v>
      </c>
    </row>
    <row r="46" s="333" customFormat="1" ht="23" hidden="1" customHeight="1" spans="1:43">
      <c r="A46" s="396">
        <v>11</v>
      </c>
      <c r="B46" s="324" t="s">
        <v>103</v>
      </c>
      <c r="C46" s="397" t="s">
        <v>104</v>
      </c>
      <c r="D46" s="398"/>
      <c r="E46" s="399"/>
      <c r="F46" s="400"/>
      <c r="G46" s="399" t="s">
        <v>58</v>
      </c>
      <c r="H46" s="324"/>
      <c r="I46" s="401"/>
      <c r="J46" s="324" t="s">
        <v>6</v>
      </c>
      <c r="K46" s="402" t="s">
        <v>59</v>
      </c>
      <c r="L46" s="403"/>
      <c r="M46" s="404">
        <v>46155</v>
      </c>
      <c r="N46" s="404">
        <v>46182</v>
      </c>
      <c r="O46" s="404">
        <v>46182</v>
      </c>
      <c r="P46" s="404">
        <v>46182</v>
      </c>
      <c r="Q46" s="404">
        <v>46171</v>
      </c>
      <c r="R46" s="404">
        <v>46185</v>
      </c>
      <c r="S46" s="404">
        <v>46212</v>
      </c>
      <c r="T46" s="404">
        <v>46217</v>
      </c>
      <c r="U46" s="404"/>
      <c r="V46" s="404">
        <v>46231</v>
      </c>
      <c r="W46" s="404">
        <v>46233</v>
      </c>
      <c r="X46" s="404">
        <v>46240</v>
      </c>
      <c r="Y46" s="404">
        <v>46268</v>
      </c>
      <c r="Z46" s="404">
        <v>46282</v>
      </c>
      <c r="AA46" s="404">
        <v>46342</v>
      </c>
      <c r="AB46" s="404">
        <v>46345</v>
      </c>
      <c r="AC46" s="404">
        <v>46346</v>
      </c>
      <c r="AD46" s="404">
        <v>46382</v>
      </c>
      <c r="AE46" s="404">
        <v>46412</v>
      </c>
      <c r="AF46" s="404">
        <v>46413</v>
      </c>
      <c r="AG46" s="404">
        <v>46427</v>
      </c>
      <c r="AH46" s="404">
        <v>46443</v>
      </c>
      <c r="AI46" s="405">
        <v>26</v>
      </c>
      <c r="AJ46" s="406">
        <f>AI46*7</f>
        <v>182</v>
      </c>
      <c r="AK46" s="404">
        <f>V46+AJ46</f>
        <v>46413</v>
      </c>
      <c r="AL46" s="407">
        <f>AL47</f>
        <v>46430</v>
      </c>
      <c r="AM46" s="399">
        <f>AL47-AK46</f>
        <v>17</v>
      </c>
      <c r="AN46" s="408" t="s">
        <v>60</v>
      </c>
      <c r="AO46" s="409" t="s">
        <v>61</v>
      </c>
      <c r="AP46" s="410">
        <v>46433</v>
      </c>
      <c r="AQ46" s="407"/>
    </row>
    <row r="47" s="333" customFormat="1" ht="23" customHeight="1" spans="1:43">
      <c r="A47" s="396"/>
      <c r="B47" s="324" t="s">
        <v>103</v>
      </c>
      <c r="C47" s="397" t="s">
        <v>104</v>
      </c>
      <c r="D47" s="398"/>
      <c r="E47" s="399"/>
      <c r="F47" s="400" t="s">
        <v>105</v>
      </c>
      <c r="G47" s="399" t="s">
        <v>58</v>
      </c>
      <c r="H47" s="324" t="s">
        <v>63</v>
      </c>
      <c r="I47" s="324">
        <v>3</v>
      </c>
      <c r="J47" s="324" t="s">
        <v>6</v>
      </c>
      <c r="K47" s="402" t="s">
        <v>64</v>
      </c>
      <c r="L47" s="404"/>
      <c r="M47" s="404"/>
      <c r="N47" s="404"/>
      <c r="O47" s="404"/>
      <c r="P47" s="404"/>
      <c r="Q47" s="404"/>
      <c r="R47" s="404"/>
      <c r="S47" s="404"/>
      <c r="T47" s="404"/>
      <c r="U47" s="404"/>
      <c r="V47" s="404"/>
      <c r="W47" s="404"/>
      <c r="X47" s="404"/>
      <c r="Y47" s="411"/>
      <c r="Z47" s="411">
        <v>46336</v>
      </c>
      <c r="AA47" s="411">
        <v>46336</v>
      </c>
      <c r="AB47" s="411">
        <v>46336</v>
      </c>
      <c r="AC47" s="411">
        <v>46337</v>
      </c>
      <c r="AD47" s="411">
        <v>46403</v>
      </c>
      <c r="AE47" s="411">
        <v>46406</v>
      </c>
      <c r="AF47" s="411">
        <v>46406</v>
      </c>
      <c r="AG47" s="404">
        <v>46420</v>
      </c>
      <c r="AH47" s="404">
        <v>46436</v>
      </c>
      <c r="AI47" s="405">
        <v>26.7142857142857</v>
      </c>
      <c r="AJ47" s="406">
        <v>187</v>
      </c>
      <c r="AK47" s="412">
        <v>46406</v>
      </c>
      <c r="AL47" s="407">
        <f>AP46-3</f>
        <v>46430</v>
      </c>
      <c r="AM47" s="399">
        <f>AL47-AK47</f>
        <v>24</v>
      </c>
      <c r="AN47" s="413" t="str">
        <f>AN46</f>
        <v>Long Lead</v>
      </c>
      <c r="AO47" s="409" t="s">
        <v>65</v>
      </c>
      <c r="AP47" s="410">
        <v>46450</v>
      </c>
      <c r="AQ47" s="407"/>
    </row>
    <row r="48" s="333" customFormat="1" ht="23" hidden="1" customHeight="1" spans="1:43">
      <c r="A48" s="414"/>
      <c r="B48" s="415" t="s">
        <v>103</v>
      </c>
      <c r="C48" s="415" t="s">
        <v>104</v>
      </c>
      <c r="D48" s="416"/>
      <c r="E48" s="417"/>
      <c r="F48" s="418"/>
      <c r="G48" s="417" t="s">
        <v>58</v>
      </c>
      <c r="H48" s="415" t="s">
        <v>63</v>
      </c>
      <c r="I48" s="324">
        <v>3</v>
      </c>
      <c r="J48" s="415" t="s">
        <v>6</v>
      </c>
      <c r="K48" s="419" t="s">
        <v>66</v>
      </c>
      <c r="L48" s="420">
        <v>46136</v>
      </c>
      <c r="M48" s="420">
        <v>46157</v>
      </c>
      <c r="N48" s="420">
        <v>46182</v>
      </c>
      <c r="O48" s="420">
        <v>46182</v>
      </c>
      <c r="P48" s="420">
        <v>46182</v>
      </c>
      <c r="Q48" s="420">
        <v>46182</v>
      </c>
      <c r="R48" s="420">
        <v>46185</v>
      </c>
      <c r="S48" s="420">
        <v>46206</v>
      </c>
      <c r="T48" s="420">
        <v>46210</v>
      </c>
      <c r="U48" s="420">
        <v>46219</v>
      </c>
      <c r="V48" s="420">
        <v>46219</v>
      </c>
      <c r="W48" s="420">
        <v>46219</v>
      </c>
      <c r="X48" s="420">
        <v>46226</v>
      </c>
      <c r="Y48" s="420">
        <v>46260</v>
      </c>
      <c r="Z48" s="420"/>
      <c r="AA48" s="420"/>
      <c r="AB48" s="420"/>
      <c r="AC48" s="420"/>
      <c r="AD48" s="420"/>
      <c r="AE48" s="420"/>
      <c r="AF48" s="420"/>
      <c r="AG48" s="420"/>
      <c r="AH48" s="420"/>
      <c r="AI48" s="422"/>
      <c r="AJ48" s="423"/>
      <c r="AK48" s="420"/>
      <c r="AL48" s="424"/>
      <c r="AM48" s="417"/>
      <c r="AN48" s="425" t="str">
        <f>AN46</f>
        <v>Long Lead</v>
      </c>
      <c r="AO48" s="426"/>
      <c r="AP48" s="425" t="s">
        <v>78</v>
      </c>
      <c r="AQ48" s="424" t="s">
        <v>106</v>
      </c>
    </row>
    <row r="49" s="333" customFormat="1" ht="23" hidden="1" customHeight="1" spans="1:43">
      <c r="A49" s="396">
        <v>13</v>
      </c>
      <c r="B49" s="324" t="s">
        <v>107</v>
      </c>
      <c r="C49" s="397" t="s">
        <v>108</v>
      </c>
      <c r="D49" s="398"/>
      <c r="E49" s="399"/>
      <c r="F49" s="400"/>
      <c r="G49" s="399" t="s">
        <v>58</v>
      </c>
      <c r="H49" s="324"/>
      <c r="I49" s="401"/>
      <c r="J49" s="324" t="s">
        <v>6</v>
      </c>
      <c r="K49" s="402" t="s">
        <v>59</v>
      </c>
      <c r="L49" s="403"/>
      <c r="M49" s="404">
        <v>46164</v>
      </c>
      <c r="N49" s="404">
        <v>46183</v>
      </c>
      <c r="O49" s="404">
        <v>46183</v>
      </c>
      <c r="P49" s="404">
        <v>46183</v>
      </c>
      <c r="Q49" s="404">
        <v>46183</v>
      </c>
      <c r="R49" s="404">
        <v>46183</v>
      </c>
      <c r="S49" s="404">
        <v>46225</v>
      </c>
      <c r="T49" s="404">
        <v>46241</v>
      </c>
      <c r="U49" s="404"/>
      <c r="V49" s="404">
        <v>46254</v>
      </c>
      <c r="W49" s="404">
        <v>46258</v>
      </c>
      <c r="X49" s="404">
        <v>46265</v>
      </c>
      <c r="Y49" s="404">
        <v>46294</v>
      </c>
      <c r="Z49" s="404">
        <v>46309</v>
      </c>
      <c r="AA49" s="404">
        <v>46369</v>
      </c>
      <c r="AB49" s="404">
        <v>46372</v>
      </c>
      <c r="AC49" s="404">
        <v>46377</v>
      </c>
      <c r="AD49" s="404">
        <v>46391</v>
      </c>
      <c r="AE49" s="404">
        <v>46421</v>
      </c>
      <c r="AF49" s="404">
        <v>46422</v>
      </c>
      <c r="AG49" s="404">
        <v>46436</v>
      </c>
      <c r="AH49" s="404">
        <v>46452</v>
      </c>
      <c r="AI49" s="405">
        <v>24</v>
      </c>
      <c r="AJ49" s="406">
        <f>AI49*7</f>
        <v>168</v>
      </c>
      <c r="AK49" s="404">
        <f>V49+AJ49</f>
        <v>46422</v>
      </c>
      <c r="AL49" s="407">
        <f>AL50</f>
        <v>46470</v>
      </c>
      <c r="AM49" s="399">
        <f>AL50-AK49</f>
        <v>48</v>
      </c>
      <c r="AN49" s="408"/>
      <c r="AO49" s="409" t="s">
        <v>61</v>
      </c>
      <c r="AP49" s="410">
        <v>46473</v>
      </c>
      <c r="AQ49" s="407"/>
    </row>
    <row r="50" s="333" customFormat="1" ht="23" customHeight="1" spans="1:43">
      <c r="A50" s="396"/>
      <c r="B50" s="324" t="s">
        <v>107</v>
      </c>
      <c r="C50" s="397" t="s">
        <v>108</v>
      </c>
      <c r="D50" s="398"/>
      <c r="E50" s="399"/>
      <c r="F50" s="400" t="s">
        <v>109</v>
      </c>
      <c r="G50" s="399" t="s">
        <v>58</v>
      </c>
      <c r="H50" s="324" t="s">
        <v>63</v>
      </c>
      <c r="I50" s="324">
        <v>3</v>
      </c>
      <c r="J50" s="324" t="s">
        <v>6</v>
      </c>
      <c r="K50" s="402" t="s">
        <v>64</v>
      </c>
      <c r="L50" s="404"/>
      <c r="M50" s="404"/>
      <c r="N50" s="404"/>
      <c r="O50" s="404"/>
      <c r="P50" s="404"/>
      <c r="Q50" s="404"/>
      <c r="R50" s="404"/>
      <c r="S50" s="404"/>
      <c r="T50" s="404"/>
      <c r="U50" s="404"/>
      <c r="V50" s="404"/>
      <c r="W50" s="404"/>
      <c r="X50" s="404"/>
      <c r="Y50" s="411"/>
      <c r="Z50" s="411">
        <v>46336</v>
      </c>
      <c r="AA50" s="411">
        <v>46336</v>
      </c>
      <c r="AB50" s="411">
        <v>46376</v>
      </c>
      <c r="AC50" s="411">
        <v>46377</v>
      </c>
      <c r="AD50" s="411">
        <v>46443</v>
      </c>
      <c r="AE50" s="411">
        <v>46444</v>
      </c>
      <c r="AF50" s="411">
        <v>46444</v>
      </c>
      <c r="AG50" s="404">
        <v>46458</v>
      </c>
      <c r="AH50" s="404">
        <v>46474</v>
      </c>
      <c r="AI50" s="405">
        <v>32.1428571428571</v>
      </c>
      <c r="AJ50" s="406">
        <v>225</v>
      </c>
      <c r="AK50" s="412">
        <v>46444</v>
      </c>
      <c r="AL50" s="407">
        <f>AP49-3</f>
        <v>46470</v>
      </c>
      <c r="AM50" s="399">
        <f>AL50-AK50</f>
        <v>26</v>
      </c>
      <c r="AN50" s="408"/>
      <c r="AO50" s="409" t="s">
        <v>65</v>
      </c>
      <c r="AP50" s="410">
        <v>46501</v>
      </c>
      <c r="AQ50" s="407"/>
    </row>
    <row r="51" s="333" customFormat="1" ht="23" hidden="1" customHeight="1" spans="1:43">
      <c r="A51" s="414"/>
      <c r="B51" s="415" t="s">
        <v>107</v>
      </c>
      <c r="C51" s="415" t="s">
        <v>108</v>
      </c>
      <c r="D51" s="416"/>
      <c r="E51" s="417"/>
      <c r="F51" s="418"/>
      <c r="G51" s="417" t="s">
        <v>58</v>
      </c>
      <c r="H51" s="415" t="s">
        <v>63</v>
      </c>
      <c r="I51" s="324">
        <v>3</v>
      </c>
      <c r="J51" s="415" t="s">
        <v>6</v>
      </c>
      <c r="K51" s="419" t="s">
        <v>66</v>
      </c>
      <c r="L51" s="420">
        <v>46136</v>
      </c>
      <c r="M51" s="420">
        <v>46164</v>
      </c>
      <c r="N51" s="420">
        <v>46183</v>
      </c>
      <c r="O51" s="420">
        <v>46183</v>
      </c>
      <c r="P51" s="420">
        <v>46183</v>
      </c>
      <c r="Q51" s="420">
        <v>46183</v>
      </c>
      <c r="R51" s="420">
        <v>46183</v>
      </c>
      <c r="S51" s="420">
        <v>46212</v>
      </c>
      <c r="T51" s="420">
        <v>46219</v>
      </c>
      <c r="U51" s="420">
        <v>46219</v>
      </c>
      <c r="V51" s="420">
        <v>46219</v>
      </c>
      <c r="W51" s="420">
        <v>46219</v>
      </c>
      <c r="X51" s="420">
        <v>46226</v>
      </c>
      <c r="Y51" s="420">
        <v>46260</v>
      </c>
      <c r="Z51" s="420"/>
      <c r="AA51" s="420"/>
      <c r="AB51" s="420"/>
      <c r="AC51" s="420"/>
      <c r="AD51" s="420"/>
      <c r="AE51" s="420"/>
      <c r="AF51" s="420"/>
      <c r="AG51" s="420"/>
      <c r="AH51" s="420"/>
      <c r="AI51" s="422"/>
      <c r="AJ51" s="423"/>
      <c r="AK51" s="420"/>
      <c r="AL51" s="424"/>
      <c r="AM51" s="417"/>
      <c r="AN51" s="425"/>
      <c r="AO51" s="426"/>
      <c r="AP51" s="425" t="s">
        <v>78</v>
      </c>
      <c r="AQ51" s="424" t="s">
        <v>110</v>
      </c>
    </row>
    <row r="52" s="333" customFormat="1" ht="23" hidden="1" customHeight="1" spans="1:43">
      <c r="A52" s="396">
        <v>14</v>
      </c>
      <c r="B52" s="324" t="s">
        <v>111</v>
      </c>
      <c r="C52" s="324" t="s">
        <v>112</v>
      </c>
      <c r="D52" s="398"/>
      <c r="E52" s="399"/>
      <c r="F52" s="400"/>
      <c r="G52" s="399" t="s">
        <v>58</v>
      </c>
      <c r="H52" s="324"/>
      <c r="I52" s="401"/>
      <c r="J52" s="324" t="s">
        <v>6</v>
      </c>
      <c r="K52" s="402" t="s">
        <v>59</v>
      </c>
      <c r="L52" s="403"/>
      <c r="M52" s="404">
        <v>46155</v>
      </c>
      <c r="N52" s="404">
        <v>46182</v>
      </c>
      <c r="O52" s="404">
        <v>46182</v>
      </c>
      <c r="P52" s="404">
        <v>46182</v>
      </c>
      <c r="Q52" s="404">
        <v>46171</v>
      </c>
      <c r="R52" s="404">
        <v>46185</v>
      </c>
      <c r="S52" s="404">
        <v>46212</v>
      </c>
      <c r="T52" s="404">
        <v>46217</v>
      </c>
      <c r="U52" s="404"/>
      <c r="V52" s="404">
        <v>46231</v>
      </c>
      <c r="W52" s="404">
        <v>46233</v>
      </c>
      <c r="X52" s="404">
        <v>46240</v>
      </c>
      <c r="Y52" s="404">
        <v>46268</v>
      </c>
      <c r="Z52" s="404">
        <v>46282</v>
      </c>
      <c r="AA52" s="404">
        <v>46394</v>
      </c>
      <c r="AB52" s="404">
        <v>46397</v>
      </c>
      <c r="AC52" s="404">
        <v>46398</v>
      </c>
      <c r="AD52" s="404">
        <v>46411</v>
      </c>
      <c r="AE52" s="404">
        <v>46441</v>
      </c>
      <c r="AF52" s="404">
        <v>46455</v>
      </c>
      <c r="AG52" s="404">
        <v>46469</v>
      </c>
      <c r="AH52" s="404">
        <v>46485</v>
      </c>
      <c r="AI52" s="428">
        <v>32</v>
      </c>
      <c r="AJ52" s="406">
        <f>AI52*7</f>
        <v>224</v>
      </c>
      <c r="AK52" s="404">
        <f>V52+AJ52</f>
        <v>46455</v>
      </c>
      <c r="AL52" s="407">
        <f>AL53</f>
        <v>46474</v>
      </c>
      <c r="AM52" s="399">
        <f>AL53-AK52</f>
        <v>19</v>
      </c>
      <c r="AN52" s="408" t="s">
        <v>60</v>
      </c>
      <c r="AO52" s="409" t="s">
        <v>61</v>
      </c>
      <c r="AP52" s="410">
        <v>46477</v>
      </c>
      <c r="AQ52" s="407"/>
    </row>
    <row r="53" s="333" customFormat="1" ht="23" customHeight="1" spans="1:43">
      <c r="A53" s="396"/>
      <c r="B53" s="324" t="s">
        <v>111</v>
      </c>
      <c r="C53" s="397" t="s">
        <v>112</v>
      </c>
      <c r="D53" s="398"/>
      <c r="E53" s="399"/>
      <c r="F53" s="400" t="s">
        <v>113</v>
      </c>
      <c r="G53" s="399" t="s">
        <v>58</v>
      </c>
      <c r="H53" s="324" t="s">
        <v>63</v>
      </c>
      <c r="I53" s="324">
        <v>3</v>
      </c>
      <c r="J53" s="324" t="s">
        <v>6</v>
      </c>
      <c r="K53" s="402" t="s">
        <v>64</v>
      </c>
      <c r="L53" s="404"/>
      <c r="M53" s="404"/>
      <c r="N53" s="404"/>
      <c r="O53" s="404"/>
      <c r="P53" s="404"/>
      <c r="Q53" s="404"/>
      <c r="R53" s="404"/>
      <c r="S53" s="404"/>
      <c r="T53" s="404"/>
      <c r="U53" s="404"/>
      <c r="V53" s="404"/>
      <c r="W53" s="404"/>
      <c r="X53" s="404"/>
      <c r="Y53" s="404"/>
      <c r="Z53" s="411">
        <f>AB53-5</f>
        <v>46382</v>
      </c>
      <c r="AA53" s="411">
        <v>46387</v>
      </c>
      <c r="AB53" s="411">
        <v>46387</v>
      </c>
      <c r="AC53" s="411">
        <v>46388</v>
      </c>
      <c r="AD53" s="411">
        <v>46392</v>
      </c>
      <c r="AE53" s="411">
        <v>46399</v>
      </c>
      <c r="AF53" s="404">
        <v>46434</v>
      </c>
      <c r="AG53" s="404">
        <v>46448</v>
      </c>
      <c r="AH53" s="404">
        <v>46464</v>
      </c>
      <c r="AI53" s="405">
        <v>29.1428571428571</v>
      </c>
      <c r="AJ53" s="406">
        <v>204</v>
      </c>
      <c r="AK53" s="412">
        <v>46434</v>
      </c>
      <c r="AL53" s="407">
        <f>AP52-3</f>
        <v>46474</v>
      </c>
      <c r="AM53" s="399">
        <f>AL53-AK53</f>
        <v>40</v>
      </c>
      <c r="AN53" s="413" t="str">
        <f>AN52</f>
        <v>Long Lead</v>
      </c>
      <c r="AO53" s="409" t="s">
        <v>65</v>
      </c>
      <c r="AP53" s="410">
        <v>46477</v>
      </c>
      <c r="AQ53" s="407"/>
    </row>
    <row r="54" s="333" customFormat="1" ht="23" hidden="1" customHeight="1" spans="1:43">
      <c r="A54" s="414"/>
      <c r="B54" s="415" t="s">
        <v>111</v>
      </c>
      <c r="C54" s="415" t="s">
        <v>112</v>
      </c>
      <c r="D54" s="416"/>
      <c r="E54" s="417"/>
      <c r="F54" s="418"/>
      <c r="G54" s="417" t="s">
        <v>58</v>
      </c>
      <c r="H54" s="415" t="s">
        <v>63</v>
      </c>
      <c r="I54" s="324">
        <v>3</v>
      </c>
      <c r="J54" s="415" t="s">
        <v>6</v>
      </c>
      <c r="K54" s="419" t="s">
        <v>66</v>
      </c>
      <c r="L54" s="420">
        <v>46133</v>
      </c>
      <c r="M54" s="420">
        <v>46157</v>
      </c>
      <c r="N54" s="420">
        <v>46182</v>
      </c>
      <c r="O54" s="420">
        <v>46182</v>
      </c>
      <c r="P54" s="420">
        <v>46182</v>
      </c>
      <c r="Q54" s="420">
        <v>46182</v>
      </c>
      <c r="R54" s="420">
        <v>46178</v>
      </c>
      <c r="S54" s="420">
        <v>46206</v>
      </c>
      <c r="T54" s="420">
        <v>46211</v>
      </c>
      <c r="U54" s="420">
        <v>46230</v>
      </c>
      <c r="V54" s="417"/>
      <c r="W54" s="420">
        <v>46230</v>
      </c>
      <c r="X54" s="420">
        <v>46240</v>
      </c>
      <c r="Y54" s="420">
        <v>46262</v>
      </c>
      <c r="Z54" s="420"/>
      <c r="AA54" s="420"/>
      <c r="AB54" s="420"/>
      <c r="AC54" s="420"/>
      <c r="AD54" s="420"/>
      <c r="AE54" s="420"/>
      <c r="AF54" s="420"/>
      <c r="AG54" s="420"/>
      <c r="AH54" s="420"/>
      <c r="AI54" s="422"/>
      <c r="AJ54" s="423"/>
      <c r="AK54" s="420"/>
      <c r="AL54" s="424"/>
      <c r="AM54" s="417"/>
      <c r="AN54" s="425" t="str">
        <f>AN52</f>
        <v>Long Lead</v>
      </c>
      <c r="AO54" s="426"/>
      <c r="AP54" s="425" t="s">
        <v>114</v>
      </c>
      <c r="AQ54" s="424" t="s">
        <v>106</v>
      </c>
    </row>
    <row r="55" s="333" customFormat="1" ht="23" hidden="1" customHeight="1" spans="1:43">
      <c r="A55" s="396">
        <v>15</v>
      </c>
      <c r="B55" s="324" t="s">
        <v>115</v>
      </c>
      <c r="C55" s="324" t="s">
        <v>116</v>
      </c>
      <c r="D55" s="398"/>
      <c r="E55" s="399"/>
      <c r="F55" s="400"/>
      <c r="G55" s="399" t="s">
        <v>58</v>
      </c>
      <c r="H55" s="324"/>
      <c r="I55" s="401"/>
      <c r="J55" s="324" t="s">
        <v>6</v>
      </c>
      <c r="K55" s="402" t="s">
        <v>59</v>
      </c>
      <c r="L55" s="403"/>
      <c r="M55" s="404">
        <v>46177</v>
      </c>
      <c r="N55" s="404">
        <v>46185</v>
      </c>
      <c r="O55" s="404">
        <v>46185</v>
      </c>
      <c r="P55" s="404">
        <v>46185</v>
      </c>
      <c r="Q55" s="404">
        <v>46193</v>
      </c>
      <c r="R55" s="404">
        <v>46195</v>
      </c>
      <c r="S55" s="404">
        <v>46238</v>
      </c>
      <c r="T55" s="404">
        <v>46241</v>
      </c>
      <c r="U55" s="404"/>
      <c r="V55" s="404">
        <v>46255</v>
      </c>
      <c r="W55" s="404">
        <v>46259</v>
      </c>
      <c r="X55" s="404">
        <v>46266</v>
      </c>
      <c r="Y55" s="404">
        <v>46295</v>
      </c>
      <c r="Z55" s="404">
        <v>46310</v>
      </c>
      <c r="AA55" s="404">
        <v>46421</v>
      </c>
      <c r="AB55" s="404">
        <v>46424</v>
      </c>
      <c r="AC55" s="404">
        <v>46425</v>
      </c>
      <c r="AD55" s="404">
        <v>46435</v>
      </c>
      <c r="AE55" s="404">
        <v>46465</v>
      </c>
      <c r="AF55" s="404">
        <v>46479</v>
      </c>
      <c r="AG55" s="404">
        <v>46493</v>
      </c>
      <c r="AH55" s="404">
        <v>46509</v>
      </c>
      <c r="AI55" s="428">
        <v>32</v>
      </c>
      <c r="AJ55" s="406">
        <f>AI55*7</f>
        <v>224</v>
      </c>
      <c r="AK55" s="404">
        <f>V55+AJ55</f>
        <v>46479</v>
      </c>
      <c r="AL55" s="407">
        <f>AL56</f>
        <v>46483</v>
      </c>
      <c r="AM55" s="399">
        <f>AL56-AK55</f>
        <v>4</v>
      </c>
      <c r="AN55" s="408"/>
      <c r="AO55" s="409" t="s">
        <v>61</v>
      </c>
      <c r="AP55" s="410">
        <v>46486</v>
      </c>
      <c r="AQ55" s="407"/>
    </row>
    <row r="56" s="333" customFormat="1" ht="23" customHeight="1" spans="1:43">
      <c r="A56" s="396"/>
      <c r="B56" s="324" t="s">
        <v>115</v>
      </c>
      <c r="C56" s="397" t="s">
        <v>116</v>
      </c>
      <c r="D56" s="398"/>
      <c r="E56" s="399"/>
      <c r="F56" s="400" t="s">
        <v>117</v>
      </c>
      <c r="G56" s="399" t="s">
        <v>58</v>
      </c>
      <c r="H56" s="324" t="s">
        <v>63</v>
      </c>
      <c r="I56" s="324">
        <v>3</v>
      </c>
      <c r="J56" s="324" t="s">
        <v>6</v>
      </c>
      <c r="K56" s="402" t="s">
        <v>64</v>
      </c>
      <c r="L56" s="404"/>
      <c r="M56" s="404"/>
      <c r="N56" s="404"/>
      <c r="O56" s="404"/>
      <c r="P56" s="404"/>
      <c r="Q56" s="404"/>
      <c r="R56" s="404"/>
      <c r="S56" s="404"/>
      <c r="T56" s="404"/>
      <c r="U56" s="404"/>
      <c r="V56" s="404"/>
      <c r="W56" s="404"/>
      <c r="X56" s="441"/>
      <c r="Y56" s="404"/>
      <c r="Z56" s="411">
        <f>AB56-5</f>
        <v>46376</v>
      </c>
      <c r="AA56" s="411">
        <v>46380</v>
      </c>
      <c r="AB56" s="411">
        <v>46381</v>
      </c>
      <c r="AC56" s="411">
        <v>46382</v>
      </c>
      <c r="AD56" s="411">
        <v>46392</v>
      </c>
      <c r="AE56" s="411">
        <v>46399</v>
      </c>
      <c r="AF56" s="404">
        <v>46434</v>
      </c>
      <c r="AG56" s="404">
        <v>46448</v>
      </c>
      <c r="AH56" s="404">
        <v>46464</v>
      </c>
      <c r="AI56" s="405">
        <v>29.1428571428571</v>
      </c>
      <c r="AJ56" s="406">
        <v>204</v>
      </c>
      <c r="AK56" s="412">
        <v>46434</v>
      </c>
      <c r="AL56" s="407">
        <f>AP55-3</f>
        <v>46483</v>
      </c>
      <c r="AM56" s="399">
        <f>AL56-AK56</f>
        <v>49</v>
      </c>
      <c r="AN56" s="408"/>
      <c r="AO56" s="409" t="s">
        <v>65</v>
      </c>
      <c r="AP56" s="410">
        <v>46487</v>
      </c>
      <c r="AQ56" s="407"/>
    </row>
    <row r="57" s="333" customFormat="1" ht="23" hidden="1" customHeight="1" spans="1:43">
      <c r="A57" s="414"/>
      <c r="B57" s="415" t="s">
        <v>115</v>
      </c>
      <c r="C57" s="415" t="s">
        <v>116</v>
      </c>
      <c r="D57" s="416"/>
      <c r="E57" s="417"/>
      <c r="F57" s="418"/>
      <c r="G57" s="417" t="s">
        <v>58</v>
      </c>
      <c r="H57" s="415" t="s">
        <v>63</v>
      </c>
      <c r="I57" s="324">
        <v>3</v>
      </c>
      <c r="J57" s="415" t="s">
        <v>6</v>
      </c>
      <c r="K57" s="419" t="s">
        <v>66</v>
      </c>
      <c r="L57" s="420"/>
      <c r="M57" s="420">
        <v>46170</v>
      </c>
      <c r="N57" s="420">
        <v>46188</v>
      </c>
      <c r="O57" s="420">
        <v>46188</v>
      </c>
      <c r="P57" s="420">
        <v>46188</v>
      </c>
      <c r="Q57" s="420">
        <v>46188</v>
      </c>
      <c r="R57" s="420">
        <v>46191</v>
      </c>
      <c r="S57" s="420">
        <v>46213</v>
      </c>
      <c r="T57" s="420">
        <v>46217</v>
      </c>
      <c r="U57" s="420">
        <v>46230</v>
      </c>
      <c r="V57" s="417"/>
      <c r="W57" s="420">
        <v>46230</v>
      </c>
      <c r="X57" s="420">
        <v>46240</v>
      </c>
      <c r="Y57" s="420">
        <v>46262</v>
      </c>
      <c r="Z57" s="420"/>
      <c r="AA57" s="420"/>
      <c r="AB57" s="420"/>
      <c r="AC57" s="420"/>
      <c r="AD57" s="420"/>
      <c r="AE57" s="420"/>
      <c r="AF57" s="420"/>
      <c r="AG57" s="420"/>
      <c r="AH57" s="420"/>
      <c r="AI57" s="422"/>
      <c r="AJ57" s="423"/>
      <c r="AK57" s="420"/>
      <c r="AL57" s="424"/>
      <c r="AM57" s="417"/>
      <c r="AN57" s="425"/>
      <c r="AO57" s="426"/>
      <c r="AP57" s="425" t="s">
        <v>114</v>
      </c>
      <c r="AQ57" s="424" t="s">
        <v>79</v>
      </c>
    </row>
    <row r="58" s="333" customFormat="1" ht="23" hidden="1" customHeight="1" spans="1:43">
      <c r="A58" s="396">
        <v>16</v>
      </c>
      <c r="B58" s="324" t="s">
        <v>118</v>
      </c>
      <c r="C58" s="397" t="s">
        <v>119</v>
      </c>
      <c r="D58" s="398"/>
      <c r="E58" s="399"/>
      <c r="F58" s="400"/>
      <c r="G58" s="399" t="s">
        <v>58</v>
      </c>
      <c r="H58" s="324"/>
      <c r="I58" s="401"/>
      <c r="J58" s="324" t="s">
        <v>6</v>
      </c>
      <c r="K58" s="402" t="s">
        <v>59</v>
      </c>
      <c r="L58" s="403"/>
      <c r="M58" s="404">
        <v>46150</v>
      </c>
      <c r="N58" s="404">
        <v>46167</v>
      </c>
      <c r="O58" s="404">
        <v>46167</v>
      </c>
      <c r="P58" s="404">
        <v>46167</v>
      </c>
      <c r="Q58" s="404">
        <v>46168</v>
      </c>
      <c r="R58" s="404">
        <v>46184</v>
      </c>
      <c r="S58" s="404">
        <v>46223</v>
      </c>
      <c r="T58" s="404">
        <v>46239</v>
      </c>
      <c r="U58" s="404"/>
      <c r="V58" s="404">
        <v>46252</v>
      </c>
      <c r="W58" s="404">
        <v>46254</v>
      </c>
      <c r="X58" s="441">
        <v>46261</v>
      </c>
      <c r="Y58" s="441">
        <v>46289</v>
      </c>
      <c r="Z58" s="404">
        <v>46303</v>
      </c>
      <c r="AA58" s="404">
        <v>46415</v>
      </c>
      <c r="AB58" s="404">
        <f>AA58+3</f>
        <v>46418</v>
      </c>
      <c r="AC58" s="404">
        <f>AB58+1</f>
        <v>46419</v>
      </c>
      <c r="AD58" s="404">
        <v>46445</v>
      </c>
      <c r="AE58" s="404">
        <v>46475</v>
      </c>
      <c r="AF58" s="404">
        <v>46476</v>
      </c>
      <c r="AG58" s="404">
        <v>46490</v>
      </c>
      <c r="AH58" s="404">
        <v>46506</v>
      </c>
      <c r="AI58" s="405">
        <v>32</v>
      </c>
      <c r="AJ58" s="406">
        <f>AI58*7</f>
        <v>224</v>
      </c>
      <c r="AK58" s="404">
        <f>V58+AJ58</f>
        <v>46476</v>
      </c>
      <c r="AL58" s="407">
        <f>AL59</f>
        <v>46494</v>
      </c>
      <c r="AM58" s="399">
        <f>AL59-AK58</f>
        <v>18</v>
      </c>
      <c r="AN58" s="408"/>
      <c r="AO58" s="409" t="s">
        <v>61</v>
      </c>
      <c r="AP58" s="410" t="s">
        <v>94</v>
      </c>
      <c r="AQ58" s="407"/>
    </row>
    <row r="59" s="333" customFormat="1" ht="23" customHeight="1" spans="1:43">
      <c r="A59" s="396"/>
      <c r="B59" s="324" t="s">
        <v>118</v>
      </c>
      <c r="C59" s="324" t="s">
        <v>119</v>
      </c>
      <c r="D59" s="398"/>
      <c r="E59" s="399"/>
      <c r="F59" s="400" t="s">
        <v>120</v>
      </c>
      <c r="G59" s="399" t="s">
        <v>58</v>
      </c>
      <c r="H59" s="324" t="s">
        <v>63</v>
      </c>
      <c r="I59" s="324">
        <v>2</v>
      </c>
      <c r="J59" s="324" t="s">
        <v>6</v>
      </c>
      <c r="K59" s="402" t="s">
        <v>64</v>
      </c>
      <c r="L59" s="404"/>
      <c r="M59" s="404"/>
      <c r="N59" s="404"/>
      <c r="O59" s="404"/>
      <c r="P59" s="404"/>
      <c r="Q59" s="404"/>
      <c r="R59" s="404"/>
      <c r="S59" s="404"/>
      <c r="T59" s="404"/>
      <c r="U59" s="404"/>
      <c r="V59" s="404"/>
      <c r="W59" s="404"/>
      <c r="X59" s="404"/>
      <c r="Y59" s="404"/>
      <c r="Z59" s="411">
        <f>AB59-5</f>
        <v>46376</v>
      </c>
      <c r="AA59" s="411">
        <v>46380</v>
      </c>
      <c r="AB59" s="411">
        <v>46381</v>
      </c>
      <c r="AC59" s="411">
        <v>46382</v>
      </c>
      <c r="AD59" s="411">
        <v>46392</v>
      </c>
      <c r="AE59" s="411">
        <v>46399</v>
      </c>
      <c r="AF59" s="404">
        <v>46434</v>
      </c>
      <c r="AG59" s="404">
        <v>46448</v>
      </c>
      <c r="AH59" s="404">
        <v>46464</v>
      </c>
      <c r="AI59" s="428">
        <v>29.1428571428571</v>
      </c>
      <c r="AJ59" s="406">
        <v>204</v>
      </c>
      <c r="AK59" s="404">
        <v>46434</v>
      </c>
      <c r="AL59" s="407">
        <f>AP59-3</f>
        <v>46494</v>
      </c>
      <c r="AM59" s="399">
        <f>AL59-AK59</f>
        <v>60</v>
      </c>
      <c r="AN59" s="408"/>
      <c r="AO59" s="409" t="s">
        <v>65</v>
      </c>
      <c r="AP59" s="410">
        <v>46497</v>
      </c>
      <c r="AQ59" s="407"/>
    </row>
    <row r="60" s="333" customFormat="1" ht="23" hidden="1" customHeight="1" spans="1:43">
      <c r="A60" s="414"/>
      <c r="B60" s="415" t="s">
        <v>118</v>
      </c>
      <c r="C60" s="415" t="s">
        <v>119</v>
      </c>
      <c r="D60" s="416"/>
      <c r="E60" s="417"/>
      <c r="F60" s="418"/>
      <c r="G60" s="417" t="s">
        <v>58</v>
      </c>
      <c r="H60" s="415" t="s">
        <v>63</v>
      </c>
      <c r="I60" s="442">
        <v>2</v>
      </c>
      <c r="J60" s="415" t="s">
        <v>6</v>
      </c>
      <c r="K60" s="419" t="s">
        <v>66</v>
      </c>
      <c r="L60" s="420">
        <v>46133</v>
      </c>
      <c r="M60" s="420">
        <v>46152</v>
      </c>
      <c r="N60" s="420">
        <v>46167</v>
      </c>
      <c r="O60" s="420">
        <v>46167</v>
      </c>
      <c r="P60" s="420">
        <v>46167</v>
      </c>
      <c r="Q60" s="420">
        <v>46167</v>
      </c>
      <c r="R60" s="420">
        <v>46184</v>
      </c>
      <c r="S60" s="420">
        <v>46213</v>
      </c>
      <c r="T60" s="420">
        <v>46219</v>
      </c>
      <c r="U60" s="420">
        <v>46230</v>
      </c>
      <c r="V60" s="417"/>
      <c r="W60" s="420">
        <v>46230</v>
      </c>
      <c r="X60" s="420">
        <v>46240</v>
      </c>
      <c r="Y60" s="420">
        <v>46262</v>
      </c>
      <c r="Z60" s="420"/>
      <c r="AA60" s="420"/>
      <c r="AB60" s="420"/>
      <c r="AC60" s="420"/>
      <c r="AD60" s="420"/>
      <c r="AE60" s="420"/>
      <c r="AF60" s="420"/>
      <c r="AG60" s="420"/>
      <c r="AH60" s="420"/>
      <c r="AI60" s="422"/>
      <c r="AJ60" s="423"/>
      <c r="AK60" s="420"/>
      <c r="AL60" s="424"/>
      <c r="AM60" s="417"/>
      <c r="AN60" s="425"/>
      <c r="AO60" s="426"/>
      <c r="AP60" s="425" t="s">
        <v>114</v>
      </c>
      <c r="AQ60" s="424" t="s">
        <v>73</v>
      </c>
    </row>
    <row r="61" s="333" customFormat="1" ht="23" hidden="1" customHeight="1" spans="1:43">
      <c r="A61" s="396">
        <v>17</v>
      </c>
      <c r="B61" s="324" t="s">
        <v>121</v>
      </c>
      <c r="C61" s="324" t="s">
        <v>122</v>
      </c>
      <c r="D61" s="398"/>
      <c r="E61" s="399"/>
      <c r="F61" s="400"/>
      <c r="G61" s="399" t="s">
        <v>123</v>
      </c>
      <c r="H61" s="324"/>
      <c r="I61" s="401"/>
      <c r="J61" s="324" t="s">
        <v>7</v>
      </c>
      <c r="K61" s="402" t="s">
        <v>59</v>
      </c>
      <c r="L61" s="403"/>
      <c r="M61" s="404">
        <v>46139</v>
      </c>
      <c r="N61" s="404">
        <v>46156</v>
      </c>
      <c r="O61" s="404">
        <v>46156</v>
      </c>
      <c r="P61" s="404">
        <v>46156</v>
      </c>
      <c r="Q61" s="404">
        <v>46155</v>
      </c>
      <c r="R61" s="404">
        <v>46164</v>
      </c>
      <c r="S61" s="404">
        <v>46199</v>
      </c>
      <c r="T61" s="404">
        <v>46213</v>
      </c>
      <c r="U61" s="404"/>
      <c r="V61" s="404">
        <v>46226</v>
      </c>
      <c r="W61" s="404">
        <v>46230</v>
      </c>
      <c r="X61" s="404">
        <v>46237</v>
      </c>
      <c r="Y61" s="404">
        <v>46265</v>
      </c>
      <c r="Z61" s="404">
        <v>46300</v>
      </c>
      <c r="AA61" s="404">
        <v>46320</v>
      </c>
      <c r="AB61" s="404">
        <f>AA61+3</f>
        <v>46323</v>
      </c>
      <c r="AC61" s="404">
        <f>AB61+1</f>
        <v>46324</v>
      </c>
      <c r="AD61" s="404">
        <v>46458</v>
      </c>
      <c r="AE61" s="404">
        <v>46478</v>
      </c>
      <c r="AF61" s="404">
        <v>46485</v>
      </c>
      <c r="AG61" s="404">
        <v>46499</v>
      </c>
      <c r="AH61" s="404">
        <v>46515</v>
      </c>
      <c r="AI61" s="428">
        <v>36</v>
      </c>
      <c r="AJ61" s="406">
        <f>AI61*7</f>
        <v>252</v>
      </c>
      <c r="AK61" s="404">
        <f>V61+AJ61</f>
        <v>46478</v>
      </c>
      <c r="AL61" s="407">
        <f>AL62</f>
        <v>46467</v>
      </c>
      <c r="AM61" s="399">
        <f>AL62-AK61</f>
        <v>-11</v>
      </c>
      <c r="AN61" s="408" t="s">
        <v>60</v>
      </c>
      <c r="AO61" s="409" t="s">
        <v>61</v>
      </c>
      <c r="AP61" s="410">
        <v>46470</v>
      </c>
      <c r="AQ61" s="407"/>
    </row>
    <row r="62" s="333" customFormat="1" ht="23" customHeight="1" spans="1:43">
      <c r="A62" s="396"/>
      <c r="B62" s="324" t="s">
        <v>121</v>
      </c>
      <c r="C62" s="397" t="s">
        <v>122</v>
      </c>
      <c r="D62" s="398"/>
      <c r="E62" s="399"/>
      <c r="F62" s="400" t="s">
        <v>124</v>
      </c>
      <c r="G62" s="399" t="s">
        <v>123</v>
      </c>
      <c r="H62" s="324" t="s">
        <v>63</v>
      </c>
      <c r="I62" s="324">
        <v>3</v>
      </c>
      <c r="J62" s="324" t="s">
        <v>7</v>
      </c>
      <c r="K62" s="402" t="s">
        <v>64</v>
      </c>
      <c r="L62" s="404"/>
      <c r="M62" s="404"/>
      <c r="N62" s="404"/>
      <c r="O62" s="404"/>
      <c r="P62" s="404"/>
      <c r="Q62" s="404"/>
      <c r="R62" s="404"/>
      <c r="S62" s="404"/>
      <c r="T62" s="404"/>
      <c r="U62" s="404"/>
      <c r="V62" s="404"/>
      <c r="W62" s="404"/>
      <c r="X62" s="441"/>
      <c r="Y62" s="443"/>
      <c r="Z62" s="411">
        <f>AB62-5</f>
        <v>46330</v>
      </c>
      <c r="AA62" s="411">
        <v>46335</v>
      </c>
      <c r="AB62" s="411">
        <v>46335</v>
      </c>
      <c r="AC62" s="411">
        <v>46336</v>
      </c>
      <c r="AD62" s="411">
        <v>46359</v>
      </c>
      <c r="AE62" s="411">
        <v>46374</v>
      </c>
      <c r="AF62" s="411">
        <v>46422</v>
      </c>
      <c r="AG62" s="404">
        <v>46479</v>
      </c>
      <c r="AH62" s="404">
        <v>46495</v>
      </c>
      <c r="AI62" s="405">
        <v>32.4285714285714</v>
      </c>
      <c r="AJ62" s="406">
        <v>227</v>
      </c>
      <c r="AK62" s="412">
        <v>46465</v>
      </c>
      <c r="AL62" s="407">
        <f>AP61-3</f>
        <v>46467</v>
      </c>
      <c r="AM62" s="399">
        <f>AL62-AK62</f>
        <v>2</v>
      </c>
      <c r="AN62" s="413" t="str">
        <f>AN61</f>
        <v>Long Lead</v>
      </c>
      <c r="AO62" s="409" t="s">
        <v>65</v>
      </c>
      <c r="AP62" s="410">
        <v>46505</v>
      </c>
      <c r="AQ62" s="407"/>
    </row>
    <row r="63" s="333" customFormat="1" ht="23" hidden="1" customHeight="1" spans="1:43">
      <c r="A63" s="414"/>
      <c r="B63" s="415" t="s">
        <v>121</v>
      </c>
      <c r="C63" s="415" t="s">
        <v>122</v>
      </c>
      <c r="D63" s="416"/>
      <c r="E63" s="417"/>
      <c r="F63" s="418"/>
      <c r="G63" s="417" t="s">
        <v>123</v>
      </c>
      <c r="H63" s="415" t="s">
        <v>63</v>
      </c>
      <c r="I63" s="442">
        <v>3</v>
      </c>
      <c r="J63" s="415" t="s">
        <v>7</v>
      </c>
      <c r="K63" s="419" t="s">
        <v>66</v>
      </c>
      <c r="L63" s="420">
        <v>46133</v>
      </c>
      <c r="M63" s="420">
        <v>46139</v>
      </c>
      <c r="N63" s="420">
        <v>46156</v>
      </c>
      <c r="O63" s="420">
        <v>46156</v>
      </c>
      <c r="P63" s="420">
        <v>46156</v>
      </c>
      <c r="Q63" s="420">
        <v>46156</v>
      </c>
      <c r="R63" s="420">
        <v>46164</v>
      </c>
      <c r="S63" s="420">
        <v>46206</v>
      </c>
      <c r="T63" s="420">
        <v>46213</v>
      </c>
      <c r="U63" s="420">
        <v>46238</v>
      </c>
      <c r="V63" s="417"/>
      <c r="W63" s="420">
        <v>46238</v>
      </c>
      <c r="X63" s="420">
        <v>46241</v>
      </c>
      <c r="Y63" s="420">
        <f>X63+1</f>
        <v>46242</v>
      </c>
      <c r="Z63" s="420"/>
      <c r="AA63" s="420"/>
      <c r="AB63" s="420"/>
      <c r="AC63" s="420"/>
      <c r="AD63" s="420"/>
      <c r="AE63" s="420"/>
      <c r="AF63" s="420"/>
      <c r="AG63" s="420"/>
      <c r="AH63" s="420"/>
      <c r="AI63" s="422"/>
      <c r="AJ63" s="423"/>
      <c r="AK63" s="420"/>
      <c r="AL63" s="424"/>
      <c r="AM63" s="417"/>
      <c r="AN63" s="425" t="str">
        <f>AN61</f>
        <v>Long Lead</v>
      </c>
      <c r="AO63" s="426"/>
      <c r="AP63" s="425" t="s">
        <v>125</v>
      </c>
      <c r="AQ63" s="424"/>
    </row>
    <row r="64" s="333" customFormat="1" ht="23" hidden="1" customHeight="1" spans="1:43">
      <c r="A64" s="396">
        <v>18</v>
      </c>
      <c r="B64" s="324" t="s">
        <v>126</v>
      </c>
      <c r="C64" s="324" t="s">
        <v>127</v>
      </c>
      <c r="D64" s="398"/>
      <c r="E64" s="399"/>
      <c r="F64" s="400"/>
      <c r="G64" s="399" t="s">
        <v>123</v>
      </c>
      <c r="H64" s="324"/>
      <c r="I64" s="401"/>
      <c r="J64" s="324" t="s">
        <v>6</v>
      </c>
      <c r="K64" s="402" t="s">
        <v>59</v>
      </c>
      <c r="L64" s="403"/>
      <c r="M64" s="404">
        <v>46139</v>
      </c>
      <c r="N64" s="404">
        <v>46156</v>
      </c>
      <c r="O64" s="404">
        <v>46156</v>
      </c>
      <c r="P64" s="404">
        <v>46156</v>
      </c>
      <c r="Q64" s="404">
        <v>46155</v>
      </c>
      <c r="R64" s="404">
        <v>46164</v>
      </c>
      <c r="S64" s="404">
        <v>46199</v>
      </c>
      <c r="T64" s="404">
        <v>46213</v>
      </c>
      <c r="U64" s="404"/>
      <c r="V64" s="404">
        <v>46226</v>
      </c>
      <c r="W64" s="404">
        <v>46230</v>
      </c>
      <c r="X64" s="404">
        <v>46237</v>
      </c>
      <c r="Y64" s="404">
        <v>46265</v>
      </c>
      <c r="Z64" s="404">
        <v>46300</v>
      </c>
      <c r="AA64" s="404">
        <v>46320</v>
      </c>
      <c r="AB64" s="404">
        <f>AA64+3</f>
        <v>46323</v>
      </c>
      <c r="AC64" s="404">
        <f>AB64+1</f>
        <v>46324</v>
      </c>
      <c r="AD64" s="404">
        <v>46458</v>
      </c>
      <c r="AE64" s="404">
        <v>46478</v>
      </c>
      <c r="AF64" s="404">
        <v>46485</v>
      </c>
      <c r="AG64" s="404">
        <v>46499</v>
      </c>
      <c r="AH64" s="404">
        <v>46515</v>
      </c>
      <c r="AI64" s="428">
        <v>37</v>
      </c>
      <c r="AJ64" s="406">
        <f>AI64*7</f>
        <v>259</v>
      </c>
      <c r="AK64" s="404">
        <f>V64+AJ64</f>
        <v>46485</v>
      </c>
      <c r="AL64" s="407">
        <f>AL65</f>
        <v>46561</v>
      </c>
      <c r="AM64" s="399">
        <f>AL65-AK64</f>
        <v>76</v>
      </c>
      <c r="AN64" s="408" t="s">
        <v>60</v>
      </c>
      <c r="AO64" s="409" t="s">
        <v>61</v>
      </c>
      <c r="AP64" s="410">
        <v>46568</v>
      </c>
      <c r="AQ64" s="407"/>
    </row>
    <row r="65" s="333" customFormat="1" ht="23" customHeight="1" spans="1:43">
      <c r="A65" s="396"/>
      <c r="B65" s="324" t="s">
        <v>126</v>
      </c>
      <c r="C65" s="397" t="s">
        <v>127</v>
      </c>
      <c r="D65" s="398"/>
      <c r="E65" s="399"/>
      <c r="F65" s="400" t="s">
        <v>128</v>
      </c>
      <c r="G65" s="399" t="s">
        <v>123</v>
      </c>
      <c r="H65" s="324" t="s">
        <v>63</v>
      </c>
      <c r="I65" s="324">
        <v>2</v>
      </c>
      <c r="J65" s="324" t="s">
        <v>6</v>
      </c>
      <c r="K65" s="402" t="s">
        <v>64</v>
      </c>
      <c r="L65" s="404"/>
      <c r="M65" s="404"/>
      <c r="N65" s="404"/>
      <c r="O65" s="404"/>
      <c r="P65" s="404"/>
      <c r="Q65" s="404"/>
      <c r="R65" s="404"/>
      <c r="S65" s="404"/>
      <c r="T65" s="404"/>
      <c r="U65" s="404"/>
      <c r="V65" s="404"/>
      <c r="W65" s="404"/>
      <c r="X65" s="441"/>
      <c r="Y65" s="443"/>
      <c r="Z65" s="411">
        <f>AB65-5</f>
        <v>46330</v>
      </c>
      <c r="AA65" s="411">
        <v>46335</v>
      </c>
      <c r="AB65" s="411">
        <v>46335</v>
      </c>
      <c r="AC65" s="411">
        <v>46336</v>
      </c>
      <c r="AD65" s="411">
        <v>46359</v>
      </c>
      <c r="AE65" s="411">
        <v>46374</v>
      </c>
      <c r="AF65" s="411">
        <v>46422</v>
      </c>
      <c r="AG65" s="404">
        <v>46479</v>
      </c>
      <c r="AH65" s="404">
        <v>46495</v>
      </c>
      <c r="AI65" s="405">
        <v>32.4285714285714</v>
      </c>
      <c r="AJ65" s="406">
        <v>227</v>
      </c>
      <c r="AK65" s="412">
        <v>46465</v>
      </c>
      <c r="AL65" s="407">
        <f>AP64-7</f>
        <v>46561</v>
      </c>
      <c r="AM65" s="399">
        <f>AL65-AK65</f>
        <v>96</v>
      </c>
      <c r="AN65" s="413" t="str">
        <f>AN64</f>
        <v>Long Lead</v>
      </c>
      <c r="AO65" s="409" t="s">
        <v>65</v>
      </c>
      <c r="AP65" s="410">
        <v>46568</v>
      </c>
      <c r="AQ65" s="407"/>
    </row>
    <row r="66" s="333" customFormat="1" ht="23" hidden="1" customHeight="1" spans="1:43">
      <c r="A66" s="414"/>
      <c r="B66" s="415" t="s">
        <v>126</v>
      </c>
      <c r="C66" s="415" t="s">
        <v>127</v>
      </c>
      <c r="D66" s="416"/>
      <c r="E66" s="417"/>
      <c r="F66" s="418"/>
      <c r="G66" s="417" t="s">
        <v>123</v>
      </c>
      <c r="H66" s="415" t="s">
        <v>63</v>
      </c>
      <c r="I66" s="442">
        <v>2</v>
      </c>
      <c r="J66" s="415" t="s">
        <v>6</v>
      </c>
      <c r="K66" s="419" t="s">
        <v>66</v>
      </c>
      <c r="L66" s="420">
        <v>46133</v>
      </c>
      <c r="M66" s="420">
        <v>46139</v>
      </c>
      <c r="N66" s="420">
        <v>46156</v>
      </c>
      <c r="O66" s="420">
        <v>46156</v>
      </c>
      <c r="P66" s="420">
        <v>46156</v>
      </c>
      <c r="Q66" s="420">
        <v>46156</v>
      </c>
      <c r="R66" s="420">
        <v>46164</v>
      </c>
      <c r="S66" s="420">
        <v>46206</v>
      </c>
      <c r="T66" s="420">
        <v>46213</v>
      </c>
      <c r="U66" s="420">
        <v>46238</v>
      </c>
      <c r="V66" s="417"/>
      <c r="W66" s="420">
        <v>46238</v>
      </c>
      <c r="X66" s="420">
        <v>46241</v>
      </c>
      <c r="Y66" s="420">
        <f>X66+1</f>
        <v>46242</v>
      </c>
      <c r="Z66" s="420"/>
      <c r="AA66" s="420"/>
      <c r="AB66" s="420"/>
      <c r="AC66" s="420"/>
      <c r="AD66" s="420"/>
      <c r="AE66" s="420"/>
      <c r="AF66" s="420"/>
      <c r="AG66" s="420"/>
      <c r="AH66" s="420"/>
      <c r="AI66" s="422"/>
      <c r="AJ66" s="423"/>
      <c r="AK66" s="420"/>
      <c r="AL66" s="424"/>
      <c r="AM66" s="417"/>
      <c r="AN66" s="425" t="str">
        <f>AN64</f>
        <v>Long Lead</v>
      </c>
      <c r="AO66" s="426"/>
      <c r="AP66" s="425" t="s">
        <v>125</v>
      </c>
      <c r="AQ66" s="424"/>
    </row>
    <row r="67" s="333" customFormat="1" ht="23" hidden="1" customHeight="1" spans="1:43">
      <c r="A67" s="396">
        <v>19</v>
      </c>
      <c r="B67" s="324" t="s">
        <v>129</v>
      </c>
      <c r="C67" s="324" t="s">
        <v>130</v>
      </c>
      <c r="D67" s="398"/>
      <c r="E67" s="399"/>
      <c r="F67" s="400"/>
      <c r="G67" s="399" t="s">
        <v>123</v>
      </c>
      <c r="H67" s="324"/>
      <c r="I67" s="401"/>
      <c r="J67" s="324" t="s">
        <v>7</v>
      </c>
      <c r="K67" s="402" t="s">
        <v>59</v>
      </c>
      <c r="L67" s="403"/>
      <c r="M67" s="404">
        <v>46150</v>
      </c>
      <c r="N67" s="404">
        <v>46170</v>
      </c>
      <c r="O67" s="404">
        <v>46170</v>
      </c>
      <c r="P67" s="404">
        <v>46170</v>
      </c>
      <c r="Q67" s="404">
        <v>46164</v>
      </c>
      <c r="R67" s="404">
        <v>46171</v>
      </c>
      <c r="S67" s="404">
        <v>46218</v>
      </c>
      <c r="T67" s="404">
        <v>46234</v>
      </c>
      <c r="U67" s="404"/>
      <c r="V67" s="404">
        <v>46247</v>
      </c>
      <c r="W67" s="404">
        <v>46251</v>
      </c>
      <c r="X67" s="404">
        <v>46258</v>
      </c>
      <c r="Y67" s="404">
        <v>46286</v>
      </c>
      <c r="Z67" s="404">
        <v>46300</v>
      </c>
      <c r="AA67" s="404">
        <v>46320</v>
      </c>
      <c r="AB67" s="404">
        <f>AA67+3</f>
        <v>46323</v>
      </c>
      <c r="AC67" s="404">
        <f>AB67+1</f>
        <v>46324</v>
      </c>
      <c r="AD67" s="404">
        <v>46472</v>
      </c>
      <c r="AE67" s="404">
        <v>46492</v>
      </c>
      <c r="AF67" s="404">
        <v>46499</v>
      </c>
      <c r="AG67" s="404">
        <v>46513</v>
      </c>
      <c r="AH67" s="404">
        <v>46529</v>
      </c>
      <c r="AI67" s="428">
        <v>36</v>
      </c>
      <c r="AJ67" s="406">
        <f>AI67*7</f>
        <v>252</v>
      </c>
      <c r="AK67" s="404">
        <f>V67+AJ67</f>
        <v>46499</v>
      </c>
      <c r="AL67" s="407">
        <f>AL68</f>
        <v>46500</v>
      </c>
      <c r="AM67" s="399">
        <f>AL68-AK67</f>
        <v>1</v>
      </c>
      <c r="AN67" s="408" t="s">
        <v>60</v>
      </c>
      <c r="AO67" s="409" t="s">
        <v>61</v>
      </c>
      <c r="AP67" s="410">
        <v>46507</v>
      </c>
      <c r="AQ67" s="407"/>
    </row>
    <row r="68" s="333" customFormat="1" ht="23" customHeight="1" spans="1:43">
      <c r="A68" s="396"/>
      <c r="B68" s="324" t="s">
        <v>129</v>
      </c>
      <c r="C68" s="397" t="s">
        <v>130</v>
      </c>
      <c r="D68" s="398"/>
      <c r="E68" s="399"/>
      <c r="F68" s="400" t="s">
        <v>131</v>
      </c>
      <c r="G68" s="399" t="s">
        <v>123</v>
      </c>
      <c r="H68" s="324" t="s">
        <v>63</v>
      </c>
      <c r="I68" s="324">
        <v>4</v>
      </c>
      <c r="J68" s="324" t="s">
        <v>7</v>
      </c>
      <c r="K68" s="402" t="s">
        <v>64</v>
      </c>
      <c r="L68" s="404"/>
      <c r="M68" s="404"/>
      <c r="N68" s="404"/>
      <c r="O68" s="404"/>
      <c r="P68" s="404"/>
      <c r="Q68" s="404"/>
      <c r="R68" s="404"/>
      <c r="S68" s="404"/>
      <c r="T68" s="404"/>
      <c r="U68" s="404"/>
      <c r="V68" s="404"/>
      <c r="W68" s="404"/>
      <c r="X68" s="441"/>
      <c r="Y68" s="443"/>
      <c r="Z68" s="411">
        <f>AB68-5</f>
        <v>46330</v>
      </c>
      <c r="AA68" s="411">
        <v>46399</v>
      </c>
      <c r="AB68" s="411">
        <v>46335</v>
      </c>
      <c r="AC68" s="411">
        <v>46378</v>
      </c>
      <c r="AD68" s="411">
        <v>46434</v>
      </c>
      <c r="AE68" s="411">
        <v>46454</v>
      </c>
      <c r="AF68" s="411">
        <v>46465</v>
      </c>
      <c r="AG68" s="404">
        <v>46479</v>
      </c>
      <c r="AH68" s="404">
        <v>46495</v>
      </c>
      <c r="AI68" s="405">
        <v>32.4285714285714</v>
      </c>
      <c r="AJ68" s="406">
        <v>227</v>
      </c>
      <c r="AK68" s="412">
        <v>46465</v>
      </c>
      <c r="AL68" s="407">
        <f>AP67-7</f>
        <v>46500</v>
      </c>
      <c r="AM68" s="399">
        <f>AL68-AK68</f>
        <v>35</v>
      </c>
      <c r="AN68" s="413" t="str">
        <f>AN67</f>
        <v>Long Lead</v>
      </c>
      <c r="AO68" s="409" t="s">
        <v>65</v>
      </c>
      <c r="AP68" s="410">
        <v>46507</v>
      </c>
      <c r="AQ68" s="407"/>
    </row>
    <row r="69" s="333" customFormat="1" ht="23" hidden="1" customHeight="1" spans="1:43">
      <c r="A69" s="414"/>
      <c r="B69" s="415" t="s">
        <v>129</v>
      </c>
      <c r="C69" s="415" t="s">
        <v>130</v>
      </c>
      <c r="D69" s="416"/>
      <c r="E69" s="417"/>
      <c r="F69" s="418"/>
      <c r="G69" s="417" t="s">
        <v>123</v>
      </c>
      <c r="H69" s="415" t="s">
        <v>63</v>
      </c>
      <c r="I69" s="442">
        <v>4</v>
      </c>
      <c r="J69" s="415" t="s">
        <v>7</v>
      </c>
      <c r="K69" s="419" t="s">
        <v>66</v>
      </c>
      <c r="L69" s="420">
        <v>46133</v>
      </c>
      <c r="M69" s="420">
        <v>46150</v>
      </c>
      <c r="N69" s="420">
        <v>46170</v>
      </c>
      <c r="O69" s="420">
        <v>46170</v>
      </c>
      <c r="P69" s="420">
        <v>46170</v>
      </c>
      <c r="Q69" s="420">
        <v>46170</v>
      </c>
      <c r="R69" s="420">
        <v>46171</v>
      </c>
      <c r="S69" s="420">
        <v>46215</v>
      </c>
      <c r="T69" s="420">
        <v>46224</v>
      </c>
      <c r="U69" s="420">
        <v>46238</v>
      </c>
      <c r="V69" s="417"/>
      <c r="W69" s="420">
        <v>46238</v>
      </c>
      <c r="X69" s="420">
        <v>46241</v>
      </c>
      <c r="Y69" s="420">
        <f>X69+1</f>
        <v>46242</v>
      </c>
      <c r="Z69" s="420"/>
      <c r="AA69" s="420"/>
      <c r="AB69" s="420"/>
      <c r="AC69" s="420"/>
      <c r="AD69" s="420"/>
      <c r="AE69" s="420"/>
      <c r="AF69" s="420"/>
      <c r="AG69" s="420"/>
      <c r="AH69" s="420"/>
      <c r="AI69" s="422"/>
      <c r="AJ69" s="423"/>
      <c r="AK69" s="420"/>
      <c r="AL69" s="424"/>
      <c r="AM69" s="417"/>
      <c r="AN69" s="425" t="str">
        <f>AN67</f>
        <v>Long Lead</v>
      </c>
      <c r="AO69" s="426"/>
      <c r="AP69" s="425" t="s">
        <v>125</v>
      </c>
      <c r="AQ69" s="424"/>
    </row>
    <row r="70" s="333" customFormat="1" ht="23" hidden="1" customHeight="1" spans="1:43">
      <c r="A70" s="396">
        <v>20</v>
      </c>
      <c r="B70" s="324" t="s">
        <v>132</v>
      </c>
      <c r="C70" s="324" t="s">
        <v>133</v>
      </c>
      <c r="D70" s="398"/>
      <c r="E70" s="399"/>
      <c r="F70" s="400"/>
      <c r="G70" s="399" t="s">
        <v>123</v>
      </c>
      <c r="H70" s="324"/>
      <c r="I70" s="401"/>
      <c r="J70" s="324" t="s">
        <v>8</v>
      </c>
      <c r="K70" s="402" t="s">
        <v>59</v>
      </c>
      <c r="L70" s="403"/>
      <c r="M70" s="404">
        <v>46136</v>
      </c>
      <c r="N70" s="404">
        <v>46148</v>
      </c>
      <c r="O70" s="404">
        <v>46149</v>
      </c>
      <c r="P70" s="404">
        <v>46156</v>
      </c>
      <c r="Q70" s="404">
        <v>46156</v>
      </c>
      <c r="R70" s="404">
        <v>46169</v>
      </c>
      <c r="S70" s="404">
        <v>46199</v>
      </c>
      <c r="T70" s="404">
        <v>46213</v>
      </c>
      <c r="U70" s="404"/>
      <c r="V70" s="404">
        <v>46226</v>
      </c>
      <c r="W70" s="404">
        <v>46230</v>
      </c>
      <c r="X70" s="404">
        <v>46237</v>
      </c>
      <c r="Y70" s="404">
        <v>46265</v>
      </c>
      <c r="Z70" s="404">
        <v>46300</v>
      </c>
      <c r="AA70" s="404">
        <v>46320</v>
      </c>
      <c r="AB70" s="404">
        <f>AA70+3</f>
        <v>46323</v>
      </c>
      <c r="AC70" s="404">
        <f>AB70+1</f>
        <v>46324</v>
      </c>
      <c r="AD70" s="404">
        <v>46458</v>
      </c>
      <c r="AE70" s="404">
        <v>46478</v>
      </c>
      <c r="AF70" s="404">
        <v>46485</v>
      </c>
      <c r="AG70" s="404">
        <v>46499</v>
      </c>
      <c r="AH70" s="404">
        <v>46515</v>
      </c>
      <c r="AI70" s="428">
        <v>37</v>
      </c>
      <c r="AJ70" s="406">
        <f>AI70*7</f>
        <v>259</v>
      </c>
      <c r="AK70" s="404">
        <f>V70+AJ70</f>
        <v>46485</v>
      </c>
      <c r="AL70" s="407">
        <f>AL71</f>
        <v>46480</v>
      </c>
      <c r="AM70" s="399">
        <f>AL71-AK70</f>
        <v>-5</v>
      </c>
      <c r="AN70" s="408" t="s">
        <v>60</v>
      </c>
      <c r="AO70" s="409" t="s">
        <v>61</v>
      </c>
      <c r="AP70" s="410">
        <v>46487</v>
      </c>
      <c r="AQ70" s="407"/>
    </row>
    <row r="71" s="333" customFormat="1" ht="23" customHeight="1" spans="1:43">
      <c r="A71" s="396"/>
      <c r="B71" s="324" t="s">
        <v>132</v>
      </c>
      <c r="C71" s="397" t="s">
        <v>133</v>
      </c>
      <c r="D71" s="398"/>
      <c r="E71" s="399"/>
      <c r="F71" s="400" t="s">
        <v>128</v>
      </c>
      <c r="G71" s="399" t="s">
        <v>123</v>
      </c>
      <c r="H71" s="324" t="s">
        <v>72</v>
      </c>
      <c r="I71" s="324">
        <v>3</v>
      </c>
      <c r="J71" s="324" t="s">
        <v>8</v>
      </c>
      <c r="K71" s="402" t="s">
        <v>64</v>
      </c>
      <c r="L71" s="404"/>
      <c r="M71" s="404"/>
      <c r="N71" s="404"/>
      <c r="O71" s="404"/>
      <c r="P71" s="404"/>
      <c r="Q71" s="404"/>
      <c r="R71" s="404"/>
      <c r="S71" s="404"/>
      <c r="T71" s="404"/>
      <c r="U71" s="404"/>
      <c r="V71" s="404"/>
      <c r="W71" s="404"/>
      <c r="X71" s="441"/>
      <c r="Y71" s="443"/>
      <c r="Z71" s="411">
        <f>AB71-5</f>
        <v>46330</v>
      </c>
      <c r="AA71" s="411">
        <v>46335</v>
      </c>
      <c r="AB71" s="411">
        <v>46335</v>
      </c>
      <c r="AC71" s="411">
        <v>46336</v>
      </c>
      <c r="AD71" s="411">
        <v>46359</v>
      </c>
      <c r="AE71" s="411">
        <v>46374</v>
      </c>
      <c r="AF71" s="411">
        <v>46422</v>
      </c>
      <c r="AG71" s="404">
        <v>46479</v>
      </c>
      <c r="AH71" s="404">
        <v>46495</v>
      </c>
      <c r="AI71" s="405">
        <v>32.4285714285714</v>
      </c>
      <c r="AJ71" s="406">
        <v>227</v>
      </c>
      <c r="AK71" s="412">
        <v>46465</v>
      </c>
      <c r="AL71" s="407">
        <f>AP70-7</f>
        <v>46480</v>
      </c>
      <c r="AM71" s="399">
        <f>AL71-AK71</f>
        <v>15</v>
      </c>
      <c r="AN71" s="413" t="str">
        <f>AN70</f>
        <v>Long Lead</v>
      </c>
      <c r="AO71" s="409" t="s">
        <v>65</v>
      </c>
      <c r="AP71" s="410">
        <v>46505</v>
      </c>
      <c r="AQ71" s="407"/>
    </row>
    <row r="72" s="333" customFormat="1" ht="23" hidden="1" customHeight="1" spans="1:43">
      <c r="A72" s="414"/>
      <c r="B72" s="415" t="s">
        <v>132</v>
      </c>
      <c r="C72" s="415" t="s">
        <v>133</v>
      </c>
      <c r="D72" s="416"/>
      <c r="E72" s="417"/>
      <c r="F72" s="418"/>
      <c r="G72" s="417" t="s">
        <v>123</v>
      </c>
      <c r="H72" s="415" t="s">
        <v>72</v>
      </c>
      <c r="I72" s="442">
        <v>3</v>
      </c>
      <c r="J72" s="415" t="s">
        <v>8</v>
      </c>
      <c r="K72" s="419" t="s">
        <v>66</v>
      </c>
      <c r="L72" s="420">
        <v>46133</v>
      </c>
      <c r="M72" s="420">
        <v>46139</v>
      </c>
      <c r="N72" s="420">
        <v>46156</v>
      </c>
      <c r="O72" s="420">
        <v>46156</v>
      </c>
      <c r="P72" s="420">
        <v>46156</v>
      </c>
      <c r="Q72" s="420">
        <v>46156</v>
      </c>
      <c r="R72" s="420">
        <v>46164</v>
      </c>
      <c r="S72" s="420">
        <v>46210</v>
      </c>
      <c r="T72" s="420">
        <v>46219</v>
      </c>
      <c r="U72" s="420">
        <v>46238</v>
      </c>
      <c r="V72" s="417"/>
      <c r="W72" s="420">
        <v>46238</v>
      </c>
      <c r="X72" s="420">
        <v>46241</v>
      </c>
      <c r="Y72" s="420">
        <f>X72+1</f>
        <v>46242</v>
      </c>
      <c r="Z72" s="420"/>
      <c r="AA72" s="420"/>
      <c r="AB72" s="420"/>
      <c r="AC72" s="420"/>
      <c r="AD72" s="420"/>
      <c r="AE72" s="420"/>
      <c r="AF72" s="420"/>
      <c r="AG72" s="444"/>
      <c r="AH72" s="420"/>
      <c r="AI72" s="422"/>
      <c r="AJ72" s="423"/>
      <c r="AK72" s="420"/>
      <c r="AL72" s="424"/>
      <c r="AM72" s="417"/>
      <c r="AN72" s="425" t="str">
        <f>AN70</f>
        <v>Long Lead</v>
      </c>
      <c r="AO72" s="426"/>
      <c r="AP72" s="425" t="s">
        <v>125</v>
      </c>
      <c r="AQ72" s="424"/>
    </row>
    <row r="73" s="333" customFormat="1" ht="23" hidden="1" customHeight="1" spans="1:43">
      <c r="A73" s="396">
        <v>21</v>
      </c>
      <c r="B73" s="324" t="s">
        <v>134</v>
      </c>
      <c r="C73" s="324" t="s">
        <v>135</v>
      </c>
      <c r="D73" s="398"/>
      <c r="E73" s="399"/>
      <c r="F73" s="400"/>
      <c r="G73" s="399" t="s">
        <v>136</v>
      </c>
      <c r="H73" s="324"/>
      <c r="I73" s="401"/>
      <c r="J73" s="324" t="s">
        <v>7</v>
      </c>
      <c r="K73" s="402" t="s">
        <v>59</v>
      </c>
      <c r="L73" s="403"/>
      <c r="M73" s="404">
        <v>46164</v>
      </c>
      <c r="N73" s="404">
        <v>46182</v>
      </c>
      <c r="O73" s="404">
        <v>46182</v>
      </c>
      <c r="P73" s="404">
        <v>46182</v>
      </c>
      <c r="Q73" s="404">
        <v>46183</v>
      </c>
      <c r="R73" s="404">
        <v>46191</v>
      </c>
      <c r="S73" s="404">
        <v>46225</v>
      </c>
      <c r="T73" s="404">
        <v>46241</v>
      </c>
      <c r="U73" s="404"/>
      <c r="V73" s="404">
        <v>46254</v>
      </c>
      <c r="W73" s="404">
        <v>46258</v>
      </c>
      <c r="X73" s="404">
        <v>46265</v>
      </c>
      <c r="Y73" s="404">
        <v>46294</v>
      </c>
      <c r="Z73" s="404">
        <v>46309</v>
      </c>
      <c r="AA73" s="404">
        <v>46369</v>
      </c>
      <c r="AB73" s="404">
        <v>46372</v>
      </c>
      <c r="AC73" s="404">
        <v>46373</v>
      </c>
      <c r="AD73" s="404">
        <v>46443</v>
      </c>
      <c r="AE73" s="404">
        <v>46457</v>
      </c>
      <c r="AF73" s="404">
        <v>46464</v>
      </c>
      <c r="AG73" s="404">
        <v>46478</v>
      </c>
      <c r="AH73" s="404">
        <v>46494</v>
      </c>
      <c r="AI73" s="428">
        <v>30</v>
      </c>
      <c r="AJ73" s="406">
        <f>AI73*7</f>
        <v>210</v>
      </c>
      <c r="AK73" s="404">
        <f>V73+AJ73</f>
        <v>46464</v>
      </c>
      <c r="AL73" s="407">
        <f>AL74</f>
        <v>46485</v>
      </c>
      <c r="AM73" s="399">
        <f>AL74-AK73</f>
        <v>21</v>
      </c>
      <c r="AN73" s="408"/>
      <c r="AO73" s="409" t="s">
        <v>61</v>
      </c>
      <c r="AP73" s="410">
        <v>46492</v>
      </c>
      <c r="AQ73" s="407"/>
    </row>
    <row r="74" s="333" customFormat="1" ht="23" customHeight="1" spans="1:43">
      <c r="A74" s="396"/>
      <c r="B74" s="324" t="s">
        <v>134</v>
      </c>
      <c r="C74" s="397" t="s">
        <v>135</v>
      </c>
      <c r="D74" s="427"/>
      <c r="E74" s="399"/>
      <c r="F74" s="400" t="s">
        <v>137</v>
      </c>
      <c r="G74" s="399" t="s">
        <v>136</v>
      </c>
      <c r="H74" s="324" t="s">
        <v>72</v>
      </c>
      <c r="I74" s="324">
        <v>2</v>
      </c>
      <c r="J74" s="324" t="s">
        <v>7</v>
      </c>
      <c r="K74" s="402" t="s">
        <v>64</v>
      </c>
      <c r="L74" s="404"/>
      <c r="M74" s="404"/>
      <c r="N74" s="404"/>
      <c r="O74" s="404"/>
      <c r="P74" s="404"/>
      <c r="Q74" s="404"/>
      <c r="R74" s="404"/>
      <c r="S74" s="404"/>
      <c r="T74" s="404"/>
      <c r="U74" s="404"/>
      <c r="V74" s="404">
        <v>46280</v>
      </c>
      <c r="W74" s="404"/>
      <c r="X74" s="404"/>
      <c r="Y74" s="404"/>
      <c r="Z74" s="411">
        <v>46330</v>
      </c>
      <c r="AA74" s="411">
        <v>46390</v>
      </c>
      <c r="AB74" s="411">
        <v>46393</v>
      </c>
      <c r="AC74" s="404">
        <v>46394</v>
      </c>
      <c r="AD74" s="404">
        <v>46455</v>
      </c>
      <c r="AE74" s="411">
        <v>46469</v>
      </c>
      <c r="AF74" s="404">
        <v>46475</v>
      </c>
      <c r="AG74" s="404">
        <f>AK74+14</f>
        <v>46489</v>
      </c>
      <c r="AH74" s="404">
        <f>AK74+30</f>
        <v>46505</v>
      </c>
      <c r="AI74" s="445">
        <f>AJ74/7</f>
        <v>28.4285714285714</v>
      </c>
      <c r="AJ74" s="446">
        <v>199</v>
      </c>
      <c r="AK74" s="412">
        <v>46475</v>
      </c>
      <c r="AL74" s="407">
        <f>AP73-7</f>
        <v>46485</v>
      </c>
      <c r="AM74" s="399">
        <f>AL74-AK74</f>
        <v>10</v>
      </c>
      <c r="AN74" s="408"/>
      <c r="AO74" s="409" t="s">
        <v>65</v>
      </c>
      <c r="AP74" s="410">
        <v>46492</v>
      </c>
      <c r="AQ74" s="407" t="s">
        <v>138</v>
      </c>
    </row>
    <row r="75" s="333" customFormat="1" ht="23" hidden="1" customHeight="1" spans="1:43">
      <c r="A75" s="414"/>
      <c r="B75" s="415" t="s">
        <v>134</v>
      </c>
      <c r="C75" s="415" t="s">
        <v>135</v>
      </c>
      <c r="D75" s="429"/>
      <c r="E75" s="417"/>
      <c r="F75" s="418"/>
      <c r="G75" s="417" t="s">
        <v>136</v>
      </c>
      <c r="H75" s="415" t="s">
        <v>72</v>
      </c>
      <c r="I75" s="324">
        <v>2</v>
      </c>
      <c r="J75" s="415" t="s">
        <v>7</v>
      </c>
      <c r="K75" s="419" t="s">
        <v>66</v>
      </c>
      <c r="L75" s="420">
        <v>46133</v>
      </c>
      <c r="M75" s="420">
        <v>46165</v>
      </c>
      <c r="N75" s="420">
        <v>46182</v>
      </c>
      <c r="O75" s="420">
        <v>46182</v>
      </c>
      <c r="P75" s="420">
        <v>46182</v>
      </c>
      <c r="Q75" s="420">
        <v>46182</v>
      </c>
      <c r="R75" s="420">
        <v>46188</v>
      </c>
      <c r="S75" s="420">
        <v>46248</v>
      </c>
      <c r="T75" s="420">
        <v>46252</v>
      </c>
      <c r="U75" s="420">
        <v>46276</v>
      </c>
      <c r="V75" s="417"/>
      <c r="W75" s="420">
        <v>46276</v>
      </c>
      <c r="X75" s="420">
        <v>46283</v>
      </c>
      <c r="Y75" s="420">
        <f>X75+1</f>
        <v>46284</v>
      </c>
      <c r="Z75" s="420"/>
      <c r="AA75" s="420"/>
      <c r="AB75" s="420"/>
      <c r="AC75" s="420"/>
      <c r="AD75" s="420"/>
      <c r="AE75" s="420"/>
      <c r="AF75" s="420"/>
      <c r="AG75" s="420"/>
      <c r="AH75" s="420"/>
      <c r="AI75" s="422"/>
      <c r="AJ75" s="423"/>
      <c r="AK75" s="420"/>
      <c r="AL75" s="424"/>
      <c r="AM75" s="417"/>
      <c r="AN75" s="425"/>
      <c r="AO75" s="426"/>
      <c r="AP75" s="425" t="s">
        <v>139</v>
      </c>
      <c r="AQ75" s="424"/>
    </row>
    <row r="76" s="333" customFormat="1" ht="23" hidden="1" customHeight="1" spans="1:43">
      <c r="A76" s="396">
        <v>22</v>
      </c>
      <c r="B76" s="324" t="s">
        <v>140</v>
      </c>
      <c r="C76" s="324" t="s">
        <v>141</v>
      </c>
      <c r="D76" s="398"/>
      <c r="E76" s="399"/>
      <c r="F76" s="400"/>
      <c r="G76" s="399" t="s">
        <v>136</v>
      </c>
      <c r="H76" s="324"/>
      <c r="I76" s="401"/>
      <c r="J76" s="324" t="s">
        <v>7</v>
      </c>
      <c r="K76" s="402" t="s">
        <v>59</v>
      </c>
      <c r="L76" s="403"/>
      <c r="M76" s="404">
        <v>46164</v>
      </c>
      <c r="N76" s="404">
        <v>46182</v>
      </c>
      <c r="O76" s="404">
        <v>46182</v>
      </c>
      <c r="P76" s="404">
        <v>46182</v>
      </c>
      <c r="Q76" s="404">
        <v>46183</v>
      </c>
      <c r="R76" s="404">
        <v>46188</v>
      </c>
      <c r="S76" s="404">
        <v>46225</v>
      </c>
      <c r="T76" s="404">
        <v>46241</v>
      </c>
      <c r="U76" s="404"/>
      <c r="V76" s="404">
        <v>46254</v>
      </c>
      <c r="W76" s="404">
        <v>46258</v>
      </c>
      <c r="X76" s="404">
        <v>46265</v>
      </c>
      <c r="Y76" s="404">
        <v>46294</v>
      </c>
      <c r="Z76" s="404">
        <v>46309</v>
      </c>
      <c r="AA76" s="404">
        <v>46369</v>
      </c>
      <c r="AB76" s="404">
        <v>46372</v>
      </c>
      <c r="AC76" s="404">
        <v>46373</v>
      </c>
      <c r="AD76" s="404">
        <v>46457</v>
      </c>
      <c r="AE76" s="404">
        <v>46471</v>
      </c>
      <c r="AF76" s="404">
        <v>46478</v>
      </c>
      <c r="AG76" s="404">
        <v>46492</v>
      </c>
      <c r="AH76" s="404">
        <v>46508</v>
      </c>
      <c r="AI76" s="428">
        <v>32</v>
      </c>
      <c r="AJ76" s="406">
        <f>AI76*7</f>
        <v>224</v>
      </c>
      <c r="AK76" s="404">
        <f>V76+AJ76</f>
        <v>46478</v>
      </c>
      <c r="AL76" s="407">
        <f>AL77</f>
        <v>46485</v>
      </c>
      <c r="AM76" s="399">
        <f>AL77-AK76</f>
        <v>7</v>
      </c>
      <c r="AN76" s="408"/>
      <c r="AO76" s="409" t="s">
        <v>61</v>
      </c>
      <c r="AP76" s="410">
        <v>46492</v>
      </c>
      <c r="AQ76" s="407"/>
    </row>
    <row r="77" s="333" customFormat="1" ht="23" customHeight="1" spans="1:43">
      <c r="A77" s="396"/>
      <c r="B77" s="324" t="s">
        <v>140</v>
      </c>
      <c r="C77" s="324" t="s">
        <v>141</v>
      </c>
      <c r="D77" s="398"/>
      <c r="E77" s="399"/>
      <c r="F77" s="400" t="s">
        <v>142</v>
      </c>
      <c r="G77" s="399" t="s">
        <v>136</v>
      </c>
      <c r="H77" s="324" t="s">
        <v>72</v>
      </c>
      <c r="I77" s="324">
        <v>4</v>
      </c>
      <c r="J77" s="324" t="s">
        <v>7</v>
      </c>
      <c r="K77" s="402" t="s">
        <v>64</v>
      </c>
      <c r="L77" s="404"/>
      <c r="M77" s="404"/>
      <c r="N77" s="404"/>
      <c r="O77" s="404"/>
      <c r="P77" s="404"/>
      <c r="Q77" s="404"/>
      <c r="R77" s="404"/>
      <c r="S77" s="404"/>
      <c r="T77" s="404"/>
      <c r="U77" s="404"/>
      <c r="V77" s="404"/>
      <c r="W77" s="404"/>
      <c r="X77" s="404"/>
      <c r="Y77" s="404"/>
      <c r="Z77" s="411">
        <v>46330</v>
      </c>
      <c r="AA77" s="411">
        <v>46390</v>
      </c>
      <c r="AB77" s="411">
        <v>46393</v>
      </c>
      <c r="AC77" s="404">
        <v>46394</v>
      </c>
      <c r="AD77" s="404">
        <v>46451</v>
      </c>
      <c r="AE77" s="411">
        <v>46465</v>
      </c>
      <c r="AF77" s="411">
        <v>46475</v>
      </c>
      <c r="AG77" s="404">
        <f>AK77+14</f>
        <v>46489</v>
      </c>
      <c r="AH77" s="404">
        <f>AK77+30</f>
        <v>46505</v>
      </c>
      <c r="AI77" s="445">
        <f>AJ77/7</f>
        <v>28.4285714285714</v>
      </c>
      <c r="AJ77" s="446">
        <v>199</v>
      </c>
      <c r="AK77" s="412">
        <v>46475</v>
      </c>
      <c r="AL77" s="407">
        <f>AP76-7</f>
        <v>46485</v>
      </c>
      <c r="AM77" s="399">
        <f>AL77-AK77</f>
        <v>10</v>
      </c>
      <c r="AN77" s="408"/>
      <c r="AO77" s="409" t="s">
        <v>65</v>
      </c>
      <c r="AP77" s="410">
        <v>46492</v>
      </c>
      <c r="AQ77" s="407" t="s">
        <v>138</v>
      </c>
    </row>
    <row r="78" s="333" customFormat="1" ht="23" hidden="1" customHeight="1" spans="1:43">
      <c r="A78" s="414"/>
      <c r="B78" s="415" t="s">
        <v>140</v>
      </c>
      <c r="C78" s="415" t="s">
        <v>141</v>
      </c>
      <c r="D78" s="416"/>
      <c r="E78" s="417"/>
      <c r="F78" s="418"/>
      <c r="G78" s="417" t="s">
        <v>136</v>
      </c>
      <c r="H78" s="415" t="s">
        <v>72</v>
      </c>
      <c r="I78" s="324">
        <v>4</v>
      </c>
      <c r="J78" s="415" t="s">
        <v>7</v>
      </c>
      <c r="K78" s="419" t="s">
        <v>66</v>
      </c>
      <c r="L78" s="420">
        <v>46133</v>
      </c>
      <c r="M78" s="420">
        <v>46165</v>
      </c>
      <c r="N78" s="420">
        <v>46182</v>
      </c>
      <c r="O78" s="420">
        <v>46182</v>
      </c>
      <c r="P78" s="420">
        <v>46182</v>
      </c>
      <c r="Q78" s="420">
        <v>46182</v>
      </c>
      <c r="R78" s="420">
        <v>46188</v>
      </c>
      <c r="S78" s="420">
        <v>46227</v>
      </c>
      <c r="T78" s="420">
        <v>46233</v>
      </c>
      <c r="U78" s="420">
        <v>46276</v>
      </c>
      <c r="V78" s="417"/>
      <c r="W78" s="420">
        <v>46276</v>
      </c>
      <c r="X78" s="420">
        <v>46283</v>
      </c>
      <c r="Y78" s="420">
        <f>X78+1</f>
        <v>46284</v>
      </c>
      <c r="Z78" s="420"/>
      <c r="AA78" s="420"/>
      <c r="AB78" s="420"/>
      <c r="AC78" s="420"/>
      <c r="AD78" s="420"/>
      <c r="AE78" s="420"/>
      <c r="AF78" s="420"/>
      <c r="AG78" s="420"/>
      <c r="AH78" s="420"/>
      <c r="AI78" s="422"/>
      <c r="AJ78" s="423"/>
      <c r="AK78" s="420"/>
      <c r="AL78" s="424"/>
      <c r="AM78" s="417"/>
      <c r="AN78" s="425"/>
      <c r="AO78" s="426"/>
      <c r="AP78" s="425" t="s">
        <v>139</v>
      </c>
      <c r="AQ78" s="424"/>
    </row>
    <row r="79" s="333" customFormat="1" ht="23" hidden="1" customHeight="1" spans="1:43">
      <c r="A79" s="396">
        <v>23</v>
      </c>
      <c r="B79" s="324" t="s">
        <v>143</v>
      </c>
      <c r="C79" s="324" t="s">
        <v>144</v>
      </c>
      <c r="D79" s="398"/>
      <c r="E79" s="399"/>
      <c r="F79" s="400"/>
      <c r="G79" s="399" t="s">
        <v>136</v>
      </c>
      <c r="H79" s="324"/>
      <c r="I79" s="401"/>
      <c r="J79" s="324" t="s">
        <v>6</v>
      </c>
      <c r="K79" s="402" t="s">
        <v>59</v>
      </c>
      <c r="L79" s="403"/>
      <c r="M79" s="404">
        <v>46164</v>
      </c>
      <c r="N79" s="404">
        <v>46182</v>
      </c>
      <c r="O79" s="404">
        <v>46182</v>
      </c>
      <c r="P79" s="404">
        <v>46182</v>
      </c>
      <c r="Q79" s="404">
        <v>46183</v>
      </c>
      <c r="R79" s="404">
        <v>46191</v>
      </c>
      <c r="S79" s="404">
        <v>46225</v>
      </c>
      <c r="T79" s="404">
        <v>46241</v>
      </c>
      <c r="U79" s="404"/>
      <c r="V79" s="404">
        <v>46254</v>
      </c>
      <c r="W79" s="404">
        <v>46258</v>
      </c>
      <c r="X79" s="404">
        <v>46265</v>
      </c>
      <c r="Y79" s="404">
        <v>46294</v>
      </c>
      <c r="Z79" s="404">
        <v>46309</v>
      </c>
      <c r="AA79" s="404">
        <v>46369</v>
      </c>
      <c r="AB79" s="404">
        <v>46372</v>
      </c>
      <c r="AC79" s="404">
        <v>46373</v>
      </c>
      <c r="AD79" s="404">
        <v>46490</v>
      </c>
      <c r="AE79" s="404">
        <v>46504</v>
      </c>
      <c r="AF79" s="404">
        <v>46534</v>
      </c>
      <c r="AG79" s="404">
        <v>46548</v>
      </c>
      <c r="AH79" s="404">
        <v>46564</v>
      </c>
      <c r="AI79" s="428">
        <v>40</v>
      </c>
      <c r="AJ79" s="406">
        <f>AI79*7</f>
        <v>280</v>
      </c>
      <c r="AK79" s="404">
        <f>V79+AJ79</f>
        <v>46534</v>
      </c>
      <c r="AL79" s="407">
        <f>AL80</f>
        <v>46489</v>
      </c>
      <c r="AM79" s="399">
        <f>AL80-AK79</f>
        <v>-45</v>
      </c>
      <c r="AN79" s="408" t="s">
        <v>60</v>
      </c>
      <c r="AO79" s="409" t="s">
        <v>61</v>
      </c>
      <c r="AP79" s="410">
        <v>46492</v>
      </c>
      <c r="AQ79" s="407"/>
    </row>
    <row r="80" s="333" customFormat="1" ht="23" customHeight="1" spans="1:43">
      <c r="A80" s="396"/>
      <c r="B80" s="324" t="s">
        <v>143</v>
      </c>
      <c r="C80" s="397" t="s">
        <v>144</v>
      </c>
      <c r="D80" s="398"/>
      <c r="E80" s="399"/>
      <c r="F80" s="400" t="s">
        <v>145</v>
      </c>
      <c r="G80" s="399" t="s">
        <v>136</v>
      </c>
      <c r="H80" s="324" t="s">
        <v>63</v>
      </c>
      <c r="I80" s="324">
        <v>2</v>
      </c>
      <c r="J80" s="324" t="s">
        <v>6</v>
      </c>
      <c r="K80" s="402" t="s">
        <v>64</v>
      </c>
      <c r="L80" s="404"/>
      <c r="M80" s="404"/>
      <c r="N80" s="404"/>
      <c r="O80" s="404"/>
      <c r="P80" s="404"/>
      <c r="Q80" s="404"/>
      <c r="R80" s="404"/>
      <c r="S80" s="404"/>
      <c r="T80" s="404"/>
      <c r="U80" s="404"/>
      <c r="V80" s="404"/>
      <c r="W80" s="404"/>
      <c r="X80" s="411"/>
      <c r="Y80" s="411"/>
      <c r="Z80" s="411">
        <f>AB80-5</f>
        <v>46404</v>
      </c>
      <c r="AA80" s="411">
        <v>46409</v>
      </c>
      <c r="AB80" s="411">
        <v>46409</v>
      </c>
      <c r="AC80" s="411">
        <v>46410</v>
      </c>
      <c r="AD80" s="411">
        <v>46077</v>
      </c>
      <c r="AE80" s="411">
        <v>46079</v>
      </c>
      <c r="AF80" s="404">
        <v>46485</v>
      </c>
      <c r="AG80" s="404">
        <v>46499</v>
      </c>
      <c r="AH80" s="404">
        <v>46515</v>
      </c>
      <c r="AI80" s="405">
        <v>34</v>
      </c>
      <c r="AJ80" s="406">
        <v>238</v>
      </c>
      <c r="AK80" s="412">
        <v>46485</v>
      </c>
      <c r="AL80" s="407">
        <f>AP79-3</f>
        <v>46489</v>
      </c>
      <c r="AM80" s="399">
        <f>AL80-AK80</f>
        <v>4</v>
      </c>
      <c r="AN80" s="413" t="str">
        <f>AN79</f>
        <v>Long Lead</v>
      </c>
      <c r="AO80" s="409" t="s">
        <v>65</v>
      </c>
      <c r="AP80" s="410">
        <v>46492</v>
      </c>
      <c r="AQ80" s="407" t="s">
        <v>138</v>
      </c>
    </row>
    <row r="81" s="333" customFormat="1" ht="23" hidden="1" customHeight="1" spans="1:43">
      <c r="A81" s="414"/>
      <c r="B81" s="415" t="s">
        <v>143</v>
      </c>
      <c r="C81" s="415" t="s">
        <v>144</v>
      </c>
      <c r="D81" s="416"/>
      <c r="E81" s="417"/>
      <c r="F81" s="418"/>
      <c r="G81" s="417" t="s">
        <v>136</v>
      </c>
      <c r="H81" s="415" t="s">
        <v>63</v>
      </c>
      <c r="I81" s="324">
        <v>2</v>
      </c>
      <c r="J81" s="415" t="s">
        <v>6</v>
      </c>
      <c r="K81" s="419" t="s">
        <v>66</v>
      </c>
      <c r="L81" s="420">
        <v>46133</v>
      </c>
      <c r="M81" s="420">
        <v>46165</v>
      </c>
      <c r="N81" s="420">
        <v>46182</v>
      </c>
      <c r="O81" s="420">
        <v>46182</v>
      </c>
      <c r="P81" s="420">
        <v>46182</v>
      </c>
      <c r="Q81" s="420">
        <v>46182</v>
      </c>
      <c r="R81" s="420">
        <v>46191</v>
      </c>
      <c r="S81" s="420">
        <v>46227</v>
      </c>
      <c r="T81" s="420">
        <v>46236</v>
      </c>
      <c r="U81" s="420">
        <v>46247</v>
      </c>
      <c r="V81" s="417"/>
      <c r="W81" s="420">
        <v>46247</v>
      </c>
      <c r="X81" s="420">
        <v>46255</v>
      </c>
      <c r="Y81" s="420">
        <f>X81+1</f>
        <v>46256</v>
      </c>
      <c r="Z81" s="420"/>
      <c r="AA81" s="420"/>
      <c r="AB81" s="420"/>
      <c r="AC81" s="420"/>
      <c r="AD81" s="420"/>
      <c r="AE81" s="420"/>
      <c r="AF81" s="420"/>
      <c r="AG81" s="420"/>
      <c r="AH81" s="420"/>
      <c r="AI81" s="422"/>
      <c r="AJ81" s="423"/>
      <c r="AK81" s="420"/>
      <c r="AL81" s="424"/>
      <c r="AM81" s="417"/>
      <c r="AN81" s="425" t="str">
        <f>AN79</f>
        <v>Long Lead</v>
      </c>
      <c r="AO81" s="426"/>
      <c r="AP81" s="425" t="s">
        <v>146</v>
      </c>
      <c r="AQ81" s="424"/>
    </row>
    <row r="82" s="333" customFormat="1" ht="23" hidden="1" customHeight="1" spans="1:43">
      <c r="A82" s="396">
        <v>24</v>
      </c>
      <c r="B82" s="324" t="s">
        <v>147</v>
      </c>
      <c r="C82" s="324" t="s">
        <v>148</v>
      </c>
      <c r="D82" s="398"/>
      <c r="E82" s="399"/>
      <c r="F82" s="400"/>
      <c r="G82" s="399" t="s">
        <v>136</v>
      </c>
      <c r="H82" s="324"/>
      <c r="I82" s="401"/>
      <c r="J82" s="324" t="s">
        <v>7</v>
      </c>
      <c r="K82" s="402" t="s">
        <v>59</v>
      </c>
      <c r="L82" s="403"/>
      <c r="M82" s="404">
        <v>46178</v>
      </c>
      <c r="N82" s="404">
        <v>46185</v>
      </c>
      <c r="O82" s="404">
        <v>46188</v>
      </c>
      <c r="P82" s="404">
        <v>46188</v>
      </c>
      <c r="Q82" s="404">
        <v>46188</v>
      </c>
      <c r="R82" s="404">
        <v>46190</v>
      </c>
      <c r="S82" s="404">
        <v>46239</v>
      </c>
      <c r="T82" s="404">
        <v>46254</v>
      </c>
      <c r="U82" s="404"/>
      <c r="V82" s="404">
        <v>46267</v>
      </c>
      <c r="W82" s="404">
        <v>46269</v>
      </c>
      <c r="X82" s="404">
        <v>46276</v>
      </c>
      <c r="Y82" s="404">
        <v>46314</v>
      </c>
      <c r="Z82" s="404">
        <v>46329</v>
      </c>
      <c r="AA82" s="404">
        <v>46389</v>
      </c>
      <c r="AB82" s="404">
        <v>46392</v>
      </c>
      <c r="AC82" s="404">
        <v>46393</v>
      </c>
      <c r="AD82" s="404">
        <v>46475</v>
      </c>
      <c r="AE82" s="404">
        <v>46489</v>
      </c>
      <c r="AF82" s="404">
        <v>46519</v>
      </c>
      <c r="AG82" s="404">
        <v>46533</v>
      </c>
      <c r="AH82" s="404">
        <v>46549</v>
      </c>
      <c r="AI82" s="428">
        <v>36</v>
      </c>
      <c r="AJ82" s="406">
        <f>AI82*7</f>
        <v>252</v>
      </c>
      <c r="AK82" s="404">
        <f>V82+AJ82</f>
        <v>46519</v>
      </c>
      <c r="AL82" s="407">
        <f>AL83</f>
        <v>46485</v>
      </c>
      <c r="AM82" s="399">
        <f>AL83-AK82</f>
        <v>-34</v>
      </c>
      <c r="AN82" s="408" t="s">
        <v>60</v>
      </c>
      <c r="AO82" s="409" t="s">
        <v>61</v>
      </c>
      <c r="AP82" s="410">
        <v>46492</v>
      </c>
      <c r="AQ82" s="407"/>
    </row>
    <row r="83" s="333" customFormat="1" ht="23" customHeight="1" spans="1:43">
      <c r="A83" s="396"/>
      <c r="B83" s="324" t="s">
        <v>147</v>
      </c>
      <c r="C83" s="397" t="s">
        <v>148</v>
      </c>
      <c r="D83" s="398"/>
      <c r="E83" s="399"/>
      <c r="F83" s="400" t="s">
        <v>149</v>
      </c>
      <c r="G83" s="399" t="s">
        <v>136</v>
      </c>
      <c r="H83" s="324" t="s">
        <v>72</v>
      </c>
      <c r="I83" s="324">
        <v>2</v>
      </c>
      <c r="J83" s="324" t="s">
        <v>7</v>
      </c>
      <c r="K83" s="402" t="s">
        <v>64</v>
      </c>
      <c r="L83" s="404"/>
      <c r="M83" s="404"/>
      <c r="N83" s="404"/>
      <c r="O83" s="404"/>
      <c r="P83" s="404"/>
      <c r="Q83" s="404"/>
      <c r="R83" s="404"/>
      <c r="S83" s="404"/>
      <c r="T83" s="404"/>
      <c r="U83" s="404"/>
      <c r="V83" s="404"/>
      <c r="W83" s="404"/>
      <c r="X83" s="404"/>
      <c r="Y83" s="411"/>
      <c r="Z83" s="411">
        <f>AB83-5</f>
        <v>46350</v>
      </c>
      <c r="AA83" s="411">
        <v>46352</v>
      </c>
      <c r="AB83" s="411">
        <v>46355</v>
      </c>
      <c r="AC83" s="411">
        <v>46356</v>
      </c>
      <c r="AD83" s="411">
        <v>46068</v>
      </c>
      <c r="AE83" s="411">
        <v>46465</v>
      </c>
      <c r="AF83" s="411">
        <v>46470</v>
      </c>
      <c r="AG83" s="411">
        <v>46484</v>
      </c>
      <c r="AH83" s="411">
        <v>46500</v>
      </c>
      <c r="AI83" s="405">
        <v>31</v>
      </c>
      <c r="AJ83" s="406">
        <v>217</v>
      </c>
      <c r="AK83" s="412">
        <v>46470</v>
      </c>
      <c r="AL83" s="407">
        <f>AP82-7</f>
        <v>46485</v>
      </c>
      <c r="AM83" s="399">
        <f>AL83-AK83</f>
        <v>15</v>
      </c>
      <c r="AN83" s="413" t="str">
        <f>AN82</f>
        <v>Long Lead</v>
      </c>
      <c r="AO83" s="409" t="s">
        <v>65</v>
      </c>
      <c r="AP83" s="410">
        <v>46492</v>
      </c>
      <c r="AQ83" s="407" t="s">
        <v>138</v>
      </c>
    </row>
    <row r="84" s="333" customFormat="1" ht="23" hidden="1" customHeight="1" spans="1:43">
      <c r="A84" s="414"/>
      <c r="B84" s="415" t="s">
        <v>147</v>
      </c>
      <c r="C84" s="447" t="s">
        <v>148</v>
      </c>
      <c r="D84" s="416"/>
      <c r="E84" s="417"/>
      <c r="F84" s="418"/>
      <c r="G84" s="417" t="s">
        <v>136</v>
      </c>
      <c r="H84" s="415" t="s">
        <v>72</v>
      </c>
      <c r="I84" s="324">
        <v>2</v>
      </c>
      <c r="J84" s="415" t="s">
        <v>7</v>
      </c>
      <c r="K84" s="419" t="s">
        <v>66</v>
      </c>
      <c r="L84" s="420"/>
      <c r="M84" s="420">
        <v>46178</v>
      </c>
      <c r="N84" s="420">
        <v>46186</v>
      </c>
      <c r="O84" s="420">
        <v>46186</v>
      </c>
      <c r="P84" s="420">
        <v>46186</v>
      </c>
      <c r="Q84" s="420">
        <v>46186</v>
      </c>
      <c r="R84" s="420">
        <v>46196</v>
      </c>
      <c r="S84" s="420">
        <v>46251</v>
      </c>
      <c r="T84" s="420">
        <v>46254</v>
      </c>
      <c r="U84" s="420">
        <v>46253</v>
      </c>
      <c r="V84" s="417"/>
      <c r="W84" s="420">
        <v>46253</v>
      </c>
      <c r="X84" s="420">
        <v>46269</v>
      </c>
      <c r="Y84" s="420">
        <f>X84+1</f>
        <v>46270</v>
      </c>
      <c r="Z84" s="420"/>
      <c r="AA84" s="420"/>
      <c r="AB84" s="420"/>
      <c r="AC84" s="420"/>
      <c r="AD84" s="420"/>
      <c r="AE84" s="420"/>
      <c r="AF84" s="420"/>
      <c r="AG84" s="420"/>
      <c r="AH84" s="420"/>
      <c r="AI84" s="422"/>
      <c r="AJ84" s="423"/>
      <c r="AK84" s="420"/>
      <c r="AL84" s="424"/>
      <c r="AM84" s="417"/>
      <c r="AN84" s="425" t="str">
        <f>AN82</f>
        <v>Long Lead</v>
      </c>
      <c r="AO84" s="426"/>
      <c r="AP84" s="425" t="s">
        <v>150</v>
      </c>
      <c r="AQ84" s="424"/>
    </row>
    <row r="85" s="333" customFormat="1" ht="23" hidden="1" customHeight="1" spans="1:43">
      <c r="A85" s="396">
        <v>25</v>
      </c>
      <c r="B85" s="324" t="s">
        <v>151</v>
      </c>
      <c r="C85" s="324" t="s">
        <v>152</v>
      </c>
      <c r="D85" s="398"/>
      <c r="E85" s="399"/>
      <c r="F85" s="400"/>
      <c r="G85" s="399" t="s">
        <v>136</v>
      </c>
      <c r="H85" s="324"/>
      <c r="I85" s="401"/>
      <c r="J85" s="324" t="s">
        <v>7</v>
      </c>
      <c r="K85" s="402" t="s">
        <v>59</v>
      </c>
      <c r="L85" s="403"/>
      <c r="M85" s="404">
        <v>46162</v>
      </c>
      <c r="N85" s="404">
        <v>46182</v>
      </c>
      <c r="O85" s="404">
        <v>46183</v>
      </c>
      <c r="P85" s="404">
        <v>46183</v>
      </c>
      <c r="Q85" s="404">
        <v>46183</v>
      </c>
      <c r="R85" s="404">
        <v>46188</v>
      </c>
      <c r="S85" s="404">
        <v>46224</v>
      </c>
      <c r="T85" s="404">
        <v>46230</v>
      </c>
      <c r="U85" s="404"/>
      <c r="V85" s="404">
        <v>46241</v>
      </c>
      <c r="W85" s="404">
        <v>46245</v>
      </c>
      <c r="X85" s="404">
        <v>46252</v>
      </c>
      <c r="Y85" s="404">
        <v>46280</v>
      </c>
      <c r="Z85" s="404">
        <v>46294</v>
      </c>
      <c r="AA85" s="404">
        <v>46354</v>
      </c>
      <c r="AB85" s="404">
        <v>46357</v>
      </c>
      <c r="AC85" s="404">
        <v>46358</v>
      </c>
      <c r="AD85" s="404">
        <v>46477</v>
      </c>
      <c r="AE85" s="404">
        <v>46491</v>
      </c>
      <c r="AF85" s="404">
        <v>46521</v>
      </c>
      <c r="AG85" s="404">
        <v>46535</v>
      </c>
      <c r="AH85" s="404">
        <v>46551</v>
      </c>
      <c r="AI85" s="428">
        <v>40</v>
      </c>
      <c r="AJ85" s="406">
        <f>AI85*7</f>
        <v>280</v>
      </c>
      <c r="AK85" s="404">
        <f>V85+AJ85</f>
        <v>46521</v>
      </c>
      <c r="AL85" s="407">
        <f>AL86</f>
        <v>46485</v>
      </c>
      <c r="AM85" s="399">
        <f>AL86-AK85</f>
        <v>-36</v>
      </c>
      <c r="AN85" s="408" t="s">
        <v>60</v>
      </c>
      <c r="AO85" s="409" t="s">
        <v>61</v>
      </c>
      <c r="AP85" s="410">
        <v>46492</v>
      </c>
      <c r="AQ85" s="407"/>
    </row>
    <row r="86" s="333" customFormat="1" ht="23" customHeight="1" spans="1:43">
      <c r="A86" s="396"/>
      <c r="B86" s="324" t="s">
        <v>151</v>
      </c>
      <c r="C86" s="397" t="s">
        <v>152</v>
      </c>
      <c r="D86" s="427"/>
      <c r="E86" s="399"/>
      <c r="F86" s="400" t="s">
        <v>149</v>
      </c>
      <c r="G86" s="399" t="s">
        <v>136</v>
      </c>
      <c r="H86" s="324" t="s">
        <v>63</v>
      </c>
      <c r="I86" s="324">
        <v>2</v>
      </c>
      <c r="J86" s="324" t="s">
        <v>7</v>
      </c>
      <c r="K86" s="402" t="s">
        <v>64</v>
      </c>
      <c r="L86" s="404"/>
      <c r="M86" s="404"/>
      <c r="N86" s="404"/>
      <c r="O86" s="404"/>
      <c r="P86" s="404"/>
      <c r="Q86" s="404"/>
      <c r="R86" s="404"/>
      <c r="S86" s="404"/>
      <c r="T86" s="404"/>
      <c r="U86" s="404"/>
      <c r="V86" s="404"/>
      <c r="W86" s="404"/>
      <c r="X86" s="404"/>
      <c r="Y86" s="404"/>
      <c r="Z86" s="411">
        <f>AB86-5</f>
        <v>46350</v>
      </c>
      <c r="AA86" s="411">
        <v>46352</v>
      </c>
      <c r="AB86" s="411">
        <v>46355</v>
      </c>
      <c r="AC86" s="411">
        <v>46356</v>
      </c>
      <c r="AD86" s="411">
        <v>46068</v>
      </c>
      <c r="AE86" s="411">
        <v>46465</v>
      </c>
      <c r="AF86" s="411">
        <v>46470</v>
      </c>
      <c r="AG86" s="411">
        <v>46484</v>
      </c>
      <c r="AH86" s="411">
        <v>46500</v>
      </c>
      <c r="AI86" s="405">
        <v>31</v>
      </c>
      <c r="AJ86" s="406">
        <v>217</v>
      </c>
      <c r="AK86" s="412">
        <v>46470</v>
      </c>
      <c r="AL86" s="407">
        <f>AP85-7</f>
        <v>46485</v>
      </c>
      <c r="AM86" s="399">
        <f>AL86-AK86</f>
        <v>15</v>
      </c>
      <c r="AN86" s="413" t="str">
        <f>AN85</f>
        <v>Long Lead</v>
      </c>
      <c r="AO86" s="409" t="s">
        <v>65</v>
      </c>
      <c r="AP86" s="410">
        <v>46492</v>
      </c>
      <c r="AQ86" s="407" t="s">
        <v>138</v>
      </c>
    </row>
    <row r="87" s="333" customFormat="1" ht="23" hidden="1" customHeight="1" spans="1:43">
      <c r="A87" s="414"/>
      <c r="B87" s="415" t="s">
        <v>151</v>
      </c>
      <c r="C87" s="447" t="s">
        <v>152</v>
      </c>
      <c r="D87" s="429"/>
      <c r="E87" s="417"/>
      <c r="F87" s="418"/>
      <c r="G87" s="417" t="s">
        <v>136</v>
      </c>
      <c r="H87" s="415" t="s">
        <v>63</v>
      </c>
      <c r="I87" s="324">
        <v>2</v>
      </c>
      <c r="J87" s="415" t="s">
        <v>7</v>
      </c>
      <c r="K87" s="419" t="s">
        <v>66</v>
      </c>
      <c r="L87" s="420">
        <v>46133</v>
      </c>
      <c r="M87" s="420">
        <v>46169</v>
      </c>
      <c r="N87" s="420">
        <v>46183</v>
      </c>
      <c r="O87" s="420">
        <v>46183</v>
      </c>
      <c r="P87" s="420">
        <v>46183</v>
      </c>
      <c r="Q87" s="420">
        <v>46183</v>
      </c>
      <c r="R87" s="420">
        <v>46191</v>
      </c>
      <c r="S87" s="420">
        <v>46248</v>
      </c>
      <c r="T87" s="420">
        <v>46251</v>
      </c>
      <c r="U87" s="420">
        <v>46253</v>
      </c>
      <c r="V87" s="417"/>
      <c r="W87" s="420">
        <v>46253</v>
      </c>
      <c r="X87" s="420">
        <v>46269</v>
      </c>
      <c r="Y87" s="420">
        <f>X87+1</f>
        <v>46270</v>
      </c>
      <c r="Z87" s="420"/>
      <c r="AA87" s="420"/>
      <c r="AB87" s="420"/>
      <c r="AC87" s="420"/>
      <c r="AD87" s="420"/>
      <c r="AE87" s="420"/>
      <c r="AF87" s="420"/>
      <c r="AG87" s="420"/>
      <c r="AH87" s="420"/>
      <c r="AI87" s="422"/>
      <c r="AJ87" s="423"/>
      <c r="AK87" s="420"/>
      <c r="AL87" s="424"/>
      <c r="AM87" s="417"/>
      <c r="AN87" s="425" t="str">
        <f>AN85</f>
        <v>Long Lead</v>
      </c>
      <c r="AO87" s="426"/>
      <c r="AP87" s="425" t="s">
        <v>150</v>
      </c>
      <c r="AQ87" s="424"/>
    </row>
    <row r="88" s="333" customFormat="1" ht="23" hidden="1" customHeight="1" spans="1:43">
      <c r="A88" s="396">
        <v>26</v>
      </c>
      <c r="B88" s="324" t="s">
        <v>153</v>
      </c>
      <c r="C88" s="324" t="s">
        <v>154</v>
      </c>
      <c r="D88" s="398"/>
      <c r="E88" s="399"/>
      <c r="F88" s="400"/>
      <c r="G88" s="399" t="s">
        <v>136</v>
      </c>
      <c r="H88" s="324"/>
      <c r="I88" s="401"/>
      <c r="J88" s="324" t="s">
        <v>7</v>
      </c>
      <c r="K88" s="402" t="s">
        <v>59</v>
      </c>
      <c r="L88" s="403"/>
      <c r="M88" s="404">
        <v>46185</v>
      </c>
      <c r="N88" s="404">
        <v>46192</v>
      </c>
      <c r="O88" s="404">
        <v>46195</v>
      </c>
      <c r="P88" s="404">
        <v>46195</v>
      </c>
      <c r="Q88" s="404">
        <v>46203</v>
      </c>
      <c r="R88" s="404">
        <v>46199</v>
      </c>
      <c r="S88" s="404">
        <v>46247</v>
      </c>
      <c r="T88" s="404">
        <v>46261</v>
      </c>
      <c r="U88" s="404"/>
      <c r="V88" s="404">
        <v>46274</v>
      </c>
      <c r="W88" s="404">
        <v>46276</v>
      </c>
      <c r="X88" s="404">
        <v>46283</v>
      </c>
      <c r="Y88" s="404">
        <v>46321</v>
      </c>
      <c r="Z88" s="404">
        <v>46335</v>
      </c>
      <c r="AA88" s="404">
        <v>46395</v>
      </c>
      <c r="AB88" s="404">
        <v>46398</v>
      </c>
      <c r="AC88" s="404">
        <v>46399</v>
      </c>
      <c r="AD88" s="404">
        <v>46477</v>
      </c>
      <c r="AE88" s="404">
        <v>46491</v>
      </c>
      <c r="AF88" s="404">
        <v>46498</v>
      </c>
      <c r="AG88" s="404">
        <v>46512</v>
      </c>
      <c r="AH88" s="404">
        <v>46528</v>
      </c>
      <c r="AI88" s="428">
        <v>32</v>
      </c>
      <c r="AJ88" s="406">
        <f>AI88*7</f>
        <v>224</v>
      </c>
      <c r="AK88" s="404">
        <f>V88+AJ88</f>
        <v>46498</v>
      </c>
      <c r="AL88" s="407">
        <f>AL89</f>
        <v>46504</v>
      </c>
      <c r="AM88" s="399">
        <f>AL89-AK88</f>
        <v>6</v>
      </c>
      <c r="AN88" s="408"/>
      <c r="AO88" s="409" t="s">
        <v>61</v>
      </c>
      <c r="AP88" s="410">
        <v>46507</v>
      </c>
      <c r="AQ88" s="407"/>
    </row>
    <row r="89" s="333" customFormat="1" ht="23" customHeight="1" spans="1:43">
      <c r="A89" s="396"/>
      <c r="B89" s="324" t="s">
        <v>153</v>
      </c>
      <c r="C89" s="324" t="s">
        <v>154</v>
      </c>
      <c r="D89" s="427"/>
      <c r="E89" s="399"/>
      <c r="F89" s="400" t="s">
        <v>155</v>
      </c>
      <c r="G89" s="399" t="s">
        <v>136</v>
      </c>
      <c r="H89" s="324" t="s">
        <v>72</v>
      </c>
      <c r="I89" s="324">
        <v>2</v>
      </c>
      <c r="J89" s="324" t="s">
        <v>7</v>
      </c>
      <c r="K89" s="402" t="s">
        <v>64</v>
      </c>
      <c r="L89" s="404"/>
      <c r="M89" s="404"/>
      <c r="N89" s="404"/>
      <c r="O89" s="404"/>
      <c r="P89" s="404"/>
      <c r="Q89" s="404"/>
      <c r="R89" s="404"/>
      <c r="S89" s="404"/>
      <c r="T89" s="404"/>
      <c r="U89" s="404"/>
      <c r="V89" s="404">
        <v>46274</v>
      </c>
      <c r="W89" s="404"/>
      <c r="X89" s="404"/>
      <c r="Y89" s="404"/>
      <c r="Z89" s="411">
        <f>AB89-5</f>
        <v>46383</v>
      </c>
      <c r="AA89" s="404">
        <v>46385</v>
      </c>
      <c r="AB89" s="404">
        <v>46388</v>
      </c>
      <c r="AC89" s="404">
        <v>46389</v>
      </c>
      <c r="AD89" s="404">
        <v>46477</v>
      </c>
      <c r="AE89" s="411">
        <v>46491</v>
      </c>
      <c r="AF89" s="404">
        <v>46498</v>
      </c>
      <c r="AG89" s="404">
        <v>46512</v>
      </c>
      <c r="AH89" s="404">
        <v>46528</v>
      </c>
      <c r="AI89" s="405">
        <v>32</v>
      </c>
      <c r="AJ89" s="406">
        <v>224</v>
      </c>
      <c r="AK89" s="404">
        <v>46498</v>
      </c>
      <c r="AL89" s="407">
        <f>AP88-3</f>
        <v>46504</v>
      </c>
      <c r="AM89" s="399">
        <f>AL89-AK89</f>
        <v>6</v>
      </c>
      <c r="AN89" s="408"/>
      <c r="AO89" s="409" t="s">
        <v>65</v>
      </c>
      <c r="AP89" s="410">
        <v>46507</v>
      </c>
      <c r="AQ89" s="407" t="s">
        <v>138</v>
      </c>
    </row>
    <row r="90" s="333" customFormat="1" ht="23" hidden="1" customHeight="1" spans="1:43">
      <c r="A90" s="414"/>
      <c r="B90" s="415" t="s">
        <v>153</v>
      </c>
      <c r="C90" s="447" t="s">
        <v>154</v>
      </c>
      <c r="D90" s="429"/>
      <c r="E90" s="417"/>
      <c r="F90" s="418"/>
      <c r="G90" s="417" t="s">
        <v>136</v>
      </c>
      <c r="H90" s="415" t="s">
        <v>72</v>
      </c>
      <c r="I90" s="324">
        <v>2</v>
      </c>
      <c r="J90" s="415" t="s">
        <v>7</v>
      </c>
      <c r="K90" s="419" t="s">
        <v>66</v>
      </c>
      <c r="L90" s="420"/>
      <c r="M90" s="420">
        <v>46189</v>
      </c>
      <c r="N90" s="420">
        <v>46203</v>
      </c>
      <c r="O90" s="420">
        <v>46203</v>
      </c>
      <c r="P90" s="420">
        <v>46203</v>
      </c>
      <c r="Q90" s="420">
        <v>46203</v>
      </c>
      <c r="R90" s="420">
        <f>Q90+1</f>
        <v>46204</v>
      </c>
      <c r="S90" s="420">
        <v>46255</v>
      </c>
      <c r="T90" s="420">
        <v>46260</v>
      </c>
      <c r="U90" s="420">
        <v>46274</v>
      </c>
      <c r="V90" s="417"/>
      <c r="W90" s="420">
        <v>46274</v>
      </c>
      <c r="X90" s="420">
        <v>46283</v>
      </c>
      <c r="Y90" s="420">
        <f>X90+1</f>
        <v>46284</v>
      </c>
      <c r="Z90" s="420"/>
      <c r="AA90" s="420"/>
      <c r="AB90" s="420"/>
      <c r="AC90" s="420"/>
      <c r="AD90" s="420"/>
      <c r="AE90" s="420"/>
      <c r="AF90" s="420"/>
      <c r="AG90" s="420"/>
      <c r="AH90" s="420"/>
      <c r="AI90" s="422"/>
      <c r="AJ90" s="423"/>
      <c r="AK90" s="420"/>
      <c r="AL90" s="424"/>
      <c r="AM90" s="417"/>
      <c r="AN90" s="425"/>
      <c r="AO90" s="426"/>
      <c r="AP90" s="425" t="s">
        <v>156</v>
      </c>
      <c r="AQ90" s="424"/>
    </row>
    <row r="91" s="333" customFormat="1" ht="23" hidden="1" customHeight="1" spans="1:43">
      <c r="A91" s="396">
        <v>27</v>
      </c>
      <c r="B91" s="324" t="s">
        <v>157</v>
      </c>
      <c r="C91" s="324" t="s">
        <v>158</v>
      </c>
      <c r="D91" s="448"/>
      <c r="E91" s="399"/>
      <c r="F91" s="400"/>
      <c r="G91" s="399" t="s">
        <v>136</v>
      </c>
      <c r="H91" s="324"/>
      <c r="I91" s="401"/>
      <c r="J91" s="324" t="s">
        <v>8</v>
      </c>
      <c r="K91" s="402" t="s">
        <v>59</v>
      </c>
      <c r="L91" s="403"/>
      <c r="M91" s="404">
        <v>46227</v>
      </c>
      <c r="N91" s="404">
        <v>46209</v>
      </c>
      <c r="O91" s="404">
        <v>46209</v>
      </c>
      <c r="P91" s="404">
        <v>46245</v>
      </c>
      <c r="Q91" s="404">
        <v>46245</v>
      </c>
      <c r="R91" s="404">
        <v>46259</v>
      </c>
      <c r="S91" s="404">
        <v>46276</v>
      </c>
      <c r="T91" s="404">
        <v>46290</v>
      </c>
      <c r="U91" s="404"/>
      <c r="V91" s="404">
        <v>46310</v>
      </c>
      <c r="W91" s="404">
        <v>46314</v>
      </c>
      <c r="X91" s="404">
        <v>46321</v>
      </c>
      <c r="Y91" s="404">
        <v>46342</v>
      </c>
      <c r="Z91" s="404">
        <v>46356</v>
      </c>
      <c r="AA91" s="404">
        <v>46371</v>
      </c>
      <c r="AB91" s="404">
        <f>AA91+3</f>
        <v>46374</v>
      </c>
      <c r="AC91" s="404">
        <f>AB91+1</f>
        <v>46375</v>
      </c>
      <c r="AD91" s="404">
        <v>46434</v>
      </c>
      <c r="AE91" s="404">
        <v>46448</v>
      </c>
      <c r="AF91" s="404">
        <v>46455</v>
      </c>
      <c r="AG91" s="404">
        <v>46469</v>
      </c>
      <c r="AH91" s="404">
        <v>46485</v>
      </c>
      <c r="AI91" s="428">
        <v>20.7142857142857</v>
      </c>
      <c r="AJ91" s="406">
        <f>AI91*7</f>
        <v>145</v>
      </c>
      <c r="AK91" s="404">
        <f>V91+AJ91</f>
        <v>46455</v>
      </c>
      <c r="AL91" s="407">
        <f>AL92</f>
        <v>46469</v>
      </c>
      <c r="AM91" s="399">
        <f>AL92-AK91</f>
        <v>14</v>
      </c>
      <c r="AN91" s="408"/>
      <c r="AO91" s="409" t="s">
        <v>61</v>
      </c>
      <c r="AP91" s="410">
        <v>46476</v>
      </c>
      <c r="AQ91" s="407"/>
    </row>
    <row r="92" s="333" customFormat="1" ht="23" customHeight="1" spans="1:43">
      <c r="A92" s="396"/>
      <c r="B92" s="324" t="s">
        <v>157</v>
      </c>
      <c r="C92" s="397" t="s">
        <v>158</v>
      </c>
      <c r="D92" s="449"/>
      <c r="E92" s="399"/>
      <c r="F92" s="400" t="s">
        <v>159</v>
      </c>
      <c r="G92" s="399" t="s">
        <v>136</v>
      </c>
      <c r="H92" s="324" t="s">
        <v>72</v>
      </c>
      <c r="I92" s="324">
        <v>3</v>
      </c>
      <c r="J92" s="324" t="s">
        <v>8</v>
      </c>
      <c r="K92" s="402" t="s">
        <v>64</v>
      </c>
      <c r="L92" s="404"/>
      <c r="M92" s="404"/>
      <c r="N92" s="404"/>
      <c r="O92" s="404"/>
      <c r="P92" s="404"/>
      <c r="Q92" s="404"/>
      <c r="R92" s="404"/>
      <c r="S92" s="404">
        <v>46311</v>
      </c>
      <c r="T92" s="404">
        <f>_xlfn.WORKDAY.INTL(S92,INDEX(T$8:T$11,MATCH($J92,$J$8:$J$11,0)),1,IF(T$18="China",'China Holidays'!$A$2:$A$82,'Thai Holidays'!$A$2:$A$63))</f>
        <v>46328</v>
      </c>
      <c r="U92" s="404"/>
      <c r="V92" s="404">
        <v>46310</v>
      </c>
      <c r="W92" s="404">
        <v>46314</v>
      </c>
      <c r="X92" s="404">
        <v>46321</v>
      </c>
      <c r="Y92" s="404">
        <v>46342</v>
      </c>
      <c r="Z92" s="411">
        <f>AB92-5</f>
        <v>46366</v>
      </c>
      <c r="AA92" s="404">
        <v>46371</v>
      </c>
      <c r="AB92" s="404">
        <v>46371</v>
      </c>
      <c r="AC92" s="404">
        <v>46373</v>
      </c>
      <c r="AD92" s="404">
        <v>46434</v>
      </c>
      <c r="AE92" s="411">
        <v>46448</v>
      </c>
      <c r="AF92" s="404">
        <v>46455</v>
      </c>
      <c r="AG92" s="404">
        <v>46469</v>
      </c>
      <c r="AH92" s="404">
        <v>46485</v>
      </c>
      <c r="AI92" s="405">
        <v>20.7142857142857</v>
      </c>
      <c r="AJ92" s="406">
        <v>145</v>
      </c>
      <c r="AK92" s="404">
        <f>IF(V92&lt;&gt;"",V92+AJ92,V93+AJ92)</f>
        <v>46455</v>
      </c>
      <c r="AL92" s="407">
        <f>AP91-7</f>
        <v>46469</v>
      </c>
      <c r="AM92" s="399">
        <f>AL92-AK92</f>
        <v>14</v>
      </c>
      <c r="AN92" s="408"/>
      <c r="AO92" s="409" t="s">
        <v>65</v>
      </c>
      <c r="AP92" s="410">
        <v>46479</v>
      </c>
      <c r="AQ92" s="407" t="s">
        <v>138</v>
      </c>
    </row>
    <row r="93" s="333" customFormat="1" ht="23" hidden="1" customHeight="1" spans="1:43">
      <c r="A93" s="414"/>
      <c r="B93" s="415" t="s">
        <v>157</v>
      </c>
      <c r="C93" s="447" t="s">
        <v>158</v>
      </c>
      <c r="D93" s="450"/>
      <c r="E93" s="417"/>
      <c r="F93" s="418"/>
      <c r="G93" s="417" t="s">
        <v>136</v>
      </c>
      <c r="H93" s="415" t="s">
        <v>72</v>
      </c>
      <c r="I93" s="324">
        <v>3</v>
      </c>
      <c r="J93" s="415" t="s">
        <v>8</v>
      </c>
      <c r="K93" s="419" t="s">
        <v>66</v>
      </c>
      <c r="L93" s="420"/>
      <c r="M93" s="420">
        <v>46198</v>
      </c>
      <c r="N93" s="420">
        <v>46219</v>
      </c>
      <c r="O93" s="420">
        <v>46219</v>
      </c>
      <c r="P93" s="420">
        <f>O93</f>
        <v>46219</v>
      </c>
      <c r="Q93" s="420">
        <v>46241</v>
      </c>
      <c r="R93" s="420">
        <v>46260</v>
      </c>
      <c r="S93" s="420"/>
      <c r="T93" s="420"/>
      <c r="U93" s="420"/>
      <c r="V93" s="417"/>
      <c r="W93" s="420"/>
      <c r="X93" s="420"/>
      <c r="Y93" s="420"/>
      <c r="Z93" s="420"/>
      <c r="AA93" s="420"/>
      <c r="AB93" s="420"/>
      <c r="AC93" s="420"/>
      <c r="AD93" s="420"/>
      <c r="AE93" s="420"/>
      <c r="AF93" s="420"/>
      <c r="AG93" s="420"/>
      <c r="AH93" s="420"/>
      <c r="AI93" s="422"/>
      <c r="AJ93" s="423"/>
      <c r="AK93" s="420"/>
      <c r="AL93" s="424"/>
      <c r="AM93" s="417"/>
      <c r="AN93" s="425"/>
      <c r="AO93" s="426"/>
      <c r="AP93" s="425"/>
      <c r="AQ93" s="424"/>
    </row>
    <row r="94" s="333" customFormat="1" ht="23" hidden="1" customHeight="1" spans="1:43">
      <c r="A94" s="396">
        <v>28</v>
      </c>
      <c r="B94" s="324" t="s">
        <v>160</v>
      </c>
      <c r="C94" s="324" t="s">
        <v>161</v>
      </c>
      <c r="D94" s="398"/>
      <c r="E94" s="399"/>
      <c r="F94" s="400"/>
      <c r="G94" s="399" t="s">
        <v>136</v>
      </c>
      <c r="H94" s="324"/>
      <c r="I94" s="401"/>
      <c r="J94" s="324" t="s">
        <v>6</v>
      </c>
      <c r="K94" s="402" t="s">
        <v>59</v>
      </c>
      <c r="L94" s="403"/>
      <c r="M94" s="404">
        <v>46136</v>
      </c>
      <c r="N94" s="404">
        <v>46148</v>
      </c>
      <c r="O94" s="404">
        <v>46148</v>
      </c>
      <c r="P94" s="404">
        <v>46155</v>
      </c>
      <c r="Q94" s="404">
        <v>46156</v>
      </c>
      <c r="R94" s="404">
        <v>46162</v>
      </c>
      <c r="S94" s="404">
        <v>46199</v>
      </c>
      <c r="T94" s="404">
        <v>46204</v>
      </c>
      <c r="U94" s="404"/>
      <c r="V94" s="404">
        <v>46218</v>
      </c>
      <c r="W94" s="404">
        <v>46220</v>
      </c>
      <c r="X94" s="404">
        <v>46227</v>
      </c>
      <c r="Y94" s="404">
        <v>46255</v>
      </c>
      <c r="Z94" s="404">
        <v>46269</v>
      </c>
      <c r="AA94" s="404">
        <v>46387</v>
      </c>
      <c r="AB94" s="404">
        <v>46296</v>
      </c>
      <c r="AC94" s="404">
        <v>46387</v>
      </c>
      <c r="AD94" s="404">
        <v>46433</v>
      </c>
      <c r="AE94" s="404">
        <v>46463</v>
      </c>
      <c r="AF94" s="404">
        <v>46470</v>
      </c>
      <c r="AG94" s="404">
        <v>46484</v>
      </c>
      <c r="AH94" s="404">
        <v>46500</v>
      </c>
      <c r="AI94" s="428">
        <v>36</v>
      </c>
      <c r="AJ94" s="406">
        <f>AI94*7</f>
        <v>252</v>
      </c>
      <c r="AK94" s="404">
        <f>V94+AJ94</f>
        <v>46470</v>
      </c>
      <c r="AL94" s="407">
        <f>AL95</f>
        <v>46468</v>
      </c>
      <c r="AM94" s="399">
        <f>AL95-AK94</f>
        <v>-2</v>
      </c>
      <c r="AN94" s="408" t="s">
        <v>60</v>
      </c>
      <c r="AO94" s="409" t="s">
        <v>61</v>
      </c>
      <c r="AP94" s="410">
        <v>46471</v>
      </c>
      <c r="AQ94" s="407"/>
    </row>
    <row r="95" s="333" customFormat="1" ht="23" customHeight="1" spans="1:43">
      <c r="A95" s="396"/>
      <c r="B95" s="324" t="s">
        <v>160</v>
      </c>
      <c r="C95" s="397" t="s">
        <v>161</v>
      </c>
      <c r="D95" s="427"/>
      <c r="E95" s="399"/>
      <c r="F95" s="400" t="s">
        <v>162</v>
      </c>
      <c r="G95" s="399" t="s">
        <v>136</v>
      </c>
      <c r="H95" s="324" t="s">
        <v>63</v>
      </c>
      <c r="I95" s="324">
        <v>2</v>
      </c>
      <c r="J95" s="324" t="s">
        <v>6</v>
      </c>
      <c r="K95" s="402" t="s">
        <v>64</v>
      </c>
      <c r="L95" s="404"/>
      <c r="M95" s="404"/>
      <c r="N95" s="404"/>
      <c r="O95" s="404"/>
      <c r="P95" s="404"/>
      <c r="Q95" s="404"/>
      <c r="R95" s="404"/>
      <c r="S95" s="404"/>
      <c r="T95" s="404"/>
      <c r="U95" s="404"/>
      <c r="V95" s="404"/>
      <c r="W95" s="404"/>
      <c r="X95" s="404"/>
      <c r="Y95" s="404"/>
      <c r="Z95" s="411">
        <v>46325</v>
      </c>
      <c r="AA95" s="411">
        <v>46387</v>
      </c>
      <c r="AB95" s="411">
        <v>46296</v>
      </c>
      <c r="AC95" s="411">
        <v>46388</v>
      </c>
      <c r="AD95" s="411">
        <v>46443</v>
      </c>
      <c r="AE95" s="411">
        <v>46450</v>
      </c>
      <c r="AF95" s="404">
        <v>46466</v>
      </c>
      <c r="AG95" s="404">
        <v>46480</v>
      </c>
      <c r="AH95" s="404">
        <v>46496</v>
      </c>
      <c r="AI95" s="405">
        <v>34</v>
      </c>
      <c r="AJ95" s="406">
        <v>238</v>
      </c>
      <c r="AK95" s="412">
        <v>46466</v>
      </c>
      <c r="AL95" s="407">
        <f>AP94-3</f>
        <v>46468</v>
      </c>
      <c r="AM95" s="399">
        <f>AL95-AK95</f>
        <v>2</v>
      </c>
      <c r="AN95" s="413" t="str">
        <f>AN94</f>
        <v>Long Lead</v>
      </c>
      <c r="AO95" s="409" t="s">
        <v>65</v>
      </c>
      <c r="AP95" s="410">
        <v>46496</v>
      </c>
      <c r="AQ95" s="407" t="s">
        <v>138</v>
      </c>
    </row>
    <row r="96" s="333" customFormat="1" ht="23" hidden="1" customHeight="1" spans="1:43">
      <c r="A96" s="414"/>
      <c r="B96" s="415" t="s">
        <v>160</v>
      </c>
      <c r="C96" s="447" t="s">
        <v>161</v>
      </c>
      <c r="D96" s="429"/>
      <c r="E96" s="417"/>
      <c r="F96" s="418"/>
      <c r="G96" s="417" t="s">
        <v>136</v>
      </c>
      <c r="H96" s="415" t="s">
        <v>63</v>
      </c>
      <c r="I96" s="324">
        <v>2</v>
      </c>
      <c r="J96" s="415" t="s">
        <v>6</v>
      </c>
      <c r="K96" s="419" t="s">
        <v>66</v>
      </c>
      <c r="L96" s="420">
        <v>46133</v>
      </c>
      <c r="M96" s="420">
        <v>46140</v>
      </c>
      <c r="N96" s="420">
        <v>46157</v>
      </c>
      <c r="O96" s="420">
        <v>46157</v>
      </c>
      <c r="P96" s="420">
        <v>46157</v>
      </c>
      <c r="Q96" s="420">
        <v>46157</v>
      </c>
      <c r="R96" s="420">
        <v>46162</v>
      </c>
      <c r="S96" s="420">
        <v>46206</v>
      </c>
      <c r="T96" s="420">
        <v>46210</v>
      </c>
      <c r="U96" s="420">
        <v>46226</v>
      </c>
      <c r="V96" s="451">
        <v>46261</v>
      </c>
      <c r="W96" s="420">
        <v>46226</v>
      </c>
      <c r="X96" s="420">
        <v>46234</v>
      </c>
      <c r="Y96" s="420">
        <v>46251</v>
      </c>
      <c r="Z96" s="420"/>
      <c r="AA96" s="420"/>
      <c r="AB96" s="420"/>
      <c r="AC96" s="420"/>
      <c r="AD96" s="420"/>
      <c r="AE96" s="420"/>
      <c r="AF96" s="420"/>
      <c r="AG96" s="420"/>
      <c r="AH96" s="420"/>
      <c r="AI96" s="422"/>
      <c r="AJ96" s="423"/>
      <c r="AK96" s="420"/>
      <c r="AL96" s="424"/>
      <c r="AM96" s="417"/>
      <c r="AN96" s="425" t="str">
        <f>AN94</f>
        <v>Long Lead</v>
      </c>
      <c r="AO96" s="426"/>
      <c r="AP96" s="425" t="s">
        <v>163</v>
      </c>
      <c r="AQ96" s="424"/>
    </row>
    <row r="97" s="333" customFormat="1" ht="23" hidden="1" customHeight="1" spans="1:43">
      <c r="A97" s="396">
        <v>29</v>
      </c>
      <c r="B97" s="324" t="s">
        <v>164</v>
      </c>
      <c r="C97" s="324" t="s">
        <v>165</v>
      </c>
      <c r="D97" s="448"/>
      <c r="E97" s="399"/>
      <c r="F97" s="400"/>
      <c r="G97" s="399" t="s">
        <v>136</v>
      </c>
      <c r="H97" s="324"/>
      <c r="I97" s="401"/>
      <c r="J97" s="324" t="s">
        <v>8</v>
      </c>
      <c r="K97" s="402" t="s">
        <v>59</v>
      </c>
      <c r="L97" s="403"/>
      <c r="M97" s="404">
        <v>46239</v>
      </c>
      <c r="N97" s="404">
        <v>46254</v>
      </c>
      <c r="O97" s="404">
        <v>46254</v>
      </c>
      <c r="P97" s="404">
        <v>46254</v>
      </c>
      <c r="Q97" s="404">
        <v>46254</v>
      </c>
      <c r="R97" s="404">
        <v>46268</v>
      </c>
      <c r="S97" s="404">
        <v>46287</v>
      </c>
      <c r="T97" s="404">
        <v>46301</v>
      </c>
      <c r="U97" s="404"/>
      <c r="V97" s="404">
        <v>46316</v>
      </c>
      <c r="W97" s="404">
        <v>46318</v>
      </c>
      <c r="X97" s="404">
        <v>46325</v>
      </c>
      <c r="Y97" s="404">
        <v>46346</v>
      </c>
      <c r="Z97" s="404">
        <v>46360</v>
      </c>
      <c r="AA97" s="404">
        <v>46375</v>
      </c>
      <c r="AB97" s="404">
        <v>46375</v>
      </c>
      <c r="AC97" s="404">
        <v>46377</v>
      </c>
      <c r="AD97" s="404">
        <v>46421</v>
      </c>
      <c r="AE97" s="404">
        <v>46435</v>
      </c>
      <c r="AF97" s="404">
        <v>46442</v>
      </c>
      <c r="AG97" s="404">
        <v>46456</v>
      </c>
      <c r="AH97" s="404">
        <v>46472</v>
      </c>
      <c r="AI97" s="428">
        <v>18</v>
      </c>
      <c r="AJ97" s="406">
        <f>AI97*7</f>
        <v>126</v>
      </c>
      <c r="AK97" s="404">
        <f>V97+AJ97</f>
        <v>46442</v>
      </c>
      <c r="AL97" s="407">
        <f>AL98</f>
        <v>46469</v>
      </c>
      <c r="AM97" s="399">
        <f>AL98-AK97</f>
        <v>27</v>
      </c>
      <c r="AN97" s="408"/>
      <c r="AO97" s="409" t="s">
        <v>61</v>
      </c>
      <c r="AP97" s="410">
        <v>46476</v>
      </c>
      <c r="AQ97" s="407"/>
    </row>
    <row r="98" s="333" customFormat="1" ht="23" customHeight="1" spans="1:43">
      <c r="A98" s="396"/>
      <c r="B98" s="324" t="s">
        <v>164</v>
      </c>
      <c r="C98" s="397" t="s">
        <v>165</v>
      </c>
      <c r="D98" s="449"/>
      <c r="E98" s="399"/>
      <c r="F98" s="400" t="s">
        <v>166</v>
      </c>
      <c r="G98" s="399" t="s">
        <v>136</v>
      </c>
      <c r="H98" s="324" t="s">
        <v>72</v>
      </c>
      <c r="I98" s="324">
        <v>4</v>
      </c>
      <c r="J98" s="324" t="s">
        <v>8</v>
      </c>
      <c r="K98" s="402" t="s">
        <v>64</v>
      </c>
      <c r="L98" s="404"/>
      <c r="M98" s="404"/>
      <c r="N98" s="404"/>
      <c r="O98" s="404"/>
      <c r="P98" s="404"/>
      <c r="Q98" s="404"/>
      <c r="R98" s="404"/>
      <c r="S98" s="404"/>
      <c r="T98" s="404">
        <f>_xlfn.WORKDAY.INTL(S99,INDEX(T$8:T$11,MATCH($J98,$J$8:$J$11,0)),1,IF(T$18="China",'China Holidays'!$A$2:$A$82,'Thai Holidays'!$A$2:$A$63))</f>
        <v>46311</v>
      </c>
      <c r="U98" s="404"/>
      <c r="V98" s="404">
        <v>46315</v>
      </c>
      <c r="W98" s="404">
        <v>46317</v>
      </c>
      <c r="X98" s="404">
        <v>46324</v>
      </c>
      <c r="Y98" s="404">
        <v>46345</v>
      </c>
      <c r="Z98" s="411">
        <f>AB98-5</f>
        <v>46369</v>
      </c>
      <c r="AA98" s="404">
        <v>46374</v>
      </c>
      <c r="AB98" s="404">
        <v>46374</v>
      </c>
      <c r="AC98" s="404">
        <v>46376</v>
      </c>
      <c r="AD98" s="404">
        <v>46420</v>
      </c>
      <c r="AE98" s="411">
        <v>46434</v>
      </c>
      <c r="AF98" s="404">
        <v>46441</v>
      </c>
      <c r="AG98" s="404">
        <v>46455</v>
      </c>
      <c r="AH98" s="404">
        <v>46471</v>
      </c>
      <c r="AI98" s="405">
        <v>18</v>
      </c>
      <c r="AJ98" s="406">
        <v>126</v>
      </c>
      <c r="AK98" s="404">
        <f>IF(V98&lt;&gt;"",V98+AJ98,V99+AJ98)</f>
        <v>46441</v>
      </c>
      <c r="AL98" s="407">
        <f>AP97-7</f>
        <v>46469</v>
      </c>
      <c r="AM98" s="399">
        <f>AL98-AK98</f>
        <v>28</v>
      </c>
      <c r="AN98" s="408"/>
      <c r="AO98" s="409" t="s">
        <v>65</v>
      </c>
      <c r="AP98" s="410">
        <v>46476</v>
      </c>
      <c r="AQ98" s="407" t="s">
        <v>138</v>
      </c>
    </row>
    <row r="99" s="333" customFormat="1" ht="23" hidden="1" customHeight="1" spans="1:43">
      <c r="A99" s="414"/>
      <c r="B99" s="415" t="s">
        <v>164</v>
      </c>
      <c r="C99" s="447" t="s">
        <v>165</v>
      </c>
      <c r="D99" s="450"/>
      <c r="E99" s="417"/>
      <c r="F99" s="418"/>
      <c r="G99" s="417" t="s">
        <v>136</v>
      </c>
      <c r="H99" s="415" t="s">
        <v>72</v>
      </c>
      <c r="I99" s="324">
        <v>4</v>
      </c>
      <c r="J99" s="415" t="s">
        <v>8</v>
      </c>
      <c r="K99" s="419" t="s">
        <v>66</v>
      </c>
      <c r="L99" s="417"/>
      <c r="M99" s="420">
        <v>46233</v>
      </c>
      <c r="N99" s="420">
        <v>46237</v>
      </c>
      <c r="O99" s="420">
        <v>46237</v>
      </c>
      <c r="P99" s="420">
        <f>O99</f>
        <v>46237</v>
      </c>
      <c r="Q99" s="420">
        <v>46244</v>
      </c>
      <c r="R99" s="420">
        <v>46262</v>
      </c>
      <c r="S99" s="421">
        <v>46296</v>
      </c>
      <c r="T99" s="420"/>
      <c r="U99" s="420"/>
      <c r="V99" s="417"/>
      <c r="W99" s="420"/>
      <c r="X99" s="420"/>
      <c r="Y99" s="420"/>
      <c r="Z99" s="420"/>
      <c r="AA99" s="420"/>
      <c r="AB99" s="420"/>
      <c r="AC99" s="420"/>
      <c r="AD99" s="420"/>
      <c r="AE99" s="420"/>
      <c r="AF99" s="420"/>
      <c r="AG99" s="420"/>
      <c r="AH99" s="420"/>
      <c r="AI99" s="422"/>
      <c r="AJ99" s="423"/>
      <c r="AK99" s="420"/>
      <c r="AL99" s="424"/>
      <c r="AM99" s="417"/>
      <c r="AN99" s="425"/>
      <c r="AO99" s="426"/>
      <c r="AP99" s="425"/>
      <c r="AQ99" s="424"/>
    </row>
    <row r="100" s="333" customFormat="1" ht="23" hidden="1" customHeight="1" spans="1:43">
      <c r="A100" s="396">
        <v>30</v>
      </c>
      <c r="B100" s="324" t="s">
        <v>167</v>
      </c>
      <c r="C100" s="324" t="s">
        <v>168</v>
      </c>
      <c r="D100" s="448"/>
      <c r="E100" s="399"/>
      <c r="F100" s="400"/>
      <c r="G100" s="399" t="s">
        <v>136</v>
      </c>
      <c r="H100" s="324"/>
      <c r="I100" s="401"/>
      <c r="J100" s="324" t="s">
        <v>8</v>
      </c>
      <c r="K100" s="402" t="s">
        <v>59</v>
      </c>
      <c r="L100" s="403"/>
      <c r="M100" s="404">
        <v>46239</v>
      </c>
      <c r="N100" s="404">
        <v>46254</v>
      </c>
      <c r="O100" s="404">
        <v>46254</v>
      </c>
      <c r="P100" s="404">
        <v>46254</v>
      </c>
      <c r="Q100" s="404">
        <v>46254</v>
      </c>
      <c r="R100" s="404">
        <v>46268</v>
      </c>
      <c r="S100" s="404">
        <v>46287</v>
      </c>
      <c r="T100" s="404">
        <v>46301</v>
      </c>
      <c r="U100" s="404"/>
      <c r="V100" s="404">
        <v>46316</v>
      </c>
      <c r="W100" s="404">
        <v>46318</v>
      </c>
      <c r="X100" s="404">
        <v>46325</v>
      </c>
      <c r="Y100" s="404">
        <v>46346</v>
      </c>
      <c r="Z100" s="404">
        <v>46360</v>
      </c>
      <c r="AA100" s="404">
        <v>46375</v>
      </c>
      <c r="AB100" s="404">
        <v>46375</v>
      </c>
      <c r="AC100" s="404">
        <v>46377</v>
      </c>
      <c r="AD100" s="404">
        <v>46421</v>
      </c>
      <c r="AE100" s="404">
        <v>46435</v>
      </c>
      <c r="AF100" s="404">
        <v>46442</v>
      </c>
      <c r="AG100" s="404">
        <v>46456</v>
      </c>
      <c r="AH100" s="404">
        <v>46472</v>
      </c>
      <c r="AI100" s="428">
        <v>18</v>
      </c>
      <c r="AJ100" s="406">
        <f>AI100*7</f>
        <v>126</v>
      </c>
      <c r="AK100" s="404">
        <f>V100+AJ100</f>
        <v>46442</v>
      </c>
      <c r="AL100" s="407">
        <f>AL101</f>
        <v>46469</v>
      </c>
      <c r="AM100" s="399">
        <f>AL101-AK100</f>
        <v>27</v>
      </c>
      <c r="AN100" s="408"/>
      <c r="AO100" s="409" t="s">
        <v>61</v>
      </c>
      <c r="AP100" s="410">
        <v>46476</v>
      </c>
      <c r="AQ100" s="407"/>
    </row>
    <row r="101" s="333" customFormat="1" ht="23" customHeight="1" spans="1:43">
      <c r="A101" s="396"/>
      <c r="B101" s="324" t="s">
        <v>167</v>
      </c>
      <c r="C101" s="397" t="s">
        <v>168</v>
      </c>
      <c r="D101" s="449"/>
      <c r="E101" s="399"/>
      <c r="F101" s="400" t="s">
        <v>166</v>
      </c>
      <c r="G101" s="399" t="s">
        <v>136</v>
      </c>
      <c r="H101" s="324" t="s">
        <v>72</v>
      </c>
      <c r="I101" s="324">
        <v>4</v>
      </c>
      <c r="J101" s="324" t="s">
        <v>8</v>
      </c>
      <c r="K101" s="402" t="s">
        <v>64</v>
      </c>
      <c r="L101" s="404"/>
      <c r="M101" s="404"/>
      <c r="N101" s="404"/>
      <c r="O101" s="404"/>
      <c r="P101" s="404"/>
      <c r="Q101" s="404"/>
      <c r="R101" s="404"/>
      <c r="S101" s="404">
        <v>46311</v>
      </c>
      <c r="T101" s="404">
        <f>_xlfn.WORKDAY.INTL(S101,INDEX(T$8:T$11,MATCH($J101,$J$8:$J$11,0)),1,IF(T$18="China",'China Holidays'!$A$2:$A$82,'Thai Holidays'!$A$2:$A$63))</f>
        <v>46328</v>
      </c>
      <c r="U101" s="404"/>
      <c r="V101" s="404">
        <v>46315</v>
      </c>
      <c r="W101" s="404">
        <v>46317</v>
      </c>
      <c r="X101" s="404">
        <v>46324</v>
      </c>
      <c r="Y101" s="404">
        <v>46345</v>
      </c>
      <c r="Z101" s="411">
        <f>AB101-5</f>
        <v>46369</v>
      </c>
      <c r="AA101" s="404">
        <v>46374</v>
      </c>
      <c r="AB101" s="404">
        <v>46374</v>
      </c>
      <c r="AC101" s="404">
        <v>46376</v>
      </c>
      <c r="AD101" s="404">
        <v>46420</v>
      </c>
      <c r="AE101" s="411">
        <v>46434</v>
      </c>
      <c r="AF101" s="404">
        <v>46441</v>
      </c>
      <c r="AG101" s="404">
        <v>46455</v>
      </c>
      <c r="AH101" s="404">
        <v>46471</v>
      </c>
      <c r="AI101" s="405">
        <v>18</v>
      </c>
      <c r="AJ101" s="406">
        <v>126</v>
      </c>
      <c r="AK101" s="404">
        <f>IF(V101&lt;&gt;"",V101+AJ101,V102+AJ101)</f>
        <v>46441</v>
      </c>
      <c r="AL101" s="407">
        <f>AP100-7</f>
        <v>46469</v>
      </c>
      <c r="AM101" s="399">
        <f>AL101-AK101</f>
        <v>28</v>
      </c>
      <c r="AN101" s="408"/>
      <c r="AO101" s="409" t="s">
        <v>65</v>
      </c>
      <c r="AP101" s="410">
        <v>46476</v>
      </c>
      <c r="AQ101" s="407" t="s">
        <v>138</v>
      </c>
    </row>
    <row r="102" s="333" customFormat="1" ht="23" hidden="1" customHeight="1" spans="1:43">
      <c r="A102" s="414"/>
      <c r="B102" s="415" t="s">
        <v>167</v>
      </c>
      <c r="C102" s="447" t="s">
        <v>168</v>
      </c>
      <c r="D102" s="450"/>
      <c r="E102" s="417"/>
      <c r="F102" s="418"/>
      <c r="G102" s="417" t="s">
        <v>136</v>
      </c>
      <c r="H102" s="415" t="s">
        <v>72</v>
      </c>
      <c r="I102" s="324">
        <v>4</v>
      </c>
      <c r="J102" s="415" t="s">
        <v>8</v>
      </c>
      <c r="K102" s="419" t="s">
        <v>66</v>
      </c>
      <c r="L102" s="417"/>
      <c r="M102" s="420">
        <v>46239</v>
      </c>
      <c r="N102" s="420">
        <v>46251</v>
      </c>
      <c r="O102" s="420">
        <v>46251</v>
      </c>
      <c r="P102" s="420">
        <f>O102</f>
        <v>46251</v>
      </c>
      <c r="Q102" s="420">
        <f>P102</f>
        <v>46251</v>
      </c>
      <c r="R102" s="420">
        <v>46269</v>
      </c>
      <c r="S102" s="420"/>
      <c r="T102" s="420"/>
      <c r="U102" s="420"/>
      <c r="V102" s="417"/>
      <c r="W102" s="420"/>
      <c r="X102" s="420"/>
      <c r="Y102" s="420"/>
      <c r="Z102" s="420"/>
      <c r="AA102" s="420"/>
      <c r="AB102" s="420"/>
      <c r="AC102" s="420"/>
      <c r="AD102" s="420"/>
      <c r="AE102" s="420"/>
      <c r="AF102" s="420"/>
      <c r="AG102" s="420"/>
      <c r="AH102" s="420"/>
      <c r="AI102" s="422"/>
      <c r="AJ102" s="423"/>
      <c r="AK102" s="420"/>
      <c r="AL102" s="424"/>
      <c r="AM102" s="417"/>
      <c r="AN102" s="425"/>
      <c r="AO102" s="426"/>
      <c r="AP102" s="425"/>
      <c r="AQ102" s="424"/>
    </row>
    <row r="103" s="333" customFormat="1" ht="23" hidden="1" customHeight="1" spans="1:43">
      <c r="A103" s="396">
        <v>31</v>
      </c>
      <c r="B103" s="324" t="s">
        <v>169</v>
      </c>
      <c r="C103" s="324" t="s">
        <v>170</v>
      </c>
      <c r="D103" s="448"/>
      <c r="E103" s="399"/>
      <c r="F103" s="400"/>
      <c r="G103" s="399" t="s">
        <v>136</v>
      </c>
      <c r="H103" s="324"/>
      <c r="I103" s="401"/>
      <c r="J103" s="324" t="s">
        <v>8</v>
      </c>
      <c r="K103" s="402" t="s">
        <v>59</v>
      </c>
      <c r="L103" s="403"/>
      <c r="M103" s="404">
        <v>46239</v>
      </c>
      <c r="N103" s="404">
        <v>46254</v>
      </c>
      <c r="O103" s="404">
        <v>46254</v>
      </c>
      <c r="P103" s="404">
        <v>46254</v>
      </c>
      <c r="Q103" s="404">
        <v>46254</v>
      </c>
      <c r="R103" s="404">
        <v>46268</v>
      </c>
      <c r="S103" s="404">
        <v>46287</v>
      </c>
      <c r="T103" s="404">
        <v>46301</v>
      </c>
      <c r="U103" s="404"/>
      <c r="V103" s="404">
        <v>46316</v>
      </c>
      <c r="W103" s="404">
        <v>46318</v>
      </c>
      <c r="X103" s="404">
        <v>46325</v>
      </c>
      <c r="Y103" s="404">
        <v>46346</v>
      </c>
      <c r="Z103" s="404">
        <v>46360</v>
      </c>
      <c r="AA103" s="404">
        <v>46375</v>
      </c>
      <c r="AB103" s="404">
        <v>46375</v>
      </c>
      <c r="AC103" s="404">
        <v>46377</v>
      </c>
      <c r="AD103" s="404">
        <v>46421</v>
      </c>
      <c r="AE103" s="404">
        <v>46435</v>
      </c>
      <c r="AF103" s="404">
        <v>46442</v>
      </c>
      <c r="AG103" s="404">
        <v>46456</v>
      </c>
      <c r="AH103" s="404">
        <v>46472</v>
      </c>
      <c r="AI103" s="428">
        <v>18</v>
      </c>
      <c r="AJ103" s="406">
        <f>AI103*7</f>
        <v>126</v>
      </c>
      <c r="AK103" s="404">
        <f>V103+AJ103</f>
        <v>46442</v>
      </c>
      <c r="AL103" s="407">
        <f>AL104</f>
        <v>46469</v>
      </c>
      <c r="AM103" s="399">
        <f>AL104-AK103</f>
        <v>27</v>
      </c>
      <c r="AN103" s="408"/>
      <c r="AO103" s="409" t="s">
        <v>61</v>
      </c>
      <c r="AP103" s="410">
        <v>46476</v>
      </c>
      <c r="AQ103" s="407"/>
    </row>
    <row r="104" s="333" customFormat="1" ht="23" customHeight="1" spans="1:43">
      <c r="A104" s="396"/>
      <c r="B104" s="324" t="s">
        <v>169</v>
      </c>
      <c r="C104" s="397" t="s">
        <v>170</v>
      </c>
      <c r="D104" s="449"/>
      <c r="E104" s="399"/>
      <c r="F104" s="400" t="s">
        <v>166</v>
      </c>
      <c r="G104" s="399" t="s">
        <v>136</v>
      </c>
      <c r="H104" s="324" t="s">
        <v>72</v>
      </c>
      <c r="I104" s="324">
        <v>4</v>
      </c>
      <c r="J104" s="324" t="s">
        <v>8</v>
      </c>
      <c r="K104" s="402" t="s">
        <v>64</v>
      </c>
      <c r="L104" s="404"/>
      <c r="M104" s="404"/>
      <c r="N104" s="404"/>
      <c r="O104" s="404"/>
      <c r="P104" s="404"/>
      <c r="Q104" s="404"/>
      <c r="R104" s="404"/>
      <c r="S104" s="404"/>
      <c r="T104" s="404">
        <f>_xlfn.WORKDAY.INTL(S105,INDEX(T$8:T$11,MATCH($J104,$J$8:$J$11,0)),1,IF(T$18="China",'China Holidays'!$A$2:$A$82,'Thai Holidays'!$A$2:$A$63))</f>
        <v>46311</v>
      </c>
      <c r="U104" s="404"/>
      <c r="V104" s="404">
        <v>46315</v>
      </c>
      <c r="W104" s="404">
        <v>46317</v>
      </c>
      <c r="X104" s="404">
        <v>46324</v>
      </c>
      <c r="Y104" s="404">
        <v>46345</v>
      </c>
      <c r="Z104" s="411">
        <f>AB104-5</f>
        <v>46369</v>
      </c>
      <c r="AA104" s="404">
        <v>46374</v>
      </c>
      <c r="AB104" s="404">
        <v>46374</v>
      </c>
      <c r="AC104" s="404">
        <v>46376</v>
      </c>
      <c r="AD104" s="404">
        <v>46420</v>
      </c>
      <c r="AE104" s="411">
        <v>46434</v>
      </c>
      <c r="AF104" s="404">
        <v>46441</v>
      </c>
      <c r="AG104" s="404">
        <v>46455</v>
      </c>
      <c r="AH104" s="404">
        <v>46471</v>
      </c>
      <c r="AI104" s="405">
        <v>18</v>
      </c>
      <c r="AJ104" s="406">
        <v>126</v>
      </c>
      <c r="AK104" s="404">
        <f>IF(V104&lt;&gt;"",V104+AJ104,V105+AJ104)</f>
        <v>46441</v>
      </c>
      <c r="AL104" s="407">
        <f>AP103-7</f>
        <v>46469</v>
      </c>
      <c r="AM104" s="399">
        <f>AL104-AK104</f>
        <v>28</v>
      </c>
      <c r="AN104" s="408"/>
      <c r="AO104" s="409" t="s">
        <v>65</v>
      </c>
      <c r="AP104" s="410">
        <v>46476</v>
      </c>
      <c r="AQ104" s="407" t="s">
        <v>138</v>
      </c>
    </row>
    <row r="105" s="333" customFormat="1" ht="23" hidden="1" customHeight="1" spans="1:43">
      <c r="A105" s="414"/>
      <c r="B105" s="415" t="s">
        <v>169</v>
      </c>
      <c r="C105" s="447" t="s">
        <v>170</v>
      </c>
      <c r="D105" s="450"/>
      <c r="E105" s="417"/>
      <c r="F105" s="418"/>
      <c r="G105" s="417" t="s">
        <v>136</v>
      </c>
      <c r="H105" s="415" t="s">
        <v>72</v>
      </c>
      <c r="I105" s="324">
        <v>4</v>
      </c>
      <c r="J105" s="415" t="s">
        <v>8</v>
      </c>
      <c r="K105" s="419" t="s">
        <v>66</v>
      </c>
      <c r="L105" s="417"/>
      <c r="M105" s="420">
        <v>46240</v>
      </c>
      <c r="N105" s="420">
        <v>46259</v>
      </c>
      <c r="O105" s="420">
        <v>46259</v>
      </c>
      <c r="P105" s="420">
        <v>46259</v>
      </c>
      <c r="Q105" s="420">
        <f>P105</f>
        <v>46259</v>
      </c>
      <c r="R105" s="420">
        <v>46262</v>
      </c>
      <c r="S105" s="421">
        <v>46296</v>
      </c>
      <c r="T105" s="420"/>
      <c r="U105" s="420"/>
      <c r="V105" s="417"/>
      <c r="W105" s="420"/>
      <c r="X105" s="420"/>
      <c r="Y105" s="420"/>
      <c r="Z105" s="420"/>
      <c r="AA105" s="420"/>
      <c r="AB105" s="420"/>
      <c r="AC105" s="420"/>
      <c r="AD105" s="420"/>
      <c r="AE105" s="420"/>
      <c r="AF105" s="420"/>
      <c r="AG105" s="420"/>
      <c r="AH105" s="420"/>
      <c r="AI105" s="422"/>
      <c r="AJ105" s="423"/>
      <c r="AK105" s="420"/>
      <c r="AL105" s="424"/>
      <c r="AM105" s="417"/>
      <c r="AN105" s="425"/>
      <c r="AO105" s="426"/>
      <c r="AP105" s="425"/>
      <c r="AQ105" s="424"/>
    </row>
    <row r="106" s="333" customFormat="1" ht="23" hidden="1" customHeight="1" spans="1:43">
      <c r="A106" s="396">
        <v>32</v>
      </c>
      <c r="B106" s="324" t="s">
        <v>171</v>
      </c>
      <c r="C106" s="324" t="s">
        <v>172</v>
      </c>
      <c r="D106" s="448"/>
      <c r="E106" s="399"/>
      <c r="F106" s="400"/>
      <c r="G106" s="399" t="s">
        <v>136</v>
      </c>
      <c r="H106" s="324"/>
      <c r="I106" s="401"/>
      <c r="J106" s="324" t="s">
        <v>8</v>
      </c>
      <c r="K106" s="402" t="s">
        <v>59</v>
      </c>
      <c r="L106" s="403"/>
      <c r="M106" s="404">
        <v>46239</v>
      </c>
      <c r="N106" s="404">
        <v>46254</v>
      </c>
      <c r="O106" s="404">
        <v>46254</v>
      </c>
      <c r="P106" s="404">
        <v>46254</v>
      </c>
      <c r="Q106" s="404">
        <v>46254</v>
      </c>
      <c r="R106" s="404">
        <v>46268</v>
      </c>
      <c r="S106" s="404">
        <v>46287</v>
      </c>
      <c r="T106" s="404">
        <v>46301</v>
      </c>
      <c r="U106" s="404"/>
      <c r="V106" s="404">
        <v>46316</v>
      </c>
      <c r="W106" s="404">
        <v>46318</v>
      </c>
      <c r="X106" s="404">
        <v>46325</v>
      </c>
      <c r="Y106" s="404">
        <v>46346</v>
      </c>
      <c r="Z106" s="404">
        <v>46360</v>
      </c>
      <c r="AA106" s="404">
        <v>46375</v>
      </c>
      <c r="AB106" s="404">
        <v>46375</v>
      </c>
      <c r="AC106" s="404">
        <v>46377</v>
      </c>
      <c r="AD106" s="404">
        <v>46421</v>
      </c>
      <c r="AE106" s="404">
        <v>46435</v>
      </c>
      <c r="AF106" s="404">
        <v>46442</v>
      </c>
      <c r="AG106" s="404">
        <v>46456</v>
      </c>
      <c r="AH106" s="404">
        <v>46472</v>
      </c>
      <c r="AI106" s="428">
        <v>18</v>
      </c>
      <c r="AJ106" s="406">
        <f>AI106*7</f>
        <v>126</v>
      </c>
      <c r="AK106" s="404">
        <f>V106+AJ106</f>
        <v>46442</v>
      </c>
      <c r="AL106" s="407">
        <f>AL107</f>
        <v>46469</v>
      </c>
      <c r="AM106" s="399">
        <f>AL107-AK106</f>
        <v>27</v>
      </c>
      <c r="AN106" s="408"/>
      <c r="AO106" s="409" t="s">
        <v>61</v>
      </c>
      <c r="AP106" s="410">
        <v>46476</v>
      </c>
      <c r="AQ106" s="407"/>
    </row>
    <row r="107" s="333" customFormat="1" ht="23" customHeight="1" spans="1:43">
      <c r="A107" s="396"/>
      <c r="B107" s="324" t="s">
        <v>171</v>
      </c>
      <c r="C107" s="397" t="s">
        <v>172</v>
      </c>
      <c r="D107" s="449"/>
      <c r="E107" s="399"/>
      <c r="F107" s="400" t="s">
        <v>166</v>
      </c>
      <c r="G107" s="399" t="s">
        <v>136</v>
      </c>
      <c r="H107" s="324" t="s">
        <v>72</v>
      </c>
      <c r="I107" s="324">
        <v>4</v>
      </c>
      <c r="J107" s="324" t="s">
        <v>8</v>
      </c>
      <c r="K107" s="402" t="s">
        <v>64</v>
      </c>
      <c r="L107" s="404"/>
      <c r="M107" s="404"/>
      <c r="N107" s="404"/>
      <c r="O107" s="404"/>
      <c r="P107" s="404"/>
      <c r="Q107" s="404"/>
      <c r="R107" s="404"/>
      <c r="S107" s="404">
        <v>46311</v>
      </c>
      <c r="T107" s="404">
        <f>_xlfn.WORKDAY.INTL(S107,INDEX(T$8:T$11,MATCH($J107,$J$8:$J$11,0)),1,IF(T$18="China",'China Holidays'!$A$2:$A$82,'Thai Holidays'!$A$2:$A$63))</f>
        <v>46328</v>
      </c>
      <c r="U107" s="404"/>
      <c r="V107" s="404">
        <f>T107+7</f>
        <v>46335</v>
      </c>
      <c r="W107" s="404">
        <f>V107+3</f>
        <v>46338</v>
      </c>
      <c r="X107" s="404">
        <f>W107+3</f>
        <v>46341</v>
      </c>
      <c r="Y107" s="404">
        <v>46345</v>
      </c>
      <c r="Z107" s="411">
        <f>AB107-5</f>
        <v>46369</v>
      </c>
      <c r="AA107" s="404">
        <v>46374</v>
      </c>
      <c r="AB107" s="404">
        <v>46374</v>
      </c>
      <c r="AC107" s="404">
        <v>46376</v>
      </c>
      <c r="AD107" s="404">
        <v>46420</v>
      </c>
      <c r="AE107" s="411">
        <v>46434</v>
      </c>
      <c r="AF107" s="404">
        <v>46441</v>
      </c>
      <c r="AG107" s="404">
        <v>46455</v>
      </c>
      <c r="AH107" s="404">
        <v>46471</v>
      </c>
      <c r="AI107" s="405">
        <v>18</v>
      </c>
      <c r="AJ107" s="406">
        <v>126</v>
      </c>
      <c r="AK107" s="404">
        <f>IF(V107&lt;&gt;"",V107+AJ107,V108+AJ107)</f>
        <v>46461</v>
      </c>
      <c r="AL107" s="407">
        <f>AP106-7</f>
        <v>46469</v>
      </c>
      <c r="AM107" s="399">
        <f>AL107-AK107</f>
        <v>8</v>
      </c>
      <c r="AN107" s="408"/>
      <c r="AO107" s="409" t="s">
        <v>65</v>
      </c>
      <c r="AP107" s="410">
        <v>46476</v>
      </c>
      <c r="AQ107" s="407" t="s">
        <v>138</v>
      </c>
    </row>
    <row r="108" s="333" customFormat="1" ht="23" hidden="1" customHeight="1" spans="1:43">
      <c r="A108" s="414"/>
      <c r="B108" s="415" t="s">
        <v>171</v>
      </c>
      <c r="C108" s="447" t="s">
        <v>172</v>
      </c>
      <c r="D108" s="450"/>
      <c r="E108" s="417"/>
      <c r="F108" s="418"/>
      <c r="G108" s="417" t="s">
        <v>136</v>
      </c>
      <c r="H108" s="415" t="s">
        <v>72</v>
      </c>
      <c r="I108" s="324">
        <v>4</v>
      </c>
      <c r="J108" s="415" t="s">
        <v>8</v>
      </c>
      <c r="K108" s="419" t="s">
        <v>66</v>
      </c>
      <c r="L108" s="417"/>
      <c r="M108" s="420">
        <v>46238</v>
      </c>
      <c r="N108" s="420">
        <v>46251</v>
      </c>
      <c r="O108" s="420">
        <v>46251</v>
      </c>
      <c r="P108" s="420">
        <f>O108</f>
        <v>46251</v>
      </c>
      <c r="Q108" s="420">
        <f>P108</f>
        <v>46251</v>
      </c>
      <c r="R108" s="420">
        <v>46269</v>
      </c>
      <c r="S108" s="420"/>
      <c r="T108" s="420"/>
      <c r="U108" s="420"/>
      <c r="V108" s="417"/>
      <c r="W108" s="420"/>
      <c r="X108" s="420"/>
      <c r="Y108" s="420"/>
      <c r="Z108" s="420"/>
      <c r="AA108" s="420"/>
      <c r="AB108" s="420"/>
      <c r="AC108" s="420"/>
      <c r="AD108" s="420"/>
      <c r="AE108" s="420"/>
      <c r="AF108" s="420"/>
      <c r="AG108" s="420"/>
      <c r="AH108" s="420"/>
      <c r="AI108" s="422"/>
      <c r="AJ108" s="423"/>
      <c r="AK108" s="420"/>
      <c r="AL108" s="424"/>
      <c r="AM108" s="417"/>
      <c r="AN108" s="425"/>
      <c r="AO108" s="426"/>
      <c r="AP108" s="425"/>
      <c r="AQ108" s="424"/>
    </row>
    <row r="109" s="333" customFormat="1" ht="23" hidden="1" customHeight="1" spans="1:43">
      <c r="A109" s="396">
        <v>33</v>
      </c>
      <c r="B109" s="324" t="s">
        <v>173</v>
      </c>
      <c r="C109" s="324" t="s">
        <v>174</v>
      </c>
      <c r="D109" s="448"/>
      <c r="E109" s="399"/>
      <c r="F109" s="400"/>
      <c r="G109" s="399" t="s">
        <v>136</v>
      </c>
      <c r="H109" s="324"/>
      <c r="I109" s="401"/>
      <c r="J109" s="324" t="s">
        <v>8</v>
      </c>
      <c r="K109" s="402" t="s">
        <v>59</v>
      </c>
      <c r="L109" s="403"/>
      <c r="M109" s="404">
        <v>46227</v>
      </c>
      <c r="N109" s="404">
        <v>46209</v>
      </c>
      <c r="O109" s="404">
        <v>46209</v>
      </c>
      <c r="P109" s="404">
        <v>46245</v>
      </c>
      <c r="Q109" s="404">
        <v>46245</v>
      </c>
      <c r="R109" s="404">
        <v>46259</v>
      </c>
      <c r="S109" s="404">
        <v>46276</v>
      </c>
      <c r="T109" s="404">
        <v>46290</v>
      </c>
      <c r="U109" s="404"/>
      <c r="V109" s="404">
        <v>46310</v>
      </c>
      <c r="W109" s="404">
        <v>46314</v>
      </c>
      <c r="X109" s="404">
        <v>46321</v>
      </c>
      <c r="Y109" s="404">
        <v>46342</v>
      </c>
      <c r="Z109" s="404">
        <v>46356</v>
      </c>
      <c r="AA109" s="404">
        <v>46371</v>
      </c>
      <c r="AB109" s="404">
        <v>46371</v>
      </c>
      <c r="AC109" s="404">
        <v>46373</v>
      </c>
      <c r="AD109" s="404">
        <v>46415</v>
      </c>
      <c r="AE109" s="404">
        <v>46429</v>
      </c>
      <c r="AF109" s="404">
        <v>46436</v>
      </c>
      <c r="AG109" s="404">
        <v>46450</v>
      </c>
      <c r="AH109" s="404">
        <v>46466</v>
      </c>
      <c r="AI109" s="428">
        <v>18</v>
      </c>
      <c r="AJ109" s="406">
        <f>AI109*7</f>
        <v>126</v>
      </c>
      <c r="AK109" s="404">
        <f>V109+AJ109</f>
        <v>46436</v>
      </c>
      <c r="AL109" s="407">
        <f>AL110</f>
        <v>46469</v>
      </c>
      <c r="AM109" s="399">
        <f>AL110-AK109</f>
        <v>33</v>
      </c>
      <c r="AN109" s="408"/>
      <c r="AO109" s="409" t="s">
        <v>61</v>
      </c>
      <c r="AP109" s="410">
        <v>46476</v>
      </c>
      <c r="AQ109" s="407"/>
    </row>
    <row r="110" s="333" customFormat="1" ht="23" customHeight="1" spans="1:43">
      <c r="A110" s="396"/>
      <c r="B110" s="324" t="s">
        <v>173</v>
      </c>
      <c r="C110" s="397" t="s">
        <v>174</v>
      </c>
      <c r="D110" s="449"/>
      <c r="E110" s="399"/>
      <c r="F110" s="400" t="s">
        <v>175</v>
      </c>
      <c r="G110" s="399" t="s">
        <v>136</v>
      </c>
      <c r="H110" s="324" t="s">
        <v>72</v>
      </c>
      <c r="I110" s="324">
        <v>3</v>
      </c>
      <c r="J110" s="324" t="s">
        <v>8</v>
      </c>
      <c r="K110" s="402" t="s">
        <v>64</v>
      </c>
      <c r="L110" s="404"/>
      <c r="M110" s="404"/>
      <c r="N110" s="404"/>
      <c r="O110" s="404"/>
      <c r="P110" s="404"/>
      <c r="Q110" s="404"/>
      <c r="R110" s="404"/>
      <c r="S110" s="404">
        <v>46311</v>
      </c>
      <c r="T110" s="404">
        <f>_xlfn.WORKDAY.INTL(S110,INDEX(T$8:T$11,MATCH($J110,$J$8:$J$11,0)),1,IF(T$18="China",'China Holidays'!$A$2:$A$82,'Thai Holidays'!$A$2:$A$63))</f>
        <v>46328</v>
      </c>
      <c r="U110" s="404"/>
      <c r="V110" s="404">
        <f>T110+7</f>
        <v>46335</v>
      </c>
      <c r="W110" s="404">
        <f>V110+3</f>
        <v>46338</v>
      </c>
      <c r="X110" s="404">
        <f>W110+3</f>
        <v>46341</v>
      </c>
      <c r="Y110" s="404">
        <v>46342</v>
      </c>
      <c r="Z110" s="411">
        <f>AB110-5</f>
        <v>46366</v>
      </c>
      <c r="AA110" s="404">
        <v>46371</v>
      </c>
      <c r="AB110" s="404">
        <v>46371</v>
      </c>
      <c r="AC110" s="404">
        <v>46373</v>
      </c>
      <c r="AD110" s="404">
        <v>46415</v>
      </c>
      <c r="AE110" s="411">
        <v>46429</v>
      </c>
      <c r="AF110" s="404">
        <v>46436</v>
      </c>
      <c r="AG110" s="404">
        <v>46450</v>
      </c>
      <c r="AH110" s="404">
        <v>46466</v>
      </c>
      <c r="AI110" s="405">
        <v>18</v>
      </c>
      <c r="AJ110" s="406">
        <v>126</v>
      </c>
      <c r="AK110" s="404">
        <f>IF(V110&lt;&gt;"",V110+AJ110,V111+AJ110)</f>
        <v>46461</v>
      </c>
      <c r="AL110" s="407">
        <f>AP109-7</f>
        <v>46469</v>
      </c>
      <c r="AM110" s="399">
        <f>AL110-AK110</f>
        <v>8</v>
      </c>
      <c r="AN110" s="408"/>
      <c r="AO110" s="409" t="s">
        <v>65</v>
      </c>
      <c r="AP110" s="410">
        <v>46476</v>
      </c>
      <c r="AQ110" s="407" t="s">
        <v>138</v>
      </c>
    </row>
    <row r="111" s="333" customFormat="1" ht="23" hidden="1" customHeight="1" spans="1:43">
      <c r="A111" s="414"/>
      <c r="B111" s="415" t="s">
        <v>173</v>
      </c>
      <c r="C111" s="447" t="s">
        <v>174</v>
      </c>
      <c r="D111" s="450"/>
      <c r="E111" s="417"/>
      <c r="F111" s="418"/>
      <c r="G111" s="417" t="s">
        <v>136</v>
      </c>
      <c r="H111" s="415" t="s">
        <v>72</v>
      </c>
      <c r="I111" s="324">
        <v>3</v>
      </c>
      <c r="J111" s="415" t="s">
        <v>8</v>
      </c>
      <c r="K111" s="419" t="s">
        <v>66</v>
      </c>
      <c r="L111" s="420"/>
      <c r="M111" s="420">
        <v>46197</v>
      </c>
      <c r="N111" s="420">
        <v>46211</v>
      </c>
      <c r="O111" s="420">
        <v>46211</v>
      </c>
      <c r="P111" s="420">
        <v>46211</v>
      </c>
      <c r="Q111" s="420">
        <v>46241</v>
      </c>
      <c r="R111" s="420">
        <v>46269</v>
      </c>
      <c r="S111" s="420"/>
      <c r="T111" s="420"/>
      <c r="U111" s="420"/>
      <c r="V111" s="417"/>
      <c r="W111" s="420"/>
      <c r="X111" s="420"/>
      <c r="Y111" s="420"/>
      <c r="Z111" s="420"/>
      <c r="AA111" s="420"/>
      <c r="AB111" s="420"/>
      <c r="AC111" s="420"/>
      <c r="AD111" s="420"/>
      <c r="AE111" s="420"/>
      <c r="AF111" s="420"/>
      <c r="AG111" s="420"/>
      <c r="AH111" s="420"/>
      <c r="AI111" s="422"/>
      <c r="AJ111" s="423"/>
      <c r="AK111" s="420"/>
      <c r="AL111" s="424"/>
      <c r="AM111" s="417"/>
      <c r="AN111" s="425"/>
      <c r="AO111" s="426"/>
      <c r="AP111" s="425"/>
      <c r="AQ111" s="424"/>
    </row>
    <row r="112" s="333" customFormat="1" ht="23" hidden="1" customHeight="1" spans="1:43">
      <c r="A112" s="396">
        <v>34</v>
      </c>
      <c r="B112" s="324" t="s">
        <v>176</v>
      </c>
      <c r="C112" s="324" t="s">
        <v>177</v>
      </c>
      <c r="D112" s="448"/>
      <c r="E112" s="399"/>
      <c r="F112" s="400"/>
      <c r="G112" s="399" t="s">
        <v>136</v>
      </c>
      <c r="H112" s="324"/>
      <c r="I112" s="401"/>
      <c r="J112" s="324" t="s">
        <v>8</v>
      </c>
      <c r="K112" s="402" t="s">
        <v>59</v>
      </c>
      <c r="L112" s="403"/>
      <c r="M112" s="404">
        <v>46227</v>
      </c>
      <c r="N112" s="404">
        <v>46209</v>
      </c>
      <c r="O112" s="404">
        <v>46209</v>
      </c>
      <c r="P112" s="404">
        <v>46245</v>
      </c>
      <c r="Q112" s="404">
        <v>46245</v>
      </c>
      <c r="R112" s="404">
        <v>46259</v>
      </c>
      <c r="S112" s="404">
        <v>46276</v>
      </c>
      <c r="T112" s="404">
        <v>46290</v>
      </c>
      <c r="U112" s="404"/>
      <c r="V112" s="404">
        <v>46310</v>
      </c>
      <c r="W112" s="404">
        <v>46275</v>
      </c>
      <c r="X112" s="404">
        <v>46282</v>
      </c>
      <c r="Y112" s="404">
        <v>46342</v>
      </c>
      <c r="Z112" s="404">
        <v>46356</v>
      </c>
      <c r="AA112" s="404">
        <v>46371</v>
      </c>
      <c r="AB112" s="404">
        <f>AA112+3</f>
        <v>46374</v>
      </c>
      <c r="AC112" s="404">
        <f>AB112+1</f>
        <v>46375</v>
      </c>
      <c r="AD112" s="404">
        <v>46415</v>
      </c>
      <c r="AE112" s="404">
        <v>46429</v>
      </c>
      <c r="AF112" s="404">
        <v>46436</v>
      </c>
      <c r="AG112" s="404">
        <v>46450</v>
      </c>
      <c r="AH112" s="404">
        <v>46466</v>
      </c>
      <c r="AI112" s="428">
        <v>18</v>
      </c>
      <c r="AJ112" s="406">
        <f>AI112*7</f>
        <v>126</v>
      </c>
      <c r="AK112" s="404">
        <f>V112+AJ112</f>
        <v>46436</v>
      </c>
      <c r="AL112" s="407">
        <f>AL113</f>
        <v>46469</v>
      </c>
      <c r="AM112" s="399">
        <f>AL113-AK112</f>
        <v>33</v>
      </c>
      <c r="AN112" s="408"/>
      <c r="AO112" s="409" t="s">
        <v>61</v>
      </c>
      <c r="AP112" s="410">
        <v>46476</v>
      </c>
      <c r="AQ112" s="407"/>
    </row>
    <row r="113" s="333" customFormat="1" ht="23" customHeight="1" spans="1:43">
      <c r="A113" s="396"/>
      <c r="B113" s="324" t="s">
        <v>176</v>
      </c>
      <c r="C113" s="397" t="s">
        <v>177</v>
      </c>
      <c r="D113" s="449"/>
      <c r="E113" s="399"/>
      <c r="F113" s="400" t="s">
        <v>166</v>
      </c>
      <c r="G113" s="399" t="s">
        <v>136</v>
      </c>
      <c r="H113" s="324" t="s">
        <v>72</v>
      </c>
      <c r="I113" s="324">
        <v>4</v>
      </c>
      <c r="J113" s="324" t="s">
        <v>8</v>
      </c>
      <c r="K113" s="402" t="s">
        <v>64</v>
      </c>
      <c r="L113" s="404"/>
      <c r="M113" s="404"/>
      <c r="N113" s="404"/>
      <c r="O113" s="404"/>
      <c r="P113" s="404"/>
      <c r="Q113" s="404"/>
      <c r="R113" s="404"/>
      <c r="S113" s="404">
        <v>46311</v>
      </c>
      <c r="T113" s="404">
        <f>_xlfn.WORKDAY.INTL(S113,INDEX(T$8:T$11,MATCH($J113,$J$8:$J$11,0)),1,IF(T$18="China",'China Holidays'!$A$2:$A$82,'Thai Holidays'!$A$2:$A$63))</f>
        <v>46328</v>
      </c>
      <c r="U113" s="404"/>
      <c r="V113" s="404">
        <f>T113+7</f>
        <v>46335</v>
      </c>
      <c r="W113" s="404">
        <f>V113+3</f>
        <v>46338</v>
      </c>
      <c r="X113" s="404">
        <f>W113+3</f>
        <v>46341</v>
      </c>
      <c r="Y113" s="404">
        <v>46342</v>
      </c>
      <c r="Z113" s="411">
        <f>AB113-5</f>
        <v>46366</v>
      </c>
      <c r="AA113" s="404">
        <v>46371</v>
      </c>
      <c r="AB113" s="404">
        <v>46371</v>
      </c>
      <c r="AC113" s="404">
        <v>46373</v>
      </c>
      <c r="AD113" s="404">
        <v>46415</v>
      </c>
      <c r="AE113" s="411">
        <v>46429</v>
      </c>
      <c r="AF113" s="404">
        <v>46436</v>
      </c>
      <c r="AG113" s="404">
        <v>46450</v>
      </c>
      <c r="AH113" s="404">
        <v>46466</v>
      </c>
      <c r="AI113" s="405">
        <v>18</v>
      </c>
      <c r="AJ113" s="406">
        <v>126</v>
      </c>
      <c r="AK113" s="404">
        <f>IF(V113&lt;&gt;"",V113+AJ113,V114+AJ113)</f>
        <v>46461</v>
      </c>
      <c r="AL113" s="407">
        <f>AP112-7</f>
        <v>46469</v>
      </c>
      <c r="AM113" s="399">
        <f>AL113-AK113</f>
        <v>8</v>
      </c>
      <c r="AN113" s="408"/>
      <c r="AO113" s="409" t="s">
        <v>65</v>
      </c>
      <c r="AP113" s="410">
        <v>46476</v>
      </c>
      <c r="AQ113" s="407" t="s">
        <v>138</v>
      </c>
    </row>
    <row r="114" s="333" customFormat="1" ht="23" hidden="1" customHeight="1" spans="1:43">
      <c r="A114" s="414"/>
      <c r="B114" s="415" t="s">
        <v>176</v>
      </c>
      <c r="C114" s="447" t="s">
        <v>177</v>
      </c>
      <c r="D114" s="450"/>
      <c r="E114" s="417"/>
      <c r="F114" s="418"/>
      <c r="G114" s="417" t="s">
        <v>136</v>
      </c>
      <c r="H114" s="415" t="s">
        <v>72</v>
      </c>
      <c r="I114" s="324">
        <v>4</v>
      </c>
      <c r="J114" s="415" t="s">
        <v>8</v>
      </c>
      <c r="K114" s="419" t="s">
        <v>66</v>
      </c>
      <c r="L114" s="420"/>
      <c r="M114" s="420">
        <v>46203</v>
      </c>
      <c r="N114" s="420">
        <v>46225</v>
      </c>
      <c r="O114" s="420">
        <v>46225</v>
      </c>
      <c r="P114" s="420">
        <f>O114</f>
        <v>46225</v>
      </c>
      <c r="Q114" s="420">
        <v>46225</v>
      </c>
      <c r="R114" s="420">
        <v>46269</v>
      </c>
      <c r="S114" s="420"/>
      <c r="T114" s="420"/>
      <c r="U114" s="420"/>
      <c r="V114" s="417"/>
      <c r="W114" s="420"/>
      <c r="X114" s="420"/>
      <c r="Y114" s="420"/>
      <c r="Z114" s="420"/>
      <c r="AA114" s="420"/>
      <c r="AB114" s="420"/>
      <c r="AC114" s="420"/>
      <c r="AD114" s="420"/>
      <c r="AE114" s="420"/>
      <c r="AF114" s="420"/>
      <c r="AG114" s="420"/>
      <c r="AH114" s="420"/>
      <c r="AI114" s="422"/>
      <c r="AJ114" s="423"/>
      <c r="AK114" s="420"/>
      <c r="AL114" s="424"/>
      <c r="AM114" s="417"/>
      <c r="AN114" s="425"/>
      <c r="AO114" s="426"/>
      <c r="AP114" s="425"/>
      <c r="AQ114" s="424"/>
    </row>
    <row r="115" s="333" customFormat="1" ht="23" hidden="1" customHeight="1" spans="1:43">
      <c r="A115" s="396">
        <v>35</v>
      </c>
      <c r="B115" s="324" t="s">
        <v>178</v>
      </c>
      <c r="C115" s="324" t="s">
        <v>179</v>
      </c>
      <c r="D115" s="448"/>
      <c r="E115" s="399"/>
      <c r="F115" s="400"/>
      <c r="G115" s="399" t="s">
        <v>136</v>
      </c>
      <c r="H115" s="324"/>
      <c r="I115" s="401"/>
      <c r="J115" s="324" t="s">
        <v>8</v>
      </c>
      <c r="K115" s="402" t="s">
        <v>59</v>
      </c>
      <c r="L115" s="403"/>
      <c r="M115" s="404">
        <v>46239</v>
      </c>
      <c r="N115" s="404">
        <v>46254</v>
      </c>
      <c r="O115" s="404">
        <v>46254</v>
      </c>
      <c r="P115" s="404">
        <v>46254</v>
      </c>
      <c r="Q115" s="404">
        <v>46254</v>
      </c>
      <c r="R115" s="404">
        <v>46268</v>
      </c>
      <c r="S115" s="404">
        <v>46287</v>
      </c>
      <c r="T115" s="404">
        <v>46301</v>
      </c>
      <c r="U115" s="404"/>
      <c r="V115" s="404">
        <v>46316</v>
      </c>
      <c r="W115" s="404">
        <v>46318</v>
      </c>
      <c r="X115" s="404">
        <v>46325</v>
      </c>
      <c r="Y115" s="404">
        <v>46346</v>
      </c>
      <c r="Z115" s="404">
        <v>46360</v>
      </c>
      <c r="AA115" s="404">
        <v>46375</v>
      </c>
      <c r="AB115" s="404">
        <v>46375</v>
      </c>
      <c r="AC115" s="404">
        <v>46377</v>
      </c>
      <c r="AD115" s="404">
        <v>46421</v>
      </c>
      <c r="AE115" s="404">
        <v>46435</v>
      </c>
      <c r="AF115" s="404">
        <v>46442</v>
      </c>
      <c r="AG115" s="404">
        <v>46456</v>
      </c>
      <c r="AH115" s="404">
        <v>46472</v>
      </c>
      <c r="AI115" s="428">
        <v>18</v>
      </c>
      <c r="AJ115" s="406">
        <f>AI115*7</f>
        <v>126</v>
      </c>
      <c r="AK115" s="404">
        <f>V115+AJ115</f>
        <v>46442</v>
      </c>
      <c r="AL115" s="407">
        <f>AL116</f>
        <v>46469</v>
      </c>
      <c r="AM115" s="399">
        <f>AL116-AK115</f>
        <v>27</v>
      </c>
      <c r="AN115" s="408"/>
      <c r="AO115" s="409" t="s">
        <v>61</v>
      </c>
      <c r="AP115" s="410">
        <v>46476</v>
      </c>
      <c r="AQ115" s="407"/>
    </row>
    <row r="116" s="333" customFormat="1" ht="23" customHeight="1" spans="1:43">
      <c r="A116" s="396"/>
      <c r="B116" s="324" t="s">
        <v>178</v>
      </c>
      <c r="C116" s="397" t="s">
        <v>179</v>
      </c>
      <c r="D116" s="449"/>
      <c r="E116" s="399"/>
      <c r="F116" s="400" t="s">
        <v>180</v>
      </c>
      <c r="G116" s="399" t="s">
        <v>136</v>
      </c>
      <c r="H116" s="324" t="s">
        <v>72</v>
      </c>
      <c r="I116" s="324">
        <v>4</v>
      </c>
      <c r="J116" s="324" t="s">
        <v>8</v>
      </c>
      <c r="K116" s="402" t="s">
        <v>64</v>
      </c>
      <c r="L116" s="404"/>
      <c r="M116" s="404"/>
      <c r="N116" s="404"/>
      <c r="O116" s="404"/>
      <c r="P116" s="404"/>
      <c r="Q116" s="404"/>
      <c r="R116" s="404"/>
      <c r="S116" s="404">
        <v>46318</v>
      </c>
      <c r="T116" s="404">
        <f>_xlfn.WORKDAY.INTL(S116,INDEX(T$8:T$11,MATCH($J116,$J$8:$J$11,0)),1,IF(T$18="China",'China Holidays'!$A$2:$A$82,'Thai Holidays'!$A$2:$A$63))</f>
        <v>46332</v>
      </c>
      <c r="U116" s="404"/>
      <c r="V116" s="404">
        <f>T116+7</f>
        <v>46339</v>
      </c>
      <c r="W116" s="404">
        <f>V116+3</f>
        <v>46342</v>
      </c>
      <c r="X116" s="404">
        <f>W116+3</f>
        <v>46345</v>
      </c>
      <c r="Y116" s="404">
        <v>46345</v>
      </c>
      <c r="Z116" s="411">
        <f>AB116-5</f>
        <v>46369</v>
      </c>
      <c r="AA116" s="404">
        <v>46374</v>
      </c>
      <c r="AB116" s="404">
        <v>46374</v>
      </c>
      <c r="AC116" s="404">
        <v>46376</v>
      </c>
      <c r="AD116" s="404">
        <v>46420</v>
      </c>
      <c r="AE116" s="411">
        <v>46434</v>
      </c>
      <c r="AF116" s="404">
        <v>46441</v>
      </c>
      <c r="AG116" s="404">
        <v>46455</v>
      </c>
      <c r="AH116" s="404">
        <v>46471</v>
      </c>
      <c r="AI116" s="405">
        <v>18</v>
      </c>
      <c r="AJ116" s="406">
        <v>126</v>
      </c>
      <c r="AK116" s="404">
        <f>IF(V116&lt;&gt;"",V116+AJ116,V117+AJ116)</f>
        <v>46465</v>
      </c>
      <c r="AL116" s="407">
        <f>AP115-7</f>
        <v>46469</v>
      </c>
      <c r="AM116" s="399">
        <f>AL116-AK116</f>
        <v>4</v>
      </c>
      <c r="AN116" s="408"/>
      <c r="AO116" s="409" t="s">
        <v>65</v>
      </c>
      <c r="AP116" s="410">
        <v>46479</v>
      </c>
      <c r="AQ116" s="407" t="s">
        <v>138</v>
      </c>
    </row>
    <row r="117" s="333" customFormat="1" ht="23" hidden="1" customHeight="1" spans="1:43">
      <c r="A117" s="414"/>
      <c r="B117" s="415" t="s">
        <v>178</v>
      </c>
      <c r="C117" s="447" t="s">
        <v>179</v>
      </c>
      <c r="D117" s="450"/>
      <c r="E117" s="417"/>
      <c r="F117" s="418"/>
      <c r="G117" s="417" t="s">
        <v>136</v>
      </c>
      <c r="H117" s="415" t="s">
        <v>72</v>
      </c>
      <c r="I117" s="324">
        <v>4</v>
      </c>
      <c r="J117" s="415" t="s">
        <v>8</v>
      </c>
      <c r="K117" s="419" t="s">
        <v>66</v>
      </c>
      <c r="L117" s="417"/>
      <c r="M117" s="420">
        <v>46240</v>
      </c>
      <c r="N117" s="420">
        <v>46259</v>
      </c>
      <c r="O117" s="420">
        <v>46259</v>
      </c>
      <c r="P117" s="420">
        <v>46259</v>
      </c>
      <c r="Q117" s="420">
        <v>46244</v>
      </c>
      <c r="R117" s="420">
        <v>46258</v>
      </c>
      <c r="S117" s="420"/>
      <c r="T117" s="420"/>
      <c r="U117" s="420"/>
      <c r="V117" s="417"/>
      <c r="W117" s="420"/>
      <c r="X117" s="420"/>
      <c r="Y117" s="420"/>
      <c r="Z117" s="420"/>
      <c r="AA117" s="420"/>
      <c r="AB117" s="420"/>
      <c r="AC117" s="420"/>
      <c r="AD117" s="420"/>
      <c r="AE117" s="420"/>
      <c r="AF117" s="420"/>
      <c r="AG117" s="420"/>
      <c r="AH117" s="420"/>
      <c r="AI117" s="422"/>
      <c r="AJ117" s="423"/>
      <c r="AK117" s="420"/>
      <c r="AL117" s="424"/>
      <c r="AM117" s="417"/>
      <c r="AN117" s="425"/>
      <c r="AO117" s="426"/>
      <c r="AP117" s="425"/>
      <c r="AQ117" s="424"/>
    </row>
    <row r="118" s="333" customFormat="1" ht="23" hidden="1" customHeight="1" spans="1:43">
      <c r="A118" s="396">
        <v>36</v>
      </c>
      <c r="B118" s="324" t="s">
        <v>181</v>
      </c>
      <c r="C118" s="324" t="s">
        <v>182</v>
      </c>
      <c r="D118" s="448"/>
      <c r="E118" s="399"/>
      <c r="F118" s="400"/>
      <c r="G118" s="399" t="s">
        <v>136</v>
      </c>
      <c r="H118" s="324"/>
      <c r="I118" s="401"/>
      <c r="J118" s="324" t="s">
        <v>8</v>
      </c>
      <c r="K118" s="402" t="s">
        <v>59</v>
      </c>
      <c r="L118" s="403"/>
      <c r="M118" s="404">
        <v>46227</v>
      </c>
      <c r="N118" s="404">
        <v>46245</v>
      </c>
      <c r="O118" s="404">
        <v>46245</v>
      </c>
      <c r="P118" s="404">
        <v>46245</v>
      </c>
      <c r="Q118" s="404">
        <v>46245</v>
      </c>
      <c r="R118" s="404">
        <v>46251</v>
      </c>
      <c r="S118" s="404">
        <v>46276</v>
      </c>
      <c r="T118" s="404">
        <v>46290</v>
      </c>
      <c r="U118" s="404"/>
      <c r="V118" s="404">
        <v>46310</v>
      </c>
      <c r="W118" s="404">
        <v>46294</v>
      </c>
      <c r="X118" s="404">
        <v>46308</v>
      </c>
      <c r="Y118" s="404">
        <v>46342</v>
      </c>
      <c r="Z118" s="404">
        <v>46356</v>
      </c>
      <c r="AA118" s="404">
        <v>46371</v>
      </c>
      <c r="AB118" s="404">
        <f>AA118+3</f>
        <v>46374</v>
      </c>
      <c r="AC118" s="404">
        <f>AB118+1</f>
        <v>46375</v>
      </c>
      <c r="AD118" s="404">
        <v>46443</v>
      </c>
      <c r="AE118" s="404">
        <v>46457</v>
      </c>
      <c r="AF118" s="404">
        <v>46464</v>
      </c>
      <c r="AG118" s="404">
        <v>46478</v>
      </c>
      <c r="AH118" s="404">
        <v>46494</v>
      </c>
      <c r="AI118" s="428">
        <v>22</v>
      </c>
      <c r="AJ118" s="406">
        <f>AI118*7</f>
        <v>154</v>
      </c>
      <c r="AK118" s="404">
        <f>V118+AJ118</f>
        <v>46464</v>
      </c>
      <c r="AL118" s="407">
        <f>AL119</f>
        <v>46485</v>
      </c>
      <c r="AM118" s="399">
        <f>AL119-AK118</f>
        <v>21</v>
      </c>
      <c r="AN118" s="408"/>
      <c r="AO118" s="409" t="s">
        <v>61</v>
      </c>
      <c r="AP118" s="410">
        <v>46492</v>
      </c>
      <c r="AQ118" s="407"/>
    </row>
    <row r="119" s="333" customFormat="1" ht="23" customHeight="1" spans="1:43">
      <c r="A119" s="396"/>
      <c r="B119" s="324" t="s">
        <v>181</v>
      </c>
      <c r="C119" s="397" t="s">
        <v>183</v>
      </c>
      <c r="D119" s="449"/>
      <c r="E119" s="399"/>
      <c r="F119" s="400" t="s">
        <v>166</v>
      </c>
      <c r="G119" s="399" t="s">
        <v>136</v>
      </c>
      <c r="H119" s="324" t="s">
        <v>72</v>
      </c>
      <c r="I119" s="324">
        <v>4</v>
      </c>
      <c r="J119" s="324" t="s">
        <v>8</v>
      </c>
      <c r="K119" s="402" t="s">
        <v>64</v>
      </c>
      <c r="L119" s="404"/>
      <c r="M119" s="404"/>
      <c r="N119" s="404"/>
      <c r="O119" s="404"/>
      <c r="P119" s="404"/>
      <c r="Q119" s="404"/>
      <c r="R119" s="404"/>
      <c r="S119" s="404">
        <v>46311</v>
      </c>
      <c r="T119" s="404">
        <f>_xlfn.WORKDAY.INTL(S119,INDEX(T$8:T$11,MATCH($J119,$J$8:$J$11,0)),1,IF(T$18="China",'China Holidays'!$A$2:$A$82,'Thai Holidays'!$A$2:$A$63))</f>
        <v>46328</v>
      </c>
      <c r="U119" s="404"/>
      <c r="V119" s="404">
        <f>T119+7</f>
        <v>46335</v>
      </c>
      <c r="W119" s="404">
        <f>V119+3</f>
        <v>46338</v>
      </c>
      <c r="X119" s="404">
        <f>W119+3</f>
        <v>46341</v>
      </c>
      <c r="Y119" s="404">
        <v>46342</v>
      </c>
      <c r="Z119" s="411">
        <f>AB119-5</f>
        <v>46366</v>
      </c>
      <c r="AA119" s="404">
        <v>46371</v>
      </c>
      <c r="AB119" s="404">
        <v>46371</v>
      </c>
      <c r="AC119" s="404">
        <v>46373</v>
      </c>
      <c r="AD119" s="404">
        <v>46443</v>
      </c>
      <c r="AE119" s="411">
        <v>46457</v>
      </c>
      <c r="AF119" s="404">
        <v>46464</v>
      </c>
      <c r="AG119" s="404">
        <v>46478</v>
      </c>
      <c r="AH119" s="404">
        <v>46494</v>
      </c>
      <c r="AI119" s="405">
        <v>22</v>
      </c>
      <c r="AJ119" s="406">
        <v>154</v>
      </c>
      <c r="AK119" s="404">
        <f>IF(V119&lt;&gt;"",V119+AJ119,V120+AJ119)</f>
        <v>46489</v>
      </c>
      <c r="AL119" s="407">
        <f>AP118-7</f>
        <v>46485</v>
      </c>
      <c r="AM119" s="399">
        <f>AL119-AK119</f>
        <v>-4</v>
      </c>
      <c r="AN119" s="408"/>
      <c r="AO119" s="409" t="s">
        <v>65</v>
      </c>
      <c r="AP119" s="410">
        <v>46492</v>
      </c>
      <c r="AQ119" s="407" t="s">
        <v>138</v>
      </c>
    </row>
    <row r="120" s="333" customFormat="1" ht="23" hidden="1" customHeight="1" spans="1:43">
      <c r="A120" s="414"/>
      <c r="B120" s="415" t="s">
        <v>181</v>
      </c>
      <c r="C120" s="447" t="s">
        <v>183</v>
      </c>
      <c r="D120" s="450"/>
      <c r="E120" s="417"/>
      <c r="F120" s="418"/>
      <c r="G120" s="417" t="s">
        <v>136</v>
      </c>
      <c r="H120" s="415" t="s">
        <v>72</v>
      </c>
      <c r="I120" s="324">
        <v>4</v>
      </c>
      <c r="J120" s="415" t="s">
        <v>8</v>
      </c>
      <c r="K120" s="419" t="s">
        <v>66</v>
      </c>
      <c r="L120" s="417"/>
      <c r="M120" s="420">
        <v>46206</v>
      </c>
      <c r="N120" s="420">
        <v>46225</v>
      </c>
      <c r="O120" s="420">
        <v>46225</v>
      </c>
      <c r="P120" s="420">
        <f>O120</f>
        <v>46225</v>
      </c>
      <c r="Q120" s="420">
        <v>46241</v>
      </c>
      <c r="R120" s="420">
        <v>46266</v>
      </c>
      <c r="S120" s="420"/>
      <c r="T120" s="420"/>
      <c r="U120" s="420"/>
      <c r="V120" s="417"/>
      <c r="W120" s="420"/>
      <c r="X120" s="420"/>
      <c r="Y120" s="420"/>
      <c r="Z120" s="420"/>
      <c r="AA120" s="420"/>
      <c r="AB120" s="420"/>
      <c r="AC120" s="420"/>
      <c r="AD120" s="420"/>
      <c r="AE120" s="420"/>
      <c r="AF120" s="420"/>
      <c r="AG120" s="420"/>
      <c r="AH120" s="420"/>
      <c r="AI120" s="422"/>
      <c r="AJ120" s="423"/>
      <c r="AK120" s="420"/>
      <c r="AL120" s="424"/>
      <c r="AM120" s="417"/>
      <c r="AN120" s="425"/>
      <c r="AO120" s="426"/>
      <c r="AP120" s="425"/>
      <c r="AQ120" s="424"/>
    </row>
    <row r="121" s="333" customFormat="1" ht="23" hidden="1" customHeight="1" spans="1:43">
      <c r="A121" s="396">
        <v>37</v>
      </c>
      <c r="B121" s="324" t="s">
        <v>184</v>
      </c>
      <c r="C121" s="324" t="s">
        <v>185</v>
      </c>
      <c r="D121" s="398"/>
      <c r="E121" s="399"/>
      <c r="F121" s="400"/>
      <c r="G121" s="399" t="s">
        <v>136</v>
      </c>
      <c r="H121" s="324"/>
      <c r="I121" s="401"/>
      <c r="J121" s="324" t="s">
        <v>7</v>
      </c>
      <c r="K121" s="402" t="s">
        <v>59</v>
      </c>
      <c r="L121" s="403"/>
      <c r="M121" s="404">
        <v>46161</v>
      </c>
      <c r="N121" s="404">
        <v>46169</v>
      </c>
      <c r="O121" s="404">
        <v>46169</v>
      </c>
      <c r="P121" s="404">
        <v>46178</v>
      </c>
      <c r="Q121" s="404">
        <v>46179</v>
      </c>
      <c r="R121" s="404">
        <v>46195</v>
      </c>
      <c r="S121" s="404">
        <v>46223</v>
      </c>
      <c r="T121" s="404">
        <v>46226</v>
      </c>
      <c r="U121" s="404"/>
      <c r="V121" s="404">
        <v>46240</v>
      </c>
      <c r="W121" s="404">
        <v>46244</v>
      </c>
      <c r="X121" s="404">
        <v>46251</v>
      </c>
      <c r="Y121" s="404">
        <v>46279</v>
      </c>
      <c r="Z121" s="404">
        <v>46293</v>
      </c>
      <c r="AA121" s="404">
        <v>46308</v>
      </c>
      <c r="AB121" s="404">
        <v>46308</v>
      </c>
      <c r="AC121" s="404">
        <v>46310</v>
      </c>
      <c r="AD121" s="404">
        <v>46448</v>
      </c>
      <c r="AE121" s="404">
        <v>46478</v>
      </c>
      <c r="AF121" s="404">
        <v>46492</v>
      </c>
      <c r="AG121" s="404">
        <v>46506</v>
      </c>
      <c r="AH121" s="404">
        <v>46522</v>
      </c>
      <c r="AI121" s="428">
        <v>36</v>
      </c>
      <c r="AJ121" s="406">
        <f>AI121*7</f>
        <v>252</v>
      </c>
      <c r="AK121" s="404">
        <f>V121+AJ121</f>
        <v>46492</v>
      </c>
      <c r="AL121" s="407">
        <f>AL122</f>
        <v>46505</v>
      </c>
      <c r="AM121" s="399">
        <f>AL122-AK121</f>
        <v>13</v>
      </c>
      <c r="AN121" s="408"/>
      <c r="AO121" s="409" t="s">
        <v>61</v>
      </c>
      <c r="AP121" s="410">
        <v>46512</v>
      </c>
      <c r="AQ121" s="407"/>
    </row>
    <row r="122" s="333" customFormat="1" ht="23" customHeight="1" spans="1:43">
      <c r="A122" s="396"/>
      <c r="B122" s="324" t="s">
        <v>184</v>
      </c>
      <c r="C122" s="324" t="s">
        <v>185</v>
      </c>
      <c r="D122" s="427"/>
      <c r="E122" s="399"/>
      <c r="F122" s="400" t="s">
        <v>186</v>
      </c>
      <c r="G122" s="399" t="s">
        <v>136</v>
      </c>
      <c r="H122" s="324" t="s">
        <v>72</v>
      </c>
      <c r="I122" s="324">
        <v>2</v>
      </c>
      <c r="J122" s="324" t="s">
        <v>7</v>
      </c>
      <c r="K122" s="402" t="s">
        <v>64</v>
      </c>
      <c r="L122" s="404"/>
      <c r="M122" s="404"/>
      <c r="N122" s="404"/>
      <c r="O122" s="404"/>
      <c r="P122" s="404"/>
      <c r="Q122" s="404"/>
      <c r="R122" s="404"/>
      <c r="S122" s="404"/>
      <c r="T122" s="404"/>
      <c r="U122" s="404"/>
      <c r="V122" s="404">
        <v>46240</v>
      </c>
      <c r="W122" s="404">
        <v>46244</v>
      </c>
      <c r="X122" s="404">
        <v>46251</v>
      </c>
      <c r="Y122" s="404">
        <v>46279</v>
      </c>
      <c r="Z122" s="411">
        <f>AB122-5</f>
        <v>46404</v>
      </c>
      <c r="AA122" s="411">
        <v>46409</v>
      </c>
      <c r="AB122" s="411">
        <v>46409</v>
      </c>
      <c r="AC122" s="411">
        <v>46410</v>
      </c>
      <c r="AD122" s="411">
        <v>46077</v>
      </c>
      <c r="AE122" s="411">
        <v>46478</v>
      </c>
      <c r="AF122" s="404">
        <v>46500</v>
      </c>
      <c r="AG122" s="404">
        <v>46514</v>
      </c>
      <c r="AH122" s="404">
        <v>46530</v>
      </c>
      <c r="AI122" s="405">
        <v>34.4285714285714</v>
      </c>
      <c r="AJ122" s="406">
        <v>241</v>
      </c>
      <c r="AK122" s="412">
        <v>46504</v>
      </c>
      <c r="AL122" s="407">
        <f>AP121-7</f>
        <v>46505</v>
      </c>
      <c r="AM122" s="399">
        <f>AL122-AK122</f>
        <v>1</v>
      </c>
      <c r="AN122" s="408"/>
      <c r="AO122" s="409" t="s">
        <v>65</v>
      </c>
      <c r="AP122" s="410">
        <v>46512</v>
      </c>
      <c r="AQ122" s="407"/>
    </row>
    <row r="123" s="333" customFormat="1" ht="23" hidden="1" customHeight="1" spans="1:43">
      <c r="A123" s="414"/>
      <c r="B123" s="415" t="s">
        <v>184</v>
      </c>
      <c r="C123" s="447" t="s">
        <v>185</v>
      </c>
      <c r="D123" s="429"/>
      <c r="E123" s="417"/>
      <c r="F123" s="418"/>
      <c r="G123" s="417" t="s">
        <v>136</v>
      </c>
      <c r="H123" s="415" t="s">
        <v>72</v>
      </c>
      <c r="I123" s="324">
        <v>2</v>
      </c>
      <c r="J123" s="415" t="s">
        <v>7</v>
      </c>
      <c r="K123" s="419" t="s">
        <v>66</v>
      </c>
      <c r="L123" s="420">
        <v>46133</v>
      </c>
      <c r="M123" s="420">
        <v>46165</v>
      </c>
      <c r="N123" s="420">
        <v>46182</v>
      </c>
      <c r="O123" s="420">
        <v>46182</v>
      </c>
      <c r="P123" s="420">
        <v>46182</v>
      </c>
      <c r="Q123" s="420">
        <v>46182</v>
      </c>
      <c r="R123" s="420">
        <v>46188</v>
      </c>
      <c r="S123" s="420">
        <v>46213</v>
      </c>
      <c r="T123" s="420">
        <v>46219</v>
      </c>
      <c r="U123" s="452">
        <v>46259</v>
      </c>
      <c r="V123" s="417"/>
      <c r="W123" s="420"/>
      <c r="X123" s="420">
        <v>46267</v>
      </c>
      <c r="Y123" s="420">
        <f>X123+1</f>
        <v>46268</v>
      </c>
      <c r="Z123" s="420"/>
      <c r="AA123" s="420"/>
      <c r="AB123" s="420"/>
      <c r="AC123" s="420"/>
      <c r="AD123" s="420"/>
      <c r="AE123" s="420"/>
      <c r="AF123" s="420"/>
      <c r="AG123" s="420"/>
      <c r="AH123" s="420"/>
      <c r="AI123" s="422"/>
      <c r="AJ123" s="423"/>
      <c r="AK123" s="420"/>
      <c r="AL123" s="424"/>
      <c r="AM123" s="417"/>
      <c r="AN123" s="425"/>
      <c r="AO123" s="426"/>
      <c r="AP123" s="425"/>
      <c r="AQ123" s="424"/>
    </row>
    <row r="124" s="333" customFormat="1" ht="23" hidden="1" customHeight="1" spans="1:43">
      <c r="A124" s="396">
        <v>38</v>
      </c>
      <c r="B124" s="324" t="s">
        <v>187</v>
      </c>
      <c r="C124" s="324" t="s">
        <v>188</v>
      </c>
      <c r="D124" s="448"/>
      <c r="E124" s="399"/>
      <c r="F124" s="400"/>
      <c r="G124" s="399" t="s">
        <v>136</v>
      </c>
      <c r="H124" s="324"/>
      <c r="I124" s="401"/>
      <c r="J124" s="324" t="s">
        <v>8</v>
      </c>
      <c r="K124" s="402" t="s">
        <v>59</v>
      </c>
      <c r="L124" s="403"/>
      <c r="M124" s="404">
        <v>46244</v>
      </c>
      <c r="N124" s="404">
        <v>46258</v>
      </c>
      <c r="O124" s="404">
        <v>46258</v>
      </c>
      <c r="P124" s="404">
        <v>46260</v>
      </c>
      <c r="Q124" s="404">
        <v>46261</v>
      </c>
      <c r="R124" s="404">
        <v>46274</v>
      </c>
      <c r="S124" s="404">
        <v>46289</v>
      </c>
      <c r="T124" s="404">
        <v>46303</v>
      </c>
      <c r="U124" s="404"/>
      <c r="V124" s="404">
        <v>46316</v>
      </c>
      <c r="W124" s="404">
        <v>46318</v>
      </c>
      <c r="X124" s="404">
        <v>46325</v>
      </c>
      <c r="Y124" s="404">
        <v>46346</v>
      </c>
      <c r="Z124" s="404">
        <v>46360</v>
      </c>
      <c r="AA124" s="404">
        <v>46375</v>
      </c>
      <c r="AB124" s="404">
        <v>46375</v>
      </c>
      <c r="AC124" s="404">
        <v>46377</v>
      </c>
      <c r="AD124" s="404">
        <v>46426</v>
      </c>
      <c r="AE124" s="404">
        <v>46440</v>
      </c>
      <c r="AF124" s="404">
        <v>46447</v>
      </c>
      <c r="AG124" s="404">
        <v>46461</v>
      </c>
      <c r="AH124" s="404">
        <v>46477</v>
      </c>
      <c r="AI124" s="428">
        <v>18.7142857142857</v>
      </c>
      <c r="AJ124" s="406">
        <f>AI124*7</f>
        <v>131</v>
      </c>
      <c r="AK124" s="404">
        <f>V124+AJ124</f>
        <v>46447</v>
      </c>
      <c r="AL124" s="407">
        <f>AL125</f>
        <v>46484</v>
      </c>
      <c r="AM124" s="399">
        <f>AL125-AK124</f>
        <v>37</v>
      </c>
      <c r="AN124" s="408"/>
      <c r="AO124" s="409" t="s">
        <v>61</v>
      </c>
      <c r="AP124" s="410">
        <v>46491</v>
      </c>
      <c r="AQ124" s="407"/>
    </row>
    <row r="125" s="333" customFormat="1" ht="23" customHeight="1" spans="1:43">
      <c r="A125" s="396"/>
      <c r="B125" s="324" t="s">
        <v>187</v>
      </c>
      <c r="C125" s="397" t="s">
        <v>188</v>
      </c>
      <c r="D125" s="449"/>
      <c r="E125" s="399"/>
      <c r="F125" s="400" t="s">
        <v>189</v>
      </c>
      <c r="G125" s="399" t="s">
        <v>136</v>
      </c>
      <c r="H125" s="324" t="s">
        <v>72</v>
      </c>
      <c r="I125" s="324">
        <v>4</v>
      </c>
      <c r="J125" s="324" t="s">
        <v>8</v>
      </c>
      <c r="K125" s="402" t="s">
        <v>64</v>
      </c>
      <c r="L125" s="404"/>
      <c r="M125" s="404"/>
      <c r="N125" s="404"/>
      <c r="O125" s="404"/>
      <c r="P125" s="404"/>
      <c r="Q125" s="404"/>
      <c r="R125" s="404"/>
      <c r="S125" s="404">
        <v>46318</v>
      </c>
      <c r="T125" s="404">
        <f>_xlfn.WORKDAY.INTL(S125,INDEX(T$8:T$11,MATCH($J125,$J$8:$J$11,0)),1,IF(T$18="China",'China Holidays'!$A$2:$A$82,'Thai Holidays'!$A$2:$A$63))</f>
        <v>46332</v>
      </c>
      <c r="U125" s="404"/>
      <c r="V125" s="404">
        <v>46316</v>
      </c>
      <c r="W125" s="404">
        <v>46318</v>
      </c>
      <c r="X125" s="404">
        <v>46325</v>
      </c>
      <c r="Y125" s="404">
        <v>46346</v>
      </c>
      <c r="Z125" s="411">
        <f>AB125-5</f>
        <v>46370</v>
      </c>
      <c r="AA125" s="404">
        <v>46375</v>
      </c>
      <c r="AB125" s="404">
        <v>46375</v>
      </c>
      <c r="AC125" s="404">
        <v>46377</v>
      </c>
      <c r="AD125" s="404">
        <v>46426</v>
      </c>
      <c r="AE125" s="411">
        <v>46440</v>
      </c>
      <c r="AF125" s="404">
        <v>46447</v>
      </c>
      <c r="AG125" s="404">
        <v>46461</v>
      </c>
      <c r="AH125" s="404">
        <v>46477</v>
      </c>
      <c r="AI125" s="405">
        <v>18.7142857142857</v>
      </c>
      <c r="AJ125" s="406">
        <v>131</v>
      </c>
      <c r="AK125" s="404">
        <f>IF(V125&lt;&gt;"",V125+AJ125,V126+AJ125)</f>
        <v>46447</v>
      </c>
      <c r="AL125" s="407">
        <f>AP124-7</f>
        <v>46484</v>
      </c>
      <c r="AM125" s="399">
        <f>AL125-AK125</f>
        <v>37</v>
      </c>
      <c r="AN125" s="408"/>
      <c r="AO125" s="409" t="s">
        <v>65</v>
      </c>
      <c r="AP125" s="410">
        <v>46491</v>
      </c>
      <c r="AQ125" s="407"/>
    </row>
    <row r="126" s="333" customFormat="1" ht="23" hidden="1" customHeight="1" spans="1:43">
      <c r="A126" s="414"/>
      <c r="B126" s="415" t="s">
        <v>187</v>
      </c>
      <c r="C126" s="447" t="s">
        <v>188</v>
      </c>
      <c r="D126" s="450"/>
      <c r="E126" s="417"/>
      <c r="F126" s="418"/>
      <c r="G126" s="417" t="s">
        <v>136</v>
      </c>
      <c r="H126" s="415" t="s">
        <v>72</v>
      </c>
      <c r="I126" s="324">
        <v>4</v>
      </c>
      <c r="J126" s="415" t="s">
        <v>8</v>
      </c>
      <c r="K126" s="419" t="s">
        <v>66</v>
      </c>
      <c r="L126" s="417"/>
      <c r="M126" s="420">
        <v>46240</v>
      </c>
      <c r="N126" s="420">
        <v>46259</v>
      </c>
      <c r="O126" s="420">
        <v>46259</v>
      </c>
      <c r="P126" s="420">
        <v>46259</v>
      </c>
      <c r="Q126" s="420">
        <v>46259</v>
      </c>
      <c r="R126" s="420">
        <v>46259</v>
      </c>
      <c r="S126" s="420"/>
      <c r="T126" s="420"/>
      <c r="U126" s="420"/>
      <c r="V126" s="417"/>
      <c r="W126" s="420"/>
      <c r="X126" s="420"/>
      <c r="Y126" s="420"/>
      <c r="Z126" s="420"/>
      <c r="AA126" s="420"/>
      <c r="AB126" s="420"/>
      <c r="AC126" s="420"/>
      <c r="AD126" s="420"/>
      <c r="AE126" s="420"/>
      <c r="AF126" s="420"/>
      <c r="AG126" s="420"/>
      <c r="AH126" s="420"/>
      <c r="AI126" s="422"/>
      <c r="AJ126" s="423"/>
      <c r="AK126" s="420"/>
      <c r="AL126" s="424"/>
      <c r="AM126" s="417"/>
      <c r="AN126" s="425"/>
      <c r="AO126" s="426"/>
      <c r="AP126" s="425"/>
      <c r="AQ126" s="424"/>
    </row>
    <row r="127" s="333" customFormat="1" ht="23" hidden="1" customHeight="1" spans="1:43">
      <c r="A127" s="396">
        <v>40</v>
      </c>
      <c r="B127" s="324" t="s">
        <v>190</v>
      </c>
      <c r="C127" s="324" t="s">
        <v>191</v>
      </c>
      <c r="D127" s="448"/>
      <c r="E127" s="399"/>
      <c r="F127" s="400"/>
      <c r="G127" s="399" t="s">
        <v>136</v>
      </c>
      <c r="H127" s="324"/>
      <c r="I127" s="401"/>
      <c r="J127" s="324" t="s">
        <v>8</v>
      </c>
      <c r="K127" s="402" t="s">
        <v>59</v>
      </c>
      <c r="L127" s="403"/>
      <c r="M127" s="404">
        <v>46244</v>
      </c>
      <c r="N127" s="404">
        <v>46258</v>
      </c>
      <c r="O127" s="404">
        <v>46258</v>
      </c>
      <c r="P127" s="404">
        <v>46258</v>
      </c>
      <c r="Q127" s="404">
        <v>46258</v>
      </c>
      <c r="R127" s="404">
        <v>46274</v>
      </c>
      <c r="S127" s="404">
        <v>46289</v>
      </c>
      <c r="T127" s="404">
        <v>46303</v>
      </c>
      <c r="U127" s="404"/>
      <c r="V127" s="404">
        <v>46316</v>
      </c>
      <c r="W127" s="404">
        <v>46318</v>
      </c>
      <c r="X127" s="404">
        <v>46325</v>
      </c>
      <c r="Y127" s="404">
        <v>46346</v>
      </c>
      <c r="Z127" s="404">
        <v>46360</v>
      </c>
      <c r="AA127" s="404">
        <v>46375</v>
      </c>
      <c r="AB127" s="404">
        <v>46375</v>
      </c>
      <c r="AC127" s="404">
        <v>46377</v>
      </c>
      <c r="AD127" s="404">
        <v>46421</v>
      </c>
      <c r="AE127" s="404">
        <v>46435</v>
      </c>
      <c r="AF127" s="404">
        <v>46442</v>
      </c>
      <c r="AG127" s="404">
        <v>46456</v>
      </c>
      <c r="AH127" s="404">
        <v>46472</v>
      </c>
      <c r="AI127" s="428">
        <v>18</v>
      </c>
      <c r="AJ127" s="406">
        <f>AI127*7</f>
        <v>126</v>
      </c>
      <c r="AK127" s="404">
        <f>V127+AJ127</f>
        <v>46442</v>
      </c>
      <c r="AL127" s="407">
        <f>AL128</f>
        <v>46484</v>
      </c>
      <c r="AM127" s="399">
        <f>AL128-AK127</f>
        <v>42</v>
      </c>
      <c r="AN127" s="408"/>
      <c r="AO127" s="409" t="s">
        <v>61</v>
      </c>
      <c r="AP127" s="410">
        <v>46491</v>
      </c>
      <c r="AQ127" s="407"/>
    </row>
    <row r="128" s="333" customFormat="1" ht="23" customHeight="1" spans="1:43">
      <c r="A128" s="396"/>
      <c r="B128" s="324" t="s">
        <v>190</v>
      </c>
      <c r="C128" s="397" t="s">
        <v>191</v>
      </c>
      <c r="D128" s="449"/>
      <c r="E128" s="399"/>
      <c r="F128" s="400" t="s">
        <v>192</v>
      </c>
      <c r="G128" s="399" t="s">
        <v>136</v>
      </c>
      <c r="H128" s="324" t="s">
        <v>72</v>
      </c>
      <c r="I128" s="324">
        <v>4</v>
      </c>
      <c r="J128" s="324" t="s">
        <v>8</v>
      </c>
      <c r="K128" s="402" t="s">
        <v>64</v>
      </c>
      <c r="L128" s="404"/>
      <c r="M128" s="404"/>
      <c r="N128" s="404"/>
      <c r="O128" s="404"/>
      <c r="P128" s="404"/>
      <c r="Q128" s="404"/>
      <c r="R128" s="404"/>
      <c r="S128" s="404"/>
      <c r="T128" s="404"/>
      <c r="U128" s="404"/>
      <c r="V128" s="404">
        <v>46316</v>
      </c>
      <c r="W128" s="404">
        <v>46318</v>
      </c>
      <c r="X128" s="404">
        <v>46325</v>
      </c>
      <c r="Y128" s="404">
        <v>46346</v>
      </c>
      <c r="Z128" s="411">
        <f>AB128-5</f>
        <v>46370</v>
      </c>
      <c r="AA128" s="404">
        <v>46375</v>
      </c>
      <c r="AB128" s="404">
        <v>46375</v>
      </c>
      <c r="AC128" s="404">
        <v>46377</v>
      </c>
      <c r="AD128" s="404">
        <v>46421</v>
      </c>
      <c r="AE128" s="411">
        <v>46435</v>
      </c>
      <c r="AF128" s="404">
        <v>46442</v>
      </c>
      <c r="AG128" s="404">
        <v>46456</v>
      </c>
      <c r="AH128" s="404">
        <v>46472</v>
      </c>
      <c r="AI128" s="405">
        <v>18</v>
      </c>
      <c r="AJ128" s="406">
        <v>126</v>
      </c>
      <c r="AK128" s="404">
        <f>IF(V128&lt;&gt;"",V128+AJ128,V129+AJ128)</f>
        <v>46442</v>
      </c>
      <c r="AL128" s="407">
        <f>AP127-7</f>
        <v>46484</v>
      </c>
      <c r="AM128" s="399">
        <f>AL128-AK128</f>
        <v>42</v>
      </c>
      <c r="AN128" s="408"/>
      <c r="AO128" s="409" t="s">
        <v>65</v>
      </c>
      <c r="AP128" s="410">
        <v>46491</v>
      </c>
      <c r="AQ128" s="407"/>
    </row>
    <row r="129" s="333" customFormat="1" ht="23" hidden="1" customHeight="1" spans="1:43">
      <c r="A129" s="414"/>
      <c r="B129" s="415" t="s">
        <v>190</v>
      </c>
      <c r="C129" s="447" t="s">
        <v>191</v>
      </c>
      <c r="D129" s="450"/>
      <c r="E129" s="417"/>
      <c r="F129" s="418"/>
      <c r="G129" s="417" t="s">
        <v>136</v>
      </c>
      <c r="H129" s="415" t="s">
        <v>72</v>
      </c>
      <c r="I129" s="324">
        <v>4</v>
      </c>
      <c r="J129" s="415" t="s">
        <v>8</v>
      </c>
      <c r="K129" s="419" t="s">
        <v>66</v>
      </c>
      <c r="L129" s="417"/>
      <c r="M129" s="420">
        <v>46248</v>
      </c>
      <c r="N129" s="420">
        <v>46261</v>
      </c>
      <c r="O129" s="420">
        <v>46261</v>
      </c>
      <c r="P129" s="420">
        <v>46261</v>
      </c>
      <c r="Q129" s="420">
        <v>46261</v>
      </c>
      <c r="R129" s="420">
        <v>46261</v>
      </c>
      <c r="S129" s="420">
        <v>46283</v>
      </c>
      <c r="T129" s="420">
        <v>46290</v>
      </c>
      <c r="U129" s="420"/>
      <c r="V129" s="417"/>
      <c r="W129" s="420"/>
      <c r="X129" s="420"/>
      <c r="Y129" s="420"/>
      <c r="Z129" s="420"/>
      <c r="AA129" s="420"/>
      <c r="AB129" s="420"/>
      <c r="AC129" s="420"/>
      <c r="AD129" s="420"/>
      <c r="AE129" s="420"/>
      <c r="AF129" s="420"/>
      <c r="AG129" s="420"/>
      <c r="AH129" s="420"/>
      <c r="AI129" s="422"/>
      <c r="AJ129" s="423"/>
      <c r="AK129" s="420"/>
      <c r="AL129" s="424"/>
      <c r="AM129" s="417"/>
      <c r="AN129" s="425"/>
      <c r="AO129" s="426"/>
      <c r="AP129" s="425"/>
      <c r="AQ129" s="424"/>
    </row>
    <row r="130" s="333" customFormat="1" ht="23" hidden="1" customHeight="1" spans="1:43">
      <c r="A130" s="396">
        <v>41</v>
      </c>
      <c r="B130" s="324" t="s">
        <v>193</v>
      </c>
      <c r="C130" s="324" t="s">
        <v>194</v>
      </c>
      <c r="D130" s="448"/>
      <c r="E130" s="399"/>
      <c r="F130" s="400"/>
      <c r="G130" s="399" t="s">
        <v>136</v>
      </c>
      <c r="H130" s="324"/>
      <c r="I130" s="401"/>
      <c r="J130" s="324" t="s">
        <v>8</v>
      </c>
      <c r="K130" s="402" t="s">
        <v>59</v>
      </c>
      <c r="L130" s="403"/>
      <c r="M130" s="404">
        <v>46220</v>
      </c>
      <c r="N130" s="404">
        <v>46230</v>
      </c>
      <c r="O130" s="404">
        <v>46230</v>
      </c>
      <c r="P130" s="404">
        <v>46237</v>
      </c>
      <c r="Q130" s="404">
        <v>46238</v>
      </c>
      <c r="R130" s="404">
        <v>46244</v>
      </c>
      <c r="S130" s="404">
        <v>46265</v>
      </c>
      <c r="T130" s="404">
        <v>46270</v>
      </c>
      <c r="U130" s="404"/>
      <c r="V130" s="404">
        <v>46283</v>
      </c>
      <c r="W130" s="404">
        <v>46286</v>
      </c>
      <c r="X130" s="404">
        <v>46293</v>
      </c>
      <c r="Y130" s="404">
        <v>46322</v>
      </c>
      <c r="Z130" s="404">
        <v>46339</v>
      </c>
      <c r="AA130" s="404">
        <v>46351</v>
      </c>
      <c r="AB130" s="404">
        <v>46351</v>
      </c>
      <c r="AC130" s="404">
        <v>46353</v>
      </c>
      <c r="AD130" s="404">
        <v>46473</v>
      </c>
      <c r="AE130" s="404">
        <v>46487</v>
      </c>
      <c r="AF130" s="404">
        <v>46494</v>
      </c>
      <c r="AG130" s="404">
        <v>46508</v>
      </c>
      <c r="AH130" s="404">
        <v>46524</v>
      </c>
      <c r="AI130" s="428">
        <v>30</v>
      </c>
      <c r="AJ130" s="406">
        <f>AI130*7</f>
        <v>210</v>
      </c>
      <c r="AK130" s="404">
        <f>V130+AJ130</f>
        <v>46493</v>
      </c>
      <c r="AL130" s="407">
        <f>AL131</f>
        <v>46500</v>
      </c>
      <c r="AM130" s="399">
        <f>AL131-AK130</f>
        <v>7</v>
      </c>
      <c r="AN130" s="408"/>
      <c r="AO130" s="409" t="s">
        <v>61</v>
      </c>
      <c r="AP130" s="410">
        <v>46507</v>
      </c>
      <c r="AQ130" s="407"/>
    </row>
    <row r="131" s="333" customFormat="1" ht="23" customHeight="1" spans="1:43">
      <c r="A131" s="396"/>
      <c r="B131" s="324" t="s">
        <v>193</v>
      </c>
      <c r="C131" s="397" t="s">
        <v>194</v>
      </c>
      <c r="D131" s="449"/>
      <c r="E131" s="399"/>
      <c r="F131" s="400" t="s">
        <v>166</v>
      </c>
      <c r="G131" s="399" t="s">
        <v>136</v>
      </c>
      <c r="H131" s="324" t="s">
        <v>72</v>
      </c>
      <c r="I131" s="324">
        <v>4</v>
      </c>
      <c r="J131" s="324" t="s">
        <v>8</v>
      </c>
      <c r="K131" s="402" t="s">
        <v>64</v>
      </c>
      <c r="L131" s="404"/>
      <c r="M131" s="404"/>
      <c r="N131" s="404"/>
      <c r="O131" s="404"/>
      <c r="P131" s="404"/>
      <c r="Q131" s="404"/>
      <c r="R131" s="404"/>
      <c r="S131" s="404">
        <v>46311</v>
      </c>
      <c r="T131" s="404">
        <f>_xlfn.WORKDAY.INTL(S131,INDEX(T$8:T$11,MATCH($J131,$J$8:$J$11,0)),1,IF(T$18="China",'China Holidays'!$A$2:$A$82,'Thai Holidays'!$A$2:$A$63))</f>
        <v>46328</v>
      </c>
      <c r="U131" s="404"/>
      <c r="V131" s="404">
        <f>T131+7</f>
        <v>46335</v>
      </c>
      <c r="W131" s="404">
        <f>V131+3</f>
        <v>46338</v>
      </c>
      <c r="X131" s="404">
        <f>W131+3</f>
        <v>46341</v>
      </c>
      <c r="Y131" s="404">
        <v>46342</v>
      </c>
      <c r="Z131" s="411">
        <f>AB131-5</f>
        <v>46353</v>
      </c>
      <c r="AA131" s="404">
        <v>46358</v>
      </c>
      <c r="AB131" s="404">
        <v>46358</v>
      </c>
      <c r="AC131" s="404">
        <v>46360</v>
      </c>
      <c r="AD131" s="404">
        <v>46478</v>
      </c>
      <c r="AE131" s="411">
        <v>46492</v>
      </c>
      <c r="AF131" s="404">
        <v>46499</v>
      </c>
      <c r="AG131" s="404">
        <v>46513</v>
      </c>
      <c r="AH131" s="404">
        <v>46529</v>
      </c>
      <c r="AI131" s="405">
        <v>30</v>
      </c>
      <c r="AJ131" s="406">
        <v>210</v>
      </c>
      <c r="AK131" s="404">
        <f>IF(V131&lt;&gt;"",V131+AJ131,V132+AJ131)</f>
        <v>46545</v>
      </c>
      <c r="AL131" s="407">
        <f>AP130-7</f>
        <v>46500</v>
      </c>
      <c r="AM131" s="399">
        <f>AL131-AK131</f>
        <v>-45</v>
      </c>
      <c r="AN131" s="408"/>
      <c r="AO131" s="409" t="s">
        <v>65</v>
      </c>
      <c r="AP131" s="410">
        <v>46507</v>
      </c>
      <c r="AQ131" s="407"/>
    </row>
    <row r="132" s="333" customFormat="1" ht="23" hidden="1" customHeight="1" spans="1:43">
      <c r="A132" s="414"/>
      <c r="B132" s="415" t="s">
        <v>193</v>
      </c>
      <c r="C132" s="447" t="s">
        <v>194</v>
      </c>
      <c r="D132" s="450"/>
      <c r="E132" s="417"/>
      <c r="F132" s="418"/>
      <c r="G132" s="417" t="s">
        <v>136</v>
      </c>
      <c r="H132" s="415" t="s">
        <v>72</v>
      </c>
      <c r="I132" s="324">
        <v>4</v>
      </c>
      <c r="J132" s="415" t="s">
        <v>8</v>
      </c>
      <c r="K132" s="419" t="s">
        <v>66</v>
      </c>
      <c r="L132" s="420"/>
      <c r="M132" s="420">
        <v>46204</v>
      </c>
      <c r="N132" s="420">
        <v>46225</v>
      </c>
      <c r="O132" s="420">
        <v>46225</v>
      </c>
      <c r="P132" s="420">
        <f>O132</f>
        <v>46225</v>
      </c>
      <c r="Q132" s="420">
        <v>46241</v>
      </c>
      <c r="R132" s="420">
        <v>46277</v>
      </c>
      <c r="S132" s="420"/>
      <c r="T132" s="420"/>
      <c r="U132" s="420"/>
      <c r="V132" s="420"/>
      <c r="W132" s="420"/>
      <c r="X132" s="420"/>
      <c r="Y132" s="420"/>
      <c r="Z132" s="420"/>
      <c r="AA132" s="420"/>
      <c r="AB132" s="420"/>
      <c r="AC132" s="420"/>
      <c r="AD132" s="420"/>
      <c r="AE132" s="420"/>
      <c r="AF132" s="420"/>
      <c r="AG132" s="420"/>
      <c r="AH132" s="420"/>
      <c r="AI132" s="441"/>
      <c r="AJ132" s="423"/>
      <c r="AK132" s="404"/>
      <c r="AL132" s="424"/>
      <c r="AM132" s="417"/>
      <c r="AN132" s="425"/>
      <c r="AO132" s="426"/>
      <c r="AP132" s="425"/>
      <c r="AQ132" s="424"/>
    </row>
    <row r="133" s="333" customFormat="1" ht="23" hidden="1" customHeight="1" spans="1:43">
      <c r="A133" s="396">
        <v>42</v>
      </c>
      <c r="B133" s="324" t="s">
        <v>195</v>
      </c>
      <c r="C133" s="324" t="s">
        <v>196</v>
      </c>
      <c r="D133" s="448"/>
      <c r="E133" s="399"/>
      <c r="F133" s="400"/>
      <c r="G133" s="399" t="s">
        <v>136</v>
      </c>
      <c r="H133" s="324"/>
      <c r="I133" s="401"/>
      <c r="J133" s="324" t="s">
        <v>8</v>
      </c>
      <c r="K133" s="402" t="s">
        <v>59</v>
      </c>
      <c r="L133" s="403"/>
      <c r="M133" s="404">
        <v>46220</v>
      </c>
      <c r="N133" s="404">
        <v>46230</v>
      </c>
      <c r="O133" s="404">
        <v>46230</v>
      </c>
      <c r="P133" s="404">
        <v>46230</v>
      </c>
      <c r="Q133" s="404">
        <v>46238</v>
      </c>
      <c r="R133" s="404">
        <v>46251</v>
      </c>
      <c r="S133" s="404">
        <v>46275</v>
      </c>
      <c r="T133" s="404">
        <v>46280</v>
      </c>
      <c r="U133" s="404"/>
      <c r="V133" s="404">
        <v>46294</v>
      </c>
      <c r="W133" s="404">
        <v>46296</v>
      </c>
      <c r="X133" s="404">
        <v>46303</v>
      </c>
      <c r="Y133" s="404">
        <v>46332</v>
      </c>
      <c r="Z133" s="404">
        <v>46349</v>
      </c>
      <c r="AA133" s="404">
        <v>46361</v>
      </c>
      <c r="AB133" s="404">
        <v>46361</v>
      </c>
      <c r="AC133" s="404">
        <v>46363</v>
      </c>
      <c r="AD133" s="404">
        <v>46441</v>
      </c>
      <c r="AE133" s="404">
        <v>46455</v>
      </c>
      <c r="AF133" s="404">
        <v>46462</v>
      </c>
      <c r="AG133" s="404">
        <v>46476</v>
      </c>
      <c r="AH133" s="404">
        <v>46492</v>
      </c>
      <c r="AI133" s="428">
        <v>24</v>
      </c>
      <c r="AJ133" s="406">
        <f>AI133*7</f>
        <v>168</v>
      </c>
      <c r="AK133" s="404">
        <f>V133+AJ133</f>
        <v>46462</v>
      </c>
      <c r="AL133" s="407">
        <f>AL134</f>
        <v>46484</v>
      </c>
      <c r="AM133" s="399">
        <f>AL134-AK133</f>
        <v>22</v>
      </c>
      <c r="AN133" s="408"/>
      <c r="AO133" s="409" t="s">
        <v>61</v>
      </c>
      <c r="AP133" s="410">
        <v>46491</v>
      </c>
      <c r="AQ133" s="407"/>
    </row>
    <row r="134" s="333" customFormat="1" ht="23" customHeight="1" spans="1:43">
      <c r="A134" s="396"/>
      <c r="B134" s="324" t="s">
        <v>195</v>
      </c>
      <c r="C134" s="397" t="s">
        <v>196</v>
      </c>
      <c r="D134" s="449"/>
      <c r="E134" s="399"/>
      <c r="F134" s="400" t="s">
        <v>197</v>
      </c>
      <c r="G134" s="399" t="s">
        <v>136</v>
      </c>
      <c r="H134" s="324" t="s">
        <v>72</v>
      </c>
      <c r="I134" s="324">
        <v>3</v>
      </c>
      <c r="J134" s="324" t="s">
        <v>8</v>
      </c>
      <c r="K134" s="402" t="s">
        <v>64</v>
      </c>
      <c r="L134" s="404"/>
      <c r="M134" s="404"/>
      <c r="N134" s="404"/>
      <c r="O134" s="404"/>
      <c r="P134" s="404"/>
      <c r="Q134" s="404"/>
      <c r="R134" s="404"/>
      <c r="S134" s="404">
        <v>46311</v>
      </c>
      <c r="T134" s="404">
        <f>_xlfn.WORKDAY.INTL(S134,INDEX(T$8:T$11,MATCH($J134,$J$8:$J$11,0)),1,IF(T$18="China",'China Holidays'!$A$2:$A$82,'Thai Holidays'!$A$2:$A$63))</f>
        <v>46328</v>
      </c>
      <c r="U134" s="404"/>
      <c r="V134" s="404">
        <f>T134+7</f>
        <v>46335</v>
      </c>
      <c r="W134" s="404">
        <f>V134+3</f>
        <v>46338</v>
      </c>
      <c r="X134" s="404">
        <f>W134+3</f>
        <v>46341</v>
      </c>
      <c r="Y134" s="404">
        <v>46342</v>
      </c>
      <c r="Z134" s="411">
        <f>AB134-5</f>
        <v>46363</v>
      </c>
      <c r="AA134" s="404">
        <v>46368</v>
      </c>
      <c r="AB134" s="404">
        <v>46368</v>
      </c>
      <c r="AC134" s="404">
        <v>46370</v>
      </c>
      <c r="AD134" s="404">
        <v>46456</v>
      </c>
      <c r="AE134" s="411">
        <v>46470</v>
      </c>
      <c r="AF134" s="404">
        <v>46477</v>
      </c>
      <c r="AG134" s="404">
        <v>46491</v>
      </c>
      <c r="AH134" s="404">
        <v>46507</v>
      </c>
      <c r="AI134" s="405">
        <v>24</v>
      </c>
      <c r="AJ134" s="406">
        <v>168</v>
      </c>
      <c r="AK134" s="404">
        <f>IF(V134&lt;&gt;"",V134+AJ134,V135+AJ134)</f>
        <v>46503</v>
      </c>
      <c r="AL134" s="407">
        <f>AP133-7</f>
        <v>46484</v>
      </c>
      <c r="AM134" s="399">
        <f>AL134-AK134</f>
        <v>-19</v>
      </c>
      <c r="AN134" s="408"/>
      <c r="AO134" s="409" t="s">
        <v>65</v>
      </c>
      <c r="AP134" s="410">
        <v>46491</v>
      </c>
      <c r="AQ134" s="407"/>
    </row>
    <row r="135" s="333" customFormat="1" ht="23" hidden="1" customHeight="1" spans="1:43">
      <c r="A135" s="414"/>
      <c r="B135" s="415" t="s">
        <v>195</v>
      </c>
      <c r="C135" s="447" t="s">
        <v>196</v>
      </c>
      <c r="D135" s="450"/>
      <c r="E135" s="417"/>
      <c r="F135" s="418"/>
      <c r="G135" s="417" t="s">
        <v>136</v>
      </c>
      <c r="H135" s="415" t="s">
        <v>72</v>
      </c>
      <c r="I135" s="324">
        <v>3</v>
      </c>
      <c r="J135" s="415" t="s">
        <v>8</v>
      </c>
      <c r="K135" s="419" t="s">
        <v>66</v>
      </c>
      <c r="L135" s="420"/>
      <c r="M135" s="420">
        <v>46204</v>
      </c>
      <c r="N135" s="420">
        <v>46225</v>
      </c>
      <c r="O135" s="420">
        <v>46225</v>
      </c>
      <c r="P135" s="420">
        <f>O135</f>
        <v>46225</v>
      </c>
      <c r="Q135" s="420">
        <v>46241</v>
      </c>
      <c r="R135" s="420">
        <v>46277</v>
      </c>
      <c r="S135" s="420"/>
      <c r="T135" s="420"/>
      <c r="U135" s="420"/>
      <c r="V135" s="420"/>
      <c r="W135" s="420"/>
      <c r="X135" s="420"/>
      <c r="Y135" s="420"/>
      <c r="Z135" s="420"/>
      <c r="AA135" s="420"/>
      <c r="AB135" s="420"/>
      <c r="AC135" s="420"/>
      <c r="AD135" s="420"/>
      <c r="AE135" s="420"/>
      <c r="AF135" s="420"/>
      <c r="AG135" s="420"/>
      <c r="AH135" s="420"/>
      <c r="AI135" s="453"/>
      <c r="AJ135" s="423"/>
      <c r="AK135" s="404"/>
      <c r="AL135" s="424"/>
      <c r="AM135" s="417"/>
      <c r="AN135" s="425"/>
      <c r="AO135" s="426"/>
      <c r="AP135" s="425"/>
      <c r="AQ135" s="424"/>
    </row>
    <row r="136" s="333" customFormat="1" ht="23" hidden="1" customHeight="1" spans="1:43">
      <c r="A136" s="396">
        <v>43</v>
      </c>
      <c r="B136" s="324" t="s">
        <v>198</v>
      </c>
      <c r="C136" s="324" t="s">
        <v>199</v>
      </c>
      <c r="D136" s="448"/>
      <c r="E136" s="399"/>
      <c r="F136" s="400"/>
      <c r="G136" s="399" t="s">
        <v>136</v>
      </c>
      <c r="H136" s="324"/>
      <c r="I136" s="401"/>
      <c r="J136" s="324" t="s">
        <v>8</v>
      </c>
      <c r="K136" s="402" t="s">
        <v>59</v>
      </c>
      <c r="L136" s="403"/>
      <c r="M136" s="404">
        <v>46244</v>
      </c>
      <c r="N136" s="404">
        <v>46258</v>
      </c>
      <c r="O136" s="404">
        <v>46258</v>
      </c>
      <c r="P136" s="404">
        <v>46260</v>
      </c>
      <c r="Q136" s="404">
        <v>46261</v>
      </c>
      <c r="R136" s="404">
        <v>46274</v>
      </c>
      <c r="S136" s="404">
        <v>46289</v>
      </c>
      <c r="T136" s="404">
        <v>46303</v>
      </c>
      <c r="U136" s="404"/>
      <c r="V136" s="404">
        <v>46316</v>
      </c>
      <c r="W136" s="404">
        <v>46318</v>
      </c>
      <c r="X136" s="404">
        <v>46323</v>
      </c>
      <c r="Y136" s="404">
        <v>46335</v>
      </c>
      <c r="Z136" s="404">
        <v>46343</v>
      </c>
      <c r="AA136" s="404">
        <v>46350</v>
      </c>
      <c r="AB136" s="404">
        <f>AA136+3</f>
        <v>46353</v>
      </c>
      <c r="AC136" s="404">
        <f>AB136+1</f>
        <v>46354</v>
      </c>
      <c r="AD136" s="404">
        <v>46355</v>
      </c>
      <c r="AE136" s="404">
        <v>46369</v>
      </c>
      <c r="AF136" s="404">
        <v>46376</v>
      </c>
      <c r="AG136" s="404">
        <v>46390</v>
      </c>
      <c r="AH136" s="404">
        <v>46406</v>
      </c>
      <c r="AI136" s="428">
        <v>8.57142857142857</v>
      </c>
      <c r="AJ136" s="406">
        <f>AI136*7</f>
        <v>60</v>
      </c>
      <c r="AK136" s="404">
        <f>V136+AJ136</f>
        <v>46376</v>
      </c>
      <c r="AL136" s="407">
        <f>AL137</f>
        <v>46484</v>
      </c>
      <c r="AM136" s="399">
        <f>AL137-AK136</f>
        <v>108</v>
      </c>
      <c r="AN136" s="408"/>
      <c r="AO136" s="409" t="s">
        <v>61</v>
      </c>
      <c r="AP136" s="410">
        <v>46491</v>
      </c>
      <c r="AQ136" s="407"/>
    </row>
    <row r="137" s="333" customFormat="1" ht="23" customHeight="1" spans="1:43">
      <c r="A137" s="396"/>
      <c r="B137" s="324" t="s">
        <v>198</v>
      </c>
      <c r="C137" s="397" t="s">
        <v>199</v>
      </c>
      <c r="D137" s="449"/>
      <c r="E137" s="399"/>
      <c r="F137" s="400" t="s">
        <v>200</v>
      </c>
      <c r="G137" s="399" t="s">
        <v>136</v>
      </c>
      <c r="H137" s="324" t="s">
        <v>72</v>
      </c>
      <c r="I137" s="324">
        <v>4</v>
      </c>
      <c r="J137" s="324" t="s">
        <v>8</v>
      </c>
      <c r="K137" s="402" t="s">
        <v>64</v>
      </c>
      <c r="L137" s="404"/>
      <c r="M137" s="404"/>
      <c r="N137" s="404"/>
      <c r="O137" s="404"/>
      <c r="P137" s="404"/>
      <c r="Q137" s="404"/>
      <c r="R137" s="404"/>
      <c r="S137" s="404">
        <v>46311</v>
      </c>
      <c r="T137" s="404">
        <f>_xlfn.WORKDAY.INTL(S137,INDEX(T$8:T$11,MATCH($J137,$J$8:$J$11,0)),1,IF(T$18="China",'China Holidays'!$A$2:$A$82,'Thai Holidays'!$A$2:$A$63))</f>
        <v>46328</v>
      </c>
      <c r="U137" s="404"/>
      <c r="V137" s="404">
        <f>T137+7</f>
        <v>46335</v>
      </c>
      <c r="W137" s="404">
        <f>V137+3</f>
        <v>46338</v>
      </c>
      <c r="X137" s="404">
        <f>W137+3</f>
        <v>46341</v>
      </c>
      <c r="Y137" s="404">
        <v>46342</v>
      </c>
      <c r="Z137" s="411">
        <f>AB137-5</f>
        <v>46345</v>
      </c>
      <c r="AA137" s="404">
        <v>46350</v>
      </c>
      <c r="AB137" s="404">
        <v>46350</v>
      </c>
      <c r="AC137" s="404">
        <v>46352</v>
      </c>
      <c r="AD137" s="404">
        <v>46355</v>
      </c>
      <c r="AE137" s="411">
        <v>46369</v>
      </c>
      <c r="AF137" s="404">
        <v>46376</v>
      </c>
      <c r="AG137" s="404">
        <v>46390</v>
      </c>
      <c r="AH137" s="404">
        <v>46406</v>
      </c>
      <c r="AI137" s="405">
        <v>8.57142857142857</v>
      </c>
      <c r="AJ137" s="406">
        <v>60</v>
      </c>
      <c r="AK137" s="404">
        <f>IF(V137&lt;&gt;"",V137+AJ137,V138+AJ137)</f>
        <v>46395</v>
      </c>
      <c r="AL137" s="407">
        <f>AP136-7</f>
        <v>46484</v>
      </c>
      <c r="AM137" s="399">
        <f>AL137-AK137</f>
        <v>89</v>
      </c>
      <c r="AN137" s="408"/>
      <c r="AO137" s="409" t="s">
        <v>65</v>
      </c>
      <c r="AP137" s="410">
        <v>46491</v>
      </c>
      <c r="AQ137" s="407"/>
    </row>
    <row r="138" s="333" customFormat="1" ht="23" hidden="1" customHeight="1" spans="1:43">
      <c r="A138" s="414"/>
      <c r="B138" s="415" t="s">
        <v>198</v>
      </c>
      <c r="C138" s="447" t="s">
        <v>199</v>
      </c>
      <c r="D138" s="450"/>
      <c r="E138" s="417"/>
      <c r="F138" s="418"/>
      <c r="G138" s="417" t="s">
        <v>136</v>
      </c>
      <c r="H138" s="415" t="s">
        <v>72</v>
      </c>
      <c r="I138" s="324">
        <v>4</v>
      </c>
      <c r="J138" s="415" t="s">
        <v>8</v>
      </c>
      <c r="K138" s="419" t="s">
        <v>66</v>
      </c>
      <c r="L138" s="420"/>
      <c r="M138" s="420">
        <v>46248</v>
      </c>
      <c r="N138" s="420">
        <v>46261</v>
      </c>
      <c r="O138" s="420">
        <v>46261</v>
      </c>
      <c r="P138" s="420">
        <v>46261</v>
      </c>
      <c r="Q138" s="420">
        <f>P138</f>
        <v>46261</v>
      </c>
      <c r="R138" s="420">
        <v>46261</v>
      </c>
      <c r="S138" s="420"/>
      <c r="T138" s="420"/>
      <c r="U138" s="420"/>
      <c r="V138" s="417"/>
      <c r="W138" s="420"/>
      <c r="X138" s="420"/>
      <c r="Y138" s="420"/>
      <c r="Z138" s="420"/>
      <c r="AA138" s="420"/>
      <c r="AB138" s="420"/>
      <c r="AC138" s="420"/>
      <c r="AD138" s="420"/>
      <c r="AE138" s="420"/>
      <c r="AF138" s="420"/>
      <c r="AG138" s="420"/>
      <c r="AH138" s="420"/>
      <c r="AI138" s="422"/>
      <c r="AJ138" s="423"/>
      <c r="AK138" s="420"/>
      <c r="AL138" s="424"/>
      <c r="AM138" s="417"/>
      <c r="AN138" s="425"/>
      <c r="AO138" s="426"/>
      <c r="AP138" s="425"/>
      <c r="AQ138" s="424"/>
    </row>
    <row r="139" s="333" customFormat="1" ht="23" hidden="1" customHeight="1" spans="1:43">
      <c r="A139" s="396">
        <v>45</v>
      </c>
      <c r="B139" s="324" t="s">
        <v>201</v>
      </c>
      <c r="C139" s="324" t="s">
        <v>202</v>
      </c>
      <c r="D139" s="398"/>
      <c r="E139" s="399"/>
      <c r="F139" s="400"/>
      <c r="G139" s="399" t="s">
        <v>136</v>
      </c>
      <c r="H139" s="324"/>
      <c r="I139" s="401"/>
      <c r="J139" s="324" t="s">
        <v>7</v>
      </c>
      <c r="K139" s="402" t="s">
        <v>59</v>
      </c>
      <c r="L139" s="403"/>
      <c r="M139" s="404">
        <v>46161</v>
      </c>
      <c r="N139" s="404">
        <v>46182</v>
      </c>
      <c r="O139" s="404">
        <v>46182</v>
      </c>
      <c r="P139" s="404">
        <v>46182</v>
      </c>
      <c r="Q139" s="404">
        <v>46179</v>
      </c>
      <c r="R139" s="404">
        <v>46199</v>
      </c>
      <c r="S139" s="404">
        <v>46266</v>
      </c>
      <c r="T139" s="404">
        <v>46280</v>
      </c>
      <c r="U139" s="404"/>
      <c r="V139" s="404">
        <v>46294</v>
      </c>
      <c r="W139" s="404">
        <v>46303</v>
      </c>
      <c r="X139" s="404">
        <v>46310</v>
      </c>
      <c r="Y139" s="404">
        <v>46338</v>
      </c>
      <c r="Z139" s="404">
        <v>46352</v>
      </c>
      <c r="AA139" s="404">
        <v>46367</v>
      </c>
      <c r="AB139" s="404">
        <f>AA139+3</f>
        <v>46370</v>
      </c>
      <c r="AC139" s="404">
        <f>AB139+1</f>
        <v>46371</v>
      </c>
      <c r="AD139" s="404">
        <v>46502</v>
      </c>
      <c r="AE139" s="404">
        <v>46532</v>
      </c>
      <c r="AF139" s="404">
        <v>46546</v>
      </c>
      <c r="AG139" s="404">
        <v>46560</v>
      </c>
      <c r="AH139" s="404">
        <v>46576</v>
      </c>
      <c r="AI139" s="428">
        <v>36</v>
      </c>
      <c r="AJ139" s="406">
        <f>AI139*7</f>
        <v>252</v>
      </c>
      <c r="AK139" s="404">
        <f>V139+AJ139</f>
        <v>46546</v>
      </c>
      <c r="AL139" s="407">
        <f>AL140</f>
        <v>46591</v>
      </c>
      <c r="AM139" s="399">
        <f>AL140-AK139</f>
        <v>45</v>
      </c>
      <c r="AN139" s="408"/>
      <c r="AO139" s="409" t="s">
        <v>61</v>
      </c>
      <c r="AP139" s="410">
        <v>46598</v>
      </c>
      <c r="AQ139" s="407"/>
    </row>
    <row r="140" s="333" customFormat="1" ht="23" customHeight="1" spans="1:43">
      <c r="A140" s="396"/>
      <c r="B140" s="324" t="s">
        <v>201</v>
      </c>
      <c r="C140" s="397" t="s">
        <v>202</v>
      </c>
      <c r="D140" s="427"/>
      <c r="E140" s="399"/>
      <c r="F140" s="400" t="s">
        <v>203</v>
      </c>
      <c r="G140" s="399" t="s">
        <v>136</v>
      </c>
      <c r="H140" s="324" t="s">
        <v>72</v>
      </c>
      <c r="I140" s="324">
        <v>2</v>
      </c>
      <c r="J140" s="324" t="s">
        <v>7</v>
      </c>
      <c r="K140" s="402" t="s">
        <v>64</v>
      </c>
      <c r="L140" s="404"/>
      <c r="M140" s="404"/>
      <c r="N140" s="404"/>
      <c r="O140" s="404"/>
      <c r="P140" s="404"/>
      <c r="Q140" s="404"/>
      <c r="R140" s="404"/>
      <c r="S140" s="404"/>
      <c r="T140" s="404"/>
      <c r="U140" s="404"/>
      <c r="V140" s="404">
        <v>46311</v>
      </c>
      <c r="W140" s="404">
        <f>V140+3</f>
        <v>46314</v>
      </c>
      <c r="X140" s="404">
        <f>W140+3</f>
        <v>46317</v>
      </c>
      <c r="Y140" s="404">
        <v>46338</v>
      </c>
      <c r="Z140" s="411">
        <f>AB140-5</f>
        <v>46362</v>
      </c>
      <c r="AA140" s="404">
        <v>46367</v>
      </c>
      <c r="AB140" s="404">
        <v>46367</v>
      </c>
      <c r="AC140" s="404">
        <v>46369</v>
      </c>
      <c r="AD140" s="404">
        <v>46502</v>
      </c>
      <c r="AE140" s="411">
        <v>46532</v>
      </c>
      <c r="AF140" s="404">
        <v>46546</v>
      </c>
      <c r="AG140" s="404">
        <v>46560</v>
      </c>
      <c r="AH140" s="404">
        <v>46576</v>
      </c>
      <c r="AI140" s="405">
        <v>36</v>
      </c>
      <c r="AJ140" s="406">
        <v>252</v>
      </c>
      <c r="AK140" s="404">
        <f>IF(V140&lt;&gt;"",V140+AJ140,V141+AJ140)</f>
        <v>46563</v>
      </c>
      <c r="AL140" s="407">
        <f>AP139-7</f>
        <v>46591</v>
      </c>
      <c r="AM140" s="399">
        <f>AL140-AK140</f>
        <v>28</v>
      </c>
      <c r="AN140" s="408"/>
      <c r="AO140" s="409" t="s">
        <v>65</v>
      </c>
      <c r="AP140" s="410">
        <v>46598</v>
      </c>
      <c r="AQ140" s="407"/>
    </row>
    <row r="141" s="333" customFormat="1" ht="23" hidden="1" customHeight="1" spans="1:43">
      <c r="A141" s="414"/>
      <c r="B141" s="415" t="s">
        <v>201</v>
      </c>
      <c r="C141" s="447" t="s">
        <v>202</v>
      </c>
      <c r="D141" s="429"/>
      <c r="E141" s="417"/>
      <c r="F141" s="418"/>
      <c r="G141" s="417" t="s">
        <v>136</v>
      </c>
      <c r="H141" s="415" t="s">
        <v>72</v>
      </c>
      <c r="I141" s="324">
        <v>2</v>
      </c>
      <c r="J141" s="415" t="s">
        <v>7</v>
      </c>
      <c r="K141" s="419" t="s">
        <v>66</v>
      </c>
      <c r="L141" s="420">
        <v>46133</v>
      </c>
      <c r="M141" s="420">
        <v>46165</v>
      </c>
      <c r="N141" s="420">
        <v>46182</v>
      </c>
      <c r="O141" s="420">
        <v>46182</v>
      </c>
      <c r="P141" s="420">
        <v>46182</v>
      </c>
      <c r="Q141" s="420">
        <v>46182</v>
      </c>
      <c r="R141" s="420">
        <v>46190</v>
      </c>
      <c r="S141" s="420">
        <v>46233</v>
      </c>
      <c r="T141" s="420">
        <v>46236</v>
      </c>
      <c r="U141" s="454"/>
      <c r="V141" s="417"/>
      <c r="W141" s="420"/>
      <c r="X141" s="420"/>
      <c r="Y141" s="420"/>
      <c r="Z141" s="420"/>
      <c r="AA141" s="420"/>
      <c r="AB141" s="420"/>
      <c r="AC141" s="420"/>
      <c r="AD141" s="420"/>
      <c r="AE141" s="420"/>
      <c r="AF141" s="420"/>
      <c r="AG141" s="420"/>
      <c r="AH141" s="420"/>
      <c r="AI141" s="422"/>
      <c r="AJ141" s="423"/>
      <c r="AK141" s="420"/>
      <c r="AL141" s="424"/>
      <c r="AM141" s="417"/>
      <c r="AN141" s="425"/>
      <c r="AO141" s="426"/>
      <c r="AP141" s="425"/>
      <c r="AQ141" s="424"/>
    </row>
    <row r="142" s="333" customFormat="1" ht="23" hidden="1" customHeight="1" spans="1:43">
      <c r="A142" s="396">
        <v>46</v>
      </c>
      <c r="B142" s="324" t="s">
        <v>204</v>
      </c>
      <c r="C142" s="324" t="s">
        <v>205</v>
      </c>
      <c r="D142" s="448"/>
      <c r="E142" s="399"/>
      <c r="F142" s="400"/>
      <c r="G142" s="399" t="s">
        <v>206</v>
      </c>
      <c r="H142" s="324"/>
      <c r="I142" s="401"/>
      <c r="J142" s="324" t="s">
        <v>8</v>
      </c>
      <c r="K142" s="402" t="s">
        <v>59</v>
      </c>
      <c r="L142" s="403"/>
      <c r="M142" s="404">
        <v>46189</v>
      </c>
      <c r="N142" s="404">
        <v>46198</v>
      </c>
      <c r="O142" s="404">
        <v>46199</v>
      </c>
      <c r="P142" s="404">
        <v>46206</v>
      </c>
      <c r="Q142" s="404">
        <v>46207</v>
      </c>
      <c r="R142" s="404">
        <v>46223</v>
      </c>
      <c r="S142" s="404">
        <v>46248</v>
      </c>
      <c r="T142" s="404">
        <v>46262</v>
      </c>
      <c r="U142" s="404"/>
      <c r="V142" s="404">
        <v>46275</v>
      </c>
      <c r="W142" s="404">
        <v>46279</v>
      </c>
      <c r="X142" s="404">
        <v>46286</v>
      </c>
      <c r="Y142" s="404">
        <v>46315</v>
      </c>
      <c r="Z142" s="404">
        <v>46330</v>
      </c>
      <c r="AA142" s="404">
        <v>46345</v>
      </c>
      <c r="AB142" s="404">
        <v>46345</v>
      </c>
      <c r="AC142" s="404">
        <v>46347</v>
      </c>
      <c r="AD142" s="404">
        <v>46434</v>
      </c>
      <c r="AE142" s="404">
        <v>46448</v>
      </c>
      <c r="AF142" s="404">
        <v>46455</v>
      </c>
      <c r="AG142" s="404">
        <v>46469</v>
      </c>
      <c r="AH142" s="404">
        <v>46485</v>
      </c>
      <c r="AI142" s="428">
        <v>25.7142857142857</v>
      </c>
      <c r="AJ142" s="406">
        <f>AI142*7</f>
        <v>180</v>
      </c>
      <c r="AK142" s="404">
        <f>V142+AJ142</f>
        <v>46455</v>
      </c>
      <c r="AL142" s="407">
        <f>AL143</f>
        <v>46495</v>
      </c>
      <c r="AM142" s="399">
        <f>AL143-AK142</f>
        <v>40</v>
      </c>
      <c r="AN142" s="408"/>
      <c r="AO142" s="409" t="s">
        <v>61</v>
      </c>
      <c r="AP142" s="410">
        <v>46502</v>
      </c>
      <c r="AQ142" s="407"/>
    </row>
    <row r="143" s="333" customFormat="1" ht="23" customHeight="1" spans="1:43">
      <c r="A143" s="396"/>
      <c r="B143" s="324" t="s">
        <v>204</v>
      </c>
      <c r="C143" s="397" t="s">
        <v>205</v>
      </c>
      <c r="D143" s="449"/>
      <c r="E143" s="399"/>
      <c r="F143" s="400" t="s">
        <v>207</v>
      </c>
      <c r="G143" s="399" t="s">
        <v>206</v>
      </c>
      <c r="H143" s="324" t="s">
        <v>72</v>
      </c>
      <c r="I143" s="324">
        <v>3</v>
      </c>
      <c r="J143" s="324" t="s">
        <v>8</v>
      </c>
      <c r="K143" s="402" t="s">
        <v>64</v>
      </c>
      <c r="L143" s="404"/>
      <c r="M143" s="404"/>
      <c r="N143" s="404"/>
      <c r="O143" s="404"/>
      <c r="P143" s="404"/>
      <c r="Q143" s="404"/>
      <c r="R143" s="404">
        <v>46223</v>
      </c>
      <c r="S143" s="404">
        <v>46283</v>
      </c>
      <c r="T143" s="404">
        <f>_xlfn.WORKDAY.INTL(S143,INDEX(T$8:T$11,MATCH($J143,$J$8:$J$11,0)),1,IF(T$18="China",'China Holidays'!$A$2:$A$82,'Thai Holidays'!$A$2:$A$63))</f>
        <v>46297</v>
      </c>
      <c r="U143" s="404"/>
      <c r="V143" s="404">
        <v>46311</v>
      </c>
      <c r="W143" s="404">
        <v>46315</v>
      </c>
      <c r="X143" s="404">
        <v>46322</v>
      </c>
      <c r="Y143" s="404">
        <v>46343</v>
      </c>
      <c r="Z143" s="411">
        <f>AB143-5</f>
        <v>46367</v>
      </c>
      <c r="AA143" s="404">
        <v>46372</v>
      </c>
      <c r="AB143" s="404">
        <v>46372</v>
      </c>
      <c r="AC143" s="404">
        <v>46374</v>
      </c>
      <c r="AD143" s="404">
        <v>46470</v>
      </c>
      <c r="AE143" s="411">
        <v>46484</v>
      </c>
      <c r="AF143" s="404">
        <v>46491</v>
      </c>
      <c r="AG143" s="404">
        <v>46505</v>
      </c>
      <c r="AH143" s="404">
        <v>46521</v>
      </c>
      <c r="AI143" s="405">
        <v>26</v>
      </c>
      <c r="AJ143" s="406">
        <f>AI143*7</f>
        <v>182</v>
      </c>
      <c r="AK143" s="404">
        <f>IF(V143&lt;&gt;"",V143+AJ143,V144+AJ143)</f>
        <v>46493</v>
      </c>
      <c r="AL143" s="407">
        <f>AP142-7</f>
        <v>46495</v>
      </c>
      <c r="AM143" s="399">
        <f>AL143-AK143</f>
        <v>2</v>
      </c>
      <c r="AN143" s="408"/>
      <c r="AO143" s="409" t="s">
        <v>65</v>
      </c>
      <c r="AP143" s="410">
        <v>46502</v>
      </c>
      <c r="AQ143" s="407"/>
    </row>
    <row r="144" s="333" customFormat="1" ht="23" hidden="1" customHeight="1" spans="1:43">
      <c r="A144" s="414"/>
      <c r="B144" s="415" t="s">
        <v>204</v>
      </c>
      <c r="C144" s="455" t="s">
        <v>205</v>
      </c>
      <c r="D144" s="450"/>
      <c r="E144" s="417"/>
      <c r="F144" s="418"/>
      <c r="G144" s="417" t="s">
        <v>208</v>
      </c>
      <c r="H144" s="415" t="s">
        <v>72</v>
      </c>
      <c r="I144" s="324">
        <v>3</v>
      </c>
      <c r="J144" s="415" t="s">
        <v>8</v>
      </c>
      <c r="K144" s="419" t="s">
        <v>66</v>
      </c>
      <c r="L144" s="420"/>
      <c r="M144" s="420">
        <v>46169</v>
      </c>
      <c r="N144" s="420">
        <v>46188</v>
      </c>
      <c r="O144" s="420">
        <v>46188</v>
      </c>
      <c r="P144" s="420">
        <v>46188</v>
      </c>
      <c r="Q144" s="420">
        <v>46212</v>
      </c>
      <c r="R144" s="420">
        <v>46247</v>
      </c>
      <c r="S144" s="420">
        <v>46276</v>
      </c>
      <c r="T144" s="420">
        <v>46289</v>
      </c>
      <c r="U144" s="420"/>
      <c r="V144" s="417"/>
      <c r="W144" s="420"/>
      <c r="X144" s="420"/>
      <c r="Y144" s="420"/>
      <c r="Z144" s="420"/>
      <c r="AA144" s="420"/>
      <c r="AB144" s="420"/>
      <c r="AC144" s="420"/>
      <c r="AD144" s="420"/>
      <c r="AE144" s="420"/>
      <c r="AF144" s="420"/>
      <c r="AG144" s="420"/>
      <c r="AH144" s="420"/>
      <c r="AI144" s="422"/>
      <c r="AJ144" s="423"/>
      <c r="AK144" s="420"/>
      <c r="AL144" s="424"/>
      <c r="AM144" s="417"/>
      <c r="AN144" s="425"/>
      <c r="AO144" s="426"/>
      <c r="AP144" s="425"/>
      <c r="AQ144" s="424"/>
    </row>
    <row r="145" s="333" customFormat="1" ht="23" hidden="1" customHeight="1" spans="1:43">
      <c r="A145" s="396">
        <v>47</v>
      </c>
      <c r="B145" s="324" t="s">
        <v>209</v>
      </c>
      <c r="C145" s="324" t="s">
        <v>210</v>
      </c>
      <c r="D145" s="448"/>
      <c r="E145" s="399"/>
      <c r="F145" s="400"/>
      <c r="G145" s="399" t="s">
        <v>206</v>
      </c>
      <c r="H145" s="324"/>
      <c r="I145" s="401"/>
      <c r="J145" s="324" t="s">
        <v>8</v>
      </c>
      <c r="K145" s="402" t="s">
        <v>59</v>
      </c>
      <c r="L145" s="403"/>
      <c r="M145" s="404">
        <v>46189</v>
      </c>
      <c r="N145" s="404">
        <v>46198</v>
      </c>
      <c r="O145" s="404">
        <v>46199</v>
      </c>
      <c r="P145" s="404">
        <v>46206</v>
      </c>
      <c r="Q145" s="404">
        <v>46207</v>
      </c>
      <c r="R145" s="404">
        <v>46223</v>
      </c>
      <c r="S145" s="404">
        <v>46248</v>
      </c>
      <c r="T145" s="404">
        <v>46262</v>
      </c>
      <c r="U145" s="404"/>
      <c r="V145" s="404">
        <v>46275</v>
      </c>
      <c r="W145" s="404">
        <v>46279</v>
      </c>
      <c r="X145" s="404">
        <v>46286</v>
      </c>
      <c r="Y145" s="404">
        <v>46315</v>
      </c>
      <c r="Z145" s="404">
        <v>46330</v>
      </c>
      <c r="AA145" s="404">
        <v>46345</v>
      </c>
      <c r="AB145" s="404">
        <v>46345</v>
      </c>
      <c r="AC145" s="404">
        <v>46347</v>
      </c>
      <c r="AD145" s="404">
        <v>46366</v>
      </c>
      <c r="AE145" s="404">
        <v>46380</v>
      </c>
      <c r="AF145" s="404">
        <v>46387</v>
      </c>
      <c r="AG145" s="404">
        <v>46401</v>
      </c>
      <c r="AH145" s="404">
        <v>46417</v>
      </c>
      <c r="AI145" s="428">
        <v>16</v>
      </c>
      <c r="AJ145" s="406">
        <f>AI145*7</f>
        <v>112</v>
      </c>
      <c r="AK145" s="404">
        <f>V145+AJ145</f>
        <v>46387</v>
      </c>
      <c r="AL145" s="407">
        <f>AL146</f>
        <v>46449</v>
      </c>
      <c r="AM145" s="399">
        <f>AL146-AK145</f>
        <v>62</v>
      </c>
      <c r="AN145" s="408"/>
      <c r="AO145" s="409" t="s">
        <v>61</v>
      </c>
      <c r="AP145" s="410">
        <v>46456</v>
      </c>
      <c r="AQ145" s="407"/>
    </row>
    <row r="146" s="333" customFormat="1" ht="23" customHeight="1" spans="1:43">
      <c r="A146" s="396"/>
      <c r="B146" s="324" t="s">
        <v>209</v>
      </c>
      <c r="C146" s="397" t="s">
        <v>210</v>
      </c>
      <c r="D146" s="449"/>
      <c r="E146" s="399"/>
      <c r="F146" s="400" t="s">
        <v>211</v>
      </c>
      <c r="G146" s="399" t="s">
        <v>206</v>
      </c>
      <c r="H146" s="324" t="s">
        <v>72</v>
      </c>
      <c r="I146" s="324">
        <v>3</v>
      </c>
      <c r="J146" s="324" t="s">
        <v>8</v>
      </c>
      <c r="K146" s="402" t="s">
        <v>64</v>
      </c>
      <c r="L146" s="404"/>
      <c r="M146" s="404"/>
      <c r="N146" s="404"/>
      <c r="O146" s="404"/>
      <c r="P146" s="404"/>
      <c r="Q146" s="404"/>
      <c r="R146" s="404">
        <v>46223</v>
      </c>
      <c r="S146" s="404">
        <v>46249</v>
      </c>
      <c r="T146" s="404">
        <f>_xlfn.WORKDAY.INTL(S146,INDEX(T$8:T$11,MATCH($J146,$J$8:$J$11,0)),1,IF(T$18="China",'China Holidays'!$A$2:$A$82,'Thai Holidays'!$A$2:$A$63))</f>
        <v>46262</v>
      </c>
      <c r="U146" s="404"/>
      <c r="V146" s="404">
        <v>46311</v>
      </c>
      <c r="W146" s="404">
        <v>46315</v>
      </c>
      <c r="X146" s="404">
        <v>46322</v>
      </c>
      <c r="Y146" s="404">
        <v>46343</v>
      </c>
      <c r="Z146" s="411">
        <f>AB146-5</f>
        <v>46367</v>
      </c>
      <c r="AA146" s="404">
        <v>46372</v>
      </c>
      <c r="AB146" s="404">
        <v>46372</v>
      </c>
      <c r="AC146" s="404">
        <v>46374</v>
      </c>
      <c r="AD146" s="404">
        <v>46402</v>
      </c>
      <c r="AE146" s="411">
        <v>46416</v>
      </c>
      <c r="AF146" s="404">
        <v>46423</v>
      </c>
      <c r="AG146" s="404">
        <v>46437</v>
      </c>
      <c r="AH146" s="404">
        <v>46453</v>
      </c>
      <c r="AI146" s="405">
        <v>16</v>
      </c>
      <c r="AJ146" s="406">
        <v>112</v>
      </c>
      <c r="AK146" s="404">
        <f>IF(V146&lt;&gt;"",V146+AJ146,V147+AJ146)</f>
        <v>46423</v>
      </c>
      <c r="AL146" s="407">
        <f>AP145-7</f>
        <v>46449</v>
      </c>
      <c r="AM146" s="399">
        <f>AL146-AK146</f>
        <v>26</v>
      </c>
      <c r="AN146" s="408"/>
      <c r="AO146" s="409" t="s">
        <v>65</v>
      </c>
      <c r="AP146" s="410">
        <v>46456</v>
      </c>
      <c r="AQ146" s="407"/>
    </row>
    <row r="147" s="333" customFormat="1" ht="23" hidden="1" customHeight="1" spans="1:43">
      <c r="A147" s="414"/>
      <c r="B147" s="415" t="s">
        <v>209</v>
      </c>
      <c r="C147" s="447" t="s">
        <v>210</v>
      </c>
      <c r="D147" s="450"/>
      <c r="E147" s="417"/>
      <c r="F147" s="418"/>
      <c r="G147" s="417" t="s">
        <v>208</v>
      </c>
      <c r="H147" s="415" t="s">
        <v>72</v>
      </c>
      <c r="I147" s="324">
        <v>3</v>
      </c>
      <c r="J147" s="415" t="s">
        <v>8</v>
      </c>
      <c r="K147" s="419" t="s">
        <v>66</v>
      </c>
      <c r="L147" s="420"/>
      <c r="M147" s="420">
        <v>46169</v>
      </c>
      <c r="N147" s="420">
        <v>46188</v>
      </c>
      <c r="O147" s="420">
        <v>46188</v>
      </c>
      <c r="P147" s="420">
        <v>46188</v>
      </c>
      <c r="Q147" s="420">
        <v>46212</v>
      </c>
      <c r="R147" s="420">
        <v>46247</v>
      </c>
      <c r="S147" s="420">
        <v>46267</v>
      </c>
      <c r="T147" s="420">
        <v>46269</v>
      </c>
      <c r="U147" s="420"/>
      <c r="V147" s="417"/>
      <c r="W147" s="420"/>
      <c r="X147" s="420"/>
      <c r="Y147" s="420"/>
      <c r="Z147" s="420"/>
      <c r="AA147" s="420"/>
      <c r="AB147" s="420"/>
      <c r="AC147" s="420"/>
      <c r="AD147" s="420"/>
      <c r="AE147" s="420"/>
      <c r="AF147" s="420"/>
      <c r="AG147" s="420"/>
      <c r="AH147" s="420"/>
      <c r="AI147" s="422"/>
      <c r="AJ147" s="423"/>
      <c r="AK147" s="420"/>
      <c r="AL147" s="424"/>
      <c r="AM147" s="417"/>
      <c r="AN147" s="425"/>
      <c r="AO147" s="426"/>
      <c r="AP147" s="425"/>
      <c r="AQ147" s="424"/>
    </row>
    <row r="148" s="333" customFormat="1" ht="23" hidden="1" customHeight="1" spans="1:43">
      <c r="A148" s="396">
        <v>48</v>
      </c>
      <c r="B148" s="324" t="s">
        <v>212</v>
      </c>
      <c r="C148" s="324" t="s">
        <v>213</v>
      </c>
      <c r="D148" s="398"/>
      <c r="E148" s="399"/>
      <c r="F148" s="400"/>
      <c r="G148" s="399" t="s">
        <v>85</v>
      </c>
      <c r="H148" s="324"/>
      <c r="I148" s="401"/>
      <c r="J148" s="324" t="s">
        <v>8</v>
      </c>
      <c r="K148" s="402" t="s">
        <v>59</v>
      </c>
      <c r="L148" s="403"/>
      <c r="M148" s="404">
        <v>46163</v>
      </c>
      <c r="N148" s="404">
        <v>46170</v>
      </c>
      <c r="O148" s="404">
        <v>46171</v>
      </c>
      <c r="P148" s="404">
        <v>46182</v>
      </c>
      <c r="Q148" s="404">
        <v>46183</v>
      </c>
      <c r="R148" s="404">
        <v>46197</v>
      </c>
      <c r="S148" s="404">
        <v>46218</v>
      </c>
      <c r="T148" s="404">
        <v>46234</v>
      </c>
      <c r="U148" s="404"/>
      <c r="V148" s="404">
        <v>46247</v>
      </c>
      <c r="W148" s="404">
        <v>46251</v>
      </c>
      <c r="X148" s="404">
        <v>46258</v>
      </c>
      <c r="Y148" s="404">
        <v>46279</v>
      </c>
      <c r="Z148" s="404">
        <v>46293</v>
      </c>
      <c r="AA148" s="404">
        <v>46353</v>
      </c>
      <c r="AB148" s="404">
        <v>46356</v>
      </c>
      <c r="AC148" s="404">
        <v>46357</v>
      </c>
      <c r="AD148" s="404">
        <v>46406</v>
      </c>
      <c r="AE148" s="404">
        <v>46420</v>
      </c>
      <c r="AF148" s="404">
        <v>46427</v>
      </c>
      <c r="AG148" s="404">
        <v>46441</v>
      </c>
      <c r="AH148" s="404">
        <v>46457</v>
      </c>
      <c r="AI148" s="428">
        <v>25.7142857142857</v>
      </c>
      <c r="AJ148" s="406">
        <f>AI148*7</f>
        <v>180</v>
      </c>
      <c r="AK148" s="404">
        <f>V148+AJ148</f>
        <v>46427</v>
      </c>
      <c r="AL148" s="407">
        <f>AL149</f>
        <v>46415</v>
      </c>
      <c r="AM148" s="399">
        <f>AL149-AK148</f>
        <v>-12</v>
      </c>
      <c r="AN148" s="408"/>
      <c r="AO148" s="409" t="s">
        <v>61</v>
      </c>
      <c r="AP148" s="410">
        <v>46422</v>
      </c>
      <c r="AQ148" s="407"/>
    </row>
    <row r="149" s="333" customFormat="1" ht="23" customHeight="1" spans="1:43">
      <c r="A149" s="396"/>
      <c r="B149" s="324" t="s">
        <v>212</v>
      </c>
      <c r="C149" s="397" t="s">
        <v>213</v>
      </c>
      <c r="D149" s="427"/>
      <c r="E149" s="399"/>
      <c r="F149" s="400" t="s">
        <v>214</v>
      </c>
      <c r="G149" s="399" t="s">
        <v>85</v>
      </c>
      <c r="H149" s="324" t="s">
        <v>63</v>
      </c>
      <c r="I149" s="324" t="s">
        <v>215</v>
      </c>
      <c r="J149" s="324" t="s">
        <v>8</v>
      </c>
      <c r="K149" s="402" t="s">
        <v>64</v>
      </c>
      <c r="L149" s="404"/>
      <c r="M149" s="404"/>
      <c r="N149" s="404"/>
      <c r="O149" s="404"/>
      <c r="P149" s="404"/>
      <c r="Q149" s="404"/>
      <c r="R149" s="404"/>
      <c r="S149" s="404"/>
      <c r="T149" s="404"/>
      <c r="U149" s="404"/>
      <c r="V149" s="404">
        <v>46255</v>
      </c>
      <c r="W149" s="404"/>
      <c r="X149" s="404"/>
      <c r="Y149" s="404"/>
      <c r="Z149" s="411">
        <f>AB149-3</f>
        <v>46335</v>
      </c>
      <c r="AA149" s="411">
        <v>46337</v>
      </c>
      <c r="AB149" s="411">
        <v>46338</v>
      </c>
      <c r="AC149" s="411">
        <v>46339</v>
      </c>
      <c r="AD149" s="411">
        <v>46385</v>
      </c>
      <c r="AE149" s="411">
        <v>46409</v>
      </c>
      <c r="AF149" s="411">
        <v>46412</v>
      </c>
      <c r="AG149" s="404">
        <v>46426</v>
      </c>
      <c r="AH149" s="404">
        <v>46442</v>
      </c>
      <c r="AI149" s="405">
        <v>22</v>
      </c>
      <c r="AJ149" s="406">
        <v>154</v>
      </c>
      <c r="AK149" s="412">
        <v>46412</v>
      </c>
      <c r="AL149" s="407">
        <f>AP148-7</f>
        <v>46415</v>
      </c>
      <c r="AM149" s="399">
        <f>AL149-AK149</f>
        <v>3</v>
      </c>
      <c r="AN149" s="408"/>
      <c r="AO149" s="409" t="s">
        <v>65</v>
      </c>
      <c r="AP149" s="410">
        <v>46476</v>
      </c>
      <c r="AQ149" s="407"/>
    </row>
    <row r="150" s="333" customFormat="1" ht="23" hidden="1" customHeight="1" spans="1:43">
      <c r="A150" s="414"/>
      <c r="B150" s="415" t="s">
        <v>212</v>
      </c>
      <c r="C150" s="447" t="s">
        <v>213</v>
      </c>
      <c r="D150" s="429"/>
      <c r="E150" s="417"/>
      <c r="F150" s="418"/>
      <c r="G150" s="417" t="s">
        <v>85</v>
      </c>
      <c r="H150" s="415" t="s">
        <v>63</v>
      </c>
      <c r="I150" s="522" t="s">
        <v>215</v>
      </c>
      <c r="J150" s="415" t="s">
        <v>8</v>
      </c>
      <c r="K150" s="419" t="s">
        <v>66</v>
      </c>
      <c r="L150" s="420">
        <v>46174</v>
      </c>
      <c r="M150" s="420">
        <v>46167</v>
      </c>
      <c r="N150" s="420">
        <v>46183</v>
      </c>
      <c r="O150" s="420">
        <v>46183</v>
      </c>
      <c r="P150" s="420">
        <v>46183</v>
      </c>
      <c r="Q150" s="420">
        <v>46188</v>
      </c>
      <c r="R150" s="420">
        <v>46198</v>
      </c>
      <c r="S150" s="420">
        <v>46227</v>
      </c>
      <c r="T150" s="420">
        <v>46254</v>
      </c>
      <c r="U150" s="420">
        <v>46258</v>
      </c>
      <c r="V150" s="417"/>
      <c r="W150" s="420">
        <v>46258</v>
      </c>
      <c r="X150" s="420">
        <v>46266</v>
      </c>
      <c r="Y150" s="420">
        <f>X150+1</f>
        <v>46267</v>
      </c>
      <c r="Z150" s="420"/>
      <c r="AA150" s="420"/>
      <c r="AB150" s="420"/>
      <c r="AC150" s="420"/>
      <c r="AD150" s="420"/>
      <c r="AE150" s="420"/>
      <c r="AF150" s="420"/>
      <c r="AG150" s="420"/>
      <c r="AH150" s="420"/>
      <c r="AI150" s="422"/>
      <c r="AJ150" s="423"/>
      <c r="AK150" s="420"/>
      <c r="AL150" s="424"/>
      <c r="AM150" s="417"/>
      <c r="AN150" s="425"/>
      <c r="AO150" s="426"/>
      <c r="AP150" s="425" t="s">
        <v>216</v>
      </c>
      <c r="AQ150" s="424" t="s">
        <v>217</v>
      </c>
    </row>
    <row r="151" s="333" customFormat="1" ht="23" hidden="1" customHeight="1" spans="1:43">
      <c r="A151" s="396">
        <v>49</v>
      </c>
      <c r="B151" s="324" t="s">
        <v>218</v>
      </c>
      <c r="C151" s="324" t="s">
        <v>219</v>
      </c>
      <c r="D151" s="398"/>
      <c r="E151" s="399"/>
      <c r="F151" s="400"/>
      <c r="G151" s="399" t="s">
        <v>85</v>
      </c>
      <c r="H151" s="324"/>
      <c r="I151" s="401"/>
      <c r="J151" s="324" t="s">
        <v>8</v>
      </c>
      <c r="K151" s="402" t="s">
        <v>59</v>
      </c>
      <c r="L151" s="403"/>
      <c r="M151" s="404">
        <v>46163</v>
      </c>
      <c r="N151" s="404">
        <v>46170</v>
      </c>
      <c r="O151" s="404">
        <v>46171</v>
      </c>
      <c r="P151" s="404">
        <v>46182</v>
      </c>
      <c r="Q151" s="404">
        <v>46183</v>
      </c>
      <c r="R151" s="404">
        <v>46197</v>
      </c>
      <c r="S151" s="404">
        <v>46218</v>
      </c>
      <c r="T151" s="404">
        <v>46234</v>
      </c>
      <c r="U151" s="404"/>
      <c r="V151" s="404">
        <v>46247</v>
      </c>
      <c r="W151" s="404">
        <v>46251</v>
      </c>
      <c r="X151" s="404">
        <v>46258</v>
      </c>
      <c r="Y151" s="404">
        <v>46279</v>
      </c>
      <c r="Z151" s="404">
        <v>46293</v>
      </c>
      <c r="AA151" s="404">
        <v>46353</v>
      </c>
      <c r="AB151" s="404">
        <v>46356</v>
      </c>
      <c r="AC151" s="404">
        <v>46357</v>
      </c>
      <c r="AD151" s="404">
        <v>46406</v>
      </c>
      <c r="AE151" s="404">
        <v>46420</v>
      </c>
      <c r="AF151" s="404">
        <v>46427</v>
      </c>
      <c r="AG151" s="404">
        <v>46441</v>
      </c>
      <c r="AH151" s="404">
        <v>46457</v>
      </c>
      <c r="AI151" s="428">
        <v>25.7142857142857</v>
      </c>
      <c r="AJ151" s="406">
        <f>AI151*7</f>
        <v>180</v>
      </c>
      <c r="AK151" s="404">
        <f>V151+AJ151</f>
        <v>46427</v>
      </c>
      <c r="AL151" s="407">
        <f>AL152</f>
        <v>46415</v>
      </c>
      <c r="AM151" s="399">
        <f>AL152-AK151</f>
        <v>-12</v>
      </c>
      <c r="AN151" s="408"/>
      <c r="AO151" s="409" t="s">
        <v>61</v>
      </c>
      <c r="AP151" s="410">
        <v>46422</v>
      </c>
      <c r="AQ151" s="407"/>
    </row>
    <row r="152" s="333" customFormat="1" ht="23" customHeight="1" spans="1:43">
      <c r="A152" s="396"/>
      <c r="B152" s="324" t="s">
        <v>218</v>
      </c>
      <c r="C152" s="397" t="s">
        <v>219</v>
      </c>
      <c r="D152" s="427"/>
      <c r="E152" s="399"/>
      <c r="F152" s="400" t="s">
        <v>214</v>
      </c>
      <c r="G152" s="399" t="s">
        <v>85</v>
      </c>
      <c r="H152" s="324" t="s">
        <v>63</v>
      </c>
      <c r="I152" s="324" t="s">
        <v>215</v>
      </c>
      <c r="J152" s="324" t="s">
        <v>8</v>
      </c>
      <c r="K152" s="402" t="s">
        <v>64</v>
      </c>
      <c r="L152" s="404"/>
      <c r="M152" s="404"/>
      <c r="N152" s="404"/>
      <c r="O152" s="404"/>
      <c r="P152" s="404"/>
      <c r="Q152" s="404"/>
      <c r="R152" s="404"/>
      <c r="S152" s="404"/>
      <c r="T152" s="404"/>
      <c r="U152" s="404"/>
      <c r="V152" s="404">
        <v>46255</v>
      </c>
      <c r="W152" s="404"/>
      <c r="X152" s="404"/>
      <c r="Y152" s="404"/>
      <c r="Z152" s="411">
        <f>AB152-1</f>
        <v>46329</v>
      </c>
      <c r="AA152" s="411">
        <f>Z152</f>
        <v>46329</v>
      </c>
      <c r="AB152" s="411">
        <f>AC152-1</f>
        <v>46330</v>
      </c>
      <c r="AC152" s="411">
        <v>46331</v>
      </c>
      <c r="AD152" s="411">
        <v>46370</v>
      </c>
      <c r="AE152" s="411">
        <v>46029</v>
      </c>
      <c r="AF152" s="404">
        <v>46398</v>
      </c>
      <c r="AG152" s="404">
        <v>46412</v>
      </c>
      <c r="AH152" s="404">
        <v>46428</v>
      </c>
      <c r="AI152" s="405">
        <v>20</v>
      </c>
      <c r="AJ152" s="406">
        <v>140</v>
      </c>
      <c r="AK152" s="412">
        <v>46398</v>
      </c>
      <c r="AL152" s="407">
        <f>AP151-7</f>
        <v>46415</v>
      </c>
      <c r="AM152" s="399">
        <f>AL152-AK152</f>
        <v>17</v>
      </c>
      <c r="AN152" s="408"/>
      <c r="AO152" s="409" t="s">
        <v>65</v>
      </c>
      <c r="AP152" s="410">
        <v>46476</v>
      </c>
      <c r="AQ152" s="407"/>
    </row>
    <row r="153" s="333" customFormat="1" ht="23" hidden="1" customHeight="1" spans="1:43">
      <c r="A153" s="414"/>
      <c r="B153" s="415" t="s">
        <v>218</v>
      </c>
      <c r="C153" s="447" t="s">
        <v>219</v>
      </c>
      <c r="D153" s="429"/>
      <c r="E153" s="417"/>
      <c r="F153" s="418"/>
      <c r="G153" s="417" t="s">
        <v>85</v>
      </c>
      <c r="H153" s="415" t="s">
        <v>63</v>
      </c>
      <c r="I153" s="522" t="s">
        <v>215</v>
      </c>
      <c r="J153" s="415" t="s">
        <v>8</v>
      </c>
      <c r="K153" s="419" t="s">
        <v>66</v>
      </c>
      <c r="L153" s="420">
        <v>46174</v>
      </c>
      <c r="M153" s="420">
        <v>46167</v>
      </c>
      <c r="N153" s="420">
        <v>46183</v>
      </c>
      <c r="O153" s="420">
        <v>46183</v>
      </c>
      <c r="P153" s="420">
        <v>46183</v>
      </c>
      <c r="Q153" s="420">
        <v>46188</v>
      </c>
      <c r="R153" s="420">
        <v>46198</v>
      </c>
      <c r="S153" s="420">
        <v>46227</v>
      </c>
      <c r="T153" s="420">
        <v>46256</v>
      </c>
      <c r="U153" s="420">
        <v>46258</v>
      </c>
      <c r="V153" s="417"/>
      <c r="W153" s="420">
        <v>46258</v>
      </c>
      <c r="X153" s="420">
        <v>46266</v>
      </c>
      <c r="Y153" s="420">
        <f>X153+1</f>
        <v>46267</v>
      </c>
      <c r="Z153" s="420"/>
      <c r="AA153" s="420"/>
      <c r="AB153" s="420"/>
      <c r="AC153" s="420"/>
      <c r="AD153" s="420"/>
      <c r="AE153" s="420"/>
      <c r="AF153" s="420"/>
      <c r="AG153" s="420"/>
      <c r="AH153" s="420"/>
      <c r="AI153" s="422"/>
      <c r="AJ153" s="423"/>
      <c r="AK153" s="420"/>
      <c r="AL153" s="424"/>
      <c r="AM153" s="417"/>
      <c r="AN153" s="425"/>
      <c r="AO153" s="426"/>
      <c r="AP153" s="425" t="s">
        <v>216</v>
      </c>
      <c r="AQ153" s="424"/>
    </row>
    <row r="154" s="333" customFormat="1" ht="23" hidden="1" customHeight="1" spans="1:43">
      <c r="A154" s="396">
        <v>50</v>
      </c>
      <c r="B154" s="324" t="s">
        <v>220</v>
      </c>
      <c r="C154" s="324" t="s">
        <v>221</v>
      </c>
      <c r="D154" s="398"/>
      <c r="E154" s="399"/>
      <c r="F154" s="400"/>
      <c r="G154" s="399" t="s">
        <v>85</v>
      </c>
      <c r="H154" s="324"/>
      <c r="I154" s="401"/>
      <c r="J154" s="324" t="s">
        <v>8</v>
      </c>
      <c r="K154" s="402" t="s">
        <v>59</v>
      </c>
      <c r="L154" s="403"/>
      <c r="M154" s="404">
        <v>46163</v>
      </c>
      <c r="N154" s="404">
        <v>46170</v>
      </c>
      <c r="O154" s="404">
        <v>46171</v>
      </c>
      <c r="P154" s="404">
        <v>46182</v>
      </c>
      <c r="Q154" s="404">
        <v>46183</v>
      </c>
      <c r="R154" s="404">
        <v>46197</v>
      </c>
      <c r="S154" s="404">
        <v>46225</v>
      </c>
      <c r="T154" s="404">
        <v>46241</v>
      </c>
      <c r="U154" s="404"/>
      <c r="V154" s="404">
        <v>46254</v>
      </c>
      <c r="W154" s="404">
        <v>46258</v>
      </c>
      <c r="X154" s="404">
        <v>46265</v>
      </c>
      <c r="Y154" s="404">
        <v>46286</v>
      </c>
      <c r="Z154" s="404">
        <v>46300</v>
      </c>
      <c r="AA154" s="404">
        <v>46360</v>
      </c>
      <c r="AB154" s="404">
        <v>46363</v>
      </c>
      <c r="AC154" s="404">
        <v>46364</v>
      </c>
      <c r="AD154" s="404">
        <v>46413</v>
      </c>
      <c r="AE154" s="404">
        <v>46427</v>
      </c>
      <c r="AF154" s="404">
        <v>46434</v>
      </c>
      <c r="AG154" s="404">
        <v>46448</v>
      </c>
      <c r="AH154" s="404">
        <v>46464</v>
      </c>
      <c r="AI154" s="428">
        <v>25.7142857142857</v>
      </c>
      <c r="AJ154" s="406">
        <f>AI154*7</f>
        <v>180</v>
      </c>
      <c r="AK154" s="404">
        <f>V154+AJ154</f>
        <v>46434</v>
      </c>
      <c r="AL154" s="407">
        <f>AL155</f>
        <v>46415</v>
      </c>
      <c r="AM154" s="399">
        <f>AL155-AK154</f>
        <v>-19</v>
      </c>
      <c r="AN154" s="408"/>
      <c r="AO154" s="409" t="s">
        <v>61</v>
      </c>
      <c r="AP154" s="410">
        <v>46422</v>
      </c>
      <c r="AQ154" s="407"/>
    </row>
    <row r="155" s="333" customFormat="1" ht="23" customHeight="1" spans="1:43">
      <c r="A155" s="396"/>
      <c r="B155" s="324" t="s">
        <v>220</v>
      </c>
      <c r="C155" s="397" t="s">
        <v>221</v>
      </c>
      <c r="D155" s="427"/>
      <c r="E155" s="399"/>
      <c r="F155" s="400" t="s">
        <v>214</v>
      </c>
      <c r="G155" s="399" t="s">
        <v>85</v>
      </c>
      <c r="H155" s="324" t="s">
        <v>63</v>
      </c>
      <c r="I155" s="324" t="s">
        <v>215</v>
      </c>
      <c r="J155" s="324" t="s">
        <v>8</v>
      </c>
      <c r="K155" s="402" t="s">
        <v>64</v>
      </c>
      <c r="L155" s="404"/>
      <c r="M155" s="404"/>
      <c r="N155" s="404"/>
      <c r="O155" s="404"/>
      <c r="P155" s="404"/>
      <c r="Q155" s="404"/>
      <c r="R155" s="404"/>
      <c r="S155" s="404"/>
      <c r="T155" s="404"/>
      <c r="U155" s="404"/>
      <c r="V155" s="404">
        <v>46258</v>
      </c>
      <c r="W155" s="404"/>
      <c r="X155" s="404"/>
      <c r="Y155" s="404"/>
      <c r="Z155" s="411">
        <f>AB155-1</f>
        <v>46329</v>
      </c>
      <c r="AA155" s="411">
        <f>Z155</f>
        <v>46329</v>
      </c>
      <c r="AB155" s="411">
        <f>AC155-1</f>
        <v>46330</v>
      </c>
      <c r="AC155" s="411">
        <v>46331</v>
      </c>
      <c r="AD155" s="411">
        <v>46370</v>
      </c>
      <c r="AE155" s="411">
        <v>46029</v>
      </c>
      <c r="AF155" s="404">
        <v>46398</v>
      </c>
      <c r="AG155" s="404">
        <v>46412</v>
      </c>
      <c r="AH155" s="404">
        <v>46428</v>
      </c>
      <c r="AI155" s="405">
        <v>20</v>
      </c>
      <c r="AJ155" s="406">
        <v>140</v>
      </c>
      <c r="AK155" s="412">
        <v>46398</v>
      </c>
      <c r="AL155" s="407">
        <f>AP154-7</f>
        <v>46415</v>
      </c>
      <c r="AM155" s="399">
        <f>AL155-AK155</f>
        <v>17</v>
      </c>
      <c r="AN155" s="408"/>
      <c r="AO155" s="409" t="s">
        <v>65</v>
      </c>
      <c r="AP155" s="410">
        <v>46476</v>
      </c>
      <c r="AQ155" s="407"/>
    </row>
    <row r="156" s="333" customFormat="1" ht="23" hidden="1" customHeight="1" spans="1:43">
      <c r="A156" s="414"/>
      <c r="B156" s="415" t="s">
        <v>220</v>
      </c>
      <c r="C156" s="447" t="s">
        <v>221</v>
      </c>
      <c r="D156" s="427"/>
      <c r="E156" s="417"/>
      <c r="F156" s="418"/>
      <c r="G156" s="417" t="s">
        <v>85</v>
      </c>
      <c r="H156" s="415" t="s">
        <v>63</v>
      </c>
      <c r="I156" s="522" t="s">
        <v>215</v>
      </c>
      <c r="J156" s="415" t="s">
        <v>8</v>
      </c>
      <c r="K156" s="419" t="s">
        <v>66</v>
      </c>
      <c r="L156" s="420">
        <v>46174</v>
      </c>
      <c r="M156" s="420">
        <v>46167</v>
      </c>
      <c r="N156" s="420">
        <v>46183</v>
      </c>
      <c r="O156" s="420">
        <v>46183</v>
      </c>
      <c r="P156" s="420">
        <v>46183</v>
      </c>
      <c r="Q156" s="420">
        <v>46188</v>
      </c>
      <c r="R156" s="420">
        <v>46198</v>
      </c>
      <c r="S156" s="420">
        <v>46227</v>
      </c>
      <c r="T156" s="420">
        <v>46248</v>
      </c>
      <c r="U156" s="420">
        <v>46258</v>
      </c>
      <c r="V156" s="417"/>
      <c r="W156" s="420">
        <v>46258</v>
      </c>
      <c r="X156" s="420">
        <v>46266</v>
      </c>
      <c r="Y156" s="420">
        <f>X156+1</f>
        <v>46267</v>
      </c>
      <c r="Z156" s="420"/>
      <c r="AA156" s="420"/>
      <c r="AB156" s="420"/>
      <c r="AC156" s="420"/>
      <c r="AD156" s="420"/>
      <c r="AE156" s="420"/>
      <c r="AF156" s="420"/>
      <c r="AG156" s="420"/>
      <c r="AH156" s="420"/>
      <c r="AI156" s="422"/>
      <c r="AJ156" s="423"/>
      <c r="AK156" s="420"/>
      <c r="AL156" s="424"/>
      <c r="AM156" s="417"/>
      <c r="AN156" s="425"/>
      <c r="AO156" s="426"/>
      <c r="AP156" s="425" t="s">
        <v>216</v>
      </c>
      <c r="AQ156" s="424" t="s">
        <v>217</v>
      </c>
    </row>
    <row r="157" s="333" customFormat="1" ht="23" hidden="1" customHeight="1" spans="1:43">
      <c r="A157" s="396">
        <v>51</v>
      </c>
      <c r="B157" s="324" t="s">
        <v>222</v>
      </c>
      <c r="C157" s="324" t="s">
        <v>223</v>
      </c>
      <c r="D157" s="398"/>
      <c r="E157" s="399"/>
      <c r="F157" s="400"/>
      <c r="G157" s="399" t="s">
        <v>85</v>
      </c>
      <c r="H157" s="324"/>
      <c r="I157" s="401"/>
      <c r="J157" s="324" t="s">
        <v>8</v>
      </c>
      <c r="K157" s="402" t="s">
        <v>59</v>
      </c>
      <c r="L157" s="403"/>
      <c r="M157" s="404">
        <v>46163</v>
      </c>
      <c r="N157" s="404">
        <v>46170</v>
      </c>
      <c r="O157" s="404">
        <v>46171</v>
      </c>
      <c r="P157" s="404">
        <v>46182</v>
      </c>
      <c r="Q157" s="404">
        <v>46183</v>
      </c>
      <c r="R157" s="404">
        <v>46197</v>
      </c>
      <c r="S157" s="404">
        <v>46225</v>
      </c>
      <c r="T157" s="404">
        <v>46241</v>
      </c>
      <c r="U157" s="404"/>
      <c r="V157" s="404">
        <v>46254</v>
      </c>
      <c r="W157" s="404">
        <v>46258</v>
      </c>
      <c r="X157" s="404">
        <v>46265</v>
      </c>
      <c r="Y157" s="404">
        <v>46286</v>
      </c>
      <c r="Z157" s="404">
        <v>46300</v>
      </c>
      <c r="AA157" s="404">
        <v>46360</v>
      </c>
      <c r="AB157" s="404">
        <v>46363</v>
      </c>
      <c r="AC157" s="404">
        <v>46364</v>
      </c>
      <c r="AD157" s="404">
        <v>46413</v>
      </c>
      <c r="AE157" s="404">
        <v>46427</v>
      </c>
      <c r="AF157" s="404">
        <v>46434</v>
      </c>
      <c r="AG157" s="404">
        <v>46448</v>
      </c>
      <c r="AH157" s="404">
        <v>46464</v>
      </c>
      <c r="AI157" s="428">
        <v>25.7142857142857</v>
      </c>
      <c r="AJ157" s="406">
        <f>AI157*7</f>
        <v>180</v>
      </c>
      <c r="AK157" s="404">
        <f>V157+AJ157</f>
        <v>46434</v>
      </c>
      <c r="AL157" s="407">
        <f>AL158</f>
        <v>46415</v>
      </c>
      <c r="AM157" s="399">
        <f>AL158-AK157</f>
        <v>-19</v>
      </c>
      <c r="AN157" s="408"/>
      <c r="AO157" s="409" t="s">
        <v>61</v>
      </c>
      <c r="AP157" s="410">
        <v>46422</v>
      </c>
      <c r="AQ157" s="407"/>
    </row>
    <row r="158" s="333" customFormat="1" ht="23" customHeight="1" spans="1:43">
      <c r="A158" s="396"/>
      <c r="B158" s="324" t="s">
        <v>222</v>
      </c>
      <c r="C158" s="397" t="s">
        <v>223</v>
      </c>
      <c r="D158" s="427"/>
      <c r="E158" s="399"/>
      <c r="F158" s="400" t="s">
        <v>214</v>
      </c>
      <c r="G158" s="399" t="s">
        <v>85</v>
      </c>
      <c r="H158" s="324" t="s">
        <v>63</v>
      </c>
      <c r="I158" s="324" t="s">
        <v>215</v>
      </c>
      <c r="J158" s="324" t="s">
        <v>8</v>
      </c>
      <c r="K158" s="402" t="s">
        <v>64</v>
      </c>
      <c r="L158" s="404"/>
      <c r="M158" s="404"/>
      <c r="N158" s="404"/>
      <c r="O158" s="404"/>
      <c r="P158" s="404"/>
      <c r="Q158" s="404"/>
      <c r="R158" s="404"/>
      <c r="S158" s="404"/>
      <c r="T158" s="404"/>
      <c r="U158" s="404"/>
      <c r="V158" s="404">
        <v>46258</v>
      </c>
      <c r="W158" s="404"/>
      <c r="X158" s="404"/>
      <c r="Y158" s="404"/>
      <c r="Z158" s="411">
        <f>AB158-1</f>
        <v>46329</v>
      </c>
      <c r="AA158" s="411">
        <f>Z158</f>
        <v>46329</v>
      </c>
      <c r="AB158" s="411">
        <f>AC158-1</f>
        <v>46330</v>
      </c>
      <c r="AC158" s="411">
        <v>46331</v>
      </c>
      <c r="AD158" s="411">
        <v>46370</v>
      </c>
      <c r="AE158" s="411">
        <v>46029</v>
      </c>
      <c r="AF158" s="404">
        <v>46398</v>
      </c>
      <c r="AG158" s="404">
        <v>46412</v>
      </c>
      <c r="AH158" s="404">
        <v>46428</v>
      </c>
      <c r="AI158" s="405">
        <v>20</v>
      </c>
      <c r="AJ158" s="406">
        <v>140</v>
      </c>
      <c r="AK158" s="412">
        <v>46398</v>
      </c>
      <c r="AL158" s="407">
        <f>AP157-7</f>
        <v>46415</v>
      </c>
      <c r="AM158" s="399">
        <f>AL158-AK158</f>
        <v>17</v>
      </c>
      <c r="AN158" s="408"/>
      <c r="AO158" s="409" t="s">
        <v>65</v>
      </c>
      <c r="AP158" s="410">
        <v>46476</v>
      </c>
      <c r="AQ158" s="407"/>
    </row>
    <row r="159" s="333" customFormat="1" ht="23" hidden="1" customHeight="1" spans="1:43">
      <c r="A159" s="414"/>
      <c r="B159" s="415" t="s">
        <v>222</v>
      </c>
      <c r="C159" s="447" t="s">
        <v>223</v>
      </c>
      <c r="D159" s="429"/>
      <c r="E159" s="417"/>
      <c r="F159" s="418"/>
      <c r="G159" s="417" t="s">
        <v>85</v>
      </c>
      <c r="H159" s="415" t="s">
        <v>63</v>
      </c>
      <c r="I159" s="522" t="s">
        <v>215</v>
      </c>
      <c r="J159" s="415" t="s">
        <v>8</v>
      </c>
      <c r="K159" s="419" t="s">
        <v>66</v>
      </c>
      <c r="L159" s="420">
        <v>46174</v>
      </c>
      <c r="M159" s="420">
        <v>46167</v>
      </c>
      <c r="N159" s="420">
        <v>46183</v>
      </c>
      <c r="O159" s="420">
        <v>46183</v>
      </c>
      <c r="P159" s="420">
        <v>46183</v>
      </c>
      <c r="Q159" s="420">
        <v>46188</v>
      </c>
      <c r="R159" s="420">
        <v>46198</v>
      </c>
      <c r="S159" s="420">
        <v>46227</v>
      </c>
      <c r="T159" s="420">
        <v>46256</v>
      </c>
      <c r="U159" s="420">
        <v>46258</v>
      </c>
      <c r="V159" s="417"/>
      <c r="W159" s="420">
        <v>46258</v>
      </c>
      <c r="X159" s="420">
        <v>46266</v>
      </c>
      <c r="Y159" s="420">
        <f>X159+1</f>
        <v>46267</v>
      </c>
      <c r="Z159" s="420"/>
      <c r="AA159" s="420"/>
      <c r="AB159" s="420"/>
      <c r="AC159" s="420"/>
      <c r="AD159" s="420"/>
      <c r="AE159" s="420"/>
      <c r="AF159" s="420"/>
      <c r="AG159" s="420"/>
      <c r="AH159" s="420"/>
      <c r="AI159" s="422"/>
      <c r="AJ159" s="423"/>
      <c r="AK159" s="420"/>
      <c r="AL159" s="424"/>
      <c r="AM159" s="417"/>
      <c r="AN159" s="425"/>
      <c r="AO159" s="426"/>
      <c r="AP159" s="425" t="s">
        <v>216</v>
      </c>
      <c r="AQ159" s="424"/>
    </row>
    <row r="160" s="333" customFormat="1" ht="23" hidden="1" customHeight="1" spans="1:43">
      <c r="A160" s="396">
        <v>52</v>
      </c>
      <c r="B160" s="324" t="s">
        <v>224</v>
      </c>
      <c r="C160" s="324" t="s">
        <v>225</v>
      </c>
      <c r="D160" s="398"/>
      <c r="E160" s="399"/>
      <c r="F160" s="400"/>
      <c r="G160" s="399" t="s">
        <v>85</v>
      </c>
      <c r="H160" s="324"/>
      <c r="I160" s="401"/>
      <c r="J160" s="324" t="s">
        <v>8</v>
      </c>
      <c r="K160" s="402" t="s">
        <v>59</v>
      </c>
      <c r="L160" s="403"/>
      <c r="M160" s="404">
        <v>46163</v>
      </c>
      <c r="N160" s="404">
        <v>46170</v>
      </c>
      <c r="O160" s="404">
        <v>46171</v>
      </c>
      <c r="P160" s="404">
        <v>46182</v>
      </c>
      <c r="Q160" s="404">
        <v>46183</v>
      </c>
      <c r="R160" s="404">
        <v>46197</v>
      </c>
      <c r="S160" s="404">
        <v>46225</v>
      </c>
      <c r="T160" s="404">
        <v>46241</v>
      </c>
      <c r="U160" s="404"/>
      <c r="V160" s="404">
        <v>46254</v>
      </c>
      <c r="W160" s="404">
        <v>46258</v>
      </c>
      <c r="X160" s="404">
        <v>46265</v>
      </c>
      <c r="Y160" s="404">
        <v>46286</v>
      </c>
      <c r="Z160" s="404">
        <v>46300</v>
      </c>
      <c r="AA160" s="404">
        <v>46360</v>
      </c>
      <c r="AB160" s="404">
        <v>46363</v>
      </c>
      <c r="AC160" s="404">
        <v>46364</v>
      </c>
      <c r="AD160" s="404">
        <v>46429</v>
      </c>
      <c r="AE160" s="404">
        <v>46443</v>
      </c>
      <c r="AF160" s="404">
        <v>46450</v>
      </c>
      <c r="AG160" s="404">
        <v>46464</v>
      </c>
      <c r="AH160" s="404">
        <v>46480</v>
      </c>
      <c r="AI160" s="428">
        <v>28</v>
      </c>
      <c r="AJ160" s="406">
        <f>AI160*7</f>
        <v>196</v>
      </c>
      <c r="AK160" s="404">
        <f>V160+AJ160</f>
        <v>46450</v>
      </c>
      <c r="AL160" s="407">
        <f>AL161</f>
        <v>46415</v>
      </c>
      <c r="AM160" s="399">
        <f>AL161-AK160</f>
        <v>-35</v>
      </c>
      <c r="AN160" s="408"/>
      <c r="AO160" s="409" t="s">
        <v>61</v>
      </c>
      <c r="AP160" s="410">
        <v>46422</v>
      </c>
      <c r="AQ160" s="407"/>
    </row>
    <row r="161" s="333" customFormat="1" ht="23" customHeight="1" spans="1:43">
      <c r="A161" s="396"/>
      <c r="B161" s="324" t="s">
        <v>224</v>
      </c>
      <c r="C161" s="397" t="s">
        <v>225</v>
      </c>
      <c r="D161" s="427"/>
      <c r="E161" s="399"/>
      <c r="F161" s="400" t="s">
        <v>214</v>
      </c>
      <c r="G161" s="399" t="s">
        <v>85</v>
      </c>
      <c r="H161" s="324" t="s">
        <v>63</v>
      </c>
      <c r="I161" s="324" t="s">
        <v>215</v>
      </c>
      <c r="J161" s="324" t="s">
        <v>8</v>
      </c>
      <c r="K161" s="402" t="s">
        <v>64</v>
      </c>
      <c r="L161" s="404"/>
      <c r="M161" s="404"/>
      <c r="N161" s="404"/>
      <c r="O161" s="404"/>
      <c r="P161" s="404"/>
      <c r="Q161" s="404"/>
      <c r="R161" s="404"/>
      <c r="S161" s="404"/>
      <c r="T161" s="404"/>
      <c r="U161" s="404"/>
      <c r="V161" s="404">
        <v>46255</v>
      </c>
      <c r="W161" s="404"/>
      <c r="X161" s="404"/>
      <c r="Y161" s="411"/>
      <c r="Z161" s="404">
        <f>AA161-1</f>
        <v>46344</v>
      </c>
      <c r="AA161" s="411">
        <f>AB161-1</f>
        <v>46345</v>
      </c>
      <c r="AB161" s="411">
        <f>AC161-1</f>
        <v>46346</v>
      </c>
      <c r="AC161" s="411">
        <v>46347</v>
      </c>
      <c r="AD161" s="411">
        <v>46016</v>
      </c>
      <c r="AE161" s="411">
        <v>46030</v>
      </c>
      <c r="AF161" s="404">
        <v>46400</v>
      </c>
      <c r="AG161" s="404">
        <v>46414</v>
      </c>
      <c r="AH161" s="404">
        <v>46430</v>
      </c>
      <c r="AI161" s="405">
        <v>20</v>
      </c>
      <c r="AJ161" s="406">
        <v>140</v>
      </c>
      <c r="AK161" s="412">
        <v>46400</v>
      </c>
      <c r="AL161" s="407">
        <f>AP160-7</f>
        <v>46415</v>
      </c>
      <c r="AM161" s="399">
        <f>AL161-AK161</f>
        <v>15</v>
      </c>
      <c r="AN161" s="408"/>
      <c r="AO161" s="409" t="s">
        <v>65</v>
      </c>
      <c r="AP161" s="410">
        <v>46476</v>
      </c>
      <c r="AQ161" s="407"/>
    </row>
    <row r="162" s="333" customFormat="1" ht="23" hidden="1" customHeight="1" spans="1:43">
      <c r="A162" s="414"/>
      <c r="B162" s="415" t="s">
        <v>224</v>
      </c>
      <c r="C162" s="447" t="s">
        <v>225</v>
      </c>
      <c r="D162" s="427"/>
      <c r="E162" s="417"/>
      <c r="F162" s="418"/>
      <c r="G162" s="417" t="s">
        <v>85</v>
      </c>
      <c r="H162" s="415" t="s">
        <v>63</v>
      </c>
      <c r="I162" s="522" t="s">
        <v>215</v>
      </c>
      <c r="J162" s="415" t="s">
        <v>8</v>
      </c>
      <c r="K162" s="419" t="s">
        <v>66</v>
      </c>
      <c r="L162" s="420">
        <v>46174</v>
      </c>
      <c r="M162" s="420">
        <v>46167</v>
      </c>
      <c r="N162" s="420">
        <v>46183</v>
      </c>
      <c r="O162" s="420">
        <v>46183</v>
      </c>
      <c r="P162" s="420">
        <v>46183</v>
      </c>
      <c r="Q162" s="420">
        <v>46188</v>
      </c>
      <c r="R162" s="420">
        <v>46198</v>
      </c>
      <c r="S162" s="420">
        <v>46227</v>
      </c>
      <c r="T162" s="420">
        <v>46260</v>
      </c>
      <c r="U162" s="420">
        <v>46260</v>
      </c>
      <c r="V162" s="417"/>
      <c r="W162" s="420">
        <v>46260</v>
      </c>
      <c r="X162" s="420">
        <v>46266</v>
      </c>
      <c r="Y162" s="420">
        <f>X162+1</f>
        <v>46267</v>
      </c>
      <c r="Z162" s="420"/>
      <c r="AA162" s="420"/>
      <c r="AB162" s="420"/>
      <c r="AC162" s="420"/>
      <c r="AD162" s="420"/>
      <c r="AE162" s="420"/>
      <c r="AF162" s="420"/>
      <c r="AG162" s="420"/>
      <c r="AH162" s="420"/>
      <c r="AI162" s="422"/>
      <c r="AJ162" s="423"/>
      <c r="AK162" s="420"/>
      <c r="AL162" s="424"/>
      <c r="AM162" s="417"/>
      <c r="AN162" s="425"/>
      <c r="AO162" s="426"/>
      <c r="AP162" s="425" t="s">
        <v>226</v>
      </c>
      <c r="AQ162" s="424" t="s">
        <v>217</v>
      </c>
    </row>
    <row r="163" s="333" customFormat="1" ht="23" hidden="1" customHeight="1" spans="1:43">
      <c r="A163" s="396">
        <v>53</v>
      </c>
      <c r="B163" s="324" t="s">
        <v>227</v>
      </c>
      <c r="C163" s="324" t="s">
        <v>228</v>
      </c>
      <c r="D163" s="398"/>
      <c r="E163" s="399"/>
      <c r="F163" s="400"/>
      <c r="G163" s="399" t="s">
        <v>85</v>
      </c>
      <c r="H163" s="324"/>
      <c r="I163" s="401"/>
      <c r="J163" s="324" t="s">
        <v>8</v>
      </c>
      <c r="K163" s="402" t="s">
        <v>59</v>
      </c>
      <c r="L163" s="403"/>
      <c r="M163" s="404">
        <v>46163</v>
      </c>
      <c r="N163" s="404">
        <v>46170</v>
      </c>
      <c r="O163" s="404">
        <v>46171</v>
      </c>
      <c r="P163" s="404">
        <v>46182</v>
      </c>
      <c r="Q163" s="404">
        <v>46183</v>
      </c>
      <c r="R163" s="404">
        <v>46197</v>
      </c>
      <c r="S163" s="404">
        <v>46225</v>
      </c>
      <c r="T163" s="404">
        <v>46241</v>
      </c>
      <c r="U163" s="404"/>
      <c r="V163" s="404">
        <v>46254</v>
      </c>
      <c r="W163" s="404">
        <v>46258</v>
      </c>
      <c r="X163" s="404">
        <v>46265</v>
      </c>
      <c r="Y163" s="404">
        <v>46286</v>
      </c>
      <c r="Z163" s="404">
        <v>46300</v>
      </c>
      <c r="AA163" s="404">
        <v>46360</v>
      </c>
      <c r="AB163" s="404">
        <v>46363</v>
      </c>
      <c r="AC163" s="404">
        <v>46364</v>
      </c>
      <c r="AD163" s="404">
        <v>46429</v>
      </c>
      <c r="AE163" s="404">
        <v>46443</v>
      </c>
      <c r="AF163" s="404">
        <v>46450</v>
      </c>
      <c r="AG163" s="404">
        <v>46464</v>
      </c>
      <c r="AH163" s="404">
        <v>46480</v>
      </c>
      <c r="AI163" s="428">
        <v>28</v>
      </c>
      <c r="AJ163" s="406">
        <f>AI163*7</f>
        <v>196</v>
      </c>
      <c r="AK163" s="404">
        <f>V163+AJ163</f>
        <v>46450</v>
      </c>
      <c r="AL163" s="407">
        <f>AL164</f>
        <v>46415</v>
      </c>
      <c r="AM163" s="399">
        <f>AL164-AK163</f>
        <v>-35</v>
      </c>
      <c r="AN163" s="408"/>
      <c r="AO163" s="409" t="s">
        <v>61</v>
      </c>
      <c r="AP163" s="410">
        <v>46422</v>
      </c>
      <c r="AQ163" s="407"/>
    </row>
    <row r="164" s="333" customFormat="1" ht="23" customHeight="1" spans="1:43">
      <c r="A164" s="396"/>
      <c r="B164" s="324" t="s">
        <v>227</v>
      </c>
      <c r="C164" s="397" t="s">
        <v>228</v>
      </c>
      <c r="D164" s="427"/>
      <c r="E164" s="399"/>
      <c r="F164" s="400" t="s">
        <v>214</v>
      </c>
      <c r="G164" s="399" t="s">
        <v>85</v>
      </c>
      <c r="H164" s="324" t="s">
        <v>63</v>
      </c>
      <c r="I164" s="324" t="s">
        <v>215</v>
      </c>
      <c r="J164" s="324" t="s">
        <v>8</v>
      </c>
      <c r="K164" s="402" t="s">
        <v>64</v>
      </c>
      <c r="L164" s="404"/>
      <c r="M164" s="404"/>
      <c r="N164" s="404"/>
      <c r="O164" s="404"/>
      <c r="P164" s="404"/>
      <c r="Q164" s="404"/>
      <c r="R164" s="404"/>
      <c r="S164" s="404"/>
      <c r="T164" s="404"/>
      <c r="U164" s="404"/>
      <c r="V164" s="404">
        <v>46255</v>
      </c>
      <c r="W164" s="404"/>
      <c r="X164" s="404"/>
      <c r="Y164" s="411"/>
      <c r="Z164" s="404">
        <v>46344</v>
      </c>
      <c r="AA164" s="411">
        <v>46345</v>
      </c>
      <c r="AB164" s="411">
        <v>46346</v>
      </c>
      <c r="AC164" s="411">
        <v>46347</v>
      </c>
      <c r="AD164" s="411">
        <v>46030</v>
      </c>
      <c r="AE164" s="411">
        <v>46030</v>
      </c>
      <c r="AF164" s="404">
        <v>46400</v>
      </c>
      <c r="AG164" s="404">
        <v>46414</v>
      </c>
      <c r="AH164" s="404">
        <v>46430</v>
      </c>
      <c r="AI164" s="405">
        <v>20</v>
      </c>
      <c r="AJ164" s="406">
        <v>140</v>
      </c>
      <c r="AK164" s="412">
        <v>46400</v>
      </c>
      <c r="AL164" s="407">
        <f>AP163-7</f>
        <v>46415</v>
      </c>
      <c r="AM164" s="399">
        <f>AL164-AK164</f>
        <v>15</v>
      </c>
      <c r="AN164" s="408"/>
      <c r="AO164" s="409" t="s">
        <v>65</v>
      </c>
      <c r="AP164" s="410">
        <v>46476</v>
      </c>
      <c r="AQ164" s="407"/>
    </row>
    <row r="165" s="333" customFormat="1" ht="23" hidden="1" customHeight="1" spans="1:43">
      <c r="A165" s="414"/>
      <c r="B165" s="415" t="s">
        <v>227</v>
      </c>
      <c r="C165" s="447" t="s">
        <v>228</v>
      </c>
      <c r="D165" s="429"/>
      <c r="E165" s="417"/>
      <c r="F165" s="418"/>
      <c r="G165" s="417" t="s">
        <v>85</v>
      </c>
      <c r="H165" s="415" t="s">
        <v>63</v>
      </c>
      <c r="I165" s="522" t="s">
        <v>215</v>
      </c>
      <c r="J165" s="415" t="s">
        <v>8</v>
      </c>
      <c r="K165" s="419" t="s">
        <v>66</v>
      </c>
      <c r="L165" s="420">
        <v>46174</v>
      </c>
      <c r="M165" s="420">
        <v>46167</v>
      </c>
      <c r="N165" s="420">
        <v>46183</v>
      </c>
      <c r="O165" s="420">
        <v>46183</v>
      </c>
      <c r="P165" s="420">
        <v>46183</v>
      </c>
      <c r="Q165" s="420">
        <v>46188</v>
      </c>
      <c r="R165" s="420">
        <v>46198</v>
      </c>
      <c r="S165" s="420">
        <v>46227</v>
      </c>
      <c r="T165" s="420">
        <v>46256</v>
      </c>
      <c r="U165" s="420">
        <v>46260</v>
      </c>
      <c r="V165" s="417"/>
      <c r="W165" s="420">
        <v>46260</v>
      </c>
      <c r="X165" s="420">
        <v>46269</v>
      </c>
      <c r="Y165" s="420">
        <f>X165+1</f>
        <v>46270</v>
      </c>
      <c r="Z165" s="420"/>
      <c r="AA165" s="420"/>
      <c r="AB165" s="420"/>
      <c r="AC165" s="420"/>
      <c r="AD165" s="420"/>
      <c r="AE165" s="420"/>
      <c r="AF165" s="420"/>
      <c r="AG165" s="420"/>
      <c r="AH165" s="420"/>
      <c r="AI165" s="422"/>
      <c r="AJ165" s="423"/>
      <c r="AK165" s="420"/>
      <c r="AL165" s="424"/>
      <c r="AM165" s="417"/>
      <c r="AN165" s="425"/>
      <c r="AO165" s="426"/>
      <c r="AP165" s="425" t="s">
        <v>226</v>
      </c>
      <c r="AQ165" s="424"/>
    </row>
    <row r="166" s="333" customFormat="1" ht="23" hidden="1" customHeight="1" spans="1:43">
      <c r="A166" s="396">
        <v>54</v>
      </c>
      <c r="B166" s="324" t="s">
        <v>229</v>
      </c>
      <c r="C166" s="324" t="s">
        <v>230</v>
      </c>
      <c r="D166" s="398"/>
      <c r="E166" s="399"/>
      <c r="F166" s="400"/>
      <c r="G166" s="399" t="s">
        <v>85</v>
      </c>
      <c r="H166" s="324"/>
      <c r="I166" s="401"/>
      <c r="J166" s="324" t="s">
        <v>7</v>
      </c>
      <c r="K166" s="402" t="s">
        <v>59</v>
      </c>
      <c r="L166" s="403"/>
      <c r="M166" s="404">
        <v>46163</v>
      </c>
      <c r="N166" s="404">
        <v>46170</v>
      </c>
      <c r="O166" s="404">
        <v>46171</v>
      </c>
      <c r="P166" s="404">
        <v>46182</v>
      </c>
      <c r="Q166" s="404">
        <v>46183</v>
      </c>
      <c r="R166" s="404">
        <v>46197</v>
      </c>
      <c r="S166" s="404">
        <v>46225</v>
      </c>
      <c r="T166" s="404">
        <v>46241</v>
      </c>
      <c r="U166" s="404"/>
      <c r="V166" s="404">
        <v>46254</v>
      </c>
      <c r="W166" s="404">
        <v>46258</v>
      </c>
      <c r="X166" s="404">
        <v>46265</v>
      </c>
      <c r="Y166" s="404">
        <v>46286</v>
      </c>
      <c r="Z166" s="404">
        <v>46300</v>
      </c>
      <c r="AA166" s="404">
        <v>46360</v>
      </c>
      <c r="AB166" s="404">
        <v>46363</v>
      </c>
      <c r="AC166" s="404">
        <v>46364</v>
      </c>
      <c r="AD166" s="404">
        <v>46429</v>
      </c>
      <c r="AE166" s="404">
        <v>46443</v>
      </c>
      <c r="AF166" s="404">
        <v>46450</v>
      </c>
      <c r="AG166" s="404">
        <v>46464</v>
      </c>
      <c r="AH166" s="404">
        <v>46480</v>
      </c>
      <c r="AI166" s="428">
        <v>28</v>
      </c>
      <c r="AJ166" s="406">
        <f>AI166*7</f>
        <v>196</v>
      </c>
      <c r="AK166" s="404">
        <f>V166+AJ166</f>
        <v>46450</v>
      </c>
      <c r="AL166" s="407">
        <f>AL167</f>
        <v>46452</v>
      </c>
      <c r="AM166" s="399">
        <f>AL167-AK166</f>
        <v>2</v>
      </c>
      <c r="AN166" s="408"/>
      <c r="AO166" s="409" t="s">
        <v>61</v>
      </c>
      <c r="AP166" s="410">
        <v>46459</v>
      </c>
      <c r="AQ166" s="407"/>
    </row>
    <row r="167" s="333" customFormat="1" ht="23" customHeight="1" spans="1:43">
      <c r="A167" s="396"/>
      <c r="B167" s="324" t="s">
        <v>229</v>
      </c>
      <c r="C167" s="397" t="s">
        <v>230</v>
      </c>
      <c r="D167" s="427"/>
      <c r="E167" s="399"/>
      <c r="F167" s="400" t="s">
        <v>214</v>
      </c>
      <c r="G167" s="399" t="s">
        <v>85</v>
      </c>
      <c r="H167" s="324" t="s">
        <v>63</v>
      </c>
      <c r="I167" s="324" t="s">
        <v>215</v>
      </c>
      <c r="J167" s="324" t="s">
        <v>7</v>
      </c>
      <c r="K167" s="402" t="s">
        <v>64</v>
      </c>
      <c r="L167" s="404"/>
      <c r="M167" s="404"/>
      <c r="N167" s="404"/>
      <c r="O167" s="404"/>
      <c r="P167" s="404"/>
      <c r="Q167" s="404"/>
      <c r="R167" s="404"/>
      <c r="S167" s="404"/>
      <c r="T167" s="404"/>
      <c r="U167" s="404"/>
      <c r="V167" s="404">
        <v>46254</v>
      </c>
      <c r="W167" s="404"/>
      <c r="X167" s="411"/>
      <c r="Y167" s="411"/>
      <c r="Z167" s="411">
        <f>AB167-5</f>
        <v>46344</v>
      </c>
      <c r="AA167" s="411">
        <v>46348</v>
      </c>
      <c r="AB167" s="411">
        <v>46349</v>
      </c>
      <c r="AC167" s="411">
        <v>46351</v>
      </c>
      <c r="AD167" s="411">
        <v>46426</v>
      </c>
      <c r="AE167" s="411">
        <v>46431</v>
      </c>
      <c r="AF167" s="404">
        <v>46436</v>
      </c>
      <c r="AG167" s="404">
        <v>46450</v>
      </c>
      <c r="AH167" s="404">
        <v>46466</v>
      </c>
      <c r="AI167" s="405">
        <v>27</v>
      </c>
      <c r="AJ167" s="406">
        <v>189</v>
      </c>
      <c r="AK167" s="412">
        <v>46436</v>
      </c>
      <c r="AL167" s="407">
        <f>AP166-7</f>
        <v>46452</v>
      </c>
      <c r="AM167" s="399">
        <f>AL167-AK167</f>
        <v>16</v>
      </c>
      <c r="AN167" s="408"/>
      <c r="AO167" s="409" t="s">
        <v>65</v>
      </c>
      <c r="AP167" s="410">
        <v>46476</v>
      </c>
      <c r="AQ167" s="407"/>
    </row>
    <row r="168" s="333" customFormat="1" ht="23" hidden="1" customHeight="1" spans="1:43">
      <c r="A168" s="414"/>
      <c r="B168" s="415" t="s">
        <v>229</v>
      </c>
      <c r="C168" s="447" t="s">
        <v>230</v>
      </c>
      <c r="D168" s="429"/>
      <c r="E168" s="417"/>
      <c r="F168" s="418"/>
      <c r="G168" s="417" t="s">
        <v>85</v>
      </c>
      <c r="H168" s="415" t="s">
        <v>63</v>
      </c>
      <c r="I168" s="522" t="s">
        <v>215</v>
      </c>
      <c r="J168" s="415" t="s">
        <v>7</v>
      </c>
      <c r="K168" s="419" t="s">
        <v>66</v>
      </c>
      <c r="L168" s="420">
        <v>46174</v>
      </c>
      <c r="M168" s="420">
        <v>46167</v>
      </c>
      <c r="N168" s="420">
        <v>46183</v>
      </c>
      <c r="O168" s="420">
        <v>46183</v>
      </c>
      <c r="P168" s="420">
        <v>46183</v>
      </c>
      <c r="Q168" s="420">
        <v>46188</v>
      </c>
      <c r="R168" s="420">
        <v>46198</v>
      </c>
      <c r="S168" s="420">
        <v>46226</v>
      </c>
      <c r="T168" s="420">
        <v>46240</v>
      </c>
      <c r="U168" s="420">
        <v>46247</v>
      </c>
      <c r="V168" s="417"/>
      <c r="W168" s="420">
        <v>46247</v>
      </c>
      <c r="X168" s="420">
        <v>46269</v>
      </c>
      <c r="Y168" s="420">
        <f>X168+1</f>
        <v>46270</v>
      </c>
      <c r="Z168" s="420"/>
      <c r="AA168" s="420"/>
      <c r="AB168" s="420"/>
      <c r="AC168" s="420"/>
      <c r="AD168" s="420"/>
      <c r="AE168" s="420"/>
      <c r="AF168" s="420"/>
      <c r="AG168" s="420"/>
      <c r="AH168" s="420"/>
      <c r="AI168" s="422"/>
      <c r="AJ168" s="423"/>
      <c r="AK168" s="420"/>
      <c r="AL168" s="424"/>
      <c r="AM168" s="417"/>
      <c r="AN168" s="425"/>
      <c r="AO168" s="426"/>
      <c r="AP168" s="425" t="s">
        <v>231</v>
      </c>
      <c r="AQ168" s="424"/>
    </row>
    <row r="169" s="333" customFormat="1" ht="23" hidden="1" customHeight="1" spans="1:43">
      <c r="A169" s="396">
        <v>55</v>
      </c>
      <c r="B169" s="324" t="s">
        <v>232</v>
      </c>
      <c r="C169" s="324" t="s">
        <v>233</v>
      </c>
      <c r="D169" s="448"/>
      <c r="E169" s="399">
        <v>328.5</v>
      </c>
      <c r="F169" s="400"/>
      <c r="G169" s="399" t="s">
        <v>234</v>
      </c>
      <c r="H169" s="324"/>
      <c r="I169" s="401"/>
      <c r="J169" s="324" t="s">
        <v>6</v>
      </c>
      <c r="K169" s="402" t="s">
        <v>59</v>
      </c>
      <c r="L169" s="403"/>
      <c r="M169" s="404">
        <v>46167</v>
      </c>
      <c r="N169" s="404">
        <v>46167</v>
      </c>
      <c r="O169" s="404">
        <v>46168</v>
      </c>
      <c r="P169" s="404">
        <v>46171</v>
      </c>
      <c r="Q169" s="404">
        <v>46172</v>
      </c>
      <c r="R169" s="404">
        <v>46175</v>
      </c>
      <c r="S169" s="404">
        <v>46178</v>
      </c>
      <c r="T169" s="404">
        <v>46182</v>
      </c>
      <c r="U169" s="404"/>
      <c r="V169" s="404">
        <v>46183</v>
      </c>
      <c r="W169" s="404">
        <v>46185</v>
      </c>
      <c r="X169" s="404">
        <v>46190</v>
      </c>
      <c r="Y169" s="404">
        <v>46202</v>
      </c>
      <c r="Z169" s="404">
        <v>46212</v>
      </c>
      <c r="AA169" s="404">
        <v>46219</v>
      </c>
      <c r="AB169" s="404">
        <v>46219</v>
      </c>
      <c r="AC169" s="404">
        <v>46219</v>
      </c>
      <c r="AD169" s="404">
        <v>46233</v>
      </c>
      <c r="AE169" s="404">
        <v>46240</v>
      </c>
      <c r="AF169" s="404">
        <v>46243</v>
      </c>
      <c r="AG169" s="404">
        <v>46257</v>
      </c>
      <c r="AH169" s="404">
        <v>46273</v>
      </c>
      <c r="AI169" s="428">
        <v>8.57142857142857</v>
      </c>
      <c r="AJ169" s="406">
        <f>AI169*7</f>
        <v>60</v>
      </c>
      <c r="AK169" s="404">
        <f>V169+AJ169</f>
        <v>46243</v>
      </c>
      <c r="AL169" s="407">
        <f>AL170</f>
        <v>46245</v>
      </c>
      <c r="AM169" s="399">
        <f>AL170-AK169</f>
        <v>2</v>
      </c>
      <c r="AN169" s="408" t="s">
        <v>60</v>
      </c>
      <c r="AO169" s="409" t="s">
        <v>61</v>
      </c>
      <c r="AP169" s="410">
        <v>46252</v>
      </c>
      <c r="AQ169" s="407"/>
    </row>
    <row r="170" s="333" customFormat="1" ht="23" customHeight="1" spans="1:43">
      <c r="A170" s="396"/>
      <c r="B170" s="324" t="s">
        <v>232</v>
      </c>
      <c r="C170" s="397" t="s">
        <v>233</v>
      </c>
      <c r="D170" s="449"/>
      <c r="E170" s="399">
        <v>328.5</v>
      </c>
      <c r="F170" s="400" t="s">
        <v>235</v>
      </c>
      <c r="G170" s="399" t="s">
        <v>234</v>
      </c>
      <c r="H170" s="324" t="s">
        <v>63</v>
      </c>
      <c r="I170" s="324">
        <v>2</v>
      </c>
      <c r="J170" s="324" t="s">
        <v>6</v>
      </c>
      <c r="K170" s="402" t="s">
        <v>64</v>
      </c>
      <c r="L170" s="404">
        <v>46120</v>
      </c>
      <c r="M170" s="404"/>
      <c r="N170" s="404"/>
      <c r="O170" s="404"/>
      <c r="P170" s="404"/>
      <c r="Q170" s="404"/>
      <c r="R170" s="404"/>
      <c r="S170" s="404"/>
      <c r="T170" s="404"/>
      <c r="U170" s="404"/>
      <c r="V170" s="404"/>
      <c r="W170" s="404"/>
      <c r="X170" s="404"/>
      <c r="Y170" s="404"/>
      <c r="Z170" s="404"/>
      <c r="AA170" s="404"/>
      <c r="AB170" s="404"/>
      <c r="AC170" s="404"/>
      <c r="AD170" s="404"/>
      <c r="AE170" s="411"/>
      <c r="AF170" s="404"/>
      <c r="AG170" s="411">
        <v>46305</v>
      </c>
      <c r="AH170" s="411">
        <f>AG170+14</f>
        <v>46319</v>
      </c>
      <c r="AI170" s="405">
        <v>8.57142857142857</v>
      </c>
      <c r="AJ170" s="406">
        <v>60</v>
      </c>
      <c r="AK170" s="404">
        <f>IF(V170&lt;&gt;"",V170+AJ170,V171+AJ170)</f>
        <v>46245</v>
      </c>
      <c r="AL170" s="407">
        <f>AP169-7</f>
        <v>46245</v>
      </c>
      <c r="AM170" s="399">
        <f>AL170-AK170</f>
        <v>0</v>
      </c>
      <c r="AN170" s="413" t="str">
        <f>AN169</f>
        <v>Long Lead</v>
      </c>
      <c r="AO170" s="409" t="s">
        <v>65</v>
      </c>
      <c r="AP170" s="410">
        <v>46275</v>
      </c>
      <c r="AQ170" s="407" t="s">
        <v>236</v>
      </c>
    </row>
    <row r="171" s="333" customFormat="1" ht="23" hidden="1" customHeight="1" spans="1:43">
      <c r="A171" s="414"/>
      <c r="B171" s="415" t="s">
        <v>232</v>
      </c>
      <c r="C171" s="447" t="s">
        <v>233</v>
      </c>
      <c r="D171" s="450"/>
      <c r="E171" s="417">
        <v>328.5</v>
      </c>
      <c r="F171" s="418"/>
      <c r="G171" s="417" t="s">
        <v>237</v>
      </c>
      <c r="H171" s="415" t="s">
        <v>63</v>
      </c>
      <c r="I171" s="324">
        <v>2</v>
      </c>
      <c r="J171" s="415" t="s">
        <v>6</v>
      </c>
      <c r="K171" s="419" t="s">
        <v>66</v>
      </c>
      <c r="L171" s="420">
        <v>46120</v>
      </c>
      <c r="M171" s="420">
        <v>46162</v>
      </c>
      <c r="N171" s="420">
        <v>46175</v>
      </c>
      <c r="O171" s="420">
        <v>46175</v>
      </c>
      <c r="P171" s="420">
        <v>46179</v>
      </c>
      <c r="Q171" s="420">
        <v>46179</v>
      </c>
      <c r="R171" s="420">
        <v>46179</v>
      </c>
      <c r="S171" s="420">
        <v>46185</v>
      </c>
      <c r="T171" s="420">
        <v>46185</v>
      </c>
      <c r="U171" s="420">
        <v>46185</v>
      </c>
      <c r="V171" s="420">
        <v>46185</v>
      </c>
      <c r="W171" s="420">
        <v>46185</v>
      </c>
      <c r="X171" s="420">
        <v>46190</v>
      </c>
      <c r="Y171" s="420">
        <v>46223</v>
      </c>
      <c r="Z171" s="420">
        <v>46276</v>
      </c>
      <c r="AA171" s="420">
        <v>46227</v>
      </c>
      <c r="AB171" s="420">
        <v>46227</v>
      </c>
      <c r="AC171" s="420">
        <v>46227</v>
      </c>
      <c r="AD171" s="420">
        <v>46258</v>
      </c>
      <c r="AE171" s="420">
        <v>46258</v>
      </c>
      <c r="AF171" s="420">
        <v>46258</v>
      </c>
      <c r="AG171" s="420">
        <v>46258</v>
      </c>
      <c r="AH171" s="420"/>
      <c r="AI171" s="422"/>
      <c r="AJ171" s="423"/>
      <c r="AK171" s="420"/>
      <c r="AL171" s="424"/>
      <c r="AM171" s="417"/>
      <c r="AN171" s="425" t="str">
        <f>AN169</f>
        <v>Long Lead</v>
      </c>
      <c r="AO171" s="426"/>
      <c r="AP171" s="425" t="s">
        <v>238</v>
      </c>
      <c r="AQ171" s="424"/>
    </row>
    <row r="172" s="333" customFormat="1" ht="23" hidden="1" customHeight="1" spans="1:43">
      <c r="A172" s="396">
        <v>56</v>
      </c>
      <c r="B172" s="324" t="s">
        <v>239</v>
      </c>
      <c r="C172" s="324" t="s">
        <v>240</v>
      </c>
      <c r="D172" s="448"/>
      <c r="E172" s="399">
        <v>557.69</v>
      </c>
      <c r="F172" s="400"/>
      <c r="G172" s="399" t="s">
        <v>234</v>
      </c>
      <c r="H172" s="324"/>
      <c r="I172" s="401"/>
      <c r="J172" s="324" t="s">
        <v>6</v>
      </c>
      <c r="K172" s="402" t="s">
        <v>59</v>
      </c>
      <c r="L172" s="403"/>
      <c r="M172" s="404">
        <v>46186</v>
      </c>
      <c r="N172" s="404">
        <v>46191</v>
      </c>
      <c r="O172" s="404">
        <v>46191</v>
      </c>
      <c r="P172" s="404">
        <v>46191</v>
      </c>
      <c r="Q172" s="404">
        <v>46191</v>
      </c>
      <c r="R172" s="404">
        <v>46199</v>
      </c>
      <c r="S172" s="404">
        <v>46202</v>
      </c>
      <c r="T172" s="404">
        <v>46205</v>
      </c>
      <c r="U172" s="404"/>
      <c r="V172" s="404">
        <v>46209</v>
      </c>
      <c r="W172" s="404">
        <v>46209</v>
      </c>
      <c r="X172" s="404">
        <v>46214</v>
      </c>
      <c r="Y172" s="404">
        <v>46224</v>
      </c>
      <c r="Z172" s="404">
        <v>46234</v>
      </c>
      <c r="AA172" s="404">
        <v>46241</v>
      </c>
      <c r="AB172" s="404">
        <v>46239</v>
      </c>
      <c r="AC172" s="404">
        <v>46241</v>
      </c>
      <c r="AD172" s="404">
        <v>46287</v>
      </c>
      <c r="AE172" s="404">
        <v>46294</v>
      </c>
      <c r="AF172" s="404">
        <v>46297</v>
      </c>
      <c r="AG172" s="404">
        <v>46311</v>
      </c>
      <c r="AH172" s="404">
        <v>46327</v>
      </c>
      <c r="AI172" s="428">
        <v>12.8571428571429</v>
      </c>
      <c r="AJ172" s="406">
        <f>AI172*7</f>
        <v>90.0000000000003</v>
      </c>
      <c r="AK172" s="404">
        <f>V172+AJ172</f>
        <v>46299</v>
      </c>
      <c r="AL172" s="407">
        <f>AL173</f>
        <v>46317</v>
      </c>
      <c r="AM172" s="399">
        <f>AL173-AK172</f>
        <v>18</v>
      </c>
      <c r="AN172" s="408" t="s">
        <v>60</v>
      </c>
      <c r="AO172" s="409" t="s">
        <v>61</v>
      </c>
      <c r="AP172" s="410">
        <v>46303</v>
      </c>
      <c r="AQ172" s="407"/>
    </row>
    <row r="173" s="333" customFormat="1" ht="23" customHeight="1" spans="1:43">
      <c r="A173" s="396"/>
      <c r="B173" s="324" t="s">
        <v>239</v>
      </c>
      <c r="C173" s="324" t="s">
        <v>240</v>
      </c>
      <c r="D173" s="449"/>
      <c r="E173" s="399">
        <v>557.69</v>
      </c>
      <c r="F173" s="400" t="s">
        <v>235</v>
      </c>
      <c r="G173" s="399" t="s">
        <v>234</v>
      </c>
      <c r="H173" s="324" t="s">
        <v>63</v>
      </c>
      <c r="I173" s="324">
        <v>2</v>
      </c>
      <c r="J173" s="324" t="s">
        <v>6</v>
      </c>
      <c r="K173" s="402" t="s">
        <v>64</v>
      </c>
      <c r="L173" s="404">
        <v>46137</v>
      </c>
      <c r="M173" s="404"/>
      <c r="N173" s="404"/>
      <c r="O173" s="404"/>
      <c r="P173" s="404"/>
      <c r="Q173" s="404"/>
      <c r="R173" s="404"/>
      <c r="S173" s="404"/>
      <c r="T173" s="404"/>
      <c r="U173" s="404"/>
      <c r="V173" s="404"/>
      <c r="W173" s="404"/>
      <c r="X173" s="404"/>
      <c r="Y173" s="404"/>
      <c r="Z173" s="411"/>
      <c r="AA173" s="404"/>
      <c r="AB173" s="404"/>
      <c r="AC173" s="404"/>
      <c r="AD173" s="404"/>
      <c r="AE173" s="411"/>
      <c r="AF173" s="404">
        <f>AK173</f>
        <v>46309</v>
      </c>
      <c r="AG173" s="404">
        <f>AK173+14</f>
        <v>46323</v>
      </c>
      <c r="AH173" s="404">
        <f>AK173+30</f>
        <v>46339</v>
      </c>
      <c r="AI173" s="405">
        <v>12.8571428571429</v>
      </c>
      <c r="AJ173" s="406">
        <v>90.0000000000003</v>
      </c>
      <c r="AK173" s="404">
        <f>IF(V173&lt;&gt;"",V173+AJ173,V174+AJ173)</f>
        <v>46309</v>
      </c>
      <c r="AL173" s="407">
        <f>AP173-6</f>
        <v>46317</v>
      </c>
      <c r="AM173" s="399">
        <f>AL173-AK173</f>
        <v>8</v>
      </c>
      <c r="AN173" s="413" t="str">
        <f>AN172</f>
        <v>Long Lead</v>
      </c>
      <c r="AO173" s="409" t="s">
        <v>65</v>
      </c>
      <c r="AP173" s="410">
        <v>46323</v>
      </c>
      <c r="AQ173" s="407" t="s">
        <v>241</v>
      </c>
    </row>
    <row r="174" s="333" customFormat="1" ht="23" hidden="1" customHeight="1" spans="1:43">
      <c r="A174" s="414"/>
      <c r="B174" s="415" t="s">
        <v>239</v>
      </c>
      <c r="C174" s="447" t="s">
        <v>240</v>
      </c>
      <c r="D174" s="450"/>
      <c r="E174" s="417">
        <v>557.69</v>
      </c>
      <c r="F174" s="418"/>
      <c r="G174" s="417" t="s">
        <v>237</v>
      </c>
      <c r="H174" s="415" t="s">
        <v>63</v>
      </c>
      <c r="I174" s="324">
        <v>2</v>
      </c>
      <c r="J174" s="415" t="s">
        <v>6</v>
      </c>
      <c r="K174" s="419" t="s">
        <v>66</v>
      </c>
      <c r="L174" s="420">
        <v>46137</v>
      </c>
      <c r="M174" s="420">
        <v>46162</v>
      </c>
      <c r="N174" s="420">
        <v>46175</v>
      </c>
      <c r="O174" s="420">
        <v>46175</v>
      </c>
      <c r="P174" s="420">
        <v>46179</v>
      </c>
      <c r="Q174" s="420">
        <v>46179</v>
      </c>
      <c r="R174" s="420">
        <v>46179</v>
      </c>
      <c r="S174" s="420">
        <v>46213</v>
      </c>
      <c r="T174" s="420">
        <v>46217</v>
      </c>
      <c r="U174" s="420">
        <v>46219</v>
      </c>
      <c r="V174" s="420">
        <v>46219</v>
      </c>
      <c r="W174" s="420">
        <f>V174</f>
        <v>46219</v>
      </c>
      <c r="X174" s="420">
        <v>46202</v>
      </c>
      <c r="Y174" s="420">
        <f>X174+1</f>
        <v>46203</v>
      </c>
      <c r="Z174" s="420">
        <v>46276</v>
      </c>
      <c r="AA174" s="420">
        <v>46275</v>
      </c>
      <c r="AB174" s="420">
        <v>46275</v>
      </c>
      <c r="AC174" s="420">
        <v>46275</v>
      </c>
      <c r="AD174" s="420">
        <v>46283</v>
      </c>
      <c r="AE174" s="420">
        <v>46283</v>
      </c>
      <c r="AF174" s="420"/>
      <c r="AG174" s="420"/>
      <c r="AH174" s="420"/>
      <c r="AI174" s="422"/>
      <c r="AJ174" s="423"/>
      <c r="AK174" s="420"/>
      <c r="AL174" s="424"/>
      <c r="AM174" s="417"/>
      <c r="AN174" s="425" t="str">
        <f>AN172</f>
        <v>Long Lead</v>
      </c>
      <c r="AO174" s="426"/>
      <c r="AP174" s="425" t="s">
        <v>242</v>
      </c>
      <c r="AQ174" s="424"/>
    </row>
    <row r="175" s="333" customFormat="1" ht="23" hidden="1" customHeight="1" spans="1:43">
      <c r="A175" s="396">
        <v>57</v>
      </c>
      <c r="B175" s="324" t="s">
        <v>243</v>
      </c>
      <c r="C175" s="324" t="s">
        <v>244</v>
      </c>
      <c r="D175" s="448"/>
      <c r="E175" s="399">
        <v>191.8</v>
      </c>
      <c r="F175" s="400">
        <v>3</v>
      </c>
      <c r="G175" s="399" t="s">
        <v>234</v>
      </c>
      <c r="H175" s="324"/>
      <c r="I175" s="401"/>
      <c r="J175" s="324" t="s">
        <v>6</v>
      </c>
      <c r="K175" s="402" t="s">
        <v>59</v>
      </c>
      <c r="L175" s="403"/>
      <c r="M175" s="404">
        <v>46188</v>
      </c>
      <c r="N175" s="404">
        <v>46195</v>
      </c>
      <c r="O175" s="404">
        <v>46195</v>
      </c>
      <c r="P175" s="404">
        <v>46195</v>
      </c>
      <c r="Q175" s="404">
        <v>46193</v>
      </c>
      <c r="R175" s="404">
        <v>46202</v>
      </c>
      <c r="S175" s="404">
        <v>46204</v>
      </c>
      <c r="T175" s="404">
        <v>46207</v>
      </c>
      <c r="U175" s="404"/>
      <c r="V175" s="404">
        <v>46209</v>
      </c>
      <c r="W175" s="404">
        <v>46211</v>
      </c>
      <c r="X175" s="404">
        <v>46216</v>
      </c>
      <c r="Y175" s="404">
        <v>46226</v>
      </c>
      <c r="Z175" s="404">
        <v>46237</v>
      </c>
      <c r="AA175" s="404">
        <v>46243</v>
      </c>
      <c r="AB175" s="404">
        <v>46241</v>
      </c>
      <c r="AC175" s="404">
        <v>46243</v>
      </c>
      <c r="AD175" s="404">
        <v>46289</v>
      </c>
      <c r="AE175" s="404">
        <v>46296</v>
      </c>
      <c r="AF175" s="404">
        <v>46299</v>
      </c>
      <c r="AG175" s="404">
        <v>46313</v>
      </c>
      <c r="AH175" s="404">
        <v>46329</v>
      </c>
      <c r="AI175" s="428">
        <v>12.8571428571429</v>
      </c>
      <c r="AJ175" s="406">
        <f>AI175*7</f>
        <v>90.0000000000003</v>
      </c>
      <c r="AK175" s="404">
        <f>V175+AJ175</f>
        <v>46299</v>
      </c>
      <c r="AL175" s="407">
        <f>AL176</f>
        <v>46328</v>
      </c>
      <c r="AM175" s="399">
        <f>AL176-AK175</f>
        <v>29</v>
      </c>
      <c r="AN175" s="408"/>
      <c r="AO175" s="409" t="s">
        <v>61</v>
      </c>
      <c r="AP175" s="410">
        <v>46331</v>
      </c>
      <c r="AQ175" s="407"/>
    </row>
    <row r="176" s="333" customFormat="1" ht="23" customHeight="1" spans="1:43">
      <c r="A176" s="396"/>
      <c r="B176" s="324" t="s">
        <v>243</v>
      </c>
      <c r="C176" s="324" t="s">
        <v>244</v>
      </c>
      <c r="D176" s="449"/>
      <c r="E176" s="399">
        <f>E175</f>
        <v>191.8</v>
      </c>
      <c r="F176" s="400" t="s">
        <v>245</v>
      </c>
      <c r="G176" s="399" t="s">
        <v>234</v>
      </c>
      <c r="H176" s="324" t="s">
        <v>63</v>
      </c>
      <c r="I176" s="324">
        <v>2</v>
      </c>
      <c r="J176" s="324" t="s">
        <v>6</v>
      </c>
      <c r="K176" s="402" t="s">
        <v>64</v>
      </c>
      <c r="L176" s="404">
        <v>46137</v>
      </c>
      <c r="M176" s="404"/>
      <c r="N176" s="404"/>
      <c r="O176" s="404"/>
      <c r="P176" s="404"/>
      <c r="Q176" s="404"/>
      <c r="R176" s="404"/>
      <c r="S176" s="404"/>
      <c r="T176" s="404"/>
      <c r="U176" s="404"/>
      <c r="V176" s="404"/>
      <c r="W176" s="404"/>
      <c r="X176" s="404"/>
      <c r="Y176" s="404"/>
      <c r="Z176" s="411"/>
      <c r="AA176" s="411"/>
      <c r="AB176" s="411"/>
      <c r="AC176" s="411"/>
      <c r="AD176" s="411">
        <f>AE176-3</f>
        <v>46315</v>
      </c>
      <c r="AE176" s="411">
        <v>46318</v>
      </c>
      <c r="AF176" s="411">
        <f>AK176</f>
        <v>46325</v>
      </c>
      <c r="AG176" s="411">
        <f>AK176+14</f>
        <v>46339</v>
      </c>
      <c r="AH176" s="411">
        <f>AK176+30</f>
        <v>46355</v>
      </c>
      <c r="AI176" s="405">
        <v>12.8571428571429</v>
      </c>
      <c r="AJ176" s="406">
        <v>90.0000000000003</v>
      </c>
      <c r="AK176" s="411">
        <f>AE176+7</f>
        <v>46325</v>
      </c>
      <c r="AL176" s="407">
        <f>AP175-3</f>
        <v>46328</v>
      </c>
      <c r="AM176" s="399">
        <f>AL176-AK176</f>
        <v>3</v>
      </c>
      <c r="AN176" s="408"/>
      <c r="AO176" s="409" t="s">
        <v>65</v>
      </c>
      <c r="AP176" s="410">
        <v>46331</v>
      </c>
      <c r="AQ176" s="407" t="s">
        <v>241</v>
      </c>
    </row>
    <row r="177" s="333" customFormat="1" ht="23" hidden="1" customHeight="1" spans="1:43">
      <c r="A177" s="414"/>
      <c r="B177" s="415" t="s">
        <v>243</v>
      </c>
      <c r="C177" s="447" t="s">
        <v>244</v>
      </c>
      <c r="D177" s="450"/>
      <c r="E177" s="417">
        <f>E175</f>
        <v>191.8</v>
      </c>
      <c r="F177" s="418"/>
      <c r="G177" s="417" t="s">
        <v>237</v>
      </c>
      <c r="H177" s="415" t="s">
        <v>63</v>
      </c>
      <c r="I177" s="324">
        <v>2</v>
      </c>
      <c r="J177" s="415" t="s">
        <v>6</v>
      </c>
      <c r="K177" s="419" t="s">
        <v>66</v>
      </c>
      <c r="L177" s="420">
        <v>46137</v>
      </c>
      <c r="M177" s="420">
        <v>46204</v>
      </c>
      <c r="N177" s="420">
        <v>46216</v>
      </c>
      <c r="O177" s="420">
        <v>46216</v>
      </c>
      <c r="P177" s="420">
        <f>O177</f>
        <v>46216</v>
      </c>
      <c r="Q177" s="420">
        <f>P177</f>
        <v>46216</v>
      </c>
      <c r="R177" s="420">
        <f>Q177+2</f>
        <v>46218</v>
      </c>
      <c r="S177" s="420">
        <v>46251</v>
      </c>
      <c r="T177" s="420">
        <v>46262</v>
      </c>
      <c r="U177" s="420">
        <f>T177</f>
        <v>46262</v>
      </c>
      <c r="V177" s="420">
        <v>46262</v>
      </c>
      <c r="W177" s="420">
        <v>46262</v>
      </c>
      <c r="X177" s="420">
        <v>46262</v>
      </c>
      <c r="Y177" s="420">
        <f>X177+1</f>
        <v>46263</v>
      </c>
      <c r="Z177" s="420">
        <v>46276</v>
      </c>
      <c r="AA177" s="420">
        <v>46275</v>
      </c>
      <c r="AB177" s="420">
        <v>46275</v>
      </c>
      <c r="AC177" s="420">
        <v>46275</v>
      </c>
      <c r="AD177" s="420"/>
      <c r="AE177" s="420"/>
      <c r="AF177" s="420"/>
      <c r="AG177" s="420"/>
      <c r="AH177" s="420"/>
      <c r="AI177" s="422"/>
      <c r="AJ177" s="423"/>
      <c r="AK177" s="420"/>
      <c r="AL177" s="424"/>
      <c r="AM177" s="417"/>
      <c r="AN177" s="425"/>
      <c r="AO177" s="426"/>
      <c r="AP177" s="425" t="s">
        <v>246</v>
      </c>
      <c r="AQ177" s="424"/>
    </row>
    <row r="178" s="333" customFormat="1" ht="23" hidden="1" customHeight="1" spans="1:43">
      <c r="A178" s="396">
        <v>102</v>
      </c>
      <c r="B178" s="324" t="s">
        <v>247</v>
      </c>
      <c r="C178" s="324" t="s">
        <v>248</v>
      </c>
      <c r="D178" s="448"/>
      <c r="E178" s="399"/>
      <c r="F178" s="400">
        <v>4</v>
      </c>
      <c r="G178" s="399" t="s">
        <v>234</v>
      </c>
      <c r="H178" s="324"/>
      <c r="I178" s="401"/>
      <c r="J178" s="324" t="s">
        <v>6</v>
      </c>
      <c r="K178" s="402" t="s">
        <v>59</v>
      </c>
      <c r="L178" s="403"/>
      <c r="M178" s="404">
        <v>46188</v>
      </c>
      <c r="N178" s="404">
        <v>46195</v>
      </c>
      <c r="O178" s="404">
        <v>46195</v>
      </c>
      <c r="P178" s="404">
        <v>46195</v>
      </c>
      <c r="Q178" s="404">
        <v>46193</v>
      </c>
      <c r="R178" s="404">
        <v>46202</v>
      </c>
      <c r="S178" s="404">
        <v>46204</v>
      </c>
      <c r="T178" s="404">
        <v>46207</v>
      </c>
      <c r="U178" s="404"/>
      <c r="V178" s="404">
        <v>46209</v>
      </c>
      <c r="W178" s="404">
        <v>46211</v>
      </c>
      <c r="X178" s="404">
        <v>46216</v>
      </c>
      <c r="Y178" s="404">
        <v>46226</v>
      </c>
      <c r="Z178" s="404">
        <v>46237</v>
      </c>
      <c r="AA178" s="404">
        <v>46243</v>
      </c>
      <c r="AB178" s="404">
        <v>46241</v>
      </c>
      <c r="AC178" s="404">
        <v>46243</v>
      </c>
      <c r="AD178" s="404">
        <v>46289</v>
      </c>
      <c r="AE178" s="404">
        <v>46296</v>
      </c>
      <c r="AF178" s="404">
        <v>46299</v>
      </c>
      <c r="AG178" s="404">
        <v>46313</v>
      </c>
      <c r="AH178" s="404">
        <v>46329</v>
      </c>
      <c r="AI178" s="428">
        <v>12.8571428571429</v>
      </c>
      <c r="AJ178" s="406">
        <f>AI178*7</f>
        <v>90.0000000000003</v>
      </c>
      <c r="AK178" s="404">
        <f>V178+AJ178</f>
        <v>46299</v>
      </c>
      <c r="AL178" s="456">
        <f>AL179</f>
        <v>46329</v>
      </c>
      <c r="AM178" s="399">
        <f>AL179-AK178</f>
        <v>30</v>
      </c>
      <c r="AN178" s="408"/>
      <c r="AO178" s="409" t="s">
        <v>61</v>
      </c>
      <c r="AP178" s="410">
        <v>46336</v>
      </c>
      <c r="AQ178" s="407"/>
    </row>
    <row r="179" s="333" customFormat="1" ht="23" customHeight="1" spans="1:43">
      <c r="A179" s="396"/>
      <c r="B179" s="324" t="s">
        <v>247</v>
      </c>
      <c r="C179" s="324" t="s">
        <v>248</v>
      </c>
      <c r="D179" s="449"/>
      <c r="E179" s="399">
        <f>E178</f>
        <v>0</v>
      </c>
      <c r="F179" s="400" t="s">
        <v>245</v>
      </c>
      <c r="G179" s="399" t="s">
        <v>234</v>
      </c>
      <c r="H179" s="324" t="s">
        <v>63</v>
      </c>
      <c r="I179" s="324">
        <v>2</v>
      </c>
      <c r="J179" s="324" t="s">
        <v>6</v>
      </c>
      <c r="K179" s="402" t="s">
        <v>64</v>
      </c>
      <c r="L179" s="404">
        <v>46137</v>
      </c>
      <c r="M179" s="404"/>
      <c r="N179" s="404"/>
      <c r="O179" s="404"/>
      <c r="P179" s="404"/>
      <c r="Q179" s="404"/>
      <c r="R179" s="404"/>
      <c r="S179" s="404"/>
      <c r="T179" s="404"/>
      <c r="U179" s="404"/>
      <c r="V179" s="404"/>
      <c r="W179" s="404"/>
      <c r="X179" s="404">
        <v>46305</v>
      </c>
      <c r="Y179" s="404">
        <f>X179+1</f>
        <v>46306</v>
      </c>
      <c r="Z179" s="411">
        <v>46302</v>
      </c>
      <c r="AA179" s="411">
        <v>46309</v>
      </c>
      <c r="AB179" s="411">
        <f>AA179-1</f>
        <v>46308</v>
      </c>
      <c r="AC179" s="411">
        <f>AD179-14</f>
        <v>46305</v>
      </c>
      <c r="AD179" s="411">
        <f>AE179-3</f>
        <v>46319</v>
      </c>
      <c r="AE179" s="411">
        <v>46322</v>
      </c>
      <c r="AF179" s="411">
        <f>AK179</f>
        <v>46329</v>
      </c>
      <c r="AG179" s="411">
        <f>AK179+14</f>
        <v>46343</v>
      </c>
      <c r="AH179" s="411">
        <f>AK179+30</f>
        <v>46359</v>
      </c>
      <c r="AI179" s="405">
        <v>12.8571428571429</v>
      </c>
      <c r="AJ179" s="406">
        <v>90.0000000000003</v>
      </c>
      <c r="AK179" s="411">
        <f>AE179+7</f>
        <v>46329</v>
      </c>
      <c r="AL179" s="407">
        <f>AP178-7</f>
        <v>46329</v>
      </c>
      <c r="AM179" s="399">
        <f>AL179-AK179</f>
        <v>0</v>
      </c>
      <c r="AN179" s="408"/>
      <c r="AO179" s="409" t="s">
        <v>65</v>
      </c>
      <c r="AP179" s="410">
        <v>46336</v>
      </c>
      <c r="AQ179" s="407" t="s">
        <v>241</v>
      </c>
    </row>
    <row r="180" s="333" customFormat="1" ht="23" hidden="1" customHeight="1" spans="1:43">
      <c r="A180" s="414"/>
      <c r="B180" s="415" t="s">
        <v>247</v>
      </c>
      <c r="C180" s="447" t="s">
        <v>248</v>
      </c>
      <c r="D180" s="450"/>
      <c r="E180" s="417">
        <f>E178</f>
        <v>0</v>
      </c>
      <c r="F180" s="418"/>
      <c r="G180" s="417" t="s">
        <v>237</v>
      </c>
      <c r="H180" s="415" t="s">
        <v>63</v>
      </c>
      <c r="I180" s="324">
        <v>2</v>
      </c>
      <c r="J180" s="415" t="s">
        <v>6</v>
      </c>
      <c r="K180" s="419" t="s">
        <v>66</v>
      </c>
      <c r="L180" s="420">
        <v>46137</v>
      </c>
      <c r="M180" s="420">
        <v>46204</v>
      </c>
      <c r="N180" s="420">
        <v>46216</v>
      </c>
      <c r="O180" s="420">
        <v>46216</v>
      </c>
      <c r="P180" s="420">
        <v>46216</v>
      </c>
      <c r="Q180" s="420">
        <v>46216</v>
      </c>
      <c r="R180" s="420">
        <v>46218</v>
      </c>
      <c r="S180" s="420">
        <v>46288</v>
      </c>
      <c r="T180" s="421">
        <v>46296</v>
      </c>
      <c r="U180" s="457">
        <v>46289</v>
      </c>
      <c r="V180" s="457">
        <v>46289</v>
      </c>
      <c r="W180" s="457">
        <v>46289</v>
      </c>
      <c r="X180" s="420"/>
      <c r="Y180" s="420"/>
      <c r="Z180" s="420"/>
      <c r="AA180" s="420"/>
      <c r="AB180" s="420"/>
      <c r="AC180" s="420"/>
      <c r="AD180" s="420"/>
      <c r="AE180" s="420"/>
      <c r="AF180" s="420"/>
      <c r="AG180" s="420"/>
      <c r="AH180" s="420"/>
      <c r="AI180" s="422"/>
      <c r="AJ180" s="423"/>
      <c r="AK180" s="423"/>
      <c r="AL180" s="424"/>
      <c r="AM180" s="417"/>
      <c r="AN180" s="425"/>
      <c r="AO180" s="426"/>
      <c r="AP180" s="425"/>
      <c r="AQ180" s="424"/>
    </row>
    <row r="181" s="333" customFormat="1" ht="23" hidden="1" customHeight="1" spans="1:43">
      <c r="A181" s="396">
        <v>58</v>
      </c>
      <c r="B181" s="324" t="s">
        <v>249</v>
      </c>
      <c r="C181" s="324" t="s">
        <v>250</v>
      </c>
      <c r="D181" s="448"/>
      <c r="E181" s="399"/>
      <c r="F181" s="400"/>
      <c r="G181" s="399" t="s">
        <v>234</v>
      </c>
      <c r="H181" s="324"/>
      <c r="I181" s="401"/>
      <c r="J181" s="324" t="s">
        <v>6</v>
      </c>
      <c r="K181" s="402" t="s">
        <v>59</v>
      </c>
      <c r="L181" s="403"/>
      <c r="M181" s="404">
        <v>46208</v>
      </c>
      <c r="N181" s="404">
        <v>46220</v>
      </c>
      <c r="O181" s="404">
        <v>46220</v>
      </c>
      <c r="P181" s="404">
        <v>46220</v>
      </c>
      <c r="Q181" s="404">
        <v>46220</v>
      </c>
      <c r="R181" s="404">
        <v>46223</v>
      </c>
      <c r="S181" s="404">
        <v>46224</v>
      </c>
      <c r="T181" s="404">
        <v>46227</v>
      </c>
      <c r="U181" s="404"/>
      <c r="V181" s="404">
        <v>46230</v>
      </c>
      <c r="W181" s="404">
        <v>46231</v>
      </c>
      <c r="X181" s="404">
        <v>46236</v>
      </c>
      <c r="Y181" s="404">
        <v>46246</v>
      </c>
      <c r="Z181" s="404">
        <v>46258</v>
      </c>
      <c r="AA181" s="404">
        <v>46263</v>
      </c>
      <c r="AB181" s="404">
        <f>AA181+1</f>
        <v>46264</v>
      </c>
      <c r="AC181" s="404">
        <f>AB181+1</f>
        <v>46265</v>
      </c>
      <c r="AD181" s="404">
        <v>46309</v>
      </c>
      <c r="AE181" s="404">
        <v>46316</v>
      </c>
      <c r="AF181" s="404">
        <v>46319</v>
      </c>
      <c r="AG181" s="404">
        <v>46333</v>
      </c>
      <c r="AH181" s="404">
        <v>46349</v>
      </c>
      <c r="AI181" s="428">
        <v>12.8571428571429</v>
      </c>
      <c r="AJ181" s="406">
        <f>AI181*7</f>
        <v>90.0000000000003</v>
      </c>
      <c r="AK181" s="404">
        <f>V181+AJ181</f>
        <v>46320</v>
      </c>
      <c r="AL181" s="456">
        <f>AL182</f>
        <v>46387</v>
      </c>
      <c r="AM181" s="399">
        <f>AL182-AK181</f>
        <v>67</v>
      </c>
      <c r="AN181" s="408"/>
      <c r="AO181" s="409" t="s">
        <v>61</v>
      </c>
      <c r="AP181" s="410">
        <v>46394</v>
      </c>
      <c r="AQ181" s="407"/>
    </row>
    <row r="182" s="333" customFormat="1" ht="23" customHeight="1" spans="1:43">
      <c r="A182" s="396"/>
      <c r="B182" s="324" t="s">
        <v>249</v>
      </c>
      <c r="C182" s="440" t="s">
        <v>250</v>
      </c>
      <c r="D182" s="449"/>
      <c r="E182" s="399">
        <f>E181</f>
        <v>0</v>
      </c>
      <c r="F182" s="400" t="s">
        <v>245</v>
      </c>
      <c r="G182" s="399" t="s">
        <v>234</v>
      </c>
      <c r="H182" s="324" t="s">
        <v>63</v>
      </c>
      <c r="I182" s="324">
        <v>3</v>
      </c>
      <c r="J182" s="324" t="s">
        <v>6</v>
      </c>
      <c r="K182" s="402" t="s">
        <v>64</v>
      </c>
      <c r="L182" s="404" t="e">
        <f>#REF!</f>
        <v>#REF!</v>
      </c>
      <c r="M182" s="404">
        <v>46292</v>
      </c>
      <c r="N182" s="404">
        <f>_xlfn.WORKDAY.INTL(M182,INDEX(N$8:N$11,MATCH($J182,$J$8:$J$11,0)),1,IF(N$18="China",'China Holidays'!$A$2:$A$82,'Thai Holidays'!$A$2:$A$63))</f>
        <v>46304</v>
      </c>
      <c r="O182" s="404">
        <f>_xlfn.WORKDAY.INTL(N182,INDEX(O$8:O$11,MATCH($J182,$J$8:$J$11,0)),1,IF(O$18="China",'China Holidays'!$A$2:$A$82,'Thai Holidays'!$A$2:$A$63))</f>
        <v>46304</v>
      </c>
      <c r="P182" s="404">
        <f>_xlfn.WORKDAY.INTL(O182,INDEX(P$8:P$11,MATCH($J182,$J$8:$J$11,0)),1,IF(P$18="China",'China Holidays'!$A$2:$A$82,'Thai Holidays'!$A$2:$A$63))</f>
        <v>46304</v>
      </c>
      <c r="Q182" s="404">
        <f>_xlfn.WORKDAY.INTL(P182,INDEX(Q$8:Q$11,MATCH($J182,$J$8:$J$11,0)),1,IF(Q$18="China",'China Holidays'!$A$2:$A$82,'Thai Holidays'!$A$2:$A$63))</f>
        <v>46304</v>
      </c>
      <c r="R182" s="404">
        <f>M182+14</f>
        <v>46306</v>
      </c>
      <c r="S182" s="404">
        <f>R182+5</f>
        <v>46311</v>
      </c>
      <c r="T182" s="404">
        <f>S182+10</f>
        <v>46321</v>
      </c>
      <c r="U182" s="404"/>
      <c r="V182" s="404">
        <f>T182+5</f>
        <v>46326</v>
      </c>
      <c r="W182" s="404">
        <f>V182</f>
        <v>46326</v>
      </c>
      <c r="X182" s="404">
        <f>V182+7</f>
        <v>46333</v>
      </c>
      <c r="Y182" s="404">
        <f>X182</f>
        <v>46333</v>
      </c>
      <c r="Z182" s="411">
        <v>46356</v>
      </c>
      <c r="AA182" s="404">
        <f>Z182+7</f>
        <v>46363</v>
      </c>
      <c r="AB182" s="404">
        <f>Z182+5</f>
        <v>46361</v>
      </c>
      <c r="AC182" s="404">
        <f>AB182+2</f>
        <v>46363</v>
      </c>
      <c r="AD182" s="404">
        <f>AE182-7</f>
        <v>46376</v>
      </c>
      <c r="AE182" s="411">
        <f>AF182-3</f>
        <v>46383</v>
      </c>
      <c r="AF182" s="404">
        <f>AK182</f>
        <v>46386</v>
      </c>
      <c r="AG182" s="404">
        <f>AK182+14</f>
        <v>46400</v>
      </c>
      <c r="AH182" s="404">
        <f>AK182+30</f>
        <v>46416</v>
      </c>
      <c r="AI182" s="405">
        <v>12.8571428571429</v>
      </c>
      <c r="AJ182" s="446">
        <v>60</v>
      </c>
      <c r="AK182" s="404">
        <f>IF(V182&lt;&gt;"",V182+AJ182,V183+AJ182)</f>
        <v>46386</v>
      </c>
      <c r="AL182" s="407">
        <f>AP181-7</f>
        <v>46387</v>
      </c>
      <c r="AM182" s="399">
        <f>AL182-AK182</f>
        <v>1</v>
      </c>
      <c r="AN182" s="408"/>
      <c r="AO182" s="409" t="s">
        <v>65</v>
      </c>
      <c r="AP182" s="410">
        <v>46416</v>
      </c>
      <c r="AQ182" s="407"/>
    </row>
    <row r="183" s="333" customFormat="1" ht="23" hidden="1" customHeight="1" spans="1:43">
      <c r="A183" s="414"/>
      <c r="B183" s="415" t="s">
        <v>249</v>
      </c>
      <c r="C183" s="447" t="s">
        <v>250</v>
      </c>
      <c r="D183" s="450"/>
      <c r="E183" s="417">
        <f>E181</f>
        <v>0</v>
      </c>
      <c r="F183" s="418"/>
      <c r="G183" s="417" t="s">
        <v>237</v>
      </c>
      <c r="H183" s="415" t="s">
        <v>63</v>
      </c>
      <c r="I183" s="324">
        <v>3</v>
      </c>
      <c r="J183" s="415" t="s">
        <v>6</v>
      </c>
      <c r="K183" s="419" t="s">
        <v>66</v>
      </c>
      <c r="L183" s="417"/>
      <c r="M183" s="420"/>
      <c r="N183" s="420"/>
      <c r="O183" s="420"/>
      <c r="P183" s="420"/>
      <c r="Q183" s="420"/>
      <c r="R183" s="420"/>
      <c r="S183" s="420"/>
      <c r="T183" s="420"/>
      <c r="U183" s="458">
        <v>46289</v>
      </c>
      <c r="V183" s="458">
        <v>46289</v>
      </c>
      <c r="W183" s="420"/>
      <c r="X183" s="420"/>
      <c r="Y183" s="420"/>
      <c r="Z183" s="420"/>
      <c r="AA183" s="420"/>
      <c r="AB183" s="420"/>
      <c r="AC183" s="420"/>
      <c r="AD183" s="420"/>
      <c r="AE183" s="420"/>
      <c r="AF183" s="420"/>
      <c r="AG183" s="420"/>
      <c r="AH183" s="420"/>
      <c r="AI183" s="422"/>
      <c r="AJ183" s="423"/>
      <c r="AK183" s="420"/>
      <c r="AL183" s="424"/>
      <c r="AM183" s="417"/>
      <c r="AN183" s="425"/>
      <c r="AO183" s="426"/>
      <c r="AP183" s="425"/>
      <c r="AQ183" s="424"/>
    </row>
    <row r="184" s="333" customFormat="1" ht="23" hidden="1" customHeight="1" spans="1:43">
      <c r="A184" s="396">
        <v>59</v>
      </c>
      <c r="B184" s="324" t="s">
        <v>251</v>
      </c>
      <c r="C184" s="324" t="s">
        <v>252</v>
      </c>
      <c r="D184" s="448"/>
      <c r="E184" s="399">
        <v>20.4</v>
      </c>
      <c r="F184" s="400"/>
      <c r="G184" s="399" t="s">
        <v>234</v>
      </c>
      <c r="H184" s="324"/>
      <c r="I184" s="401"/>
      <c r="J184" s="324" t="s">
        <v>6</v>
      </c>
      <c r="K184" s="402" t="s">
        <v>59</v>
      </c>
      <c r="L184" s="403"/>
      <c r="M184" s="404">
        <v>46212</v>
      </c>
      <c r="N184" s="404">
        <v>46226</v>
      </c>
      <c r="O184" s="404">
        <v>46226</v>
      </c>
      <c r="P184" s="404">
        <v>46226</v>
      </c>
      <c r="Q184" s="404">
        <v>46226</v>
      </c>
      <c r="R184" s="404">
        <v>46226</v>
      </c>
      <c r="S184" s="404">
        <v>46230</v>
      </c>
      <c r="T184" s="404">
        <v>46231</v>
      </c>
      <c r="U184" s="404"/>
      <c r="V184" s="404">
        <v>46233</v>
      </c>
      <c r="W184" s="404">
        <v>46234</v>
      </c>
      <c r="X184" s="404">
        <v>46239</v>
      </c>
      <c r="Y184" s="404">
        <v>46247</v>
      </c>
      <c r="Z184" s="404">
        <v>46258</v>
      </c>
      <c r="AA184" s="404">
        <v>46264</v>
      </c>
      <c r="AB184" s="404">
        <f>AA184+1</f>
        <v>46265</v>
      </c>
      <c r="AC184" s="404">
        <f>AB184+1</f>
        <v>46266</v>
      </c>
      <c r="AD184" s="404">
        <v>46279</v>
      </c>
      <c r="AE184" s="404">
        <v>46286</v>
      </c>
      <c r="AF184" s="404">
        <v>46289</v>
      </c>
      <c r="AG184" s="404">
        <v>46303</v>
      </c>
      <c r="AH184" s="404">
        <v>46319</v>
      </c>
      <c r="AI184" s="428">
        <v>8</v>
      </c>
      <c r="AJ184" s="406">
        <f>AI184*7</f>
        <v>56</v>
      </c>
      <c r="AK184" s="404">
        <f>V184+AJ184</f>
        <v>46289</v>
      </c>
      <c r="AL184" s="407">
        <f>AL185</f>
        <v>46300</v>
      </c>
      <c r="AM184" s="399">
        <f>AL185-AK184</f>
        <v>11</v>
      </c>
      <c r="AN184" s="408" t="s">
        <v>60</v>
      </c>
      <c r="AO184" s="409" t="s">
        <v>61</v>
      </c>
      <c r="AP184" s="410">
        <v>46303</v>
      </c>
      <c r="AQ184" s="407"/>
    </row>
    <row r="185" s="333" customFormat="1" ht="23" customHeight="1" spans="1:43">
      <c r="A185" s="396"/>
      <c r="B185" s="324" t="s">
        <v>251</v>
      </c>
      <c r="C185" s="324" t="s">
        <v>252</v>
      </c>
      <c r="D185" s="449"/>
      <c r="E185" s="399">
        <f>E184</f>
        <v>20.4</v>
      </c>
      <c r="F185" s="400" t="s">
        <v>235</v>
      </c>
      <c r="G185" s="399" t="s">
        <v>234</v>
      </c>
      <c r="H185" s="324" t="s">
        <v>63</v>
      </c>
      <c r="I185" s="324">
        <v>2</v>
      </c>
      <c r="J185" s="324" t="s">
        <v>6</v>
      </c>
      <c r="K185" s="402" t="s">
        <v>64</v>
      </c>
      <c r="L185" s="404"/>
      <c r="M185" s="404"/>
      <c r="N185" s="404"/>
      <c r="O185" s="404"/>
      <c r="P185" s="404"/>
      <c r="Q185" s="404"/>
      <c r="R185" s="404"/>
      <c r="S185" s="404"/>
      <c r="T185" s="404"/>
      <c r="U185" s="404"/>
      <c r="V185" s="404"/>
      <c r="W185" s="404"/>
      <c r="X185" s="404"/>
      <c r="Y185" s="404"/>
      <c r="Z185" s="411"/>
      <c r="AA185" s="404"/>
      <c r="AB185" s="404"/>
      <c r="AC185" s="404"/>
      <c r="AD185" s="404">
        <f>AE185-1</f>
        <v>46293</v>
      </c>
      <c r="AE185" s="411">
        <f>AF185-3</f>
        <v>46294</v>
      </c>
      <c r="AF185" s="404">
        <f>AK185</f>
        <v>46297</v>
      </c>
      <c r="AG185" s="404">
        <f>AK185+14</f>
        <v>46311</v>
      </c>
      <c r="AH185" s="404">
        <f>AK185+30</f>
        <v>46327</v>
      </c>
      <c r="AI185" s="405">
        <v>8</v>
      </c>
      <c r="AJ185" s="406">
        <v>56</v>
      </c>
      <c r="AK185" s="404">
        <f>IF(V185&lt;&gt;"",V185+AJ185,V186+AJ185)</f>
        <v>46297</v>
      </c>
      <c r="AL185" s="407">
        <f>AP184-3</f>
        <v>46300</v>
      </c>
      <c r="AM185" s="399">
        <f>AL185-AK185</f>
        <v>3</v>
      </c>
      <c r="AN185" s="413" t="str">
        <f>AN184</f>
        <v>Long Lead</v>
      </c>
      <c r="AO185" s="409" t="s">
        <v>65</v>
      </c>
      <c r="AP185" s="410">
        <v>46333</v>
      </c>
      <c r="AQ185" s="407" t="s">
        <v>253</v>
      </c>
    </row>
    <row r="186" s="333" customFormat="1" ht="23" hidden="1" customHeight="1" spans="1:43">
      <c r="A186" s="414"/>
      <c r="B186" s="415" t="s">
        <v>251</v>
      </c>
      <c r="C186" s="415" t="s">
        <v>252</v>
      </c>
      <c r="D186" s="450"/>
      <c r="E186" s="417">
        <f>E184</f>
        <v>20.4</v>
      </c>
      <c r="F186" s="418"/>
      <c r="G186" s="417" t="s">
        <v>237</v>
      </c>
      <c r="H186" s="415" t="s">
        <v>63</v>
      </c>
      <c r="I186" s="324">
        <v>2</v>
      </c>
      <c r="J186" s="415" t="s">
        <v>6</v>
      </c>
      <c r="K186" s="419" t="s">
        <v>66</v>
      </c>
      <c r="L186" s="420">
        <v>46137</v>
      </c>
      <c r="M186" s="420">
        <v>46163</v>
      </c>
      <c r="N186" s="420">
        <v>46175</v>
      </c>
      <c r="O186" s="420">
        <v>46175</v>
      </c>
      <c r="P186" s="420">
        <v>46179</v>
      </c>
      <c r="Q186" s="420">
        <v>46179</v>
      </c>
      <c r="R186" s="420">
        <v>46179</v>
      </c>
      <c r="S186" s="420">
        <v>46237</v>
      </c>
      <c r="T186" s="420">
        <v>46237</v>
      </c>
      <c r="U186" s="420">
        <v>46237</v>
      </c>
      <c r="V186" s="420">
        <v>46241</v>
      </c>
      <c r="W186" s="420">
        <v>46241</v>
      </c>
      <c r="X186" s="420">
        <v>46262</v>
      </c>
      <c r="Y186" s="420">
        <v>46276</v>
      </c>
      <c r="Z186" s="420">
        <v>46276</v>
      </c>
      <c r="AA186" s="420">
        <v>46276</v>
      </c>
      <c r="AB186" s="420">
        <v>46276</v>
      </c>
      <c r="AC186" s="420">
        <v>46283</v>
      </c>
      <c r="AD186" s="420"/>
      <c r="AE186" s="420"/>
      <c r="AF186" s="420"/>
      <c r="AG186" s="420"/>
      <c r="AH186" s="420"/>
      <c r="AI186" s="422"/>
      <c r="AJ186" s="423"/>
      <c r="AK186" s="420"/>
      <c r="AL186" s="424"/>
      <c r="AM186" s="417"/>
      <c r="AN186" s="425" t="str">
        <f>AN184</f>
        <v>Long Lead</v>
      </c>
      <c r="AO186" s="426"/>
      <c r="AP186" s="425" t="s">
        <v>254</v>
      </c>
      <c r="AQ186" s="424"/>
    </row>
    <row r="187" s="333" customFormat="1" ht="23" hidden="1" customHeight="1" spans="1:43">
      <c r="A187" s="396">
        <v>60</v>
      </c>
      <c r="B187" s="324" t="s">
        <v>255</v>
      </c>
      <c r="C187" s="324" t="s">
        <v>256</v>
      </c>
      <c r="D187" s="448"/>
      <c r="E187" s="399">
        <v>560</v>
      </c>
      <c r="F187" s="400"/>
      <c r="G187" s="399" t="s">
        <v>234</v>
      </c>
      <c r="H187" s="324"/>
      <c r="I187" s="401"/>
      <c r="J187" s="324" t="s">
        <v>6</v>
      </c>
      <c r="K187" s="402" t="s">
        <v>59</v>
      </c>
      <c r="L187" s="403"/>
      <c r="M187" s="404">
        <v>46204</v>
      </c>
      <c r="N187" s="404">
        <v>46206</v>
      </c>
      <c r="O187" s="404">
        <v>46206</v>
      </c>
      <c r="P187" s="404">
        <v>46206</v>
      </c>
      <c r="Q187" s="404">
        <v>46206</v>
      </c>
      <c r="R187" s="404">
        <v>46219</v>
      </c>
      <c r="S187" s="404">
        <v>46223</v>
      </c>
      <c r="T187" s="404">
        <v>46231</v>
      </c>
      <c r="U187" s="404"/>
      <c r="V187" s="404">
        <v>46233</v>
      </c>
      <c r="W187" s="404">
        <v>46235</v>
      </c>
      <c r="X187" s="404">
        <v>46240</v>
      </c>
      <c r="Y187" s="404">
        <v>46251</v>
      </c>
      <c r="Z187" s="404">
        <v>46260</v>
      </c>
      <c r="AA187" s="404">
        <v>46267</v>
      </c>
      <c r="AB187" s="404">
        <f>AA187+1</f>
        <v>46268</v>
      </c>
      <c r="AC187" s="404">
        <f>AB187+1</f>
        <v>46269</v>
      </c>
      <c r="AD187" s="404">
        <v>46283</v>
      </c>
      <c r="AE187" s="404">
        <v>46290</v>
      </c>
      <c r="AF187" s="404">
        <v>46293</v>
      </c>
      <c r="AG187" s="404">
        <v>46314</v>
      </c>
      <c r="AH187" s="404">
        <v>46330</v>
      </c>
      <c r="AI187" s="428">
        <v>8.57142857142857</v>
      </c>
      <c r="AJ187" s="406">
        <f>AI187*7</f>
        <v>60</v>
      </c>
      <c r="AK187" s="404">
        <f>V187+AJ187</f>
        <v>46293</v>
      </c>
      <c r="AL187" s="407">
        <f>AL188</f>
        <v>46314</v>
      </c>
      <c r="AM187" s="399">
        <f>AL188-AK187</f>
        <v>21</v>
      </c>
      <c r="AN187" s="408" t="s">
        <v>60</v>
      </c>
      <c r="AO187" s="409" t="s">
        <v>61</v>
      </c>
      <c r="AP187" s="410">
        <v>46291</v>
      </c>
      <c r="AQ187" s="407"/>
    </row>
    <row r="188" s="333" customFormat="1" ht="23" customHeight="1" spans="1:43">
      <c r="A188" s="396"/>
      <c r="B188" s="324" t="s">
        <v>255</v>
      </c>
      <c r="C188" s="324" t="s">
        <v>256</v>
      </c>
      <c r="D188" s="449"/>
      <c r="E188" s="399">
        <f>E187</f>
        <v>560</v>
      </c>
      <c r="F188" s="400" t="s">
        <v>235</v>
      </c>
      <c r="G188" s="399" t="s">
        <v>234</v>
      </c>
      <c r="H188" s="324" t="s">
        <v>63</v>
      </c>
      <c r="I188" s="324">
        <v>2</v>
      </c>
      <c r="J188" s="324" t="s">
        <v>6</v>
      </c>
      <c r="K188" s="402" t="s">
        <v>64</v>
      </c>
      <c r="L188" s="404">
        <v>46120</v>
      </c>
      <c r="M188" s="404"/>
      <c r="N188" s="404"/>
      <c r="O188" s="404"/>
      <c r="P188" s="404"/>
      <c r="Q188" s="404"/>
      <c r="R188" s="404"/>
      <c r="S188" s="404"/>
      <c r="T188" s="404"/>
      <c r="U188" s="404"/>
      <c r="V188" s="404"/>
      <c r="W188" s="404"/>
      <c r="X188" s="404"/>
      <c r="Y188" s="404"/>
      <c r="Z188" s="411"/>
      <c r="AA188" s="404"/>
      <c r="AB188" s="404"/>
      <c r="AC188" s="404"/>
      <c r="AD188" s="404"/>
      <c r="AE188" s="411"/>
      <c r="AF188" s="404"/>
      <c r="AG188" s="404">
        <f>AK188+14</f>
        <v>46304</v>
      </c>
      <c r="AH188" s="404">
        <f>AK188+30</f>
        <v>46320</v>
      </c>
      <c r="AI188" s="405">
        <v>8.57142857142857</v>
      </c>
      <c r="AJ188" s="406">
        <v>60</v>
      </c>
      <c r="AK188" s="404">
        <f>IF(V188&lt;&gt;"",V188+AJ188,V189+AJ188)</f>
        <v>46290</v>
      </c>
      <c r="AL188" s="407">
        <v>46314</v>
      </c>
      <c r="AM188" s="399">
        <f>AL188-AK188</f>
        <v>24</v>
      </c>
      <c r="AN188" s="413" t="str">
        <f>AN187</f>
        <v>Long Lead</v>
      </c>
      <c r="AO188" s="409" t="s">
        <v>65</v>
      </c>
      <c r="AP188" s="410">
        <v>46332</v>
      </c>
      <c r="AQ188" s="407"/>
    </row>
    <row r="189" s="333" customFormat="1" ht="23" hidden="1" customHeight="1" spans="1:43">
      <c r="A189" s="414"/>
      <c r="B189" s="415" t="s">
        <v>255</v>
      </c>
      <c r="C189" s="447" t="s">
        <v>256</v>
      </c>
      <c r="D189" s="450"/>
      <c r="E189" s="417">
        <f>E187</f>
        <v>560</v>
      </c>
      <c r="F189" s="418"/>
      <c r="G189" s="417" t="s">
        <v>257</v>
      </c>
      <c r="H189" s="415" t="s">
        <v>63</v>
      </c>
      <c r="I189" s="324">
        <v>2</v>
      </c>
      <c r="J189" s="415" t="s">
        <v>6</v>
      </c>
      <c r="K189" s="419" t="s">
        <v>66</v>
      </c>
      <c r="L189" s="420">
        <v>46137</v>
      </c>
      <c r="M189" s="420">
        <v>46162</v>
      </c>
      <c r="N189" s="420">
        <v>46175</v>
      </c>
      <c r="O189" s="420">
        <v>46175</v>
      </c>
      <c r="P189" s="420">
        <v>46179</v>
      </c>
      <c r="Q189" s="420">
        <v>46179</v>
      </c>
      <c r="R189" s="420">
        <v>46179</v>
      </c>
      <c r="S189" s="420">
        <v>46185</v>
      </c>
      <c r="T189" s="420">
        <v>46190</v>
      </c>
      <c r="U189" s="420">
        <v>46223</v>
      </c>
      <c r="V189" s="420">
        <v>46230</v>
      </c>
      <c r="W189" s="420">
        <v>46230</v>
      </c>
      <c r="X189" s="420">
        <v>46223</v>
      </c>
      <c r="Y189" s="420">
        <v>46223</v>
      </c>
      <c r="Z189" s="420">
        <v>46276</v>
      </c>
      <c r="AA189" s="420">
        <v>46276</v>
      </c>
      <c r="AB189" s="420">
        <v>46276</v>
      </c>
      <c r="AC189" s="420">
        <v>46276</v>
      </c>
      <c r="AD189" s="420">
        <v>46276</v>
      </c>
      <c r="AE189" s="420">
        <v>46276</v>
      </c>
      <c r="AF189" s="420">
        <v>46276</v>
      </c>
      <c r="AG189" s="420"/>
      <c r="AH189" s="420"/>
      <c r="AI189" s="422"/>
      <c r="AJ189" s="423"/>
      <c r="AK189" s="404"/>
      <c r="AL189" s="424"/>
      <c r="AM189" s="417"/>
      <c r="AN189" s="425" t="str">
        <f>AN187</f>
        <v>Long Lead</v>
      </c>
      <c r="AO189" s="426"/>
      <c r="AP189" s="425" t="s">
        <v>258</v>
      </c>
      <c r="AQ189" s="424"/>
    </row>
    <row r="190" s="333" customFormat="1" ht="23" hidden="1" customHeight="1" spans="1:43">
      <c r="A190" s="396">
        <v>61</v>
      </c>
      <c r="B190" s="324" t="s">
        <v>259</v>
      </c>
      <c r="C190" s="324" t="s">
        <v>260</v>
      </c>
      <c r="D190" s="448"/>
      <c r="E190" s="399"/>
      <c r="F190" s="400">
        <v>5</v>
      </c>
      <c r="G190" s="399" t="s">
        <v>234</v>
      </c>
      <c r="H190" s="324"/>
      <c r="I190" s="401"/>
      <c r="J190" s="324" t="s">
        <v>6</v>
      </c>
      <c r="K190" s="402" t="s">
        <v>59</v>
      </c>
      <c r="L190" s="403"/>
      <c r="M190" s="404">
        <v>46213</v>
      </c>
      <c r="N190" s="404">
        <v>46218</v>
      </c>
      <c r="O190" s="404">
        <v>46218</v>
      </c>
      <c r="P190" s="404">
        <v>46218</v>
      </c>
      <c r="Q190" s="404">
        <v>46218</v>
      </c>
      <c r="R190" s="404">
        <v>46227</v>
      </c>
      <c r="S190" s="404">
        <v>46230</v>
      </c>
      <c r="T190" s="404">
        <v>46232</v>
      </c>
      <c r="U190" s="404"/>
      <c r="V190" s="404">
        <v>46234</v>
      </c>
      <c r="W190" s="404">
        <v>46236</v>
      </c>
      <c r="X190" s="404">
        <v>46241</v>
      </c>
      <c r="Y190" s="404">
        <v>46251</v>
      </c>
      <c r="Z190" s="404">
        <v>46261</v>
      </c>
      <c r="AA190" s="404">
        <v>46268</v>
      </c>
      <c r="AB190" s="404">
        <v>46266</v>
      </c>
      <c r="AC190" s="404">
        <v>46268</v>
      </c>
      <c r="AD190" s="404">
        <v>46324</v>
      </c>
      <c r="AE190" s="404">
        <v>46331</v>
      </c>
      <c r="AF190" s="404">
        <v>46334</v>
      </c>
      <c r="AG190" s="404">
        <v>46348</v>
      </c>
      <c r="AH190" s="404">
        <v>46364</v>
      </c>
      <c r="AI190" s="428">
        <v>14.2857142857143</v>
      </c>
      <c r="AJ190" s="406">
        <f>AI190*7</f>
        <v>100</v>
      </c>
      <c r="AK190" s="404">
        <f>V190+AJ190</f>
        <v>46334</v>
      </c>
      <c r="AL190" s="407">
        <f>AL191</f>
        <v>46336</v>
      </c>
      <c r="AM190" s="399">
        <f>AL191-AK190</f>
        <v>2</v>
      </c>
      <c r="AN190" s="408"/>
      <c r="AO190" s="409" t="s">
        <v>61</v>
      </c>
      <c r="AP190" s="410">
        <v>46339</v>
      </c>
      <c r="AQ190" s="407"/>
    </row>
    <row r="191" s="333" customFormat="1" ht="23" customHeight="1" spans="1:43">
      <c r="A191" s="396"/>
      <c r="B191" s="324" t="s">
        <v>259</v>
      </c>
      <c r="C191" s="397" t="s">
        <v>260</v>
      </c>
      <c r="D191" s="449"/>
      <c r="E191" s="399">
        <f>E190</f>
        <v>0</v>
      </c>
      <c r="F191" s="400" t="s">
        <v>245</v>
      </c>
      <c r="G191" s="399" t="s">
        <v>234</v>
      </c>
      <c r="H191" s="324" t="s">
        <v>63</v>
      </c>
      <c r="I191" s="324">
        <v>3</v>
      </c>
      <c r="J191" s="324" t="s">
        <v>6</v>
      </c>
      <c r="K191" s="402" t="s">
        <v>64</v>
      </c>
      <c r="L191" s="404">
        <v>46137</v>
      </c>
      <c r="M191" s="404"/>
      <c r="N191" s="404"/>
      <c r="O191" s="404"/>
      <c r="P191" s="404"/>
      <c r="Q191" s="404"/>
      <c r="R191" s="404"/>
      <c r="S191" s="404"/>
      <c r="T191" s="404"/>
      <c r="U191" s="404"/>
      <c r="V191" s="404"/>
      <c r="W191" s="404"/>
      <c r="X191" s="404"/>
      <c r="Y191" s="404"/>
      <c r="Z191" s="411"/>
      <c r="AA191" s="404"/>
      <c r="AB191" s="404"/>
      <c r="AC191" s="404"/>
      <c r="AD191" s="404">
        <f>AE191-7</f>
        <v>46324</v>
      </c>
      <c r="AE191" s="411">
        <f>AF191-3</f>
        <v>46331</v>
      </c>
      <c r="AF191" s="404">
        <f>AK191</f>
        <v>46334</v>
      </c>
      <c r="AG191" s="404">
        <f>AK191+14</f>
        <v>46348</v>
      </c>
      <c r="AH191" s="404">
        <f>AK191+30</f>
        <v>46364</v>
      </c>
      <c r="AI191" s="405">
        <v>14.2857142857143</v>
      </c>
      <c r="AJ191" s="406">
        <v>100</v>
      </c>
      <c r="AK191" s="404">
        <v>46334</v>
      </c>
      <c r="AL191" s="407">
        <f>AP190-3</f>
        <v>46336</v>
      </c>
      <c r="AM191" s="399">
        <f>AL191-AK191</f>
        <v>2</v>
      </c>
      <c r="AN191" s="408"/>
      <c r="AO191" s="409" t="s">
        <v>65</v>
      </c>
      <c r="AP191" s="410">
        <v>46374</v>
      </c>
      <c r="AQ191" s="407"/>
    </row>
    <row r="192" s="335" customFormat="1" ht="23" hidden="1" customHeight="1" spans="1:43">
      <c r="A192" s="459"/>
      <c r="B192" s="460" t="s">
        <v>259</v>
      </c>
      <c r="C192" s="461" t="s">
        <v>260</v>
      </c>
      <c r="D192" s="462"/>
      <c r="E192" s="463">
        <f>E190</f>
        <v>0</v>
      </c>
      <c r="F192" s="464"/>
      <c r="G192" s="463" t="s">
        <v>257</v>
      </c>
      <c r="H192" s="460" t="s">
        <v>63</v>
      </c>
      <c r="I192" s="465">
        <v>3</v>
      </c>
      <c r="J192" s="460" t="s">
        <v>6</v>
      </c>
      <c r="K192" s="466" t="s">
        <v>66</v>
      </c>
      <c r="L192" s="467">
        <v>46137</v>
      </c>
      <c r="M192" s="467">
        <v>46204</v>
      </c>
      <c r="N192" s="467">
        <v>46223</v>
      </c>
      <c r="O192" s="467">
        <v>46223</v>
      </c>
      <c r="P192" s="467">
        <v>46223</v>
      </c>
      <c r="Q192" s="467">
        <v>46223</v>
      </c>
      <c r="R192" s="467">
        <v>46223</v>
      </c>
      <c r="S192" s="467">
        <v>46251</v>
      </c>
      <c r="T192" s="467">
        <f>IF(T177&lt;&gt;"",T177,"")</f>
        <v>46262</v>
      </c>
      <c r="U192" s="467">
        <f t="shared" ref="U192:AH192" si="1">IF(U177&lt;&gt;"",U177,"")</f>
        <v>46262</v>
      </c>
      <c r="V192" s="467">
        <f t="shared" si="1"/>
        <v>46262</v>
      </c>
      <c r="W192" s="467">
        <f t="shared" si="1"/>
        <v>46262</v>
      </c>
      <c r="X192" s="467">
        <f t="shared" si="1"/>
        <v>46262</v>
      </c>
      <c r="Y192" s="467">
        <f t="shared" si="1"/>
        <v>46263</v>
      </c>
      <c r="Z192" s="467">
        <f t="shared" si="1"/>
        <v>46276</v>
      </c>
      <c r="AA192" s="467">
        <f t="shared" si="1"/>
        <v>46275</v>
      </c>
      <c r="AB192" s="467">
        <f t="shared" si="1"/>
        <v>46275</v>
      </c>
      <c r="AC192" s="467">
        <f t="shared" si="1"/>
        <v>46275</v>
      </c>
      <c r="AD192" s="467" t="str">
        <f t="shared" si="1"/>
        <v/>
      </c>
      <c r="AE192" s="467" t="str">
        <f t="shared" si="1"/>
        <v/>
      </c>
      <c r="AF192" s="467" t="str">
        <f t="shared" si="1"/>
        <v/>
      </c>
      <c r="AG192" s="467" t="str">
        <f t="shared" si="1"/>
        <v/>
      </c>
      <c r="AH192" s="467" t="str">
        <f t="shared" si="1"/>
        <v/>
      </c>
      <c r="AI192" s="422"/>
      <c r="AJ192" s="468"/>
      <c r="AK192" s="469"/>
      <c r="AL192" s="470"/>
      <c r="AM192" s="463"/>
      <c r="AN192" s="471"/>
      <c r="AO192" s="472"/>
      <c r="AP192" s="471" t="s">
        <v>261</v>
      </c>
      <c r="AQ192" s="470"/>
    </row>
    <row r="193" s="333" customFormat="1" ht="23" hidden="1" customHeight="1" spans="1:43">
      <c r="A193" s="396">
        <v>62</v>
      </c>
      <c r="B193" s="324" t="s">
        <v>262</v>
      </c>
      <c r="C193" s="397" t="s">
        <v>263</v>
      </c>
      <c r="D193" s="448"/>
      <c r="E193" s="399">
        <v>27.3</v>
      </c>
      <c r="F193" s="400"/>
      <c r="G193" s="399" t="s">
        <v>234</v>
      </c>
      <c r="H193" s="324"/>
      <c r="I193" s="401"/>
      <c r="J193" s="324" t="s">
        <v>6</v>
      </c>
      <c r="K193" s="402" t="s">
        <v>59</v>
      </c>
      <c r="L193" s="403"/>
      <c r="M193" s="404">
        <v>46204</v>
      </c>
      <c r="N193" s="404">
        <v>46206</v>
      </c>
      <c r="O193" s="404">
        <v>46206</v>
      </c>
      <c r="P193" s="404">
        <v>46206</v>
      </c>
      <c r="Q193" s="404">
        <v>46206</v>
      </c>
      <c r="R193" s="404">
        <v>46219</v>
      </c>
      <c r="S193" s="404">
        <v>46223</v>
      </c>
      <c r="T193" s="404">
        <v>46231</v>
      </c>
      <c r="U193" s="404"/>
      <c r="V193" s="404">
        <v>46233</v>
      </c>
      <c r="W193" s="404">
        <v>46235</v>
      </c>
      <c r="X193" s="404">
        <v>46240</v>
      </c>
      <c r="Y193" s="404">
        <v>46251</v>
      </c>
      <c r="Z193" s="404">
        <v>46260</v>
      </c>
      <c r="AA193" s="404">
        <v>46267</v>
      </c>
      <c r="AB193" s="404">
        <f>AA193+1</f>
        <v>46268</v>
      </c>
      <c r="AC193" s="404">
        <f>AB193+1</f>
        <v>46269</v>
      </c>
      <c r="AD193" s="404">
        <v>46279</v>
      </c>
      <c r="AE193" s="404">
        <v>46286</v>
      </c>
      <c r="AF193" s="404">
        <v>46289</v>
      </c>
      <c r="AG193" s="404">
        <v>46303</v>
      </c>
      <c r="AH193" s="404">
        <v>46319</v>
      </c>
      <c r="AI193" s="405">
        <v>8</v>
      </c>
      <c r="AJ193" s="406">
        <f>AI193*7</f>
        <v>56</v>
      </c>
      <c r="AK193" s="404">
        <f>V193+AJ193</f>
        <v>46289</v>
      </c>
      <c r="AL193" s="407">
        <f>AL194</f>
        <v>46305</v>
      </c>
      <c r="AM193" s="399">
        <f>AL194-AK193</f>
        <v>16</v>
      </c>
      <c r="AN193" s="408" t="s">
        <v>60</v>
      </c>
      <c r="AO193" s="409" t="s">
        <v>61</v>
      </c>
      <c r="AP193" s="410">
        <v>46322</v>
      </c>
      <c r="AQ193" s="407"/>
    </row>
    <row r="194" s="333" customFormat="1" ht="23" customHeight="1" spans="1:43">
      <c r="A194" s="396"/>
      <c r="B194" s="324" t="s">
        <v>262</v>
      </c>
      <c r="C194" s="397" t="s">
        <v>263</v>
      </c>
      <c r="D194" s="449"/>
      <c r="E194" s="399">
        <f>E193</f>
        <v>27.3</v>
      </c>
      <c r="F194" s="400" t="s">
        <v>235</v>
      </c>
      <c r="G194" s="399" t="s">
        <v>234</v>
      </c>
      <c r="H194" s="324" t="s">
        <v>63</v>
      </c>
      <c r="I194" s="324">
        <v>2</v>
      </c>
      <c r="J194" s="324" t="s">
        <v>6</v>
      </c>
      <c r="K194" s="402" t="s">
        <v>64</v>
      </c>
      <c r="L194" s="404"/>
      <c r="M194" s="404"/>
      <c r="N194" s="404"/>
      <c r="O194" s="404"/>
      <c r="P194" s="404"/>
      <c r="Q194" s="404"/>
      <c r="R194" s="404"/>
      <c r="S194" s="404"/>
      <c r="T194" s="404"/>
      <c r="U194" s="404"/>
      <c r="V194" s="404"/>
      <c r="W194" s="404"/>
      <c r="X194" s="404"/>
      <c r="Y194" s="404"/>
      <c r="Z194" s="411">
        <v>46310</v>
      </c>
      <c r="AA194" s="404">
        <v>46317</v>
      </c>
      <c r="AB194" s="404">
        <v>46315</v>
      </c>
      <c r="AC194" s="404">
        <v>46317</v>
      </c>
      <c r="AD194" s="404">
        <v>46331</v>
      </c>
      <c r="AE194" s="411">
        <v>46334</v>
      </c>
      <c r="AF194" s="404">
        <v>46348</v>
      </c>
      <c r="AG194" s="404">
        <v>46364</v>
      </c>
      <c r="AH194" s="404">
        <f>AK194+30</f>
        <v>46327</v>
      </c>
      <c r="AI194" s="405">
        <v>8</v>
      </c>
      <c r="AJ194" s="406">
        <v>56</v>
      </c>
      <c r="AK194" s="404">
        <f>IF(V194&lt;&gt;"",V194+AJ194,V195+AJ194)</f>
        <v>46297</v>
      </c>
      <c r="AL194" s="407">
        <v>46305</v>
      </c>
      <c r="AM194" s="399">
        <f>AL194-AK194</f>
        <v>8</v>
      </c>
      <c r="AN194" s="413" t="str">
        <f>AN193</f>
        <v>Long Lead</v>
      </c>
      <c r="AO194" s="409" t="s">
        <v>65</v>
      </c>
      <c r="AP194" s="410">
        <v>46367</v>
      </c>
      <c r="AQ194" s="407"/>
    </row>
    <row r="195" s="333" customFormat="1" ht="23" hidden="1" customHeight="1" spans="1:43">
      <c r="A195" s="414"/>
      <c r="B195" s="415" t="s">
        <v>262</v>
      </c>
      <c r="C195" s="447" t="s">
        <v>263</v>
      </c>
      <c r="D195" s="450"/>
      <c r="E195" s="417">
        <f>E193</f>
        <v>27.3</v>
      </c>
      <c r="F195" s="418"/>
      <c r="G195" s="417" t="s">
        <v>257</v>
      </c>
      <c r="H195" s="415" t="s">
        <v>63</v>
      </c>
      <c r="I195" s="324">
        <v>2</v>
      </c>
      <c r="J195" s="415" t="s">
        <v>6</v>
      </c>
      <c r="K195" s="419" t="s">
        <v>66</v>
      </c>
      <c r="L195" s="420">
        <v>46137</v>
      </c>
      <c r="M195" s="420">
        <v>46163</v>
      </c>
      <c r="N195" s="420">
        <v>46175</v>
      </c>
      <c r="O195" s="420">
        <v>46175</v>
      </c>
      <c r="P195" s="420">
        <f>O195</f>
        <v>46175</v>
      </c>
      <c r="Q195" s="420">
        <v>46179</v>
      </c>
      <c r="R195" s="420">
        <v>46179</v>
      </c>
      <c r="S195" s="420">
        <v>46237</v>
      </c>
      <c r="T195" s="420">
        <v>46237</v>
      </c>
      <c r="U195" s="420">
        <v>46237</v>
      </c>
      <c r="V195" s="420">
        <v>46241</v>
      </c>
      <c r="W195" s="420">
        <v>46241</v>
      </c>
      <c r="X195" s="420">
        <v>46262</v>
      </c>
      <c r="Y195" s="420">
        <f>X195+1</f>
        <v>46263</v>
      </c>
      <c r="Z195" s="420"/>
      <c r="AA195" s="420"/>
      <c r="AB195" s="420"/>
      <c r="AC195" s="420"/>
      <c r="AD195" s="420"/>
      <c r="AE195" s="420"/>
      <c r="AF195" s="420"/>
      <c r="AG195" s="420"/>
      <c r="AH195" s="420"/>
      <c r="AI195" s="422"/>
      <c r="AJ195" s="423"/>
      <c r="AK195" s="404"/>
      <c r="AL195" s="424"/>
      <c r="AM195" s="417"/>
      <c r="AN195" s="425" t="str">
        <f>AN193</f>
        <v>Long Lead</v>
      </c>
      <c r="AO195" s="426"/>
      <c r="AP195" s="425" t="s">
        <v>254</v>
      </c>
      <c r="AQ195" s="424"/>
    </row>
    <row r="196" s="333" customFormat="1" ht="23" hidden="1" customHeight="1" spans="1:43">
      <c r="A196" s="396">
        <v>64</v>
      </c>
      <c r="B196" s="324" t="s">
        <v>264</v>
      </c>
      <c r="C196" s="397" t="s">
        <v>265</v>
      </c>
      <c r="D196" s="448"/>
      <c r="E196" s="399"/>
      <c r="F196" s="400"/>
      <c r="G196" s="399" t="s">
        <v>234</v>
      </c>
      <c r="H196" s="324"/>
      <c r="I196" s="401"/>
      <c r="J196" s="324" t="s">
        <v>6</v>
      </c>
      <c r="K196" s="402" t="s">
        <v>59</v>
      </c>
      <c r="L196" s="403"/>
      <c r="M196" s="404">
        <v>46300</v>
      </c>
      <c r="N196" s="441">
        <v>46304</v>
      </c>
      <c r="O196" s="441">
        <v>46304</v>
      </c>
      <c r="P196" s="441">
        <v>46304</v>
      </c>
      <c r="Q196" s="441">
        <v>46309</v>
      </c>
      <c r="R196" s="441">
        <v>46309</v>
      </c>
      <c r="S196" s="441">
        <v>46316</v>
      </c>
      <c r="T196" s="441">
        <v>46331</v>
      </c>
      <c r="U196" s="441"/>
      <c r="V196" s="441">
        <v>46335</v>
      </c>
      <c r="W196" s="441">
        <v>46335</v>
      </c>
      <c r="X196" s="404">
        <v>46340</v>
      </c>
      <c r="Y196" s="404">
        <v>46350</v>
      </c>
      <c r="Z196" s="404">
        <v>46360</v>
      </c>
      <c r="AA196" s="404">
        <v>46367</v>
      </c>
      <c r="AB196" s="404">
        <v>46365</v>
      </c>
      <c r="AC196" s="404">
        <v>46367</v>
      </c>
      <c r="AD196" s="404">
        <v>46383</v>
      </c>
      <c r="AE196" s="404">
        <v>46390</v>
      </c>
      <c r="AF196" s="404">
        <v>46393</v>
      </c>
      <c r="AG196" s="404">
        <v>46407</v>
      </c>
      <c r="AH196" s="404">
        <v>46423</v>
      </c>
      <c r="AI196" s="405">
        <v>8.57142857142857</v>
      </c>
      <c r="AJ196" s="406">
        <f>AI196*7</f>
        <v>60</v>
      </c>
      <c r="AK196" s="404">
        <f>V196+AJ196</f>
        <v>46395</v>
      </c>
      <c r="AL196" s="407">
        <f>AL197</f>
        <v>46415</v>
      </c>
      <c r="AM196" s="399">
        <f>AL197-AK196</f>
        <v>20</v>
      </c>
      <c r="AN196" s="408" t="s">
        <v>60</v>
      </c>
      <c r="AO196" s="409" t="s">
        <v>61</v>
      </c>
      <c r="AP196" s="410">
        <v>46422</v>
      </c>
      <c r="AQ196" s="407"/>
    </row>
    <row r="197" s="333" customFormat="1" ht="23" customHeight="1" spans="1:43">
      <c r="A197" s="396"/>
      <c r="B197" s="324" t="s">
        <v>264</v>
      </c>
      <c r="C197" s="397" t="s">
        <v>265</v>
      </c>
      <c r="D197" s="449"/>
      <c r="E197" s="399">
        <f>E196</f>
        <v>0</v>
      </c>
      <c r="F197" s="400" t="s">
        <v>266</v>
      </c>
      <c r="G197" s="399" t="s">
        <v>234</v>
      </c>
      <c r="H197" s="324" t="s">
        <v>63</v>
      </c>
      <c r="I197" s="324">
        <v>2</v>
      </c>
      <c r="J197" s="324" t="s">
        <v>6</v>
      </c>
      <c r="K197" s="402" t="s">
        <v>64</v>
      </c>
      <c r="L197" s="404">
        <v>46120</v>
      </c>
      <c r="M197" s="404"/>
      <c r="N197" s="441"/>
      <c r="O197" s="441"/>
      <c r="P197" s="441"/>
      <c r="Q197" s="441"/>
      <c r="R197" s="441"/>
      <c r="S197" s="441"/>
      <c r="T197" s="441"/>
      <c r="U197" s="441"/>
      <c r="V197" s="441"/>
      <c r="W197" s="441"/>
      <c r="X197" s="404"/>
      <c r="Y197" s="404"/>
      <c r="Z197" s="404">
        <v>46360</v>
      </c>
      <c r="AA197" s="404">
        <v>46367</v>
      </c>
      <c r="AB197" s="404">
        <v>46365</v>
      </c>
      <c r="AC197" s="404">
        <v>46367</v>
      </c>
      <c r="AD197" s="404">
        <v>50</v>
      </c>
      <c r="AE197" s="411">
        <v>57</v>
      </c>
      <c r="AF197" s="404">
        <v>60</v>
      </c>
      <c r="AG197" s="404">
        <v>74</v>
      </c>
      <c r="AH197" s="404">
        <v>90</v>
      </c>
      <c r="AI197" s="405">
        <v>8.57142857142857</v>
      </c>
      <c r="AJ197" s="406">
        <v>60</v>
      </c>
      <c r="AK197" s="404">
        <f>IF(V197&lt;&gt;"",V197+AJ197,V198+AJ197)</f>
        <v>60</v>
      </c>
      <c r="AL197" s="407">
        <f>AP196-7</f>
        <v>46415</v>
      </c>
      <c r="AM197" s="399">
        <f>AL197-AK197</f>
        <v>46355</v>
      </c>
      <c r="AN197" s="413" t="str">
        <f>AN196</f>
        <v>Long Lead</v>
      </c>
      <c r="AO197" s="409" t="s">
        <v>65</v>
      </c>
      <c r="AP197" s="410">
        <v>46472</v>
      </c>
      <c r="AQ197" s="407"/>
    </row>
    <row r="198" s="333" customFormat="1" ht="23" hidden="1" customHeight="1" spans="1:43">
      <c r="A198" s="414"/>
      <c r="B198" s="415" t="s">
        <v>264</v>
      </c>
      <c r="C198" s="447" t="s">
        <v>265</v>
      </c>
      <c r="D198" s="450"/>
      <c r="E198" s="417">
        <f>E196</f>
        <v>0</v>
      </c>
      <c r="F198" s="418"/>
      <c r="G198" s="417" t="s">
        <v>267</v>
      </c>
      <c r="H198" s="415" t="s">
        <v>63</v>
      </c>
      <c r="I198" s="324">
        <v>2</v>
      </c>
      <c r="J198" s="415" t="s">
        <v>6</v>
      </c>
      <c r="K198" s="419" t="s">
        <v>66</v>
      </c>
      <c r="L198" s="404">
        <v>46120</v>
      </c>
      <c r="M198" s="420">
        <v>46162</v>
      </c>
      <c r="N198" s="420">
        <v>46175</v>
      </c>
      <c r="O198" s="420">
        <v>46175</v>
      </c>
      <c r="P198" s="420">
        <v>46179</v>
      </c>
      <c r="Q198" s="420">
        <v>46179</v>
      </c>
      <c r="R198" s="420">
        <v>46179</v>
      </c>
      <c r="S198" s="420">
        <v>46185</v>
      </c>
      <c r="T198" s="420">
        <v>46190</v>
      </c>
      <c r="U198" s="420"/>
      <c r="V198" s="417"/>
      <c r="W198" s="420"/>
      <c r="X198" s="473">
        <v>46223</v>
      </c>
      <c r="Y198" s="473">
        <v>46223</v>
      </c>
      <c r="Z198" s="420"/>
      <c r="AA198" s="420"/>
      <c r="AB198" s="420"/>
      <c r="AC198" s="420"/>
      <c r="AD198" s="420"/>
      <c r="AE198" s="420"/>
      <c r="AF198" s="420"/>
      <c r="AG198" s="420"/>
      <c r="AH198" s="420"/>
      <c r="AI198" s="422"/>
      <c r="AJ198" s="423"/>
      <c r="AK198" s="420"/>
      <c r="AL198" s="424"/>
      <c r="AM198" s="417"/>
      <c r="AN198" s="425" t="str">
        <f>AN196</f>
        <v>Long Lead</v>
      </c>
      <c r="AO198" s="426"/>
      <c r="AP198" s="425"/>
      <c r="AQ198" s="424"/>
    </row>
    <row r="199" s="333" customFormat="1" ht="23" hidden="1" customHeight="1" spans="1:43">
      <c r="A199" s="396">
        <v>65</v>
      </c>
      <c r="B199" s="324" t="s">
        <v>268</v>
      </c>
      <c r="C199" s="397" t="s">
        <v>269</v>
      </c>
      <c r="D199" s="448"/>
      <c r="E199" s="399"/>
      <c r="F199" s="400"/>
      <c r="G199" s="399" t="s">
        <v>234</v>
      </c>
      <c r="H199" s="324"/>
      <c r="I199" s="401"/>
      <c r="J199" s="324" t="s">
        <v>6</v>
      </c>
      <c r="K199" s="402" t="s">
        <v>59</v>
      </c>
      <c r="L199" s="403"/>
      <c r="M199" s="404">
        <v>46302</v>
      </c>
      <c r="N199" s="441">
        <v>46304</v>
      </c>
      <c r="O199" s="441">
        <v>46304</v>
      </c>
      <c r="P199" s="441">
        <v>46304</v>
      </c>
      <c r="Q199" s="441">
        <v>46309</v>
      </c>
      <c r="R199" s="441">
        <v>46309</v>
      </c>
      <c r="S199" s="441">
        <v>46318</v>
      </c>
      <c r="T199" s="441">
        <v>46330</v>
      </c>
      <c r="U199" s="441"/>
      <c r="V199" s="441">
        <v>46332</v>
      </c>
      <c r="W199" s="441">
        <v>46334</v>
      </c>
      <c r="X199" s="404">
        <v>46339</v>
      </c>
      <c r="Y199" s="404">
        <v>46349</v>
      </c>
      <c r="Z199" s="404">
        <v>46359</v>
      </c>
      <c r="AA199" s="404">
        <v>46366</v>
      </c>
      <c r="AB199" s="404">
        <f>AA199+1</f>
        <v>46367</v>
      </c>
      <c r="AC199" s="404">
        <f>AB199+1</f>
        <v>46368</v>
      </c>
      <c r="AD199" s="404">
        <v>46412</v>
      </c>
      <c r="AE199" s="404">
        <v>46419</v>
      </c>
      <c r="AF199" s="404">
        <v>46422</v>
      </c>
      <c r="AG199" s="404">
        <v>46436</v>
      </c>
      <c r="AH199" s="404">
        <v>46452</v>
      </c>
      <c r="AI199" s="405">
        <v>12.8571428571429</v>
      </c>
      <c r="AJ199" s="406">
        <f>AI199*7</f>
        <v>90.0000000000003</v>
      </c>
      <c r="AK199" s="404">
        <f>V199+AJ199</f>
        <v>46422</v>
      </c>
      <c r="AL199" s="407">
        <f>AL200</f>
        <v>46465</v>
      </c>
      <c r="AM199" s="399">
        <f>AL200-AK199</f>
        <v>43</v>
      </c>
      <c r="AN199" s="408" t="s">
        <v>60</v>
      </c>
      <c r="AO199" s="409" t="s">
        <v>61</v>
      </c>
      <c r="AP199" s="410">
        <v>46472</v>
      </c>
      <c r="AQ199" s="407"/>
    </row>
    <row r="200" s="333" customFormat="1" ht="23" customHeight="1" spans="1:43">
      <c r="A200" s="396"/>
      <c r="B200" s="324" t="s">
        <v>268</v>
      </c>
      <c r="C200" s="397" t="s">
        <v>269</v>
      </c>
      <c r="D200" s="449"/>
      <c r="E200" s="399">
        <f>E199</f>
        <v>0</v>
      </c>
      <c r="F200" s="400" t="s">
        <v>266</v>
      </c>
      <c r="G200" s="399" t="s">
        <v>234</v>
      </c>
      <c r="H200" s="324" t="s">
        <v>63</v>
      </c>
      <c r="I200" s="324">
        <v>2</v>
      </c>
      <c r="J200" s="324" t="s">
        <v>6</v>
      </c>
      <c r="K200" s="402" t="s">
        <v>64</v>
      </c>
      <c r="L200" s="404"/>
      <c r="M200" s="404"/>
      <c r="N200" s="441"/>
      <c r="O200" s="441"/>
      <c r="P200" s="441"/>
      <c r="Q200" s="441"/>
      <c r="R200" s="441"/>
      <c r="S200" s="441"/>
      <c r="T200" s="441"/>
      <c r="U200" s="441"/>
      <c r="V200" s="441"/>
      <c r="W200" s="441"/>
      <c r="X200" s="404"/>
      <c r="Y200" s="404">
        <v>46349</v>
      </c>
      <c r="Z200" s="404">
        <v>46359</v>
      </c>
      <c r="AA200" s="404">
        <v>46366</v>
      </c>
      <c r="AB200" s="404">
        <v>46364</v>
      </c>
      <c r="AC200" s="404">
        <v>60</v>
      </c>
      <c r="AD200" s="404">
        <v>46321</v>
      </c>
      <c r="AE200" s="411">
        <v>46328</v>
      </c>
      <c r="AF200" s="404">
        <v>46331</v>
      </c>
      <c r="AG200" s="404">
        <v>46345</v>
      </c>
      <c r="AH200" s="404">
        <v>46361</v>
      </c>
      <c r="AI200" s="405">
        <v>12.8571428571429</v>
      </c>
      <c r="AJ200" s="406">
        <v>90.0000000000003</v>
      </c>
      <c r="AK200" s="404">
        <f>IF(V200&lt;&gt;"",V200+AJ200,V201+AJ200)</f>
        <v>46331</v>
      </c>
      <c r="AL200" s="407">
        <f>AP199-7</f>
        <v>46465</v>
      </c>
      <c r="AM200" s="399">
        <f>AL200-AK200</f>
        <v>134</v>
      </c>
      <c r="AN200" s="413" t="str">
        <f>AN199</f>
        <v>Long Lead</v>
      </c>
      <c r="AO200" s="409" t="s">
        <v>65</v>
      </c>
      <c r="AP200" s="410">
        <v>46517</v>
      </c>
      <c r="AQ200" s="407"/>
    </row>
    <row r="201" s="333" customFormat="1" ht="23" hidden="1" customHeight="1" spans="1:43">
      <c r="A201" s="414"/>
      <c r="B201" s="415" t="s">
        <v>268</v>
      </c>
      <c r="C201" s="447" t="s">
        <v>269</v>
      </c>
      <c r="D201" s="450"/>
      <c r="E201" s="417">
        <f>E199</f>
        <v>0</v>
      </c>
      <c r="F201" s="418"/>
      <c r="G201" s="417" t="s">
        <v>267</v>
      </c>
      <c r="H201" s="415" t="s">
        <v>63</v>
      </c>
      <c r="I201" s="324">
        <v>2</v>
      </c>
      <c r="J201" s="415" t="s">
        <v>6</v>
      </c>
      <c r="K201" s="419" t="s">
        <v>66</v>
      </c>
      <c r="L201" s="417"/>
      <c r="M201" s="420">
        <v>46163</v>
      </c>
      <c r="N201" s="420">
        <v>46237</v>
      </c>
      <c r="O201" s="420">
        <v>46237</v>
      </c>
      <c r="P201" s="420">
        <v>46237</v>
      </c>
      <c r="Q201" s="420">
        <v>46237</v>
      </c>
      <c r="R201" s="420">
        <v>46237</v>
      </c>
      <c r="S201" s="420">
        <v>46237</v>
      </c>
      <c r="T201" s="420">
        <v>46237</v>
      </c>
      <c r="U201" s="420">
        <v>46237</v>
      </c>
      <c r="V201" s="420">
        <v>46241</v>
      </c>
      <c r="W201" s="420">
        <v>46241</v>
      </c>
      <c r="X201" s="420">
        <v>46262</v>
      </c>
      <c r="Y201" s="420">
        <f>X201+1</f>
        <v>46263</v>
      </c>
      <c r="Z201" s="420"/>
      <c r="AA201" s="420"/>
      <c r="AB201" s="420"/>
      <c r="AC201" s="420"/>
      <c r="AD201" s="420"/>
      <c r="AE201" s="420"/>
      <c r="AF201" s="420"/>
      <c r="AG201" s="420"/>
      <c r="AH201" s="420"/>
      <c r="AI201" s="422"/>
      <c r="AJ201" s="423"/>
      <c r="AK201" s="420"/>
      <c r="AL201" s="424"/>
      <c r="AM201" s="417"/>
      <c r="AN201" s="425" t="str">
        <f>AN199</f>
        <v>Long Lead</v>
      </c>
      <c r="AO201" s="426"/>
      <c r="AP201" s="425" t="s">
        <v>254</v>
      </c>
      <c r="AQ201" s="424"/>
    </row>
    <row r="202" s="333" customFormat="1" ht="23" hidden="1" customHeight="1" spans="1:43">
      <c r="A202" s="396">
        <v>67</v>
      </c>
      <c r="B202" s="324" t="s">
        <v>270</v>
      </c>
      <c r="C202" s="397" t="s">
        <v>271</v>
      </c>
      <c r="D202" s="448"/>
      <c r="E202" s="399"/>
      <c r="F202" s="400"/>
      <c r="G202" s="399" t="s">
        <v>85</v>
      </c>
      <c r="H202" s="324"/>
      <c r="I202" s="401"/>
      <c r="J202" s="324" t="s">
        <v>9</v>
      </c>
      <c r="K202" s="402" t="s">
        <v>59</v>
      </c>
      <c r="L202" s="403"/>
      <c r="M202" s="404">
        <v>46223</v>
      </c>
      <c r="N202" s="404">
        <v>46239</v>
      </c>
      <c r="O202" s="404">
        <v>46239</v>
      </c>
      <c r="P202" s="404">
        <v>46239</v>
      </c>
      <c r="Q202" s="404">
        <v>46239</v>
      </c>
      <c r="R202" s="404">
        <v>46240</v>
      </c>
      <c r="S202" s="404">
        <v>46244</v>
      </c>
      <c r="T202" s="404">
        <v>46258</v>
      </c>
      <c r="U202" s="404"/>
      <c r="V202" s="404">
        <v>46265</v>
      </c>
      <c r="W202" s="404">
        <v>46267</v>
      </c>
      <c r="X202" s="404">
        <v>46274</v>
      </c>
      <c r="Y202" s="404">
        <v>46288</v>
      </c>
      <c r="Z202" s="404">
        <v>46302</v>
      </c>
      <c r="AA202" s="404">
        <v>46332</v>
      </c>
      <c r="AB202" s="404">
        <v>46332</v>
      </c>
      <c r="AC202" s="404">
        <v>46334</v>
      </c>
      <c r="AD202" s="404">
        <v>46341</v>
      </c>
      <c r="AE202" s="404">
        <v>46348</v>
      </c>
      <c r="AF202" s="404">
        <v>46355</v>
      </c>
      <c r="AG202" s="404">
        <v>46369</v>
      </c>
      <c r="AH202" s="404">
        <v>46385</v>
      </c>
      <c r="AI202" s="405">
        <v>12.8571428571429</v>
      </c>
      <c r="AJ202" s="406">
        <f>AI202*7</f>
        <v>90.0000000000003</v>
      </c>
      <c r="AK202" s="404">
        <f>V202+AJ202</f>
        <v>46355</v>
      </c>
      <c r="AL202" s="407">
        <f>AL203</f>
        <v>46382</v>
      </c>
      <c r="AM202" s="399">
        <f>AL203-AK202</f>
        <v>27</v>
      </c>
      <c r="AN202" s="408"/>
      <c r="AO202" s="409" t="s">
        <v>61</v>
      </c>
      <c r="AP202" s="410">
        <v>46385</v>
      </c>
      <c r="AQ202" s="407"/>
    </row>
    <row r="203" s="333" customFormat="1" ht="23" customHeight="1" spans="1:43">
      <c r="A203" s="396"/>
      <c r="B203" s="324" t="s">
        <v>270</v>
      </c>
      <c r="C203" s="397" t="s">
        <v>271</v>
      </c>
      <c r="D203" s="449"/>
      <c r="E203" s="399"/>
      <c r="F203" s="400" t="s">
        <v>272</v>
      </c>
      <c r="G203" s="399" t="s">
        <v>85</v>
      </c>
      <c r="H203" s="324" t="s">
        <v>63</v>
      </c>
      <c r="I203" s="324">
        <v>3</v>
      </c>
      <c r="J203" s="324" t="s">
        <v>9</v>
      </c>
      <c r="K203" s="402" t="s">
        <v>64</v>
      </c>
      <c r="L203" s="404">
        <v>46208</v>
      </c>
      <c r="M203" s="404"/>
      <c r="N203" s="404"/>
      <c r="O203" s="404"/>
      <c r="P203" s="404"/>
      <c r="Q203" s="404"/>
      <c r="R203" s="404"/>
      <c r="S203" s="404"/>
      <c r="T203" s="404"/>
      <c r="U203" s="404"/>
      <c r="V203" s="404"/>
      <c r="W203" s="404">
        <v>46294</v>
      </c>
      <c r="X203" s="404">
        <v>46308</v>
      </c>
      <c r="Y203" s="404">
        <v>46322</v>
      </c>
      <c r="Z203" s="411">
        <f>AB203-5</f>
        <v>46361</v>
      </c>
      <c r="AA203" s="404">
        <v>46366</v>
      </c>
      <c r="AB203" s="404">
        <v>46366</v>
      </c>
      <c r="AC203" s="404">
        <v>46368</v>
      </c>
      <c r="AD203" s="404">
        <v>46365</v>
      </c>
      <c r="AE203" s="411">
        <v>46372</v>
      </c>
      <c r="AF203" s="404">
        <v>46379</v>
      </c>
      <c r="AG203" s="404">
        <v>46393</v>
      </c>
      <c r="AH203" s="404">
        <v>46409</v>
      </c>
      <c r="AI203" s="405">
        <v>12.8571428571429</v>
      </c>
      <c r="AJ203" s="406">
        <v>90.0000000000003</v>
      </c>
      <c r="AK203" s="404">
        <f>IF(V203&lt;&gt;"",V203+AJ203,V204+AJ203)</f>
        <v>46373</v>
      </c>
      <c r="AL203" s="407">
        <f>AP202-3</f>
        <v>46382</v>
      </c>
      <c r="AM203" s="399">
        <f>AL203-AK203</f>
        <v>9</v>
      </c>
      <c r="AN203" s="408"/>
      <c r="AO203" s="409" t="s">
        <v>65</v>
      </c>
      <c r="AP203" s="410">
        <v>46410</v>
      </c>
      <c r="AQ203" s="407"/>
    </row>
    <row r="204" s="333" customFormat="1" ht="23" hidden="1" customHeight="1" spans="1:43">
      <c r="A204" s="414"/>
      <c r="B204" s="415" t="s">
        <v>270</v>
      </c>
      <c r="C204" s="447" t="s">
        <v>271</v>
      </c>
      <c r="D204" s="450"/>
      <c r="E204" s="417"/>
      <c r="F204" s="418"/>
      <c r="G204" s="417" t="s">
        <v>85</v>
      </c>
      <c r="H204" s="415" t="s">
        <v>63</v>
      </c>
      <c r="I204" s="324">
        <v>3</v>
      </c>
      <c r="J204" s="415" t="s">
        <v>9</v>
      </c>
      <c r="K204" s="419" t="s">
        <v>66</v>
      </c>
      <c r="L204" s="420"/>
      <c r="M204" s="420">
        <v>46227</v>
      </c>
      <c r="N204" s="420">
        <f>IF(N222&lt;&gt;"",N222,"")</f>
        <v>46244</v>
      </c>
      <c r="O204" s="420">
        <f t="shared" ref="O204:T204" si="2">IF(O222&lt;&gt;"",O222,"")</f>
        <v>46244</v>
      </c>
      <c r="P204" s="420">
        <f t="shared" si="2"/>
        <v>46244</v>
      </c>
      <c r="Q204" s="420">
        <f t="shared" si="2"/>
        <v>46244</v>
      </c>
      <c r="R204" s="420">
        <f t="shared" si="2"/>
        <v>46244</v>
      </c>
      <c r="S204" s="420">
        <v>46263</v>
      </c>
      <c r="T204" s="420">
        <f t="shared" si="2"/>
        <v>46288</v>
      </c>
      <c r="U204" s="420">
        <v>46283</v>
      </c>
      <c r="V204" s="420">
        <v>46283</v>
      </c>
      <c r="W204" s="420"/>
      <c r="X204" s="420"/>
      <c r="Y204" s="420"/>
      <c r="Z204" s="420"/>
      <c r="AA204" s="420"/>
      <c r="AB204" s="420"/>
      <c r="AC204" s="420"/>
      <c r="AD204" s="420"/>
      <c r="AE204" s="420"/>
      <c r="AF204" s="420"/>
      <c r="AG204" s="420"/>
      <c r="AH204" s="420"/>
      <c r="AI204" s="422"/>
      <c r="AJ204" s="423"/>
      <c r="AK204" s="420"/>
      <c r="AL204" s="424"/>
      <c r="AM204" s="417"/>
      <c r="AN204" s="425"/>
      <c r="AO204" s="426"/>
      <c r="AP204" s="425"/>
      <c r="AQ204" s="424"/>
    </row>
    <row r="205" s="333" customFormat="1" ht="23" hidden="1" customHeight="1" spans="1:43">
      <c r="A205" s="396">
        <v>68</v>
      </c>
      <c r="B205" s="324" t="s">
        <v>273</v>
      </c>
      <c r="C205" s="324" t="s">
        <v>274</v>
      </c>
      <c r="D205" s="448"/>
      <c r="E205" s="399"/>
      <c r="F205" s="400"/>
      <c r="G205" s="399" t="s">
        <v>85</v>
      </c>
      <c r="H205" s="324"/>
      <c r="I205" s="401"/>
      <c r="J205" s="324" t="s">
        <v>9</v>
      </c>
      <c r="K205" s="402" t="s">
        <v>59</v>
      </c>
      <c r="L205" s="403"/>
      <c r="M205" s="404">
        <v>46216</v>
      </c>
      <c r="N205" s="404">
        <v>46230</v>
      </c>
      <c r="O205" s="404">
        <v>46230</v>
      </c>
      <c r="P205" s="404">
        <v>46230</v>
      </c>
      <c r="Q205" s="404">
        <v>46230</v>
      </c>
      <c r="R205" s="404">
        <v>46237</v>
      </c>
      <c r="S205" s="404">
        <v>46244</v>
      </c>
      <c r="T205" s="404">
        <v>46258</v>
      </c>
      <c r="U205" s="404"/>
      <c r="V205" s="404">
        <v>46265</v>
      </c>
      <c r="W205" s="404">
        <v>46267</v>
      </c>
      <c r="X205" s="404">
        <v>46274</v>
      </c>
      <c r="Y205" s="404">
        <v>46288</v>
      </c>
      <c r="Z205" s="404">
        <v>46302</v>
      </c>
      <c r="AA205" s="404">
        <v>46332</v>
      </c>
      <c r="AB205" s="404">
        <v>46332</v>
      </c>
      <c r="AC205" s="404">
        <v>46334</v>
      </c>
      <c r="AD205" s="404">
        <v>46419</v>
      </c>
      <c r="AE205" s="404">
        <v>46426</v>
      </c>
      <c r="AF205" s="404">
        <v>46433</v>
      </c>
      <c r="AG205" s="404">
        <v>46447</v>
      </c>
      <c r="AH205" s="404">
        <v>46463</v>
      </c>
      <c r="AI205" s="428">
        <v>24</v>
      </c>
      <c r="AJ205" s="406">
        <f>AI205*7</f>
        <v>168</v>
      </c>
      <c r="AK205" s="404">
        <f>V205+AJ205</f>
        <v>46433</v>
      </c>
      <c r="AL205" s="407">
        <f>AL206</f>
        <v>46439</v>
      </c>
      <c r="AM205" s="399">
        <f>AL206-AK205</f>
        <v>6</v>
      </c>
      <c r="AN205" s="408"/>
      <c r="AO205" s="409" t="s">
        <v>61</v>
      </c>
      <c r="AP205" s="410">
        <v>46446</v>
      </c>
      <c r="AQ205" s="407"/>
    </row>
    <row r="206" s="333" customFormat="1" ht="23" customHeight="1" spans="1:43">
      <c r="A206" s="396"/>
      <c r="B206" s="324" t="s">
        <v>273</v>
      </c>
      <c r="C206" s="324" t="s">
        <v>274</v>
      </c>
      <c r="D206" s="449"/>
      <c r="E206" s="399"/>
      <c r="F206" s="400" t="s">
        <v>272</v>
      </c>
      <c r="G206" s="399" t="s">
        <v>85</v>
      </c>
      <c r="H206" s="324" t="s">
        <v>63</v>
      </c>
      <c r="I206" s="324">
        <v>3</v>
      </c>
      <c r="J206" s="324" t="s">
        <v>9</v>
      </c>
      <c r="K206" s="402" t="s">
        <v>64</v>
      </c>
      <c r="L206" s="404">
        <v>46208</v>
      </c>
      <c r="M206" s="404"/>
      <c r="N206" s="404"/>
      <c r="O206" s="404"/>
      <c r="P206" s="404"/>
      <c r="Q206" s="404"/>
      <c r="R206" s="404"/>
      <c r="S206" s="404"/>
      <c r="T206" s="404"/>
      <c r="U206" s="404"/>
      <c r="V206" s="404"/>
      <c r="W206" s="404"/>
      <c r="X206" s="404">
        <v>46295</v>
      </c>
      <c r="Y206" s="404">
        <v>46293</v>
      </c>
      <c r="Z206" s="411">
        <f>AB206-5</f>
        <v>46332</v>
      </c>
      <c r="AA206" s="404">
        <v>46337</v>
      </c>
      <c r="AB206" s="404">
        <v>46337</v>
      </c>
      <c r="AC206" s="404">
        <v>46339</v>
      </c>
      <c r="AD206" s="404">
        <v>46423</v>
      </c>
      <c r="AE206" s="411">
        <v>46430</v>
      </c>
      <c r="AF206" s="404">
        <v>46437</v>
      </c>
      <c r="AG206" s="404">
        <v>46451</v>
      </c>
      <c r="AH206" s="404">
        <v>46467</v>
      </c>
      <c r="AI206" s="428">
        <v>24</v>
      </c>
      <c r="AJ206" s="406">
        <v>168</v>
      </c>
      <c r="AK206" s="404">
        <f>IF(V206&lt;&gt;"",V206+AJ206,V207+AJ206)</f>
        <v>46437</v>
      </c>
      <c r="AL206" s="407">
        <f>AP205-7</f>
        <v>46439</v>
      </c>
      <c r="AM206" s="399">
        <f>AL206-AK206</f>
        <v>2</v>
      </c>
      <c r="AN206" s="408"/>
      <c r="AO206" s="409" t="s">
        <v>65</v>
      </c>
      <c r="AP206" s="410">
        <v>46446</v>
      </c>
      <c r="AQ206" s="407"/>
    </row>
    <row r="207" s="333" customFormat="1" ht="23" hidden="1" customHeight="1" spans="1:43">
      <c r="A207" s="414"/>
      <c r="B207" s="415" t="s">
        <v>273</v>
      </c>
      <c r="C207" s="415" t="s">
        <v>274</v>
      </c>
      <c r="D207" s="450"/>
      <c r="E207" s="417"/>
      <c r="F207" s="418"/>
      <c r="G207" s="417" t="s">
        <v>85</v>
      </c>
      <c r="H207" s="415" t="s">
        <v>63</v>
      </c>
      <c r="I207" s="324">
        <v>3</v>
      </c>
      <c r="J207" s="415" t="s">
        <v>9</v>
      </c>
      <c r="K207" s="419" t="s">
        <v>66</v>
      </c>
      <c r="L207" s="420"/>
      <c r="M207" s="420">
        <v>46220</v>
      </c>
      <c r="N207" s="420">
        <v>46229</v>
      </c>
      <c r="O207" s="420">
        <v>46229</v>
      </c>
      <c r="P207" s="420">
        <v>46229</v>
      </c>
      <c r="Q207" s="420">
        <f>P207+1</f>
        <v>46230</v>
      </c>
      <c r="R207" s="420">
        <v>46247</v>
      </c>
      <c r="S207" s="420">
        <v>46262</v>
      </c>
      <c r="T207" s="420">
        <v>46266</v>
      </c>
      <c r="U207" s="420">
        <v>46269</v>
      </c>
      <c r="V207" s="420">
        <v>46269</v>
      </c>
      <c r="W207" s="420">
        <v>46269</v>
      </c>
      <c r="X207" s="420"/>
      <c r="Y207" s="420"/>
      <c r="Z207" s="420"/>
      <c r="AA207" s="420"/>
      <c r="AB207" s="420"/>
      <c r="AC207" s="420"/>
      <c r="AD207" s="420"/>
      <c r="AE207" s="420"/>
      <c r="AF207" s="420"/>
      <c r="AG207" s="420"/>
      <c r="AH207" s="420"/>
      <c r="AI207" s="474"/>
      <c r="AJ207" s="423"/>
      <c r="AK207" s="420"/>
      <c r="AL207" s="424"/>
      <c r="AM207" s="417"/>
      <c r="AN207" s="425"/>
      <c r="AO207" s="426"/>
      <c r="AP207" s="425" t="s">
        <v>275</v>
      </c>
      <c r="AQ207" s="424"/>
    </row>
    <row r="208" s="333" customFormat="1" ht="23" hidden="1" customHeight="1" spans="1:43">
      <c r="A208" s="396">
        <v>103</v>
      </c>
      <c r="B208" s="324" t="s">
        <v>276</v>
      </c>
      <c r="C208" s="324" t="s">
        <v>277</v>
      </c>
      <c r="D208" s="448"/>
      <c r="E208" s="399"/>
      <c r="F208" s="400"/>
      <c r="G208" s="399" t="s">
        <v>85</v>
      </c>
      <c r="H208" s="324"/>
      <c r="I208" s="401"/>
      <c r="J208" s="324" t="s">
        <v>9</v>
      </c>
      <c r="K208" s="402" t="s">
        <v>59</v>
      </c>
      <c r="L208" s="403"/>
      <c r="M208" s="404">
        <v>46216</v>
      </c>
      <c r="N208" s="404">
        <v>46230</v>
      </c>
      <c r="O208" s="404">
        <v>46230</v>
      </c>
      <c r="P208" s="404">
        <v>46230</v>
      </c>
      <c r="Q208" s="404">
        <v>46230</v>
      </c>
      <c r="R208" s="404">
        <v>46237</v>
      </c>
      <c r="S208" s="404">
        <v>46244</v>
      </c>
      <c r="T208" s="404">
        <v>46258</v>
      </c>
      <c r="U208" s="404"/>
      <c r="V208" s="404">
        <v>46265</v>
      </c>
      <c r="W208" s="404">
        <v>46267</v>
      </c>
      <c r="X208" s="404">
        <v>46274</v>
      </c>
      <c r="Y208" s="404">
        <v>46288</v>
      </c>
      <c r="Z208" s="404">
        <v>46302</v>
      </c>
      <c r="AA208" s="404">
        <v>46332</v>
      </c>
      <c r="AB208" s="404">
        <v>46332</v>
      </c>
      <c r="AC208" s="404">
        <v>46334</v>
      </c>
      <c r="AD208" s="404">
        <v>46419</v>
      </c>
      <c r="AE208" s="404">
        <v>46426</v>
      </c>
      <c r="AF208" s="404">
        <v>46433</v>
      </c>
      <c r="AG208" s="404">
        <v>46447</v>
      </c>
      <c r="AH208" s="404">
        <v>46463</v>
      </c>
      <c r="AI208" s="428">
        <v>24</v>
      </c>
      <c r="AJ208" s="406">
        <f>AI208*7</f>
        <v>168</v>
      </c>
      <c r="AK208" s="404">
        <f>V208+AJ208</f>
        <v>46433</v>
      </c>
      <c r="AL208" s="407">
        <f>AL209</f>
        <v>46439</v>
      </c>
      <c r="AM208" s="399">
        <f>AL209-AK208</f>
        <v>6</v>
      </c>
      <c r="AN208" s="408"/>
      <c r="AO208" s="409" t="s">
        <v>61</v>
      </c>
      <c r="AP208" s="410">
        <v>46446</v>
      </c>
      <c r="AQ208" s="407"/>
    </row>
    <row r="209" s="333" customFormat="1" ht="23" customHeight="1" spans="1:43">
      <c r="A209" s="396"/>
      <c r="B209" s="324" t="s">
        <v>276</v>
      </c>
      <c r="C209" s="324" t="s">
        <v>277</v>
      </c>
      <c r="D209" s="449"/>
      <c r="E209" s="399"/>
      <c r="F209" s="400" t="s">
        <v>272</v>
      </c>
      <c r="G209" s="399" t="s">
        <v>85</v>
      </c>
      <c r="H209" s="324" t="s">
        <v>63</v>
      </c>
      <c r="I209" s="324">
        <v>3</v>
      </c>
      <c r="J209" s="324" t="s">
        <v>9</v>
      </c>
      <c r="K209" s="402" t="s">
        <v>64</v>
      </c>
      <c r="L209" s="404">
        <v>46208</v>
      </c>
      <c r="M209" s="404"/>
      <c r="N209" s="404"/>
      <c r="O209" s="404"/>
      <c r="P209" s="404"/>
      <c r="Q209" s="404"/>
      <c r="R209" s="404"/>
      <c r="S209" s="404"/>
      <c r="T209" s="404"/>
      <c r="U209" s="404"/>
      <c r="V209" s="404"/>
      <c r="W209" s="404"/>
      <c r="X209" s="404">
        <v>46295</v>
      </c>
      <c r="Y209" s="404">
        <v>46293</v>
      </c>
      <c r="Z209" s="411">
        <f>AB209-5</f>
        <v>46332</v>
      </c>
      <c r="AA209" s="404">
        <v>46337</v>
      </c>
      <c r="AB209" s="404">
        <v>46337</v>
      </c>
      <c r="AC209" s="404">
        <v>46339</v>
      </c>
      <c r="AD209" s="404">
        <v>46423</v>
      </c>
      <c r="AE209" s="411">
        <v>46430</v>
      </c>
      <c r="AF209" s="404">
        <v>46437</v>
      </c>
      <c r="AG209" s="404">
        <v>46451</v>
      </c>
      <c r="AH209" s="404">
        <v>46467</v>
      </c>
      <c r="AI209" s="428">
        <v>24</v>
      </c>
      <c r="AJ209" s="406">
        <v>168</v>
      </c>
      <c r="AK209" s="404">
        <f>IF(V209&lt;&gt;"",V209+AJ209,V210+AJ209)</f>
        <v>46437</v>
      </c>
      <c r="AL209" s="407">
        <f>AP208-7</f>
        <v>46439</v>
      </c>
      <c r="AM209" s="399">
        <f>AL209-AK209</f>
        <v>2</v>
      </c>
      <c r="AN209" s="408"/>
      <c r="AO209" s="409" t="s">
        <v>65</v>
      </c>
      <c r="AP209" s="410">
        <v>46446</v>
      </c>
      <c r="AQ209" s="407"/>
    </row>
    <row r="210" s="333" customFormat="1" ht="23" hidden="1" customHeight="1" spans="1:43">
      <c r="A210" s="414"/>
      <c r="B210" s="415" t="s">
        <v>276</v>
      </c>
      <c r="C210" s="415" t="s">
        <v>277</v>
      </c>
      <c r="D210" s="450"/>
      <c r="E210" s="417"/>
      <c r="F210" s="418"/>
      <c r="G210" s="417" t="s">
        <v>85</v>
      </c>
      <c r="H210" s="415" t="s">
        <v>63</v>
      </c>
      <c r="I210" s="324">
        <v>3</v>
      </c>
      <c r="J210" s="415" t="s">
        <v>9</v>
      </c>
      <c r="K210" s="419" t="s">
        <v>66</v>
      </c>
      <c r="L210" s="420"/>
      <c r="M210" s="420">
        <v>46220</v>
      </c>
      <c r="N210" s="420">
        <v>46229</v>
      </c>
      <c r="O210" s="420">
        <v>46229</v>
      </c>
      <c r="P210" s="420">
        <f t="shared" ref="P210:T210" si="3">IF(P$207&lt;&gt;"",P$207,"")</f>
        <v>46229</v>
      </c>
      <c r="Q210" s="420">
        <f t="shared" si="3"/>
        <v>46230</v>
      </c>
      <c r="R210" s="420">
        <v>46247</v>
      </c>
      <c r="S210" s="420">
        <v>46262</v>
      </c>
      <c r="T210" s="420">
        <f t="shared" si="3"/>
        <v>46266</v>
      </c>
      <c r="U210" s="420">
        <v>46269</v>
      </c>
      <c r="V210" s="420">
        <v>46269</v>
      </c>
      <c r="W210" s="420">
        <v>46269</v>
      </c>
      <c r="X210" s="420"/>
      <c r="Y210" s="420"/>
      <c r="Z210" s="420"/>
      <c r="AA210" s="420"/>
      <c r="AB210" s="420"/>
      <c r="AC210" s="420"/>
      <c r="AD210" s="420"/>
      <c r="AE210" s="420"/>
      <c r="AF210" s="420"/>
      <c r="AG210" s="420"/>
      <c r="AH210" s="420"/>
      <c r="AI210" s="474"/>
      <c r="AJ210" s="423"/>
      <c r="AK210" s="420"/>
      <c r="AL210" s="424"/>
      <c r="AM210" s="417"/>
      <c r="AN210" s="425"/>
      <c r="AO210" s="426"/>
      <c r="AP210" s="425" t="s">
        <v>275</v>
      </c>
      <c r="AQ210" s="424"/>
    </row>
    <row r="211" s="333" customFormat="1" ht="23" hidden="1" customHeight="1" spans="1:43">
      <c r="A211" s="396">
        <v>69</v>
      </c>
      <c r="B211" s="324" t="s">
        <v>278</v>
      </c>
      <c r="C211" s="324" t="s">
        <v>279</v>
      </c>
      <c r="D211" s="448"/>
      <c r="E211" s="399"/>
      <c r="F211" s="400"/>
      <c r="G211" s="399" t="s">
        <v>85</v>
      </c>
      <c r="H211" s="324"/>
      <c r="I211" s="401"/>
      <c r="J211" s="324" t="s">
        <v>9</v>
      </c>
      <c r="K211" s="402" t="s">
        <v>59</v>
      </c>
      <c r="L211" s="403"/>
      <c r="M211" s="404">
        <v>46223</v>
      </c>
      <c r="N211" s="404">
        <v>46239</v>
      </c>
      <c r="O211" s="404">
        <v>46239</v>
      </c>
      <c r="P211" s="404">
        <v>46239</v>
      </c>
      <c r="Q211" s="404">
        <v>46239</v>
      </c>
      <c r="R211" s="404">
        <v>46240</v>
      </c>
      <c r="S211" s="404">
        <v>46244</v>
      </c>
      <c r="T211" s="404">
        <v>46258</v>
      </c>
      <c r="U211" s="404"/>
      <c r="V211" s="404">
        <v>46265</v>
      </c>
      <c r="W211" s="404">
        <v>46267</v>
      </c>
      <c r="X211" s="404">
        <v>46274</v>
      </c>
      <c r="Y211" s="404">
        <v>46288</v>
      </c>
      <c r="Z211" s="404">
        <v>46302</v>
      </c>
      <c r="AA211" s="404">
        <v>46332</v>
      </c>
      <c r="AB211" s="404">
        <v>46332</v>
      </c>
      <c r="AC211" s="404">
        <v>46334</v>
      </c>
      <c r="AD211" s="404">
        <v>46341</v>
      </c>
      <c r="AE211" s="404">
        <v>46348</v>
      </c>
      <c r="AF211" s="404">
        <v>46355</v>
      </c>
      <c r="AG211" s="404">
        <v>46369</v>
      </c>
      <c r="AH211" s="404">
        <v>46385</v>
      </c>
      <c r="AI211" s="428">
        <v>12.8571428571429</v>
      </c>
      <c r="AJ211" s="406">
        <f>AI211*7</f>
        <v>90.0000000000003</v>
      </c>
      <c r="AK211" s="404">
        <f>V211+AJ211</f>
        <v>46355</v>
      </c>
      <c r="AL211" s="407">
        <f>AL212</f>
        <v>46382</v>
      </c>
      <c r="AM211" s="399">
        <f>AL212-AK211</f>
        <v>27</v>
      </c>
      <c r="AN211" s="408"/>
      <c r="AO211" s="409" t="s">
        <v>61</v>
      </c>
      <c r="AP211" s="410">
        <v>46385</v>
      </c>
      <c r="AQ211" s="407"/>
    </row>
    <row r="212" s="333" customFormat="1" ht="23" customHeight="1" spans="1:43">
      <c r="A212" s="396"/>
      <c r="B212" s="324" t="s">
        <v>278</v>
      </c>
      <c r="C212" s="324" t="s">
        <v>279</v>
      </c>
      <c r="D212" s="449"/>
      <c r="E212" s="399"/>
      <c r="F212" s="400" t="s">
        <v>272</v>
      </c>
      <c r="G212" s="399" t="s">
        <v>85</v>
      </c>
      <c r="H212" s="324" t="s">
        <v>63</v>
      </c>
      <c r="I212" s="324">
        <v>3</v>
      </c>
      <c r="J212" s="324" t="s">
        <v>9</v>
      </c>
      <c r="K212" s="402" t="s">
        <v>64</v>
      </c>
      <c r="L212" s="404">
        <v>46208</v>
      </c>
      <c r="M212" s="404"/>
      <c r="N212" s="404"/>
      <c r="O212" s="404"/>
      <c r="P212" s="404"/>
      <c r="Q212" s="404"/>
      <c r="R212" s="404"/>
      <c r="S212" s="404"/>
      <c r="T212" s="404"/>
      <c r="U212" s="404"/>
      <c r="V212" s="404"/>
      <c r="W212" s="404">
        <v>46295</v>
      </c>
      <c r="X212" s="404">
        <v>46308</v>
      </c>
      <c r="Y212" s="404">
        <v>46322</v>
      </c>
      <c r="Z212" s="411">
        <f>AB212-5</f>
        <v>46361</v>
      </c>
      <c r="AA212" s="404">
        <v>46366</v>
      </c>
      <c r="AB212" s="404">
        <v>46366</v>
      </c>
      <c r="AC212" s="404">
        <v>46368</v>
      </c>
      <c r="AD212" s="404">
        <v>46365</v>
      </c>
      <c r="AE212" s="411">
        <v>46372</v>
      </c>
      <c r="AF212" s="404">
        <v>46379</v>
      </c>
      <c r="AG212" s="404">
        <v>46393</v>
      </c>
      <c r="AH212" s="404">
        <v>46409</v>
      </c>
      <c r="AI212" s="428">
        <v>12.8571428571429</v>
      </c>
      <c r="AJ212" s="406">
        <v>90.0000000000003</v>
      </c>
      <c r="AK212" s="404">
        <f>IF(V212&lt;&gt;"",V212+AJ212,V213+AJ212)</f>
        <v>46373</v>
      </c>
      <c r="AL212" s="407">
        <f>AP211-3</f>
        <v>46382</v>
      </c>
      <c r="AM212" s="399">
        <f>AL212-AK212</f>
        <v>9</v>
      </c>
      <c r="AN212" s="408"/>
      <c r="AO212" s="409" t="s">
        <v>65</v>
      </c>
      <c r="AP212" s="410">
        <v>46410</v>
      </c>
      <c r="AQ212" s="407"/>
    </row>
    <row r="213" s="333" customFormat="1" ht="23" hidden="1" customHeight="1" spans="1:43">
      <c r="A213" s="414"/>
      <c r="B213" s="415" t="s">
        <v>278</v>
      </c>
      <c r="C213" s="415" t="s">
        <v>279</v>
      </c>
      <c r="D213" s="450"/>
      <c r="E213" s="417"/>
      <c r="F213" s="418"/>
      <c r="G213" s="417" t="s">
        <v>85</v>
      </c>
      <c r="H213" s="415" t="s">
        <v>63</v>
      </c>
      <c r="I213" s="324">
        <v>3</v>
      </c>
      <c r="J213" s="415" t="s">
        <v>9</v>
      </c>
      <c r="K213" s="419" t="s">
        <v>66</v>
      </c>
      <c r="L213" s="420"/>
      <c r="M213" s="420">
        <v>46227</v>
      </c>
      <c r="N213" s="420">
        <f>IF(N222&lt;&gt;"",N222,"")</f>
        <v>46244</v>
      </c>
      <c r="O213" s="420">
        <f t="shared" ref="O213:T213" si="4">IF(O222&lt;&gt;"",O222,"")</f>
        <v>46244</v>
      </c>
      <c r="P213" s="420">
        <f t="shared" si="4"/>
        <v>46244</v>
      </c>
      <c r="Q213" s="420">
        <f t="shared" si="4"/>
        <v>46244</v>
      </c>
      <c r="R213" s="420">
        <f t="shared" si="4"/>
        <v>46244</v>
      </c>
      <c r="S213" s="420">
        <v>46263</v>
      </c>
      <c r="T213" s="420">
        <f t="shared" si="4"/>
        <v>46288</v>
      </c>
      <c r="U213" s="420">
        <v>46283</v>
      </c>
      <c r="V213" s="420">
        <v>46283</v>
      </c>
      <c r="W213" s="420"/>
      <c r="X213" s="420"/>
      <c r="Y213" s="420"/>
      <c r="Z213" s="420"/>
      <c r="AA213" s="420"/>
      <c r="AB213" s="420"/>
      <c r="AC213" s="420"/>
      <c r="AD213" s="420"/>
      <c r="AE213" s="420"/>
      <c r="AF213" s="420"/>
      <c r="AG213" s="420"/>
      <c r="AH213" s="420"/>
      <c r="AI213" s="474"/>
      <c r="AJ213" s="423"/>
      <c r="AK213" s="420"/>
      <c r="AL213" s="424"/>
      <c r="AM213" s="417"/>
      <c r="AN213" s="425"/>
      <c r="AO213" s="426"/>
      <c r="AP213" s="425"/>
      <c r="AQ213" s="424"/>
    </row>
    <row r="214" s="333" customFormat="1" ht="23" hidden="1" customHeight="1" spans="1:43">
      <c r="A214" s="396">
        <v>70</v>
      </c>
      <c r="B214" s="324" t="s">
        <v>280</v>
      </c>
      <c r="C214" s="324" t="s">
        <v>281</v>
      </c>
      <c r="D214" s="448"/>
      <c r="E214" s="399"/>
      <c r="F214" s="400"/>
      <c r="G214" s="399" t="s">
        <v>85</v>
      </c>
      <c r="H214" s="324"/>
      <c r="I214" s="401"/>
      <c r="J214" s="324" t="s">
        <v>9</v>
      </c>
      <c r="K214" s="402" t="s">
        <v>59</v>
      </c>
      <c r="L214" s="403"/>
      <c r="M214" s="404">
        <v>46216</v>
      </c>
      <c r="N214" s="404">
        <v>46230</v>
      </c>
      <c r="O214" s="404">
        <v>46230</v>
      </c>
      <c r="P214" s="404">
        <v>46230</v>
      </c>
      <c r="Q214" s="404">
        <v>46230</v>
      </c>
      <c r="R214" s="404">
        <v>46237</v>
      </c>
      <c r="S214" s="404">
        <v>46244</v>
      </c>
      <c r="T214" s="404">
        <v>46258</v>
      </c>
      <c r="U214" s="404"/>
      <c r="V214" s="404">
        <v>46265</v>
      </c>
      <c r="W214" s="404">
        <v>46267</v>
      </c>
      <c r="X214" s="404">
        <v>46274</v>
      </c>
      <c r="Y214" s="404">
        <v>46288</v>
      </c>
      <c r="Z214" s="404">
        <v>46302</v>
      </c>
      <c r="AA214" s="404">
        <v>46332</v>
      </c>
      <c r="AB214" s="404">
        <v>46332</v>
      </c>
      <c r="AC214" s="404">
        <v>46334</v>
      </c>
      <c r="AD214" s="404">
        <v>46419</v>
      </c>
      <c r="AE214" s="404">
        <v>46426</v>
      </c>
      <c r="AF214" s="404">
        <v>46433</v>
      </c>
      <c r="AG214" s="404">
        <v>46447</v>
      </c>
      <c r="AH214" s="404">
        <v>46463</v>
      </c>
      <c r="AI214" s="428">
        <v>24</v>
      </c>
      <c r="AJ214" s="406">
        <f>AI214*7</f>
        <v>168</v>
      </c>
      <c r="AK214" s="404">
        <f>V214+AJ214</f>
        <v>46433</v>
      </c>
      <c r="AL214" s="407">
        <f>AL215</f>
        <v>46439</v>
      </c>
      <c r="AM214" s="399">
        <f>AL215-AK214</f>
        <v>6</v>
      </c>
      <c r="AN214" s="408"/>
      <c r="AO214" s="409" t="s">
        <v>61</v>
      </c>
      <c r="AP214" s="410">
        <v>46446</v>
      </c>
      <c r="AQ214" s="407"/>
    </row>
    <row r="215" s="333" customFormat="1" ht="23" customHeight="1" spans="1:43">
      <c r="A215" s="396"/>
      <c r="B215" s="324" t="s">
        <v>280</v>
      </c>
      <c r="C215" s="324" t="s">
        <v>281</v>
      </c>
      <c r="D215" s="449"/>
      <c r="E215" s="399"/>
      <c r="F215" s="400" t="s">
        <v>272</v>
      </c>
      <c r="G215" s="399" t="s">
        <v>85</v>
      </c>
      <c r="H215" s="324" t="s">
        <v>63</v>
      </c>
      <c r="I215" s="324">
        <v>3</v>
      </c>
      <c r="J215" s="324" t="s">
        <v>9</v>
      </c>
      <c r="K215" s="402" t="s">
        <v>64</v>
      </c>
      <c r="L215" s="404">
        <v>46208</v>
      </c>
      <c r="M215" s="404"/>
      <c r="N215" s="404"/>
      <c r="O215" s="404"/>
      <c r="P215" s="404"/>
      <c r="Q215" s="404"/>
      <c r="R215" s="404"/>
      <c r="S215" s="404"/>
      <c r="T215" s="404"/>
      <c r="U215" s="404"/>
      <c r="V215" s="404"/>
      <c r="W215" s="404"/>
      <c r="X215" s="404">
        <v>46295</v>
      </c>
      <c r="Y215" s="404">
        <v>46293</v>
      </c>
      <c r="Z215" s="411">
        <f>AB215-5</f>
        <v>46332</v>
      </c>
      <c r="AA215" s="404">
        <v>46337</v>
      </c>
      <c r="AB215" s="404">
        <v>46337</v>
      </c>
      <c r="AC215" s="404">
        <v>46339</v>
      </c>
      <c r="AD215" s="404">
        <v>46423</v>
      </c>
      <c r="AE215" s="411">
        <v>46430</v>
      </c>
      <c r="AF215" s="404">
        <v>46437</v>
      </c>
      <c r="AG215" s="404">
        <v>46451</v>
      </c>
      <c r="AH215" s="404">
        <v>46467</v>
      </c>
      <c r="AI215" s="428">
        <v>24</v>
      </c>
      <c r="AJ215" s="406">
        <v>168</v>
      </c>
      <c r="AK215" s="404">
        <f>IF(V215&lt;&gt;"",V215+AJ215,V216+AJ215)</f>
        <v>46437</v>
      </c>
      <c r="AL215" s="407">
        <f>AP214-7</f>
        <v>46439</v>
      </c>
      <c r="AM215" s="399">
        <f>AL215-AK215</f>
        <v>2</v>
      </c>
      <c r="AN215" s="408"/>
      <c r="AO215" s="409" t="s">
        <v>65</v>
      </c>
      <c r="AP215" s="410">
        <v>46446</v>
      </c>
      <c r="AQ215" s="407"/>
    </row>
    <row r="216" s="333" customFormat="1" ht="23" hidden="1" customHeight="1" spans="1:43">
      <c r="A216" s="414"/>
      <c r="B216" s="415" t="s">
        <v>280</v>
      </c>
      <c r="C216" s="415" t="s">
        <v>281</v>
      </c>
      <c r="D216" s="450"/>
      <c r="E216" s="417"/>
      <c r="F216" s="418"/>
      <c r="G216" s="417" t="s">
        <v>85</v>
      </c>
      <c r="H216" s="415" t="s">
        <v>63</v>
      </c>
      <c r="I216" s="324">
        <v>3</v>
      </c>
      <c r="J216" s="415" t="s">
        <v>9</v>
      </c>
      <c r="K216" s="419" t="s">
        <v>66</v>
      </c>
      <c r="L216" s="420"/>
      <c r="M216" s="420">
        <v>46220</v>
      </c>
      <c r="N216" s="420">
        <v>46229</v>
      </c>
      <c r="O216" s="420">
        <v>46229</v>
      </c>
      <c r="P216" s="420">
        <f>IF(P$207&lt;&gt;"",P$207,"")</f>
        <v>46229</v>
      </c>
      <c r="Q216" s="420">
        <f>IF(Q$207&lt;&gt;"",Q$207,"")</f>
        <v>46230</v>
      </c>
      <c r="R216" s="420">
        <v>46247</v>
      </c>
      <c r="S216" s="420">
        <v>46262</v>
      </c>
      <c r="T216" s="420">
        <f t="shared" ref="T216" si="5">IF(T$207&lt;&gt;"",T$207,"")</f>
        <v>46266</v>
      </c>
      <c r="U216" s="420">
        <v>46269</v>
      </c>
      <c r="V216" s="420">
        <v>46269</v>
      </c>
      <c r="W216" s="420">
        <v>46269</v>
      </c>
      <c r="X216" s="420"/>
      <c r="Y216" s="420"/>
      <c r="Z216" s="420"/>
      <c r="AA216" s="420"/>
      <c r="AB216" s="420"/>
      <c r="AC216" s="420"/>
      <c r="AD216" s="420"/>
      <c r="AE216" s="420"/>
      <c r="AF216" s="420"/>
      <c r="AG216" s="420"/>
      <c r="AH216" s="420"/>
      <c r="AI216" s="474"/>
      <c r="AJ216" s="423"/>
      <c r="AK216" s="420"/>
      <c r="AL216" s="424"/>
      <c r="AM216" s="417"/>
      <c r="AN216" s="425"/>
      <c r="AO216" s="426"/>
      <c r="AP216" s="425" t="s">
        <v>275</v>
      </c>
      <c r="AQ216" s="424"/>
    </row>
    <row r="217" s="333" customFormat="1" ht="23" hidden="1" customHeight="1" spans="1:43">
      <c r="A217" s="396">
        <v>104</v>
      </c>
      <c r="B217" s="324" t="s">
        <v>282</v>
      </c>
      <c r="C217" s="324" t="s">
        <v>283</v>
      </c>
      <c r="D217" s="448"/>
      <c r="E217" s="399"/>
      <c r="F217" s="400"/>
      <c r="G217" s="399" t="s">
        <v>85</v>
      </c>
      <c r="H217" s="324"/>
      <c r="I217" s="401"/>
      <c r="J217" s="324" t="s">
        <v>9</v>
      </c>
      <c r="K217" s="402" t="s">
        <v>59</v>
      </c>
      <c r="L217" s="403"/>
      <c r="M217" s="404">
        <v>46216</v>
      </c>
      <c r="N217" s="404">
        <v>46230</v>
      </c>
      <c r="O217" s="404">
        <v>46230</v>
      </c>
      <c r="P217" s="404">
        <v>46230</v>
      </c>
      <c r="Q217" s="404">
        <v>46230</v>
      </c>
      <c r="R217" s="404">
        <v>46237</v>
      </c>
      <c r="S217" s="404">
        <v>46244</v>
      </c>
      <c r="T217" s="404">
        <v>46258</v>
      </c>
      <c r="U217" s="404"/>
      <c r="V217" s="404">
        <v>46265</v>
      </c>
      <c r="W217" s="404">
        <v>46267</v>
      </c>
      <c r="X217" s="404">
        <v>46274</v>
      </c>
      <c r="Y217" s="404">
        <v>46288</v>
      </c>
      <c r="Z217" s="404">
        <v>46302</v>
      </c>
      <c r="AA217" s="404">
        <v>46332</v>
      </c>
      <c r="AB217" s="404">
        <v>46332</v>
      </c>
      <c r="AC217" s="404">
        <v>46334</v>
      </c>
      <c r="AD217" s="404">
        <v>46419</v>
      </c>
      <c r="AE217" s="404">
        <v>46426</v>
      </c>
      <c r="AF217" s="404">
        <v>46433</v>
      </c>
      <c r="AG217" s="404">
        <v>46447</v>
      </c>
      <c r="AH217" s="404">
        <v>46463</v>
      </c>
      <c r="AI217" s="428">
        <v>24</v>
      </c>
      <c r="AJ217" s="406">
        <f>AI217*7</f>
        <v>168</v>
      </c>
      <c r="AK217" s="404">
        <f>V217+AJ217</f>
        <v>46433</v>
      </c>
      <c r="AL217" s="407">
        <f>AL218</f>
        <v>46439</v>
      </c>
      <c r="AM217" s="399">
        <f>AL218-AK217</f>
        <v>6</v>
      </c>
      <c r="AN217" s="408"/>
      <c r="AO217" s="409" t="s">
        <v>61</v>
      </c>
      <c r="AP217" s="410">
        <v>46446</v>
      </c>
      <c r="AQ217" s="407"/>
    </row>
    <row r="218" s="333" customFormat="1" ht="23" customHeight="1" spans="1:43">
      <c r="A218" s="396"/>
      <c r="B218" s="324" t="s">
        <v>282</v>
      </c>
      <c r="C218" s="324" t="s">
        <v>283</v>
      </c>
      <c r="D218" s="449"/>
      <c r="E218" s="399"/>
      <c r="F218" s="400" t="s">
        <v>272</v>
      </c>
      <c r="G218" s="399" t="s">
        <v>85</v>
      </c>
      <c r="H218" s="324" t="s">
        <v>63</v>
      </c>
      <c r="I218" s="324">
        <v>3</v>
      </c>
      <c r="J218" s="324" t="s">
        <v>9</v>
      </c>
      <c r="K218" s="402" t="s">
        <v>64</v>
      </c>
      <c r="L218" s="404">
        <v>46208</v>
      </c>
      <c r="M218" s="404"/>
      <c r="N218" s="404"/>
      <c r="O218" s="404"/>
      <c r="P218" s="404"/>
      <c r="Q218" s="404"/>
      <c r="R218" s="404"/>
      <c r="S218" s="404"/>
      <c r="T218" s="404"/>
      <c r="U218" s="404"/>
      <c r="V218" s="404"/>
      <c r="W218" s="404"/>
      <c r="X218" s="404">
        <v>46295</v>
      </c>
      <c r="Y218" s="404">
        <v>46293</v>
      </c>
      <c r="Z218" s="411">
        <f>AB218-5</f>
        <v>46332</v>
      </c>
      <c r="AA218" s="404">
        <v>46337</v>
      </c>
      <c r="AB218" s="404">
        <v>46337</v>
      </c>
      <c r="AC218" s="404">
        <v>46339</v>
      </c>
      <c r="AD218" s="404">
        <v>46423</v>
      </c>
      <c r="AE218" s="411">
        <v>46430</v>
      </c>
      <c r="AF218" s="404">
        <v>46437</v>
      </c>
      <c r="AG218" s="404">
        <v>46451</v>
      </c>
      <c r="AH218" s="404">
        <v>46467</v>
      </c>
      <c r="AI218" s="428">
        <v>24</v>
      </c>
      <c r="AJ218" s="406">
        <v>168</v>
      </c>
      <c r="AK218" s="404">
        <f>IF(V218&lt;&gt;"",V218+AJ218,V219+AJ218)</f>
        <v>46437</v>
      </c>
      <c r="AL218" s="407">
        <f>AP217-7</f>
        <v>46439</v>
      </c>
      <c r="AM218" s="399">
        <f>AL218-AK218</f>
        <v>2</v>
      </c>
      <c r="AN218" s="408"/>
      <c r="AO218" s="409" t="s">
        <v>65</v>
      </c>
      <c r="AP218" s="410">
        <v>46446</v>
      </c>
      <c r="AQ218" s="407"/>
    </row>
    <row r="219" s="333" customFormat="1" ht="23" hidden="1" customHeight="1" spans="1:43">
      <c r="A219" s="414"/>
      <c r="B219" s="415" t="s">
        <v>282</v>
      </c>
      <c r="C219" s="415" t="s">
        <v>283</v>
      </c>
      <c r="D219" s="450"/>
      <c r="E219" s="417"/>
      <c r="F219" s="418"/>
      <c r="G219" s="417" t="s">
        <v>85</v>
      </c>
      <c r="H219" s="415" t="s">
        <v>63</v>
      </c>
      <c r="I219" s="324">
        <v>3</v>
      </c>
      <c r="J219" s="415" t="s">
        <v>9</v>
      </c>
      <c r="K219" s="419" t="s">
        <v>66</v>
      </c>
      <c r="L219" s="420"/>
      <c r="M219" s="420">
        <v>46220</v>
      </c>
      <c r="N219" s="420">
        <v>46229</v>
      </c>
      <c r="O219" s="420">
        <v>46229</v>
      </c>
      <c r="P219" s="420">
        <f t="shared" ref="P219:T219" si="6">IF(P$207&lt;&gt;"",P$207,"")</f>
        <v>46229</v>
      </c>
      <c r="Q219" s="420">
        <f t="shared" si="6"/>
        <v>46230</v>
      </c>
      <c r="R219" s="420">
        <v>46247</v>
      </c>
      <c r="S219" s="420">
        <v>46262</v>
      </c>
      <c r="T219" s="420">
        <f t="shared" si="6"/>
        <v>46266</v>
      </c>
      <c r="U219" s="420">
        <v>46269</v>
      </c>
      <c r="V219" s="420">
        <v>46269</v>
      </c>
      <c r="W219" s="420">
        <v>46269</v>
      </c>
      <c r="X219" s="420"/>
      <c r="Y219" s="420"/>
      <c r="Z219" s="420"/>
      <c r="AA219" s="420"/>
      <c r="AB219" s="420"/>
      <c r="AC219" s="420"/>
      <c r="AD219" s="420"/>
      <c r="AE219" s="420"/>
      <c r="AF219" s="420"/>
      <c r="AG219" s="420"/>
      <c r="AH219" s="420"/>
      <c r="AI219" s="474"/>
      <c r="AJ219" s="423"/>
      <c r="AK219" s="420"/>
      <c r="AL219" s="424"/>
      <c r="AM219" s="417"/>
      <c r="AN219" s="425"/>
      <c r="AO219" s="426"/>
      <c r="AP219" s="425" t="s">
        <v>275</v>
      </c>
      <c r="AQ219" s="424"/>
    </row>
    <row r="220" s="333" customFormat="1" ht="23" hidden="1" customHeight="1" spans="1:43">
      <c r="A220" s="396">
        <v>72</v>
      </c>
      <c r="B220" s="324" t="s">
        <v>284</v>
      </c>
      <c r="C220" s="324" t="s">
        <v>285</v>
      </c>
      <c r="D220" s="448"/>
      <c r="E220" s="399"/>
      <c r="F220" s="400"/>
      <c r="G220" s="399" t="s">
        <v>85</v>
      </c>
      <c r="H220" s="324"/>
      <c r="I220" s="401"/>
      <c r="J220" s="324" t="s">
        <v>9</v>
      </c>
      <c r="K220" s="402" t="s">
        <v>59</v>
      </c>
      <c r="L220" s="403"/>
      <c r="M220" s="404">
        <v>46223</v>
      </c>
      <c r="N220" s="404">
        <v>46239</v>
      </c>
      <c r="O220" s="404">
        <v>46239</v>
      </c>
      <c r="P220" s="404">
        <v>46239</v>
      </c>
      <c r="Q220" s="404">
        <v>46239</v>
      </c>
      <c r="R220" s="404">
        <v>46240</v>
      </c>
      <c r="S220" s="404">
        <v>46244</v>
      </c>
      <c r="T220" s="404">
        <v>46258</v>
      </c>
      <c r="U220" s="404"/>
      <c r="V220" s="404">
        <v>46265</v>
      </c>
      <c r="W220" s="404">
        <v>46267</v>
      </c>
      <c r="X220" s="404">
        <v>46274</v>
      </c>
      <c r="Y220" s="404">
        <v>46288</v>
      </c>
      <c r="Z220" s="404">
        <v>46302</v>
      </c>
      <c r="AA220" s="404">
        <v>46332</v>
      </c>
      <c r="AB220" s="404">
        <v>46332</v>
      </c>
      <c r="AC220" s="404">
        <v>46334</v>
      </c>
      <c r="AD220" s="404">
        <v>46341</v>
      </c>
      <c r="AE220" s="404">
        <v>46348</v>
      </c>
      <c r="AF220" s="404">
        <v>46355</v>
      </c>
      <c r="AG220" s="404">
        <v>46369</v>
      </c>
      <c r="AH220" s="404">
        <v>46385</v>
      </c>
      <c r="AI220" s="428">
        <v>12.8571428571429</v>
      </c>
      <c r="AJ220" s="406">
        <f>AI220*7</f>
        <v>90.0000000000003</v>
      </c>
      <c r="AK220" s="404">
        <f>V220+AJ220</f>
        <v>46355</v>
      </c>
      <c r="AL220" s="407">
        <f>AL221</f>
        <v>46382</v>
      </c>
      <c r="AM220" s="399">
        <f>AL221-AK220</f>
        <v>27</v>
      </c>
      <c r="AN220" s="408"/>
      <c r="AO220" s="409" t="s">
        <v>61</v>
      </c>
      <c r="AP220" s="410">
        <v>46385</v>
      </c>
      <c r="AQ220" s="407"/>
    </row>
    <row r="221" s="333" customFormat="1" ht="23" customHeight="1" spans="1:43">
      <c r="A221" s="396"/>
      <c r="B221" s="324" t="s">
        <v>284</v>
      </c>
      <c r="C221" s="324" t="s">
        <v>285</v>
      </c>
      <c r="D221" s="449"/>
      <c r="E221" s="399"/>
      <c r="F221" s="400" t="s">
        <v>272</v>
      </c>
      <c r="G221" s="399" t="s">
        <v>85</v>
      </c>
      <c r="H221" s="324" t="s">
        <v>63</v>
      </c>
      <c r="I221" s="324">
        <v>3</v>
      </c>
      <c r="J221" s="324" t="s">
        <v>9</v>
      </c>
      <c r="K221" s="402" t="s">
        <v>64</v>
      </c>
      <c r="L221" s="404">
        <v>46208</v>
      </c>
      <c r="M221" s="404"/>
      <c r="N221" s="404"/>
      <c r="O221" s="404"/>
      <c r="P221" s="404"/>
      <c r="Q221" s="404"/>
      <c r="R221" s="404"/>
      <c r="S221" s="404"/>
      <c r="T221" s="404"/>
      <c r="U221" s="404"/>
      <c r="V221" s="404"/>
      <c r="W221" s="404">
        <v>46295</v>
      </c>
      <c r="X221" s="404">
        <v>46308</v>
      </c>
      <c r="Y221" s="404">
        <v>46322</v>
      </c>
      <c r="Z221" s="411">
        <f>AB221-5</f>
        <v>46361</v>
      </c>
      <c r="AA221" s="404">
        <v>46366</v>
      </c>
      <c r="AB221" s="404">
        <v>46366</v>
      </c>
      <c r="AC221" s="404">
        <v>46368</v>
      </c>
      <c r="AD221" s="404">
        <v>46365</v>
      </c>
      <c r="AE221" s="411">
        <v>46372</v>
      </c>
      <c r="AF221" s="404">
        <v>46379</v>
      </c>
      <c r="AG221" s="404">
        <v>46393</v>
      </c>
      <c r="AH221" s="404">
        <v>46409</v>
      </c>
      <c r="AI221" s="428">
        <v>12.8571428571429</v>
      </c>
      <c r="AJ221" s="406">
        <v>90.0000000000003</v>
      </c>
      <c r="AK221" s="404">
        <f>IF(V221&lt;&gt;"",V221+AJ221,V222+AJ221)</f>
        <v>46373</v>
      </c>
      <c r="AL221" s="407">
        <f>AP220-3</f>
        <v>46382</v>
      </c>
      <c r="AM221" s="399">
        <f>AL221-AK221</f>
        <v>9</v>
      </c>
      <c r="AN221" s="408"/>
      <c r="AO221" s="409" t="s">
        <v>65</v>
      </c>
      <c r="AP221" s="410">
        <v>46410</v>
      </c>
      <c r="AQ221" s="407"/>
    </row>
    <row r="222" s="333" customFormat="1" ht="23" hidden="1" customHeight="1" spans="1:43">
      <c r="A222" s="414"/>
      <c r="B222" s="415" t="s">
        <v>284</v>
      </c>
      <c r="C222" s="415" t="s">
        <v>285</v>
      </c>
      <c r="D222" s="450"/>
      <c r="E222" s="417"/>
      <c r="F222" s="418"/>
      <c r="G222" s="417" t="s">
        <v>85</v>
      </c>
      <c r="H222" s="415" t="s">
        <v>63</v>
      </c>
      <c r="I222" s="324">
        <v>3</v>
      </c>
      <c r="J222" s="415" t="s">
        <v>9</v>
      </c>
      <c r="K222" s="419" t="s">
        <v>66</v>
      </c>
      <c r="L222" s="420"/>
      <c r="M222" s="420">
        <v>46227</v>
      </c>
      <c r="N222" s="420">
        <v>46244</v>
      </c>
      <c r="O222" s="420">
        <v>46244</v>
      </c>
      <c r="P222" s="420">
        <v>46244</v>
      </c>
      <c r="Q222" s="420">
        <v>46244</v>
      </c>
      <c r="R222" s="420">
        <v>46244</v>
      </c>
      <c r="S222" s="420">
        <v>46266</v>
      </c>
      <c r="T222" s="420">
        <v>46288</v>
      </c>
      <c r="U222" s="420">
        <v>46283</v>
      </c>
      <c r="V222" s="420">
        <v>46283</v>
      </c>
      <c r="W222" s="420"/>
      <c r="X222" s="420"/>
      <c r="Y222" s="420"/>
      <c r="Z222" s="420"/>
      <c r="AA222" s="420"/>
      <c r="AB222" s="420"/>
      <c r="AC222" s="420"/>
      <c r="AD222" s="420"/>
      <c r="AE222" s="420"/>
      <c r="AF222" s="420"/>
      <c r="AG222" s="420"/>
      <c r="AH222" s="420"/>
      <c r="AI222" s="474"/>
      <c r="AJ222" s="423"/>
      <c r="AK222" s="420"/>
      <c r="AL222" s="424"/>
      <c r="AM222" s="417"/>
      <c r="AN222" s="425"/>
      <c r="AO222" s="426"/>
      <c r="AP222" s="425"/>
      <c r="AQ222" s="424"/>
    </row>
    <row r="223" s="333" customFormat="1" ht="23" hidden="1" customHeight="1" spans="1:43">
      <c r="A223" s="396">
        <v>73</v>
      </c>
      <c r="B223" s="324" t="s">
        <v>286</v>
      </c>
      <c r="C223" s="324" t="s">
        <v>287</v>
      </c>
      <c r="D223" s="448"/>
      <c r="E223" s="399"/>
      <c r="F223" s="400"/>
      <c r="G223" s="399" t="s">
        <v>85</v>
      </c>
      <c r="H223" s="324"/>
      <c r="I223" s="401"/>
      <c r="J223" s="324" t="s">
        <v>9</v>
      </c>
      <c r="K223" s="402" t="s">
        <v>59</v>
      </c>
      <c r="L223" s="403"/>
      <c r="M223" s="404">
        <v>46216</v>
      </c>
      <c r="N223" s="404">
        <v>46230</v>
      </c>
      <c r="O223" s="404">
        <v>46230</v>
      </c>
      <c r="P223" s="404">
        <v>46230</v>
      </c>
      <c r="Q223" s="404">
        <v>46230</v>
      </c>
      <c r="R223" s="404">
        <v>46237</v>
      </c>
      <c r="S223" s="404">
        <v>46244</v>
      </c>
      <c r="T223" s="404">
        <v>46251</v>
      </c>
      <c r="U223" s="404"/>
      <c r="V223" s="404">
        <v>46258</v>
      </c>
      <c r="W223" s="404">
        <v>46260</v>
      </c>
      <c r="X223" s="404">
        <v>46267</v>
      </c>
      <c r="Y223" s="404">
        <v>46281</v>
      </c>
      <c r="Z223" s="404">
        <v>46295</v>
      </c>
      <c r="AA223" s="404">
        <v>46325</v>
      </c>
      <c r="AB223" s="404">
        <v>46325</v>
      </c>
      <c r="AC223" s="404">
        <v>46327</v>
      </c>
      <c r="AD223" s="404">
        <v>46412</v>
      </c>
      <c r="AE223" s="404">
        <v>46419</v>
      </c>
      <c r="AF223" s="404">
        <v>46426</v>
      </c>
      <c r="AG223" s="404">
        <v>46440</v>
      </c>
      <c r="AH223" s="404">
        <v>46456</v>
      </c>
      <c r="AI223" s="428">
        <v>24</v>
      </c>
      <c r="AJ223" s="406">
        <f>AI223*7</f>
        <v>168</v>
      </c>
      <c r="AK223" s="404">
        <f>V223+AJ223</f>
        <v>46426</v>
      </c>
      <c r="AL223" s="407">
        <f>AL224</f>
        <v>46439</v>
      </c>
      <c r="AM223" s="399">
        <f>AL224-AK223</f>
        <v>13</v>
      </c>
      <c r="AN223" s="408"/>
      <c r="AO223" s="409" t="s">
        <v>61</v>
      </c>
      <c r="AP223" s="410">
        <v>46446</v>
      </c>
      <c r="AQ223" s="407"/>
    </row>
    <row r="224" s="333" customFormat="1" ht="23" customHeight="1" spans="1:43">
      <c r="A224" s="396"/>
      <c r="B224" s="324" t="s">
        <v>286</v>
      </c>
      <c r="C224" s="324" t="s">
        <v>287</v>
      </c>
      <c r="D224" s="475"/>
      <c r="E224" s="399"/>
      <c r="F224" s="400" t="s">
        <v>272</v>
      </c>
      <c r="G224" s="399" t="s">
        <v>85</v>
      </c>
      <c r="H224" s="324" t="s">
        <v>63</v>
      </c>
      <c r="I224" s="324">
        <v>3</v>
      </c>
      <c r="J224" s="324" t="s">
        <v>9</v>
      </c>
      <c r="K224" s="402" t="s">
        <v>64</v>
      </c>
      <c r="L224" s="404">
        <v>46218</v>
      </c>
      <c r="M224" s="404"/>
      <c r="N224" s="404"/>
      <c r="O224" s="404"/>
      <c r="P224" s="404"/>
      <c r="Q224" s="404"/>
      <c r="R224" s="404"/>
      <c r="S224" s="404"/>
      <c r="T224" s="404"/>
      <c r="U224" s="404">
        <v>46269</v>
      </c>
      <c r="V224" s="404"/>
      <c r="W224" s="404"/>
      <c r="X224" s="404">
        <v>46295</v>
      </c>
      <c r="Y224" s="404">
        <v>46293</v>
      </c>
      <c r="Z224" s="411">
        <f>AB224-5</f>
        <v>46332</v>
      </c>
      <c r="AA224" s="404">
        <v>46337</v>
      </c>
      <c r="AB224" s="404">
        <v>46337</v>
      </c>
      <c r="AC224" s="404">
        <v>46339</v>
      </c>
      <c r="AD224" s="404">
        <v>46423</v>
      </c>
      <c r="AE224" s="411">
        <v>46430</v>
      </c>
      <c r="AF224" s="404">
        <v>46437</v>
      </c>
      <c r="AG224" s="404">
        <v>46451</v>
      </c>
      <c r="AH224" s="404">
        <v>46467</v>
      </c>
      <c r="AI224" s="405">
        <v>24</v>
      </c>
      <c r="AJ224" s="406">
        <v>168</v>
      </c>
      <c r="AK224" s="404">
        <f>IF(V224&lt;&gt;"",V224+AJ224,V225+AJ224)</f>
        <v>46437</v>
      </c>
      <c r="AL224" s="407">
        <f>AP223-7</f>
        <v>46439</v>
      </c>
      <c r="AM224" s="399">
        <f>AL224-AK224</f>
        <v>2</v>
      </c>
      <c r="AN224" s="408"/>
      <c r="AO224" s="409" t="s">
        <v>65</v>
      </c>
      <c r="AP224" s="410">
        <v>46446</v>
      </c>
      <c r="AQ224" s="407"/>
    </row>
    <row r="225" s="333" customFormat="1" ht="23" hidden="1" customHeight="1" spans="1:43">
      <c r="A225" s="414"/>
      <c r="B225" s="447" t="s">
        <v>286</v>
      </c>
      <c r="C225" s="415" t="s">
        <v>287</v>
      </c>
      <c r="D225" s="476"/>
      <c r="E225" s="417"/>
      <c r="F225" s="418"/>
      <c r="G225" s="417" t="s">
        <v>85</v>
      </c>
      <c r="H225" s="415" t="s">
        <v>63</v>
      </c>
      <c r="I225" s="324">
        <v>3</v>
      </c>
      <c r="J225" s="415" t="s">
        <v>9</v>
      </c>
      <c r="K225" s="419" t="s">
        <v>66</v>
      </c>
      <c r="L225" s="417"/>
      <c r="M225" s="420">
        <v>46220</v>
      </c>
      <c r="N225" s="420">
        <v>46229</v>
      </c>
      <c r="O225" s="420">
        <v>46229</v>
      </c>
      <c r="P225" s="420">
        <f t="shared" ref="P225:Q225" si="7">IF(P$207&lt;&gt;"",P$207,"")</f>
        <v>46229</v>
      </c>
      <c r="Q225" s="420">
        <f t="shared" si="7"/>
        <v>46230</v>
      </c>
      <c r="R225" s="420">
        <v>46263</v>
      </c>
      <c r="S225" s="420">
        <v>46266</v>
      </c>
      <c r="T225" s="420">
        <v>46267</v>
      </c>
      <c r="U225" s="420">
        <v>46269</v>
      </c>
      <c r="V225" s="420">
        <v>46269</v>
      </c>
      <c r="W225" s="420">
        <v>46269</v>
      </c>
      <c r="X225" s="420"/>
      <c r="Y225" s="420"/>
      <c r="Z225" s="420"/>
      <c r="AA225" s="420"/>
      <c r="AB225" s="420"/>
      <c r="AC225" s="420"/>
      <c r="AD225" s="420"/>
      <c r="AE225" s="420"/>
      <c r="AF225" s="420"/>
      <c r="AG225" s="420"/>
      <c r="AH225" s="420"/>
      <c r="AI225" s="422"/>
      <c r="AJ225" s="423"/>
      <c r="AK225" s="420"/>
      <c r="AL225" s="424"/>
      <c r="AM225" s="417"/>
      <c r="AN225" s="425"/>
      <c r="AO225" s="426"/>
      <c r="AP225" s="425" t="s">
        <v>288</v>
      </c>
      <c r="AQ225" s="424"/>
    </row>
    <row r="226" s="336" customFormat="1" ht="23" hidden="1" customHeight="1" spans="1:43">
      <c r="A226" s="477">
        <v>75</v>
      </c>
      <c r="B226" s="478" t="s">
        <v>289</v>
      </c>
      <c r="C226" s="479" t="s">
        <v>290</v>
      </c>
      <c r="D226" s="480"/>
      <c r="E226" s="479"/>
      <c r="F226" s="481"/>
      <c r="G226" s="479" t="s">
        <v>85</v>
      </c>
      <c r="H226" s="478"/>
      <c r="I226" s="482"/>
      <c r="J226" s="478">
        <v>0</v>
      </c>
      <c r="K226" s="483" t="s">
        <v>59</v>
      </c>
      <c r="L226" s="484"/>
      <c r="M226" s="485">
        <v>46223</v>
      </c>
      <c r="N226" s="485">
        <v>46230</v>
      </c>
      <c r="O226" s="485">
        <v>46231</v>
      </c>
      <c r="P226" s="485">
        <v>46237</v>
      </c>
      <c r="Q226" s="485">
        <v>46238</v>
      </c>
      <c r="R226" s="485">
        <v>46244</v>
      </c>
      <c r="S226" s="485">
        <v>46254</v>
      </c>
      <c r="T226" s="485">
        <v>46258</v>
      </c>
      <c r="U226" s="485"/>
      <c r="V226" s="485">
        <v>46265</v>
      </c>
      <c r="W226" s="485">
        <v>46267</v>
      </c>
      <c r="X226" s="485">
        <v>46274</v>
      </c>
      <c r="Y226" s="485">
        <v>46288</v>
      </c>
      <c r="Z226" s="485">
        <v>46302</v>
      </c>
      <c r="AA226" s="485">
        <v>46309</v>
      </c>
      <c r="AB226" s="485">
        <v>46309</v>
      </c>
      <c r="AC226" s="485">
        <v>46311</v>
      </c>
      <c r="AD226" s="485">
        <v>46371</v>
      </c>
      <c r="AE226" s="485">
        <v>46378</v>
      </c>
      <c r="AF226" s="485">
        <v>46385</v>
      </c>
      <c r="AG226" s="485">
        <v>46399</v>
      </c>
      <c r="AH226" s="485">
        <v>46415</v>
      </c>
      <c r="AI226" s="486">
        <v>17.1428571428571</v>
      </c>
      <c r="AJ226" s="487">
        <f>AI226*7</f>
        <v>120</v>
      </c>
      <c r="AK226" s="485">
        <f>V226+AJ226</f>
        <v>46385</v>
      </c>
      <c r="AL226" s="488">
        <f>AL227</f>
        <v>46452</v>
      </c>
      <c r="AM226" s="479">
        <f>AL227-AK226</f>
        <v>67</v>
      </c>
      <c r="AN226" s="489"/>
      <c r="AO226" s="490" t="s">
        <v>61</v>
      </c>
      <c r="AP226" s="491">
        <v>46459</v>
      </c>
      <c r="AQ226" s="485"/>
    </row>
    <row r="227" s="336" customFormat="1" ht="23" customHeight="1" spans="1:43">
      <c r="A227" s="477"/>
      <c r="B227" s="478" t="s">
        <v>289</v>
      </c>
      <c r="C227" s="479" t="s">
        <v>290</v>
      </c>
      <c r="D227" s="492"/>
      <c r="E227" s="479"/>
      <c r="F227" s="481" t="s">
        <v>272</v>
      </c>
      <c r="G227" s="479" t="s">
        <v>85</v>
      </c>
      <c r="H227" s="478"/>
      <c r="I227" s="478"/>
      <c r="J227" s="478"/>
      <c r="K227" s="483" t="s">
        <v>64</v>
      </c>
      <c r="L227" s="485">
        <v>46208</v>
      </c>
      <c r="M227" s="485"/>
      <c r="N227" s="485"/>
      <c r="O227" s="485"/>
      <c r="P227" s="485"/>
      <c r="Q227" s="485"/>
      <c r="R227" s="485"/>
      <c r="S227" s="485"/>
      <c r="T227" s="485"/>
      <c r="U227" s="485"/>
      <c r="V227" s="485"/>
      <c r="W227" s="485"/>
      <c r="X227" s="485">
        <v>46287</v>
      </c>
      <c r="Y227" s="485">
        <v>46309</v>
      </c>
      <c r="Z227" s="485">
        <v>46324</v>
      </c>
      <c r="AA227" s="485">
        <v>46331</v>
      </c>
      <c r="AB227" s="485">
        <v>46331</v>
      </c>
      <c r="AC227" s="485">
        <v>46333</v>
      </c>
      <c r="AD227" s="485">
        <v>46382</v>
      </c>
      <c r="AE227" s="493">
        <v>46389</v>
      </c>
      <c r="AF227" s="485">
        <v>46396</v>
      </c>
      <c r="AG227" s="485">
        <v>46410</v>
      </c>
      <c r="AH227" s="485">
        <v>46426</v>
      </c>
      <c r="AI227" s="494">
        <v>17.1428571428571</v>
      </c>
      <c r="AJ227" s="487">
        <v>120</v>
      </c>
      <c r="AK227" s="485">
        <f>IF(V227&lt;&gt;"",V227+AJ227,V228+AJ227)</f>
        <v>46409</v>
      </c>
      <c r="AL227" s="485">
        <f>AP226-7</f>
        <v>46452</v>
      </c>
      <c r="AM227" s="479">
        <f>AL227-AK227</f>
        <v>43</v>
      </c>
      <c r="AN227" s="489"/>
      <c r="AO227" s="490" t="s">
        <v>65</v>
      </c>
      <c r="AP227" s="491">
        <v>46476</v>
      </c>
      <c r="AQ227" s="485"/>
    </row>
    <row r="228" s="336" customFormat="1" ht="23" hidden="1" customHeight="1" spans="1:43">
      <c r="A228" s="495"/>
      <c r="B228" s="496" t="s">
        <v>289</v>
      </c>
      <c r="C228" s="497" t="s">
        <v>290</v>
      </c>
      <c r="D228" s="498"/>
      <c r="E228" s="497"/>
      <c r="F228" s="499"/>
      <c r="G228" s="497" t="s">
        <v>85</v>
      </c>
      <c r="H228" s="496"/>
      <c r="I228" s="478"/>
      <c r="J228" s="496"/>
      <c r="K228" s="500" t="s">
        <v>66</v>
      </c>
      <c r="L228" s="497"/>
      <c r="M228" s="501">
        <v>46227</v>
      </c>
      <c r="N228" s="501">
        <v>46244</v>
      </c>
      <c r="O228" s="501">
        <v>46244</v>
      </c>
      <c r="P228" s="501">
        <v>46244</v>
      </c>
      <c r="Q228" s="501">
        <v>46244</v>
      </c>
      <c r="R228" s="501">
        <v>46266</v>
      </c>
      <c r="S228" s="501">
        <v>46272</v>
      </c>
      <c r="T228" s="501">
        <v>46283</v>
      </c>
      <c r="U228" s="501">
        <v>46289</v>
      </c>
      <c r="V228" s="501">
        <v>46289</v>
      </c>
      <c r="W228" s="501">
        <v>46289</v>
      </c>
      <c r="X228" s="501"/>
      <c r="Y228" s="501"/>
      <c r="Z228" s="501"/>
      <c r="AA228" s="501"/>
      <c r="AB228" s="501"/>
      <c r="AC228" s="501"/>
      <c r="AD228" s="501"/>
      <c r="AE228" s="501"/>
      <c r="AF228" s="501"/>
      <c r="AG228" s="501"/>
      <c r="AH228" s="501"/>
      <c r="AI228" s="501"/>
      <c r="AJ228" s="501"/>
      <c r="AK228" s="501"/>
      <c r="AL228" s="501"/>
      <c r="AM228" s="501"/>
      <c r="AN228" s="502"/>
      <c r="AO228" s="503"/>
      <c r="AP228" s="502"/>
      <c r="AQ228" s="501"/>
    </row>
    <row r="229" s="336" customFormat="1" ht="23" hidden="1" customHeight="1" spans="1:43">
      <c r="A229" s="477">
        <v>76</v>
      </c>
      <c r="B229" s="478" t="s">
        <v>291</v>
      </c>
      <c r="C229" s="479" t="s">
        <v>292</v>
      </c>
      <c r="D229" s="480"/>
      <c r="E229" s="479"/>
      <c r="F229" s="481"/>
      <c r="G229" s="479" t="s">
        <v>85</v>
      </c>
      <c r="H229" s="478"/>
      <c r="I229" s="482"/>
      <c r="J229" s="478">
        <v>0</v>
      </c>
      <c r="K229" s="483" t="s">
        <v>59</v>
      </c>
      <c r="L229" s="484"/>
      <c r="M229" s="485">
        <v>46223</v>
      </c>
      <c r="N229" s="485">
        <v>46230</v>
      </c>
      <c r="O229" s="485">
        <v>46231</v>
      </c>
      <c r="P229" s="485">
        <v>46237</v>
      </c>
      <c r="Q229" s="485">
        <v>46238</v>
      </c>
      <c r="R229" s="485">
        <v>46244</v>
      </c>
      <c r="S229" s="485">
        <v>46254</v>
      </c>
      <c r="T229" s="485">
        <v>46258</v>
      </c>
      <c r="U229" s="485"/>
      <c r="V229" s="485">
        <v>46265</v>
      </c>
      <c r="W229" s="485">
        <v>46267</v>
      </c>
      <c r="X229" s="485">
        <v>46274</v>
      </c>
      <c r="Y229" s="485">
        <v>46288</v>
      </c>
      <c r="Z229" s="485">
        <v>46302</v>
      </c>
      <c r="AA229" s="485">
        <v>46309</v>
      </c>
      <c r="AB229" s="485">
        <v>46309</v>
      </c>
      <c r="AC229" s="485">
        <v>46311</v>
      </c>
      <c r="AD229" s="485">
        <v>46371</v>
      </c>
      <c r="AE229" s="485">
        <v>46378</v>
      </c>
      <c r="AF229" s="485">
        <v>46385</v>
      </c>
      <c r="AG229" s="485">
        <v>46399</v>
      </c>
      <c r="AH229" s="485">
        <v>46415</v>
      </c>
      <c r="AI229" s="486">
        <v>17.1428571428571</v>
      </c>
      <c r="AJ229" s="487">
        <f>AI229*7</f>
        <v>120</v>
      </c>
      <c r="AK229" s="485">
        <f>V229+AJ229</f>
        <v>46385</v>
      </c>
      <c r="AL229" s="488">
        <f>AL230</f>
        <v>46452</v>
      </c>
      <c r="AM229" s="479">
        <f>AL230-AK229</f>
        <v>67</v>
      </c>
      <c r="AN229" s="489"/>
      <c r="AO229" s="490" t="s">
        <v>61</v>
      </c>
      <c r="AP229" s="491">
        <v>46459</v>
      </c>
      <c r="AQ229" s="485"/>
    </row>
    <row r="230" s="336" customFormat="1" ht="23" customHeight="1" spans="1:43">
      <c r="A230" s="477"/>
      <c r="B230" s="478" t="s">
        <v>291</v>
      </c>
      <c r="C230" s="479" t="s">
        <v>292</v>
      </c>
      <c r="D230" s="492"/>
      <c r="E230" s="479"/>
      <c r="F230" s="481" t="s">
        <v>272</v>
      </c>
      <c r="G230" s="479" t="s">
        <v>85</v>
      </c>
      <c r="H230" s="478"/>
      <c r="I230" s="478"/>
      <c r="J230" s="478"/>
      <c r="K230" s="483" t="s">
        <v>64</v>
      </c>
      <c r="L230" s="485">
        <v>46208</v>
      </c>
      <c r="M230" s="485"/>
      <c r="N230" s="485"/>
      <c r="O230" s="485"/>
      <c r="P230" s="485"/>
      <c r="Q230" s="485"/>
      <c r="R230" s="485"/>
      <c r="S230" s="485">
        <v>46255</v>
      </c>
      <c r="T230" s="485">
        <v>46269</v>
      </c>
      <c r="U230" s="485"/>
      <c r="V230" s="485">
        <v>46276</v>
      </c>
      <c r="W230" s="485">
        <v>46280</v>
      </c>
      <c r="X230" s="485">
        <v>46287</v>
      </c>
      <c r="Y230" s="485">
        <v>46309</v>
      </c>
      <c r="Z230" s="485">
        <v>46324</v>
      </c>
      <c r="AA230" s="485">
        <v>46331</v>
      </c>
      <c r="AB230" s="485">
        <v>46331</v>
      </c>
      <c r="AC230" s="485">
        <v>46333</v>
      </c>
      <c r="AD230" s="485">
        <v>46382</v>
      </c>
      <c r="AE230" s="493">
        <v>46389</v>
      </c>
      <c r="AF230" s="485">
        <v>46396</v>
      </c>
      <c r="AG230" s="485">
        <v>46410</v>
      </c>
      <c r="AH230" s="485">
        <v>46426</v>
      </c>
      <c r="AI230" s="494">
        <v>17.1428571428571</v>
      </c>
      <c r="AJ230" s="487">
        <v>120</v>
      </c>
      <c r="AK230" s="485">
        <f>IF(V230&lt;&gt;"",V230+AJ230,V231+AJ230)</f>
        <v>46396</v>
      </c>
      <c r="AL230" s="485">
        <f>AP229-7</f>
        <v>46452</v>
      </c>
      <c r="AM230" s="479">
        <f>AL230-AK230</f>
        <v>56</v>
      </c>
      <c r="AN230" s="489"/>
      <c r="AO230" s="490" t="s">
        <v>65</v>
      </c>
      <c r="AP230" s="491">
        <v>46476</v>
      </c>
      <c r="AQ230" s="485"/>
    </row>
    <row r="231" s="336" customFormat="1" ht="23" hidden="1" customHeight="1" spans="1:43">
      <c r="A231" s="495"/>
      <c r="B231" s="496" t="s">
        <v>291</v>
      </c>
      <c r="C231" s="497" t="s">
        <v>292</v>
      </c>
      <c r="D231" s="498"/>
      <c r="E231" s="497"/>
      <c r="F231" s="499"/>
      <c r="G231" s="497" t="s">
        <v>85</v>
      </c>
      <c r="H231" s="496"/>
      <c r="I231" s="478"/>
      <c r="J231" s="496"/>
      <c r="K231" s="500" t="s">
        <v>66</v>
      </c>
      <c r="L231" s="497"/>
      <c r="M231" s="501">
        <v>46227</v>
      </c>
      <c r="N231" s="501">
        <v>46244</v>
      </c>
      <c r="O231" s="501">
        <v>46244</v>
      </c>
      <c r="P231" s="501">
        <v>46244</v>
      </c>
      <c r="Q231" s="501">
        <v>46244</v>
      </c>
      <c r="R231" s="501">
        <v>46266</v>
      </c>
      <c r="S231" s="501">
        <v>46300</v>
      </c>
      <c r="T231" s="501"/>
      <c r="U231" s="501"/>
      <c r="V231" s="497"/>
      <c r="W231" s="501"/>
      <c r="X231" s="501"/>
      <c r="Y231" s="501"/>
      <c r="Z231" s="501"/>
      <c r="AA231" s="501"/>
      <c r="AB231" s="501"/>
      <c r="AC231" s="501"/>
      <c r="AD231" s="501"/>
      <c r="AE231" s="501"/>
      <c r="AF231" s="501"/>
      <c r="AG231" s="501"/>
      <c r="AH231" s="501"/>
      <c r="AI231" s="501"/>
      <c r="AJ231" s="501"/>
      <c r="AK231" s="501"/>
      <c r="AL231" s="501"/>
      <c r="AM231" s="501"/>
      <c r="AN231" s="502"/>
      <c r="AO231" s="503"/>
      <c r="AP231" s="502"/>
      <c r="AQ231" s="501"/>
    </row>
    <row r="232" s="333" customFormat="1" ht="23" hidden="1" customHeight="1" spans="1:43">
      <c r="A232" s="396">
        <v>77</v>
      </c>
      <c r="B232" s="324" t="s">
        <v>293</v>
      </c>
      <c r="C232" s="324" t="s">
        <v>294</v>
      </c>
      <c r="D232" s="448"/>
      <c r="E232" s="399"/>
      <c r="F232" s="400"/>
      <c r="G232" s="399" t="s">
        <v>123</v>
      </c>
      <c r="H232" s="324"/>
      <c r="I232" s="401"/>
      <c r="J232" s="324" t="s">
        <v>9</v>
      </c>
      <c r="K232" s="402" t="s">
        <v>59</v>
      </c>
      <c r="L232" s="403"/>
      <c r="M232" s="404">
        <v>46237</v>
      </c>
      <c r="N232" s="404">
        <v>46252</v>
      </c>
      <c r="O232" s="404">
        <v>46252</v>
      </c>
      <c r="P232" s="404">
        <v>46252</v>
      </c>
      <c r="Q232" s="404">
        <v>46252</v>
      </c>
      <c r="R232" s="404">
        <v>46259</v>
      </c>
      <c r="S232" s="404">
        <v>46268</v>
      </c>
      <c r="T232" s="404">
        <v>46282</v>
      </c>
      <c r="U232" s="404"/>
      <c r="V232" s="404">
        <v>46289</v>
      </c>
      <c r="W232" s="404">
        <v>46294</v>
      </c>
      <c r="X232" s="404">
        <v>46308</v>
      </c>
      <c r="Y232" s="404">
        <v>46322</v>
      </c>
      <c r="Z232" s="404">
        <v>46336</v>
      </c>
      <c r="AA232" s="404">
        <v>46346</v>
      </c>
      <c r="AB232" s="404">
        <v>46346</v>
      </c>
      <c r="AC232" s="404">
        <v>46348</v>
      </c>
      <c r="AD232" s="404">
        <v>46373</v>
      </c>
      <c r="AE232" s="404">
        <v>46380</v>
      </c>
      <c r="AF232" s="404">
        <v>46387</v>
      </c>
      <c r="AG232" s="404">
        <v>46401</v>
      </c>
      <c r="AH232" s="404">
        <v>46417</v>
      </c>
      <c r="AI232" s="428">
        <v>14</v>
      </c>
      <c r="AJ232" s="406">
        <f>AI232*7</f>
        <v>98</v>
      </c>
      <c r="AK232" s="404">
        <f>V232+AJ232</f>
        <v>46387</v>
      </c>
      <c r="AL232" s="407">
        <f>AL233</f>
        <v>46483</v>
      </c>
      <c r="AM232" s="399">
        <f>AL233-AK232</f>
        <v>96</v>
      </c>
      <c r="AN232" s="408"/>
      <c r="AO232" s="409" t="s">
        <v>61</v>
      </c>
      <c r="AP232" s="410">
        <v>46490</v>
      </c>
      <c r="AQ232" s="407"/>
    </row>
    <row r="233" s="333" customFormat="1" ht="23" customHeight="1" spans="1:43">
      <c r="A233" s="396"/>
      <c r="B233" s="324" t="s">
        <v>293</v>
      </c>
      <c r="C233" s="397" t="s">
        <v>294</v>
      </c>
      <c r="D233" s="449"/>
      <c r="E233" s="399"/>
      <c r="F233" s="400" t="s">
        <v>295</v>
      </c>
      <c r="G233" s="399" t="s">
        <v>123</v>
      </c>
      <c r="H233" s="324" t="s">
        <v>72</v>
      </c>
      <c r="I233" s="324">
        <v>3</v>
      </c>
      <c r="J233" s="324" t="s">
        <v>9</v>
      </c>
      <c r="K233" s="402" t="s">
        <v>64</v>
      </c>
      <c r="L233" s="404">
        <v>46221</v>
      </c>
      <c r="M233" s="404"/>
      <c r="N233" s="404"/>
      <c r="O233" s="404"/>
      <c r="P233" s="404"/>
      <c r="Q233" s="404"/>
      <c r="R233" s="404"/>
      <c r="S233" s="404">
        <v>46297</v>
      </c>
      <c r="T233" s="404">
        <f>_xlfn.WORKDAY.INTL(S233,INDEX(T$8:T$11,MATCH($J233,$J$8:$J$11,0)),1,IF(T$18="China",'China Holidays'!$A$2:$A$82,'Thai Holidays'!$A$2:$A$63))</f>
        <v>46314</v>
      </c>
      <c r="U233" s="404"/>
      <c r="V233" s="404">
        <v>46308</v>
      </c>
      <c r="W233" s="404">
        <v>46310</v>
      </c>
      <c r="X233" s="404">
        <v>46317</v>
      </c>
      <c r="Y233" s="404">
        <v>46331</v>
      </c>
      <c r="Z233" s="411">
        <f>AB233-5</f>
        <v>46350</v>
      </c>
      <c r="AA233" s="404">
        <v>46355</v>
      </c>
      <c r="AB233" s="404">
        <v>46355</v>
      </c>
      <c r="AC233" s="404">
        <v>46357</v>
      </c>
      <c r="AD233" s="404">
        <v>46392</v>
      </c>
      <c r="AE233" s="411">
        <v>46399</v>
      </c>
      <c r="AF233" s="404">
        <v>46406</v>
      </c>
      <c r="AG233" s="404">
        <v>46420</v>
      </c>
      <c r="AH233" s="404">
        <v>46436</v>
      </c>
      <c r="AI233" s="405">
        <v>14</v>
      </c>
      <c r="AJ233" s="406">
        <v>98</v>
      </c>
      <c r="AK233" s="404">
        <f>IF(V233&lt;&gt;"",V233+AJ233,V234+AJ233)</f>
        <v>46406</v>
      </c>
      <c r="AL233" s="407">
        <f>AP232-7</f>
        <v>46483</v>
      </c>
      <c r="AM233" s="399">
        <f>AL233-AK233</f>
        <v>77</v>
      </c>
      <c r="AN233" s="408"/>
      <c r="AO233" s="409" t="s">
        <v>65</v>
      </c>
      <c r="AP233" s="410">
        <v>46513</v>
      </c>
      <c r="AQ233" s="407"/>
    </row>
    <row r="234" s="333" customFormat="1" ht="23" hidden="1" customHeight="1" spans="1:43">
      <c r="A234" s="414"/>
      <c r="B234" s="415" t="s">
        <v>293</v>
      </c>
      <c r="C234" s="447" t="s">
        <v>294</v>
      </c>
      <c r="D234" s="450"/>
      <c r="E234" s="417"/>
      <c r="F234" s="418"/>
      <c r="G234" s="417" t="s">
        <v>296</v>
      </c>
      <c r="H234" s="415" t="s">
        <v>72</v>
      </c>
      <c r="I234" s="324">
        <v>3</v>
      </c>
      <c r="J234" s="415" t="s">
        <v>9</v>
      </c>
      <c r="K234" s="419" t="s">
        <v>66</v>
      </c>
      <c r="L234" s="420"/>
      <c r="M234" s="420">
        <v>46241</v>
      </c>
      <c r="N234" s="420">
        <v>46255</v>
      </c>
      <c r="O234" s="420">
        <v>46255</v>
      </c>
      <c r="P234" s="420">
        <v>46255</v>
      </c>
      <c r="Q234" s="420">
        <v>46255</v>
      </c>
      <c r="R234" s="404">
        <v>46269</v>
      </c>
      <c r="S234" s="420"/>
      <c r="T234" s="420"/>
      <c r="U234" s="420"/>
      <c r="V234" s="417"/>
      <c r="W234" s="420"/>
      <c r="X234" s="420"/>
      <c r="Y234" s="420"/>
      <c r="Z234" s="420"/>
      <c r="AA234" s="420"/>
      <c r="AB234" s="420"/>
      <c r="AC234" s="420"/>
      <c r="AD234" s="420"/>
      <c r="AE234" s="420"/>
      <c r="AF234" s="420"/>
      <c r="AG234" s="420"/>
      <c r="AH234" s="420"/>
      <c r="AI234" s="422"/>
      <c r="AJ234" s="423"/>
      <c r="AK234" s="420"/>
      <c r="AL234" s="424"/>
      <c r="AM234" s="417"/>
      <c r="AN234" s="425"/>
      <c r="AO234" s="426"/>
      <c r="AP234" s="425"/>
      <c r="AQ234" s="424"/>
    </row>
    <row r="235" s="333" customFormat="1" ht="23" hidden="1" customHeight="1" spans="1:43">
      <c r="A235" s="396">
        <v>78</v>
      </c>
      <c r="B235" s="324" t="s">
        <v>297</v>
      </c>
      <c r="C235" s="324" t="s">
        <v>298</v>
      </c>
      <c r="D235" s="448"/>
      <c r="E235" s="399"/>
      <c r="F235" s="400"/>
      <c r="G235" s="399" t="s">
        <v>123</v>
      </c>
      <c r="H235" s="324"/>
      <c r="I235" s="401"/>
      <c r="J235" s="324" t="s">
        <v>9</v>
      </c>
      <c r="K235" s="402" t="s">
        <v>59</v>
      </c>
      <c r="L235" s="403"/>
      <c r="M235" s="404">
        <v>46269</v>
      </c>
      <c r="N235" s="404">
        <v>46283</v>
      </c>
      <c r="O235" s="404">
        <v>46283</v>
      </c>
      <c r="P235" s="404">
        <v>46283</v>
      </c>
      <c r="Q235" s="404">
        <v>46283</v>
      </c>
      <c r="R235" s="404">
        <v>46293</v>
      </c>
      <c r="S235" s="404">
        <v>46302</v>
      </c>
      <c r="T235" s="404">
        <v>46317</v>
      </c>
      <c r="U235" s="404"/>
      <c r="V235" s="404">
        <v>46324</v>
      </c>
      <c r="W235" s="404">
        <v>46328</v>
      </c>
      <c r="X235" s="404">
        <v>46335</v>
      </c>
      <c r="Y235" s="404">
        <v>46349</v>
      </c>
      <c r="Z235" s="404">
        <v>46364</v>
      </c>
      <c r="AA235" s="404">
        <v>46374</v>
      </c>
      <c r="AB235" s="404">
        <v>46374</v>
      </c>
      <c r="AC235" s="404">
        <v>46376</v>
      </c>
      <c r="AD235" s="404">
        <v>46415</v>
      </c>
      <c r="AE235" s="404">
        <v>46422</v>
      </c>
      <c r="AF235" s="404">
        <v>46429</v>
      </c>
      <c r="AG235" s="404">
        <v>46443</v>
      </c>
      <c r="AH235" s="404">
        <v>46459</v>
      </c>
      <c r="AI235" s="428">
        <v>15</v>
      </c>
      <c r="AJ235" s="406">
        <f>AI235*7</f>
        <v>105</v>
      </c>
      <c r="AK235" s="404">
        <f>V235+AJ235</f>
        <v>46429</v>
      </c>
      <c r="AL235" s="407">
        <f>AL236</f>
        <v>46430</v>
      </c>
      <c r="AM235" s="399">
        <f>AL236-AK235</f>
        <v>1</v>
      </c>
      <c r="AN235" s="408"/>
      <c r="AO235" s="409" t="s">
        <v>61</v>
      </c>
      <c r="AP235" s="410">
        <v>46433</v>
      </c>
      <c r="AQ235" s="407"/>
    </row>
    <row r="236" s="333" customFormat="1" ht="23" customHeight="1" spans="1:43">
      <c r="A236" s="396"/>
      <c r="B236" s="324" t="s">
        <v>297</v>
      </c>
      <c r="C236" s="397" t="s">
        <v>298</v>
      </c>
      <c r="D236" s="449"/>
      <c r="E236" s="399"/>
      <c r="F236" s="400" t="s">
        <v>295</v>
      </c>
      <c r="G236" s="399" t="s">
        <v>123</v>
      </c>
      <c r="H236" s="324" t="s">
        <v>63</v>
      </c>
      <c r="I236" s="324">
        <v>3</v>
      </c>
      <c r="J236" s="324" t="s">
        <v>9</v>
      </c>
      <c r="K236" s="402" t="s">
        <v>64</v>
      </c>
      <c r="L236" s="404">
        <v>46254</v>
      </c>
      <c r="M236" s="404"/>
      <c r="N236" s="404"/>
      <c r="O236" s="404"/>
      <c r="P236" s="404"/>
      <c r="Q236" s="404"/>
      <c r="R236" s="404">
        <v>46295</v>
      </c>
      <c r="S236" s="404">
        <f>_xlfn.WORKDAY.INTL(R236,INDEX(S$8:S$11,MATCH($J236,$J$8:$J$11,0)),1,IF(S$18="China",'China Holidays'!$A$2:$A$82,'Thai Holidays'!$A$2:$A$63))</f>
        <v>46304</v>
      </c>
      <c r="T236" s="404">
        <f>_xlfn.WORKDAY.INTL(S236,INDEX(T$8:T$11,MATCH($J236,$J$8:$J$11,0)),1,IF(T$18="China",'China Holidays'!$A$2:$A$82,'Thai Holidays'!$A$2:$A$63))</f>
        <v>46322</v>
      </c>
      <c r="U236" s="404"/>
      <c r="V236" s="404">
        <v>46324</v>
      </c>
      <c r="W236" s="404">
        <v>46328</v>
      </c>
      <c r="X236" s="404">
        <v>46335</v>
      </c>
      <c r="Y236" s="404">
        <v>46349</v>
      </c>
      <c r="Z236" s="411">
        <f>AB236-5</f>
        <v>46369</v>
      </c>
      <c r="AA236" s="404">
        <v>46374</v>
      </c>
      <c r="AB236" s="404">
        <v>46374</v>
      </c>
      <c r="AC236" s="404">
        <v>46376</v>
      </c>
      <c r="AD236" s="404">
        <v>46415</v>
      </c>
      <c r="AE236" s="411">
        <v>46422</v>
      </c>
      <c r="AF236" s="404">
        <v>46429</v>
      </c>
      <c r="AG236" s="404">
        <v>46443</v>
      </c>
      <c r="AH236" s="404">
        <v>46459</v>
      </c>
      <c r="AI236" s="405">
        <v>15</v>
      </c>
      <c r="AJ236" s="406">
        <v>105</v>
      </c>
      <c r="AK236" s="404">
        <f>IF(V236&lt;&gt;"",V236+AJ236,V237+AJ236)</f>
        <v>46429</v>
      </c>
      <c r="AL236" s="407">
        <f>AP235-3</f>
        <v>46430</v>
      </c>
      <c r="AM236" s="399">
        <f>AL236-AK236</f>
        <v>1</v>
      </c>
      <c r="AN236" s="408"/>
      <c r="AO236" s="409" t="s">
        <v>65</v>
      </c>
      <c r="AP236" s="410">
        <v>46433</v>
      </c>
      <c r="AQ236" s="407" t="s">
        <v>299</v>
      </c>
    </row>
    <row r="237" s="333" customFormat="1" ht="23" hidden="1" customHeight="1" spans="1:43">
      <c r="A237" s="414"/>
      <c r="B237" s="415" t="s">
        <v>297</v>
      </c>
      <c r="C237" s="447" t="s">
        <v>298</v>
      </c>
      <c r="D237" s="450"/>
      <c r="E237" s="417"/>
      <c r="F237" s="418"/>
      <c r="G237" s="417" t="s">
        <v>296</v>
      </c>
      <c r="H237" s="415" t="s">
        <v>63</v>
      </c>
      <c r="I237" s="324">
        <v>3</v>
      </c>
      <c r="J237" s="415" t="s">
        <v>9</v>
      </c>
      <c r="K237" s="419" t="s">
        <v>66</v>
      </c>
      <c r="L237" s="420"/>
      <c r="M237" s="420">
        <v>46269</v>
      </c>
      <c r="N237" s="420">
        <v>46282</v>
      </c>
      <c r="O237" s="420">
        <v>46282</v>
      </c>
      <c r="P237" s="420">
        <v>46282</v>
      </c>
      <c r="Q237" s="420">
        <v>46282</v>
      </c>
      <c r="R237" s="420"/>
      <c r="S237" s="420"/>
      <c r="T237" s="420"/>
      <c r="U237" s="420"/>
      <c r="V237" s="417"/>
      <c r="W237" s="420"/>
      <c r="X237" s="420"/>
      <c r="Y237" s="420"/>
      <c r="Z237" s="420"/>
      <c r="AA237" s="420"/>
      <c r="AB237" s="420"/>
      <c r="AC237" s="420"/>
      <c r="AD237" s="420"/>
      <c r="AE237" s="420"/>
      <c r="AF237" s="420"/>
      <c r="AG237" s="420"/>
      <c r="AH237" s="420"/>
      <c r="AI237" s="422"/>
      <c r="AJ237" s="423"/>
      <c r="AK237" s="420"/>
      <c r="AL237" s="424"/>
      <c r="AM237" s="417"/>
      <c r="AN237" s="425"/>
      <c r="AO237" s="426"/>
      <c r="AP237" s="425"/>
      <c r="AQ237" s="424"/>
    </row>
    <row r="238" s="333" customFormat="1" ht="23" hidden="1" customHeight="1" spans="1:43">
      <c r="A238" s="396">
        <v>79</v>
      </c>
      <c r="B238" s="324" t="s">
        <v>300</v>
      </c>
      <c r="C238" s="324" t="s">
        <v>301</v>
      </c>
      <c r="D238" s="448"/>
      <c r="E238" s="399"/>
      <c r="F238" s="400"/>
      <c r="G238" s="399" t="s">
        <v>123</v>
      </c>
      <c r="H238" s="324"/>
      <c r="I238" s="401"/>
      <c r="J238" s="324" t="s">
        <v>9</v>
      </c>
      <c r="K238" s="402" t="s">
        <v>59</v>
      </c>
      <c r="L238" s="403"/>
      <c r="M238" s="404">
        <v>46269</v>
      </c>
      <c r="N238" s="404">
        <v>46283</v>
      </c>
      <c r="O238" s="404">
        <v>46283</v>
      </c>
      <c r="P238" s="404">
        <v>46302</v>
      </c>
      <c r="Q238" s="404">
        <v>46317</v>
      </c>
      <c r="R238" s="404">
        <v>46324</v>
      </c>
      <c r="S238" s="404">
        <v>46302</v>
      </c>
      <c r="T238" s="404">
        <v>46317</v>
      </c>
      <c r="U238" s="404"/>
      <c r="V238" s="404">
        <v>46324</v>
      </c>
      <c r="W238" s="404">
        <v>46400</v>
      </c>
      <c r="X238" s="404">
        <v>46407</v>
      </c>
      <c r="Y238" s="404">
        <v>46349</v>
      </c>
      <c r="Z238" s="404">
        <v>46364</v>
      </c>
      <c r="AA238" s="404">
        <v>46374</v>
      </c>
      <c r="AB238" s="404">
        <f>AA238+1</f>
        <v>46375</v>
      </c>
      <c r="AC238" s="404">
        <f>AB238+1</f>
        <v>46376</v>
      </c>
      <c r="AD238" s="404">
        <v>46400</v>
      </c>
      <c r="AE238" s="404">
        <v>46407</v>
      </c>
      <c r="AF238" s="404">
        <v>46414</v>
      </c>
      <c r="AG238" s="404">
        <v>46428</v>
      </c>
      <c r="AH238" s="404">
        <v>46444</v>
      </c>
      <c r="AI238" s="428">
        <v>12.8571428571429</v>
      </c>
      <c r="AJ238" s="406">
        <f>AI238*7</f>
        <v>90.0000000000003</v>
      </c>
      <c r="AK238" s="404">
        <f>V238+AJ238</f>
        <v>46414</v>
      </c>
      <c r="AL238" s="407">
        <f>AL239</f>
        <v>46463</v>
      </c>
      <c r="AM238" s="399">
        <f>AL239-AK238</f>
        <v>49</v>
      </c>
      <c r="AN238" s="408"/>
      <c r="AO238" s="409" t="s">
        <v>61</v>
      </c>
      <c r="AP238" s="410">
        <v>46470</v>
      </c>
      <c r="AQ238" s="407"/>
    </row>
    <row r="239" s="333" customFormat="1" ht="23" customHeight="1" spans="1:43">
      <c r="A239" s="396"/>
      <c r="B239" s="324" t="s">
        <v>300</v>
      </c>
      <c r="C239" s="397" t="s">
        <v>301</v>
      </c>
      <c r="D239" s="449"/>
      <c r="E239" s="399"/>
      <c r="F239" s="400" t="s">
        <v>131</v>
      </c>
      <c r="G239" s="399" t="s">
        <v>123</v>
      </c>
      <c r="H239" s="324" t="s">
        <v>72</v>
      </c>
      <c r="I239" s="324">
        <v>3</v>
      </c>
      <c r="J239" s="324" t="s">
        <v>9</v>
      </c>
      <c r="K239" s="402" t="s">
        <v>64</v>
      </c>
      <c r="L239" s="404">
        <v>46208</v>
      </c>
      <c r="M239" s="404"/>
      <c r="N239" s="404"/>
      <c r="O239" s="404"/>
      <c r="P239" s="404"/>
      <c r="Q239" s="404"/>
      <c r="R239" s="404">
        <v>46295</v>
      </c>
      <c r="S239" s="404">
        <f>_xlfn.WORKDAY.INTL(R239,INDEX(S$8:S$11,MATCH($J239,$J$8:$J$11,0)),1,IF(S$18="China",'China Holidays'!$A$2:$A$82,'Thai Holidays'!$A$2:$A$63))</f>
        <v>46304</v>
      </c>
      <c r="T239" s="404">
        <f>_xlfn.WORKDAY.INTL(S239,INDEX(T$8:T$11,MATCH($J239,$J$8:$J$11,0)),1,IF(T$18="China",'China Holidays'!$A$2:$A$82,'Thai Holidays'!$A$2:$A$63))</f>
        <v>46322</v>
      </c>
      <c r="U239" s="404"/>
      <c r="V239" s="404">
        <v>46308</v>
      </c>
      <c r="W239" s="404">
        <v>46310</v>
      </c>
      <c r="X239" s="404">
        <v>46317</v>
      </c>
      <c r="Y239" s="404">
        <v>46331</v>
      </c>
      <c r="Z239" s="411">
        <f>AB239-5</f>
        <v>46350</v>
      </c>
      <c r="AA239" s="404">
        <v>46355</v>
      </c>
      <c r="AB239" s="404">
        <v>46355</v>
      </c>
      <c r="AC239" s="404">
        <v>46357</v>
      </c>
      <c r="AD239" s="404">
        <v>46384</v>
      </c>
      <c r="AE239" s="411">
        <v>46391</v>
      </c>
      <c r="AF239" s="404">
        <v>46398</v>
      </c>
      <c r="AG239" s="404">
        <v>46412</v>
      </c>
      <c r="AH239" s="404">
        <v>46428</v>
      </c>
      <c r="AI239" s="405">
        <v>12.8571428571429</v>
      </c>
      <c r="AJ239" s="406">
        <v>90.0000000000003</v>
      </c>
      <c r="AK239" s="404">
        <f>IF(V239&lt;&gt;"",V239+AJ239,V240+AJ239)</f>
        <v>46398</v>
      </c>
      <c r="AL239" s="407">
        <f>AP238-7</f>
        <v>46463</v>
      </c>
      <c r="AM239" s="399">
        <f>AL239-AK239</f>
        <v>65</v>
      </c>
      <c r="AN239" s="408"/>
      <c r="AO239" s="409" t="s">
        <v>65</v>
      </c>
      <c r="AP239" s="410">
        <v>46479</v>
      </c>
      <c r="AQ239" s="407"/>
    </row>
    <row r="240" s="333" customFormat="1" ht="23" hidden="1" customHeight="1" spans="1:43">
      <c r="A240" s="414"/>
      <c r="B240" s="415" t="s">
        <v>300</v>
      </c>
      <c r="C240" s="447" t="s">
        <v>301</v>
      </c>
      <c r="D240" s="450"/>
      <c r="E240" s="417"/>
      <c r="F240" s="418"/>
      <c r="G240" s="417" t="s">
        <v>123</v>
      </c>
      <c r="H240" s="415" t="s">
        <v>72</v>
      </c>
      <c r="I240" s="324">
        <v>3</v>
      </c>
      <c r="J240" s="415" t="s">
        <v>9</v>
      </c>
      <c r="K240" s="419" t="s">
        <v>66</v>
      </c>
      <c r="L240" s="420"/>
      <c r="M240" s="420">
        <v>46227</v>
      </c>
      <c r="N240" s="420">
        <v>46244</v>
      </c>
      <c r="O240" s="420">
        <f>N240</f>
        <v>46244</v>
      </c>
      <c r="P240" s="420">
        <f>O240</f>
        <v>46244</v>
      </c>
      <c r="Q240" s="420">
        <f>P240</f>
        <v>46244</v>
      </c>
      <c r="R240" s="420"/>
      <c r="S240" s="420"/>
      <c r="T240" s="420"/>
      <c r="U240" s="420"/>
      <c r="V240" s="417"/>
      <c r="W240" s="420"/>
      <c r="X240" s="420"/>
      <c r="Y240" s="420"/>
      <c r="Z240" s="420"/>
      <c r="AA240" s="420"/>
      <c r="AB240" s="420"/>
      <c r="AC240" s="420"/>
      <c r="AD240" s="420"/>
      <c r="AE240" s="420"/>
      <c r="AF240" s="420"/>
      <c r="AG240" s="420"/>
      <c r="AH240" s="420"/>
      <c r="AI240" s="422"/>
      <c r="AJ240" s="423"/>
      <c r="AK240" s="420"/>
      <c r="AL240" s="424"/>
      <c r="AM240" s="417"/>
      <c r="AN240" s="425"/>
      <c r="AO240" s="426"/>
      <c r="AP240" s="425"/>
      <c r="AQ240" s="424"/>
    </row>
    <row r="241" s="333" customFormat="1" ht="23" hidden="1" customHeight="1" spans="1:43">
      <c r="A241" s="396">
        <v>80</v>
      </c>
      <c r="B241" s="324" t="s">
        <v>302</v>
      </c>
      <c r="C241" s="324" t="s">
        <v>303</v>
      </c>
      <c r="D241" s="448"/>
      <c r="E241" s="399"/>
      <c r="F241" s="400"/>
      <c r="G241" s="399" t="s">
        <v>136</v>
      </c>
      <c r="H241" s="324"/>
      <c r="I241" s="401"/>
      <c r="J241" s="324" t="s">
        <v>9</v>
      </c>
      <c r="K241" s="402" t="s">
        <v>59</v>
      </c>
      <c r="L241" s="403"/>
      <c r="M241" s="404">
        <v>46295</v>
      </c>
      <c r="N241" s="404">
        <v>46310</v>
      </c>
      <c r="O241" s="404">
        <v>46310</v>
      </c>
      <c r="P241" s="404">
        <v>46310</v>
      </c>
      <c r="Q241" s="404">
        <v>46310</v>
      </c>
      <c r="R241" s="404">
        <v>46316</v>
      </c>
      <c r="S241" s="404">
        <v>46329</v>
      </c>
      <c r="T241" s="404">
        <v>46343</v>
      </c>
      <c r="U241" s="404"/>
      <c r="V241" s="404">
        <v>46350</v>
      </c>
      <c r="W241" s="404">
        <v>46339</v>
      </c>
      <c r="X241" s="404">
        <v>46346</v>
      </c>
      <c r="Y241" s="404">
        <v>46373</v>
      </c>
      <c r="Z241" s="404">
        <v>46391</v>
      </c>
      <c r="AA241" s="404">
        <f>V241+50</f>
        <v>46400</v>
      </c>
      <c r="AB241" s="404">
        <f>AA241+1</f>
        <v>46401</v>
      </c>
      <c r="AC241" s="404">
        <f>AB241+1</f>
        <v>46402</v>
      </c>
      <c r="AD241" s="404">
        <v>46426</v>
      </c>
      <c r="AE241" s="404">
        <v>46433</v>
      </c>
      <c r="AF241" s="404">
        <v>46440</v>
      </c>
      <c r="AG241" s="404">
        <v>46454</v>
      </c>
      <c r="AH241" s="404">
        <v>46470</v>
      </c>
      <c r="AI241" s="428">
        <v>12.8571428571429</v>
      </c>
      <c r="AJ241" s="406">
        <f>AI241*7</f>
        <v>90.0000000000003</v>
      </c>
      <c r="AK241" s="404">
        <f>V241+AJ241</f>
        <v>46440</v>
      </c>
      <c r="AL241" s="407">
        <f>AL242</f>
        <v>46438</v>
      </c>
      <c r="AM241" s="399">
        <f>AL242-AK241</f>
        <v>-2</v>
      </c>
      <c r="AN241" s="408"/>
      <c r="AO241" s="409" t="s">
        <v>61</v>
      </c>
      <c r="AP241" s="410">
        <v>46441</v>
      </c>
      <c r="AQ241" s="407"/>
    </row>
    <row r="242" s="333" customFormat="1" ht="23" customHeight="1" spans="1:43">
      <c r="A242" s="396"/>
      <c r="B242" s="324" t="s">
        <v>302</v>
      </c>
      <c r="C242" s="324" t="s">
        <v>303</v>
      </c>
      <c r="D242" s="449"/>
      <c r="E242" s="399"/>
      <c r="F242" s="400" t="s">
        <v>304</v>
      </c>
      <c r="G242" s="399" t="s">
        <v>136</v>
      </c>
      <c r="H242" s="324" t="s">
        <v>72</v>
      </c>
      <c r="I242" s="324">
        <v>4</v>
      </c>
      <c r="J242" s="324" t="s">
        <v>9</v>
      </c>
      <c r="K242" s="402" t="s">
        <v>64</v>
      </c>
      <c r="L242" s="404">
        <v>46273</v>
      </c>
      <c r="M242" s="404">
        <v>46295</v>
      </c>
      <c r="N242" s="404">
        <f>_xlfn.WORKDAY.INTL(M242,INDEX(N$8:N$11,MATCH($J242,$J$8:$J$11,0)),1,IF(N$18="China",'China Holidays'!$A$2:$A$82,'Thai Holidays'!$A$2:$A$63))</f>
        <v>46310</v>
      </c>
      <c r="O242" s="404">
        <f>_xlfn.WORKDAY.INTL(N242,INDEX(O$8:O$11,MATCH($J242,$J$8:$J$11,0)),1,IF(O$18="China",'China Holidays'!$A$2:$A$82,'Thai Holidays'!$A$2:$A$63))</f>
        <v>46310</v>
      </c>
      <c r="P242" s="404">
        <f>_xlfn.WORKDAY.INTL(O242,INDEX(P$8:P$11,MATCH($J242,$J$8:$J$11,0)),1,IF(P$18="China",'China Holidays'!$A$2:$A$82,'Thai Holidays'!$A$2:$A$63))</f>
        <v>46310</v>
      </c>
      <c r="Q242" s="404">
        <f>_xlfn.WORKDAY.INTL(P242,INDEX(Q$8:Q$11,MATCH($J242,$J$8:$J$11,0)),1,IF(Q$18="China",'China Holidays'!$A$2:$A$82,'Thai Holidays'!$A$2:$A$63))</f>
        <v>46310</v>
      </c>
      <c r="R242" s="404">
        <f>_xlfn.WORKDAY.INTL(Q242,INDEX(R$8:R$11,MATCH($J242,$J$8:$J$11,0)),1,IF(R$18="China",'China Holidays'!$A$2:$A$82,'Thai Holidays'!$A$2:$A$63))</f>
        <v>46317</v>
      </c>
      <c r="S242" s="404">
        <f>_xlfn.WORKDAY.INTL(R242,INDEX(S$8:S$11,MATCH($J242,$J$8:$J$11,0)),1,IF(S$18="China",'China Holidays'!$A$2:$A$82,'Thai Holidays'!$A$2:$A$63))</f>
        <v>46329</v>
      </c>
      <c r="T242" s="404">
        <f>_xlfn.WORKDAY.INTL(S242,INDEX(T$8:T$11,MATCH($J242,$J$8:$J$11,0)),1,IF(T$18="China",'China Holidays'!$A$2:$A$82,'Thai Holidays'!$A$2:$A$63))</f>
        <v>46343</v>
      </c>
      <c r="U242" s="404"/>
      <c r="V242" s="404">
        <v>46350</v>
      </c>
      <c r="W242" s="404">
        <v>46352</v>
      </c>
      <c r="X242" s="404">
        <v>46359</v>
      </c>
      <c r="Y242" s="404">
        <v>46373</v>
      </c>
      <c r="Z242" s="411">
        <f>AB242-5</f>
        <v>46396</v>
      </c>
      <c r="AA242" s="404">
        <v>46401</v>
      </c>
      <c r="AB242" s="404">
        <v>46401</v>
      </c>
      <c r="AC242" s="404">
        <v>46403</v>
      </c>
      <c r="AD242" s="404">
        <v>46426</v>
      </c>
      <c r="AE242" s="411">
        <v>46433</v>
      </c>
      <c r="AF242" s="404">
        <v>46440</v>
      </c>
      <c r="AG242" s="404">
        <v>46454</v>
      </c>
      <c r="AH242" s="404">
        <v>46470</v>
      </c>
      <c r="AI242" s="405">
        <v>12.8571428571429</v>
      </c>
      <c r="AJ242" s="406">
        <v>90.0000000000003</v>
      </c>
      <c r="AK242" s="404">
        <f>IF(V242&lt;&gt;"",V242+AJ242,V243+AJ242)</f>
        <v>46440</v>
      </c>
      <c r="AL242" s="407">
        <f>AP241-3</f>
        <v>46438</v>
      </c>
      <c r="AM242" s="399">
        <f>AL242-AK242</f>
        <v>-2</v>
      </c>
      <c r="AN242" s="408"/>
      <c r="AO242" s="409" t="s">
        <v>65</v>
      </c>
      <c r="AP242" s="410">
        <v>46443</v>
      </c>
      <c r="AQ242" s="407"/>
    </row>
    <row r="243" s="333" customFormat="1" ht="23" hidden="1" customHeight="1" spans="1:43">
      <c r="A243" s="414"/>
      <c r="B243" s="415" t="s">
        <v>302</v>
      </c>
      <c r="C243" s="447" t="s">
        <v>303</v>
      </c>
      <c r="D243" s="450"/>
      <c r="E243" s="417"/>
      <c r="F243" s="418"/>
      <c r="G243" s="417" t="s">
        <v>305</v>
      </c>
      <c r="H243" s="415" t="s">
        <v>72</v>
      </c>
      <c r="I243" s="324">
        <v>4</v>
      </c>
      <c r="J243" s="415" t="s">
        <v>9</v>
      </c>
      <c r="K243" s="419" t="s">
        <v>66</v>
      </c>
      <c r="L243" s="420"/>
      <c r="M243" s="420"/>
      <c r="N243" s="420"/>
      <c r="O243" s="420"/>
      <c r="P243" s="420"/>
      <c r="Q243" s="420"/>
      <c r="R243" s="420"/>
      <c r="S243" s="420"/>
      <c r="T243" s="420"/>
      <c r="U243" s="420"/>
      <c r="V243" s="417"/>
      <c r="W243" s="420"/>
      <c r="X243" s="420"/>
      <c r="Y243" s="420"/>
      <c r="Z243" s="420"/>
      <c r="AA243" s="420"/>
      <c r="AB243" s="420"/>
      <c r="AC243" s="420"/>
      <c r="AD243" s="420"/>
      <c r="AE243" s="420"/>
      <c r="AF243" s="420"/>
      <c r="AG243" s="420"/>
      <c r="AH243" s="420"/>
      <c r="AI243" s="422"/>
      <c r="AJ243" s="423"/>
      <c r="AK243" s="420"/>
      <c r="AL243" s="424"/>
      <c r="AM243" s="417"/>
      <c r="AN243" s="425"/>
      <c r="AO243" s="426"/>
      <c r="AP243" s="425"/>
      <c r="AQ243" s="424"/>
    </row>
    <row r="244" s="333" customFormat="1" ht="23" hidden="1" customHeight="1" spans="1:43">
      <c r="A244" s="396">
        <v>81</v>
      </c>
      <c r="B244" s="324" t="s">
        <v>306</v>
      </c>
      <c r="C244" s="324" t="s">
        <v>307</v>
      </c>
      <c r="D244" s="448"/>
      <c r="E244" s="399"/>
      <c r="F244" s="400"/>
      <c r="G244" s="399" t="s">
        <v>136</v>
      </c>
      <c r="H244" s="324"/>
      <c r="I244" s="401"/>
      <c r="J244" s="324" t="s">
        <v>9</v>
      </c>
      <c r="K244" s="402" t="s">
        <v>59</v>
      </c>
      <c r="L244" s="403"/>
      <c r="M244" s="404">
        <v>46255</v>
      </c>
      <c r="N244" s="404">
        <v>46269</v>
      </c>
      <c r="O244" s="404">
        <v>46269</v>
      </c>
      <c r="P244" s="404">
        <v>46269</v>
      </c>
      <c r="Q244" s="404">
        <v>46269</v>
      </c>
      <c r="R244" s="404">
        <v>46275</v>
      </c>
      <c r="S244" s="404">
        <v>46287</v>
      </c>
      <c r="T244" s="404">
        <v>46301</v>
      </c>
      <c r="U244" s="404"/>
      <c r="V244" s="404">
        <v>46309</v>
      </c>
      <c r="W244" s="404">
        <v>46307</v>
      </c>
      <c r="X244" s="404">
        <v>46314</v>
      </c>
      <c r="Y244" s="404">
        <v>46332</v>
      </c>
      <c r="Z244" s="404">
        <v>46346</v>
      </c>
      <c r="AA244" s="404">
        <v>46356</v>
      </c>
      <c r="AB244" s="404">
        <f>AA244+1</f>
        <v>46357</v>
      </c>
      <c r="AC244" s="404">
        <f>AB244+1</f>
        <v>46358</v>
      </c>
      <c r="AD244" s="404">
        <v>46385</v>
      </c>
      <c r="AE244" s="404">
        <v>46392</v>
      </c>
      <c r="AF244" s="404">
        <v>46399</v>
      </c>
      <c r="AG244" s="404">
        <v>46413</v>
      </c>
      <c r="AH244" s="404">
        <v>46429</v>
      </c>
      <c r="AI244" s="428">
        <v>12.8571428571429</v>
      </c>
      <c r="AJ244" s="406">
        <f>AI244*7</f>
        <v>90.0000000000003</v>
      </c>
      <c r="AK244" s="404">
        <f>V244+AJ244</f>
        <v>46399</v>
      </c>
      <c r="AL244" s="407">
        <f>AL245</f>
        <v>46497</v>
      </c>
      <c r="AM244" s="399">
        <f>AL245-AK244</f>
        <v>98</v>
      </c>
      <c r="AN244" s="408"/>
      <c r="AO244" s="409" t="s">
        <v>61</v>
      </c>
      <c r="AP244" s="410">
        <v>46504</v>
      </c>
      <c r="AQ244" s="407"/>
    </row>
    <row r="245" s="333" customFormat="1" ht="23" customHeight="1" spans="1:43">
      <c r="A245" s="396"/>
      <c r="B245" s="324" t="s">
        <v>306</v>
      </c>
      <c r="C245" s="397" t="s">
        <v>307</v>
      </c>
      <c r="D245" s="449"/>
      <c r="E245" s="399"/>
      <c r="F245" s="400" t="s">
        <v>304</v>
      </c>
      <c r="G245" s="399" t="s">
        <v>136</v>
      </c>
      <c r="H245" s="324" t="s">
        <v>72</v>
      </c>
      <c r="I245" s="324">
        <v>4</v>
      </c>
      <c r="J245" s="324" t="s">
        <v>9</v>
      </c>
      <c r="K245" s="402" t="s">
        <v>64</v>
      </c>
      <c r="L245" s="404">
        <v>46240</v>
      </c>
      <c r="M245" s="404"/>
      <c r="N245" s="404"/>
      <c r="O245" s="404"/>
      <c r="P245" s="404"/>
      <c r="Q245" s="404"/>
      <c r="R245" s="404"/>
      <c r="S245" s="404">
        <v>46297</v>
      </c>
      <c r="T245" s="404">
        <f>_xlfn.WORKDAY.INTL(S245,INDEX(T$8:T$11,MATCH($J245,$J$8:$J$11,0)),1,IF(T$18="China",'China Holidays'!$A$2:$A$82,'Thai Holidays'!$A$2:$A$63))</f>
        <v>46314</v>
      </c>
      <c r="U245" s="404"/>
      <c r="V245" s="404">
        <v>46309</v>
      </c>
      <c r="W245" s="404">
        <v>46311</v>
      </c>
      <c r="X245" s="404">
        <v>46318</v>
      </c>
      <c r="Y245" s="404">
        <v>46332</v>
      </c>
      <c r="Z245" s="411">
        <f>AB245-5</f>
        <v>46351</v>
      </c>
      <c r="AA245" s="404">
        <v>46356</v>
      </c>
      <c r="AB245" s="404">
        <v>46356</v>
      </c>
      <c r="AC245" s="404">
        <v>46358</v>
      </c>
      <c r="AD245" s="404">
        <v>46385</v>
      </c>
      <c r="AE245" s="411">
        <v>46392</v>
      </c>
      <c r="AF245" s="404">
        <v>46399</v>
      </c>
      <c r="AG245" s="404">
        <v>46413</v>
      </c>
      <c r="AH245" s="404">
        <v>46429</v>
      </c>
      <c r="AI245" s="405">
        <v>12.8571428571429</v>
      </c>
      <c r="AJ245" s="406">
        <v>90.0000000000003</v>
      </c>
      <c r="AK245" s="404">
        <f>IF(V245&lt;&gt;"",V245+AJ245,V246+AJ245)</f>
        <v>46399</v>
      </c>
      <c r="AL245" s="407">
        <f>AP244-7</f>
        <v>46497</v>
      </c>
      <c r="AM245" s="399">
        <f>AL245-AK245</f>
        <v>98</v>
      </c>
      <c r="AN245" s="408"/>
      <c r="AO245" s="409" t="s">
        <v>65</v>
      </c>
      <c r="AP245" s="410">
        <v>46526</v>
      </c>
      <c r="AQ245" s="407"/>
    </row>
    <row r="246" s="333" customFormat="1" ht="23" hidden="1" customHeight="1" spans="1:43">
      <c r="A246" s="414"/>
      <c r="B246" s="415" t="s">
        <v>306</v>
      </c>
      <c r="C246" s="447" t="s">
        <v>307</v>
      </c>
      <c r="D246" s="450"/>
      <c r="E246" s="417"/>
      <c r="F246" s="418"/>
      <c r="G246" s="417" t="s">
        <v>305</v>
      </c>
      <c r="H246" s="415" t="s">
        <v>72</v>
      </c>
      <c r="I246" s="324">
        <v>4</v>
      </c>
      <c r="J246" s="415" t="s">
        <v>9</v>
      </c>
      <c r="K246" s="419" t="s">
        <v>66</v>
      </c>
      <c r="L246" s="420"/>
      <c r="M246" s="420">
        <v>46255</v>
      </c>
      <c r="N246" s="420">
        <v>46264</v>
      </c>
      <c r="O246" s="420">
        <v>46264</v>
      </c>
      <c r="P246" s="420">
        <v>46264</v>
      </c>
      <c r="Q246" s="420">
        <v>46264</v>
      </c>
      <c r="R246" s="404">
        <v>46275</v>
      </c>
      <c r="S246" s="420"/>
      <c r="T246" s="420"/>
      <c r="U246" s="420"/>
      <c r="V246" s="417"/>
      <c r="W246" s="420"/>
      <c r="X246" s="420"/>
      <c r="Y246" s="420"/>
      <c r="Z246" s="420"/>
      <c r="AA246" s="420"/>
      <c r="AB246" s="420"/>
      <c r="AC246" s="420"/>
      <c r="AD246" s="420"/>
      <c r="AE246" s="420"/>
      <c r="AF246" s="420"/>
      <c r="AG246" s="420"/>
      <c r="AH246" s="420"/>
      <c r="AI246" s="422"/>
      <c r="AJ246" s="423"/>
      <c r="AK246" s="420"/>
      <c r="AL246" s="424"/>
      <c r="AM246" s="417"/>
      <c r="AN246" s="425"/>
      <c r="AO246" s="426"/>
      <c r="AP246" s="425"/>
      <c r="AQ246" s="424"/>
    </row>
    <row r="247" s="333" customFormat="1" ht="23" hidden="1" customHeight="1" spans="1:43">
      <c r="A247" s="396">
        <v>82</v>
      </c>
      <c r="B247" s="324" t="s">
        <v>308</v>
      </c>
      <c r="C247" s="324" t="s">
        <v>309</v>
      </c>
      <c r="D247" s="448"/>
      <c r="E247" s="399"/>
      <c r="F247" s="400"/>
      <c r="G247" s="399" t="s">
        <v>310</v>
      </c>
      <c r="H247" s="324"/>
      <c r="I247" s="401"/>
      <c r="J247" s="324" t="s">
        <v>9</v>
      </c>
      <c r="K247" s="402" t="s">
        <v>59</v>
      </c>
      <c r="L247" s="403"/>
      <c r="M247" s="404">
        <v>46233</v>
      </c>
      <c r="N247" s="404">
        <v>46248</v>
      </c>
      <c r="O247" s="404">
        <v>46248</v>
      </c>
      <c r="P247" s="404">
        <v>46248</v>
      </c>
      <c r="Q247" s="404">
        <v>46248</v>
      </c>
      <c r="R247" s="404">
        <v>46255</v>
      </c>
      <c r="S247" s="404">
        <v>46266</v>
      </c>
      <c r="T247" s="404">
        <v>46280</v>
      </c>
      <c r="U247" s="404"/>
      <c r="V247" s="404">
        <v>46287</v>
      </c>
      <c r="W247" s="404">
        <v>46289</v>
      </c>
      <c r="X247" s="404">
        <v>46304</v>
      </c>
      <c r="Y247" s="404">
        <v>46318</v>
      </c>
      <c r="Z247" s="404">
        <v>46332</v>
      </c>
      <c r="AA247" s="404">
        <v>46392</v>
      </c>
      <c r="AB247" s="404">
        <v>46392</v>
      </c>
      <c r="AC247" s="404">
        <v>46395</v>
      </c>
      <c r="AD247" s="404">
        <v>46483</v>
      </c>
      <c r="AE247" s="404">
        <v>46490</v>
      </c>
      <c r="AF247" s="404">
        <v>46497</v>
      </c>
      <c r="AG247" s="404">
        <v>46511</v>
      </c>
      <c r="AH247" s="404">
        <v>46527</v>
      </c>
      <c r="AI247" s="428">
        <v>30</v>
      </c>
      <c r="AJ247" s="406">
        <f>AI247*7</f>
        <v>210</v>
      </c>
      <c r="AK247" s="404">
        <f>V247+AJ247</f>
        <v>46497</v>
      </c>
      <c r="AL247" s="407">
        <f>AL248</f>
        <v>46536</v>
      </c>
      <c r="AM247" s="399">
        <f>AL248-AK247</f>
        <v>39</v>
      </c>
      <c r="AN247" s="408"/>
      <c r="AO247" s="409" t="s">
        <v>61</v>
      </c>
      <c r="AP247" s="410">
        <v>46543</v>
      </c>
      <c r="AQ247" s="407"/>
    </row>
    <row r="248" s="333" customFormat="1" ht="23" customHeight="1" spans="1:43">
      <c r="A248" s="396"/>
      <c r="B248" s="324" t="s">
        <v>308</v>
      </c>
      <c r="C248" s="397" t="s">
        <v>309</v>
      </c>
      <c r="D248" s="449"/>
      <c r="E248" s="399"/>
      <c r="F248" s="400" t="s">
        <v>311</v>
      </c>
      <c r="G248" s="399" t="s">
        <v>310</v>
      </c>
      <c r="H248" s="324" t="s">
        <v>72</v>
      </c>
      <c r="I248" s="324">
        <v>3</v>
      </c>
      <c r="J248" s="324" t="s">
        <v>9</v>
      </c>
      <c r="K248" s="402" t="s">
        <v>64</v>
      </c>
      <c r="L248" s="404">
        <v>46195</v>
      </c>
      <c r="M248" s="404"/>
      <c r="N248" s="404"/>
      <c r="O248" s="404"/>
      <c r="P248" s="404"/>
      <c r="Q248" s="404"/>
      <c r="R248" s="404"/>
      <c r="S248" s="404">
        <v>46304</v>
      </c>
      <c r="T248" s="404">
        <f>_xlfn.WORKDAY.INTL(S248,INDEX(T$8:T$11,MATCH($J248,$J$8:$J$11,0)),1,IF(T$18="China",'China Holidays'!$A$2:$A$82,'Thai Holidays'!$A$2:$A$63))</f>
        <v>46322</v>
      </c>
      <c r="U248" s="404"/>
      <c r="V248" s="404">
        <v>46311</v>
      </c>
      <c r="W248" s="404">
        <v>46315</v>
      </c>
      <c r="X248" s="404">
        <v>46322</v>
      </c>
      <c r="Y248" s="404">
        <v>46336</v>
      </c>
      <c r="Z248" s="411">
        <f>AB248-5</f>
        <v>46405</v>
      </c>
      <c r="AA248" s="404">
        <v>46410</v>
      </c>
      <c r="AB248" s="404">
        <v>46410</v>
      </c>
      <c r="AC248" s="404">
        <v>46413</v>
      </c>
      <c r="AD248" s="404">
        <v>46507</v>
      </c>
      <c r="AE248" s="411">
        <v>46514</v>
      </c>
      <c r="AF248" s="404">
        <v>46521</v>
      </c>
      <c r="AG248" s="404">
        <v>46535</v>
      </c>
      <c r="AH248" s="404">
        <v>46551</v>
      </c>
      <c r="AI248" s="405">
        <v>30</v>
      </c>
      <c r="AJ248" s="406">
        <v>210</v>
      </c>
      <c r="AK248" s="404">
        <f>IF(V248&lt;&gt;"",V248+AJ248,V249+AJ248)</f>
        <v>46521</v>
      </c>
      <c r="AL248" s="407">
        <f>AP247-7</f>
        <v>46536</v>
      </c>
      <c r="AM248" s="399">
        <f>AL248-AK248</f>
        <v>15</v>
      </c>
      <c r="AN248" s="408"/>
      <c r="AO248" s="409" t="s">
        <v>65</v>
      </c>
      <c r="AP248" s="410">
        <v>46548</v>
      </c>
      <c r="AQ248" s="407"/>
    </row>
    <row r="249" s="333" customFormat="1" ht="23" hidden="1" customHeight="1" spans="1:43">
      <c r="A249" s="414"/>
      <c r="B249" s="415" t="s">
        <v>308</v>
      </c>
      <c r="C249" s="447" t="s">
        <v>309</v>
      </c>
      <c r="D249" s="450"/>
      <c r="E249" s="417"/>
      <c r="F249" s="418"/>
      <c r="G249" s="417" t="s">
        <v>310</v>
      </c>
      <c r="H249" s="415" t="s">
        <v>72</v>
      </c>
      <c r="I249" s="324">
        <v>3</v>
      </c>
      <c r="J249" s="415" t="s">
        <v>9</v>
      </c>
      <c r="K249" s="419" t="s">
        <v>66</v>
      </c>
      <c r="L249" s="420"/>
      <c r="M249" s="420">
        <v>46218</v>
      </c>
      <c r="N249" s="420">
        <v>46248</v>
      </c>
      <c r="O249" s="420">
        <v>46248</v>
      </c>
      <c r="P249" s="420">
        <f>O249</f>
        <v>46248</v>
      </c>
      <c r="Q249" s="420">
        <f>P249</f>
        <v>46248</v>
      </c>
      <c r="R249" s="420">
        <v>46261</v>
      </c>
      <c r="S249" s="420"/>
      <c r="T249" s="420"/>
      <c r="U249" s="420"/>
      <c r="V249" s="417"/>
      <c r="W249" s="420"/>
      <c r="X249" s="420"/>
      <c r="Y249" s="420"/>
      <c r="Z249" s="420"/>
      <c r="AA249" s="420"/>
      <c r="AB249" s="420"/>
      <c r="AC249" s="420"/>
      <c r="AD249" s="420"/>
      <c r="AE249" s="420"/>
      <c r="AF249" s="420"/>
      <c r="AG249" s="420"/>
      <c r="AH249" s="420"/>
      <c r="AI249" s="422"/>
      <c r="AJ249" s="423"/>
      <c r="AK249" s="420"/>
      <c r="AL249" s="424"/>
      <c r="AM249" s="417"/>
      <c r="AN249" s="425"/>
      <c r="AO249" s="426"/>
      <c r="AP249" s="425"/>
      <c r="AQ249" s="424"/>
    </row>
    <row r="250" s="333" customFormat="1" ht="23" hidden="1" customHeight="1" spans="1:43">
      <c r="A250" s="396">
        <v>83</v>
      </c>
      <c r="B250" s="324" t="s">
        <v>312</v>
      </c>
      <c r="C250" s="324" t="s">
        <v>313</v>
      </c>
      <c r="D250" s="448"/>
      <c r="E250" s="399"/>
      <c r="F250" s="400"/>
      <c r="G250" s="399" t="s">
        <v>310</v>
      </c>
      <c r="H250" s="324"/>
      <c r="I250" s="401"/>
      <c r="J250" s="324" t="s">
        <v>9</v>
      </c>
      <c r="K250" s="402" t="s">
        <v>59</v>
      </c>
      <c r="L250" s="403"/>
      <c r="M250" s="404">
        <v>46233</v>
      </c>
      <c r="N250" s="404">
        <v>46248</v>
      </c>
      <c r="O250" s="404">
        <v>46248</v>
      </c>
      <c r="P250" s="404">
        <v>46248</v>
      </c>
      <c r="Q250" s="404">
        <v>46248</v>
      </c>
      <c r="R250" s="404">
        <v>46255</v>
      </c>
      <c r="S250" s="404">
        <v>46266</v>
      </c>
      <c r="T250" s="404">
        <v>46280</v>
      </c>
      <c r="U250" s="404"/>
      <c r="V250" s="404">
        <v>46287</v>
      </c>
      <c r="W250" s="404">
        <v>46289</v>
      </c>
      <c r="X250" s="404">
        <v>46304</v>
      </c>
      <c r="Y250" s="404">
        <v>46318</v>
      </c>
      <c r="Z250" s="404">
        <v>46332</v>
      </c>
      <c r="AA250" s="404">
        <v>46392</v>
      </c>
      <c r="AB250" s="404">
        <v>46392</v>
      </c>
      <c r="AC250" s="404">
        <v>46395</v>
      </c>
      <c r="AD250" s="404">
        <v>46483</v>
      </c>
      <c r="AE250" s="404">
        <v>46490</v>
      </c>
      <c r="AF250" s="404">
        <v>46497</v>
      </c>
      <c r="AG250" s="404">
        <v>46511</v>
      </c>
      <c r="AH250" s="404">
        <v>46527</v>
      </c>
      <c r="AI250" s="428">
        <v>30</v>
      </c>
      <c r="AJ250" s="406">
        <f>AI250*7</f>
        <v>210</v>
      </c>
      <c r="AK250" s="404">
        <f>V250+AJ250</f>
        <v>46497</v>
      </c>
      <c r="AL250" s="407">
        <f>AL251</f>
        <v>46536</v>
      </c>
      <c r="AM250" s="399">
        <f>AL251-AK250</f>
        <v>39</v>
      </c>
      <c r="AN250" s="408"/>
      <c r="AO250" s="409" t="s">
        <v>61</v>
      </c>
      <c r="AP250" s="410">
        <v>46543</v>
      </c>
      <c r="AQ250" s="407"/>
    </row>
    <row r="251" s="333" customFormat="1" ht="23" customHeight="1" spans="1:43">
      <c r="A251" s="396"/>
      <c r="B251" s="324" t="s">
        <v>312</v>
      </c>
      <c r="C251" s="397" t="s">
        <v>313</v>
      </c>
      <c r="D251" s="449"/>
      <c r="E251" s="399"/>
      <c r="F251" s="400" t="s">
        <v>311</v>
      </c>
      <c r="G251" s="399" t="s">
        <v>310</v>
      </c>
      <c r="H251" s="324" t="s">
        <v>72</v>
      </c>
      <c r="I251" s="324">
        <v>4</v>
      </c>
      <c r="J251" s="324" t="s">
        <v>9</v>
      </c>
      <c r="K251" s="402" t="s">
        <v>64</v>
      </c>
      <c r="L251" s="404">
        <v>46195</v>
      </c>
      <c r="M251" s="404"/>
      <c r="N251" s="404"/>
      <c r="O251" s="404"/>
      <c r="P251" s="404"/>
      <c r="Q251" s="404"/>
      <c r="R251" s="404"/>
      <c r="S251" s="404">
        <v>46304</v>
      </c>
      <c r="T251" s="404">
        <f>_xlfn.WORKDAY.INTL(S251,INDEX(T$8:T$11,MATCH($J251,$J$8:$J$11,0)),1,IF(T$18="China",'China Holidays'!$A$2:$A$82,'Thai Holidays'!$A$2:$A$63))</f>
        <v>46322</v>
      </c>
      <c r="U251" s="404"/>
      <c r="V251" s="404">
        <v>46311</v>
      </c>
      <c r="W251" s="404">
        <v>46315</v>
      </c>
      <c r="X251" s="404">
        <v>46322</v>
      </c>
      <c r="Y251" s="404">
        <v>46336</v>
      </c>
      <c r="Z251" s="411">
        <f>AB251-5</f>
        <v>46405</v>
      </c>
      <c r="AA251" s="404">
        <v>46410</v>
      </c>
      <c r="AB251" s="404">
        <v>46410</v>
      </c>
      <c r="AC251" s="404">
        <v>46413</v>
      </c>
      <c r="AD251" s="404">
        <v>46507</v>
      </c>
      <c r="AE251" s="411">
        <v>46514</v>
      </c>
      <c r="AF251" s="404">
        <v>46521</v>
      </c>
      <c r="AG251" s="404">
        <v>46535</v>
      </c>
      <c r="AH251" s="404">
        <v>46551</v>
      </c>
      <c r="AI251" s="405">
        <v>30</v>
      </c>
      <c r="AJ251" s="406">
        <v>210</v>
      </c>
      <c r="AK251" s="404">
        <f>IF(V251&lt;&gt;"",V251+AJ251,V252+AJ251)</f>
        <v>46521</v>
      </c>
      <c r="AL251" s="407">
        <f>AP250-7</f>
        <v>46536</v>
      </c>
      <c r="AM251" s="399">
        <f>AL251-AK251</f>
        <v>15</v>
      </c>
      <c r="AN251" s="408"/>
      <c r="AO251" s="409" t="s">
        <v>65</v>
      </c>
      <c r="AP251" s="410">
        <v>46548</v>
      </c>
      <c r="AQ251" s="407"/>
    </row>
    <row r="252" s="333" customFormat="1" ht="23" hidden="1" customHeight="1" spans="1:43">
      <c r="A252" s="414"/>
      <c r="B252" s="415" t="s">
        <v>312</v>
      </c>
      <c r="C252" s="447" t="s">
        <v>313</v>
      </c>
      <c r="D252" s="450"/>
      <c r="E252" s="417"/>
      <c r="F252" s="418"/>
      <c r="G252" s="417" t="s">
        <v>310</v>
      </c>
      <c r="H252" s="415" t="s">
        <v>72</v>
      </c>
      <c r="I252" s="324">
        <v>4</v>
      </c>
      <c r="J252" s="415" t="s">
        <v>9</v>
      </c>
      <c r="K252" s="419" t="s">
        <v>66</v>
      </c>
      <c r="L252" s="420"/>
      <c r="M252" s="420">
        <v>46218</v>
      </c>
      <c r="N252" s="420">
        <v>46248</v>
      </c>
      <c r="O252" s="420">
        <v>46248</v>
      </c>
      <c r="P252" s="420">
        <f>O252</f>
        <v>46248</v>
      </c>
      <c r="Q252" s="420">
        <f>P252</f>
        <v>46248</v>
      </c>
      <c r="R252" s="420">
        <v>46261</v>
      </c>
      <c r="S252" s="420"/>
      <c r="T252" s="420"/>
      <c r="U252" s="420"/>
      <c r="V252" s="417"/>
      <c r="W252" s="420"/>
      <c r="X252" s="420"/>
      <c r="Y252" s="420"/>
      <c r="Z252" s="420"/>
      <c r="AA252" s="420"/>
      <c r="AB252" s="420"/>
      <c r="AC252" s="420"/>
      <c r="AD252" s="420"/>
      <c r="AE252" s="420"/>
      <c r="AF252" s="420"/>
      <c r="AG252" s="420"/>
      <c r="AH252" s="420"/>
      <c r="AI252" s="422"/>
      <c r="AJ252" s="423"/>
      <c r="AK252" s="420"/>
      <c r="AL252" s="424"/>
      <c r="AM252" s="417"/>
      <c r="AN252" s="425"/>
      <c r="AO252" s="426"/>
      <c r="AP252" s="425"/>
      <c r="AQ252" s="424"/>
    </row>
    <row r="253" s="333" customFormat="1" ht="23" hidden="1" customHeight="1" spans="1:43">
      <c r="A253" s="396">
        <v>84</v>
      </c>
      <c r="B253" s="324" t="s">
        <v>314</v>
      </c>
      <c r="C253" s="324" t="s">
        <v>315</v>
      </c>
      <c r="D253" s="448"/>
      <c r="E253" s="399"/>
      <c r="F253" s="400"/>
      <c r="G253" s="399" t="s">
        <v>310</v>
      </c>
      <c r="H253" s="324"/>
      <c r="I253" s="401"/>
      <c r="J253" s="324" t="s">
        <v>9</v>
      </c>
      <c r="K253" s="402" t="s">
        <v>59</v>
      </c>
      <c r="L253" s="403"/>
      <c r="M253" s="404">
        <v>46233</v>
      </c>
      <c r="N253" s="404">
        <v>46248</v>
      </c>
      <c r="O253" s="404">
        <v>46248</v>
      </c>
      <c r="P253" s="404">
        <v>46248</v>
      </c>
      <c r="Q253" s="404">
        <v>46248</v>
      </c>
      <c r="R253" s="404">
        <v>46255</v>
      </c>
      <c r="S253" s="404">
        <v>46266</v>
      </c>
      <c r="T253" s="404">
        <v>46280</v>
      </c>
      <c r="U253" s="404"/>
      <c r="V253" s="404">
        <v>46287</v>
      </c>
      <c r="W253" s="404">
        <v>46289</v>
      </c>
      <c r="X253" s="404">
        <v>46304</v>
      </c>
      <c r="Y253" s="404">
        <v>46318</v>
      </c>
      <c r="Z253" s="404">
        <v>46332</v>
      </c>
      <c r="AA253" s="404">
        <f>V253+45</f>
        <v>46332</v>
      </c>
      <c r="AB253" s="404">
        <f>AA253+1</f>
        <v>46333</v>
      </c>
      <c r="AC253" s="404">
        <f>AB253+1</f>
        <v>46334</v>
      </c>
      <c r="AD253" s="404">
        <v>46333</v>
      </c>
      <c r="AE253" s="404">
        <v>46340</v>
      </c>
      <c r="AF253" s="404">
        <v>46347</v>
      </c>
      <c r="AG253" s="404">
        <v>46361</v>
      </c>
      <c r="AH253" s="404">
        <v>46377</v>
      </c>
      <c r="AI253" s="428">
        <v>8.57142857142857</v>
      </c>
      <c r="AJ253" s="406">
        <f>AI253*7</f>
        <v>60</v>
      </c>
      <c r="AK253" s="404">
        <f>V253+AJ253</f>
        <v>46347</v>
      </c>
      <c r="AL253" s="407">
        <f>AL254</f>
        <v>46561</v>
      </c>
      <c r="AM253" s="399">
        <f>AL254-AK253</f>
        <v>214</v>
      </c>
      <c r="AN253" s="408"/>
      <c r="AO253" s="409" t="s">
        <v>61</v>
      </c>
      <c r="AP253" s="410">
        <v>46568</v>
      </c>
      <c r="AQ253" s="407"/>
    </row>
    <row r="254" s="333" customFormat="1" ht="23" customHeight="1" spans="1:43">
      <c r="A254" s="396"/>
      <c r="B254" s="324" t="s">
        <v>314</v>
      </c>
      <c r="C254" s="397" t="s">
        <v>315</v>
      </c>
      <c r="D254" s="449"/>
      <c r="E254" s="399"/>
      <c r="F254" s="400" t="s">
        <v>311</v>
      </c>
      <c r="G254" s="399" t="s">
        <v>310</v>
      </c>
      <c r="H254" s="324" t="s">
        <v>72</v>
      </c>
      <c r="I254" s="324">
        <v>4</v>
      </c>
      <c r="J254" s="324" t="s">
        <v>9</v>
      </c>
      <c r="K254" s="402" t="s">
        <v>64</v>
      </c>
      <c r="L254" s="404">
        <v>46195</v>
      </c>
      <c r="M254" s="404"/>
      <c r="N254" s="404"/>
      <c r="O254" s="404"/>
      <c r="P254" s="404"/>
      <c r="Q254" s="404"/>
      <c r="R254" s="404"/>
      <c r="S254" s="404">
        <v>46297</v>
      </c>
      <c r="T254" s="404">
        <f>_xlfn.WORKDAY.INTL(S254,INDEX(T$8:T$11,MATCH($J254,$J$8:$J$11,0)),1,IF(T$18="China",'China Holidays'!$A$2:$A$82,'Thai Holidays'!$A$2:$A$63))</f>
        <v>46314</v>
      </c>
      <c r="U254" s="404"/>
      <c r="V254" s="404">
        <v>46311</v>
      </c>
      <c r="W254" s="404">
        <v>46315</v>
      </c>
      <c r="X254" s="404">
        <v>46322</v>
      </c>
      <c r="Y254" s="404">
        <v>46336</v>
      </c>
      <c r="Z254" s="404">
        <v>46350</v>
      </c>
      <c r="AA254" s="404">
        <v>46350</v>
      </c>
      <c r="AB254" s="404">
        <v>46350</v>
      </c>
      <c r="AC254" s="404">
        <v>46353</v>
      </c>
      <c r="AD254" s="404">
        <v>46357</v>
      </c>
      <c r="AE254" s="411">
        <v>46364</v>
      </c>
      <c r="AF254" s="404">
        <v>46371</v>
      </c>
      <c r="AG254" s="404">
        <v>46385</v>
      </c>
      <c r="AH254" s="404">
        <v>46401</v>
      </c>
      <c r="AI254" s="405">
        <v>8.57142857142857</v>
      </c>
      <c r="AJ254" s="406">
        <v>60</v>
      </c>
      <c r="AK254" s="404">
        <f>IF(V254&lt;&gt;"",V254+AJ254,V255+AJ254)</f>
        <v>46371</v>
      </c>
      <c r="AL254" s="407">
        <f>AP253-7</f>
        <v>46561</v>
      </c>
      <c r="AM254" s="399">
        <f>AL254-AK254</f>
        <v>190</v>
      </c>
      <c r="AN254" s="408"/>
      <c r="AO254" s="409" t="s">
        <v>65</v>
      </c>
      <c r="AP254" s="410">
        <v>46570</v>
      </c>
      <c r="AQ254" s="407"/>
    </row>
    <row r="255" s="333" customFormat="1" ht="23" hidden="1" customHeight="1" spans="1:43">
      <c r="A255" s="414"/>
      <c r="B255" s="415" t="s">
        <v>314</v>
      </c>
      <c r="C255" s="447" t="s">
        <v>315</v>
      </c>
      <c r="D255" s="450"/>
      <c r="E255" s="417"/>
      <c r="F255" s="418"/>
      <c r="G255" s="417" t="s">
        <v>310</v>
      </c>
      <c r="H255" s="415" t="s">
        <v>72</v>
      </c>
      <c r="I255" s="324">
        <v>4</v>
      </c>
      <c r="J255" s="415" t="s">
        <v>9</v>
      </c>
      <c r="K255" s="419" t="s">
        <v>66</v>
      </c>
      <c r="L255" s="420"/>
      <c r="M255" s="420">
        <v>46218</v>
      </c>
      <c r="N255" s="420">
        <v>46248</v>
      </c>
      <c r="O255" s="420">
        <v>46248</v>
      </c>
      <c r="P255" s="420">
        <f>O255</f>
        <v>46248</v>
      </c>
      <c r="Q255" s="420">
        <f>P255</f>
        <v>46248</v>
      </c>
      <c r="R255" s="420">
        <v>46269</v>
      </c>
      <c r="S255" s="420"/>
      <c r="T255" s="420"/>
      <c r="U255" s="420"/>
      <c r="V255" s="417"/>
      <c r="W255" s="420"/>
      <c r="X255" s="420"/>
      <c r="Y255" s="420"/>
      <c r="Z255" s="420"/>
      <c r="AA255" s="420"/>
      <c r="AB255" s="420"/>
      <c r="AC255" s="420"/>
      <c r="AD255" s="420"/>
      <c r="AE255" s="420"/>
      <c r="AF255" s="420"/>
      <c r="AG255" s="420"/>
      <c r="AH255" s="420"/>
      <c r="AI255" s="422"/>
      <c r="AJ255" s="423"/>
      <c r="AK255" s="420"/>
      <c r="AL255" s="424"/>
      <c r="AM255" s="417"/>
      <c r="AN255" s="425"/>
      <c r="AO255" s="426"/>
      <c r="AP255" s="425"/>
      <c r="AQ255" s="424"/>
    </row>
    <row r="256" s="333" customFormat="1" ht="23" hidden="1" customHeight="1" spans="1:43">
      <c r="A256" s="396">
        <v>85</v>
      </c>
      <c r="B256" s="324" t="s">
        <v>316</v>
      </c>
      <c r="C256" s="324" t="s">
        <v>317</v>
      </c>
      <c r="D256" s="448"/>
      <c r="E256" s="399"/>
      <c r="F256" s="400"/>
      <c r="G256" s="399" t="s">
        <v>318</v>
      </c>
      <c r="H256" s="324"/>
      <c r="I256" s="401"/>
      <c r="J256" s="324" t="s">
        <v>9</v>
      </c>
      <c r="K256" s="402" t="s">
        <v>59</v>
      </c>
      <c r="L256" s="403"/>
      <c r="M256" s="404">
        <v>46216</v>
      </c>
      <c r="N256" s="404">
        <v>46230</v>
      </c>
      <c r="O256" s="404">
        <v>46230</v>
      </c>
      <c r="P256" s="404">
        <v>46230</v>
      </c>
      <c r="Q256" s="404">
        <v>46230</v>
      </c>
      <c r="R256" s="404">
        <v>46237</v>
      </c>
      <c r="S256" s="404">
        <v>46247</v>
      </c>
      <c r="T256" s="404">
        <v>46261</v>
      </c>
      <c r="U256" s="404"/>
      <c r="V256" s="404">
        <v>46268</v>
      </c>
      <c r="W256" s="404">
        <v>46272</v>
      </c>
      <c r="X256" s="404">
        <v>46279</v>
      </c>
      <c r="Y256" s="404">
        <v>46294</v>
      </c>
      <c r="Z256" s="404">
        <v>46309</v>
      </c>
      <c r="AA256" s="404">
        <v>46339</v>
      </c>
      <c r="AB256" s="404">
        <v>46339</v>
      </c>
      <c r="AC256" s="404">
        <v>46341</v>
      </c>
      <c r="AD256" s="404">
        <v>46344</v>
      </c>
      <c r="AE256" s="404">
        <v>46351</v>
      </c>
      <c r="AF256" s="404">
        <v>46358</v>
      </c>
      <c r="AG256" s="404">
        <v>46372</v>
      </c>
      <c r="AH256" s="404">
        <v>46388</v>
      </c>
      <c r="AI256" s="428">
        <v>12.8571428571429</v>
      </c>
      <c r="AJ256" s="406">
        <f>AI256*7</f>
        <v>90.0000000000003</v>
      </c>
      <c r="AK256" s="404">
        <f>V256+AJ256</f>
        <v>46358</v>
      </c>
      <c r="AL256" s="407">
        <f>AL257</f>
        <v>46426</v>
      </c>
      <c r="AM256" s="399">
        <f>AL257-AK256</f>
        <v>68</v>
      </c>
      <c r="AN256" s="408"/>
      <c r="AO256" s="409" t="s">
        <v>61</v>
      </c>
      <c r="AP256" s="410">
        <v>46433</v>
      </c>
      <c r="AQ256" s="407"/>
    </row>
    <row r="257" s="333" customFormat="1" ht="23" customHeight="1" spans="1:43">
      <c r="A257" s="396"/>
      <c r="B257" s="324" t="s">
        <v>316</v>
      </c>
      <c r="C257" s="397" t="s">
        <v>317</v>
      </c>
      <c r="D257" s="449"/>
      <c r="E257" s="399"/>
      <c r="F257" s="400" t="s">
        <v>319</v>
      </c>
      <c r="G257" s="399" t="s">
        <v>318</v>
      </c>
      <c r="H257" s="324" t="s">
        <v>72</v>
      </c>
      <c r="I257" s="324">
        <v>3</v>
      </c>
      <c r="J257" s="324" t="s">
        <v>9</v>
      </c>
      <c r="K257" s="402" t="s">
        <v>64</v>
      </c>
      <c r="L257" s="404">
        <v>46188</v>
      </c>
      <c r="M257" s="404"/>
      <c r="N257" s="404"/>
      <c r="O257" s="404"/>
      <c r="P257" s="404"/>
      <c r="Q257" s="404"/>
      <c r="R257" s="404"/>
      <c r="S257" s="404"/>
      <c r="T257" s="404"/>
      <c r="U257" s="404"/>
      <c r="V257" s="404"/>
      <c r="W257" s="404">
        <v>46315</v>
      </c>
      <c r="X257" s="404">
        <v>46322</v>
      </c>
      <c r="Y257" s="404">
        <v>46336</v>
      </c>
      <c r="Z257" s="411">
        <v>46350</v>
      </c>
      <c r="AA257" s="404">
        <v>46380</v>
      </c>
      <c r="AB257" s="404">
        <v>46380</v>
      </c>
      <c r="AC257" s="404">
        <v>46382</v>
      </c>
      <c r="AD257" s="404">
        <v>46387</v>
      </c>
      <c r="AE257" s="411">
        <v>46394</v>
      </c>
      <c r="AF257" s="404">
        <v>46401</v>
      </c>
      <c r="AG257" s="404">
        <v>46415</v>
      </c>
      <c r="AH257" s="404">
        <v>46431</v>
      </c>
      <c r="AI257" s="405">
        <v>12.8571428571429</v>
      </c>
      <c r="AJ257" s="406">
        <v>90.0000000000003</v>
      </c>
      <c r="AK257" s="404">
        <f>IF(V257&lt;&gt;"",V257+AJ257,V258+AJ257)</f>
        <v>46379</v>
      </c>
      <c r="AL257" s="407">
        <f>AP256-7</f>
        <v>46426</v>
      </c>
      <c r="AM257" s="399">
        <f>AL257-AK257</f>
        <v>47</v>
      </c>
      <c r="AN257" s="408"/>
      <c r="AO257" s="409" t="s">
        <v>65</v>
      </c>
      <c r="AP257" s="410">
        <v>46451</v>
      </c>
      <c r="AQ257" s="407"/>
    </row>
    <row r="258" s="333" customFormat="1" ht="23" hidden="1" customHeight="1" spans="1:43">
      <c r="A258" s="414"/>
      <c r="B258" s="415" t="s">
        <v>316</v>
      </c>
      <c r="C258" s="447" t="s">
        <v>317</v>
      </c>
      <c r="D258" s="450"/>
      <c r="E258" s="417"/>
      <c r="F258" s="418"/>
      <c r="G258" s="417" t="s">
        <v>318</v>
      </c>
      <c r="H258" s="415" t="s">
        <v>72</v>
      </c>
      <c r="I258" s="324">
        <v>3</v>
      </c>
      <c r="J258" s="415" t="s">
        <v>9</v>
      </c>
      <c r="K258" s="419" t="s">
        <v>66</v>
      </c>
      <c r="L258" s="420"/>
      <c r="M258" s="420">
        <v>46210</v>
      </c>
      <c r="N258" s="420">
        <v>46220</v>
      </c>
      <c r="O258" s="420">
        <v>46220</v>
      </c>
      <c r="P258" s="420">
        <f>O258</f>
        <v>46220</v>
      </c>
      <c r="Q258" s="420">
        <f t="shared" ref="Q258" si="8">IF(Q$207&lt;&gt;"",Q$207,"")</f>
        <v>46230</v>
      </c>
      <c r="R258" s="420">
        <v>46277</v>
      </c>
      <c r="S258" s="420">
        <v>46281</v>
      </c>
      <c r="T258" s="420">
        <v>46289</v>
      </c>
      <c r="U258" s="420">
        <v>46289</v>
      </c>
      <c r="V258" s="420">
        <v>46289</v>
      </c>
      <c r="W258" s="420"/>
      <c r="X258" s="420"/>
      <c r="Y258" s="420"/>
      <c r="Z258" s="420"/>
      <c r="AA258" s="420"/>
      <c r="AB258" s="420"/>
      <c r="AC258" s="420"/>
      <c r="AD258" s="420"/>
      <c r="AE258" s="420"/>
      <c r="AF258" s="420"/>
      <c r="AG258" s="420"/>
      <c r="AH258" s="420"/>
      <c r="AI258" s="422"/>
      <c r="AJ258" s="423"/>
      <c r="AK258" s="420"/>
      <c r="AL258" s="424"/>
      <c r="AM258" s="417"/>
      <c r="AN258" s="425"/>
      <c r="AO258" s="426"/>
      <c r="AP258" s="425"/>
      <c r="AQ258" s="424"/>
    </row>
    <row r="259" s="333" customFormat="1" ht="23" hidden="1" customHeight="1" spans="1:43">
      <c r="A259" s="396">
        <v>86</v>
      </c>
      <c r="B259" s="324" t="s">
        <v>320</v>
      </c>
      <c r="C259" s="324" t="s">
        <v>321</v>
      </c>
      <c r="D259" s="448"/>
      <c r="E259" s="399"/>
      <c r="F259" s="400"/>
      <c r="G259" s="399" t="s">
        <v>318</v>
      </c>
      <c r="H259" s="324"/>
      <c r="I259" s="401"/>
      <c r="J259" s="324" t="s">
        <v>9</v>
      </c>
      <c r="K259" s="402" t="s">
        <v>59</v>
      </c>
      <c r="L259" s="403"/>
      <c r="M259" s="404">
        <v>46216</v>
      </c>
      <c r="N259" s="404">
        <v>46230</v>
      </c>
      <c r="O259" s="404">
        <v>46230</v>
      </c>
      <c r="P259" s="404">
        <v>46230</v>
      </c>
      <c r="Q259" s="404">
        <v>46230</v>
      </c>
      <c r="R259" s="404">
        <v>46237</v>
      </c>
      <c r="S259" s="404">
        <v>46247</v>
      </c>
      <c r="T259" s="404">
        <v>46261</v>
      </c>
      <c r="U259" s="404"/>
      <c r="V259" s="404">
        <v>46268</v>
      </c>
      <c r="W259" s="404">
        <v>46272</v>
      </c>
      <c r="X259" s="404">
        <v>46279</v>
      </c>
      <c r="Y259" s="404">
        <v>46294</v>
      </c>
      <c r="Z259" s="404">
        <v>46309</v>
      </c>
      <c r="AA259" s="404">
        <v>46339</v>
      </c>
      <c r="AB259" s="404">
        <v>46339</v>
      </c>
      <c r="AC259" s="404">
        <v>46341</v>
      </c>
      <c r="AD259" s="404">
        <v>46344</v>
      </c>
      <c r="AE259" s="404">
        <v>46351</v>
      </c>
      <c r="AF259" s="404">
        <v>46358</v>
      </c>
      <c r="AG259" s="404">
        <v>46372</v>
      </c>
      <c r="AH259" s="404">
        <v>46388</v>
      </c>
      <c r="AI259" s="428">
        <v>12.8571428571429</v>
      </c>
      <c r="AJ259" s="406">
        <f>AI259*7</f>
        <v>90.0000000000003</v>
      </c>
      <c r="AK259" s="404">
        <f>V259+AJ259</f>
        <v>46358</v>
      </c>
      <c r="AL259" s="407">
        <f>AL260</f>
        <v>46426</v>
      </c>
      <c r="AM259" s="399">
        <f>AL260-AK259</f>
        <v>68</v>
      </c>
      <c r="AN259" s="408"/>
      <c r="AO259" s="409" t="s">
        <v>61</v>
      </c>
      <c r="AP259" s="410">
        <v>46433</v>
      </c>
      <c r="AQ259" s="407"/>
    </row>
    <row r="260" s="333" customFormat="1" ht="23" customHeight="1" spans="1:43">
      <c r="A260" s="396"/>
      <c r="B260" s="324" t="s">
        <v>320</v>
      </c>
      <c r="C260" s="397" t="s">
        <v>321</v>
      </c>
      <c r="D260" s="449"/>
      <c r="E260" s="399"/>
      <c r="F260" s="400" t="s">
        <v>319</v>
      </c>
      <c r="G260" s="399" t="s">
        <v>318</v>
      </c>
      <c r="H260" s="324" t="s">
        <v>63</v>
      </c>
      <c r="I260" s="324">
        <v>2</v>
      </c>
      <c r="J260" s="324" t="s">
        <v>9</v>
      </c>
      <c r="K260" s="402" t="s">
        <v>64</v>
      </c>
      <c r="L260" s="404">
        <v>46198</v>
      </c>
      <c r="M260" s="404"/>
      <c r="N260" s="404"/>
      <c r="O260" s="404"/>
      <c r="P260" s="404"/>
      <c r="Q260" s="404"/>
      <c r="R260" s="404"/>
      <c r="S260" s="404"/>
      <c r="T260" s="404">
        <v>46304</v>
      </c>
      <c r="U260" s="404"/>
      <c r="V260" s="404">
        <v>46308</v>
      </c>
      <c r="W260" s="404">
        <v>46310</v>
      </c>
      <c r="X260" s="404">
        <v>46317</v>
      </c>
      <c r="Y260" s="404">
        <v>46331</v>
      </c>
      <c r="Z260" s="404">
        <v>46345</v>
      </c>
      <c r="AA260" s="404">
        <v>46375</v>
      </c>
      <c r="AB260" s="404">
        <v>46375</v>
      </c>
      <c r="AC260" s="404">
        <v>46377</v>
      </c>
      <c r="AD260" s="404">
        <v>46384</v>
      </c>
      <c r="AE260" s="411">
        <v>46391</v>
      </c>
      <c r="AF260" s="404">
        <v>46398</v>
      </c>
      <c r="AG260" s="404">
        <v>46412</v>
      </c>
      <c r="AH260" s="404">
        <v>46428</v>
      </c>
      <c r="AI260" s="405">
        <v>26</v>
      </c>
      <c r="AJ260" s="406">
        <v>90.0000000000003</v>
      </c>
      <c r="AK260" s="404">
        <f>IF(V260&lt;&gt;"",V260+AJ260,V261+AJ260)</f>
        <v>46398</v>
      </c>
      <c r="AL260" s="407">
        <f>AP259-7</f>
        <v>46426</v>
      </c>
      <c r="AM260" s="399">
        <f>AL260-AK260</f>
        <v>28</v>
      </c>
      <c r="AN260" s="408"/>
      <c r="AO260" s="409" t="s">
        <v>65</v>
      </c>
      <c r="AP260" s="410">
        <v>46451</v>
      </c>
      <c r="AQ260" s="407"/>
    </row>
    <row r="261" s="333" customFormat="1" ht="23" hidden="1" customHeight="1" spans="1:43">
      <c r="A261" s="414"/>
      <c r="B261" s="415" t="s">
        <v>320</v>
      </c>
      <c r="C261" s="447" t="s">
        <v>321</v>
      </c>
      <c r="D261" s="450"/>
      <c r="E261" s="417"/>
      <c r="F261" s="418"/>
      <c r="G261" s="417" t="s">
        <v>318</v>
      </c>
      <c r="H261" s="415" t="s">
        <v>63</v>
      </c>
      <c r="I261" s="324">
        <v>2</v>
      </c>
      <c r="J261" s="415" t="s">
        <v>9</v>
      </c>
      <c r="K261" s="419" t="s">
        <v>66</v>
      </c>
      <c r="L261" s="420"/>
      <c r="M261" s="420">
        <v>46210</v>
      </c>
      <c r="N261" s="420">
        <v>46222</v>
      </c>
      <c r="O261" s="420">
        <v>46222</v>
      </c>
      <c r="P261" s="420">
        <f>O261</f>
        <v>46222</v>
      </c>
      <c r="Q261" s="420">
        <f t="shared" ref="Q261" si="9">IF(Q$207&lt;&gt;"",Q$207,"")</f>
        <v>46230</v>
      </c>
      <c r="R261" s="420">
        <v>46244</v>
      </c>
      <c r="S261" s="420">
        <v>46288</v>
      </c>
      <c r="T261" s="420"/>
      <c r="U261" s="420"/>
      <c r="V261" s="417"/>
      <c r="W261" s="420"/>
      <c r="X261" s="420"/>
      <c r="Y261" s="420"/>
      <c r="Z261" s="420"/>
      <c r="AA261" s="420"/>
      <c r="AB261" s="420"/>
      <c r="AC261" s="420"/>
      <c r="AD261" s="420"/>
      <c r="AE261" s="420"/>
      <c r="AF261" s="420"/>
      <c r="AG261" s="420"/>
      <c r="AH261" s="420"/>
      <c r="AI261" s="422"/>
      <c r="AJ261" s="423"/>
      <c r="AK261" s="420"/>
      <c r="AL261" s="424"/>
      <c r="AM261" s="417"/>
      <c r="AN261" s="425"/>
      <c r="AO261" s="426"/>
      <c r="AP261" s="425"/>
      <c r="AQ261" s="424"/>
    </row>
    <row r="262" s="333" customFormat="1" ht="23" hidden="1" customHeight="1" spans="1:43">
      <c r="A262" s="396">
        <v>87</v>
      </c>
      <c r="B262" s="324" t="s">
        <v>322</v>
      </c>
      <c r="C262" s="324" t="s">
        <v>323</v>
      </c>
      <c r="D262" s="448"/>
      <c r="E262" s="399"/>
      <c r="F262" s="400"/>
      <c r="G262" s="399" t="s">
        <v>318</v>
      </c>
      <c r="H262" s="324"/>
      <c r="I262" s="401"/>
      <c r="J262" s="324" t="s">
        <v>9</v>
      </c>
      <c r="K262" s="402" t="s">
        <v>59</v>
      </c>
      <c r="L262" s="403"/>
      <c r="M262" s="404">
        <v>46216</v>
      </c>
      <c r="N262" s="404">
        <v>46230</v>
      </c>
      <c r="O262" s="404">
        <v>46230</v>
      </c>
      <c r="P262" s="404">
        <v>46230</v>
      </c>
      <c r="Q262" s="404">
        <v>46230</v>
      </c>
      <c r="R262" s="404">
        <v>46237</v>
      </c>
      <c r="S262" s="404">
        <v>46247</v>
      </c>
      <c r="T262" s="404">
        <v>46261</v>
      </c>
      <c r="U262" s="404"/>
      <c r="V262" s="404">
        <v>46268</v>
      </c>
      <c r="W262" s="404">
        <v>46272</v>
      </c>
      <c r="X262" s="404">
        <v>46279</v>
      </c>
      <c r="Y262" s="404">
        <v>46294</v>
      </c>
      <c r="Z262" s="404">
        <v>46309</v>
      </c>
      <c r="AA262" s="404">
        <v>46339</v>
      </c>
      <c r="AB262" s="404">
        <v>46339</v>
      </c>
      <c r="AC262" s="404">
        <v>46341</v>
      </c>
      <c r="AD262" s="404">
        <v>46344</v>
      </c>
      <c r="AE262" s="404">
        <v>46351</v>
      </c>
      <c r="AF262" s="404">
        <v>46358</v>
      </c>
      <c r="AG262" s="404">
        <v>46372</v>
      </c>
      <c r="AH262" s="404">
        <v>46388</v>
      </c>
      <c r="AI262" s="428">
        <v>12.8571428571429</v>
      </c>
      <c r="AJ262" s="406">
        <f>AI262*7</f>
        <v>90.0000000000003</v>
      </c>
      <c r="AK262" s="404">
        <f>V262+AJ262</f>
        <v>46358</v>
      </c>
      <c r="AL262" s="407">
        <f>AL263</f>
        <v>46426</v>
      </c>
      <c r="AM262" s="399">
        <f>AL263-AK262</f>
        <v>68</v>
      </c>
      <c r="AN262" s="408"/>
      <c r="AO262" s="409" t="s">
        <v>61</v>
      </c>
      <c r="AP262" s="410">
        <v>46433</v>
      </c>
      <c r="AQ262" s="407"/>
    </row>
    <row r="263" s="333" customFormat="1" ht="23" customHeight="1" spans="1:43">
      <c r="A263" s="396"/>
      <c r="B263" s="324" t="s">
        <v>322</v>
      </c>
      <c r="C263" s="397" t="s">
        <v>323</v>
      </c>
      <c r="D263" s="449"/>
      <c r="E263" s="399"/>
      <c r="F263" s="400" t="s">
        <v>319</v>
      </c>
      <c r="G263" s="399" t="s">
        <v>318</v>
      </c>
      <c r="H263" s="324" t="s">
        <v>72</v>
      </c>
      <c r="I263" s="324">
        <v>2</v>
      </c>
      <c r="J263" s="324" t="s">
        <v>9</v>
      </c>
      <c r="K263" s="402" t="s">
        <v>64</v>
      </c>
      <c r="L263" s="404">
        <v>46198</v>
      </c>
      <c r="M263" s="404"/>
      <c r="N263" s="404"/>
      <c r="O263" s="404"/>
      <c r="P263" s="404"/>
      <c r="Q263" s="404"/>
      <c r="R263" s="404"/>
      <c r="S263" s="404"/>
      <c r="T263" s="404">
        <f>_xlfn.WORKDAY.INTL(S264,INDEX(T$8:T$11,MATCH($J263,$J$8:$J$11,0)),1,IF(T$18="China",'China Holidays'!$A$2:$A$82,'Thai Holidays'!$A$2:$A$63))</f>
        <v>46295</v>
      </c>
      <c r="U263" s="404"/>
      <c r="V263" s="404">
        <v>46308</v>
      </c>
      <c r="W263" s="404">
        <v>46310</v>
      </c>
      <c r="X263" s="404">
        <v>46317</v>
      </c>
      <c r="Y263" s="404">
        <v>46331</v>
      </c>
      <c r="Z263" s="411">
        <f>AB263-5</f>
        <v>46370</v>
      </c>
      <c r="AA263" s="404">
        <v>46375</v>
      </c>
      <c r="AB263" s="404">
        <v>46375</v>
      </c>
      <c r="AC263" s="404">
        <v>46377</v>
      </c>
      <c r="AD263" s="404">
        <v>46384</v>
      </c>
      <c r="AE263" s="411">
        <v>46391</v>
      </c>
      <c r="AF263" s="404">
        <v>46398</v>
      </c>
      <c r="AG263" s="404">
        <v>46412</v>
      </c>
      <c r="AH263" s="404">
        <v>46428</v>
      </c>
      <c r="AI263" s="405">
        <v>26</v>
      </c>
      <c r="AJ263" s="406">
        <v>90.0000000000003</v>
      </c>
      <c r="AK263" s="404">
        <f>IF(V263&lt;&gt;"",V263+AJ263,V264+AJ263)</f>
        <v>46398</v>
      </c>
      <c r="AL263" s="407">
        <f>AP262-7</f>
        <v>46426</v>
      </c>
      <c r="AM263" s="399">
        <f>AL263-AK263</f>
        <v>28</v>
      </c>
      <c r="AN263" s="408"/>
      <c r="AO263" s="409" t="s">
        <v>65</v>
      </c>
      <c r="AP263" s="410">
        <v>46451</v>
      </c>
      <c r="AQ263" s="407"/>
    </row>
    <row r="264" s="333" customFormat="1" ht="23" hidden="1" customHeight="1" spans="1:43">
      <c r="A264" s="414"/>
      <c r="B264" s="415" t="s">
        <v>322</v>
      </c>
      <c r="C264" s="447" t="s">
        <v>323</v>
      </c>
      <c r="D264" s="450"/>
      <c r="E264" s="417"/>
      <c r="F264" s="504"/>
      <c r="G264" s="417" t="s">
        <v>318</v>
      </c>
      <c r="H264" s="415" t="s">
        <v>72</v>
      </c>
      <c r="I264" s="324">
        <v>2</v>
      </c>
      <c r="J264" s="415" t="s">
        <v>9</v>
      </c>
      <c r="K264" s="419" t="s">
        <v>66</v>
      </c>
      <c r="L264" s="420"/>
      <c r="M264" s="420">
        <v>46210</v>
      </c>
      <c r="N264" s="420">
        <v>46222</v>
      </c>
      <c r="O264" s="420">
        <v>46222</v>
      </c>
      <c r="P264" s="420">
        <f>O264</f>
        <v>46222</v>
      </c>
      <c r="Q264" s="420">
        <f t="shared" ref="Q264" si="10">IF(Q$207&lt;&gt;"",Q$207,"")</f>
        <v>46230</v>
      </c>
      <c r="R264" s="420">
        <v>46244</v>
      </c>
      <c r="S264" s="420">
        <v>46281</v>
      </c>
      <c r="T264" s="421">
        <v>46293</v>
      </c>
      <c r="U264" s="420"/>
      <c r="V264" s="417"/>
      <c r="W264" s="420"/>
      <c r="X264" s="420"/>
      <c r="Y264" s="420"/>
      <c r="Z264" s="420"/>
      <c r="AA264" s="420"/>
      <c r="AB264" s="420"/>
      <c r="AC264" s="420"/>
      <c r="AD264" s="420"/>
      <c r="AE264" s="420"/>
      <c r="AF264" s="420"/>
      <c r="AG264" s="420"/>
      <c r="AH264" s="420"/>
      <c r="AI264" s="422"/>
      <c r="AJ264" s="423"/>
      <c r="AK264" s="420"/>
      <c r="AL264" s="424"/>
      <c r="AM264" s="417"/>
      <c r="AN264" s="425"/>
      <c r="AO264" s="426"/>
      <c r="AP264" s="425"/>
      <c r="AQ264" s="424"/>
    </row>
    <row r="265" s="333" customFormat="1" ht="23" hidden="1" customHeight="1" spans="1:43">
      <c r="A265" s="396">
        <v>88</v>
      </c>
      <c r="B265" s="324" t="s">
        <v>324</v>
      </c>
      <c r="C265" s="324" t="s">
        <v>325</v>
      </c>
      <c r="D265" s="448"/>
      <c r="E265" s="399"/>
      <c r="F265" s="400"/>
      <c r="G265" s="399" t="s">
        <v>318</v>
      </c>
      <c r="H265" s="324"/>
      <c r="I265" s="401"/>
      <c r="J265" s="324" t="s">
        <v>9</v>
      </c>
      <c r="K265" s="402" t="s">
        <v>59</v>
      </c>
      <c r="L265" s="403"/>
      <c r="M265" s="404">
        <v>46216</v>
      </c>
      <c r="N265" s="404">
        <v>46230</v>
      </c>
      <c r="O265" s="404">
        <v>46230</v>
      </c>
      <c r="P265" s="404">
        <v>46230</v>
      </c>
      <c r="Q265" s="404">
        <v>46230</v>
      </c>
      <c r="R265" s="404">
        <v>46237</v>
      </c>
      <c r="S265" s="404">
        <v>46247</v>
      </c>
      <c r="T265" s="404">
        <v>46261</v>
      </c>
      <c r="U265" s="404"/>
      <c r="V265" s="404">
        <v>46268</v>
      </c>
      <c r="W265" s="404">
        <v>46272</v>
      </c>
      <c r="X265" s="404">
        <v>46279</v>
      </c>
      <c r="Y265" s="404">
        <v>46294</v>
      </c>
      <c r="Z265" s="404">
        <v>46309</v>
      </c>
      <c r="AA265" s="404">
        <v>46339</v>
      </c>
      <c r="AB265" s="404">
        <v>46339</v>
      </c>
      <c r="AC265" s="404">
        <v>46341</v>
      </c>
      <c r="AD265" s="404">
        <v>46344</v>
      </c>
      <c r="AE265" s="404">
        <v>46351</v>
      </c>
      <c r="AF265" s="404">
        <v>46388</v>
      </c>
      <c r="AG265" s="404">
        <v>46402</v>
      </c>
      <c r="AH265" s="404">
        <v>46418</v>
      </c>
      <c r="AI265" s="428">
        <v>17.1428571428571</v>
      </c>
      <c r="AJ265" s="406">
        <f>AI265*7</f>
        <v>120</v>
      </c>
      <c r="AK265" s="404">
        <f>V265+AJ265</f>
        <v>46388</v>
      </c>
      <c r="AL265" s="407">
        <f>AL266</f>
        <v>46430</v>
      </c>
      <c r="AM265" s="399">
        <f>AL266-AK265</f>
        <v>42</v>
      </c>
      <c r="AN265" s="408"/>
      <c r="AO265" s="409" t="s">
        <v>61</v>
      </c>
      <c r="AP265" s="410">
        <v>46433</v>
      </c>
      <c r="AQ265" s="407"/>
    </row>
    <row r="266" s="333" customFormat="1" ht="23" customHeight="1" spans="1:43">
      <c r="A266" s="396"/>
      <c r="B266" s="324" t="s">
        <v>324</v>
      </c>
      <c r="C266" s="397" t="s">
        <v>325</v>
      </c>
      <c r="D266" s="449"/>
      <c r="E266" s="399"/>
      <c r="F266" s="400" t="s">
        <v>319</v>
      </c>
      <c r="G266" s="399" t="s">
        <v>318</v>
      </c>
      <c r="H266" s="324" t="s">
        <v>72</v>
      </c>
      <c r="I266" s="324">
        <v>2</v>
      </c>
      <c r="J266" s="324" t="s">
        <v>9</v>
      </c>
      <c r="K266" s="402" t="s">
        <v>64</v>
      </c>
      <c r="L266" s="404">
        <v>46198</v>
      </c>
      <c r="M266" s="404"/>
      <c r="N266" s="404"/>
      <c r="O266" s="404"/>
      <c r="P266" s="404"/>
      <c r="Q266" s="404"/>
      <c r="R266" s="404"/>
      <c r="S266" s="404"/>
      <c r="T266" s="404">
        <v>46304</v>
      </c>
      <c r="U266" s="404"/>
      <c r="V266" s="404">
        <v>46308</v>
      </c>
      <c r="W266" s="404">
        <v>46310</v>
      </c>
      <c r="X266" s="404">
        <v>46317</v>
      </c>
      <c r="Y266" s="404">
        <v>46331</v>
      </c>
      <c r="Z266" s="411">
        <f>AB266-5</f>
        <v>46370</v>
      </c>
      <c r="AA266" s="404">
        <v>46375</v>
      </c>
      <c r="AB266" s="404">
        <v>46375</v>
      </c>
      <c r="AC266" s="404">
        <v>46377</v>
      </c>
      <c r="AD266" s="404">
        <v>46414</v>
      </c>
      <c r="AE266" s="411">
        <v>46421</v>
      </c>
      <c r="AF266" s="404">
        <v>46428</v>
      </c>
      <c r="AG266" s="404">
        <v>46442</v>
      </c>
      <c r="AH266" s="404">
        <v>46458</v>
      </c>
      <c r="AI266" s="405">
        <v>26</v>
      </c>
      <c r="AJ266" s="406">
        <v>120</v>
      </c>
      <c r="AK266" s="404">
        <f>IF(V266&lt;&gt;"",V266+AJ266,V267+AJ266)</f>
        <v>46428</v>
      </c>
      <c r="AL266" s="407">
        <f>AP265-3</f>
        <v>46430</v>
      </c>
      <c r="AM266" s="399">
        <f>AL266-AK266</f>
        <v>2</v>
      </c>
      <c r="AN266" s="408"/>
      <c r="AO266" s="409" t="s">
        <v>65</v>
      </c>
      <c r="AP266" s="410">
        <v>46451</v>
      </c>
      <c r="AQ266" s="407"/>
    </row>
    <row r="267" s="333" customFormat="1" ht="23" hidden="1" customHeight="1" spans="1:43">
      <c r="A267" s="414"/>
      <c r="B267" s="415" t="s">
        <v>324</v>
      </c>
      <c r="C267" s="447" t="s">
        <v>325</v>
      </c>
      <c r="D267" s="450"/>
      <c r="E267" s="417"/>
      <c r="F267" s="418"/>
      <c r="G267" s="417" t="s">
        <v>318</v>
      </c>
      <c r="H267" s="415" t="s">
        <v>72</v>
      </c>
      <c r="I267" s="324">
        <v>2</v>
      </c>
      <c r="J267" s="415" t="s">
        <v>9</v>
      </c>
      <c r="K267" s="419" t="s">
        <v>66</v>
      </c>
      <c r="L267" s="420"/>
      <c r="M267" s="420">
        <v>46210</v>
      </c>
      <c r="N267" s="420">
        <v>46222</v>
      </c>
      <c r="O267" s="420">
        <v>46222</v>
      </c>
      <c r="P267" s="420">
        <f>O267</f>
        <v>46222</v>
      </c>
      <c r="Q267" s="420">
        <f t="shared" ref="Q267" si="11">IF(Q$207&lt;&gt;"",Q$207,"")</f>
        <v>46230</v>
      </c>
      <c r="R267" s="420">
        <v>46244</v>
      </c>
      <c r="S267" s="420">
        <v>46288</v>
      </c>
      <c r="T267" s="420"/>
      <c r="U267" s="420"/>
      <c r="V267" s="417"/>
      <c r="W267" s="420"/>
      <c r="X267" s="420"/>
      <c r="Y267" s="420"/>
      <c r="Z267" s="420"/>
      <c r="AA267" s="420"/>
      <c r="AB267" s="420"/>
      <c r="AC267" s="420"/>
      <c r="AD267" s="420"/>
      <c r="AE267" s="420"/>
      <c r="AF267" s="420"/>
      <c r="AG267" s="420"/>
      <c r="AH267" s="420"/>
      <c r="AI267" s="422"/>
      <c r="AJ267" s="423"/>
      <c r="AK267" s="420"/>
      <c r="AL267" s="424"/>
      <c r="AM267" s="417"/>
      <c r="AN267" s="425"/>
      <c r="AO267" s="426"/>
      <c r="AP267" s="418"/>
      <c r="AQ267" s="424"/>
    </row>
    <row r="268" s="333" customFormat="1" ht="23" hidden="1" customHeight="1" spans="1:43">
      <c r="A268" s="396">
        <v>89</v>
      </c>
      <c r="B268" s="324" t="s">
        <v>326</v>
      </c>
      <c r="C268" s="324" t="s">
        <v>327</v>
      </c>
      <c r="D268" s="448"/>
      <c r="E268" s="399"/>
      <c r="F268" s="400"/>
      <c r="G268" s="399" t="s">
        <v>206</v>
      </c>
      <c r="H268" s="324"/>
      <c r="I268" s="401"/>
      <c r="J268" s="324" t="s">
        <v>9</v>
      </c>
      <c r="K268" s="402" t="s">
        <v>59</v>
      </c>
      <c r="L268" s="403"/>
      <c r="M268" s="404">
        <v>46274</v>
      </c>
      <c r="N268" s="404">
        <v>46288</v>
      </c>
      <c r="O268" s="404">
        <v>46288</v>
      </c>
      <c r="P268" s="404">
        <v>46288</v>
      </c>
      <c r="Q268" s="404">
        <v>46288</v>
      </c>
      <c r="R268" s="404">
        <v>46303</v>
      </c>
      <c r="S268" s="404">
        <v>46315</v>
      </c>
      <c r="T268" s="404">
        <v>46330</v>
      </c>
      <c r="U268" s="404"/>
      <c r="V268" s="404">
        <v>46337</v>
      </c>
      <c r="W268" s="404">
        <v>46339</v>
      </c>
      <c r="X268" s="404">
        <v>46346</v>
      </c>
      <c r="Y268" s="404">
        <v>46360</v>
      </c>
      <c r="Z268" s="404">
        <v>46377</v>
      </c>
      <c r="AA268" s="404">
        <v>46387</v>
      </c>
      <c r="AB268" s="404">
        <v>46387</v>
      </c>
      <c r="AC268" s="404">
        <v>46389</v>
      </c>
      <c r="AD268" s="404">
        <v>46423</v>
      </c>
      <c r="AE268" s="404">
        <v>46430</v>
      </c>
      <c r="AF268" s="404">
        <v>46437</v>
      </c>
      <c r="AG268" s="404">
        <v>46451</v>
      </c>
      <c r="AH268" s="404">
        <v>46467</v>
      </c>
      <c r="AI268" s="428">
        <v>14.2857142857143</v>
      </c>
      <c r="AJ268" s="406">
        <f>AI268*7</f>
        <v>100</v>
      </c>
      <c r="AK268" s="404">
        <f>V268+AJ268</f>
        <v>46437</v>
      </c>
      <c r="AL268" s="407">
        <f>AL269</f>
        <v>46434</v>
      </c>
      <c r="AM268" s="399">
        <f>AL269-AK268</f>
        <v>-3</v>
      </c>
      <c r="AN268" s="408"/>
      <c r="AO268" s="409" t="s">
        <v>61</v>
      </c>
      <c r="AP268" s="410">
        <v>46441</v>
      </c>
      <c r="AQ268" s="407"/>
    </row>
    <row r="269" s="333" customFormat="1" ht="23" customHeight="1" spans="1:43">
      <c r="A269" s="396"/>
      <c r="B269" s="324" t="s">
        <v>326</v>
      </c>
      <c r="C269" s="397" t="s">
        <v>327</v>
      </c>
      <c r="D269" s="449"/>
      <c r="E269" s="399"/>
      <c r="F269" s="400" t="s">
        <v>328</v>
      </c>
      <c r="G269" s="399" t="s">
        <v>206</v>
      </c>
      <c r="H269" s="324" t="s">
        <v>72</v>
      </c>
      <c r="I269" s="324">
        <v>3</v>
      </c>
      <c r="J269" s="324" t="s">
        <v>9</v>
      </c>
      <c r="K269" s="402" t="s">
        <v>64</v>
      </c>
      <c r="L269" s="404">
        <v>46261</v>
      </c>
      <c r="M269" s="404"/>
      <c r="N269" s="404"/>
      <c r="O269" s="404"/>
      <c r="P269" s="404"/>
      <c r="Q269" s="404"/>
      <c r="R269" s="404">
        <f>Q270+3</f>
        <v>46233</v>
      </c>
      <c r="S269" s="404">
        <v>46295</v>
      </c>
      <c r="T269" s="404">
        <f>_xlfn.WORKDAY.INTL(S269,INDEX(T$8:T$11,MATCH($J269,$J$8:$J$11,0)),1,IF(T$18="China",'China Holidays'!$A$2:$A$82,'Thai Holidays'!$A$2:$A$63))</f>
        <v>46310</v>
      </c>
      <c r="U269" s="404"/>
      <c r="V269" s="404">
        <v>46317</v>
      </c>
      <c r="W269" s="404">
        <v>46321</v>
      </c>
      <c r="X269" s="404">
        <v>46328</v>
      </c>
      <c r="Y269" s="404">
        <v>46342</v>
      </c>
      <c r="Z269" s="411">
        <f>AB269-5</f>
        <v>46361</v>
      </c>
      <c r="AA269" s="404">
        <v>46366</v>
      </c>
      <c r="AB269" s="404">
        <v>46366</v>
      </c>
      <c r="AC269" s="404">
        <v>46368</v>
      </c>
      <c r="AD269" s="404">
        <v>46403</v>
      </c>
      <c r="AE269" s="411">
        <v>46410</v>
      </c>
      <c r="AF269" s="404">
        <v>46417</v>
      </c>
      <c r="AG269" s="404">
        <v>46431</v>
      </c>
      <c r="AH269" s="404">
        <v>46447</v>
      </c>
      <c r="AI269" s="405">
        <v>14.2857142857143</v>
      </c>
      <c r="AJ269" s="406">
        <v>100</v>
      </c>
      <c r="AK269" s="404">
        <f>IF(V269&lt;&gt;"",V269+AJ269,V270+AJ269)</f>
        <v>46417</v>
      </c>
      <c r="AL269" s="407">
        <f>AP268-7</f>
        <v>46434</v>
      </c>
      <c r="AM269" s="399">
        <f>AL269-AK269</f>
        <v>17</v>
      </c>
      <c r="AN269" s="408"/>
      <c r="AO269" s="409" t="s">
        <v>65</v>
      </c>
      <c r="AP269" s="410">
        <v>46441</v>
      </c>
      <c r="AQ269" s="407"/>
    </row>
    <row r="270" s="333" customFormat="1" ht="23" hidden="1" customHeight="1" spans="1:43">
      <c r="A270" s="414"/>
      <c r="B270" s="415" t="s">
        <v>326</v>
      </c>
      <c r="C270" s="447" t="s">
        <v>327</v>
      </c>
      <c r="D270" s="450"/>
      <c r="E270" s="417"/>
      <c r="F270" s="418"/>
      <c r="G270" s="417" t="s">
        <v>329</v>
      </c>
      <c r="H270" s="415" t="s">
        <v>72</v>
      </c>
      <c r="I270" s="324">
        <v>3</v>
      </c>
      <c r="J270" s="415" t="s">
        <v>9</v>
      </c>
      <c r="K270" s="419" t="s">
        <v>66</v>
      </c>
      <c r="L270" s="420"/>
      <c r="M270" s="420">
        <v>46171</v>
      </c>
      <c r="N270" s="420">
        <v>46188</v>
      </c>
      <c r="O270" s="420">
        <v>46188</v>
      </c>
      <c r="P270" s="420">
        <v>46188</v>
      </c>
      <c r="Q270" s="420">
        <f t="shared" ref="Q270" si="12">IF(Q$207&lt;&gt;"",Q$207,"")</f>
        <v>46230</v>
      </c>
      <c r="R270" s="420"/>
      <c r="S270" s="420"/>
      <c r="T270" s="420"/>
      <c r="U270" s="420"/>
      <c r="V270" s="417"/>
      <c r="W270" s="420"/>
      <c r="X270" s="420"/>
      <c r="Y270" s="420"/>
      <c r="Z270" s="420"/>
      <c r="AA270" s="420"/>
      <c r="AB270" s="420"/>
      <c r="AC270" s="420"/>
      <c r="AD270" s="420"/>
      <c r="AE270" s="420"/>
      <c r="AF270" s="420"/>
      <c r="AG270" s="420"/>
      <c r="AH270" s="420"/>
      <c r="AI270" s="422"/>
      <c r="AJ270" s="423"/>
      <c r="AK270" s="420"/>
      <c r="AL270" s="424"/>
      <c r="AM270" s="417"/>
      <c r="AN270" s="425"/>
      <c r="AO270" s="426"/>
      <c r="AP270" s="425"/>
      <c r="AQ270" s="424"/>
    </row>
    <row r="271" s="333" customFormat="1" ht="23" hidden="1" customHeight="1" spans="1:43">
      <c r="A271" s="396">
        <v>90</v>
      </c>
      <c r="B271" s="324" t="s">
        <v>330</v>
      </c>
      <c r="C271" s="324" t="s">
        <v>331</v>
      </c>
      <c r="D271" s="448"/>
      <c r="E271" s="399"/>
      <c r="F271" s="400"/>
      <c r="G271" s="399" t="s">
        <v>234</v>
      </c>
      <c r="H271" s="324"/>
      <c r="I271" s="401"/>
      <c r="J271" s="324" t="s">
        <v>9</v>
      </c>
      <c r="K271" s="402" t="s">
        <v>59</v>
      </c>
      <c r="L271" s="403"/>
      <c r="M271" s="404">
        <v>46258</v>
      </c>
      <c r="N271" s="404">
        <v>46272</v>
      </c>
      <c r="O271" s="404">
        <v>46272</v>
      </c>
      <c r="P271" s="404">
        <v>46272</v>
      </c>
      <c r="Q271" s="404">
        <v>46272</v>
      </c>
      <c r="R271" s="404">
        <v>46279</v>
      </c>
      <c r="S271" s="404">
        <v>46288</v>
      </c>
      <c r="T271" s="404">
        <v>46302</v>
      </c>
      <c r="U271" s="404"/>
      <c r="V271" s="404">
        <v>46309</v>
      </c>
      <c r="W271" s="404">
        <v>46311</v>
      </c>
      <c r="X271" s="404">
        <v>46318</v>
      </c>
      <c r="Y271" s="505">
        <v>46332</v>
      </c>
      <c r="Z271" s="404">
        <v>46346</v>
      </c>
      <c r="AA271" s="404">
        <v>46356</v>
      </c>
      <c r="AB271" s="404">
        <v>46356</v>
      </c>
      <c r="AC271" s="404">
        <v>46357</v>
      </c>
      <c r="AD271" s="404">
        <v>46362</v>
      </c>
      <c r="AE271" s="404">
        <v>46365</v>
      </c>
      <c r="AF271" s="404">
        <v>46369</v>
      </c>
      <c r="AG271" s="404">
        <v>46379</v>
      </c>
      <c r="AH271" s="404">
        <v>46389</v>
      </c>
      <c r="AI271" s="428">
        <v>8.57142857142857</v>
      </c>
      <c r="AJ271" s="406">
        <f>AI271*7</f>
        <v>60</v>
      </c>
      <c r="AK271" s="404">
        <f>V271+AJ271</f>
        <v>46369</v>
      </c>
      <c r="AL271" s="407">
        <f>AL272</f>
        <v>46356</v>
      </c>
      <c r="AM271" s="399">
        <f>AL272-AK271</f>
        <v>-13</v>
      </c>
      <c r="AN271" s="408"/>
      <c r="AO271" s="409" t="s">
        <v>61</v>
      </c>
      <c r="AP271" s="410">
        <v>46363</v>
      </c>
      <c r="AQ271" s="407"/>
    </row>
    <row r="272" s="333" customFormat="1" ht="23" customHeight="1" spans="1:43">
      <c r="A272" s="396"/>
      <c r="B272" s="324" t="s">
        <v>330</v>
      </c>
      <c r="C272" s="397" t="s">
        <v>331</v>
      </c>
      <c r="D272" s="449"/>
      <c r="E272" s="399"/>
      <c r="F272" s="400" t="s">
        <v>332</v>
      </c>
      <c r="G272" s="399" t="s">
        <v>234</v>
      </c>
      <c r="H272" s="324" t="s">
        <v>63</v>
      </c>
      <c r="I272" s="324">
        <v>4</v>
      </c>
      <c r="J272" s="324" t="s">
        <v>9</v>
      </c>
      <c r="K272" s="402" t="s">
        <v>64</v>
      </c>
      <c r="L272" s="404">
        <v>46244</v>
      </c>
      <c r="M272" s="404"/>
      <c r="N272" s="404"/>
      <c r="O272" s="404"/>
      <c r="P272" s="404"/>
      <c r="Q272" s="404"/>
      <c r="R272" s="404"/>
      <c r="S272" s="404"/>
      <c r="T272" s="404"/>
      <c r="U272" s="404"/>
      <c r="V272" s="404"/>
      <c r="W272" s="404"/>
      <c r="X272" s="404">
        <v>46297</v>
      </c>
      <c r="Y272" s="404">
        <v>46318</v>
      </c>
      <c r="Z272" s="411">
        <f>AB272-5</f>
        <v>46337</v>
      </c>
      <c r="AA272" s="404">
        <v>46342</v>
      </c>
      <c r="AB272" s="404">
        <v>46342</v>
      </c>
      <c r="AC272" s="404">
        <v>46343</v>
      </c>
      <c r="AD272" s="404">
        <v>46340</v>
      </c>
      <c r="AE272" s="411">
        <v>46343</v>
      </c>
      <c r="AF272" s="404">
        <v>46347</v>
      </c>
      <c r="AG272" s="404">
        <v>46357</v>
      </c>
      <c r="AH272" s="404">
        <v>46367</v>
      </c>
      <c r="AI272" s="405">
        <v>8.57142857142857</v>
      </c>
      <c r="AJ272" s="406">
        <v>60</v>
      </c>
      <c r="AK272" s="404">
        <f>IF(V272&lt;&gt;"",V272+AJ272,V273+AJ272)</f>
        <v>46343</v>
      </c>
      <c r="AL272" s="407">
        <f>AP271-7</f>
        <v>46356</v>
      </c>
      <c r="AM272" s="399">
        <f>AL272-AK272</f>
        <v>13</v>
      </c>
      <c r="AN272" s="506"/>
      <c r="AO272" s="409" t="s">
        <v>65</v>
      </c>
      <c r="AP272" s="410">
        <v>46402</v>
      </c>
      <c r="AQ272" s="407"/>
    </row>
    <row r="273" s="333" customFormat="1" ht="23" hidden="1" customHeight="1" spans="1:43">
      <c r="A273" s="414"/>
      <c r="B273" s="415" t="s">
        <v>330</v>
      </c>
      <c r="C273" s="447" t="s">
        <v>331</v>
      </c>
      <c r="D273" s="450"/>
      <c r="E273" s="417"/>
      <c r="F273" s="418"/>
      <c r="G273" s="417" t="s">
        <v>257</v>
      </c>
      <c r="H273" s="415" t="s">
        <v>63</v>
      </c>
      <c r="I273" s="415">
        <v>4</v>
      </c>
      <c r="J273" s="415" t="s">
        <v>9</v>
      </c>
      <c r="K273" s="419" t="s">
        <v>66</v>
      </c>
      <c r="L273" s="420"/>
      <c r="M273" s="420">
        <v>46210</v>
      </c>
      <c r="N273" s="420">
        <v>46222</v>
      </c>
      <c r="O273" s="420">
        <v>46222</v>
      </c>
      <c r="P273" s="420">
        <f>O273</f>
        <v>46222</v>
      </c>
      <c r="Q273" s="420">
        <f t="shared" ref="Q273" si="13">IF(Q$207&lt;&gt;"",Q$207,"")</f>
        <v>46230</v>
      </c>
      <c r="R273" s="420">
        <v>46263</v>
      </c>
      <c r="S273" s="420">
        <v>46276</v>
      </c>
      <c r="T273" s="420">
        <v>46279</v>
      </c>
      <c r="U273" s="420">
        <v>46283</v>
      </c>
      <c r="V273" s="420">
        <v>46283</v>
      </c>
      <c r="W273" s="420">
        <v>46283</v>
      </c>
      <c r="X273" s="420"/>
      <c r="Y273" s="420"/>
      <c r="Z273" s="420"/>
      <c r="AA273" s="420"/>
      <c r="AB273" s="420"/>
      <c r="AC273" s="420"/>
      <c r="AD273" s="420"/>
      <c r="AE273" s="420"/>
      <c r="AF273" s="420"/>
      <c r="AG273" s="420"/>
      <c r="AH273" s="420"/>
      <c r="AI273" s="422"/>
      <c r="AJ273" s="423"/>
      <c r="AK273" s="420"/>
      <c r="AL273" s="424"/>
      <c r="AM273" s="417"/>
      <c r="AN273" s="425"/>
      <c r="AO273" s="426"/>
      <c r="AP273" s="418"/>
      <c r="AQ273" s="424"/>
    </row>
    <row r="274" s="333" customFormat="1" ht="23" hidden="1" customHeight="1" spans="1:43">
      <c r="A274" s="396">
        <v>93</v>
      </c>
      <c r="B274" s="324" t="s">
        <v>333</v>
      </c>
      <c r="C274" s="324" t="s">
        <v>334</v>
      </c>
      <c r="D274" s="448"/>
      <c r="E274" s="399"/>
      <c r="F274" s="507"/>
      <c r="G274" s="399" t="s">
        <v>335</v>
      </c>
      <c r="H274" s="324"/>
      <c r="I274" s="401"/>
      <c r="J274" s="324" t="s">
        <v>9</v>
      </c>
      <c r="K274" s="402" t="s">
        <v>59</v>
      </c>
      <c r="L274" s="403"/>
      <c r="M274" s="404">
        <v>46223</v>
      </c>
      <c r="N274" s="404">
        <v>46239</v>
      </c>
      <c r="O274" s="404">
        <v>46239</v>
      </c>
      <c r="P274" s="404">
        <v>46237</v>
      </c>
      <c r="Q274" s="404">
        <v>46238</v>
      </c>
      <c r="R274" s="404">
        <v>46244</v>
      </c>
      <c r="S274" s="404">
        <v>46254</v>
      </c>
      <c r="T274" s="404">
        <v>46258</v>
      </c>
      <c r="U274" s="404"/>
      <c r="V274" s="404">
        <v>46265</v>
      </c>
      <c r="W274" s="404">
        <v>46267</v>
      </c>
      <c r="X274" s="404">
        <v>46274</v>
      </c>
      <c r="Y274" s="404">
        <v>46288</v>
      </c>
      <c r="Z274" s="404">
        <v>46302</v>
      </c>
      <c r="AA274" s="404">
        <v>46303</v>
      </c>
      <c r="AB274" s="404">
        <f>AA274+1</f>
        <v>46304</v>
      </c>
      <c r="AC274" s="404">
        <f>AB274+1</f>
        <v>46305</v>
      </c>
      <c r="AD274" s="404">
        <v>46315</v>
      </c>
      <c r="AE274" s="404">
        <v>46318</v>
      </c>
      <c r="AF274" s="404">
        <v>46321</v>
      </c>
      <c r="AG274" s="404">
        <v>46331</v>
      </c>
      <c r="AH274" s="404">
        <v>46341</v>
      </c>
      <c r="AI274" s="428">
        <v>8</v>
      </c>
      <c r="AJ274" s="406">
        <f>AI274*7</f>
        <v>56</v>
      </c>
      <c r="AK274" s="404">
        <f>V274+AJ274</f>
        <v>46321</v>
      </c>
      <c r="AL274" s="407">
        <f>AL275</f>
        <v>46349</v>
      </c>
      <c r="AM274" s="399">
        <f>AL275-AK274</f>
        <v>28</v>
      </c>
      <c r="AN274" s="408"/>
      <c r="AO274" s="409" t="s">
        <v>61</v>
      </c>
      <c r="AP274" s="410">
        <v>46356</v>
      </c>
      <c r="AQ274" s="407"/>
    </row>
    <row r="275" s="333" customFormat="1" ht="23" customHeight="1" spans="1:43">
      <c r="A275" s="508"/>
      <c r="B275" s="324" t="s">
        <v>333</v>
      </c>
      <c r="C275" s="324" t="s">
        <v>334</v>
      </c>
      <c r="D275" s="449"/>
      <c r="E275" s="399"/>
      <c r="F275" s="509"/>
      <c r="G275" s="399" t="s">
        <v>335</v>
      </c>
      <c r="H275" s="324" t="s">
        <v>72</v>
      </c>
      <c r="I275" s="324">
        <v>0</v>
      </c>
      <c r="J275" s="324" t="s">
        <v>9</v>
      </c>
      <c r="K275" s="402" t="s">
        <v>64</v>
      </c>
      <c r="L275" s="404">
        <v>46256</v>
      </c>
      <c r="M275" s="404"/>
      <c r="N275" s="404"/>
      <c r="O275" s="404"/>
      <c r="P275" s="404"/>
      <c r="Q275" s="404"/>
      <c r="R275" s="404"/>
      <c r="S275" s="404"/>
      <c r="T275" s="404"/>
      <c r="U275" s="404"/>
      <c r="V275" s="404"/>
      <c r="W275" s="404"/>
      <c r="X275" s="404">
        <v>46295</v>
      </c>
      <c r="Y275" s="404">
        <f>_xlfn.WORKDAY.INTL(X275,INDEX(Y$12:Y$15,MATCH($J275,$J$12:$J$15,0)),1,IF(Y$18="China",'China Holidays'!$A$2:$A$82,'Thai Holidays'!$A$2:$A$63))</f>
        <v>46316</v>
      </c>
      <c r="Z275" s="411">
        <v>46390</v>
      </c>
      <c r="AA275" s="404">
        <f>Z275+60</f>
        <v>46450</v>
      </c>
      <c r="AB275" s="404">
        <f>AA275+3</f>
        <v>46453</v>
      </c>
      <c r="AC275" s="404">
        <f>AB275+1</f>
        <v>46454</v>
      </c>
      <c r="AD275" s="404">
        <f>AE275-14</f>
        <v>46318</v>
      </c>
      <c r="AE275" s="411">
        <f>AF275-7</f>
        <v>46332</v>
      </c>
      <c r="AF275" s="404">
        <f>AK275</f>
        <v>46339</v>
      </c>
      <c r="AG275" s="404">
        <f>AK275+14</f>
        <v>46353</v>
      </c>
      <c r="AH275" s="404">
        <f>AK275+30</f>
        <v>46369</v>
      </c>
      <c r="AI275" s="428">
        <v>8</v>
      </c>
      <c r="AJ275" s="406">
        <v>56</v>
      </c>
      <c r="AK275" s="404">
        <f>IF(V275&lt;&gt;"",V275+AJ275,V276+AJ275)</f>
        <v>46339</v>
      </c>
      <c r="AL275" s="407">
        <f>AP274-7</f>
        <v>46349</v>
      </c>
      <c r="AM275" s="399">
        <f>AL275-AK275</f>
        <v>10</v>
      </c>
      <c r="AN275" s="408"/>
      <c r="AO275" s="409" t="s">
        <v>65</v>
      </c>
      <c r="AP275" s="410">
        <v>46386</v>
      </c>
      <c r="AQ275" s="407" t="s">
        <v>336</v>
      </c>
    </row>
    <row r="276" s="333" customFormat="1" ht="23" hidden="1" customHeight="1" spans="1:43">
      <c r="A276" s="510"/>
      <c r="B276" s="415" t="s">
        <v>333</v>
      </c>
      <c r="C276" s="447" t="s">
        <v>334</v>
      </c>
      <c r="D276" s="450"/>
      <c r="E276" s="417"/>
      <c r="F276" s="511"/>
      <c r="G276" s="399" t="s">
        <v>335</v>
      </c>
      <c r="H276" s="415" t="s">
        <v>72</v>
      </c>
      <c r="I276" s="415"/>
      <c r="J276" s="415" t="s">
        <v>9</v>
      </c>
      <c r="K276" s="419" t="s">
        <v>66</v>
      </c>
      <c r="L276" s="420"/>
      <c r="M276" s="420">
        <v>46263</v>
      </c>
      <c r="N276" s="420">
        <v>46266</v>
      </c>
      <c r="O276" s="420">
        <v>46266</v>
      </c>
      <c r="P276" s="420">
        <v>46266</v>
      </c>
      <c r="Q276" s="420">
        <v>46266</v>
      </c>
      <c r="R276" s="420">
        <v>46266</v>
      </c>
      <c r="S276" s="420">
        <v>46269</v>
      </c>
      <c r="T276" s="420">
        <v>46269</v>
      </c>
      <c r="U276" s="420">
        <v>46274</v>
      </c>
      <c r="V276" s="420">
        <v>46283</v>
      </c>
      <c r="W276" s="420">
        <v>46279</v>
      </c>
      <c r="X276" s="420"/>
      <c r="Y276" s="417"/>
      <c r="Z276" s="417"/>
      <c r="AA276" s="420"/>
      <c r="AB276" s="417"/>
      <c r="AC276" s="420"/>
      <c r="AD276" s="420"/>
      <c r="AE276" s="420"/>
      <c r="AF276" s="420"/>
      <c r="AG276" s="420"/>
      <c r="AH276" s="420"/>
      <c r="AI276" s="422"/>
      <c r="AJ276" s="512"/>
      <c r="AK276" s="420"/>
      <c r="AL276" s="513"/>
      <c r="AM276" s="417"/>
      <c r="AN276" s="425"/>
      <c r="AO276" s="426"/>
      <c r="AP276" s="425" t="s">
        <v>337</v>
      </c>
      <c r="AQ276" s="513"/>
    </row>
    <row r="277" s="333" customFormat="1" ht="23" hidden="1" customHeight="1" spans="1:43">
      <c r="A277" s="396">
        <v>92</v>
      </c>
      <c r="B277" s="324" t="s">
        <v>338</v>
      </c>
      <c r="C277" s="324" t="s">
        <v>339</v>
      </c>
      <c r="D277" s="398"/>
      <c r="E277" s="399"/>
      <c r="F277" s="400"/>
      <c r="G277" s="399" t="s">
        <v>85</v>
      </c>
      <c r="H277" s="324"/>
      <c r="I277" s="401"/>
      <c r="J277" s="324" t="s">
        <v>6</v>
      </c>
      <c r="K277" s="402" t="s">
        <v>59</v>
      </c>
      <c r="L277" s="403"/>
      <c r="M277" s="404">
        <v>46167</v>
      </c>
      <c r="N277" s="404">
        <v>46177</v>
      </c>
      <c r="O277" s="404">
        <v>46177</v>
      </c>
      <c r="P277" s="404">
        <v>46184</v>
      </c>
      <c r="Q277" s="404">
        <v>46184</v>
      </c>
      <c r="R277" s="404">
        <v>46226</v>
      </c>
      <c r="S277" s="404">
        <v>46254</v>
      </c>
      <c r="T277" s="404">
        <v>46268</v>
      </c>
      <c r="U277" s="404"/>
      <c r="V277" s="404">
        <v>46281</v>
      </c>
      <c r="W277" s="404">
        <v>46283</v>
      </c>
      <c r="X277" s="404">
        <v>46293</v>
      </c>
      <c r="Y277" s="404">
        <v>46328</v>
      </c>
      <c r="Z277" s="404">
        <v>46342</v>
      </c>
      <c r="AA277" s="404">
        <v>46372</v>
      </c>
      <c r="AB277" s="404">
        <v>46372</v>
      </c>
      <c r="AC277" s="404">
        <v>46374</v>
      </c>
      <c r="AD277" s="404">
        <v>46435</v>
      </c>
      <c r="AE277" s="404">
        <v>46442</v>
      </c>
      <c r="AF277" s="404">
        <v>46449</v>
      </c>
      <c r="AG277" s="404">
        <v>46463</v>
      </c>
      <c r="AH277" s="404">
        <v>46479</v>
      </c>
      <c r="AI277" s="428">
        <v>24</v>
      </c>
      <c r="AJ277" s="406">
        <f>AI277*7</f>
        <v>168</v>
      </c>
      <c r="AK277" s="404">
        <f>V277+AJ277</f>
        <v>46449</v>
      </c>
      <c r="AL277" s="407">
        <f>AL278</f>
        <v>46485</v>
      </c>
      <c r="AM277" s="399">
        <f>AL278-AK277</f>
        <v>36</v>
      </c>
      <c r="AN277" s="408"/>
      <c r="AO277" s="409" t="s">
        <v>61</v>
      </c>
      <c r="AP277" s="410">
        <v>46492</v>
      </c>
      <c r="AQ277" s="407"/>
    </row>
    <row r="278" s="333" customFormat="1" ht="23" customHeight="1" spans="1:43">
      <c r="A278" s="396"/>
      <c r="B278" s="324" t="s">
        <v>338</v>
      </c>
      <c r="C278" s="397" t="s">
        <v>339</v>
      </c>
      <c r="D278" s="427"/>
      <c r="E278" s="399"/>
      <c r="F278" s="400" t="s">
        <v>272</v>
      </c>
      <c r="G278" s="399" t="s">
        <v>85</v>
      </c>
      <c r="H278" s="324" t="s">
        <v>63</v>
      </c>
      <c r="I278" s="324">
        <v>3</v>
      </c>
      <c r="J278" s="324" t="s">
        <v>6</v>
      </c>
      <c r="K278" s="402" t="s">
        <v>64</v>
      </c>
      <c r="L278" s="404">
        <v>46161</v>
      </c>
      <c r="M278" s="404"/>
      <c r="N278" s="404"/>
      <c r="O278" s="404"/>
      <c r="P278" s="404"/>
      <c r="Q278" s="404"/>
      <c r="R278" s="404"/>
      <c r="S278" s="404">
        <v>46304</v>
      </c>
      <c r="T278" s="404">
        <f>_xlfn.WORKDAY.INTL(S278,INDEX(T$8:T$11,MATCH($J278,$J$8:$J$11,0)),1,IF(T$18="China",'China Holidays'!$A$2:$A$82,'Thai Holidays'!$A$2:$A$63))</f>
        <v>46322</v>
      </c>
      <c r="U278" s="404"/>
      <c r="V278" s="404">
        <v>46315</v>
      </c>
      <c r="W278" s="404">
        <v>46317</v>
      </c>
      <c r="X278" s="404">
        <v>46324</v>
      </c>
      <c r="Y278" s="404">
        <v>46352</v>
      </c>
      <c r="Z278" s="411">
        <f>AB278-5</f>
        <v>46392</v>
      </c>
      <c r="AA278" s="404">
        <v>46397</v>
      </c>
      <c r="AB278" s="404">
        <v>46397</v>
      </c>
      <c r="AC278" s="404">
        <v>46399</v>
      </c>
      <c r="AD278" s="404">
        <v>46469</v>
      </c>
      <c r="AE278" s="411">
        <v>46476</v>
      </c>
      <c r="AF278" s="404">
        <v>46483</v>
      </c>
      <c r="AG278" s="404">
        <v>46497</v>
      </c>
      <c r="AH278" s="404">
        <v>46513</v>
      </c>
      <c r="AI278" s="405">
        <v>24</v>
      </c>
      <c r="AJ278" s="406">
        <v>168</v>
      </c>
      <c r="AK278" s="404">
        <f>IF(V278&lt;&gt;"",V278+AJ278,V279+AJ278)</f>
        <v>46483</v>
      </c>
      <c r="AL278" s="407">
        <f>AP277-7</f>
        <v>46485</v>
      </c>
      <c r="AM278" s="399">
        <f>AL278-AK278</f>
        <v>2</v>
      </c>
      <c r="AN278" s="408"/>
      <c r="AO278" s="409" t="s">
        <v>65</v>
      </c>
      <c r="AP278" s="410">
        <v>46492</v>
      </c>
      <c r="AQ278" s="407"/>
    </row>
    <row r="279" s="333" customFormat="1" ht="23" hidden="1" customHeight="1" spans="1:43">
      <c r="A279" s="414"/>
      <c r="B279" s="415" t="s">
        <v>338</v>
      </c>
      <c r="C279" s="447" t="s">
        <v>339</v>
      </c>
      <c r="D279" s="429"/>
      <c r="E279" s="417"/>
      <c r="F279" s="418"/>
      <c r="G279" s="417" t="s">
        <v>85</v>
      </c>
      <c r="H279" s="415" t="s">
        <v>63</v>
      </c>
      <c r="I279" s="324">
        <v>3</v>
      </c>
      <c r="J279" s="415" t="s">
        <v>6</v>
      </c>
      <c r="K279" s="419" t="s">
        <v>66</v>
      </c>
      <c r="L279" s="420"/>
      <c r="M279" s="420">
        <v>46169</v>
      </c>
      <c r="N279" s="420">
        <v>46184</v>
      </c>
      <c r="O279" s="420">
        <v>46184</v>
      </c>
      <c r="P279" s="420">
        <v>46184</v>
      </c>
      <c r="Q279" s="420">
        <v>46188</v>
      </c>
      <c r="R279" s="420">
        <v>46234</v>
      </c>
      <c r="S279" s="421">
        <v>46297</v>
      </c>
      <c r="T279" s="420"/>
      <c r="U279" s="420"/>
      <c r="V279" s="420"/>
      <c r="W279" s="420"/>
      <c r="X279" s="420"/>
      <c r="Y279" s="420"/>
      <c r="Z279" s="420"/>
      <c r="AA279" s="420"/>
      <c r="AB279" s="420"/>
      <c r="AC279" s="420"/>
      <c r="AD279" s="420"/>
      <c r="AE279" s="420"/>
      <c r="AF279" s="420"/>
      <c r="AG279" s="420"/>
      <c r="AH279" s="420"/>
      <c r="AI279" s="422"/>
      <c r="AJ279" s="423"/>
      <c r="AK279" s="404"/>
      <c r="AL279" s="424"/>
      <c r="AM279" s="417"/>
      <c r="AN279" s="425"/>
      <c r="AO279" s="426"/>
      <c r="AP279" s="418"/>
      <c r="AQ279" s="424"/>
    </row>
    <row r="280" s="333" customFormat="1" ht="23" hidden="1" customHeight="1" spans="1:43">
      <c r="A280" s="396">
        <v>94</v>
      </c>
      <c r="B280" s="324" t="s">
        <v>340</v>
      </c>
      <c r="C280" s="324" t="s">
        <v>341</v>
      </c>
      <c r="D280" s="398"/>
      <c r="E280" s="399"/>
      <c r="F280" s="400"/>
      <c r="G280" s="399" t="s">
        <v>85</v>
      </c>
      <c r="H280" s="324"/>
      <c r="I280" s="401"/>
      <c r="J280" s="324" t="s">
        <v>6</v>
      </c>
      <c r="K280" s="402" t="s">
        <v>59</v>
      </c>
      <c r="L280" s="403"/>
      <c r="M280" s="404">
        <v>46167</v>
      </c>
      <c r="N280" s="404">
        <v>46177</v>
      </c>
      <c r="O280" s="404">
        <v>46177</v>
      </c>
      <c r="P280" s="404">
        <v>46184</v>
      </c>
      <c r="Q280" s="404">
        <v>46184</v>
      </c>
      <c r="R280" s="404">
        <v>46226</v>
      </c>
      <c r="S280" s="404">
        <v>46254</v>
      </c>
      <c r="T280" s="404">
        <v>46268</v>
      </c>
      <c r="U280" s="404"/>
      <c r="V280" s="404">
        <v>46281</v>
      </c>
      <c r="W280" s="404">
        <v>46283</v>
      </c>
      <c r="X280" s="404">
        <v>46293</v>
      </c>
      <c r="Y280" s="404">
        <v>46328</v>
      </c>
      <c r="Z280" s="404">
        <v>46342</v>
      </c>
      <c r="AA280" s="404">
        <v>46372</v>
      </c>
      <c r="AB280" s="404">
        <v>46372</v>
      </c>
      <c r="AC280" s="404">
        <v>46374</v>
      </c>
      <c r="AD280" s="404">
        <v>46435</v>
      </c>
      <c r="AE280" s="404">
        <v>46442</v>
      </c>
      <c r="AF280" s="404">
        <v>46449</v>
      </c>
      <c r="AG280" s="404">
        <v>46463</v>
      </c>
      <c r="AH280" s="404">
        <v>46479</v>
      </c>
      <c r="AI280" s="428">
        <v>24</v>
      </c>
      <c r="AJ280" s="406">
        <f>AI280*7</f>
        <v>168</v>
      </c>
      <c r="AK280" s="404">
        <f>V280+AJ280</f>
        <v>46449</v>
      </c>
      <c r="AL280" s="407">
        <f>AL281</f>
        <v>46485</v>
      </c>
      <c r="AM280" s="399">
        <f>AL281-AK280</f>
        <v>36</v>
      </c>
      <c r="AN280" s="408"/>
      <c r="AO280" s="409" t="s">
        <v>61</v>
      </c>
      <c r="AP280" s="410">
        <v>46492</v>
      </c>
      <c r="AQ280" s="407"/>
    </row>
    <row r="281" s="333" customFormat="1" ht="23" customHeight="1" spans="1:43">
      <c r="A281" s="396"/>
      <c r="B281" s="324" t="s">
        <v>340</v>
      </c>
      <c r="C281" s="397" t="s">
        <v>341</v>
      </c>
      <c r="D281" s="514"/>
      <c r="E281" s="399"/>
      <c r="F281" s="400" t="s">
        <v>272</v>
      </c>
      <c r="G281" s="399" t="s">
        <v>85</v>
      </c>
      <c r="H281" s="324" t="s">
        <v>63</v>
      </c>
      <c r="I281" s="324">
        <v>3</v>
      </c>
      <c r="J281" s="324" t="s">
        <v>6</v>
      </c>
      <c r="K281" s="402" t="s">
        <v>64</v>
      </c>
      <c r="L281" s="404">
        <v>46161</v>
      </c>
      <c r="M281" s="404"/>
      <c r="N281" s="404"/>
      <c r="O281" s="404"/>
      <c r="P281" s="404"/>
      <c r="Q281" s="404"/>
      <c r="R281" s="404"/>
      <c r="S281" s="404">
        <v>46304</v>
      </c>
      <c r="T281" s="404">
        <f>_xlfn.WORKDAY.INTL(S281,INDEX(T$8:T$11,MATCH($J281,$J$8:$J$11,0)),1,IF(T$18="China",'China Holidays'!$A$2:$A$82,'Thai Holidays'!$A$2:$A$63))</f>
        <v>46322</v>
      </c>
      <c r="U281" s="404"/>
      <c r="V281" s="404">
        <v>46315</v>
      </c>
      <c r="W281" s="404">
        <v>46317</v>
      </c>
      <c r="X281" s="404">
        <v>46324</v>
      </c>
      <c r="Y281" s="404">
        <v>46352</v>
      </c>
      <c r="Z281" s="411">
        <f>AB281-5</f>
        <v>46392</v>
      </c>
      <c r="AA281" s="404">
        <v>46397</v>
      </c>
      <c r="AB281" s="404">
        <v>46397</v>
      </c>
      <c r="AC281" s="404">
        <v>46399</v>
      </c>
      <c r="AD281" s="404">
        <v>46469</v>
      </c>
      <c r="AE281" s="411">
        <v>46476</v>
      </c>
      <c r="AF281" s="404">
        <v>46483</v>
      </c>
      <c r="AG281" s="404">
        <v>46497</v>
      </c>
      <c r="AH281" s="404">
        <v>46513</v>
      </c>
      <c r="AI281" s="405">
        <v>24</v>
      </c>
      <c r="AJ281" s="406">
        <v>168</v>
      </c>
      <c r="AK281" s="404">
        <f>IF(V281&lt;&gt;"",V281+AJ281,V282+AJ281)</f>
        <v>46483</v>
      </c>
      <c r="AL281" s="407">
        <f>AP280-7</f>
        <v>46485</v>
      </c>
      <c r="AM281" s="399">
        <f>AL281-AK281</f>
        <v>2</v>
      </c>
      <c r="AN281" s="408"/>
      <c r="AO281" s="409" t="s">
        <v>65</v>
      </c>
      <c r="AP281" s="410">
        <v>46492</v>
      </c>
      <c r="AQ281" s="407"/>
    </row>
    <row r="282" s="333" customFormat="1" ht="23" hidden="1" customHeight="1" spans="1:43">
      <c r="A282" s="414"/>
      <c r="B282" s="415" t="s">
        <v>340</v>
      </c>
      <c r="C282" s="447" t="s">
        <v>341</v>
      </c>
      <c r="D282" s="515"/>
      <c r="E282" s="417"/>
      <c r="F282" s="418"/>
      <c r="G282" s="417" t="s">
        <v>85</v>
      </c>
      <c r="H282" s="415" t="s">
        <v>63</v>
      </c>
      <c r="I282" s="324">
        <v>3</v>
      </c>
      <c r="J282" s="415" t="s">
        <v>6</v>
      </c>
      <c r="K282" s="419" t="s">
        <v>66</v>
      </c>
      <c r="L282" s="420"/>
      <c r="M282" s="420">
        <v>46169</v>
      </c>
      <c r="N282" s="420">
        <v>46184</v>
      </c>
      <c r="O282" s="420">
        <v>46184</v>
      </c>
      <c r="P282" s="420">
        <v>46184</v>
      </c>
      <c r="Q282" s="420">
        <v>46188</v>
      </c>
      <c r="R282" s="420">
        <v>46245</v>
      </c>
      <c r="S282" s="420"/>
      <c r="T282" s="420"/>
      <c r="U282" s="420"/>
      <c r="V282" s="420"/>
      <c r="W282" s="420"/>
      <c r="X282" s="420"/>
      <c r="Y282" s="420"/>
      <c r="Z282" s="420"/>
      <c r="AA282" s="420"/>
      <c r="AB282" s="420"/>
      <c r="AC282" s="420"/>
      <c r="AD282" s="420"/>
      <c r="AE282" s="420"/>
      <c r="AF282" s="420"/>
      <c r="AG282" s="420"/>
      <c r="AH282" s="420"/>
      <c r="AI282" s="422"/>
      <c r="AJ282" s="423"/>
      <c r="AK282" s="420"/>
      <c r="AL282" s="424"/>
      <c r="AM282" s="417"/>
      <c r="AN282" s="425"/>
      <c r="AO282" s="426"/>
      <c r="AP282" s="418"/>
      <c r="AQ282" s="424"/>
    </row>
    <row r="283" s="333" customFormat="1" ht="23" hidden="1" customHeight="1" spans="1:43">
      <c r="A283" s="396">
        <v>95</v>
      </c>
      <c r="B283" s="324" t="s">
        <v>342</v>
      </c>
      <c r="C283" s="324" t="s">
        <v>343</v>
      </c>
      <c r="D283" s="398"/>
      <c r="E283" s="399"/>
      <c r="F283" s="400"/>
      <c r="G283" s="399" t="s">
        <v>85</v>
      </c>
      <c r="H283" s="324"/>
      <c r="I283" s="401"/>
      <c r="J283" s="324" t="s">
        <v>6</v>
      </c>
      <c r="K283" s="402" t="s">
        <v>59</v>
      </c>
      <c r="L283" s="403"/>
      <c r="M283" s="404">
        <v>46167</v>
      </c>
      <c r="N283" s="404">
        <v>46177</v>
      </c>
      <c r="O283" s="404">
        <v>46177</v>
      </c>
      <c r="P283" s="404">
        <v>46184</v>
      </c>
      <c r="Q283" s="404">
        <v>46184</v>
      </c>
      <c r="R283" s="404">
        <v>46226</v>
      </c>
      <c r="S283" s="404">
        <v>46254</v>
      </c>
      <c r="T283" s="404">
        <v>46268</v>
      </c>
      <c r="U283" s="404"/>
      <c r="V283" s="404">
        <v>46281</v>
      </c>
      <c r="W283" s="404">
        <v>46283</v>
      </c>
      <c r="X283" s="404">
        <v>46293</v>
      </c>
      <c r="Y283" s="404">
        <v>46328</v>
      </c>
      <c r="Z283" s="404">
        <v>46342</v>
      </c>
      <c r="AA283" s="404">
        <v>46372</v>
      </c>
      <c r="AB283" s="404">
        <v>46372</v>
      </c>
      <c r="AC283" s="404">
        <v>46374</v>
      </c>
      <c r="AD283" s="404">
        <v>46435</v>
      </c>
      <c r="AE283" s="404">
        <v>46442</v>
      </c>
      <c r="AF283" s="404">
        <v>46449</v>
      </c>
      <c r="AG283" s="404">
        <v>46463</v>
      </c>
      <c r="AH283" s="404">
        <v>46479</v>
      </c>
      <c r="AI283" s="428">
        <v>24</v>
      </c>
      <c r="AJ283" s="406">
        <f>AI283*7</f>
        <v>168</v>
      </c>
      <c r="AK283" s="404">
        <f>V283+AJ283</f>
        <v>46449</v>
      </c>
      <c r="AL283" s="407">
        <f>AL284</f>
        <v>46485</v>
      </c>
      <c r="AM283" s="399">
        <f>AL284-AK283</f>
        <v>36</v>
      </c>
      <c r="AN283" s="408"/>
      <c r="AO283" s="409" t="s">
        <v>61</v>
      </c>
      <c r="AP283" s="410">
        <v>46492</v>
      </c>
      <c r="AQ283" s="407"/>
    </row>
    <row r="284" s="333" customFormat="1" ht="23" customHeight="1" spans="1:43">
      <c r="A284" s="396"/>
      <c r="B284" s="324" t="s">
        <v>342</v>
      </c>
      <c r="C284" s="397" t="s">
        <v>343</v>
      </c>
      <c r="D284" s="514"/>
      <c r="E284" s="399"/>
      <c r="F284" s="400" t="s">
        <v>272</v>
      </c>
      <c r="G284" s="399" t="s">
        <v>85</v>
      </c>
      <c r="H284" s="324" t="s">
        <v>63</v>
      </c>
      <c r="I284" s="324">
        <v>3</v>
      </c>
      <c r="J284" s="324" t="s">
        <v>6</v>
      </c>
      <c r="K284" s="402" t="s">
        <v>64</v>
      </c>
      <c r="L284" s="404">
        <v>46161</v>
      </c>
      <c r="M284" s="404"/>
      <c r="N284" s="404"/>
      <c r="O284" s="404"/>
      <c r="P284" s="404"/>
      <c r="Q284" s="404"/>
      <c r="R284" s="404"/>
      <c r="S284" s="404">
        <v>46304</v>
      </c>
      <c r="T284" s="404">
        <f>_xlfn.WORKDAY.INTL(S284,INDEX(T$8:T$11,MATCH($J284,$J$8:$J$11,0)),1,IF(T$18="China",'China Holidays'!$A$2:$A$82,'Thai Holidays'!$A$2:$A$63))</f>
        <v>46322</v>
      </c>
      <c r="U284" s="404"/>
      <c r="V284" s="404">
        <v>46315</v>
      </c>
      <c r="W284" s="404">
        <v>46317</v>
      </c>
      <c r="X284" s="404">
        <v>46324</v>
      </c>
      <c r="Y284" s="404">
        <v>46352</v>
      </c>
      <c r="Z284" s="411">
        <f>AB284-5</f>
        <v>46392</v>
      </c>
      <c r="AA284" s="404">
        <v>46397</v>
      </c>
      <c r="AB284" s="404">
        <v>46397</v>
      </c>
      <c r="AC284" s="404">
        <v>46399</v>
      </c>
      <c r="AD284" s="404">
        <v>46469</v>
      </c>
      <c r="AE284" s="411">
        <v>46476</v>
      </c>
      <c r="AF284" s="404">
        <v>46483</v>
      </c>
      <c r="AG284" s="404">
        <v>46497</v>
      </c>
      <c r="AH284" s="404">
        <v>46513</v>
      </c>
      <c r="AI284" s="405">
        <v>24</v>
      </c>
      <c r="AJ284" s="406">
        <v>168</v>
      </c>
      <c r="AK284" s="404">
        <f>IF(V284&lt;&gt;"",V284+AJ284,V285+AJ284)</f>
        <v>46483</v>
      </c>
      <c r="AL284" s="407">
        <f>AP283-7</f>
        <v>46485</v>
      </c>
      <c r="AM284" s="399">
        <f>AL284-AK284</f>
        <v>2</v>
      </c>
      <c r="AN284" s="408"/>
      <c r="AO284" s="409" t="s">
        <v>65</v>
      </c>
      <c r="AP284" s="410">
        <v>46492</v>
      </c>
      <c r="AQ284" s="407"/>
    </row>
    <row r="285" s="333" customFormat="1" ht="23" hidden="1" customHeight="1" spans="1:43">
      <c r="A285" s="414"/>
      <c r="B285" s="415" t="s">
        <v>342</v>
      </c>
      <c r="C285" s="447" t="s">
        <v>343</v>
      </c>
      <c r="D285" s="515"/>
      <c r="E285" s="417"/>
      <c r="F285" s="418"/>
      <c r="G285" s="417" t="s">
        <v>85</v>
      </c>
      <c r="H285" s="415" t="s">
        <v>63</v>
      </c>
      <c r="I285" s="324">
        <v>3</v>
      </c>
      <c r="J285" s="415" t="s">
        <v>6</v>
      </c>
      <c r="K285" s="419" t="s">
        <v>66</v>
      </c>
      <c r="L285" s="420"/>
      <c r="M285" s="420">
        <v>46169</v>
      </c>
      <c r="N285" s="420">
        <v>46184</v>
      </c>
      <c r="O285" s="420">
        <v>46184</v>
      </c>
      <c r="P285" s="420">
        <v>46184</v>
      </c>
      <c r="Q285" s="420">
        <v>46188</v>
      </c>
      <c r="R285" s="420">
        <v>46234</v>
      </c>
      <c r="S285" s="420"/>
      <c r="T285" s="420"/>
      <c r="U285" s="420"/>
      <c r="V285" s="420"/>
      <c r="W285" s="420"/>
      <c r="X285" s="420"/>
      <c r="Y285" s="420"/>
      <c r="Z285" s="420"/>
      <c r="AA285" s="420"/>
      <c r="AB285" s="420"/>
      <c r="AC285" s="420"/>
      <c r="AD285" s="420"/>
      <c r="AE285" s="420"/>
      <c r="AF285" s="420"/>
      <c r="AG285" s="420"/>
      <c r="AH285" s="420"/>
      <c r="AI285" s="422"/>
      <c r="AJ285" s="423"/>
      <c r="AK285" s="420"/>
      <c r="AL285" s="424"/>
      <c r="AM285" s="417"/>
      <c r="AN285" s="425"/>
      <c r="AO285" s="426"/>
      <c r="AP285" s="418"/>
      <c r="AQ285" s="424" t="s">
        <v>217</v>
      </c>
    </row>
    <row r="286" s="333" customFormat="1" ht="23" hidden="1" customHeight="1" spans="1:43">
      <c r="A286" s="396">
        <v>96</v>
      </c>
      <c r="B286" s="324" t="s">
        <v>344</v>
      </c>
      <c r="C286" s="324" t="s">
        <v>345</v>
      </c>
      <c r="D286" s="398"/>
      <c r="E286" s="399"/>
      <c r="F286" s="400"/>
      <c r="G286" s="399" t="s">
        <v>85</v>
      </c>
      <c r="H286" s="324"/>
      <c r="I286" s="401"/>
      <c r="J286" s="324" t="s">
        <v>6</v>
      </c>
      <c r="K286" s="402" t="s">
        <v>59</v>
      </c>
      <c r="L286" s="403"/>
      <c r="M286" s="404">
        <v>46167</v>
      </c>
      <c r="N286" s="404">
        <v>46177</v>
      </c>
      <c r="O286" s="404">
        <v>46177</v>
      </c>
      <c r="P286" s="404">
        <v>46184</v>
      </c>
      <c r="Q286" s="404">
        <v>46184</v>
      </c>
      <c r="R286" s="404">
        <v>46226</v>
      </c>
      <c r="S286" s="404">
        <v>46254</v>
      </c>
      <c r="T286" s="404">
        <v>46268</v>
      </c>
      <c r="U286" s="404"/>
      <c r="V286" s="404">
        <v>46281</v>
      </c>
      <c r="W286" s="404">
        <v>46283</v>
      </c>
      <c r="X286" s="404">
        <v>46293</v>
      </c>
      <c r="Y286" s="404">
        <v>46328</v>
      </c>
      <c r="Z286" s="404">
        <v>46342</v>
      </c>
      <c r="AA286" s="404">
        <v>46372</v>
      </c>
      <c r="AB286" s="404">
        <v>46372</v>
      </c>
      <c r="AC286" s="404">
        <v>46374</v>
      </c>
      <c r="AD286" s="404">
        <v>46435</v>
      </c>
      <c r="AE286" s="404">
        <v>46442</v>
      </c>
      <c r="AF286" s="404">
        <v>46449</v>
      </c>
      <c r="AG286" s="404">
        <v>46463</v>
      </c>
      <c r="AH286" s="404">
        <v>46479</v>
      </c>
      <c r="AI286" s="428">
        <v>24</v>
      </c>
      <c r="AJ286" s="406">
        <f>AI286*7</f>
        <v>168</v>
      </c>
      <c r="AK286" s="404">
        <f>V286+AJ286</f>
        <v>46449</v>
      </c>
      <c r="AL286" s="407">
        <f>AL287</f>
        <v>46485</v>
      </c>
      <c r="AM286" s="399">
        <f>AL287-AK286</f>
        <v>36</v>
      </c>
      <c r="AN286" s="408"/>
      <c r="AO286" s="409" t="s">
        <v>61</v>
      </c>
      <c r="AP286" s="410">
        <v>46492</v>
      </c>
      <c r="AQ286" s="407"/>
    </row>
    <row r="287" s="333" customFormat="1" ht="23" customHeight="1" spans="1:43">
      <c r="A287" s="396"/>
      <c r="B287" s="324" t="s">
        <v>344</v>
      </c>
      <c r="C287" s="397" t="s">
        <v>345</v>
      </c>
      <c r="D287" s="514"/>
      <c r="E287" s="399"/>
      <c r="F287" s="400" t="s">
        <v>272</v>
      </c>
      <c r="G287" s="399" t="s">
        <v>85</v>
      </c>
      <c r="H287" s="324" t="s">
        <v>63</v>
      </c>
      <c r="I287" s="324">
        <v>3</v>
      </c>
      <c r="J287" s="324" t="s">
        <v>6</v>
      </c>
      <c r="K287" s="402" t="s">
        <v>64</v>
      </c>
      <c r="L287" s="404">
        <v>46161</v>
      </c>
      <c r="M287" s="404"/>
      <c r="N287" s="404"/>
      <c r="O287" s="404"/>
      <c r="P287" s="404"/>
      <c r="Q287" s="404"/>
      <c r="R287" s="404"/>
      <c r="S287" s="404"/>
      <c r="T287" s="404">
        <v>46296</v>
      </c>
      <c r="U287" s="404"/>
      <c r="V287" s="404">
        <v>46315</v>
      </c>
      <c r="W287" s="404">
        <v>46317</v>
      </c>
      <c r="X287" s="404">
        <v>46324</v>
      </c>
      <c r="Y287" s="404">
        <v>46352</v>
      </c>
      <c r="Z287" s="411">
        <f>AB287-5</f>
        <v>46392</v>
      </c>
      <c r="AA287" s="404">
        <v>46397</v>
      </c>
      <c r="AB287" s="404">
        <v>46397</v>
      </c>
      <c r="AC287" s="404">
        <v>46399</v>
      </c>
      <c r="AD287" s="404">
        <v>46469</v>
      </c>
      <c r="AE287" s="411">
        <v>46476</v>
      </c>
      <c r="AF287" s="404">
        <v>46483</v>
      </c>
      <c r="AG287" s="404">
        <v>46497</v>
      </c>
      <c r="AH287" s="404">
        <v>46513</v>
      </c>
      <c r="AI287" s="405">
        <v>24</v>
      </c>
      <c r="AJ287" s="406">
        <v>168</v>
      </c>
      <c r="AK287" s="404">
        <f>IF(V287&lt;&gt;"",V287+AJ287,V288+AJ287)</f>
        <v>46483</v>
      </c>
      <c r="AL287" s="407">
        <f>AP286-7</f>
        <v>46485</v>
      </c>
      <c r="AM287" s="399">
        <f>AL287-AK287</f>
        <v>2</v>
      </c>
      <c r="AN287" s="408"/>
      <c r="AO287" s="409" t="s">
        <v>65</v>
      </c>
      <c r="AP287" s="410">
        <v>46492</v>
      </c>
      <c r="AQ287" s="407"/>
    </row>
    <row r="288" s="333" customFormat="1" ht="23" hidden="1" customHeight="1" spans="1:43">
      <c r="A288" s="414"/>
      <c r="B288" s="415" t="s">
        <v>344</v>
      </c>
      <c r="C288" s="447" t="s">
        <v>345</v>
      </c>
      <c r="D288" s="515"/>
      <c r="E288" s="417"/>
      <c r="F288" s="418"/>
      <c r="G288" s="417" t="s">
        <v>85</v>
      </c>
      <c r="H288" s="415" t="s">
        <v>63</v>
      </c>
      <c r="I288" s="324">
        <v>3</v>
      </c>
      <c r="J288" s="415" t="s">
        <v>6</v>
      </c>
      <c r="K288" s="419" t="s">
        <v>66</v>
      </c>
      <c r="L288" s="420"/>
      <c r="M288" s="420">
        <v>46169</v>
      </c>
      <c r="N288" s="420">
        <v>46184</v>
      </c>
      <c r="O288" s="420">
        <v>46184</v>
      </c>
      <c r="P288" s="420">
        <v>46184</v>
      </c>
      <c r="Q288" s="420">
        <v>46188</v>
      </c>
      <c r="R288" s="420">
        <v>46239</v>
      </c>
      <c r="S288" s="420">
        <v>46283</v>
      </c>
      <c r="T288" s="420">
        <v>46289</v>
      </c>
      <c r="U288" s="420"/>
      <c r="V288" s="420"/>
      <c r="W288" s="420"/>
      <c r="X288" s="420"/>
      <c r="Y288" s="420"/>
      <c r="Z288" s="420"/>
      <c r="AA288" s="420"/>
      <c r="AB288" s="420"/>
      <c r="AC288" s="420"/>
      <c r="AD288" s="420"/>
      <c r="AE288" s="420"/>
      <c r="AF288" s="420"/>
      <c r="AG288" s="420"/>
      <c r="AH288" s="420"/>
      <c r="AI288" s="422"/>
      <c r="AJ288" s="423"/>
      <c r="AK288" s="420"/>
      <c r="AL288" s="424"/>
      <c r="AM288" s="417"/>
      <c r="AN288" s="425"/>
      <c r="AO288" s="426"/>
      <c r="AP288" s="418"/>
      <c r="AQ288" s="424" t="s">
        <v>217</v>
      </c>
    </row>
    <row r="289" s="333" customFormat="1" ht="23" hidden="1" customHeight="1" spans="1:43">
      <c r="A289" s="396">
        <v>97</v>
      </c>
      <c r="B289" s="324" t="s">
        <v>346</v>
      </c>
      <c r="C289" s="324" t="s">
        <v>347</v>
      </c>
      <c r="D289" s="448"/>
      <c r="E289" s="399"/>
      <c r="F289" s="400"/>
      <c r="G289" s="399" t="s">
        <v>85</v>
      </c>
      <c r="H289" s="324"/>
      <c r="I289" s="401"/>
      <c r="J289" s="324" t="s">
        <v>6</v>
      </c>
      <c r="K289" s="402" t="s">
        <v>59</v>
      </c>
      <c r="L289" s="403"/>
      <c r="M289" s="404">
        <v>46167</v>
      </c>
      <c r="N289" s="404">
        <v>46177</v>
      </c>
      <c r="O289" s="404">
        <v>46177</v>
      </c>
      <c r="P289" s="404">
        <v>46184</v>
      </c>
      <c r="Q289" s="404">
        <v>46184</v>
      </c>
      <c r="R289" s="404">
        <v>46226</v>
      </c>
      <c r="S289" s="404">
        <v>46254</v>
      </c>
      <c r="T289" s="404">
        <v>46268</v>
      </c>
      <c r="U289" s="404"/>
      <c r="V289" s="404">
        <v>46281</v>
      </c>
      <c r="W289" s="404">
        <v>46283</v>
      </c>
      <c r="X289" s="404">
        <v>46293</v>
      </c>
      <c r="Y289" s="404">
        <v>46328</v>
      </c>
      <c r="Z289" s="404">
        <v>46342</v>
      </c>
      <c r="AA289" s="404">
        <v>46372</v>
      </c>
      <c r="AB289" s="404">
        <v>46372</v>
      </c>
      <c r="AC289" s="404">
        <v>46374</v>
      </c>
      <c r="AD289" s="404">
        <v>46435</v>
      </c>
      <c r="AE289" s="404">
        <v>46442</v>
      </c>
      <c r="AF289" s="404">
        <v>46449</v>
      </c>
      <c r="AG289" s="404">
        <v>46463</v>
      </c>
      <c r="AH289" s="404">
        <v>46479</v>
      </c>
      <c r="AI289" s="428">
        <v>24</v>
      </c>
      <c r="AJ289" s="406">
        <f>AI289*7</f>
        <v>168</v>
      </c>
      <c r="AK289" s="404">
        <f>V289+AJ289</f>
        <v>46449</v>
      </c>
      <c r="AL289" s="407">
        <f>AL290</f>
        <v>46485</v>
      </c>
      <c r="AM289" s="399">
        <f>AL290-AK289</f>
        <v>36</v>
      </c>
      <c r="AN289" s="408"/>
      <c r="AO289" s="409" t="s">
        <v>61</v>
      </c>
      <c r="AP289" s="410">
        <v>46492</v>
      </c>
      <c r="AQ289" s="407"/>
    </row>
    <row r="290" s="333" customFormat="1" ht="23" customHeight="1" spans="1:43">
      <c r="A290" s="396"/>
      <c r="B290" s="324" t="s">
        <v>346</v>
      </c>
      <c r="C290" s="397" t="s">
        <v>347</v>
      </c>
      <c r="D290" s="449"/>
      <c r="E290" s="399"/>
      <c r="F290" s="400" t="s">
        <v>272</v>
      </c>
      <c r="G290" s="399" t="s">
        <v>85</v>
      </c>
      <c r="H290" s="324" t="s">
        <v>63</v>
      </c>
      <c r="I290" s="324">
        <v>3</v>
      </c>
      <c r="J290" s="324" t="s">
        <v>6</v>
      </c>
      <c r="K290" s="402" t="s">
        <v>64</v>
      </c>
      <c r="L290" s="404">
        <v>46161</v>
      </c>
      <c r="M290" s="404"/>
      <c r="N290" s="404"/>
      <c r="O290" s="404"/>
      <c r="P290" s="404"/>
      <c r="Q290" s="404"/>
      <c r="R290" s="404"/>
      <c r="S290" s="404">
        <v>46311</v>
      </c>
      <c r="T290" s="404">
        <f>_xlfn.WORKDAY.INTL(S290,INDEX(T$8:T$11,MATCH($J290,$J$8:$J$11,0)),1,IF(T$18="China",'China Holidays'!$A$2:$A$82,'Thai Holidays'!$A$2:$A$63))</f>
        <v>46328</v>
      </c>
      <c r="U290" s="404"/>
      <c r="V290" s="404">
        <v>46315</v>
      </c>
      <c r="W290" s="404">
        <v>46317</v>
      </c>
      <c r="X290" s="404">
        <v>46324</v>
      </c>
      <c r="Y290" s="404">
        <v>46352</v>
      </c>
      <c r="Z290" s="411">
        <f>AB290-5</f>
        <v>46392</v>
      </c>
      <c r="AA290" s="404">
        <v>46397</v>
      </c>
      <c r="AB290" s="404">
        <v>46397</v>
      </c>
      <c r="AC290" s="404">
        <v>46399</v>
      </c>
      <c r="AD290" s="404">
        <v>46469</v>
      </c>
      <c r="AE290" s="411">
        <v>46476</v>
      </c>
      <c r="AF290" s="404">
        <v>46483</v>
      </c>
      <c r="AG290" s="404">
        <v>46497</v>
      </c>
      <c r="AH290" s="404">
        <v>46513</v>
      </c>
      <c r="AI290" s="405">
        <v>24</v>
      </c>
      <c r="AJ290" s="406">
        <v>168</v>
      </c>
      <c r="AK290" s="404">
        <f>IF(V290&lt;&gt;"",V290+AJ290,V291+AJ290)</f>
        <v>46483</v>
      </c>
      <c r="AL290" s="407">
        <f>AP289-7</f>
        <v>46485</v>
      </c>
      <c r="AM290" s="399">
        <f>AL290-AK290</f>
        <v>2</v>
      </c>
      <c r="AN290" s="408"/>
      <c r="AO290" s="409" t="s">
        <v>65</v>
      </c>
      <c r="AP290" s="410">
        <v>46492</v>
      </c>
      <c r="AQ290" s="407"/>
    </row>
    <row r="291" s="333" customFormat="1" ht="23" hidden="1" customHeight="1" spans="1:43">
      <c r="A291" s="414"/>
      <c r="B291" s="415" t="s">
        <v>346</v>
      </c>
      <c r="C291" s="447" t="s">
        <v>347</v>
      </c>
      <c r="D291" s="450"/>
      <c r="E291" s="417"/>
      <c r="F291" s="418"/>
      <c r="G291" s="417" t="s">
        <v>85</v>
      </c>
      <c r="H291" s="415" t="s">
        <v>63</v>
      </c>
      <c r="I291" s="324">
        <v>3</v>
      </c>
      <c r="J291" s="415" t="s">
        <v>6</v>
      </c>
      <c r="K291" s="419" t="s">
        <v>66</v>
      </c>
      <c r="L291" s="420"/>
      <c r="M291" s="420">
        <v>46169</v>
      </c>
      <c r="N291" s="420">
        <v>46184</v>
      </c>
      <c r="O291" s="420">
        <v>46184</v>
      </c>
      <c r="P291" s="420">
        <v>46184</v>
      </c>
      <c r="Q291" s="420">
        <v>46188</v>
      </c>
      <c r="R291" s="420">
        <v>46232</v>
      </c>
      <c r="S291" s="420"/>
      <c r="T291" s="420"/>
      <c r="U291" s="420"/>
      <c r="V291" s="420"/>
      <c r="W291" s="420"/>
      <c r="X291" s="420"/>
      <c r="Y291" s="420"/>
      <c r="Z291" s="420"/>
      <c r="AA291" s="420"/>
      <c r="AB291" s="420"/>
      <c r="AC291" s="420"/>
      <c r="AD291" s="420"/>
      <c r="AE291" s="420"/>
      <c r="AF291" s="420"/>
      <c r="AG291" s="420"/>
      <c r="AH291" s="420"/>
      <c r="AI291" s="422"/>
      <c r="AJ291" s="423"/>
      <c r="AK291" s="420"/>
      <c r="AL291" s="424"/>
      <c r="AM291" s="417"/>
      <c r="AN291" s="425"/>
      <c r="AO291" s="426"/>
      <c r="AP291" s="418"/>
      <c r="AQ291" s="424"/>
    </row>
    <row r="292" s="333" customFormat="1" ht="23" hidden="1" customHeight="1" spans="1:43">
      <c r="A292" s="396">
        <v>98</v>
      </c>
      <c r="B292" s="324" t="s">
        <v>348</v>
      </c>
      <c r="C292" s="324" t="s">
        <v>349</v>
      </c>
      <c r="D292" s="448"/>
      <c r="E292" s="399"/>
      <c r="F292" s="400"/>
      <c r="G292" s="399" t="s">
        <v>85</v>
      </c>
      <c r="H292" s="324"/>
      <c r="I292" s="401"/>
      <c r="J292" s="324" t="s">
        <v>6</v>
      </c>
      <c r="K292" s="402" t="s">
        <v>59</v>
      </c>
      <c r="L292" s="403"/>
      <c r="M292" s="404">
        <v>46167</v>
      </c>
      <c r="N292" s="404">
        <v>46177</v>
      </c>
      <c r="O292" s="404">
        <v>46177</v>
      </c>
      <c r="P292" s="404">
        <v>46184</v>
      </c>
      <c r="Q292" s="404">
        <v>46184</v>
      </c>
      <c r="R292" s="404">
        <v>46226</v>
      </c>
      <c r="S292" s="404">
        <v>46254</v>
      </c>
      <c r="T292" s="404">
        <v>46268</v>
      </c>
      <c r="U292" s="404"/>
      <c r="V292" s="404">
        <v>46281</v>
      </c>
      <c r="W292" s="404">
        <v>46283</v>
      </c>
      <c r="X292" s="404">
        <v>46293</v>
      </c>
      <c r="Y292" s="404">
        <v>46328</v>
      </c>
      <c r="Z292" s="404">
        <v>46342</v>
      </c>
      <c r="AA292" s="404">
        <v>46372</v>
      </c>
      <c r="AB292" s="404">
        <v>46372</v>
      </c>
      <c r="AC292" s="404">
        <v>46374</v>
      </c>
      <c r="AD292" s="404">
        <v>46435</v>
      </c>
      <c r="AE292" s="404">
        <v>46442</v>
      </c>
      <c r="AF292" s="404">
        <v>46449</v>
      </c>
      <c r="AG292" s="404">
        <v>46463</v>
      </c>
      <c r="AH292" s="404">
        <v>46479</v>
      </c>
      <c r="AI292" s="428">
        <v>24</v>
      </c>
      <c r="AJ292" s="406">
        <f>AI292*7</f>
        <v>168</v>
      </c>
      <c r="AK292" s="404">
        <f>V292+AJ292</f>
        <v>46449</v>
      </c>
      <c r="AL292" s="407">
        <f>AL293</f>
        <v>46485</v>
      </c>
      <c r="AM292" s="399">
        <f>AL293-AK292</f>
        <v>36</v>
      </c>
      <c r="AN292" s="408"/>
      <c r="AO292" s="409" t="s">
        <v>61</v>
      </c>
      <c r="AP292" s="410">
        <v>46492</v>
      </c>
      <c r="AQ292" s="407"/>
    </row>
    <row r="293" s="333" customFormat="1" ht="23" customHeight="1" spans="1:43">
      <c r="A293" s="396"/>
      <c r="B293" s="324" t="s">
        <v>348</v>
      </c>
      <c r="C293" s="397" t="s">
        <v>349</v>
      </c>
      <c r="D293" s="449"/>
      <c r="E293" s="399"/>
      <c r="F293" s="400" t="s">
        <v>272</v>
      </c>
      <c r="G293" s="399" t="s">
        <v>85</v>
      </c>
      <c r="H293" s="324" t="s">
        <v>63</v>
      </c>
      <c r="I293" s="324">
        <v>3</v>
      </c>
      <c r="J293" s="324" t="s">
        <v>6</v>
      </c>
      <c r="K293" s="402" t="s">
        <v>64</v>
      </c>
      <c r="L293" s="404">
        <v>46161</v>
      </c>
      <c r="M293" s="404"/>
      <c r="N293" s="404"/>
      <c r="O293" s="404"/>
      <c r="P293" s="404"/>
      <c r="Q293" s="404"/>
      <c r="R293" s="404"/>
      <c r="S293" s="404"/>
      <c r="T293" s="404">
        <v>46304</v>
      </c>
      <c r="U293" s="404"/>
      <c r="V293" s="404">
        <v>46315</v>
      </c>
      <c r="W293" s="404">
        <v>46317</v>
      </c>
      <c r="X293" s="404">
        <v>46324</v>
      </c>
      <c r="Y293" s="404">
        <v>46352</v>
      </c>
      <c r="Z293" s="411">
        <f>AB293-5</f>
        <v>46392</v>
      </c>
      <c r="AA293" s="404">
        <v>46397</v>
      </c>
      <c r="AB293" s="404">
        <v>46397</v>
      </c>
      <c r="AC293" s="404">
        <v>46399</v>
      </c>
      <c r="AD293" s="404">
        <v>46469</v>
      </c>
      <c r="AE293" s="411">
        <v>46476</v>
      </c>
      <c r="AF293" s="404">
        <v>46483</v>
      </c>
      <c r="AG293" s="404">
        <v>46497</v>
      </c>
      <c r="AH293" s="404">
        <v>46513</v>
      </c>
      <c r="AI293" s="405">
        <v>24</v>
      </c>
      <c r="AJ293" s="406">
        <v>168</v>
      </c>
      <c r="AK293" s="404">
        <f>IF(V293&lt;&gt;"",V293+AJ293,V294+AJ293)</f>
        <v>46483</v>
      </c>
      <c r="AL293" s="407">
        <f>AP292-7</f>
        <v>46485</v>
      </c>
      <c r="AM293" s="399">
        <f>AL293-AK293</f>
        <v>2</v>
      </c>
      <c r="AN293" s="408"/>
      <c r="AO293" s="409" t="s">
        <v>65</v>
      </c>
      <c r="AP293" s="410">
        <v>46492</v>
      </c>
      <c r="AQ293" s="407"/>
    </row>
    <row r="294" s="333" customFormat="1" ht="23" hidden="1" customHeight="1" spans="1:43">
      <c r="A294" s="414"/>
      <c r="B294" s="415" t="s">
        <v>348</v>
      </c>
      <c r="C294" s="447" t="s">
        <v>349</v>
      </c>
      <c r="D294" s="450"/>
      <c r="E294" s="417"/>
      <c r="F294" s="418"/>
      <c r="G294" s="417" t="s">
        <v>85</v>
      </c>
      <c r="H294" s="415" t="s">
        <v>63</v>
      </c>
      <c r="I294" s="324">
        <v>3</v>
      </c>
      <c r="J294" s="415" t="s">
        <v>6</v>
      </c>
      <c r="K294" s="419" t="s">
        <v>66</v>
      </c>
      <c r="L294" s="420"/>
      <c r="M294" s="420">
        <v>46169</v>
      </c>
      <c r="N294" s="420">
        <v>46184</v>
      </c>
      <c r="O294" s="420">
        <v>46184</v>
      </c>
      <c r="P294" s="420">
        <v>46184</v>
      </c>
      <c r="Q294" s="420">
        <v>46188</v>
      </c>
      <c r="R294" s="420">
        <v>46239</v>
      </c>
      <c r="S294" s="420">
        <v>46286</v>
      </c>
      <c r="T294" s="421">
        <v>46300</v>
      </c>
      <c r="U294" s="420"/>
      <c r="V294" s="420"/>
      <c r="W294" s="420"/>
      <c r="X294" s="420"/>
      <c r="Y294" s="420"/>
      <c r="Z294" s="420"/>
      <c r="AA294" s="420"/>
      <c r="AB294" s="420"/>
      <c r="AC294" s="420"/>
      <c r="AD294" s="420"/>
      <c r="AE294" s="420"/>
      <c r="AF294" s="420"/>
      <c r="AG294" s="420"/>
      <c r="AH294" s="420"/>
      <c r="AI294" s="422"/>
      <c r="AJ294" s="423"/>
      <c r="AK294" s="420"/>
      <c r="AL294" s="424"/>
      <c r="AM294" s="417"/>
      <c r="AN294" s="425"/>
      <c r="AO294" s="426"/>
      <c r="AP294" s="418"/>
      <c r="AQ294" s="424" t="s">
        <v>217</v>
      </c>
    </row>
    <row r="295" s="333" customFormat="1" ht="23" hidden="1" customHeight="1" spans="1:43">
      <c r="A295" s="396">
        <v>99</v>
      </c>
      <c r="B295" s="324" t="s">
        <v>350</v>
      </c>
      <c r="C295" s="324" t="s">
        <v>351</v>
      </c>
      <c r="D295" s="448"/>
      <c r="E295" s="399"/>
      <c r="F295" s="400"/>
      <c r="G295" s="399" t="s">
        <v>85</v>
      </c>
      <c r="H295" s="324"/>
      <c r="I295" s="401"/>
      <c r="J295" s="324" t="s">
        <v>6</v>
      </c>
      <c r="K295" s="402" t="s">
        <v>59</v>
      </c>
      <c r="L295" s="403"/>
      <c r="M295" s="404">
        <v>46167</v>
      </c>
      <c r="N295" s="404">
        <v>46177</v>
      </c>
      <c r="O295" s="404">
        <v>46177</v>
      </c>
      <c r="P295" s="404">
        <v>46184</v>
      </c>
      <c r="Q295" s="404">
        <v>46184</v>
      </c>
      <c r="R295" s="404">
        <v>46226</v>
      </c>
      <c r="S295" s="404">
        <v>46254</v>
      </c>
      <c r="T295" s="404">
        <v>46268</v>
      </c>
      <c r="U295" s="404"/>
      <c r="V295" s="404">
        <v>46281</v>
      </c>
      <c r="W295" s="404">
        <v>46283</v>
      </c>
      <c r="X295" s="404">
        <v>46293</v>
      </c>
      <c r="Y295" s="404">
        <v>46328</v>
      </c>
      <c r="Z295" s="404">
        <v>46342</v>
      </c>
      <c r="AA295" s="404">
        <v>46372</v>
      </c>
      <c r="AB295" s="404">
        <v>46372</v>
      </c>
      <c r="AC295" s="404">
        <v>46374</v>
      </c>
      <c r="AD295" s="404">
        <v>46435</v>
      </c>
      <c r="AE295" s="404">
        <v>46442</v>
      </c>
      <c r="AF295" s="404">
        <v>46449</v>
      </c>
      <c r="AG295" s="404">
        <v>46463</v>
      </c>
      <c r="AH295" s="404">
        <v>46479</v>
      </c>
      <c r="AI295" s="428">
        <v>24</v>
      </c>
      <c r="AJ295" s="406">
        <f>AI295*7</f>
        <v>168</v>
      </c>
      <c r="AK295" s="404">
        <f>V295+AJ295</f>
        <v>46449</v>
      </c>
      <c r="AL295" s="407">
        <f>AL296</f>
        <v>46485</v>
      </c>
      <c r="AM295" s="399">
        <f>AL296-AK295</f>
        <v>36</v>
      </c>
      <c r="AN295" s="408"/>
      <c r="AO295" s="409" t="s">
        <v>61</v>
      </c>
      <c r="AP295" s="410">
        <v>46492</v>
      </c>
      <c r="AQ295" s="407"/>
    </row>
    <row r="296" s="333" customFormat="1" ht="23" customHeight="1" spans="1:43">
      <c r="A296" s="396"/>
      <c r="B296" s="324" t="s">
        <v>350</v>
      </c>
      <c r="C296" s="397" t="s">
        <v>352</v>
      </c>
      <c r="D296" s="449"/>
      <c r="E296" s="399"/>
      <c r="F296" s="400" t="s">
        <v>272</v>
      </c>
      <c r="G296" s="399" t="s">
        <v>85</v>
      </c>
      <c r="H296" s="324" t="s">
        <v>63</v>
      </c>
      <c r="I296" s="324">
        <v>3</v>
      </c>
      <c r="J296" s="324" t="s">
        <v>6</v>
      </c>
      <c r="K296" s="402" t="s">
        <v>64</v>
      </c>
      <c r="L296" s="404">
        <v>46161</v>
      </c>
      <c r="M296" s="404"/>
      <c r="N296" s="404"/>
      <c r="O296" s="404"/>
      <c r="P296" s="404"/>
      <c r="Q296" s="404"/>
      <c r="R296" s="404"/>
      <c r="S296" s="404">
        <v>46311</v>
      </c>
      <c r="T296" s="404">
        <f>_xlfn.WORKDAY.INTL(S296,INDEX(T$8:T$11,MATCH($J296,$J$8:$J$11,0)),1,IF(T$18="China",'China Holidays'!$A$2:$A$82,'Thai Holidays'!$A$2:$A$63))</f>
        <v>46328</v>
      </c>
      <c r="U296" s="404"/>
      <c r="V296" s="404">
        <v>46315</v>
      </c>
      <c r="W296" s="404">
        <v>46317</v>
      </c>
      <c r="X296" s="404">
        <v>46324</v>
      </c>
      <c r="Y296" s="404">
        <v>46352</v>
      </c>
      <c r="Z296" s="411">
        <f>AB296-5</f>
        <v>46392</v>
      </c>
      <c r="AA296" s="404">
        <v>46397</v>
      </c>
      <c r="AB296" s="404">
        <v>46397</v>
      </c>
      <c r="AC296" s="404">
        <v>46399</v>
      </c>
      <c r="AD296" s="404">
        <v>46469</v>
      </c>
      <c r="AE296" s="411">
        <v>46476</v>
      </c>
      <c r="AF296" s="404">
        <v>46483</v>
      </c>
      <c r="AG296" s="404">
        <v>46497</v>
      </c>
      <c r="AH296" s="404">
        <v>46513</v>
      </c>
      <c r="AI296" s="405">
        <v>24</v>
      </c>
      <c r="AJ296" s="406">
        <v>168</v>
      </c>
      <c r="AK296" s="404">
        <f>IF(V296&lt;&gt;"",V296+AJ296,V297+AJ296)</f>
        <v>46483</v>
      </c>
      <c r="AL296" s="407">
        <f>AP295-7</f>
        <v>46485</v>
      </c>
      <c r="AM296" s="399">
        <f>AL296-AK296</f>
        <v>2</v>
      </c>
      <c r="AN296" s="408"/>
      <c r="AO296" s="409" t="s">
        <v>65</v>
      </c>
      <c r="AP296" s="410">
        <v>46492</v>
      </c>
      <c r="AQ296" s="407"/>
    </row>
    <row r="297" s="333" customFormat="1" ht="23" hidden="1" customHeight="1" spans="1:43">
      <c r="A297" s="414"/>
      <c r="B297" s="415" t="s">
        <v>350</v>
      </c>
      <c r="C297" s="447" t="s">
        <v>351</v>
      </c>
      <c r="D297" s="450"/>
      <c r="E297" s="417"/>
      <c r="F297" s="418"/>
      <c r="G297" s="417" t="s">
        <v>85</v>
      </c>
      <c r="H297" s="415" t="s">
        <v>63</v>
      </c>
      <c r="I297" s="415">
        <v>3</v>
      </c>
      <c r="J297" s="415" t="s">
        <v>6</v>
      </c>
      <c r="K297" s="419" t="s">
        <v>66</v>
      </c>
      <c r="L297" s="420"/>
      <c r="M297" s="420">
        <v>46169</v>
      </c>
      <c r="N297" s="420">
        <v>46184</v>
      </c>
      <c r="O297" s="420">
        <v>46184</v>
      </c>
      <c r="P297" s="420">
        <v>46184</v>
      </c>
      <c r="Q297" s="420">
        <v>46188</v>
      </c>
      <c r="R297" s="420">
        <v>46232</v>
      </c>
      <c r="S297" s="516">
        <v>46300</v>
      </c>
      <c r="T297" s="420"/>
      <c r="U297" s="420"/>
      <c r="V297" s="420"/>
      <c r="W297" s="420"/>
      <c r="X297" s="420"/>
      <c r="Y297" s="420"/>
      <c r="Z297" s="420"/>
      <c r="AA297" s="420"/>
      <c r="AB297" s="420"/>
      <c r="AC297" s="420"/>
      <c r="AD297" s="420"/>
      <c r="AE297" s="420"/>
      <c r="AF297" s="420"/>
      <c r="AG297" s="420"/>
      <c r="AH297" s="420"/>
      <c r="AI297" s="422"/>
      <c r="AJ297" s="423"/>
      <c r="AK297" s="420"/>
      <c r="AL297" s="424"/>
      <c r="AM297" s="417"/>
      <c r="AN297" s="425"/>
      <c r="AO297" s="426"/>
      <c r="AP297" s="418"/>
      <c r="AQ297" s="424" t="s">
        <v>217</v>
      </c>
    </row>
    <row r="298" s="333" customFormat="1" ht="23" hidden="1" customHeight="1" spans="1:43">
      <c r="A298" s="396">
        <v>100</v>
      </c>
      <c r="B298" s="324" t="s">
        <v>353</v>
      </c>
      <c r="C298" s="324" t="s">
        <v>354</v>
      </c>
      <c r="D298" s="448"/>
      <c r="E298" s="399"/>
      <c r="F298" s="400"/>
      <c r="G298" s="399" t="s">
        <v>85</v>
      </c>
      <c r="H298" s="324"/>
      <c r="I298" s="401"/>
      <c r="J298" s="324" t="s">
        <v>9</v>
      </c>
      <c r="K298" s="402" t="s">
        <v>59</v>
      </c>
      <c r="L298" s="403"/>
      <c r="M298" s="404">
        <v>46169</v>
      </c>
      <c r="N298" s="404">
        <v>46184</v>
      </c>
      <c r="O298" s="404">
        <v>46184</v>
      </c>
      <c r="P298" s="404">
        <v>46184</v>
      </c>
      <c r="Q298" s="404">
        <v>46184</v>
      </c>
      <c r="R298" s="404">
        <v>46233</v>
      </c>
      <c r="S298" s="404">
        <v>46261</v>
      </c>
      <c r="T298" s="404">
        <v>46275</v>
      </c>
      <c r="U298" s="404"/>
      <c r="V298" s="404">
        <v>46282</v>
      </c>
      <c r="W298" s="404">
        <v>46284</v>
      </c>
      <c r="X298" s="404">
        <v>46289</v>
      </c>
      <c r="Y298" s="404">
        <v>46303</v>
      </c>
      <c r="Z298" s="404">
        <v>46317</v>
      </c>
      <c r="AA298" s="404">
        <v>46303</v>
      </c>
      <c r="AB298" s="404">
        <v>46303</v>
      </c>
      <c r="AC298" s="404">
        <v>46305</v>
      </c>
      <c r="AD298" s="404">
        <v>46324</v>
      </c>
      <c r="AE298" s="404">
        <v>46327</v>
      </c>
      <c r="AF298" s="404">
        <v>46342</v>
      </c>
      <c r="AG298" s="404">
        <v>46356</v>
      </c>
      <c r="AH298" s="404">
        <v>46372</v>
      </c>
      <c r="AI298" s="428">
        <v>8.57142857142857</v>
      </c>
      <c r="AJ298" s="406">
        <f>AI298*7</f>
        <v>60</v>
      </c>
      <c r="AK298" s="404">
        <f>V298+AJ298</f>
        <v>46342</v>
      </c>
      <c r="AL298" s="407">
        <f>AL299</f>
        <v>46356</v>
      </c>
      <c r="AM298" s="399">
        <f>AL299-AK298</f>
        <v>14</v>
      </c>
      <c r="AN298" s="408"/>
      <c r="AO298" s="409" t="s">
        <v>61</v>
      </c>
      <c r="AP298" s="410">
        <v>46359</v>
      </c>
      <c r="AQ298" s="407"/>
    </row>
    <row r="299" s="337" customFormat="1" ht="23" customHeight="1" spans="1:43">
      <c r="A299" s="396"/>
      <c r="B299" s="324" t="s">
        <v>353</v>
      </c>
      <c r="C299" s="397" t="s">
        <v>354</v>
      </c>
      <c r="D299" s="449"/>
      <c r="E299" s="399"/>
      <c r="F299" s="517" t="s">
        <v>272</v>
      </c>
      <c r="G299" s="399" t="s">
        <v>85</v>
      </c>
      <c r="H299" s="324" t="s">
        <v>72</v>
      </c>
      <c r="I299" s="324">
        <v>0</v>
      </c>
      <c r="J299" s="324" t="s">
        <v>9</v>
      </c>
      <c r="K299" s="402" t="s">
        <v>64</v>
      </c>
      <c r="L299" s="404">
        <v>46162</v>
      </c>
      <c r="M299" s="404"/>
      <c r="N299" s="404"/>
      <c r="O299" s="404"/>
      <c r="P299" s="404"/>
      <c r="Q299" s="411">
        <v>46295</v>
      </c>
      <c r="R299" s="411">
        <v>46304</v>
      </c>
      <c r="S299" s="411">
        <f>_xlfn.WORKDAY.INTL(R299,INDEX(S$8:S$11,MATCH($J299,$J$8:$J$11,0)),1,IF(S$18="China",'[35]China Holidays'!$A$2:$A$82,'[35]Thai Holidays'!$A$2:$A$63))</f>
        <v>46316</v>
      </c>
      <c r="T299" s="411">
        <f>_xlfn.WORKDAY.INTL(S299,INDEX(T$8:T$11,MATCH($J299,$J$8:$J$11,0)),1,IF(T$18="China",'[35]China Holidays'!$A$2:$A$82,'[35]Thai Holidays'!$A$2:$A$63))</f>
        <v>46331</v>
      </c>
      <c r="U299" s="411"/>
      <c r="V299" s="411">
        <f>_xlfn.WORKDAY.INTL(T299,INDEX(V$8:V$11,MATCH($J299,$J$8:$J$11,0)),1,IF(V$18="China",'China Holidays'!$A$2:$A$82,'Thai Holidays'!$A$2:$A$63))</f>
        <v>46338</v>
      </c>
      <c r="W299" s="411">
        <f>_xlfn.WORKDAY.INTL(V299,INDEX(W$12:W$15,MATCH($J299,$J$12:$J$15,0)),1,IF(W$18="China",'China Holidays'!$A$2:$A$82,'Thai Holidays'!$A$2:$A$63))</f>
        <v>46342</v>
      </c>
      <c r="X299" s="411">
        <f>_xlfn.WORKDAY.INTL(W299,INDEX(X$12:X$15,MATCH($J299,$J$12:$J$15,0)),1,IF(X$18="China",'China Holidays'!$A$2:$A$82,'Thai Holidays'!$A$2:$A$63))</f>
        <v>46349</v>
      </c>
      <c r="Y299" s="411">
        <f>_xlfn.WORKDAY.INTL(X299,INDEX(Y$12:Y$15,MATCH($J299,$J$12:$J$15,0)),1,IF(Y$18="China",'China Holidays'!$A$2:$A$82,'Thai Holidays'!$A$2:$A$63))</f>
        <v>46363</v>
      </c>
      <c r="Z299" s="411">
        <f>_xlfn.WORKDAY.INTL(Y299,INDEX(Z$12:Z$15,MATCH($J299,$J$12:$J$15,0)),1,IF(Z$18="China",'China Holidays'!$A$2:$A$82,'Thai Holidays'!$A$2:$A$63))</f>
        <v>46377</v>
      </c>
      <c r="AA299" s="404">
        <f>Z299+10</f>
        <v>46387</v>
      </c>
      <c r="AB299" s="404">
        <f>AA299</f>
        <v>46387</v>
      </c>
      <c r="AC299" s="404">
        <f>AB299+2</f>
        <v>46389</v>
      </c>
      <c r="AD299" s="404">
        <f>AE299-7</f>
        <v>46354</v>
      </c>
      <c r="AE299" s="411">
        <f>AF299-7</f>
        <v>46361</v>
      </c>
      <c r="AF299" s="404">
        <f>AK299</f>
        <v>46368</v>
      </c>
      <c r="AG299" s="404">
        <f>AK299+14</f>
        <v>46382</v>
      </c>
      <c r="AH299" s="404">
        <f>AK299+30</f>
        <v>46398</v>
      </c>
      <c r="AI299" s="405">
        <v>8.57142857142857</v>
      </c>
      <c r="AJ299" s="446">
        <v>30</v>
      </c>
      <c r="AK299" s="404">
        <f>IF(V299&lt;&gt;"",V299+AJ299,V300+AJ299)</f>
        <v>46368</v>
      </c>
      <c r="AL299" s="407">
        <f>AP298-3</f>
        <v>46356</v>
      </c>
      <c r="AM299" s="399">
        <f>AL299-AK299</f>
        <v>-12</v>
      </c>
      <c r="AN299" s="408"/>
      <c r="AO299" s="409" t="s">
        <v>65</v>
      </c>
      <c r="AP299" s="410">
        <v>46379</v>
      </c>
      <c r="AQ299" s="424" t="s">
        <v>355</v>
      </c>
    </row>
    <row r="300" s="337" customFormat="1" ht="23" hidden="1" customHeight="1" spans="1:43">
      <c r="A300" s="414"/>
      <c r="B300" s="415" t="s">
        <v>353</v>
      </c>
      <c r="C300" s="447" t="s">
        <v>354</v>
      </c>
      <c r="D300" s="450"/>
      <c r="E300" s="417"/>
      <c r="F300" s="504"/>
      <c r="G300" s="417" t="s">
        <v>85</v>
      </c>
      <c r="H300" s="415" t="s">
        <v>72</v>
      </c>
      <c r="I300" s="415"/>
      <c r="J300" s="415" t="s">
        <v>9</v>
      </c>
      <c r="K300" s="419" t="s">
        <v>66</v>
      </c>
      <c r="L300" s="420"/>
      <c r="M300" s="420">
        <v>46169</v>
      </c>
      <c r="N300" s="420">
        <v>46184</v>
      </c>
      <c r="O300" s="420">
        <v>46184</v>
      </c>
      <c r="P300" s="420">
        <v>46184</v>
      </c>
      <c r="Q300" s="420"/>
      <c r="R300" s="420"/>
      <c r="S300" s="420"/>
      <c r="T300" s="420"/>
      <c r="U300" s="420"/>
      <c r="V300" s="417"/>
      <c r="W300" s="420"/>
      <c r="X300" s="420"/>
      <c r="Y300" s="420"/>
      <c r="Z300" s="420"/>
      <c r="AA300" s="420"/>
      <c r="AB300" s="420"/>
      <c r="AC300" s="420"/>
      <c r="AD300" s="420"/>
      <c r="AE300" s="420"/>
      <c r="AF300" s="420"/>
      <c r="AG300" s="420"/>
      <c r="AH300" s="420"/>
      <c r="AI300" s="422"/>
      <c r="AJ300" s="423"/>
      <c r="AK300" s="420"/>
      <c r="AL300" s="518"/>
      <c r="AM300" s="417"/>
      <c r="AN300" s="425"/>
      <c r="AO300" s="426"/>
      <c r="AP300" s="425"/>
      <c r="AQ300" s="518"/>
    </row>
    <row r="301" s="333" customFormat="1" ht="23" hidden="1" customHeight="1" spans="1:43">
      <c r="A301" s="396">
        <v>101</v>
      </c>
      <c r="B301" s="324" t="s">
        <v>356</v>
      </c>
      <c r="C301" s="324" t="s">
        <v>357</v>
      </c>
      <c r="D301" s="448"/>
      <c r="E301" s="399"/>
      <c r="F301" s="400"/>
      <c r="G301" s="399" t="s">
        <v>136</v>
      </c>
      <c r="H301" s="324"/>
      <c r="I301" s="401"/>
      <c r="J301" s="324" t="s">
        <v>8</v>
      </c>
      <c r="K301" s="402" t="s">
        <v>59</v>
      </c>
      <c r="L301" s="403"/>
      <c r="M301" s="404">
        <v>46245</v>
      </c>
      <c r="N301" s="404">
        <v>46260</v>
      </c>
      <c r="O301" s="404">
        <v>46260</v>
      </c>
      <c r="P301" s="404">
        <v>46261</v>
      </c>
      <c r="Q301" s="404">
        <v>46261</v>
      </c>
      <c r="R301" s="404">
        <v>46275</v>
      </c>
      <c r="S301" s="404">
        <v>46293</v>
      </c>
      <c r="T301" s="404">
        <v>46307</v>
      </c>
      <c r="U301" s="404"/>
      <c r="V301" s="404">
        <v>46316</v>
      </c>
      <c r="W301" s="404">
        <v>46318</v>
      </c>
      <c r="X301" s="404">
        <v>46325</v>
      </c>
      <c r="Y301" s="404">
        <v>46346</v>
      </c>
      <c r="Z301" s="404">
        <v>46360</v>
      </c>
      <c r="AA301" s="404">
        <v>46375</v>
      </c>
      <c r="AB301" s="404">
        <v>46375</v>
      </c>
      <c r="AC301" s="404">
        <v>46377</v>
      </c>
      <c r="AD301" s="404">
        <v>46421</v>
      </c>
      <c r="AE301" s="404">
        <v>46435</v>
      </c>
      <c r="AF301" s="404">
        <v>46442</v>
      </c>
      <c r="AG301" s="404">
        <v>46456</v>
      </c>
      <c r="AH301" s="404">
        <v>46472</v>
      </c>
      <c r="AI301" s="428">
        <v>18</v>
      </c>
      <c r="AJ301" s="406">
        <f>AI301*7</f>
        <v>126</v>
      </c>
      <c r="AK301" s="404">
        <f>V301+AJ301</f>
        <v>46442</v>
      </c>
      <c r="AL301" s="407">
        <f>AL302</f>
        <v>46484</v>
      </c>
      <c r="AM301" s="399">
        <f>AL302-AK301</f>
        <v>42</v>
      </c>
      <c r="AN301" s="408"/>
      <c r="AO301" s="409" t="s">
        <v>61</v>
      </c>
      <c r="AP301" s="410">
        <v>46491</v>
      </c>
      <c r="AQ301" s="407"/>
    </row>
    <row r="302" s="333" customFormat="1" ht="23" customHeight="1" spans="1:43">
      <c r="A302" s="396"/>
      <c r="B302" s="324" t="s">
        <v>356</v>
      </c>
      <c r="C302" s="397" t="s">
        <v>358</v>
      </c>
      <c r="D302" s="449"/>
      <c r="E302" s="399"/>
      <c r="F302" s="400" t="s">
        <v>166</v>
      </c>
      <c r="G302" s="399" t="s">
        <v>136</v>
      </c>
      <c r="H302" s="324" t="s">
        <v>72</v>
      </c>
      <c r="I302" s="324">
        <v>4</v>
      </c>
      <c r="J302" s="324" t="s">
        <v>8</v>
      </c>
      <c r="K302" s="402" t="s">
        <v>64</v>
      </c>
      <c r="L302" s="404"/>
      <c r="M302" s="404"/>
      <c r="N302" s="404"/>
      <c r="O302" s="404"/>
      <c r="P302" s="404"/>
      <c r="Q302" s="404"/>
      <c r="R302" s="404"/>
      <c r="S302" s="404">
        <v>46297</v>
      </c>
      <c r="T302" s="404">
        <f>_xlfn.WORKDAY.INTL(S302,INDEX(T$8:T$11,MATCH($J302,$J$8:$J$11,0)),1,IF(T$18="China",'China Holidays'!$A$2:$A$82,'Thai Holidays'!$A$2:$A$63))</f>
        <v>46314</v>
      </c>
      <c r="U302" s="404"/>
      <c r="V302" s="404">
        <v>46323</v>
      </c>
      <c r="W302" s="404">
        <v>46325</v>
      </c>
      <c r="X302" s="404">
        <v>46332</v>
      </c>
      <c r="Y302" s="404">
        <v>46353</v>
      </c>
      <c r="Z302" s="411">
        <f>AB302-5</f>
        <v>46380</v>
      </c>
      <c r="AA302" s="404">
        <v>46385</v>
      </c>
      <c r="AB302" s="404">
        <v>46385</v>
      </c>
      <c r="AC302" s="404">
        <v>46387</v>
      </c>
      <c r="AD302" s="404">
        <v>46428</v>
      </c>
      <c r="AE302" s="411">
        <v>46442</v>
      </c>
      <c r="AF302" s="404">
        <v>46449</v>
      </c>
      <c r="AG302" s="404">
        <v>46463</v>
      </c>
      <c r="AH302" s="404">
        <v>46479</v>
      </c>
      <c r="AI302" s="405">
        <v>18</v>
      </c>
      <c r="AJ302" s="406">
        <v>126</v>
      </c>
      <c r="AK302" s="404">
        <f>IF(V302&lt;&gt;"",V302+AJ302,V303+AJ302)</f>
        <v>46449</v>
      </c>
      <c r="AL302" s="407">
        <f>AP301-7</f>
        <v>46484</v>
      </c>
      <c r="AM302" s="399">
        <f>AL302-AK302</f>
        <v>35</v>
      </c>
      <c r="AN302" s="408"/>
      <c r="AO302" s="409" t="s">
        <v>65</v>
      </c>
      <c r="AP302" s="410">
        <v>46491</v>
      </c>
      <c r="AQ302" s="407"/>
    </row>
    <row r="303" s="333" customFormat="1" ht="23" hidden="1" customHeight="1" spans="1:43">
      <c r="A303" s="414"/>
      <c r="B303" s="415" t="s">
        <v>356</v>
      </c>
      <c r="C303" s="447" t="s">
        <v>357</v>
      </c>
      <c r="D303" s="450"/>
      <c r="E303" s="417"/>
      <c r="F303" s="418"/>
      <c r="G303" s="417" t="s">
        <v>136</v>
      </c>
      <c r="H303" s="415" t="s">
        <v>72</v>
      </c>
      <c r="I303" s="324">
        <v>4</v>
      </c>
      <c r="J303" s="415" t="s">
        <v>8</v>
      </c>
      <c r="K303" s="419" t="s">
        <v>66</v>
      </c>
      <c r="L303" s="417"/>
      <c r="M303" s="420">
        <v>46248</v>
      </c>
      <c r="N303" s="420">
        <v>46261</v>
      </c>
      <c r="O303" s="420">
        <v>46261</v>
      </c>
      <c r="P303" s="420">
        <v>46261</v>
      </c>
      <c r="Q303" s="420">
        <f>P303</f>
        <v>46261</v>
      </c>
      <c r="R303" s="420">
        <v>46267</v>
      </c>
      <c r="S303" s="420"/>
      <c r="T303" s="420"/>
      <c r="U303" s="420"/>
      <c r="V303" s="417"/>
      <c r="W303" s="420"/>
      <c r="X303" s="420"/>
      <c r="Y303" s="420"/>
      <c r="Z303" s="420"/>
      <c r="AA303" s="420"/>
      <c r="AB303" s="420"/>
      <c r="AC303" s="420"/>
      <c r="AD303" s="420"/>
      <c r="AE303" s="420"/>
      <c r="AF303" s="420"/>
      <c r="AG303" s="420"/>
      <c r="AH303" s="420"/>
      <c r="AI303" s="422"/>
      <c r="AJ303" s="423"/>
      <c r="AK303" s="420"/>
      <c r="AL303" s="424"/>
      <c r="AM303" s="417"/>
      <c r="AN303" s="425"/>
      <c r="AO303" s="426"/>
      <c r="AP303" s="425"/>
      <c r="AQ303" s="424"/>
    </row>
    <row r="304" s="333" customFormat="1" ht="23" hidden="1" customHeight="1" spans="1:43">
      <c r="A304" s="396">
        <v>105</v>
      </c>
      <c r="B304" s="324" t="s">
        <v>359</v>
      </c>
      <c r="C304" s="324" t="s">
        <v>360</v>
      </c>
      <c r="D304" s="448"/>
      <c r="E304" s="399"/>
      <c r="F304" s="400"/>
      <c r="G304" s="399" t="s">
        <v>234</v>
      </c>
      <c r="H304" s="324"/>
      <c r="I304" s="401"/>
      <c r="J304" s="324" t="s">
        <v>6</v>
      </c>
      <c r="K304" s="402" t="s">
        <v>59</v>
      </c>
      <c r="L304" s="403"/>
      <c r="M304" s="404">
        <v>46208</v>
      </c>
      <c r="N304" s="404">
        <v>46213</v>
      </c>
      <c r="O304" s="404">
        <v>46213</v>
      </c>
      <c r="P304" s="404">
        <v>46213</v>
      </c>
      <c r="Q304" s="404">
        <v>46213</v>
      </c>
      <c r="R304" s="404">
        <v>46220</v>
      </c>
      <c r="S304" s="404">
        <v>46223</v>
      </c>
      <c r="T304" s="404">
        <v>46227</v>
      </c>
      <c r="U304" s="404"/>
      <c r="V304" s="404">
        <v>46230</v>
      </c>
      <c r="W304" s="404">
        <v>46231</v>
      </c>
      <c r="X304" s="404">
        <v>46236</v>
      </c>
      <c r="Y304" s="404">
        <v>46246</v>
      </c>
      <c r="Z304" s="404">
        <v>46258</v>
      </c>
      <c r="AA304" s="404">
        <v>46263</v>
      </c>
      <c r="AB304" s="404">
        <f>AA304+1</f>
        <v>46264</v>
      </c>
      <c r="AC304" s="404">
        <f>AB304+1</f>
        <v>46265</v>
      </c>
      <c r="AD304" s="404">
        <v>46309</v>
      </c>
      <c r="AE304" s="404">
        <v>46316</v>
      </c>
      <c r="AF304" s="404">
        <v>46319</v>
      </c>
      <c r="AG304" s="404">
        <v>46333</v>
      </c>
      <c r="AH304" s="404">
        <v>46349</v>
      </c>
      <c r="AI304" s="428">
        <v>12.8571428571429</v>
      </c>
      <c r="AJ304" s="406">
        <f>AI304*7</f>
        <v>90.0000000000003</v>
      </c>
      <c r="AK304" s="404">
        <f>V304+AJ304</f>
        <v>46320</v>
      </c>
      <c r="AL304" s="407">
        <f>AL305</f>
        <v>46327</v>
      </c>
      <c r="AM304" s="399">
        <f>AL305-AK304</f>
        <v>7</v>
      </c>
      <c r="AN304" s="408" t="s">
        <v>60</v>
      </c>
      <c r="AO304" s="409" t="s">
        <v>61</v>
      </c>
      <c r="AP304" s="410">
        <v>46331</v>
      </c>
      <c r="AQ304" s="407"/>
    </row>
    <row r="305" s="333" customFormat="1" ht="23" customHeight="1" spans="1:43">
      <c r="A305" s="396"/>
      <c r="B305" s="324" t="s">
        <v>359</v>
      </c>
      <c r="C305" s="324" t="s">
        <v>360</v>
      </c>
      <c r="D305" s="449"/>
      <c r="E305" s="399"/>
      <c r="F305" s="400" t="s">
        <v>245</v>
      </c>
      <c r="G305" s="399" t="s">
        <v>234</v>
      </c>
      <c r="H305" s="324" t="s">
        <v>63</v>
      </c>
      <c r="I305" s="324">
        <v>2</v>
      </c>
      <c r="J305" s="324" t="s">
        <v>6</v>
      </c>
      <c r="K305" s="402" t="s">
        <v>64</v>
      </c>
      <c r="L305" s="404">
        <v>46137</v>
      </c>
      <c r="M305" s="404"/>
      <c r="N305" s="404"/>
      <c r="O305" s="404"/>
      <c r="P305" s="404"/>
      <c r="Q305" s="404"/>
      <c r="R305" s="404"/>
      <c r="S305" s="404"/>
      <c r="T305" s="404"/>
      <c r="U305" s="404"/>
      <c r="V305" s="404"/>
      <c r="W305" s="404"/>
      <c r="X305" s="404"/>
      <c r="Y305" s="404"/>
      <c r="Z305" s="404"/>
      <c r="AA305" s="404"/>
      <c r="AB305" s="404"/>
      <c r="AC305" s="404"/>
      <c r="AD305" s="404">
        <v>46331</v>
      </c>
      <c r="AE305" s="411">
        <v>46338</v>
      </c>
      <c r="AF305" s="404">
        <v>46341</v>
      </c>
      <c r="AG305" s="404">
        <f>AK305+14</f>
        <v>46323</v>
      </c>
      <c r="AH305" s="404">
        <f>AK305+30</f>
        <v>46339</v>
      </c>
      <c r="AI305" s="405">
        <v>12.8571428571429</v>
      </c>
      <c r="AJ305" s="406">
        <v>90.0000000000003</v>
      </c>
      <c r="AK305" s="404">
        <f>IF(V305&lt;&gt;"",V305+AJ305,V306+AJ305)</f>
        <v>46309</v>
      </c>
      <c r="AL305" s="407">
        <v>46327</v>
      </c>
      <c r="AM305" s="399">
        <f>AL305-AK305</f>
        <v>18</v>
      </c>
      <c r="AN305" s="413" t="str">
        <f>AN304</f>
        <v>Long Lead</v>
      </c>
      <c r="AO305" s="409" t="s">
        <v>65</v>
      </c>
      <c r="AP305" s="410">
        <v>46352</v>
      </c>
      <c r="AQ305" s="407" t="s">
        <v>241</v>
      </c>
    </row>
    <row r="306" s="333" customFormat="1" ht="23" hidden="1" customHeight="1" spans="1:43">
      <c r="A306" s="414"/>
      <c r="B306" s="415" t="s">
        <v>359</v>
      </c>
      <c r="C306" s="415" t="s">
        <v>360</v>
      </c>
      <c r="D306" s="450"/>
      <c r="E306" s="417"/>
      <c r="F306" s="418"/>
      <c r="G306" s="417" t="s">
        <v>237</v>
      </c>
      <c r="H306" s="415" t="s">
        <v>63</v>
      </c>
      <c r="I306" s="324">
        <v>2</v>
      </c>
      <c r="J306" s="415" t="s">
        <v>6</v>
      </c>
      <c r="K306" s="419" t="s">
        <v>66</v>
      </c>
      <c r="L306" s="420">
        <v>46137</v>
      </c>
      <c r="M306" s="420">
        <v>46162</v>
      </c>
      <c r="N306" s="420">
        <v>46175</v>
      </c>
      <c r="O306" s="420">
        <v>46175</v>
      </c>
      <c r="P306" s="420">
        <f>O306</f>
        <v>46175</v>
      </c>
      <c r="Q306" s="420">
        <f>P306</f>
        <v>46175</v>
      </c>
      <c r="R306" s="420">
        <f>Q306+2</f>
        <v>46177</v>
      </c>
      <c r="S306" s="420">
        <v>46211</v>
      </c>
      <c r="T306" s="420">
        <v>46216</v>
      </c>
      <c r="U306" s="420">
        <v>46219</v>
      </c>
      <c r="V306" s="420">
        <v>46219</v>
      </c>
      <c r="W306" s="420">
        <v>46219</v>
      </c>
      <c r="X306" s="420">
        <v>46220</v>
      </c>
      <c r="Y306" s="420">
        <v>46282</v>
      </c>
      <c r="Z306" s="420">
        <v>46283</v>
      </c>
      <c r="AA306" s="420">
        <v>46282</v>
      </c>
      <c r="AB306" s="420">
        <v>46282</v>
      </c>
      <c r="AC306" s="420">
        <v>46283</v>
      </c>
      <c r="AD306" s="420"/>
      <c r="AE306" s="420"/>
      <c r="AF306" s="420"/>
      <c r="AG306" s="420"/>
      <c r="AH306" s="420"/>
      <c r="AI306" s="422"/>
      <c r="AJ306" s="423"/>
      <c r="AK306" s="420"/>
      <c r="AL306" s="424"/>
      <c r="AM306" s="417"/>
      <c r="AN306" s="425" t="str">
        <f>AN304</f>
        <v>Long Lead</v>
      </c>
      <c r="AO306" s="426"/>
      <c r="AP306" s="425" t="s">
        <v>361</v>
      </c>
      <c r="AQ306" s="424"/>
    </row>
    <row r="307" s="333" customFormat="1" ht="23" hidden="1" customHeight="1" spans="1:43">
      <c r="A307" s="396">
        <v>106</v>
      </c>
      <c r="B307" s="324" t="s">
        <v>362</v>
      </c>
      <c r="C307" s="324" t="s">
        <v>363</v>
      </c>
      <c r="D307" s="448"/>
      <c r="E307" s="399">
        <v>25.3</v>
      </c>
      <c r="F307" s="400">
        <v>2</v>
      </c>
      <c r="G307" s="399" t="s">
        <v>234</v>
      </c>
      <c r="H307" s="324"/>
      <c r="I307" s="401"/>
      <c r="J307" s="324" t="s">
        <v>6</v>
      </c>
      <c r="K307" s="402" t="s">
        <v>59</v>
      </c>
      <c r="L307" s="403"/>
      <c r="M307" s="404">
        <v>46207</v>
      </c>
      <c r="N307" s="404">
        <v>46212</v>
      </c>
      <c r="O307" s="404">
        <v>46212</v>
      </c>
      <c r="P307" s="404">
        <v>46212</v>
      </c>
      <c r="Q307" s="404">
        <v>46212</v>
      </c>
      <c r="R307" s="404">
        <v>46218</v>
      </c>
      <c r="S307" s="404">
        <v>46223</v>
      </c>
      <c r="T307" s="404">
        <v>46226</v>
      </c>
      <c r="U307" s="404"/>
      <c r="V307" s="404">
        <v>46230</v>
      </c>
      <c r="W307" s="404">
        <v>46230</v>
      </c>
      <c r="X307" s="404">
        <v>46235</v>
      </c>
      <c r="Y307" s="404">
        <v>46245</v>
      </c>
      <c r="Z307" s="404">
        <v>46255</v>
      </c>
      <c r="AA307" s="404">
        <v>46262</v>
      </c>
      <c r="AB307" s="404">
        <f>AA307+1</f>
        <v>46263</v>
      </c>
      <c r="AC307" s="404">
        <f>AB307+1</f>
        <v>46264</v>
      </c>
      <c r="AD307" s="404">
        <v>46308</v>
      </c>
      <c r="AE307" s="404">
        <v>46315</v>
      </c>
      <c r="AF307" s="404">
        <v>46318</v>
      </c>
      <c r="AG307" s="404">
        <v>46332</v>
      </c>
      <c r="AH307" s="404">
        <v>46348</v>
      </c>
      <c r="AI307" s="428">
        <v>12.8571428571429</v>
      </c>
      <c r="AJ307" s="406">
        <f>AI307*7</f>
        <v>90.0000000000003</v>
      </c>
      <c r="AK307" s="404">
        <f>V307+AJ307</f>
        <v>46320</v>
      </c>
      <c r="AL307" s="407">
        <f>AL308</f>
        <v>46328</v>
      </c>
      <c r="AM307" s="399">
        <f>AL308-AK307</f>
        <v>8</v>
      </c>
      <c r="AN307" s="408"/>
      <c r="AO307" s="409" t="s">
        <v>61</v>
      </c>
      <c r="AP307" s="410">
        <v>46331</v>
      </c>
      <c r="AQ307" s="407"/>
    </row>
    <row r="308" s="333" customFormat="1" ht="23" customHeight="1" spans="1:43">
      <c r="A308" s="396"/>
      <c r="B308" s="324" t="s">
        <v>362</v>
      </c>
      <c r="C308" s="324" t="s">
        <v>364</v>
      </c>
      <c r="D308" s="449"/>
      <c r="E308" s="399">
        <f>E307</f>
        <v>25.3</v>
      </c>
      <c r="F308" s="400" t="s">
        <v>245</v>
      </c>
      <c r="G308" s="399" t="s">
        <v>234</v>
      </c>
      <c r="H308" s="324" t="s">
        <v>63</v>
      </c>
      <c r="I308" s="324">
        <v>2</v>
      </c>
      <c r="J308" s="324" t="s">
        <v>6</v>
      </c>
      <c r="K308" s="402" t="s">
        <v>64</v>
      </c>
      <c r="L308" s="404">
        <v>46137</v>
      </c>
      <c r="M308" s="404"/>
      <c r="N308" s="404"/>
      <c r="O308" s="404"/>
      <c r="P308" s="404"/>
      <c r="Q308" s="404"/>
      <c r="R308" s="404"/>
      <c r="S308" s="404"/>
      <c r="T308" s="404"/>
      <c r="U308" s="404"/>
      <c r="V308" s="404"/>
      <c r="W308" s="404"/>
      <c r="X308" s="404"/>
      <c r="Y308" s="404"/>
      <c r="Z308" s="404"/>
      <c r="AA308" s="404"/>
      <c r="AB308" s="404"/>
      <c r="AC308" s="404"/>
      <c r="AD308" s="411">
        <f>AE308-3</f>
        <v>46315</v>
      </c>
      <c r="AE308" s="411">
        <v>46318</v>
      </c>
      <c r="AF308" s="411">
        <f>AK308</f>
        <v>46325</v>
      </c>
      <c r="AG308" s="411">
        <f>AK308+14</f>
        <v>46339</v>
      </c>
      <c r="AH308" s="411">
        <f>AK308+30</f>
        <v>46355</v>
      </c>
      <c r="AI308" s="405">
        <v>12.8571428571429</v>
      </c>
      <c r="AJ308" s="406">
        <v>90.0000000000003</v>
      </c>
      <c r="AK308" s="404">
        <v>46325</v>
      </c>
      <c r="AL308" s="407">
        <f>AP307-3</f>
        <v>46328</v>
      </c>
      <c r="AM308" s="399">
        <f>AL308-AK308</f>
        <v>3</v>
      </c>
      <c r="AN308" s="408"/>
      <c r="AO308" s="409" t="s">
        <v>65</v>
      </c>
      <c r="AP308" s="410">
        <v>46352</v>
      </c>
      <c r="AQ308" s="407" t="s">
        <v>241</v>
      </c>
    </row>
    <row r="309" s="333" customFormat="1" ht="23" hidden="1" customHeight="1" spans="1:43">
      <c r="A309" s="414"/>
      <c r="B309" s="415" t="s">
        <v>362</v>
      </c>
      <c r="C309" s="415" t="s">
        <v>364</v>
      </c>
      <c r="D309" s="450"/>
      <c r="E309" s="417">
        <f>E307</f>
        <v>25.3</v>
      </c>
      <c r="F309" s="418"/>
      <c r="G309" s="417" t="s">
        <v>237</v>
      </c>
      <c r="H309" s="415" t="s">
        <v>63</v>
      </c>
      <c r="I309" s="324">
        <v>2</v>
      </c>
      <c r="J309" s="415" t="s">
        <v>6</v>
      </c>
      <c r="K309" s="419" t="s">
        <v>66</v>
      </c>
      <c r="L309" s="420">
        <v>46137</v>
      </c>
      <c r="M309" s="420">
        <v>46210</v>
      </c>
      <c r="N309" s="420">
        <v>46216</v>
      </c>
      <c r="O309" s="420">
        <v>46216</v>
      </c>
      <c r="P309" s="420">
        <v>46216</v>
      </c>
      <c r="Q309" s="420">
        <v>46216</v>
      </c>
      <c r="R309" s="420">
        <v>46218</v>
      </c>
      <c r="S309" s="420">
        <v>46245</v>
      </c>
      <c r="T309" s="420">
        <v>46255</v>
      </c>
      <c r="U309" s="420">
        <v>46255</v>
      </c>
      <c r="V309" s="420">
        <v>46255</v>
      </c>
      <c r="W309" s="420">
        <v>46255</v>
      </c>
      <c r="X309" s="420">
        <f>W309+5</f>
        <v>46260</v>
      </c>
      <c r="Y309" s="420">
        <v>46260</v>
      </c>
      <c r="Z309" s="420">
        <v>46283</v>
      </c>
      <c r="AA309" s="420">
        <v>46282</v>
      </c>
      <c r="AB309" s="420">
        <v>46282</v>
      </c>
      <c r="AC309" s="420">
        <v>46283</v>
      </c>
      <c r="AD309" s="420"/>
      <c r="AE309" s="420"/>
      <c r="AF309" s="420"/>
      <c r="AG309" s="420"/>
      <c r="AH309" s="420"/>
      <c r="AI309" s="422"/>
      <c r="AJ309" s="423"/>
      <c r="AK309" s="420"/>
      <c r="AL309" s="424"/>
      <c r="AM309" s="417"/>
      <c r="AN309" s="425"/>
      <c r="AO309" s="426"/>
      <c r="AP309" s="425" t="s">
        <v>365</v>
      </c>
      <c r="AQ309" s="424"/>
    </row>
    <row r="310" s="333" customFormat="1" ht="23" hidden="1" customHeight="1" spans="1:43">
      <c r="A310" s="396">
        <v>107</v>
      </c>
      <c r="B310" s="324" t="s">
        <v>366</v>
      </c>
      <c r="C310" s="324" t="s">
        <v>367</v>
      </c>
      <c r="D310" s="448"/>
      <c r="E310" s="399">
        <v>24.7</v>
      </c>
      <c r="F310" s="400">
        <v>1</v>
      </c>
      <c r="G310" s="399" t="s">
        <v>234</v>
      </c>
      <c r="H310" s="324"/>
      <c r="I310" s="401"/>
      <c r="J310" s="324" t="s">
        <v>6</v>
      </c>
      <c r="K310" s="402" t="s">
        <v>59</v>
      </c>
      <c r="L310" s="403"/>
      <c r="M310" s="404">
        <v>46207</v>
      </c>
      <c r="N310" s="404">
        <v>46212</v>
      </c>
      <c r="O310" s="404">
        <v>46212</v>
      </c>
      <c r="P310" s="404">
        <v>46212</v>
      </c>
      <c r="Q310" s="404">
        <v>46212</v>
      </c>
      <c r="R310" s="404">
        <v>46218</v>
      </c>
      <c r="S310" s="404">
        <v>46223</v>
      </c>
      <c r="T310" s="404">
        <v>46226</v>
      </c>
      <c r="U310" s="404"/>
      <c r="V310" s="404">
        <v>46230</v>
      </c>
      <c r="W310" s="404">
        <v>46230</v>
      </c>
      <c r="X310" s="404">
        <v>46235</v>
      </c>
      <c r="Y310" s="404">
        <v>46245</v>
      </c>
      <c r="Z310" s="404">
        <v>46255</v>
      </c>
      <c r="AA310" s="404">
        <v>46262</v>
      </c>
      <c r="AB310" s="404">
        <f>AA310+1</f>
        <v>46263</v>
      </c>
      <c r="AC310" s="404">
        <f>AB310+1</f>
        <v>46264</v>
      </c>
      <c r="AD310" s="404">
        <v>46278</v>
      </c>
      <c r="AE310" s="404">
        <v>46283</v>
      </c>
      <c r="AF310" s="404">
        <v>46288</v>
      </c>
      <c r="AG310" s="404">
        <v>46332</v>
      </c>
      <c r="AH310" s="404">
        <v>46348</v>
      </c>
      <c r="AI310" s="428">
        <v>8.57142857142857</v>
      </c>
      <c r="AJ310" s="406">
        <f>AI310*7</f>
        <v>60</v>
      </c>
      <c r="AK310" s="404">
        <f>V310+AJ310</f>
        <v>46290</v>
      </c>
      <c r="AL310" s="407">
        <f>AL311</f>
        <v>46328</v>
      </c>
      <c r="AM310" s="399">
        <f>AL311-AK310</f>
        <v>38</v>
      </c>
      <c r="AN310" s="408"/>
      <c r="AO310" s="409" t="s">
        <v>61</v>
      </c>
      <c r="AP310" s="410">
        <v>46331</v>
      </c>
      <c r="AQ310" s="407"/>
    </row>
    <row r="311" s="333" customFormat="1" ht="23" customHeight="1" spans="1:43">
      <c r="A311" s="396"/>
      <c r="B311" s="324" t="s">
        <v>366</v>
      </c>
      <c r="C311" s="324" t="s">
        <v>367</v>
      </c>
      <c r="D311" s="449"/>
      <c r="E311" s="399">
        <f>E310</f>
        <v>24.7</v>
      </c>
      <c r="F311" s="400" t="s">
        <v>245</v>
      </c>
      <c r="G311" s="399" t="s">
        <v>234</v>
      </c>
      <c r="H311" s="324" t="s">
        <v>63</v>
      </c>
      <c r="I311" s="324">
        <v>2</v>
      </c>
      <c r="J311" s="324" t="s">
        <v>6</v>
      </c>
      <c r="K311" s="402" t="s">
        <v>64</v>
      </c>
      <c r="L311" s="404">
        <v>46137</v>
      </c>
      <c r="M311" s="404"/>
      <c r="N311" s="404"/>
      <c r="O311" s="404"/>
      <c r="P311" s="404"/>
      <c r="Q311" s="404"/>
      <c r="R311" s="404"/>
      <c r="S311" s="404"/>
      <c r="T311" s="404"/>
      <c r="U311" s="404"/>
      <c r="V311" s="404"/>
      <c r="W311" s="404"/>
      <c r="X311" s="404"/>
      <c r="Y311" s="404"/>
      <c r="Z311" s="411"/>
      <c r="AA311" s="411"/>
      <c r="AB311" s="411"/>
      <c r="AC311" s="411"/>
      <c r="AD311" s="411">
        <f>AE311-3</f>
        <v>46315</v>
      </c>
      <c r="AE311" s="411">
        <v>46318</v>
      </c>
      <c r="AF311" s="411">
        <f>AK311</f>
        <v>46325</v>
      </c>
      <c r="AG311" s="411">
        <f>AK311+14</f>
        <v>46339</v>
      </c>
      <c r="AH311" s="411">
        <f>AK311+30</f>
        <v>46355</v>
      </c>
      <c r="AI311" s="405">
        <v>8.57142857142857</v>
      </c>
      <c r="AJ311" s="406">
        <v>60</v>
      </c>
      <c r="AK311" s="404">
        <v>46325</v>
      </c>
      <c r="AL311" s="407">
        <f>AP310-3</f>
        <v>46328</v>
      </c>
      <c r="AM311" s="399">
        <f>AL311-AK311</f>
        <v>3</v>
      </c>
      <c r="AN311" s="408"/>
      <c r="AO311" s="409" t="s">
        <v>65</v>
      </c>
      <c r="AP311" s="410">
        <v>46352</v>
      </c>
      <c r="AQ311" s="407" t="s">
        <v>241</v>
      </c>
    </row>
    <row r="312" s="333" customFormat="1" ht="23" hidden="1" customHeight="1" spans="1:43">
      <c r="A312" s="414"/>
      <c r="B312" s="415" t="s">
        <v>366</v>
      </c>
      <c r="C312" s="415" t="s">
        <v>367</v>
      </c>
      <c r="D312" s="450"/>
      <c r="E312" s="417">
        <f>E310</f>
        <v>24.7</v>
      </c>
      <c r="F312" s="418"/>
      <c r="G312" s="417" t="s">
        <v>237</v>
      </c>
      <c r="H312" s="415" t="s">
        <v>63</v>
      </c>
      <c r="I312" s="324">
        <v>2</v>
      </c>
      <c r="J312" s="415" t="s">
        <v>6</v>
      </c>
      <c r="K312" s="419" t="s">
        <v>66</v>
      </c>
      <c r="L312" s="420">
        <v>46137</v>
      </c>
      <c r="M312" s="420">
        <v>46210</v>
      </c>
      <c r="N312" s="420">
        <v>46222</v>
      </c>
      <c r="O312" s="420">
        <v>46222</v>
      </c>
      <c r="P312" s="420">
        <f>O312</f>
        <v>46222</v>
      </c>
      <c r="Q312" s="420">
        <f>O312</f>
        <v>46222</v>
      </c>
      <c r="R312" s="420">
        <f>Q312+2</f>
        <v>46224</v>
      </c>
      <c r="S312" s="420">
        <v>46276</v>
      </c>
      <c r="T312" s="420">
        <v>46289</v>
      </c>
      <c r="U312" s="420">
        <v>46276</v>
      </c>
      <c r="V312" s="420">
        <v>46276</v>
      </c>
      <c r="W312" s="420">
        <v>46276</v>
      </c>
      <c r="X312" s="420">
        <v>46276</v>
      </c>
      <c r="Y312" s="420">
        <v>46276</v>
      </c>
      <c r="Z312" s="420">
        <v>46276</v>
      </c>
      <c r="AA312" s="420">
        <v>46276</v>
      </c>
      <c r="AB312" s="420">
        <f>AA312+1</f>
        <v>46277</v>
      </c>
      <c r="AC312" s="420">
        <v>46283</v>
      </c>
      <c r="AD312" s="420"/>
      <c r="AE312" s="420"/>
      <c r="AF312" s="420"/>
      <c r="AG312" s="420"/>
      <c r="AH312" s="420"/>
      <c r="AI312" s="422"/>
      <c r="AJ312" s="423"/>
      <c r="AK312" s="420"/>
      <c r="AL312" s="424"/>
      <c r="AM312" s="417"/>
      <c r="AN312" s="425"/>
      <c r="AO312" s="426"/>
      <c r="AP312" s="425"/>
      <c r="AQ312" s="424"/>
    </row>
    <row r="314" spans="1:43">
      <c r="B314" s="519"/>
      <c r="C314" s="340" t="s">
        <v>368</v>
      </c>
    </row>
    <row r="315" spans="1:43">
      <c r="B315" s="520"/>
      <c r="C315" s="340" t="s">
        <v>369</v>
      </c>
    </row>
    <row r="316" spans="1:43">
      <c r="B316" s="521"/>
      <c r="C316" s="340" t="s">
        <v>370</v>
      </c>
    </row>
  </sheetData>
  <autoFilter xmlns:etc="http://www.wps.cn/officeDocument/2017/etCustomData" ref="A16:AP312" etc:filterBottomFollowUsedRange="0">
    <filterColumn colId="10">
      <customFilters>
        <customFilter operator="equal" val="Forecast"/>
      </customFilters>
    </filterColumn>
    <extLst/>
  </autoFilter>
  <conditionalFormatting sqref="V33">
    <cfRule type="expression" dxfId="0" priority="3" stopIfTrue="1">
      <formula>AND(MOD(ROW()-19,3)=0,V33&lt;&gt;"",V33&lt;=TODAY(),V35="")</formula>
    </cfRule>
    <cfRule type="expression" dxfId="1" priority="2" stopIfTrue="1">
      <formula>AND(MOD(ROW()-19,3)=0,V33&lt;&gt;"",V33&gt;TODAY(),V33&lt;=TODAY()+7,V35="")</formula>
    </cfRule>
    <cfRule type="expression" dxfId="2" priority="1" stopIfTrue="1">
      <formula>AND(MOD(ROW()-19,3)=0,OFFSET(V33,2,0)&lt;&gt;"")</formula>
    </cfRule>
  </conditionalFormatting>
  <conditionalFormatting sqref="S131">
    <cfRule type="expression" dxfId="0" priority="63" stopIfTrue="1">
      <formula>AND(MOD(ROW()-19,3)=0,S131&lt;&gt;"",S131&lt;=TODAY(),#REF!="")</formula>
    </cfRule>
    <cfRule type="expression" dxfId="1" priority="62" stopIfTrue="1">
      <formula>AND(MOD(ROW()-19,3)=0,S131&lt;&gt;"",S131&gt;TODAY(),S131&lt;=TODAY()+7,#REF!="")</formula>
    </cfRule>
    <cfRule type="expression" dxfId="0" priority="61" stopIfTrue="1">
      <formula>AND(MOD(ROW()-19,3)=0,S131&lt;&gt;"",S131&lt;=TODAY(),S133="")</formula>
    </cfRule>
    <cfRule type="expression" dxfId="1" priority="60" stopIfTrue="1">
      <formula>AND(MOD(ROW()-19,3)=0,S131&lt;&gt;"",S131&gt;TODAY(),S131&lt;=TODAY()+7,S133="")</formula>
    </cfRule>
  </conditionalFormatting>
  <conditionalFormatting sqref="S134">
    <cfRule type="expression" dxfId="0" priority="57" stopIfTrue="1">
      <formula>AND(MOD(ROW()-19,3)=0,S134&lt;&gt;"",S134&lt;=TODAY(),S136="")</formula>
    </cfRule>
    <cfRule type="expression" dxfId="1" priority="58" stopIfTrue="1">
      <formula>AND(MOD(ROW()-19,3)=0,S134&lt;&gt;"",S134&gt;TODAY(),S134&lt;=TODAY()+7,#REF!="")</formula>
    </cfRule>
    <cfRule type="expression" dxfId="0" priority="59" stopIfTrue="1">
      <formula>AND(MOD(ROW()-19,3)=0,S134&lt;&gt;"",S134&lt;=TODAY(),#REF!="")</formula>
    </cfRule>
    <cfRule type="expression" dxfId="1" priority="56" stopIfTrue="1">
      <formula>AND(MOD(ROW()-19,3)=0,S134&lt;&gt;"",S134&gt;TODAY(),S134&lt;=TODAY()+7,S136="")</formula>
    </cfRule>
  </conditionalFormatting>
  <conditionalFormatting sqref="M137">
    <cfRule type="expression" dxfId="1" priority="226" stopIfTrue="1">
      <formula>AND(MOD(ROW()-19,3)=0,M137&lt;&gt;"",M137&gt;TODAY(),M137&lt;=TODAY()+7,#REF!="")</formula>
    </cfRule>
    <cfRule type="expression" dxfId="0" priority="227" stopIfTrue="1">
      <formula>AND(MOD(ROW()-19,3)=0,M137&lt;&gt;"",M137&lt;=TODAY(),#REF!="")</formula>
    </cfRule>
  </conditionalFormatting>
  <conditionalFormatting sqref="M137:R137">
    <cfRule type="expression" dxfId="2" priority="228" stopIfTrue="1">
      <formula>AND(MOD(ROW()-19,3)=0,OFFSET(M137,2,0)&lt;&gt;"")</formula>
    </cfRule>
  </conditionalFormatting>
  <conditionalFormatting sqref="S137:Z137">
    <cfRule type="expression" dxfId="0" priority="9" stopIfTrue="1">
      <formula>AND(MOD(ROW()-19,3)=0,S137&lt;&gt;"",S137&lt;=TODAY(),S139="")</formula>
    </cfRule>
    <cfRule type="expression" dxfId="1" priority="8" stopIfTrue="1">
      <formula>AND(MOD(ROW()-19,3)=0,S137&lt;&gt;"",S137&gt;TODAY(),S137&lt;=TODAY()+7,S139="")</formula>
    </cfRule>
  </conditionalFormatting>
  <conditionalFormatting sqref="S137:AH137">
    <cfRule type="expression" dxfId="2" priority="7" stopIfTrue="1">
      <formula>AND(MOD(ROW()-19,3)=0,OFFSET(S137,2,0)&lt;&gt;"")</formula>
    </cfRule>
  </conditionalFormatting>
  <conditionalFormatting sqref="AA137:AH137">
    <cfRule type="expression" dxfId="1" priority="222" stopIfTrue="1">
      <formula>AND(MOD(ROW()-19,3)=0,AA137&lt;&gt;"",AA137&gt;TODAY(),AA137&lt;=TODAY()+7,#REF!="")</formula>
    </cfRule>
    <cfRule type="expression" dxfId="0" priority="223" stopIfTrue="1">
      <formula>AND(MOD(ROW()-19,3)=0,AA137&lt;&gt;"",AA137&lt;=TODAY(),#REF!="")</formula>
    </cfRule>
  </conditionalFormatting>
  <conditionalFormatting sqref="M138:AH138">
    <cfRule type="expression" dxfId="1" priority="324" stopIfTrue="1">
      <formula>AND(MOD(ROW()-19,3)=0,M138&lt;&gt;"",M138&gt;TODAY(),M138&lt;=TODAY()+7,#REF!="")</formula>
    </cfRule>
    <cfRule type="expression" dxfId="0" priority="325" stopIfTrue="1">
      <formula>AND(MOD(ROW()-19,3)=0,M138&lt;&gt;"",M138&lt;=TODAY(),#REF!="")</formula>
    </cfRule>
  </conditionalFormatting>
  <conditionalFormatting sqref="V140:AH140">
    <cfRule type="expression" dxfId="1" priority="5" stopIfTrue="1">
      <formula>AND(MOD(ROW()-19,3)=0,V140&lt;&gt;"",V140&gt;TODAY(),V140&lt;=TODAY()+7,V142="")</formula>
    </cfRule>
    <cfRule type="expression" dxfId="0" priority="6" stopIfTrue="1">
      <formula>AND(MOD(ROW()-19,3)=0,V140&lt;&gt;"",V140&lt;=TODAY(),V142="")</formula>
    </cfRule>
  </conditionalFormatting>
  <conditionalFormatting sqref="Y150">
    <cfRule type="expression" dxfId="0" priority="214" stopIfTrue="1">
      <formula>AND(MOD(ROW()-19,3)=0,Y150&lt;&gt;"",Y150&lt;=TODAY(),Y152="")</formula>
    </cfRule>
    <cfRule type="expression" dxfId="1" priority="213" stopIfTrue="1">
      <formula>AND(MOD(ROW()-19,3)=0,Y150&lt;&gt;"",Y150&gt;TODAY(),Y150&lt;=TODAY()+7,Y152="")</formula>
    </cfRule>
  </conditionalFormatting>
  <conditionalFormatting sqref="Y153">
    <cfRule type="expression" dxfId="1" priority="211" stopIfTrue="1">
      <formula>AND(MOD(ROW()-19,3)=0,Y153&lt;&gt;"",Y153&gt;TODAY(),Y153&lt;=TODAY()+7,Y155="")</formula>
    </cfRule>
    <cfRule type="expression" dxfId="0" priority="212" stopIfTrue="1">
      <formula>AND(MOD(ROW()-19,3)=0,Y153&lt;&gt;"",Y153&lt;=TODAY(),Y155="")</formula>
    </cfRule>
  </conditionalFormatting>
  <conditionalFormatting sqref="Y156">
    <cfRule type="expression" dxfId="1" priority="205" stopIfTrue="1">
      <formula>AND(MOD(ROW()-19,3)=0,Y156&lt;&gt;"",Y156&gt;TODAY(),Y156&lt;=TODAY()+7,Y158="")</formula>
    </cfRule>
    <cfRule type="expression" dxfId="0" priority="206" stopIfTrue="1">
      <formula>AND(MOD(ROW()-19,3)=0,Y156&lt;&gt;"",Y156&lt;=TODAY(),Y158="")</formula>
    </cfRule>
  </conditionalFormatting>
  <conditionalFormatting sqref="Y159">
    <cfRule type="expression" dxfId="0" priority="204" stopIfTrue="1">
      <formula>AND(MOD(ROW()-19,3)=0,Y159&lt;&gt;"",Y159&lt;=TODAY(),Y161="")</formula>
    </cfRule>
    <cfRule type="expression" dxfId="1" priority="203" stopIfTrue="1">
      <formula>AND(MOD(ROW()-19,3)=0,Y159&lt;&gt;"",Y159&gt;TODAY(),Y159&lt;=TODAY()+7,Y161="")</formula>
    </cfRule>
  </conditionalFormatting>
  <conditionalFormatting sqref="Y162">
    <cfRule type="expression" dxfId="1" priority="201" stopIfTrue="1">
      <formula>AND(MOD(ROW()-19,3)=0,Y162&lt;&gt;"",Y162&gt;TODAY(),Y162&lt;=TODAY()+7,Y164="")</formula>
    </cfRule>
    <cfRule type="expression" dxfId="0" priority="202" stopIfTrue="1">
      <formula>AND(MOD(ROW()-19,3)=0,Y162&lt;&gt;"",Y162&lt;=TODAY(),Y164="")</formula>
    </cfRule>
  </conditionalFormatting>
  <conditionalFormatting sqref="Y165">
    <cfRule type="expression" dxfId="0" priority="200" stopIfTrue="1">
      <formula>AND(MOD(ROW()-19,3)=0,Y165&lt;&gt;"",Y165&lt;=TODAY(),Y167="")</formula>
    </cfRule>
    <cfRule type="expression" dxfId="1" priority="199" stopIfTrue="1">
      <formula>AND(MOD(ROW()-19,3)=0,Y165&lt;&gt;"",Y165&gt;TODAY(),Y165&lt;=TODAY()+7,Y167="")</formula>
    </cfRule>
  </conditionalFormatting>
  <conditionalFormatting sqref="Y168">
    <cfRule type="expression" dxfId="0" priority="198" stopIfTrue="1">
      <formula>AND(MOD(ROW()-19,3)=0,Y168&lt;&gt;"",Y168&lt;=TODAY(),Y170="")</formula>
    </cfRule>
    <cfRule type="expression" dxfId="1" priority="197" stopIfTrue="1">
      <formula>AND(MOD(ROW()-19,3)=0,Y168&lt;&gt;"",Y168&gt;TODAY(),Y168&lt;=TODAY()+7,Y170="")</formula>
    </cfRule>
  </conditionalFormatting>
  <conditionalFormatting sqref="M173:AH173">
    <cfRule type="expression" dxfId="2" priority="180" stopIfTrue="1">
      <formula>AND(MOD(ROW()-19,3)=0,OFFSET(M173,2,0)&lt;&gt;"")</formula>
    </cfRule>
  </conditionalFormatting>
  <conditionalFormatting sqref="V173:AH173">
    <cfRule type="expression" dxfId="1" priority="181" stopIfTrue="1">
      <formula>AND(MOD(ROW()-19,3)=0,V173&lt;&gt;"",V173&gt;TODAY(),V173&lt;=TODAY()+7,V175="")</formula>
    </cfRule>
    <cfRule type="expression" dxfId="0" priority="182" stopIfTrue="1">
      <formula>AND(MOD(ROW()-19,3)=0,V173&lt;&gt;"",V173&lt;=TODAY(),V175="")</formula>
    </cfRule>
  </conditionalFormatting>
  <conditionalFormatting sqref="Y174">
    <cfRule type="expression" dxfId="1" priority="195" stopIfTrue="1">
      <formula>AND(MOD(ROW()-19,3)=0,Y174&lt;&gt;"",Y174&gt;TODAY(),Y174&lt;=TODAY()+7,Y176="")</formula>
    </cfRule>
    <cfRule type="expression" dxfId="0" priority="196" stopIfTrue="1">
      <formula>AND(MOD(ROW()-19,3)=0,Y174&lt;&gt;"",Y174&lt;=TODAY(),Y176="")</formula>
    </cfRule>
  </conditionalFormatting>
  <conditionalFormatting sqref="M176:AH176">
    <cfRule type="expression" dxfId="2" priority="175" stopIfTrue="1">
      <formula>AND(MOD(ROW()-19,3)=0,OFFSET(M176,2,0)&lt;&gt;"")</formula>
    </cfRule>
  </conditionalFormatting>
  <conditionalFormatting sqref="V176:AH176">
    <cfRule type="expression" dxfId="0" priority="177" stopIfTrue="1">
      <formula>AND(MOD(ROW()-19,3)=0,V176&lt;&gt;"",V176&lt;=TODAY(),V178="")</formula>
    </cfRule>
    <cfRule type="expression" dxfId="1" priority="176" stopIfTrue="1">
      <formula>AND(MOD(ROW()-19,3)=0,V176&lt;&gt;"",V176&gt;TODAY(),V176&lt;=TODAY()+7,V178="")</formula>
    </cfRule>
  </conditionalFormatting>
  <conditionalFormatting sqref="Y177">
    <cfRule type="expression" dxfId="0" priority="194" stopIfTrue="1">
      <formula>AND(MOD(ROW()-19,3)=0,Y177&lt;&gt;"",Y177&lt;=TODAY(),Y179="")</formula>
    </cfRule>
    <cfRule type="expression" dxfId="1" priority="193" stopIfTrue="1">
      <formula>AND(MOD(ROW()-19,3)=0,Y177&lt;&gt;"",Y177&gt;TODAY(),Y177&lt;=TODAY()+7,Y179="")</formula>
    </cfRule>
  </conditionalFormatting>
  <conditionalFormatting sqref="Z179:AH179">
    <cfRule type="expression" dxfId="1" priority="88" stopIfTrue="1">
      <formula>AND(MOD(ROW()-19,3)=0,Z179&lt;&gt;"",Z179&gt;TODAY(),Z179&lt;=TODAY()+7,Z181="")</formula>
    </cfRule>
    <cfRule type="expression" dxfId="0" priority="89" stopIfTrue="1">
      <formula>AND(MOD(ROW()-19,3)=0,Z179&lt;&gt;"",Z179&lt;=TODAY(),Z181="")</formula>
    </cfRule>
  </conditionalFormatting>
  <conditionalFormatting sqref="V182:AH182">
    <cfRule type="expression" dxfId="1" priority="166" stopIfTrue="1">
      <formula>AND(MOD(ROW()-19,3)=0,V182&lt;&gt;"",V182&gt;TODAY(),V182&lt;=TODAY()+7,V184="")</formula>
    </cfRule>
    <cfRule type="expression" dxfId="0" priority="167" stopIfTrue="1">
      <formula>AND(MOD(ROW()-19,3)=0,V182&lt;&gt;"",V182&lt;=TODAY(),V184="")</formula>
    </cfRule>
  </conditionalFormatting>
  <conditionalFormatting sqref="V185:AH185">
    <cfRule type="expression" dxfId="0" priority="162" stopIfTrue="1">
      <formula>AND(MOD(ROW()-19,3)=0,V185&lt;&gt;"",V185&lt;=TODAY(),V187="")</formula>
    </cfRule>
    <cfRule type="expression" dxfId="1" priority="161" stopIfTrue="1">
      <formula>AND(MOD(ROW()-19,3)=0,V185&lt;&gt;"",V185&gt;TODAY(),V185&lt;=TODAY()+7,V187="")</formula>
    </cfRule>
  </conditionalFormatting>
  <conditionalFormatting sqref="V188:AH188">
    <cfRule type="expression" dxfId="0" priority="157" stopIfTrue="1">
      <formula>AND(MOD(ROW()-19,3)=0,V188&lt;&gt;"",V188&lt;=TODAY(),V190="")</formula>
    </cfRule>
    <cfRule type="expression" dxfId="1" priority="156" stopIfTrue="1">
      <formula>AND(MOD(ROW()-19,3)=0,V188&lt;&gt;"",V188&gt;TODAY(),V188&lt;=TODAY()+7,V190="")</formula>
    </cfRule>
  </conditionalFormatting>
  <conditionalFormatting sqref="V191:AH191">
    <cfRule type="expression" dxfId="0" priority="152" stopIfTrue="1">
      <formula>AND(MOD(ROW()-19,3)=0,V191&lt;&gt;"",V191&lt;=TODAY(),V193="")</formula>
    </cfRule>
    <cfRule type="expression" dxfId="1" priority="151" stopIfTrue="1">
      <formula>AND(MOD(ROW()-19,3)=0,V191&lt;&gt;"",V191&gt;TODAY(),V191&lt;=TODAY()+7,V193="")</formula>
    </cfRule>
  </conditionalFormatting>
  <conditionalFormatting sqref="V194:AH194">
    <cfRule type="expression" dxfId="1" priority="141" stopIfTrue="1">
      <formula>AND(MOD(ROW()-19,3)=0,V194&lt;&gt;"",V194&gt;TODAY(),V194&lt;=TODAY()+7,V196="")</formula>
    </cfRule>
    <cfRule type="expression" dxfId="0" priority="142" stopIfTrue="1">
      <formula>AND(MOD(ROW()-19,3)=0,V194&lt;&gt;"",V194&lt;=TODAY(),V196="")</formula>
    </cfRule>
  </conditionalFormatting>
  <conditionalFormatting sqref="Y195">
    <cfRule type="expression" dxfId="0" priority="192" stopIfTrue="1">
      <formula>AND(MOD(ROW()-19,3)=0,Y195&lt;&gt;"",Y195&lt;=TODAY(),Y197="")</formula>
    </cfRule>
    <cfRule type="expression" dxfId="1" priority="191" stopIfTrue="1">
      <formula>AND(MOD(ROW()-19,3)=0,Y195&lt;&gt;"",Y195&gt;TODAY(),Y195&lt;=TODAY()+7,Y197="")</formula>
    </cfRule>
  </conditionalFormatting>
  <conditionalFormatting sqref="Y201">
    <cfRule type="expression" dxfId="0" priority="190" stopIfTrue="1">
      <formula>AND(MOD(ROW()-19,3)=0,Y201&lt;&gt;"",Y201&lt;=TODAY(),Y203="")</formula>
    </cfRule>
    <cfRule type="expression" dxfId="1" priority="189" stopIfTrue="1">
      <formula>AND(MOD(ROW()-19,3)=0,Y201&lt;&gt;"",Y201&gt;TODAY(),Y201&lt;=TODAY()+7,Y203="")</formula>
    </cfRule>
  </conditionalFormatting>
  <conditionalFormatting sqref="U207">
    <cfRule type="expression" dxfId="1" priority="332" stopIfTrue="1">
      <formula>AND(MOD(ROW()-19,3)=0,U207&lt;&gt;"",U207&gt;TODAY(),U207&lt;=TODAY()+7,#REF!="")</formula>
    </cfRule>
    <cfRule type="expression" dxfId="0" priority="333" stopIfTrue="1">
      <formula>AND(MOD(ROW()-19,3)=0,U207&lt;&gt;"",U207&lt;=TODAY(),#REF!="")</formula>
    </cfRule>
  </conditionalFormatting>
  <conditionalFormatting sqref="W207">
    <cfRule type="expression" dxfId="1" priority="330" stopIfTrue="1">
      <formula>AND(MOD(ROW()-19,3)=0,W207&lt;&gt;"",W207&gt;TODAY(),W207&lt;=TODAY()+7,U209="")</formula>
    </cfRule>
    <cfRule type="expression" dxfId="0" priority="331" stopIfTrue="1">
      <formula>AND(MOD(ROW()-19,3)=0,W207&lt;&gt;"",W207&lt;=TODAY(),U209="")</formula>
    </cfRule>
  </conditionalFormatting>
  <conditionalFormatting sqref="U209">
    <cfRule type="expression" dxfId="0" priority="329" stopIfTrue="1">
      <formula>AND(MOD(ROW()-19,3)=0,U209&lt;&gt;"",U209&lt;=TODAY(),W211="")</formula>
    </cfRule>
    <cfRule type="expression" dxfId="1" priority="328" stopIfTrue="1">
      <formula>AND(MOD(ROW()-19,3)=0,U209&lt;&gt;"",U209&gt;TODAY(),U209&lt;=TODAY()+7,W211="")</formula>
    </cfRule>
    <cfRule type="expression" dxfId="1" priority="45" stopIfTrue="1">
      <formula>AND(MOD(ROW()-19,3)=0,U209&lt;&gt;"",U209&gt;TODAY(),U209&lt;=TODAY()+7,U211="")</formula>
    </cfRule>
    <cfRule type="expression" dxfId="0" priority="46" stopIfTrue="1">
      <formula>AND(MOD(ROW()-19,3)=0,U209&lt;&gt;"",U209&lt;=TODAY(),U211="")</formula>
    </cfRule>
  </conditionalFormatting>
  <conditionalFormatting sqref="S245">
    <cfRule type="expression" dxfId="0" priority="37" stopIfTrue="1">
      <formula>AND(MOD(ROW()-19,3)=0,S245&lt;&gt;"",S245&lt;=TODAY(),S247="")</formula>
    </cfRule>
    <cfRule type="expression" dxfId="0" priority="35" stopIfTrue="1">
      <formula>AND(MOD(ROW()-19,3)=0,S245&lt;&gt;"",S245&lt;=TODAY(),#REF!="")</formula>
    </cfRule>
    <cfRule type="expression" dxfId="1" priority="34" stopIfTrue="1">
      <formula>AND(MOD(ROW()-19,3)=0,S245&lt;&gt;"",S245&gt;TODAY(),S245&lt;=TODAY()+7,#REF!="")</formula>
    </cfRule>
    <cfRule type="expression" dxfId="1" priority="36" stopIfTrue="1">
      <formula>AND(MOD(ROW()-19,3)=0,S245&lt;&gt;"",S245&gt;TODAY(),S245&lt;=TODAY()+7,S247="")</formula>
    </cfRule>
  </conditionalFormatting>
  <conditionalFormatting sqref="X273">
    <cfRule type="expression" dxfId="0" priority="188" stopIfTrue="1">
      <formula>AND(MOD(ROW()-19,3)=0,X273&lt;&gt;"",X273&lt;=TODAY(),X275="")</formula>
    </cfRule>
    <cfRule type="expression" dxfId="1" priority="187" stopIfTrue="1">
      <formula>AND(MOD(ROW()-19,3)=0,X273&lt;&gt;"",X273&gt;TODAY(),X273&lt;=TODAY()+7,X275="")</formula>
    </cfRule>
  </conditionalFormatting>
  <conditionalFormatting sqref="M275:X275">
    <cfRule type="expression" dxfId="2" priority="66" stopIfTrue="1">
      <formula>AND(MOD(ROW()-19,3)=0,OFFSET(M275,2,0)&lt;&gt;"")</formula>
    </cfRule>
  </conditionalFormatting>
  <conditionalFormatting sqref="V275:X275">
    <cfRule type="expression" dxfId="1" priority="67" stopIfTrue="1">
      <formula>AND(MOD(ROW()-19,3)=0,V275&lt;&gt;"",V275&gt;TODAY(),V275&lt;=TODAY()+7,V277="")</formula>
    </cfRule>
    <cfRule type="expression" dxfId="0" priority="68" stopIfTrue="1">
      <formula>AND(MOD(ROW()-19,3)=0,V275&lt;&gt;"",V275&lt;=TODAY(),V277="")</formula>
    </cfRule>
  </conditionalFormatting>
  <conditionalFormatting sqref="Y275:AH275">
    <cfRule type="expression" dxfId="0" priority="65" stopIfTrue="1">
      <formula>AND(MOD(ROW()-19,3)=0,Y275&lt;&gt;"",Y275&lt;=TODAY(),Y277="")</formula>
    </cfRule>
    <cfRule type="expression" dxfId="1" priority="64" stopIfTrue="1">
      <formula>AND(MOD(ROW()-19,3)=0,Y275&lt;&gt;"",Y275&gt;TODAY(),Y275&lt;=TODAY()+7,Y277="")</formula>
    </cfRule>
  </conditionalFormatting>
  <conditionalFormatting sqref="S302">
    <cfRule type="expression" dxfId="0" priority="26" stopIfTrue="1">
      <formula>AND(MOD(ROW()-19,3)=0,S302&lt;&gt;"",S302&lt;=TODAY(),#REF!="")</formula>
    </cfRule>
    <cfRule type="expression" dxfId="0" priority="29" stopIfTrue="1">
      <formula>AND(MOD(ROW()-19,3)=0,S302&lt;&gt;"",S302&lt;=TODAY(),S304="")</formula>
    </cfRule>
    <cfRule type="expression" dxfId="1" priority="28" stopIfTrue="1">
      <formula>AND(MOD(ROW()-19,3)=0,S302&lt;&gt;"",S302&gt;TODAY(),S302&lt;=TODAY()+7,S304="")</formula>
    </cfRule>
    <cfRule type="expression" dxfId="2" priority="27" stopIfTrue="1">
      <formula>AND(MOD(ROW()-19,3)=0,OFFSET(S302,2,0)&lt;&gt;"")</formula>
    </cfRule>
    <cfRule type="expression" dxfId="1" priority="25" stopIfTrue="1">
      <formula>AND(MOD(ROW()-19,3)=0,S302&lt;&gt;"",S302&gt;TODAY(),S302&lt;=TODAY()+7,#REF!="")</formula>
    </cfRule>
  </conditionalFormatting>
  <conditionalFormatting sqref="Z302:AH302">
    <cfRule type="expression" dxfId="2" priority="10" stopIfTrue="1">
      <formula>AND(MOD(ROW()-19,3)=0,OFFSET(Z302,2,0)&lt;&gt;"")</formula>
    </cfRule>
  </conditionalFormatting>
  <conditionalFormatting sqref="V305:AH305">
    <cfRule type="expression" dxfId="1" priority="96" stopIfTrue="1">
      <formula>AND(MOD(ROW()-19,3)=0,V305&lt;&gt;"",V305&gt;TODAY(),V305&lt;=TODAY()+7,V307="")</formula>
    </cfRule>
    <cfRule type="expression" dxfId="0" priority="97" stopIfTrue="1">
      <formula>AND(MOD(ROW()-19,3)=0,V305&lt;&gt;"",V305&lt;=TODAY(),V307="")</formula>
    </cfRule>
  </conditionalFormatting>
  <conditionalFormatting sqref="V308:AH308">
    <cfRule type="expression" dxfId="1" priority="72" stopIfTrue="1">
      <formula>AND(MOD(ROW()-19,3)=0,V308&lt;&gt;"",V308&gt;TODAY(),V308&lt;=TODAY()+7,V310="")</formula>
    </cfRule>
    <cfRule type="expression" dxfId="0" priority="73" stopIfTrue="1">
      <formula>AND(MOD(ROW()-19,3)=0,V308&lt;&gt;"",V308&lt;=TODAY(),V310="")</formula>
    </cfRule>
  </conditionalFormatting>
  <conditionalFormatting sqref="AH308">
    <cfRule type="expression" dxfId="0" priority="78" stopIfTrue="1">
      <formula>AND(MOD(ROW()-19,3)=0,AH308&lt;&gt;"",AH308&lt;=TODAY(),AH310="")</formula>
    </cfRule>
    <cfRule type="expression" dxfId="1" priority="77" stopIfTrue="1">
      <formula>AND(MOD(ROW()-19,3)=0,AH308&lt;&gt;"",AH308&gt;TODAY(),AH308&lt;=TODAY()+7,AH310="")</formula>
    </cfRule>
  </conditionalFormatting>
  <conditionalFormatting sqref="Z311:AH311">
    <cfRule type="expression" dxfId="0" priority="81" stopIfTrue="1">
      <formula>AND(MOD(ROW()-19,3)=0,Z311&lt;&gt;"",Z311&lt;=TODAY(),Z313="")</formula>
    </cfRule>
    <cfRule type="expression" dxfId="1" priority="80" stopIfTrue="1">
      <formula>AND(MOD(ROW()-19,3)=0,Z311&lt;&gt;"",Z311&gt;TODAY(),Z311&lt;=TODAY()+7,Z313="")</formula>
    </cfRule>
  </conditionalFormatting>
  <conditionalFormatting sqref="X275:X276">
    <cfRule type="expression" dxfId="0" priority="70" stopIfTrue="1">
      <formula>AND(MOD(ROW()-19,3)=0,X275&lt;&gt;"",X275&lt;=TODAY(),X277="")</formula>
    </cfRule>
    <cfRule type="expression" dxfId="1" priority="69" stopIfTrue="1">
      <formula>AND(MOD(ROW()-19,3)=0,X275&lt;&gt;"",X275&gt;TODAY(),X275&lt;=TODAY()+7,X277="")</formula>
    </cfRule>
  </conditionalFormatting>
  <conditionalFormatting sqref="M19:AH32 V128:AH128 S131:AH131 S134:AH134 V143:AH143 V146:AH146 V149:AH149 V152:AH152 V155:AH155 V158:AH158 V161:AH161 V164:AH164 V167:AH167 V170:AH170 V197:AH197 V200:AH200 V203:AH203 V206:AH206 V209:AH209 V212:AH212 V215:AH215 V218:AH218 V221:AH221 V224:AH224 V227:AH227 V230:AH230 V233:AH233 V236:AH236 V239:AH239 V242:AH242 V245:AH245 V248:AH248 V251:AH251 V254:AH254 V257:AH257 V260:AH260 V263:AH263 V266:AH266 V269:AH269 V272:AH272 V278:AH278 V281:AH281 V284:AH284 V287:AH287 V290:AH290 V293:AH293 V296:AH296 V302:AH302 M34:AH127 M33:U33 W33:AH33">
    <cfRule type="expression" dxfId="0" priority="217" stopIfTrue="1">
      <formula>AND(MOD(ROW()-19,3)=0,M19&lt;&gt;"",M19&lt;=TODAY(),M21="")</formula>
    </cfRule>
  </conditionalFormatting>
  <conditionalFormatting sqref="M19:AH32 V128:AH128 S131:AH131 S134:AH134 V143:AH143 V146:AH146 V149:AH149 V152:AH152 V155:AH155 V158:AH158 V161:AH161 V164:AH164 V167:AH167 V170:AH170 V197:AH197 V200:AH200 V203:AH203 V206:AH206 V209:AH209 V212:AH212 V215:AH215 V218:AH218 V221:AH221 V224:AH224 V227:AH227 V230:AH230 V233:AH233 V236:AH236 V239:AH239 V242:AH242 V245:AH245 V248:AH248 V251:AH251 V254:AH254 V257:AH257 V260:AH260 V263:AH263 V266:AH266 V269:AH269 V272:AH272 V302:AH302 V278:AH278 V281:AH281 V284:AH284 V287:AH287 V290:AH290 V293:AH293 V296:AH296 M34:AH127 M33:U33 W33:AH33">
    <cfRule type="expression" dxfId="1" priority="216" stopIfTrue="1">
      <formula>AND(MOD(ROW()-19,3)=0,M19&lt;&gt;"",M19&gt;TODAY(),M19&lt;=TODAY()+7,M21="")</formula>
    </cfRule>
  </conditionalFormatting>
  <conditionalFormatting sqref="M141:AH172 M174:AH175 M177:AH178 M195:AH274 M19:AH32 M34:AH136 M33:U33 W33:AH33">
    <cfRule type="expression" dxfId="2" priority="215" stopIfTrue="1">
      <formula>AND(MOD(ROW()-19,3)=0,OFFSET(M19,2,0)&lt;&gt;"")</formula>
    </cfRule>
  </conditionalFormatting>
  <conditionalFormatting sqref="M125:M126 Q126:AH126">
    <cfRule type="expression" dxfId="1" priority="319" stopIfTrue="1">
      <formula>AND(MOD(ROW()-19,3)=0,M125&lt;&gt;"",M125&gt;TODAY(),M125&lt;=TODAY()+7,#REF!="")</formula>
    </cfRule>
    <cfRule type="expression" dxfId="0" priority="320" stopIfTrue="1">
      <formula>AND(MOD(ROW()-19,3)=0,M125&lt;&gt;"",M125&lt;=TODAY(),#REF!="")</formula>
    </cfRule>
  </conditionalFormatting>
  <conditionalFormatting sqref="S125:Y125 AA125:AH125">
    <cfRule type="expression" dxfId="0" priority="221" stopIfTrue="1">
      <formula>AND(MOD(ROW()-19,3)=0,S125&lt;&gt;"",S125&lt;=TODAY(),#REF!="")</formula>
    </cfRule>
    <cfRule type="expression" dxfId="1" priority="220" stopIfTrue="1">
      <formula>AND(MOD(ROW()-19,3)=0,S125&lt;&gt;"",S125&gt;TODAY(),S125&lt;=TODAY()+7,#REF!="")</formula>
    </cfRule>
  </conditionalFormatting>
  <conditionalFormatting sqref="M128 S128:U128 M129:AH130 M131:U131 M132:AH133 M134:U134 M135:AH136 M127:AH127">
    <cfRule type="expression" dxfId="1" priority="236" stopIfTrue="1">
      <formula>AND(MOD(ROW()-19,3)=0,M127&lt;&gt;"",M127&gt;TODAY(),M127&lt;=TODAY()+7,M129="")</formula>
    </cfRule>
  </conditionalFormatting>
  <conditionalFormatting sqref="M127:AH127 M128 S128:U128 M129:AH130 M131:U131 M132:AH133 M134:U134 M135:AH136">
    <cfRule type="expression" dxfId="0" priority="237" stopIfTrue="1">
      <formula>AND(MOD(ROW()-19,3)=0,M127&lt;&gt;"",M127&lt;=TODAY(),M129="")</formula>
    </cfRule>
  </conditionalFormatting>
  <conditionalFormatting sqref="M128:Y128 AA128:AH128 M131:Y131 AA131:AH131 M134:Y134 AA134:AH134 M143:Y143 AA143:AH143 M146:Y146 AA146:AH146 M147:AH160 M161:Y161 AA161:AH161 M164:Y164 AA164:AH164 M167:Y167 AA167:AH167 M168:AH172 M195:AH202 M203:Y203 AA203:AH203 M206:Y206 AA206:AH206 V209:Y209 AA209:AH209 M212:Y212 AA212:AH212 M215:Y215 AA215:AH215 M218:Y218 AA218:AH218 M221:Y221 AA221:AH221 M224:Y224 AA224:AH224 M225:AH232 M233:Y233 AA233:AH233 M236:Y236 AA236:AH236 M239:Y239 AA239:AH239 M242:Y242 AA242:AH242 M245:Y245 AA245:AH245 M248:Y248 AA248:AH248 M251:Y251 AA251:AH251 M252:AH262 M263:Y263 AA263:AH263 M266:Y266 AA266:AH266 M269:Y269 AA269:AH269 M272:Y272 AA272:AH272 M278:Y278 AA278:AH278 M281:Y281 AA281:AH281 M284:Y284 AA284:AH284 M287:Y287 AA287:AH287 M290:Y290 AA290:AH290 M293:Y293 AA293:AH293 M296:Y296 AA296:AH296 M302:Y302 AA302:AH302 M129:AH130 M132:AH133 M135:AH136 M141:AH142 M144:AH145 M174:AH175 M177:AH178 M204:AH205 M210:AH211 M213:AH214 M216:AH217 M219:AH220 M222:AH223 M234:AH235 M237:AH238 M240:AH241 M243:AH244 M246:AH247 M249:AH250 M264:AH265 M267:AH268 M270:AH271 M273:AH274 M173:Z173 M176:Z176 AH176 M182:Z182 M185:Z185 M188:Z188 M191:Z191 M194:Z194 M305:Z305 M179:Y179 M180:AH181 M183:AH184 M186:AH187 M189:AH190 M193:AH193 M311:Y311 M308:Z308 M276:AH277 M303:AH304 M306:AH307 M309:AH310 M312:AH312 M275:W275 M279:AH280 M282:AH283 M285:AH286 M288:AH289 M291:AH292 M294:AH295 M140:V140 Y140 AA140:AH140 M139:AH139">
    <cfRule type="expression" dxfId="1" priority="218" stopIfTrue="1">
      <formula>AND(MOD(ROW()-19,3)=0,M128&lt;&gt;"",M128&gt;TODAY(),M128&lt;=TODAY()+7,M130="")</formula>
    </cfRule>
  </conditionalFormatting>
  <conditionalFormatting sqref="M128:Y128 AA128:AH128 M129:AH130 M131:Y131 AA131:AH131 M132:AH133 M134:Y134 AA134:AH134 M135:AH136 M139:AH139 M140:V140 Y140 AA140:AH140 M141:AH142 M143:Y143 AA143:AH143 M144:AH145 M146:Y146 AA146:AH146 M147:AH160 M161:Y161 AA161:AH161 M164:Y164 AA164:AH164 M167:Y167 AA167:AH167 M168:AH172 M173:Z173 M174:AH175 M176:Z176 AH176 M177:AH178 M179:Y179 M180:AH181 M182:Z182 M183:AH184 M185:Z185 M186:AH187 M188:Z188 M189:AH190 M191:Z191 M193:AH193 M194:Z194 M195:AH202 M203:Y203 AA203:AH203 M204:AH205 M206:Y206 AA206:AH206 V209:Y209 AA209:AH209 M210:AH211 M212:Y212 AA212:AH212 M213:AH214 M215:Y215 AA215:AH215 M216:AH217 M218:Y218 AA218:AH218 M219:AH220 M221:Y221 AA221:AH221 M222:AH223 M224:Y224 AA224:AH224 M225:AH232 M233:Y233 AA233:AH233 M234:AH235 M236:Y236 AA236:AH236 M237:AH238 M239:Y239 AA239:AH239 M240:AH241 M242:Y242 AA242:AH242 M243:AH244 M245:Y245 AA245:AH245 M246:AH247 M248:Y248 AA248:AH248 M249:AH250 M251:Y251 AA251:AH251 M252:AH262 M263:Y263 AA263:AH263 M264:AH265 M266:Y266 AA266:AH266 M267:AH268 M269:Y269 AA269:AH269 M270:AH271 M272:Y272 AA272:AH272 M273:AH274 M275:W275 M276:AH277 M278:Y278 AA278:AH278 M279:AH280 M281:Y281 AA281:AH281 M282:AH283 M284:Y284 AA284:AH284 M285:AH286 M287:Y287 AA287:AH287 M288:AH289 M290:Y290 AA290:AH290 M291:AH292 M293:Y293 AA293:AH293 M294:AH295 M296:Y296 AA296:AH296 M302:Y302 AA302:AH302 M303:AH304 M305:Z305 M306:AH307 M308:Z308 M309:AH310 M311:Y311 M312:AH312">
    <cfRule type="expression" dxfId="0" priority="219" stopIfTrue="1">
      <formula>AND(MOD(ROW()-19,3)=0,M128&lt;&gt;"",M128&lt;=TODAY(),M130="")</formula>
    </cfRule>
  </conditionalFormatting>
  <conditionalFormatting sqref="M137:R137 M138:AH138">
    <cfRule type="expression" dxfId="0" priority="323" stopIfTrue="1">
      <formula>AND(MOD(ROW()-19,3)=0,M137&lt;&gt;"",M137&lt;=TODAY(),#REF!="")</formula>
    </cfRule>
    <cfRule type="expression" dxfId="1" priority="322" stopIfTrue="1">
      <formula>AND(MOD(ROW()-19,3)=0,M137&lt;&gt;"",M137&gt;TODAY(),M137&lt;=TODAY()+7,#REF!="")</formula>
    </cfRule>
  </conditionalFormatting>
  <conditionalFormatting sqref="M138:AH140">
    <cfRule type="expression" dxfId="2" priority="4" stopIfTrue="1">
      <formula>AND(MOD(ROW()-19,3)=0,OFFSET(M138,2,0)&lt;&gt;"")</formula>
    </cfRule>
  </conditionalFormatting>
  <conditionalFormatting sqref="Y150 Y153">
    <cfRule type="expression" dxfId="0" priority="208" stopIfTrue="1">
      <formula>AND(MOD(ROW()-19,3)=0,Y150&lt;&gt;"",Y150&lt;=TODAY(),Y152="")</formula>
    </cfRule>
    <cfRule type="expression" dxfId="1" priority="207" stopIfTrue="1">
      <formula>AND(MOD(ROW()-19,3)=0,Y150&lt;&gt;"",Y150&gt;TODAY(),Y150&lt;=TODAY()+7,Y152="")</formula>
    </cfRule>
  </conditionalFormatting>
  <conditionalFormatting sqref="M162:AH163 M165:AH166 L192:AH192 M207:T207 V207 X207:AH207 M208:AH208 M209:T209">
    <cfRule type="expression" dxfId="0" priority="233" stopIfTrue="1">
      <formula>AND(MOD(ROW()-19,3)=0,L162&lt;&gt;"",L162&lt;=TODAY(),L164="")</formula>
    </cfRule>
  </conditionalFormatting>
  <conditionalFormatting sqref="M162:AH163 M165:AH166 M207:T207 V207 X207:AH207 M208:AH208 M209:T209 L192:AH192">
    <cfRule type="expression" dxfId="1" priority="232" stopIfTrue="1">
      <formula>AND(MOD(ROW()-19,3)=0,L162&lt;&gt;"",L162&gt;TODAY(),L162&lt;=TODAY()+7,L164="")</formula>
    </cfRule>
  </conditionalFormatting>
  <conditionalFormatting sqref="M179:AH194">
    <cfRule type="expression" dxfId="2" priority="87" stopIfTrue="1">
      <formula>AND(MOD(ROW()-19,3)=0,OFFSET(M179,2,0)&lt;&gt;"")</formula>
    </cfRule>
  </conditionalFormatting>
  <conditionalFormatting sqref="V179:Z179 AH179">
    <cfRule type="expression" dxfId="0" priority="94" stopIfTrue="1">
      <formula>AND(MOD(ROW()-19,3)=0,V179&lt;&gt;"",V179&lt;=TODAY(),V181="")</formula>
    </cfRule>
    <cfRule type="expression" dxfId="1" priority="93" stopIfTrue="1">
      <formula>AND(MOD(ROW()-19,3)=0,V179&lt;&gt;"",V179&gt;TODAY(),V179&lt;=TODAY()+7,V181="")</formula>
    </cfRule>
  </conditionalFormatting>
  <conditionalFormatting sqref="M276:AH277 M302:Y302 M303:AH312">
    <cfRule type="expression" dxfId="2" priority="71" stopIfTrue="1">
      <formula>AND(MOD(ROW()-19,3)=0,OFFSET(M276,2,0)&lt;&gt;"")</formula>
    </cfRule>
  </conditionalFormatting>
  <conditionalFormatting sqref="M278:AH301">
    <cfRule type="expression" dxfId="2" priority="11" stopIfTrue="1">
      <formula>AND(MOD(ROW()-19,3)=0,OFFSET(M278,2,0)&lt;&gt;"")</formula>
    </cfRule>
  </conditionalFormatting>
  <conditionalFormatting sqref="M297:AH301">
    <cfRule type="expression" dxfId="1" priority="136" stopIfTrue="1">
      <formula>AND(MOD(ROW()-19,3)=0,M297&lt;&gt;"",M297&gt;TODAY(),M297&lt;=TODAY()+7,M299="")</formula>
    </cfRule>
    <cfRule type="expression" dxfId="0" priority="137" stopIfTrue="1">
      <formula>AND(MOD(ROW()-19,3)=0,M297&lt;&gt;"",M297&lt;=TODAY(),M299="")</formula>
    </cfRule>
  </conditionalFormatting>
  <conditionalFormatting sqref="V311:Z311 AH311">
    <cfRule type="expression" dxfId="0" priority="86" stopIfTrue="1">
      <formula>AND(MOD(ROW()-19,3)=0,V311&lt;&gt;"",V311&lt;=TODAY(),V313="")</formula>
    </cfRule>
    <cfRule type="expression" dxfId="1" priority="85" stopIfTrue="1">
      <formula>AND(MOD(ROW()-19,3)=0,V311&lt;&gt;"",V311&gt;TODAY(),V311&lt;=TODAY()+7,V313="")</formula>
    </cfRule>
  </conditionalFormatting>
  <dataValidations count="1">
    <dataValidation type="list" allowBlank="1" showInputMessage="1" showErrorMessage="1" sqref="D18:E18 L18:AP18">
      <formula1>"Thai,China"</formula1>
    </dataValidation>
  </dataValidations>
  <pageMargins left="0.700694444444445" right="0.700694444444445" top="0.751388888888889" bottom="0.751388888888889" header="0.298611111111111" footer="0.298611111111111"/>
  <pageSetup paperSize="9" scale="21" fitToHeight="0" orientation="portrait" horizontalDpi="1200" verticalDpi="1200"/>
  <headerFooter/>
  <colBreaks count="1" manualBreakCount="1">
    <brk id="19" max="320"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22"/>
  <sheetViews>
    <sheetView workbookViewId="0">
      <selection activeCell="E13" sqref="E13"/>
    </sheetView>
  </sheetViews>
  <sheetFormatPr defaultColWidth="9" defaultRowHeight="13.5" outlineLevelCol="7"/>
  <cols>
    <col min="2" max="2" width="17.1327433628319" customWidth="1"/>
    <col min="3" max="3" width="47.2035398230088" customWidth="1"/>
    <col min="4" max="8" width="17.1327433628319" customWidth="1"/>
  </cols>
  <sheetData>
    <row r="1" ht="27.75" spans="2:8">
      <c r="B1" s="322" t="s">
        <v>12</v>
      </c>
      <c r="C1" s="323" t="s">
        <v>371</v>
      </c>
      <c r="D1" s="323" t="s">
        <v>31</v>
      </c>
      <c r="E1" s="323" t="s">
        <v>372</v>
      </c>
      <c r="F1" s="323" t="s">
        <v>45</v>
      </c>
      <c r="G1" s="323" t="s">
        <v>47</v>
      </c>
      <c r="H1" s="323" t="s">
        <v>48</v>
      </c>
    </row>
    <row r="2" spans="2:8">
      <c r="B2" s="324" t="s">
        <v>56</v>
      </c>
      <c r="C2" s="325" t="s">
        <v>57</v>
      </c>
      <c r="D2" s="326">
        <v>46211</v>
      </c>
      <c r="E2" s="326">
        <v>46540</v>
      </c>
      <c r="F2" s="327">
        <v>329</v>
      </c>
      <c r="G2" s="326">
        <v>46540</v>
      </c>
      <c r="H2" s="328">
        <v>0</v>
      </c>
    </row>
    <row r="3" spans="2:8">
      <c r="B3" s="324" t="s">
        <v>75</v>
      </c>
      <c r="C3" s="325" t="s">
        <v>76</v>
      </c>
      <c r="D3" s="326">
        <v>46253</v>
      </c>
      <c r="E3" s="326">
        <v>46433</v>
      </c>
      <c r="F3" s="327">
        <v>180</v>
      </c>
      <c r="G3" s="326">
        <v>46444</v>
      </c>
      <c r="H3" s="328">
        <v>11</v>
      </c>
    </row>
    <row r="4" spans="2:8">
      <c r="B4" s="324" t="s">
        <v>80</v>
      </c>
      <c r="C4" s="325" t="s">
        <v>373</v>
      </c>
      <c r="D4" s="326">
        <v>46230</v>
      </c>
      <c r="E4" s="326">
        <v>46440</v>
      </c>
      <c r="F4" s="327">
        <v>210</v>
      </c>
      <c r="G4" s="326">
        <v>46448</v>
      </c>
      <c r="H4" s="328">
        <v>8</v>
      </c>
    </row>
    <row r="5" spans="2:8">
      <c r="B5" s="324" t="s">
        <v>88</v>
      </c>
      <c r="C5" s="325" t="s">
        <v>374</v>
      </c>
      <c r="D5" s="326">
        <v>46227</v>
      </c>
      <c r="E5" s="326">
        <v>46451</v>
      </c>
      <c r="F5" s="327">
        <v>224</v>
      </c>
      <c r="G5" s="326">
        <v>46451</v>
      </c>
      <c r="H5" s="328">
        <v>0</v>
      </c>
    </row>
    <row r="6" spans="2:8">
      <c r="B6" s="324" t="s">
        <v>103</v>
      </c>
      <c r="C6" s="325" t="s">
        <v>104</v>
      </c>
      <c r="D6" s="326">
        <v>46231</v>
      </c>
      <c r="E6" s="326">
        <v>46413</v>
      </c>
      <c r="F6" s="327">
        <v>182</v>
      </c>
      <c r="G6" s="326">
        <v>46430</v>
      </c>
      <c r="H6" s="328">
        <v>17</v>
      </c>
    </row>
    <row r="7" spans="2:8">
      <c r="B7" s="324" t="s">
        <v>107</v>
      </c>
      <c r="C7" s="325" t="s">
        <v>108</v>
      </c>
      <c r="D7" s="326">
        <v>46254</v>
      </c>
      <c r="E7" s="326">
        <v>46422</v>
      </c>
      <c r="F7" s="327">
        <v>168</v>
      </c>
      <c r="G7" s="326">
        <v>46470</v>
      </c>
      <c r="H7" s="328">
        <v>48</v>
      </c>
    </row>
    <row r="8" ht="25.5" spans="2:8">
      <c r="B8" s="324" t="s">
        <v>111</v>
      </c>
      <c r="C8" s="325" t="s">
        <v>375</v>
      </c>
      <c r="D8" s="326">
        <v>46231</v>
      </c>
      <c r="E8" s="326">
        <v>46455</v>
      </c>
      <c r="F8" s="327">
        <v>224</v>
      </c>
      <c r="G8" s="326">
        <v>46477</v>
      </c>
      <c r="H8" s="328">
        <v>22</v>
      </c>
    </row>
    <row r="9" spans="2:8">
      <c r="B9" s="324" t="s">
        <v>121</v>
      </c>
      <c r="C9" s="325" t="s">
        <v>122</v>
      </c>
      <c r="D9" s="326">
        <v>46226</v>
      </c>
      <c r="E9" s="326">
        <v>46478</v>
      </c>
      <c r="F9" s="327">
        <v>252</v>
      </c>
      <c r="G9" s="326">
        <v>46490</v>
      </c>
      <c r="H9" s="328">
        <v>12</v>
      </c>
    </row>
    <row r="10" spans="2:8">
      <c r="B10" s="324" t="s">
        <v>126</v>
      </c>
      <c r="C10" s="325" t="s">
        <v>127</v>
      </c>
      <c r="D10" s="326">
        <v>46226</v>
      </c>
      <c r="E10" s="326">
        <v>46485</v>
      </c>
      <c r="F10" s="327">
        <v>259</v>
      </c>
      <c r="G10" s="326">
        <v>46490</v>
      </c>
      <c r="H10" s="328">
        <v>5</v>
      </c>
    </row>
    <row r="11" spans="2:8">
      <c r="B11" s="324" t="s">
        <v>129</v>
      </c>
      <c r="C11" s="325" t="s">
        <v>130</v>
      </c>
      <c r="D11" s="326">
        <v>46247</v>
      </c>
      <c r="E11" s="326">
        <v>46499</v>
      </c>
      <c r="F11" s="327">
        <v>252</v>
      </c>
      <c r="G11" s="326">
        <v>46504</v>
      </c>
      <c r="H11" s="328">
        <v>5</v>
      </c>
    </row>
    <row r="12" spans="2:8">
      <c r="B12" s="324" t="s">
        <v>143</v>
      </c>
      <c r="C12" s="325" t="s">
        <v>144</v>
      </c>
      <c r="D12" s="326">
        <v>46254</v>
      </c>
      <c r="E12" s="326">
        <v>46534</v>
      </c>
      <c r="F12" s="327">
        <v>280</v>
      </c>
      <c r="G12" s="326">
        <v>46550</v>
      </c>
      <c r="H12" s="328">
        <v>16</v>
      </c>
    </row>
    <row r="13" spans="2:8">
      <c r="B13" s="324" t="s">
        <v>147</v>
      </c>
      <c r="C13" s="325" t="s">
        <v>148</v>
      </c>
      <c r="D13" s="326">
        <v>46267</v>
      </c>
      <c r="E13" s="326">
        <v>46519</v>
      </c>
      <c r="F13" s="327">
        <v>252</v>
      </c>
      <c r="G13" s="326">
        <v>46530</v>
      </c>
      <c r="H13" s="328">
        <v>11</v>
      </c>
    </row>
    <row r="14" spans="2:8">
      <c r="B14" s="324" t="s">
        <v>151</v>
      </c>
      <c r="C14" s="325" t="s">
        <v>152</v>
      </c>
      <c r="D14" s="326">
        <v>46241</v>
      </c>
      <c r="E14" s="326">
        <v>46521</v>
      </c>
      <c r="F14" s="327">
        <v>280</v>
      </c>
      <c r="G14" s="326">
        <v>46530</v>
      </c>
      <c r="H14" s="328">
        <v>9</v>
      </c>
    </row>
    <row r="15" spans="2:8">
      <c r="B15" s="324" t="s">
        <v>160</v>
      </c>
      <c r="C15" s="325" t="s">
        <v>376</v>
      </c>
      <c r="D15" s="326">
        <v>46218</v>
      </c>
      <c r="E15" s="326">
        <v>46470</v>
      </c>
      <c r="F15" s="327">
        <v>252</v>
      </c>
      <c r="G15" s="326">
        <v>46478</v>
      </c>
      <c r="H15" s="328">
        <v>8</v>
      </c>
    </row>
    <row r="16" spans="2:8">
      <c r="B16" s="324" t="s">
        <v>232</v>
      </c>
      <c r="C16" s="325" t="s">
        <v>377</v>
      </c>
      <c r="D16" s="326">
        <v>46183</v>
      </c>
      <c r="E16" s="326">
        <v>46243</v>
      </c>
      <c r="F16" s="327">
        <v>60</v>
      </c>
      <c r="G16" s="326">
        <v>46251</v>
      </c>
      <c r="H16" s="328">
        <v>8</v>
      </c>
    </row>
    <row r="17" spans="2:8">
      <c r="B17" s="324" t="s">
        <v>239</v>
      </c>
      <c r="C17" s="325" t="s">
        <v>378</v>
      </c>
      <c r="D17" s="326">
        <v>46209</v>
      </c>
      <c r="E17" s="326">
        <v>46297</v>
      </c>
      <c r="F17" s="327">
        <v>90.0000000000003</v>
      </c>
      <c r="G17" s="326">
        <v>46299</v>
      </c>
      <c r="H17" s="328">
        <v>0</v>
      </c>
    </row>
    <row r="18" spans="2:8">
      <c r="B18" s="324" t="s">
        <v>255</v>
      </c>
      <c r="C18" s="325" t="s">
        <v>379</v>
      </c>
      <c r="D18" s="326">
        <v>46233</v>
      </c>
      <c r="E18" s="326">
        <v>46293</v>
      </c>
      <c r="F18" s="327">
        <v>60</v>
      </c>
      <c r="G18" s="326">
        <v>46314</v>
      </c>
      <c r="H18" s="328">
        <v>21</v>
      </c>
    </row>
    <row r="19" spans="2:8">
      <c r="B19" s="324" t="s">
        <v>264</v>
      </c>
      <c r="C19" s="325" t="s">
        <v>380</v>
      </c>
      <c r="D19" s="326">
        <v>46335</v>
      </c>
      <c r="E19" s="326">
        <v>46393</v>
      </c>
      <c r="F19" s="327">
        <v>60</v>
      </c>
      <c r="G19" s="326">
        <v>46457</v>
      </c>
      <c r="H19" s="328">
        <v>62</v>
      </c>
    </row>
    <row r="20" spans="2:8">
      <c r="B20" s="324" t="s">
        <v>359</v>
      </c>
      <c r="C20" s="325" t="s">
        <v>360</v>
      </c>
      <c r="D20" s="326">
        <v>46230</v>
      </c>
      <c r="E20" s="326">
        <v>46319</v>
      </c>
      <c r="F20" s="327">
        <v>90.0000000000003</v>
      </c>
      <c r="G20" s="326">
        <v>46327</v>
      </c>
      <c r="H20" s="328">
        <v>7</v>
      </c>
    </row>
    <row r="21" spans="2:8">
      <c r="B21" s="324" t="s">
        <v>284</v>
      </c>
      <c r="C21" s="325" t="s">
        <v>285</v>
      </c>
      <c r="D21" s="326">
        <v>46265</v>
      </c>
      <c r="E21" s="326">
        <v>46355</v>
      </c>
      <c r="F21" s="327">
        <v>90.0000000000003</v>
      </c>
      <c r="G21" s="326">
        <v>46360</v>
      </c>
      <c r="H21" s="328">
        <v>5</v>
      </c>
    </row>
    <row r="22" spans="2:8">
      <c r="B22" s="324" t="s">
        <v>286</v>
      </c>
      <c r="C22" s="325" t="s">
        <v>381</v>
      </c>
      <c r="D22" s="326">
        <v>46258</v>
      </c>
      <c r="E22" s="326">
        <v>46426</v>
      </c>
      <c r="F22" s="327">
        <v>168</v>
      </c>
      <c r="G22" s="326">
        <v>46429</v>
      </c>
      <c r="H22" s="328">
        <v>3</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03"/>
  <sheetViews>
    <sheetView topLeftCell="A232" workbookViewId="0">
      <selection activeCell="A250" sqref="A250:A252"/>
    </sheetView>
  </sheetViews>
  <sheetFormatPr defaultColWidth="9" defaultRowHeight="13.5" outlineLevelCol="6"/>
  <cols>
    <col min="1" max="1" width="18.2035398230088" customWidth="1"/>
    <col min="2" max="2" width="69" customWidth="1"/>
    <col min="3" max="5" width="16.7964601769912" customWidth="1"/>
    <col min="6" max="6" width="12.4690265486726" customWidth="1"/>
    <col min="7" max="7" width="20.1327433628319" customWidth="1"/>
    <col min="8" max="8" width="40.8672566371681" customWidth="1"/>
  </cols>
  <sheetData>
    <row r="1" spans="1:7">
      <c r="A1" t="s">
        <v>382</v>
      </c>
      <c r="B1" t="s">
        <v>383</v>
      </c>
      <c r="C1" t="s">
        <v>384</v>
      </c>
      <c r="D1" t="s">
        <v>385</v>
      </c>
      <c r="E1" t="s">
        <v>386</v>
      </c>
      <c r="F1" t="s">
        <v>387</v>
      </c>
      <c r="G1" t="s">
        <v>388</v>
      </c>
    </row>
    <row r="2" spans="1:7">
      <c r="A2" t="s">
        <v>389</v>
      </c>
      <c r="C2">
        <v>211</v>
      </c>
      <c r="D2" s="321">
        <v>46085</v>
      </c>
      <c r="E2" s="321">
        <v>46405</v>
      </c>
      <c r="F2">
        <v>0</v>
      </c>
      <c r="G2" t="s">
        <v>390</v>
      </c>
    </row>
    <row r="3" spans="1:7">
      <c r="A3" t="s">
        <v>391</v>
      </c>
      <c r="C3">
        <v>211</v>
      </c>
      <c r="D3" s="321">
        <v>46085</v>
      </c>
      <c r="E3" s="321">
        <v>46405</v>
      </c>
      <c r="F3">
        <v>0</v>
      </c>
      <c r="G3" t="s">
        <v>390</v>
      </c>
    </row>
    <row r="4" spans="1:7">
      <c r="A4" t="s">
        <v>392</v>
      </c>
      <c r="B4" t="s">
        <v>393</v>
      </c>
      <c r="C4">
        <v>0</v>
      </c>
      <c r="D4" s="321">
        <v>46085</v>
      </c>
      <c r="F4">
        <v>-47</v>
      </c>
      <c r="G4" t="s">
        <v>390</v>
      </c>
    </row>
    <row r="5" spans="1:7">
      <c r="A5" t="s">
        <v>394</v>
      </c>
      <c r="B5" t="s">
        <v>395</v>
      </c>
      <c r="C5">
        <v>0</v>
      </c>
      <c r="E5" t="s">
        <v>396</v>
      </c>
      <c r="F5">
        <v>-7</v>
      </c>
      <c r="G5" t="s">
        <v>390</v>
      </c>
    </row>
    <row r="6" spans="1:7">
      <c r="A6" t="s">
        <v>397</v>
      </c>
      <c r="B6" t="s">
        <v>398</v>
      </c>
      <c r="C6">
        <v>2</v>
      </c>
      <c r="D6" s="321">
        <v>46155</v>
      </c>
      <c r="E6" s="321">
        <v>46156</v>
      </c>
      <c r="F6">
        <v>10</v>
      </c>
      <c r="G6" t="s">
        <v>390</v>
      </c>
    </row>
    <row r="7" spans="1:7">
      <c r="A7" t="s">
        <v>399</v>
      </c>
      <c r="B7" t="s">
        <v>400</v>
      </c>
      <c r="C7">
        <v>0</v>
      </c>
      <c r="E7" s="321">
        <v>46170</v>
      </c>
      <c r="F7">
        <v>22</v>
      </c>
      <c r="G7" t="s">
        <v>390</v>
      </c>
    </row>
    <row r="8" spans="1:7">
      <c r="A8" t="s">
        <v>401</v>
      </c>
      <c r="B8" t="s">
        <v>402</v>
      </c>
      <c r="C8">
        <v>2</v>
      </c>
      <c r="D8" s="321">
        <v>46162</v>
      </c>
      <c r="E8" s="321">
        <v>46163</v>
      </c>
      <c r="F8">
        <v>105</v>
      </c>
      <c r="G8" t="s">
        <v>390</v>
      </c>
    </row>
    <row r="9" spans="1:7">
      <c r="A9" t="s">
        <v>403</v>
      </c>
      <c r="B9" t="s">
        <v>404</v>
      </c>
      <c r="C9">
        <v>5</v>
      </c>
      <c r="D9" s="321">
        <v>46178</v>
      </c>
      <c r="E9" s="321">
        <v>46184</v>
      </c>
      <c r="F9">
        <v>22</v>
      </c>
      <c r="G9" t="s">
        <v>390</v>
      </c>
    </row>
    <row r="10" spans="1:7">
      <c r="A10" t="s">
        <v>405</v>
      </c>
      <c r="B10" t="s">
        <v>406</v>
      </c>
      <c r="C10">
        <v>2</v>
      </c>
      <c r="D10" s="321">
        <v>46192</v>
      </c>
      <c r="E10" s="321">
        <v>46195</v>
      </c>
      <c r="F10">
        <v>75</v>
      </c>
      <c r="G10" t="s">
        <v>390</v>
      </c>
    </row>
    <row r="11" spans="1:7">
      <c r="A11" t="s">
        <v>407</v>
      </c>
      <c r="B11" t="s">
        <v>408</v>
      </c>
      <c r="C11">
        <v>0</v>
      </c>
      <c r="E11" t="s">
        <v>409</v>
      </c>
      <c r="F11">
        <v>0</v>
      </c>
      <c r="G11" t="s">
        <v>390</v>
      </c>
    </row>
    <row r="12" spans="1:7">
      <c r="A12" t="s">
        <v>410</v>
      </c>
      <c r="B12" t="s">
        <v>411</v>
      </c>
      <c r="C12">
        <v>5</v>
      </c>
      <c r="D12" s="321">
        <v>46258</v>
      </c>
      <c r="E12" s="321">
        <v>46262</v>
      </c>
      <c r="F12">
        <v>0</v>
      </c>
      <c r="G12" t="s">
        <v>390</v>
      </c>
    </row>
    <row r="13" spans="1:7">
      <c r="A13" t="s">
        <v>412</v>
      </c>
      <c r="B13" t="s">
        <v>413</v>
      </c>
      <c r="C13">
        <v>1</v>
      </c>
      <c r="D13" s="321">
        <v>46321</v>
      </c>
      <c r="E13" s="321">
        <v>46321</v>
      </c>
      <c r="F13">
        <v>11</v>
      </c>
      <c r="G13" t="s">
        <v>390</v>
      </c>
    </row>
    <row r="14" spans="1:7">
      <c r="A14" t="s">
        <v>414</v>
      </c>
      <c r="B14" t="s">
        <v>415</v>
      </c>
      <c r="C14">
        <v>0</v>
      </c>
      <c r="E14" s="321">
        <v>46392</v>
      </c>
      <c r="F14">
        <v>0</v>
      </c>
      <c r="G14" t="s">
        <v>390</v>
      </c>
    </row>
    <row r="15" spans="1:7">
      <c r="A15" t="s">
        <v>416</v>
      </c>
      <c r="B15" t="s">
        <v>417</v>
      </c>
      <c r="C15">
        <v>0</v>
      </c>
      <c r="E15" s="321">
        <v>46405</v>
      </c>
      <c r="F15">
        <v>0</v>
      </c>
      <c r="G15" t="s">
        <v>390</v>
      </c>
    </row>
    <row r="16" spans="1:7">
      <c r="A16" t="s">
        <v>418</v>
      </c>
      <c r="C16">
        <v>35</v>
      </c>
      <c r="D16" s="321">
        <v>46086</v>
      </c>
      <c r="E16" s="321">
        <v>46140</v>
      </c>
      <c r="F16">
        <v>166</v>
      </c>
      <c r="G16" t="s">
        <v>390</v>
      </c>
    </row>
    <row r="17" spans="1:7">
      <c r="A17" t="s">
        <v>419</v>
      </c>
      <c r="B17" t="s">
        <v>420</v>
      </c>
      <c r="C17">
        <v>10</v>
      </c>
      <c r="D17" s="321">
        <v>46086</v>
      </c>
      <c r="E17" s="321">
        <v>46099</v>
      </c>
      <c r="F17">
        <v>166</v>
      </c>
      <c r="G17" t="s">
        <v>390</v>
      </c>
    </row>
    <row r="18" spans="1:7">
      <c r="A18" t="s">
        <v>421</v>
      </c>
      <c r="B18" t="s">
        <v>422</v>
      </c>
      <c r="C18">
        <v>5</v>
      </c>
      <c r="D18" s="321">
        <v>46114</v>
      </c>
      <c r="E18" s="321">
        <v>46121</v>
      </c>
      <c r="F18">
        <v>171</v>
      </c>
      <c r="G18" t="s">
        <v>390</v>
      </c>
    </row>
    <row r="19" spans="1:7">
      <c r="A19" t="s">
        <v>423</v>
      </c>
      <c r="B19" t="s">
        <v>424</v>
      </c>
      <c r="C19">
        <v>10</v>
      </c>
      <c r="D19" s="321">
        <v>46100</v>
      </c>
      <c r="E19" s="321">
        <v>46113</v>
      </c>
      <c r="F19">
        <v>166</v>
      </c>
      <c r="G19" t="s">
        <v>390</v>
      </c>
    </row>
    <row r="20" spans="1:7">
      <c r="A20" t="s">
        <v>425</v>
      </c>
      <c r="B20" t="s">
        <v>426</v>
      </c>
      <c r="C20">
        <v>5</v>
      </c>
      <c r="D20" s="321">
        <v>46134</v>
      </c>
      <c r="E20" s="321">
        <v>46140</v>
      </c>
      <c r="F20">
        <v>166</v>
      </c>
      <c r="G20" t="s">
        <v>390</v>
      </c>
    </row>
    <row r="21" spans="1:7">
      <c r="A21" t="s">
        <v>427</v>
      </c>
      <c r="C21">
        <v>80</v>
      </c>
      <c r="D21" s="321">
        <v>46106</v>
      </c>
      <c r="E21" s="321">
        <v>46226</v>
      </c>
      <c r="F21">
        <v>107</v>
      </c>
      <c r="G21" t="s">
        <v>390</v>
      </c>
    </row>
    <row r="22" spans="1:7">
      <c r="A22" t="s">
        <v>428</v>
      </c>
      <c r="B22" t="s">
        <v>429</v>
      </c>
      <c r="C22">
        <v>10</v>
      </c>
      <c r="D22" s="321">
        <v>46113</v>
      </c>
      <c r="E22" s="321">
        <v>46132</v>
      </c>
      <c r="F22">
        <v>33</v>
      </c>
      <c r="G22" t="s">
        <v>390</v>
      </c>
    </row>
    <row r="23" spans="1:7">
      <c r="A23" t="s">
        <v>430</v>
      </c>
      <c r="B23" t="s">
        <v>431</v>
      </c>
      <c r="C23">
        <v>5</v>
      </c>
      <c r="D23" s="321">
        <v>46148</v>
      </c>
      <c r="E23" s="321">
        <v>46154</v>
      </c>
      <c r="F23">
        <v>33</v>
      </c>
      <c r="G23" t="s">
        <v>390</v>
      </c>
    </row>
    <row r="24" spans="1:7">
      <c r="A24" t="s">
        <v>432</v>
      </c>
      <c r="B24" t="s">
        <v>433</v>
      </c>
      <c r="C24">
        <v>5</v>
      </c>
      <c r="D24" s="321">
        <v>46169</v>
      </c>
      <c r="E24" s="321">
        <v>46177</v>
      </c>
      <c r="F24">
        <v>33</v>
      </c>
      <c r="G24" t="s">
        <v>390</v>
      </c>
    </row>
    <row r="25" spans="1:7">
      <c r="A25" t="s">
        <v>434</v>
      </c>
      <c r="B25" t="s">
        <v>435</v>
      </c>
      <c r="C25">
        <v>5</v>
      </c>
      <c r="D25" s="321">
        <v>46185</v>
      </c>
      <c r="E25" s="321">
        <v>46191</v>
      </c>
      <c r="F25">
        <v>117</v>
      </c>
      <c r="G25" t="s">
        <v>390</v>
      </c>
    </row>
    <row r="26" spans="1:7">
      <c r="A26" t="s">
        <v>436</v>
      </c>
      <c r="B26" t="s">
        <v>437</v>
      </c>
      <c r="C26">
        <v>5</v>
      </c>
      <c r="D26" s="321">
        <v>46206</v>
      </c>
      <c r="E26" s="321">
        <v>46212</v>
      </c>
      <c r="F26">
        <v>117</v>
      </c>
      <c r="G26" t="s">
        <v>390</v>
      </c>
    </row>
    <row r="27" spans="1:7">
      <c r="A27" t="s">
        <v>438</v>
      </c>
      <c r="B27" t="s">
        <v>439</v>
      </c>
      <c r="C27">
        <v>10</v>
      </c>
      <c r="D27" s="321">
        <v>46185</v>
      </c>
      <c r="E27" s="321">
        <v>46198</v>
      </c>
      <c r="F27">
        <v>112</v>
      </c>
      <c r="G27" t="s">
        <v>390</v>
      </c>
    </row>
    <row r="28" spans="1:7">
      <c r="A28" t="s">
        <v>440</v>
      </c>
      <c r="B28" t="s">
        <v>441</v>
      </c>
      <c r="C28">
        <v>5</v>
      </c>
      <c r="D28" s="321">
        <v>46213</v>
      </c>
      <c r="E28" s="321">
        <v>46219</v>
      </c>
      <c r="F28">
        <v>112</v>
      </c>
      <c r="G28" t="s">
        <v>390</v>
      </c>
    </row>
    <row r="29" spans="1:7">
      <c r="A29" t="s">
        <v>442</v>
      </c>
      <c r="B29" t="s">
        <v>443</v>
      </c>
      <c r="C29">
        <v>15</v>
      </c>
      <c r="D29" s="321">
        <v>46162</v>
      </c>
      <c r="E29" s="321">
        <v>46184</v>
      </c>
      <c r="F29">
        <v>109</v>
      </c>
      <c r="G29" t="s">
        <v>390</v>
      </c>
    </row>
    <row r="30" spans="1:7">
      <c r="A30" t="s">
        <v>444</v>
      </c>
      <c r="B30" t="s">
        <v>445</v>
      </c>
      <c r="C30">
        <v>5</v>
      </c>
      <c r="D30" s="321">
        <v>46199</v>
      </c>
      <c r="E30" s="321">
        <v>46205</v>
      </c>
      <c r="F30">
        <v>122</v>
      </c>
      <c r="G30" t="s">
        <v>390</v>
      </c>
    </row>
    <row r="31" spans="1:7">
      <c r="A31" t="s">
        <v>446</v>
      </c>
      <c r="B31" t="s">
        <v>447</v>
      </c>
      <c r="C31">
        <v>20</v>
      </c>
      <c r="D31" s="321">
        <v>46175</v>
      </c>
      <c r="E31" s="321">
        <v>46203</v>
      </c>
      <c r="F31">
        <v>109</v>
      </c>
      <c r="G31" t="s">
        <v>390</v>
      </c>
    </row>
    <row r="32" spans="1:7">
      <c r="A32" t="s">
        <v>448</v>
      </c>
      <c r="B32" t="s">
        <v>449</v>
      </c>
      <c r="C32">
        <v>5</v>
      </c>
      <c r="D32" s="321">
        <v>46218</v>
      </c>
      <c r="E32" s="321">
        <v>46224</v>
      </c>
      <c r="F32">
        <v>109</v>
      </c>
      <c r="G32" t="s">
        <v>390</v>
      </c>
    </row>
    <row r="33" spans="1:7">
      <c r="A33" t="s">
        <v>450</v>
      </c>
      <c r="B33" t="s">
        <v>451</v>
      </c>
      <c r="C33">
        <v>13</v>
      </c>
      <c r="D33" s="321">
        <v>46175</v>
      </c>
      <c r="E33" s="321">
        <v>46192</v>
      </c>
      <c r="F33">
        <v>116</v>
      </c>
      <c r="G33" t="s">
        <v>390</v>
      </c>
    </row>
    <row r="34" spans="1:7">
      <c r="A34" t="s">
        <v>452</v>
      </c>
      <c r="B34" t="s">
        <v>453</v>
      </c>
      <c r="C34">
        <v>5</v>
      </c>
      <c r="D34" s="321">
        <v>46209</v>
      </c>
      <c r="E34" s="321">
        <v>46213</v>
      </c>
      <c r="F34">
        <v>116</v>
      </c>
      <c r="G34" t="s">
        <v>390</v>
      </c>
    </row>
    <row r="35" spans="1:7">
      <c r="A35" t="s">
        <v>454</v>
      </c>
      <c r="B35" t="s">
        <v>455</v>
      </c>
      <c r="C35">
        <v>15</v>
      </c>
      <c r="D35" s="321">
        <v>46185</v>
      </c>
      <c r="E35" s="321">
        <v>46205</v>
      </c>
      <c r="F35">
        <v>107</v>
      </c>
      <c r="G35" t="s">
        <v>390</v>
      </c>
    </row>
    <row r="36" spans="1:7">
      <c r="A36" t="s">
        <v>456</v>
      </c>
      <c r="B36" t="s">
        <v>457</v>
      </c>
      <c r="C36">
        <v>5</v>
      </c>
      <c r="D36" s="321">
        <v>46220</v>
      </c>
      <c r="E36" s="321">
        <v>46226</v>
      </c>
      <c r="F36">
        <v>107</v>
      </c>
      <c r="G36" t="s">
        <v>390</v>
      </c>
    </row>
    <row r="37" spans="1:7">
      <c r="A37" t="s">
        <v>458</v>
      </c>
      <c r="B37" t="s">
        <v>459</v>
      </c>
      <c r="C37">
        <v>15</v>
      </c>
      <c r="D37" s="321">
        <v>46185</v>
      </c>
      <c r="E37" s="321">
        <v>46205</v>
      </c>
      <c r="F37">
        <v>107</v>
      </c>
      <c r="G37" t="s">
        <v>390</v>
      </c>
    </row>
    <row r="38" spans="1:7">
      <c r="A38" t="s">
        <v>460</v>
      </c>
      <c r="B38" t="s">
        <v>461</v>
      </c>
      <c r="C38">
        <v>5</v>
      </c>
      <c r="D38" s="321">
        <v>46220</v>
      </c>
      <c r="E38" s="321">
        <v>46226</v>
      </c>
      <c r="F38">
        <v>107</v>
      </c>
      <c r="G38" t="s">
        <v>390</v>
      </c>
    </row>
    <row r="39" spans="1:7">
      <c r="A39" t="s">
        <v>462</v>
      </c>
      <c r="B39" t="s">
        <v>463</v>
      </c>
      <c r="C39">
        <v>13</v>
      </c>
      <c r="D39" s="321">
        <v>46175</v>
      </c>
      <c r="E39" s="321">
        <v>46192</v>
      </c>
      <c r="F39">
        <v>116</v>
      </c>
      <c r="G39" t="s">
        <v>390</v>
      </c>
    </row>
    <row r="40" spans="1:7">
      <c r="A40" t="s">
        <v>464</v>
      </c>
      <c r="B40" t="s">
        <v>465</v>
      </c>
      <c r="C40">
        <v>5</v>
      </c>
      <c r="D40" s="321">
        <v>46209</v>
      </c>
      <c r="E40" s="321">
        <v>46213</v>
      </c>
      <c r="F40">
        <v>116</v>
      </c>
      <c r="G40" t="s">
        <v>390</v>
      </c>
    </row>
    <row r="41" spans="1:7">
      <c r="A41" t="s">
        <v>466</v>
      </c>
      <c r="B41" t="s">
        <v>467</v>
      </c>
      <c r="C41">
        <v>15</v>
      </c>
      <c r="D41" s="321">
        <v>46140</v>
      </c>
      <c r="E41" s="321">
        <v>46161</v>
      </c>
      <c r="F41">
        <v>105</v>
      </c>
      <c r="G41" t="s">
        <v>390</v>
      </c>
    </row>
    <row r="42" spans="1:7">
      <c r="A42" t="s">
        <v>468</v>
      </c>
      <c r="B42" t="s">
        <v>469</v>
      </c>
      <c r="C42">
        <v>5</v>
      </c>
      <c r="D42" s="321">
        <v>46199</v>
      </c>
      <c r="E42" s="321">
        <v>46205</v>
      </c>
      <c r="F42">
        <v>122</v>
      </c>
      <c r="G42" t="s">
        <v>390</v>
      </c>
    </row>
    <row r="43" spans="1:7">
      <c r="A43" t="s">
        <v>470</v>
      </c>
      <c r="B43" t="s">
        <v>471</v>
      </c>
      <c r="C43">
        <v>15</v>
      </c>
      <c r="D43" s="321">
        <v>46140</v>
      </c>
      <c r="E43" s="321">
        <v>46161</v>
      </c>
      <c r="F43">
        <v>137</v>
      </c>
      <c r="G43" t="s">
        <v>390</v>
      </c>
    </row>
    <row r="44" spans="1:7">
      <c r="A44" t="s">
        <v>472</v>
      </c>
      <c r="B44" t="s">
        <v>473</v>
      </c>
      <c r="C44">
        <v>5</v>
      </c>
      <c r="D44" s="321">
        <v>46199</v>
      </c>
      <c r="E44" s="321">
        <v>46205</v>
      </c>
      <c r="F44">
        <v>122</v>
      </c>
      <c r="G44" t="s">
        <v>390</v>
      </c>
    </row>
    <row r="45" spans="1:7">
      <c r="A45" t="s">
        <v>474</v>
      </c>
      <c r="B45" t="s">
        <v>475</v>
      </c>
      <c r="C45">
        <v>10</v>
      </c>
      <c r="D45" s="321">
        <v>46185</v>
      </c>
      <c r="E45" s="321">
        <v>46198</v>
      </c>
      <c r="F45">
        <v>112</v>
      </c>
      <c r="G45" t="s">
        <v>390</v>
      </c>
    </row>
    <row r="46" spans="1:7">
      <c r="A46" t="s">
        <v>476</v>
      </c>
      <c r="B46" t="s">
        <v>477</v>
      </c>
      <c r="C46">
        <v>5</v>
      </c>
      <c r="D46" s="321">
        <v>46213</v>
      </c>
      <c r="E46" s="321">
        <v>46219</v>
      </c>
      <c r="F46">
        <v>112</v>
      </c>
      <c r="G46" t="s">
        <v>390</v>
      </c>
    </row>
    <row r="47" spans="1:7">
      <c r="A47" t="s">
        <v>478</v>
      </c>
      <c r="B47" t="s">
        <v>479</v>
      </c>
      <c r="C47">
        <v>10</v>
      </c>
      <c r="D47" s="321">
        <v>46113</v>
      </c>
      <c r="E47" s="321">
        <v>46132</v>
      </c>
      <c r="F47">
        <v>157</v>
      </c>
      <c r="G47" t="s">
        <v>390</v>
      </c>
    </row>
    <row r="48" spans="1:7">
      <c r="A48" t="s">
        <v>480</v>
      </c>
      <c r="B48" t="s">
        <v>481</v>
      </c>
      <c r="C48">
        <v>5</v>
      </c>
      <c r="D48" s="321">
        <v>46213</v>
      </c>
      <c r="E48" s="321">
        <v>46219</v>
      </c>
      <c r="F48">
        <v>112</v>
      </c>
      <c r="G48" t="s">
        <v>390</v>
      </c>
    </row>
    <row r="49" spans="1:7">
      <c r="A49" t="s">
        <v>482</v>
      </c>
      <c r="B49" t="s">
        <v>483</v>
      </c>
      <c r="C49">
        <v>10</v>
      </c>
      <c r="D49" s="321">
        <v>46113</v>
      </c>
      <c r="E49" s="321">
        <v>46132</v>
      </c>
      <c r="F49">
        <v>172</v>
      </c>
      <c r="G49" t="s">
        <v>390</v>
      </c>
    </row>
    <row r="50" spans="1:7">
      <c r="A50" t="s">
        <v>484</v>
      </c>
      <c r="B50" t="s">
        <v>485</v>
      </c>
      <c r="C50">
        <v>10</v>
      </c>
      <c r="D50" s="321">
        <v>46206</v>
      </c>
      <c r="E50" s="321">
        <v>46219</v>
      </c>
      <c r="F50">
        <v>112</v>
      </c>
      <c r="G50" t="s">
        <v>390</v>
      </c>
    </row>
    <row r="51" spans="1:7">
      <c r="A51" t="s">
        <v>486</v>
      </c>
      <c r="B51" t="s">
        <v>487</v>
      </c>
      <c r="C51">
        <v>5</v>
      </c>
      <c r="D51" s="321">
        <v>46113</v>
      </c>
      <c r="E51" s="321">
        <v>46120</v>
      </c>
      <c r="F51">
        <v>-47</v>
      </c>
      <c r="G51" t="s">
        <v>390</v>
      </c>
    </row>
    <row r="52" spans="1:7">
      <c r="A52" t="s">
        <v>488</v>
      </c>
      <c r="B52" t="s">
        <v>489</v>
      </c>
      <c r="C52">
        <v>10</v>
      </c>
      <c r="D52" s="321">
        <v>46140</v>
      </c>
      <c r="E52" s="321">
        <v>46154</v>
      </c>
      <c r="F52">
        <v>-17</v>
      </c>
      <c r="G52" t="s">
        <v>390</v>
      </c>
    </row>
    <row r="53" spans="1:7">
      <c r="A53" t="s">
        <v>490</v>
      </c>
      <c r="B53" t="s">
        <v>491</v>
      </c>
      <c r="C53">
        <v>10</v>
      </c>
      <c r="D53" s="321">
        <v>46169</v>
      </c>
      <c r="E53" s="321">
        <v>46184</v>
      </c>
      <c r="F53">
        <v>-17</v>
      </c>
      <c r="G53" t="s">
        <v>390</v>
      </c>
    </row>
    <row r="54" spans="1:7">
      <c r="A54" t="s">
        <v>492</v>
      </c>
      <c r="B54" t="s">
        <v>493</v>
      </c>
      <c r="C54">
        <v>5</v>
      </c>
      <c r="D54" s="321">
        <v>46113</v>
      </c>
      <c r="E54" s="321">
        <v>46120</v>
      </c>
      <c r="F54">
        <v>-47</v>
      </c>
      <c r="G54" t="s">
        <v>390</v>
      </c>
    </row>
    <row r="55" spans="1:7">
      <c r="A55" t="s">
        <v>494</v>
      </c>
      <c r="B55" t="s">
        <v>495</v>
      </c>
      <c r="C55">
        <v>10</v>
      </c>
      <c r="D55" s="321">
        <v>46140</v>
      </c>
      <c r="E55" s="321">
        <v>46154</v>
      </c>
      <c r="F55">
        <v>-17</v>
      </c>
      <c r="G55" t="s">
        <v>390</v>
      </c>
    </row>
    <row r="56" spans="1:7">
      <c r="A56" t="s">
        <v>496</v>
      </c>
      <c r="B56" t="s">
        <v>497</v>
      </c>
      <c r="C56">
        <v>10</v>
      </c>
      <c r="D56" s="321">
        <v>46169</v>
      </c>
      <c r="E56" s="321">
        <v>46184</v>
      </c>
      <c r="F56">
        <v>-17</v>
      </c>
      <c r="G56" t="s">
        <v>390</v>
      </c>
    </row>
    <row r="57" spans="1:7">
      <c r="A57" t="s">
        <v>498</v>
      </c>
      <c r="B57" t="s">
        <v>499</v>
      </c>
      <c r="C57">
        <v>5</v>
      </c>
      <c r="D57" s="321">
        <v>46113</v>
      </c>
      <c r="E57" s="321">
        <v>46120</v>
      </c>
      <c r="F57">
        <v>-47</v>
      </c>
      <c r="G57" t="s">
        <v>390</v>
      </c>
    </row>
    <row r="58" spans="1:7">
      <c r="A58" t="s">
        <v>500</v>
      </c>
      <c r="B58" t="s">
        <v>501</v>
      </c>
      <c r="C58">
        <v>10</v>
      </c>
      <c r="D58" s="321">
        <v>46140</v>
      </c>
      <c r="E58" s="321">
        <v>46154</v>
      </c>
      <c r="F58">
        <v>-17</v>
      </c>
      <c r="G58" t="s">
        <v>390</v>
      </c>
    </row>
    <row r="59" spans="1:7">
      <c r="A59" t="s">
        <v>502</v>
      </c>
      <c r="B59" t="s">
        <v>503</v>
      </c>
      <c r="C59">
        <v>10</v>
      </c>
      <c r="D59" s="321">
        <v>46169</v>
      </c>
      <c r="E59" s="321">
        <v>46184</v>
      </c>
      <c r="F59">
        <v>-17</v>
      </c>
      <c r="G59" t="s">
        <v>390</v>
      </c>
    </row>
    <row r="60" spans="1:7">
      <c r="A60" t="s">
        <v>504</v>
      </c>
      <c r="B60" t="s">
        <v>505</v>
      </c>
      <c r="C60">
        <v>5</v>
      </c>
      <c r="D60" s="321">
        <v>46113</v>
      </c>
      <c r="E60" s="321">
        <v>46120</v>
      </c>
      <c r="F60">
        <v>-47</v>
      </c>
      <c r="G60" t="s">
        <v>390</v>
      </c>
    </row>
    <row r="61" spans="1:7">
      <c r="A61" t="s">
        <v>506</v>
      </c>
      <c r="B61" t="s">
        <v>507</v>
      </c>
      <c r="C61">
        <v>10</v>
      </c>
      <c r="D61" s="321">
        <v>46140</v>
      </c>
      <c r="E61" s="321">
        <v>46154</v>
      </c>
      <c r="F61">
        <v>-17</v>
      </c>
      <c r="G61" t="s">
        <v>390</v>
      </c>
    </row>
    <row r="62" spans="1:7">
      <c r="A62" t="s">
        <v>508</v>
      </c>
      <c r="B62" t="s">
        <v>509</v>
      </c>
      <c r="C62">
        <v>10</v>
      </c>
      <c r="D62" s="321">
        <v>46169</v>
      </c>
      <c r="E62" s="321">
        <v>46184</v>
      </c>
      <c r="F62">
        <v>-17</v>
      </c>
      <c r="G62" t="s">
        <v>390</v>
      </c>
    </row>
    <row r="63" spans="1:7">
      <c r="A63" t="s">
        <v>510</v>
      </c>
      <c r="B63" t="s">
        <v>511</v>
      </c>
      <c r="C63">
        <v>15</v>
      </c>
      <c r="D63" s="321">
        <v>46113</v>
      </c>
      <c r="E63" s="321">
        <v>46139</v>
      </c>
      <c r="F63">
        <v>-47</v>
      </c>
      <c r="G63" t="s">
        <v>390</v>
      </c>
    </row>
    <row r="64" spans="1:7">
      <c r="A64" t="s">
        <v>512</v>
      </c>
      <c r="B64" t="s">
        <v>513</v>
      </c>
      <c r="C64">
        <v>10</v>
      </c>
      <c r="D64" s="321">
        <v>46155</v>
      </c>
      <c r="E64" s="321">
        <v>46168</v>
      </c>
      <c r="F64">
        <v>-17</v>
      </c>
      <c r="G64" t="s">
        <v>390</v>
      </c>
    </row>
    <row r="65" spans="1:7">
      <c r="A65" t="s">
        <v>514</v>
      </c>
      <c r="B65" t="s">
        <v>515</v>
      </c>
      <c r="C65">
        <v>10</v>
      </c>
      <c r="D65" s="321">
        <v>46185</v>
      </c>
      <c r="E65" s="321">
        <v>46198</v>
      </c>
      <c r="F65">
        <v>-17</v>
      </c>
      <c r="G65" t="s">
        <v>390</v>
      </c>
    </row>
    <row r="66" spans="1:7">
      <c r="A66" t="s">
        <v>516</v>
      </c>
      <c r="B66" t="s">
        <v>517</v>
      </c>
      <c r="C66">
        <v>15</v>
      </c>
      <c r="D66" s="321">
        <v>46113</v>
      </c>
      <c r="E66" s="321">
        <v>46139</v>
      </c>
      <c r="F66">
        <v>-47</v>
      </c>
      <c r="G66" t="s">
        <v>390</v>
      </c>
    </row>
    <row r="67" spans="1:7">
      <c r="A67" t="s">
        <v>518</v>
      </c>
      <c r="B67" t="s">
        <v>519</v>
      </c>
      <c r="C67">
        <v>10</v>
      </c>
      <c r="D67" s="321">
        <v>46155</v>
      </c>
      <c r="E67" s="321">
        <v>46168</v>
      </c>
      <c r="F67">
        <v>-17</v>
      </c>
      <c r="G67" t="s">
        <v>390</v>
      </c>
    </row>
    <row r="68" spans="1:7">
      <c r="A68" t="s">
        <v>520</v>
      </c>
      <c r="B68" t="s">
        <v>521</v>
      </c>
      <c r="C68">
        <v>10</v>
      </c>
      <c r="D68" s="321">
        <v>46185</v>
      </c>
      <c r="E68" s="321">
        <v>46198</v>
      </c>
      <c r="F68">
        <v>-17</v>
      </c>
      <c r="G68" t="s">
        <v>390</v>
      </c>
    </row>
    <row r="69" spans="1:7">
      <c r="A69" t="s">
        <v>522</v>
      </c>
      <c r="B69" t="s">
        <v>523</v>
      </c>
      <c r="C69">
        <v>15</v>
      </c>
      <c r="D69" s="321">
        <v>46113</v>
      </c>
      <c r="E69" s="321">
        <v>46139</v>
      </c>
      <c r="F69">
        <v>-47</v>
      </c>
      <c r="G69" t="s">
        <v>390</v>
      </c>
    </row>
    <row r="70" spans="1:7">
      <c r="A70" t="s">
        <v>524</v>
      </c>
      <c r="B70" t="s">
        <v>525</v>
      </c>
      <c r="C70">
        <v>10</v>
      </c>
      <c r="D70" s="321">
        <v>46155</v>
      </c>
      <c r="E70" s="321">
        <v>46168</v>
      </c>
      <c r="F70">
        <v>-17</v>
      </c>
      <c r="G70" t="s">
        <v>390</v>
      </c>
    </row>
    <row r="71" spans="1:7">
      <c r="A71" t="s">
        <v>526</v>
      </c>
      <c r="B71" t="s">
        <v>527</v>
      </c>
      <c r="C71">
        <v>10</v>
      </c>
      <c r="D71" s="321">
        <v>46185</v>
      </c>
      <c r="E71" s="321">
        <v>46198</v>
      </c>
      <c r="F71">
        <v>-17</v>
      </c>
      <c r="G71" t="s">
        <v>390</v>
      </c>
    </row>
    <row r="72" spans="1:7">
      <c r="A72" t="s">
        <v>528</v>
      </c>
      <c r="B72" t="s">
        <v>529</v>
      </c>
      <c r="C72">
        <v>10</v>
      </c>
      <c r="D72" s="321">
        <v>46106</v>
      </c>
      <c r="E72" s="321">
        <v>46120</v>
      </c>
      <c r="F72">
        <v>162</v>
      </c>
      <c r="G72" t="s">
        <v>390</v>
      </c>
    </row>
    <row r="73" spans="1:7">
      <c r="A73" t="s">
        <v>530</v>
      </c>
      <c r="B73" t="s">
        <v>531</v>
      </c>
      <c r="C73">
        <v>5</v>
      </c>
      <c r="D73" s="321">
        <v>46185</v>
      </c>
      <c r="E73" s="321">
        <v>46191</v>
      </c>
      <c r="F73">
        <v>132</v>
      </c>
      <c r="G73" t="s">
        <v>390</v>
      </c>
    </row>
    <row r="74" spans="1:7">
      <c r="A74" t="s">
        <v>532</v>
      </c>
      <c r="B74" t="s">
        <v>533</v>
      </c>
      <c r="C74">
        <v>10</v>
      </c>
      <c r="D74" s="321">
        <v>46106</v>
      </c>
      <c r="E74" s="321">
        <v>46120</v>
      </c>
      <c r="F74">
        <v>162</v>
      </c>
      <c r="G74" t="s">
        <v>390</v>
      </c>
    </row>
    <row r="75" spans="1:7">
      <c r="A75" t="s">
        <v>534</v>
      </c>
      <c r="B75" t="s">
        <v>535</v>
      </c>
      <c r="C75">
        <v>5</v>
      </c>
      <c r="D75" s="321">
        <v>46185</v>
      </c>
      <c r="E75" s="321">
        <v>46191</v>
      </c>
      <c r="F75">
        <v>132</v>
      </c>
      <c r="G75" t="s">
        <v>390</v>
      </c>
    </row>
    <row r="76" spans="1:7">
      <c r="A76" t="s">
        <v>536</v>
      </c>
      <c r="B76" t="s">
        <v>537</v>
      </c>
      <c r="C76">
        <v>25</v>
      </c>
      <c r="D76" s="321">
        <v>46140</v>
      </c>
      <c r="E76" s="321">
        <v>46177</v>
      </c>
      <c r="F76">
        <v>107</v>
      </c>
      <c r="G76" t="s">
        <v>390</v>
      </c>
    </row>
    <row r="77" spans="1:7">
      <c r="A77" t="s">
        <v>538</v>
      </c>
      <c r="B77" t="s">
        <v>539</v>
      </c>
      <c r="C77">
        <v>10</v>
      </c>
      <c r="D77" s="321">
        <v>46192</v>
      </c>
      <c r="E77" s="321">
        <v>46205</v>
      </c>
      <c r="F77">
        <v>107</v>
      </c>
      <c r="G77" t="s">
        <v>390</v>
      </c>
    </row>
    <row r="78" spans="1:7">
      <c r="A78" t="s">
        <v>540</v>
      </c>
      <c r="B78" t="s">
        <v>541</v>
      </c>
      <c r="C78">
        <v>5</v>
      </c>
      <c r="D78" s="321">
        <v>46220</v>
      </c>
      <c r="E78" s="321">
        <v>46226</v>
      </c>
      <c r="F78">
        <v>107</v>
      </c>
      <c r="G78" t="s">
        <v>390</v>
      </c>
    </row>
    <row r="79" spans="1:7">
      <c r="A79" t="s">
        <v>542</v>
      </c>
      <c r="B79" t="s">
        <v>543</v>
      </c>
      <c r="C79">
        <v>25</v>
      </c>
      <c r="D79" s="321">
        <v>46140</v>
      </c>
      <c r="E79" s="321">
        <v>46177</v>
      </c>
      <c r="F79">
        <v>127</v>
      </c>
      <c r="G79" t="s">
        <v>390</v>
      </c>
    </row>
    <row r="80" spans="1:7">
      <c r="A80" t="s">
        <v>544</v>
      </c>
      <c r="B80" t="s">
        <v>545</v>
      </c>
      <c r="C80">
        <v>5</v>
      </c>
      <c r="D80" s="321">
        <v>46220</v>
      </c>
      <c r="E80" s="321">
        <v>46226</v>
      </c>
      <c r="F80">
        <v>107</v>
      </c>
      <c r="G80" t="s">
        <v>390</v>
      </c>
    </row>
    <row r="81" spans="1:7">
      <c r="A81" t="s">
        <v>546</v>
      </c>
      <c r="B81" t="s">
        <v>547</v>
      </c>
      <c r="C81">
        <v>25</v>
      </c>
      <c r="D81" s="321">
        <v>46140</v>
      </c>
      <c r="E81" s="321">
        <v>46177</v>
      </c>
      <c r="F81">
        <v>107</v>
      </c>
      <c r="G81" t="s">
        <v>390</v>
      </c>
    </row>
    <row r="82" spans="1:7">
      <c r="A82" t="s">
        <v>548</v>
      </c>
      <c r="B82" t="s">
        <v>549</v>
      </c>
      <c r="C82">
        <v>10</v>
      </c>
      <c r="D82" s="321">
        <v>46192</v>
      </c>
      <c r="E82" s="321">
        <v>46205</v>
      </c>
      <c r="F82">
        <v>107</v>
      </c>
      <c r="G82" t="s">
        <v>390</v>
      </c>
    </row>
    <row r="83" spans="1:7">
      <c r="A83" t="s">
        <v>550</v>
      </c>
      <c r="B83" t="s">
        <v>551</v>
      </c>
      <c r="C83">
        <v>5</v>
      </c>
      <c r="D83" s="321">
        <v>46220</v>
      </c>
      <c r="E83" s="321">
        <v>46226</v>
      </c>
      <c r="F83">
        <v>107</v>
      </c>
      <c r="G83" t="s">
        <v>390</v>
      </c>
    </row>
    <row r="84" spans="1:7">
      <c r="A84" t="s">
        <v>552</v>
      </c>
      <c r="C84">
        <v>45</v>
      </c>
      <c r="D84" s="321">
        <v>46140</v>
      </c>
      <c r="E84" s="321">
        <v>46205</v>
      </c>
      <c r="F84">
        <v>-17</v>
      </c>
      <c r="G84" t="s">
        <v>390</v>
      </c>
    </row>
    <row r="85" spans="1:7">
      <c r="A85" t="s">
        <v>553</v>
      </c>
      <c r="B85" t="s">
        <v>554</v>
      </c>
      <c r="C85">
        <v>23</v>
      </c>
      <c r="D85" s="321">
        <v>46140</v>
      </c>
      <c r="E85" s="321">
        <v>46171</v>
      </c>
      <c r="F85">
        <v>-10</v>
      </c>
      <c r="G85" t="s">
        <v>390</v>
      </c>
    </row>
    <row r="86" spans="1:7">
      <c r="A86" t="s">
        <v>555</v>
      </c>
      <c r="B86" t="s">
        <v>556</v>
      </c>
      <c r="C86">
        <v>5</v>
      </c>
      <c r="D86" s="321">
        <v>46199</v>
      </c>
      <c r="E86" s="321">
        <v>46205</v>
      </c>
      <c r="F86">
        <v>-17</v>
      </c>
      <c r="G86" t="s">
        <v>390</v>
      </c>
    </row>
    <row r="87" spans="1:7">
      <c r="A87" t="s">
        <v>557</v>
      </c>
      <c r="B87" t="s">
        <v>558</v>
      </c>
      <c r="C87">
        <v>15</v>
      </c>
      <c r="D87" s="321">
        <v>46140</v>
      </c>
      <c r="E87" s="321">
        <v>46161</v>
      </c>
      <c r="F87">
        <v>-2</v>
      </c>
      <c r="G87" t="s">
        <v>390</v>
      </c>
    </row>
    <row r="88" spans="1:7">
      <c r="A88" t="s">
        <v>559</v>
      </c>
      <c r="B88" t="s">
        <v>560</v>
      </c>
      <c r="C88">
        <v>5</v>
      </c>
      <c r="D88" s="321">
        <v>46199</v>
      </c>
      <c r="E88" s="321">
        <v>46205</v>
      </c>
      <c r="F88">
        <v>-17</v>
      </c>
      <c r="G88" t="s">
        <v>390</v>
      </c>
    </row>
    <row r="89" spans="1:7">
      <c r="A89" t="s">
        <v>561</v>
      </c>
      <c r="B89" t="s">
        <v>562</v>
      </c>
      <c r="C89">
        <v>15</v>
      </c>
      <c r="D89" s="321">
        <v>46140</v>
      </c>
      <c r="E89" s="321">
        <v>46161</v>
      </c>
      <c r="F89">
        <v>-2</v>
      </c>
      <c r="G89" t="s">
        <v>390</v>
      </c>
    </row>
    <row r="90" spans="1:7">
      <c r="A90" t="s">
        <v>563</v>
      </c>
      <c r="B90" t="s">
        <v>564</v>
      </c>
      <c r="C90">
        <v>5</v>
      </c>
      <c r="D90" s="321">
        <v>46199</v>
      </c>
      <c r="E90" s="321">
        <v>46205</v>
      </c>
      <c r="F90">
        <v>-17</v>
      </c>
      <c r="G90" t="s">
        <v>390</v>
      </c>
    </row>
    <row r="91" spans="1:7">
      <c r="A91" t="s">
        <v>565</v>
      </c>
      <c r="B91" t="s">
        <v>566</v>
      </c>
      <c r="C91">
        <v>15</v>
      </c>
      <c r="D91" s="321">
        <v>46140</v>
      </c>
      <c r="E91" s="321">
        <v>46161</v>
      </c>
      <c r="F91">
        <v>-2</v>
      </c>
      <c r="G91" t="s">
        <v>390</v>
      </c>
    </row>
    <row r="92" spans="1:7">
      <c r="A92" t="s">
        <v>567</v>
      </c>
      <c r="B92" t="s">
        <v>568</v>
      </c>
      <c r="C92">
        <v>5</v>
      </c>
      <c r="D92" s="321">
        <v>46199</v>
      </c>
      <c r="E92" s="321">
        <v>46205</v>
      </c>
      <c r="F92">
        <v>-17</v>
      </c>
      <c r="G92" t="s">
        <v>390</v>
      </c>
    </row>
    <row r="93" spans="1:7">
      <c r="A93" t="s">
        <v>569</v>
      </c>
      <c r="B93" t="s">
        <v>570</v>
      </c>
      <c r="C93">
        <v>15</v>
      </c>
      <c r="D93" s="321">
        <v>46140</v>
      </c>
      <c r="E93" s="321">
        <v>46161</v>
      </c>
      <c r="F93">
        <v>-2</v>
      </c>
      <c r="G93" t="s">
        <v>390</v>
      </c>
    </row>
    <row r="94" spans="1:7">
      <c r="A94" t="s">
        <v>571</v>
      </c>
      <c r="B94" t="s">
        <v>572</v>
      </c>
      <c r="C94">
        <v>5</v>
      </c>
      <c r="D94" s="321">
        <v>46199</v>
      </c>
      <c r="E94" s="321">
        <v>46205</v>
      </c>
      <c r="F94">
        <v>-17</v>
      </c>
      <c r="G94" t="s">
        <v>390</v>
      </c>
    </row>
    <row r="95" spans="1:7">
      <c r="A95" t="s">
        <v>573</v>
      </c>
      <c r="B95" t="s">
        <v>574</v>
      </c>
      <c r="C95">
        <v>23</v>
      </c>
      <c r="D95" s="321">
        <v>46140</v>
      </c>
      <c r="E95" s="321">
        <v>46171</v>
      </c>
      <c r="F95">
        <v>-10</v>
      </c>
      <c r="G95" t="s">
        <v>390</v>
      </c>
    </row>
    <row r="96" spans="1:7">
      <c r="A96" t="s">
        <v>575</v>
      </c>
      <c r="B96" t="s">
        <v>576</v>
      </c>
      <c r="C96">
        <v>5</v>
      </c>
      <c r="D96" s="321">
        <v>46199</v>
      </c>
      <c r="E96" s="321">
        <v>46205</v>
      </c>
      <c r="F96">
        <v>-17</v>
      </c>
      <c r="G96" t="s">
        <v>390</v>
      </c>
    </row>
    <row r="97" spans="1:7">
      <c r="A97" t="s">
        <v>577</v>
      </c>
      <c r="B97" t="s">
        <v>578</v>
      </c>
      <c r="C97">
        <v>23</v>
      </c>
      <c r="D97" s="321">
        <v>46140</v>
      </c>
      <c r="E97" s="321">
        <v>46171</v>
      </c>
      <c r="F97">
        <v>-10</v>
      </c>
      <c r="G97" t="s">
        <v>390</v>
      </c>
    </row>
    <row r="98" spans="1:7">
      <c r="A98" t="s">
        <v>579</v>
      </c>
      <c r="B98" t="s">
        <v>580</v>
      </c>
      <c r="C98">
        <v>5</v>
      </c>
      <c r="D98" s="321">
        <v>46199</v>
      </c>
      <c r="E98" s="321">
        <v>46205</v>
      </c>
      <c r="F98">
        <v>-17</v>
      </c>
      <c r="G98" t="s">
        <v>390</v>
      </c>
    </row>
    <row r="99" spans="1:7">
      <c r="A99" t="s">
        <v>581</v>
      </c>
      <c r="B99" t="s">
        <v>582</v>
      </c>
      <c r="C99">
        <v>23</v>
      </c>
      <c r="D99" s="321">
        <v>46140</v>
      </c>
      <c r="E99" s="321">
        <v>46171</v>
      </c>
      <c r="F99">
        <v>-10</v>
      </c>
      <c r="G99" t="s">
        <v>390</v>
      </c>
    </row>
    <row r="100" spans="1:7">
      <c r="A100" t="s">
        <v>583</v>
      </c>
      <c r="B100" t="s">
        <v>584</v>
      </c>
      <c r="C100">
        <v>5</v>
      </c>
      <c r="D100" s="321">
        <v>46199</v>
      </c>
      <c r="E100" s="321">
        <v>46205</v>
      </c>
      <c r="F100">
        <v>-17</v>
      </c>
      <c r="G100" t="s">
        <v>390</v>
      </c>
    </row>
    <row r="101" spans="1:7">
      <c r="A101" t="s">
        <v>585</v>
      </c>
      <c r="B101" t="s">
        <v>586</v>
      </c>
      <c r="C101">
        <v>23</v>
      </c>
      <c r="D101" s="321">
        <v>46140</v>
      </c>
      <c r="E101" s="321">
        <v>46171</v>
      </c>
      <c r="F101">
        <v>-10</v>
      </c>
      <c r="G101" t="s">
        <v>390</v>
      </c>
    </row>
    <row r="102" spans="1:7">
      <c r="A102" t="s">
        <v>587</v>
      </c>
      <c r="B102" t="s">
        <v>588</v>
      </c>
      <c r="C102">
        <v>5</v>
      </c>
      <c r="D102" s="321">
        <v>46199</v>
      </c>
      <c r="E102" s="321">
        <v>46205</v>
      </c>
      <c r="F102">
        <v>-17</v>
      </c>
      <c r="G102" t="s">
        <v>390</v>
      </c>
    </row>
    <row r="103" spans="1:7">
      <c r="A103" t="s">
        <v>589</v>
      </c>
      <c r="B103" t="s">
        <v>590</v>
      </c>
      <c r="C103">
        <v>15</v>
      </c>
      <c r="D103" s="321">
        <v>46140</v>
      </c>
      <c r="E103" s="321">
        <v>46161</v>
      </c>
      <c r="F103">
        <v>-2</v>
      </c>
      <c r="G103" t="s">
        <v>390</v>
      </c>
    </row>
    <row r="104" spans="1:7">
      <c r="A104" t="s">
        <v>591</v>
      </c>
      <c r="B104" t="s">
        <v>592</v>
      </c>
      <c r="C104">
        <v>5</v>
      </c>
      <c r="D104" s="321">
        <v>46199</v>
      </c>
      <c r="E104" s="321">
        <v>46205</v>
      </c>
      <c r="F104">
        <v>-17</v>
      </c>
      <c r="G104" t="s">
        <v>390</v>
      </c>
    </row>
    <row r="105" spans="1:7">
      <c r="A105" t="s">
        <v>593</v>
      </c>
      <c r="B105" t="s">
        <v>594</v>
      </c>
      <c r="C105">
        <v>23</v>
      </c>
      <c r="D105" s="321">
        <v>46140</v>
      </c>
      <c r="E105" s="321">
        <v>46171</v>
      </c>
      <c r="F105">
        <v>-30</v>
      </c>
      <c r="G105" t="s">
        <v>390</v>
      </c>
    </row>
    <row r="106" spans="1:7">
      <c r="A106" t="s">
        <v>595</v>
      </c>
      <c r="B106" t="s">
        <v>596</v>
      </c>
      <c r="C106">
        <v>5</v>
      </c>
      <c r="D106" s="321">
        <v>46199</v>
      </c>
      <c r="E106" s="321">
        <v>46205</v>
      </c>
      <c r="F106">
        <v>-17</v>
      </c>
      <c r="G106" t="s">
        <v>390</v>
      </c>
    </row>
    <row r="107" spans="1:7">
      <c r="A107" t="s">
        <v>597</v>
      </c>
      <c r="B107" t="s">
        <v>598</v>
      </c>
      <c r="C107">
        <v>15</v>
      </c>
      <c r="D107" s="321">
        <v>46140</v>
      </c>
      <c r="E107" s="321">
        <v>46161</v>
      </c>
      <c r="F107">
        <v>-44</v>
      </c>
      <c r="G107" t="s">
        <v>390</v>
      </c>
    </row>
    <row r="108" spans="1:7">
      <c r="A108" t="s">
        <v>599</v>
      </c>
      <c r="B108" t="s">
        <v>600</v>
      </c>
      <c r="C108">
        <v>5</v>
      </c>
      <c r="D108" s="321">
        <v>46199</v>
      </c>
      <c r="E108" s="321">
        <v>46205</v>
      </c>
      <c r="F108">
        <v>-17</v>
      </c>
      <c r="G108" t="s">
        <v>390</v>
      </c>
    </row>
    <row r="109" spans="1:7">
      <c r="A109" t="s">
        <v>601</v>
      </c>
      <c r="B109" t="s">
        <v>602</v>
      </c>
      <c r="C109">
        <v>15</v>
      </c>
      <c r="D109" s="321">
        <v>46140</v>
      </c>
      <c r="E109" s="321">
        <v>46161</v>
      </c>
      <c r="F109">
        <v>-47</v>
      </c>
      <c r="G109" t="s">
        <v>390</v>
      </c>
    </row>
    <row r="110" spans="1:7">
      <c r="A110" t="s">
        <v>603</v>
      </c>
      <c r="B110" t="s">
        <v>604</v>
      </c>
      <c r="C110">
        <v>5</v>
      </c>
      <c r="D110" s="321">
        <v>46199</v>
      </c>
      <c r="E110" s="321">
        <v>46205</v>
      </c>
      <c r="F110">
        <v>-17</v>
      </c>
      <c r="G110" t="s">
        <v>390</v>
      </c>
    </row>
    <row r="111" spans="1:7">
      <c r="A111" t="s">
        <v>605</v>
      </c>
      <c r="B111" t="s">
        <v>606</v>
      </c>
      <c r="C111">
        <v>15</v>
      </c>
      <c r="D111" s="321">
        <v>46140</v>
      </c>
      <c r="E111" s="321">
        <v>46161</v>
      </c>
      <c r="F111">
        <v>-2</v>
      </c>
      <c r="G111" t="s">
        <v>390</v>
      </c>
    </row>
    <row r="112" spans="1:7">
      <c r="A112" t="s">
        <v>607</v>
      </c>
      <c r="B112" t="s">
        <v>608</v>
      </c>
      <c r="C112">
        <v>5</v>
      </c>
      <c r="D112" s="321">
        <v>46199</v>
      </c>
      <c r="E112" s="321">
        <v>46205</v>
      </c>
      <c r="F112">
        <v>-17</v>
      </c>
      <c r="G112" t="s">
        <v>390</v>
      </c>
    </row>
    <row r="113" spans="1:7">
      <c r="A113" t="s">
        <v>609</v>
      </c>
      <c r="B113" t="s">
        <v>610</v>
      </c>
      <c r="C113">
        <v>15</v>
      </c>
      <c r="D113" s="321">
        <v>46140</v>
      </c>
      <c r="E113" s="321">
        <v>46161</v>
      </c>
      <c r="F113">
        <v>-21</v>
      </c>
      <c r="G113" t="s">
        <v>390</v>
      </c>
    </row>
    <row r="114" spans="1:7">
      <c r="A114" t="s">
        <v>611</v>
      </c>
      <c r="B114" t="s">
        <v>612</v>
      </c>
      <c r="C114">
        <v>5</v>
      </c>
      <c r="D114" s="321">
        <v>46199</v>
      </c>
      <c r="E114" s="321">
        <v>46205</v>
      </c>
      <c r="F114">
        <v>-17</v>
      </c>
      <c r="G114" t="s">
        <v>390</v>
      </c>
    </row>
    <row r="115" spans="1:7">
      <c r="A115" t="s">
        <v>613</v>
      </c>
      <c r="B115" t="s">
        <v>614</v>
      </c>
      <c r="C115">
        <v>15</v>
      </c>
      <c r="D115" s="321">
        <v>46140</v>
      </c>
      <c r="E115" s="321">
        <v>46161</v>
      </c>
      <c r="F115">
        <v>-16</v>
      </c>
      <c r="G115" t="s">
        <v>390</v>
      </c>
    </row>
    <row r="116" spans="1:7">
      <c r="A116" t="s">
        <v>615</v>
      </c>
      <c r="B116" t="s">
        <v>616</v>
      </c>
      <c r="C116">
        <v>5</v>
      </c>
      <c r="D116" s="321">
        <v>46199</v>
      </c>
      <c r="E116" s="321">
        <v>46205</v>
      </c>
      <c r="F116">
        <v>-17</v>
      </c>
      <c r="G116" t="s">
        <v>390</v>
      </c>
    </row>
    <row r="117" spans="1:7">
      <c r="A117" t="s">
        <v>617</v>
      </c>
      <c r="B117" t="s">
        <v>618</v>
      </c>
      <c r="C117">
        <v>8</v>
      </c>
      <c r="D117" s="321">
        <v>46140</v>
      </c>
      <c r="E117" s="321">
        <v>46150</v>
      </c>
      <c r="F117">
        <v>5</v>
      </c>
      <c r="G117" t="s">
        <v>390</v>
      </c>
    </row>
    <row r="118" spans="1:7">
      <c r="A118" t="s">
        <v>619</v>
      </c>
      <c r="B118" t="s">
        <v>620</v>
      </c>
      <c r="C118">
        <v>5</v>
      </c>
      <c r="D118" s="321">
        <v>46199</v>
      </c>
      <c r="E118" s="321">
        <v>46205</v>
      </c>
      <c r="F118">
        <v>-17</v>
      </c>
      <c r="G118" t="s">
        <v>390</v>
      </c>
    </row>
    <row r="119" spans="1:7">
      <c r="A119" t="s">
        <v>621</v>
      </c>
      <c r="B119" t="s">
        <v>622</v>
      </c>
      <c r="C119">
        <v>13</v>
      </c>
      <c r="D119" s="321">
        <v>46140</v>
      </c>
      <c r="E119" s="321">
        <v>46157</v>
      </c>
      <c r="F119">
        <v>0</v>
      </c>
      <c r="G119" t="s">
        <v>390</v>
      </c>
    </row>
    <row r="120" spans="1:7">
      <c r="A120" t="s">
        <v>623</v>
      </c>
      <c r="B120" t="s">
        <v>624</v>
      </c>
      <c r="C120">
        <v>5</v>
      </c>
      <c r="D120" s="321">
        <v>46199</v>
      </c>
      <c r="E120" s="321">
        <v>46205</v>
      </c>
      <c r="F120">
        <v>-17</v>
      </c>
      <c r="G120" t="s">
        <v>390</v>
      </c>
    </row>
    <row r="121" spans="1:7">
      <c r="A121" t="s">
        <v>625</v>
      </c>
      <c r="B121" t="s">
        <v>626</v>
      </c>
      <c r="C121">
        <v>23</v>
      </c>
      <c r="D121" s="321">
        <v>46140</v>
      </c>
      <c r="E121" s="321">
        <v>46171</v>
      </c>
      <c r="F121">
        <v>-10</v>
      </c>
      <c r="G121" t="s">
        <v>390</v>
      </c>
    </row>
    <row r="122" spans="1:7">
      <c r="A122" t="s">
        <v>627</v>
      </c>
      <c r="B122" t="s">
        <v>628</v>
      </c>
      <c r="C122">
        <v>5</v>
      </c>
      <c r="D122" s="321">
        <v>46199</v>
      </c>
      <c r="E122" s="321">
        <v>46205</v>
      </c>
      <c r="F122">
        <v>-17</v>
      </c>
      <c r="G122" t="s">
        <v>390</v>
      </c>
    </row>
    <row r="123" spans="1:7">
      <c r="A123" t="s">
        <v>629</v>
      </c>
      <c r="B123" t="s">
        <v>630</v>
      </c>
      <c r="C123">
        <v>23</v>
      </c>
      <c r="D123" s="321">
        <v>46140</v>
      </c>
      <c r="E123" s="321">
        <v>46171</v>
      </c>
      <c r="F123">
        <v>-10</v>
      </c>
      <c r="G123" t="s">
        <v>390</v>
      </c>
    </row>
    <row r="124" spans="1:7">
      <c r="A124" t="s">
        <v>631</v>
      </c>
      <c r="B124" t="s">
        <v>632</v>
      </c>
      <c r="C124">
        <v>5</v>
      </c>
      <c r="D124" s="321">
        <v>46199</v>
      </c>
      <c r="E124" s="321">
        <v>46205</v>
      </c>
      <c r="F124">
        <v>-17</v>
      </c>
      <c r="G124" t="s">
        <v>390</v>
      </c>
    </row>
    <row r="125" spans="1:7">
      <c r="A125" t="s">
        <v>633</v>
      </c>
      <c r="B125" t="s">
        <v>634</v>
      </c>
      <c r="C125">
        <v>23</v>
      </c>
      <c r="D125" s="321">
        <v>46140</v>
      </c>
      <c r="E125" s="321">
        <v>46171</v>
      </c>
      <c r="F125">
        <v>-10</v>
      </c>
      <c r="G125" t="s">
        <v>390</v>
      </c>
    </row>
    <row r="126" spans="1:7">
      <c r="A126" t="s">
        <v>635</v>
      </c>
      <c r="B126" t="s">
        <v>636</v>
      </c>
      <c r="C126">
        <v>5</v>
      </c>
      <c r="D126" s="321">
        <v>46199</v>
      </c>
      <c r="E126" s="321">
        <v>46205</v>
      </c>
      <c r="F126">
        <v>-17</v>
      </c>
      <c r="G126" t="s">
        <v>390</v>
      </c>
    </row>
    <row r="127" spans="1:7">
      <c r="A127" t="s">
        <v>637</v>
      </c>
      <c r="C127">
        <v>194</v>
      </c>
      <c r="D127" s="321">
        <v>46091</v>
      </c>
      <c r="E127" s="321">
        <v>46384</v>
      </c>
      <c r="F127">
        <v>4</v>
      </c>
      <c r="G127" t="s">
        <v>390</v>
      </c>
    </row>
    <row r="128" spans="1:7">
      <c r="A128" t="s">
        <v>638</v>
      </c>
      <c r="B128" t="s">
        <v>639</v>
      </c>
      <c r="C128">
        <v>19</v>
      </c>
      <c r="D128" s="321">
        <v>46091</v>
      </c>
      <c r="E128" s="321">
        <v>46115</v>
      </c>
      <c r="F128">
        <v>4</v>
      </c>
      <c r="G128" t="s">
        <v>390</v>
      </c>
    </row>
    <row r="129" spans="1:7">
      <c r="A129" t="s">
        <v>640</v>
      </c>
      <c r="B129" t="s">
        <v>641</v>
      </c>
      <c r="C129">
        <v>10</v>
      </c>
      <c r="D129" s="321">
        <v>46136</v>
      </c>
      <c r="E129" s="321">
        <v>46150</v>
      </c>
      <c r="F129">
        <v>159</v>
      </c>
      <c r="G129" t="s">
        <v>390</v>
      </c>
    </row>
    <row r="130" spans="1:7">
      <c r="A130" t="s">
        <v>642</v>
      </c>
      <c r="B130" t="s">
        <v>643</v>
      </c>
      <c r="C130">
        <v>15</v>
      </c>
      <c r="D130" s="321">
        <v>46129</v>
      </c>
      <c r="E130" s="321">
        <v>46150</v>
      </c>
      <c r="F130">
        <v>4</v>
      </c>
      <c r="G130" t="s">
        <v>390</v>
      </c>
    </row>
    <row r="131" spans="1:7">
      <c r="A131" t="s">
        <v>644</v>
      </c>
      <c r="B131" t="s">
        <v>645</v>
      </c>
      <c r="C131">
        <v>10</v>
      </c>
      <c r="D131" s="321">
        <v>46274</v>
      </c>
      <c r="E131" s="321">
        <v>46287</v>
      </c>
      <c r="F131">
        <v>68</v>
      </c>
      <c r="G131" t="s">
        <v>390</v>
      </c>
    </row>
    <row r="132" spans="1:7">
      <c r="A132" t="s">
        <v>646</v>
      </c>
      <c r="B132" t="s">
        <v>647</v>
      </c>
      <c r="C132">
        <v>20</v>
      </c>
      <c r="D132" s="321">
        <v>46141</v>
      </c>
      <c r="E132" s="321">
        <v>46169</v>
      </c>
      <c r="F132">
        <v>32</v>
      </c>
      <c r="G132" t="s">
        <v>390</v>
      </c>
    </row>
    <row r="133" spans="1:7">
      <c r="A133" t="s">
        <v>648</v>
      </c>
      <c r="B133" t="s">
        <v>649</v>
      </c>
      <c r="C133">
        <v>10</v>
      </c>
      <c r="D133" s="321">
        <v>46199</v>
      </c>
      <c r="E133" s="321">
        <v>46212</v>
      </c>
      <c r="F133">
        <v>82</v>
      </c>
      <c r="G133" t="s">
        <v>390</v>
      </c>
    </row>
    <row r="134" spans="1:7">
      <c r="A134" t="s">
        <v>650</v>
      </c>
      <c r="B134" t="s">
        <v>651</v>
      </c>
      <c r="C134">
        <v>20</v>
      </c>
      <c r="D134" s="321">
        <v>46141</v>
      </c>
      <c r="E134" s="321">
        <v>46169</v>
      </c>
      <c r="F134">
        <v>32</v>
      </c>
      <c r="G134" t="s">
        <v>390</v>
      </c>
    </row>
    <row r="135" spans="1:7">
      <c r="A135" t="s">
        <v>652</v>
      </c>
      <c r="B135" t="s">
        <v>653</v>
      </c>
      <c r="C135">
        <v>10</v>
      </c>
      <c r="D135" s="321">
        <v>46199</v>
      </c>
      <c r="E135" s="321">
        <v>46212</v>
      </c>
      <c r="F135">
        <v>82</v>
      </c>
      <c r="G135" t="s">
        <v>390</v>
      </c>
    </row>
    <row r="136" spans="1:7">
      <c r="A136" t="s">
        <v>654</v>
      </c>
      <c r="B136" t="s">
        <v>655</v>
      </c>
      <c r="C136">
        <v>25</v>
      </c>
      <c r="D136" s="321">
        <v>46091</v>
      </c>
      <c r="E136" s="321">
        <v>46129</v>
      </c>
      <c r="F136">
        <v>153</v>
      </c>
      <c r="G136" t="s">
        <v>390</v>
      </c>
    </row>
    <row r="137" spans="1:7">
      <c r="A137" t="s">
        <v>656</v>
      </c>
      <c r="B137" t="s">
        <v>657</v>
      </c>
      <c r="C137">
        <v>10</v>
      </c>
      <c r="D137" s="321">
        <v>46147</v>
      </c>
      <c r="E137" s="321">
        <v>46160</v>
      </c>
      <c r="F137">
        <v>153</v>
      </c>
      <c r="G137" t="s">
        <v>390</v>
      </c>
    </row>
    <row r="138" spans="1:7">
      <c r="A138" t="s">
        <v>658</v>
      </c>
      <c r="B138" t="s">
        <v>659</v>
      </c>
      <c r="C138">
        <v>23</v>
      </c>
      <c r="D138" s="321">
        <v>46091</v>
      </c>
      <c r="E138" s="321">
        <v>46122</v>
      </c>
      <c r="F138">
        <v>155</v>
      </c>
      <c r="G138" t="s">
        <v>390</v>
      </c>
    </row>
    <row r="139" spans="1:7">
      <c r="A139" t="s">
        <v>660</v>
      </c>
      <c r="B139" t="s">
        <v>661</v>
      </c>
      <c r="C139">
        <v>10</v>
      </c>
      <c r="D139" s="321">
        <v>46142</v>
      </c>
      <c r="E139" s="321">
        <v>46156</v>
      </c>
      <c r="F139">
        <v>155</v>
      </c>
      <c r="G139" t="s">
        <v>390</v>
      </c>
    </row>
    <row r="140" spans="1:7">
      <c r="A140" t="s">
        <v>662</v>
      </c>
      <c r="B140" t="s">
        <v>663</v>
      </c>
      <c r="C140">
        <v>29</v>
      </c>
      <c r="D140" s="321">
        <v>46091</v>
      </c>
      <c r="E140" s="321">
        <v>46135</v>
      </c>
      <c r="F140">
        <v>149</v>
      </c>
      <c r="G140" t="s">
        <v>390</v>
      </c>
    </row>
    <row r="141" spans="1:7">
      <c r="A141" t="s">
        <v>664</v>
      </c>
      <c r="B141" t="s">
        <v>665</v>
      </c>
      <c r="C141">
        <v>10</v>
      </c>
      <c r="D141" s="321">
        <v>46153</v>
      </c>
      <c r="E141" s="321">
        <v>46164</v>
      </c>
      <c r="F141">
        <v>149</v>
      </c>
      <c r="G141" t="s">
        <v>390</v>
      </c>
    </row>
    <row r="142" spans="1:7">
      <c r="A142" t="s">
        <v>666</v>
      </c>
      <c r="B142" t="s">
        <v>667</v>
      </c>
      <c r="C142">
        <v>29</v>
      </c>
      <c r="D142" s="321">
        <v>46091</v>
      </c>
      <c r="E142" s="321">
        <v>46135</v>
      </c>
      <c r="F142">
        <v>149</v>
      </c>
      <c r="G142" t="s">
        <v>390</v>
      </c>
    </row>
    <row r="143" spans="1:7">
      <c r="A143" t="s">
        <v>668</v>
      </c>
      <c r="B143" t="s">
        <v>669</v>
      </c>
      <c r="C143">
        <v>10</v>
      </c>
      <c r="D143" s="321">
        <v>46153</v>
      </c>
      <c r="E143" s="321">
        <v>46164</v>
      </c>
      <c r="F143">
        <v>149</v>
      </c>
      <c r="G143" t="s">
        <v>390</v>
      </c>
    </row>
    <row r="144" spans="1:7">
      <c r="A144" t="s">
        <v>670</v>
      </c>
      <c r="B144" t="s">
        <v>671</v>
      </c>
      <c r="C144">
        <v>27</v>
      </c>
      <c r="D144" s="321">
        <v>46091</v>
      </c>
      <c r="E144" s="321">
        <v>46133</v>
      </c>
      <c r="F144">
        <v>57</v>
      </c>
      <c r="G144" t="s">
        <v>390</v>
      </c>
    </row>
    <row r="145" spans="1:7">
      <c r="A145" t="s">
        <v>672</v>
      </c>
      <c r="B145" t="s">
        <v>673</v>
      </c>
      <c r="C145">
        <v>10</v>
      </c>
      <c r="D145" s="321">
        <v>46149</v>
      </c>
      <c r="E145" s="321">
        <v>46162</v>
      </c>
      <c r="F145">
        <v>141</v>
      </c>
      <c r="G145" t="s">
        <v>390</v>
      </c>
    </row>
    <row r="146" spans="1:7">
      <c r="A146" t="s">
        <v>674</v>
      </c>
      <c r="B146" t="s">
        <v>675</v>
      </c>
      <c r="C146">
        <v>19</v>
      </c>
      <c r="D146" s="321">
        <v>46157</v>
      </c>
      <c r="E146" s="321">
        <v>46185</v>
      </c>
      <c r="F146">
        <v>41</v>
      </c>
      <c r="G146" t="s">
        <v>390</v>
      </c>
    </row>
    <row r="147" spans="1:7">
      <c r="A147" t="s">
        <v>676</v>
      </c>
      <c r="B147" t="s">
        <v>677</v>
      </c>
      <c r="C147">
        <v>10</v>
      </c>
      <c r="D147" s="321">
        <v>46202</v>
      </c>
      <c r="E147" s="321">
        <v>46213</v>
      </c>
      <c r="F147">
        <v>106</v>
      </c>
      <c r="G147" t="s">
        <v>390</v>
      </c>
    </row>
    <row r="148" spans="1:7">
      <c r="A148" t="s">
        <v>678</v>
      </c>
      <c r="B148" t="s">
        <v>679</v>
      </c>
      <c r="C148">
        <v>15</v>
      </c>
      <c r="D148" s="321">
        <v>46097</v>
      </c>
      <c r="E148" s="321">
        <v>46115</v>
      </c>
      <c r="F148">
        <v>-34</v>
      </c>
      <c r="G148" t="s">
        <v>390</v>
      </c>
    </row>
    <row r="149" spans="1:7">
      <c r="A149" t="s">
        <v>680</v>
      </c>
      <c r="B149" t="s">
        <v>681</v>
      </c>
      <c r="C149">
        <v>10</v>
      </c>
      <c r="D149" s="321">
        <v>46136</v>
      </c>
      <c r="E149" s="321">
        <v>46150</v>
      </c>
      <c r="F149">
        <v>20</v>
      </c>
      <c r="G149" t="s">
        <v>390</v>
      </c>
    </row>
    <row r="150" spans="1:7">
      <c r="A150" t="s">
        <v>682</v>
      </c>
      <c r="B150" t="s">
        <v>683</v>
      </c>
      <c r="C150">
        <v>15</v>
      </c>
      <c r="D150" s="321">
        <v>46113</v>
      </c>
      <c r="E150" s="321">
        <v>46139</v>
      </c>
      <c r="F150">
        <v>147</v>
      </c>
      <c r="G150" t="s">
        <v>390</v>
      </c>
    </row>
    <row r="151" spans="1:7">
      <c r="A151" t="s">
        <v>684</v>
      </c>
      <c r="B151" t="s">
        <v>685</v>
      </c>
      <c r="C151">
        <v>10</v>
      </c>
      <c r="D151" s="321">
        <v>46155</v>
      </c>
      <c r="E151" s="321">
        <v>46168</v>
      </c>
      <c r="F151">
        <v>147</v>
      </c>
      <c r="G151" t="s">
        <v>390</v>
      </c>
    </row>
    <row r="152" spans="1:7">
      <c r="A152" t="s">
        <v>686</v>
      </c>
      <c r="B152" t="s">
        <v>687</v>
      </c>
      <c r="C152">
        <v>15</v>
      </c>
      <c r="D152" s="321">
        <v>46113</v>
      </c>
      <c r="E152" s="321">
        <v>46139</v>
      </c>
      <c r="F152">
        <v>147</v>
      </c>
      <c r="G152" t="s">
        <v>390</v>
      </c>
    </row>
    <row r="153" spans="1:7">
      <c r="A153" t="s">
        <v>688</v>
      </c>
      <c r="B153" t="s">
        <v>689</v>
      </c>
      <c r="C153">
        <v>10</v>
      </c>
      <c r="D153" s="321">
        <v>46155</v>
      </c>
      <c r="E153" s="321">
        <v>46168</v>
      </c>
      <c r="F153">
        <v>147</v>
      </c>
      <c r="G153" t="s">
        <v>390</v>
      </c>
    </row>
    <row r="154" spans="1:7">
      <c r="A154" t="s">
        <v>690</v>
      </c>
      <c r="B154" t="s">
        <v>691</v>
      </c>
      <c r="C154">
        <v>10</v>
      </c>
      <c r="D154" s="321">
        <v>46153</v>
      </c>
      <c r="E154" s="321">
        <v>46164</v>
      </c>
      <c r="F154">
        <v>99</v>
      </c>
      <c r="G154" t="s">
        <v>390</v>
      </c>
    </row>
    <row r="155" spans="1:7">
      <c r="A155" t="s">
        <v>692</v>
      </c>
      <c r="B155" t="s">
        <v>693</v>
      </c>
      <c r="C155">
        <v>10</v>
      </c>
      <c r="D155" s="321">
        <v>46183</v>
      </c>
      <c r="E155" s="321">
        <v>46196</v>
      </c>
      <c r="F155">
        <v>119</v>
      </c>
      <c r="G155" t="s">
        <v>390</v>
      </c>
    </row>
    <row r="156" spans="1:7">
      <c r="A156" t="s">
        <v>694</v>
      </c>
      <c r="B156" t="s">
        <v>695</v>
      </c>
      <c r="C156">
        <v>18</v>
      </c>
      <c r="D156" s="321">
        <v>46097</v>
      </c>
      <c r="E156" s="321">
        <v>46121</v>
      </c>
      <c r="F156">
        <v>-33</v>
      </c>
      <c r="G156" t="s">
        <v>390</v>
      </c>
    </row>
    <row r="157" spans="1:7">
      <c r="A157" t="s">
        <v>696</v>
      </c>
      <c r="B157" t="s">
        <v>697</v>
      </c>
      <c r="C157">
        <v>10</v>
      </c>
      <c r="D157" s="321">
        <v>46141</v>
      </c>
      <c r="E157" s="321">
        <v>46155</v>
      </c>
      <c r="F157">
        <v>28</v>
      </c>
      <c r="G157" t="s">
        <v>390</v>
      </c>
    </row>
    <row r="158" spans="1:7">
      <c r="A158" t="s">
        <v>698</v>
      </c>
      <c r="B158" t="s">
        <v>699</v>
      </c>
      <c r="C158">
        <v>23</v>
      </c>
      <c r="D158" s="321">
        <v>46091</v>
      </c>
      <c r="E158" s="321">
        <v>46122</v>
      </c>
      <c r="F158">
        <v>155</v>
      </c>
      <c r="G158" t="s">
        <v>390</v>
      </c>
    </row>
    <row r="159" spans="1:7">
      <c r="A159" t="s">
        <v>700</v>
      </c>
      <c r="B159" t="s">
        <v>701</v>
      </c>
      <c r="C159">
        <v>10</v>
      </c>
      <c r="D159" s="321">
        <v>46142</v>
      </c>
      <c r="E159" s="321">
        <v>46156</v>
      </c>
      <c r="F159">
        <v>155</v>
      </c>
      <c r="G159" t="s">
        <v>390</v>
      </c>
    </row>
    <row r="160" spans="1:7">
      <c r="A160" t="s">
        <v>702</v>
      </c>
      <c r="B160" t="s">
        <v>703</v>
      </c>
      <c r="C160">
        <v>15</v>
      </c>
      <c r="D160" s="321">
        <v>46112</v>
      </c>
      <c r="E160" s="321">
        <v>46136</v>
      </c>
      <c r="F160">
        <v>148</v>
      </c>
      <c r="G160" t="s">
        <v>390</v>
      </c>
    </row>
    <row r="161" spans="1:7">
      <c r="A161" t="s">
        <v>704</v>
      </c>
      <c r="B161" t="s">
        <v>705</v>
      </c>
      <c r="C161">
        <v>10</v>
      </c>
      <c r="D161" s="321">
        <v>46154</v>
      </c>
      <c r="E161" s="321">
        <v>46167</v>
      </c>
      <c r="F161">
        <v>148</v>
      </c>
      <c r="G161" t="s">
        <v>390</v>
      </c>
    </row>
    <row r="162" spans="1:7">
      <c r="A162" t="s">
        <v>706</v>
      </c>
      <c r="B162" t="s">
        <v>707</v>
      </c>
      <c r="C162">
        <v>15</v>
      </c>
      <c r="D162" s="321">
        <v>46134</v>
      </c>
      <c r="E162" s="321">
        <v>46155</v>
      </c>
      <c r="F162">
        <v>136</v>
      </c>
      <c r="G162" t="s">
        <v>390</v>
      </c>
    </row>
    <row r="163" spans="1:7">
      <c r="A163" t="s">
        <v>708</v>
      </c>
      <c r="B163" t="s">
        <v>709</v>
      </c>
      <c r="C163">
        <v>10</v>
      </c>
      <c r="D163" s="321">
        <v>46170</v>
      </c>
      <c r="E163" s="321">
        <v>46185</v>
      </c>
      <c r="F163">
        <v>136</v>
      </c>
      <c r="G163" t="s">
        <v>390</v>
      </c>
    </row>
    <row r="164" spans="1:7">
      <c r="A164" t="s">
        <v>710</v>
      </c>
      <c r="B164" t="s">
        <v>711</v>
      </c>
      <c r="C164">
        <v>15</v>
      </c>
      <c r="D164" s="321">
        <v>46106</v>
      </c>
      <c r="E164" s="321">
        <v>46132</v>
      </c>
      <c r="F164">
        <v>152</v>
      </c>
      <c r="G164" t="s">
        <v>390</v>
      </c>
    </row>
    <row r="165" spans="1:7">
      <c r="A165" t="s">
        <v>712</v>
      </c>
      <c r="B165" t="s">
        <v>713</v>
      </c>
      <c r="C165">
        <v>10</v>
      </c>
      <c r="D165" s="321">
        <v>46148</v>
      </c>
      <c r="E165" s="321">
        <v>46161</v>
      </c>
      <c r="F165">
        <v>152</v>
      </c>
      <c r="G165" t="s">
        <v>390</v>
      </c>
    </row>
    <row r="166" spans="1:7">
      <c r="A166" t="s">
        <v>714</v>
      </c>
      <c r="C166">
        <v>104</v>
      </c>
      <c r="D166" s="321">
        <v>46097</v>
      </c>
      <c r="E166" s="321">
        <v>46255</v>
      </c>
      <c r="F166">
        <v>90</v>
      </c>
      <c r="G166" t="s">
        <v>390</v>
      </c>
    </row>
    <row r="167" spans="1:7">
      <c r="A167" t="s">
        <v>715</v>
      </c>
      <c r="B167" t="s">
        <v>716</v>
      </c>
      <c r="C167">
        <v>10</v>
      </c>
      <c r="D167" s="321">
        <v>46140</v>
      </c>
      <c r="E167" s="321">
        <v>46154</v>
      </c>
      <c r="F167">
        <v>-44</v>
      </c>
      <c r="G167" t="s">
        <v>390</v>
      </c>
    </row>
    <row r="168" spans="1:7">
      <c r="A168" t="s">
        <v>717</v>
      </c>
      <c r="B168" t="s">
        <v>718</v>
      </c>
      <c r="C168">
        <v>10</v>
      </c>
      <c r="D168" s="321">
        <v>46175</v>
      </c>
      <c r="E168" s="321">
        <v>46189</v>
      </c>
      <c r="F168">
        <v>34</v>
      </c>
      <c r="G168" t="s">
        <v>390</v>
      </c>
    </row>
    <row r="169" spans="1:7">
      <c r="A169" t="s">
        <v>719</v>
      </c>
      <c r="B169" t="s">
        <v>720</v>
      </c>
      <c r="C169">
        <v>5</v>
      </c>
      <c r="D169" s="321">
        <v>46206</v>
      </c>
      <c r="E169" s="321">
        <v>46212</v>
      </c>
      <c r="F169">
        <v>32</v>
      </c>
      <c r="G169" t="s">
        <v>390</v>
      </c>
    </row>
    <row r="170" spans="1:7">
      <c r="A170" t="s">
        <v>721</v>
      </c>
      <c r="B170" t="s">
        <v>722</v>
      </c>
      <c r="C170">
        <v>12</v>
      </c>
      <c r="D170" s="321">
        <v>46140</v>
      </c>
      <c r="E170" s="321">
        <v>46156</v>
      </c>
      <c r="F170">
        <v>-16</v>
      </c>
      <c r="G170" t="s">
        <v>390</v>
      </c>
    </row>
    <row r="171" spans="1:7">
      <c r="A171" t="s">
        <v>723</v>
      </c>
      <c r="B171" t="s">
        <v>724</v>
      </c>
      <c r="C171">
        <v>10</v>
      </c>
      <c r="D171" s="321">
        <v>46178</v>
      </c>
      <c r="E171" s="321">
        <v>46191</v>
      </c>
      <c r="F171">
        <v>32</v>
      </c>
      <c r="G171" t="s">
        <v>390</v>
      </c>
    </row>
    <row r="172" spans="1:7">
      <c r="A172" t="s">
        <v>725</v>
      </c>
      <c r="B172" t="s">
        <v>726</v>
      </c>
      <c r="C172">
        <v>5</v>
      </c>
      <c r="D172" s="321">
        <v>46206</v>
      </c>
      <c r="E172" s="321">
        <v>46212</v>
      </c>
      <c r="F172">
        <v>32</v>
      </c>
      <c r="G172" t="s">
        <v>390</v>
      </c>
    </row>
    <row r="173" spans="1:7">
      <c r="A173" t="s">
        <v>727</v>
      </c>
      <c r="B173" t="s">
        <v>728</v>
      </c>
      <c r="C173">
        <v>10</v>
      </c>
      <c r="D173" s="321">
        <v>46142</v>
      </c>
      <c r="E173" s="321">
        <v>46156</v>
      </c>
      <c r="F173">
        <v>-16</v>
      </c>
      <c r="G173" t="s">
        <v>390</v>
      </c>
    </row>
    <row r="174" spans="1:7">
      <c r="A174" t="s">
        <v>729</v>
      </c>
      <c r="B174" t="s">
        <v>730</v>
      </c>
      <c r="C174">
        <v>10</v>
      </c>
      <c r="D174" s="321">
        <v>46178</v>
      </c>
      <c r="E174" s="321">
        <v>46191</v>
      </c>
      <c r="F174">
        <v>32</v>
      </c>
      <c r="G174" t="s">
        <v>390</v>
      </c>
    </row>
    <row r="175" spans="1:7">
      <c r="A175" t="s">
        <v>731</v>
      </c>
      <c r="B175" t="s">
        <v>732</v>
      </c>
      <c r="C175">
        <v>5</v>
      </c>
      <c r="D175" s="321">
        <v>46206</v>
      </c>
      <c r="E175" s="321">
        <v>46212</v>
      </c>
      <c r="F175">
        <v>32</v>
      </c>
      <c r="G175" t="s">
        <v>390</v>
      </c>
    </row>
    <row r="176" spans="1:7">
      <c r="A176" t="s">
        <v>733</v>
      </c>
      <c r="B176" t="s">
        <v>734</v>
      </c>
      <c r="C176">
        <v>10</v>
      </c>
      <c r="D176" s="321">
        <v>46146</v>
      </c>
      <c r="E176" s="321">
        <v>46157</v>
      </c>
      <c r="F176">
        <v>-21</v>
      </c>
      <c r="G176" t="s">
        <v>390</v>
      </c>
    </row>
    <row r="177" spans="1:7">
      <c r="A177" t="s">
        <v>735</v>
      </c>
      <c r="B177" t="s">
        <v>736</v>
      </c>
      <c r="C177">
        <v>10</v>
      </c>
      <c r="D177" s="321">
        <v>46181</v>
      </c>
      <c r="E177" s="321">
        <v>46192</v>
      </c>
      <c r="F177">
        <v>32</v>
      </c>
      <c r="G177" t="s">
        <v>390</v>
      </c>
    </row>
    <row r="178" spans="1:7">
      <c r="A178" t="s">
        <v>737</v>
      </c>
      <c r="B178" t="s">
        <v>738</v>
      </c>
      <c r="C178">
        <v>5</v>
      </c>
      <c r="D178" s="321">
        <v>46206</v>
      </c>
      <c r="E178" s="321">
        <v>46212</v>
      </c>
      <c r="F178">
        <v>32</v>
      </c>
      <c r="G178" t="s">
        <v>390</v>
      </c>
    </row>
    <row r="179" spans="1:7">
      <c r="A179" t="s">
        <v>739</v>
      </c>
      <c r="B179" t="s">
        <v>740</v>
      </c>
      <c r="C179">
        <v>15</v>
      </c>
      <c r="D179" s="321">
        <v>46097</v>
      </c>
      <c r="E179" s="321">
        <v>46115</v>
      </c>
      <c r="F179">
        <v>-34</v>
      </c>
      <c r="G179" t="s">
        <v>390</v>
      </c>
    </row>
    <row r="180" spans="1:7">
      <c r="A180" t="s">
        <v>741</v>
      </c>
      <c r="B180" t="s">
        <v>742</v>
      </c>
      <c r="C180">
        <v>5</v>
      </c>
      <c r="D180" s="321">
        <v>46146</v>
      </c>
      <c r="E180" s="321">
        <v>46150</v>
      </c>
      <c r="F180">
        <v>10</v>
      </c>
      <c r="G180" t="s">
        <v>390</v>
      </c>
    </row>
    <row r="181" spans="1:7">
      <c r="A181" t="s">
        <v>743</v>
      </c>
      <c r="B181" t="s">
        <v>744</v>
      </c>
      <c r="C181">
        <v>5</v>
      </c>
      <c r="D181" s="321">
        <v>46206</v>
      </c>
      <c r="E181" s="321">
        <v>46212</v>
      </c>
      <c r="F181">
        <v>-17</v>
      </c>
      <c r="G181" t="s">
        <v>390</v>
      </c>
    </row>
    <row r="182" spans="1:7">
      <c r="A182" t="s">
        <v>745</v>
      </c>
      <c r="B182" t="s">
        <v>746</v>
      </c>
      <c r="C182">
        <v>12</v>
      </c>
      <c r="D182" s="321">
        <v>46140</v>
      </c>
      <c r="E182" s="321">
        <v>46156</v>
      </c>
      <c r="F182">
        <v>-30</v>
      </c>
      <c r="G182" t="s">
        <v>390</v>
      </c>
    </row>
    <row r="183" spans="1:7">
      <c r="A183" t="s">
        <v>747</v>
      </c>
      <c r="B183" t="s">
        <v>748</v>
      </c>
      <c r="C183">
        <v>10</v>
      </c>
      <c r="D183" s="321">
        <v>46178</v>
      </c>
      <c r="E183" s="321">
        <v>46191</v>
      </c>
      <c r="F183">
        <v>117</v>
      </c>
      <c r="G183" t="s">
        <v>390</v>
      </c>
    </row>
    <row r="184" spans="1:7">
      <c r="A184" t="s">
        <v>749</v>
      </c>
      <c r="B184" t="s">
        <v>750</v>
      </c>
      <c r="C184">
        <v>5</v>
      </c>
      <c r="D184" s="321">
        <v>46206</v>
      </c>
      <c r="E184" s="321">
        <v>46212</v>
      </c>
      <c r="F184">
        <v>117</v>
      </c>
      <c r="G184" t="s">
        <v>390</v>
      </c>
    </row>
    <row r="185" spans="1:7">
      <c r="A185" t="s">
        <v>751</v>
      </c>
      <c r="B185" t="s">
        <v>752</v>
      </c>
      <c r="C185">
        <v>15</v>
      </c>
      <c r="D185" s="321">
        <v>46188</v>
      </c>
      <c r="E185" s="321">
        <v>46206</v>
      </c>
      <c r="F185">
        <v>41</v>
      </c>
      <c r="G185" t="s">
        <v>390</v>
      </c>
    </row>
    <row r="186" spans="1:7">
      <c r="A186" t="s">
        <v>753</v>
      </c>
      <c r="B186" t="s">
        <v>754</v>
      </c>
      <c r="C186">
        <v>10</v>
      </c>
      <c r="D186" s="321">
        <v>46225</v>
      </c>
      <c r="E186" s="321">
        <v>46241</v>
      </c>
      <c r="F186">
        <v>85</v>
      </c>
      <c r="G186" t="s">
        <v>390</v>
      </c>
    </row>
    <row r="187" spans="1:7">
      <c r="A187" t="s">
        <v>755</v>
      </c>
      <c r="B187" t="s">
        <v>756</v>
      </c>
      <c r="C187">
        <v>5</v>
      </c>
      <c r="D187" s="321">
        <v>46251</v>
      </c>
      <c r="E187" s="321">
        <v>46255</v>
      </c>
      <c r="F187">
        <v>85</v>
      </c>
      <c r="G187" t="s">
        <v>390</v>
      </c>
    </row>
    <row r="188" spans="1:7">
      <c r="A188" t="s">
        <v>757</v>
      </c>
      <c r="B188" t="s">
        <v>758</v>
      </c>
      <c r="C188">
        <v>10</v>
      </c>
      <c r="D188" s="321">
        <v>46112</v>
      </c>
      <c r="E188" s="321">
        <v>46129</v>
      </c>
      <c r="F188">
        <v>-21</v>
      </c>
      <c r="G188" t="s">
        <v>390</v>
      </c>
    </row>
    <row r="189" spans="1:7">
      <c r="A189" t="s">
        <v>759</v>
      </c>
      <c r="B189" t="s">
        <v>760</v>
      </c>
      <c r="C189">
        <v>10</v>
      </c>
      <c r="D189" s="321">
        <v>46153</v>
      </c>
      <c r="E189" s="321">
        <v>46164</v>
      </c>
      <c r="F189">
        <v>49</v>
      </c>
      <c r="G189" t="s">
        <v>390</v>
      </c>
    </row>
    <row r="190" spans="1:7">
      <c r="A190" t="s">
        <v>761</v>
      </c>
      <c r="B190" t="s">
        <v>762</v>
      </c>
      <c r="C190">
        <v>5</v>
      </c>
      <c r="D190" s="321">
        <v>46206</v>
      </c>
      <c r="E190" s="321">
        <v>46212</v>
      </c>
      <c r="F190">
        <v>32</v>
      </c>
      <c r="G190" t="s">
        <v>390</v>
      </c>
    </row>
    <row r="191" spans="1:7">
      <c r="A191" t="s">
        <v>763</v>
      </c>
      <c r="B191" t="s">
        <v>764</v>
      </c>
      <c r="C191">
        <v>12</v>
      </c>
      <c r="D191" s="321">
        <v>46140</v>
      </c>
      <c r="E191" s="321">
        <v>46156</v>
      </c>
      <c r="F191">
        <v>92</v>
      </c>
      <c r="G191" t="s">
        <v>390</v>
      </c>
    </row>
    <row r="192" spans="1:7">
      <c r="A192" t="s">
        <v>765</v>
      </c>
      <c r="B192" t="s">
        <v>766</v>
      </c>
      <c r="C192">
        <v>10</v>
      </c>
      <c r="D192" s="321">
        <v>46178</v>
      </c>
      <c r="E192" s="321">
        <v>46191</v>
      </c>
      <c r="F192">
        <v>112</v>
      </c>
      <c r="G192" t="s">
        <v>390</v>
      </c>
    </row>
    <row r="193" spans="1:7">
      <c r="A193" t="s">
        <v>767</v>
      </c>
      <c r="B193" t="s">
        <v>768</v>
      </c>
      <c r="C193">
        <v>5</v>
      </c>
      <c r="D193" s="321">
        <v>46206</v>
      </c>
      <c r="E193" s="321">
        <v>46212</v>
      </c>
      <c r="F193">
        <v>112</v>
      </c>
      <c r="G193" t="s">
        <v>390</v>
      </c>
    </row>
    <row r="194" spans="1:7">
      <c r="A194" t="s">
        <v>769</v>
      </c>
      <c r="B194" t="s">
        <v>770</v>
      </c>
      <c r="C194">
        <v>8</v>
      </c>
      <c r="D194" s="321">
        <v>46140</v>
      </c>
      <c r="E194" s="321">
        <v>46150</v>
      </c>
      <c r="F194">
        <v>1</v>
      </c>
      <c r="G194" t="s">
        <v>390</v>
      </c>
    </row>
    <row r="195" spans="1:7">
      <c r="A195" t="s">
        <v>771</v>
      </c>
      <c r="B195" t="s">
        <v>772</v>
      </c>
      <c r="C195">
        <v>10</v>
      </c>
      <c r="D195" s="321">
        <v>46170</v>
      </c>
      <c r="E195" s="321">
        <v>46185</v>
      </c>
      <c r="F195">
        <v>43</v>
      </c>
      <c r="G195" t="s">
        <v>390</v>
      </c>
    </row>
    <row r="196" spans="1:7">
      <c r="A196" t="s">
        <v>773</v>
      </c>
      <c r="B196" t="s">
        <v>774</v>
      </c>
      <c r="C196">
        <v>5</v>
      </c>
      <c r="D196" s="321">
        <v>46206</v>
      </c>
      <c r="E196" s="321">
        <v>46212</v>
      </c>
      <c r="F196">
        <v>39</v>
      </c>
      <c r="G196" t="s">
        <v>390</v>
      </c>
    </row>
    <row r="197" spans="1:7">
      <c r="A197" t="s">
        <v>775</v>
      </c>
      <c r="B197" t="s">
        <v>776</v>
      </c>
      <c r="C197">
        <v>8</v>
      </c>
      <c r="D197" s="321">
        <v>46140</v>
      </c>
      <c r="E197" s="321">
        <v>46150</v>
      </c>
      <c r="F197">
        <v>0</v>
      </c>
      <c r="G197" t="s">
        <v>390</v>
      </c>
    </row>
    <row r="198" spans="1:7">
      <c r="A198" t="s">
        <v>777</v>
      </c>
      <c r="B198" t="s">
        <v>778</v>
      </c>
      <c r="C198">
        <v>10</v>
      </c>
      <c r="D198" s="321">
        <v>46170</v>
      </c>
      <c r="E198" s="321">
        <v>46185</v>
      </c>
      <c r="F198">
        <v>16</v>
      </c>
      <c r="G198" t="s">
        <v>390</v>
      </c>
    </row>
    <row r="199" spans="1:7">
      <c r="A199" t="s">
        <v>779</v>
      </c>
      <c r="B199" t="s">
        <v>780</v>
      </c>
      <c r="C199">
        <v>5</v>
      </c>
      <c r="D199" s="321">
        <v>46206</v>
      </c>
      <c r="E199" s="321">
        <v>46212</v>
      </c>
      <c r="F199">
        <v>12</v>
      </c>
      <c r="G199" t="s">
        <v>390</v>
      </c>
    </row>
    <row r="200" spans="1:7">
      <c r="A200" t="s">
        <v>781</v>
      </c>
      <c r="B200" t="s">
        <v>782</v>
      </c>
      <c r="C200">
        <v>10</v>
      </c>
      <c r="D200" s="321">
        <v>46160</v>
      </c>
      <c r="E200" s="321">
        <v>46171</v>
      </c>
      <c r="F200">
        <v>4</v>
      </c>
      <c r="G200" t="s">
        <v>390</v>
      </c>
    </row>
    <row r="201" spans="1:7">
      <c r="A201" t="s">
        <v>783</v>
      </c>
      <c r="B201" t="s">
        <v>784</v>
      </c>
      <c r="C201">
        <v>10</v>
      </c>
      <c r="D201" s="321">
        <v>46195</v>
      </c>
      <c r="E201" s="321">
        <v>46206</v>
      </c>
      <c r="F201">
        <v>106</v>
      </c>
      <c r="G201" t="s">
        <v>390</v>
      </c>
    </row>
    <row r="202" spans="1:7">
      <c r="A202" t="s">
        <v>785</v>
      </c>
      <c r="B202" t="s">
        <v>786</v>
      </c>
      <c r="C202">
        <v>5</v>
      </c>
      <c r="D202" s="321">
        <v>46216</v>
      </c>
      <c r="E202" s="321">
        <v>46220</v>
      </c>
      <c r="F202">
        <v>106</v>
      </c>
      <c r="G202" t="s">
        <v>390</v>
      </c>
    </row>
    <row r="203" spans="1:7">
      <c r="A203" t="s">
        <v>787</v>
      </c>
      <c r="B203" t="s">
        <v>788</v>
      </c>
      <c r="C203">
        <v>15</v>
      </c>
      <c r="D203" s="321">
        <v>46112</v>
      </c>
      <c r="E203" s="321">
        <v>46136</v>
      </c>
      <c r="F203">
        <v>-26</v>
      </c>
      <c r="G203" t="s">
        <v>390</v>
      </c>
    </row>
    <row r="204" spans="1:7">
      <c r="A204" t="s">
        <v>789</v>
      </c>
      <c r="B204" t="s">
        <v>790</v>
      </c>
      <c r="C204">
        <v>5</v>
      </c>
      <c r="D204" s="321">
        <v>46167</v>
      </c>
      <c r="E204" s="321">
        <v>46171</v>
      </c>
      <c r="F204">
        <v>44</v>
      </c>
      <c r="G204" t="s">
        <v>390</v>
      </c>
    </row>
    <row r="205" spans="1:7">
      <c r="A205" t="s">
        <v>791</v>
      </c>
      <c r="B205" t="s">
        <v>792</v>
      </c>
      <c r="C205">
        <v>5</v>
      </c>
      <c r="D205" s="321">
        <v>46206</v>
      </c>
      <c r="E205" s="321">
        <v>46212</v>
      </c>
      <c r="F205">
        <v>32</v>
      </c>
      <c r="G205" t="s">
        <v>390</v>
      </c>
    </row>
    <row r="206" spans="1:7">
      <c r="A206" t="s">
        <v>793</v>
      </c>
      <c r="B206" t="s">
        <v>794</v>
      </c>
      <c r="C206">
        <v>15</v>
      </c>
      <c r="D206" s="321">
        <v>46112</v>
      </c>
      <c r="E206" s="321">
        <v>46136</v>
      </c>
      <c r="F206">
        <v>138</v>
      </c>
      <c r="G206" t="s">
        <v>390</v>
      </c>
    </row>
    <row r="207" spans="1:7">
      <c r="A207" t="s">
        <v>795</v>
      </c>
      <c r="B207" t="s">
        <v>796</v>
      </c>
      <c r="C207">
        <v>5</v>
      </c>
      <c r="D207" s="321">
        <v>46167</v>
      </c>
      <c r="E207" s="321">
        <v>46171</v>
      </c>
      <c r="F207">
        <v>129</v>
      </c>
      <c r="G207" t="s">
        <v>390</v>
      </c>
    </row>
    <row r="208" spans="1:7">
      <c r="A208" t="s">
        <v>797</v>
      </c>
      <c r="B208" t="s">
        <v>798</v>
      </c>
      <c r="C208">
        <v>5</v>
      </c>
      <c r="D208" s="321">
        <v>46206</v>
      </c>
      <c r="E208" s="321">
        <v>46212</v>
      </c>
      <c r="F208">
        <v>117</v>
      </c>
      <c r="G208" t="s">
        <v>390</v>
      </c>
    </row>
    <row r="209" spans="1:7">
      <c r="A209" t="s">
        <v>799</v>
      </c>
      <c r="B209" t="s">
        <v>800</v>
      </c>
      <c r="C209">
        <v>13</v>
      </c>
      <c r="D209" s="321">
        <v>46140</v>
      </c>
      <c r="E209" s="321">
        <v>46157</v>
      </c>
      <c r="F209">
        <v>-47</v>
      </c>
      <c r="G209" t="s">
        <v>390</v>
      </c>
    </row>
    <row r="210" spans="1:7">
      <c r="A210" t="s">
        <v>801</v>
      </c>
      <c r="B210" t="s">
        <v>802</v>
      </c>
      <c r="C210">
        <v>10</v>
      </c>
      <c r="D210" s="321">
        <v>46181</v>
      </c>
      <c r="E210" s="321">
        <v>46192</v>
      </c>
      <c r="F210">
        <v>32</v>
      </c>
      <c r="G210" t="s">
        <v>390</v>
      </c>
    </row>
    <row r="211" spans="1:7">
      <c r="A211" t="s">
        <v>803</v>
      </c>
      <c r="B211" t="s">
        <v>804</v>
      </c>
      <c r="C211">
        <v>5</v>
      </c>
      <c r="D211" s="321">
        <v>46206</v>
      </c>
      <c r="E211" s="321">
        <v>46212</v>
      </c>
      <c r="F211">
        <v>32</v>
      </c>
      <c r="G211" t="s">
        <v>390</v>
      </c>
    </row>
    <row r="212" spans="1:7">
      <c r="A212" t="s">
        <v>805</v>
      </c>
      <c r="B212" t="s">
        <v>806</v>
      </c>
      <c r="C212">
        <v>12</v>
      </c>
      <c r="D212" s="321">
        <v>46140</v>
      </c>
      <c r="E212" s="321">
        <v>46156</v>
      </c>
      <c r="F212">
        <v>-46</v>
      </c>
      <c r="G212" t="s">
        <v>390</v>
      </c>
    </row>
    <row r="213" spans="1:7">
      <c r="A213" t="s">
        <v>807</v>
      </c>
      <c r="B213" t="s">
        <v>808</v>
      </c>
      <c r="C213">
        <v>10</v>
      </c>
      <c r="D213" s="321">
        <v>46178</v>
      </c>
      <c r="E213" s="321">
        <v>46191</v>
      </c>
      <c r="F213">
        <v>32</v>
      </c>
      <c r="G213" t="s">
        <v>390</v>
      </c>
    </row>
    <row r="214" spans="1:7">
      <c r="A214" t="s">
        <v>809</v>
      </c>
      <c r="B214" t="s">
        <v>810</v>
      </c>
      <c r="C214">
        <v>5</v>
      </c>
      <c r="D214" s="321">
        <v>46206</v>
      </c>
      <c r="E214" s="321">
        <v>46212</v>
      </c>
      <c r="F214">
        <v>32</v>
      </c>
      <c r="G214" t="s">
        <v>390</v>
      </c>
    </row>
    <row r="215" spans="1:7">
      <c r="A215" t="s">
        <v>811</v>
      </c>
      <c r="B215" t="s">
        <v>812</v>
      </c>
      <c r="C215">
        <v>12</v>
      </c>
      <c r="D215" s="321">
        <v>46140</v>
      </c>
      <c r="E215" s="321">
        <v>46156</v>
      </c>
      <c r="F215">
        <v>92</v>
      </c>
      <c r="G215" t="s">
        <v>390</v>
      </c>
    </row>
    <row r="216" spans="1:7">
      <c r="A216" t="s">
        <v>813</v>
      </c>
      <c r="B216" t="s">
        <v>814</v>
      </c>
      <c r="C216">
        <v>10</v>
      </c>
      <c r="D216" s="321">
        <v>46178</v>
      </c>
      <c r="E216" s="321">
        <v>46191</v>
      </c>
      <c r="F216">
        <v>112</v>
      </c>
      <c r="G216" t="s">
        <v>390</v>
      </c>
    </row>
    <row r="217" spans="1:7">
      <c r="A217" t="s">
        <v>815</v>
      </c>
      <c r="B217" t="s">
        <v>816</v>
      </c>
      <c r="C217">
        <v>5</v>
      </c>
      <c r="D217" s="321">
        <v>46206</v>
      </c>
      <c r="E217" s="321">
        <v>46212</v>
      </c>
      <c r="F217">
        <v>112</v>
      </c>
      <c r="G217" t="s">
        <v>390</v>
      </c>
    </row>
    <row r="218" spans="1:7">
      <c r="A218" t="s">
        <v>817</v>
      </c>
      <c r="B218" t="s">
        <v>818</v>
      </c>
      <c r="C218">
        <v>9</v>
      </c>
      <c r="D218" s="321">
        <v>46140</v>
      </c>
      <c r="E218" s="321">
        <v>46153</v>
      </c>
      <c r="F218">
        <v>0</v>
      </c>
      <c r="G218" t="s">
        <v>390</v>
      </c>
    </row>
    <row r="219" spans="1:7">
      <c r="A219" t="s">
        <v>819</v>
      </c>
      <c r="B219" t="s">
        <v>820</v>
      </c>
      <c r="C219">
        <v>10</v>
      </c>
      <c r="D219" s="321">
        <v>46171</v>
      </c>
      <c r="E219" s="321">
        <v>46188</v>
      </c>
      <c r="F219">
        <v>42</v>
      </c>
      <c r="G219" t="s">
        <v>390</v>
      </c>
    </row>
    <row r="220" spans="1:7">
      <c r="A220" t="s">
        <v>821</v>
      </c>
      <c r="B220" t="s">
        <v>822</v>
      </c>
      <c r="C220">
        <v>5</v>
      </c>
      <c r="D220" s="321">
        <v>46206</v>
      </c>
      <c r="E220" s="321">
        <v>46212</v>
      </c>
      <c r="F220">
        <v>39</v>
      </c>
      <c r="G220" t="s">
        <v>390</v>
      </c>
    </row>
    <row r="221" spans="1:7">
      <c r="A221" t="s">
        <v>823</v>
      </c>
      <c r="B221" t="s">
        <v>824</v>
      </c>
      <c r="C221">
        <v>8</v>
      </c>
      <c r="D221" s="321">
        <v>46140</v>
      </c>
      <c r="E221" s="321">
        <v>46150</v>
      </c>
      <c r="F221">
        <v>0</v>
      </c>
      <c r="G221" t="s">
        <v>390</v>
      </c>
    </row>
    <row r="222" spans="1:7">
      <c r="A222" t="s">
        <v>825</v>
      </c>
      <c r="B222" t="s">
        <v>826</v>
      </c>
      <c r="C222">
        <v>10</v>
      </c>
      <c r="D222" s="321">
        <v>46170</v>
      </c>
      <c r="E222" s="321">
        <v>46185</v>
      </c>
      <c r="F222">
        <v>16</v>
      </c>
      <c r="G222" t="s">
        <v>390</v>
      </c>
    </row>
    <row r="223" spans="1:7">
      <c r="A223" t="s">
        <v>827</v>
      </c>
      <c r="B223" t="s">
        <v>828</v>
      </c>
      <c r="C223">
        <v>5</v>
      </c>
      <c r="D223" s="321">
        <v>46206</v>
      </c>
      <c r="E223" s="321">
        <v>46212</v>
      </c>
      <c r="F223">
        <v>12</v>
      </c>
      <c r="G223" t="s">
        <v>390</v>
      </c>
    </row>
    <row r="224" spans="1:7">
      <c r="A224" t="s">
        <v>829</v>
      </c>
      <c r="B224" t="s">
        <v>830</v>
      </c>
      <c r="C224">
        <v>10</v>
      </c>
      <c r="D224" s="321">
        <v>46160</v>
      </c>
      <c r="E224" s="321">
        <v>46171</v>
      </c>
      <c r="F224">
        <v>4</v>
      </c>
      <c r="G224" t="s">
        <v>390</v>
      </c>
    </row>
    <row r="225" spans="1:7">
      <c r="A225" t="s">
        <v>831</v>
      </c>
      <c r="B225" t="s">
        <v>832</v>
      </c>
      <c r="C225">
        <v>10</v>
      </c>
      <c r="D225" s="321">
        <v>46195</v>
      </c>
      <c r="E225" s="321">
        <v>46206</v>
      </c>
      <c r="F225">
        <v>106</v>
      </c>
      <c r="G225" t="s">
        <v>390</v>
      </c>
    </row>
    <row r="226" spans="1:7">
      <c r="A226" t="s">
        <v>833</v>
      </c>
      <c r="B226" t="s">
        <v>834</v>
      </c>
      <c r="C226">
        <v>5</v>
      </c>
      <c r="D226" s="321">
        <v>46216</v>
      </c>
      <c r="E226" s="321">
        <v>46220</v>
      </c>
      <c r="F226">
        <v>106</v>
      </c>
      <c r="G226" t="s">
        <v>390</v>
      </c>
    </row>
    <row r="227" spans="1:7">
      <c r="A227" t="s">
        <v>835</v>
      </c>
      <c r="B227" t="s">
        <v>836</v>
      </c>
      <c r="C227">
        <v>8</v>
      </c>
      <c r="D227" s="321">
        <v>46140</v>
      </c>
      <c r="E227" s="321">
        <v>46150</v>
      </c>
      <c r="F227">
        <v>0</v>
      </c>
      <c r="G227" t="s">
        <v>390</v>
      </c>
    </row>
    <row r="228" spans="1:7">
      <c r="A228" t="s">
        <v>837</v>
      </c>
      <c r="B228" t="s">
        <v>838</v>
      </c>
      <c r="C228">
        <v>10</v>
      </c>
      <c r="D228" s="321">
        <v>46170</v>
      </c>
      <c r="E228" s="321">
        <v>46185</v>
      </c>
      <c r="F228">
        <v>31</v>
      </c>
      <c r="G228" t="s">
        <v>390</v>
      </c>
    </row>
    <row r="229" spans="1:7">
      <c r="A229" t="s">
        <v>839</v>
      </c>
      <c r="B229" t="s">
        <v>840</v>
      </c>
      <c r="C229">
        <v>5</v>
      </c>
      <c r="D229" s="321">
        <v>46206</v>
      </c>
      <c r="E229" s="321">
        <v>46212</v>
      </c>
      <c r="F229">
        <v>27</v>
      </c>
      <c r="G229" t="s">
        <v>390</v>
      </c>
    </row>
    <row r="230" spans="1:7">
      <c r="A230" t="s">
        <v>841</v>
      </c>
      <c r="B230" t="s">
        <v>842</v>
      </c>
      <c r="C230">
        <v>6</v>
      </c>
      <c r="D230" s="321">
        <v>46122</v>
      </c>
      <c r="E230" s="321">
        <v>46134</v>
      </c>
      <c r="F230">
        <v>-33</v>
      </c>
      <c r="G230" t="s">
        <v>390</v>
      </c>
    </row>
    <row r="231" spans="1:7">
      <c r="A231" t="s">
        <v>843</v>
      </c>
      <c r="B231" t="s">
        <v>844</v>
      </c>
      <c r="C231">
        <v>10</v>
      </c>
      <c r="D231" s="321">
        <v>46156</v>
      </c>
      <c r="E231" s="321">
        <v>46169</v>
      </c>
      <c r="F231">
        <v>8</v>
      </c>
      <c r="G231" t="s">
        <v>390</v>
      </c>
    </row>
    <row r="232" spans="1:7">
      <c r="A232" t="s">
        <v>845</v>
      </c>
      <c r="B232" t="s">
        <v>846</v>
      </c>
      <c r="C232">
        <v>5</v>
      </c>
      <c r="D232" s="321">
        <v>46206</v>
      </c>
      <c r="E232" s="321">
        <v>46212</v>
      </c>
      <c r="F232">
        <v>-6</v>
      </c>
      <c r="G232" t="s">
        <v>390</v>
      </c>
    </row>
    <row r="233" spans="1:7">
      <c r="A233" t="s">
        <v>847</v>
      </c>
      <c r="B233" t="s">
        <v>848</v>
      </c>
      <c r="C233">
        <v>6</v>
      </c>
      <c r="D233" s="321">
        <v>46122</v>
      </c>
      <c r="E233" s="321">
        <v>46134</v>
      </c>
      <c r="F233">
        <v>0</v>
      </c>
      <c r="G233" t="s">
        <v>390</v>
      </c>
    </row>
    <row r="234" spans="1:7">
      <c r="A234" t="s">
        <v>849</v>
      </c>
      <c r="B234" t="s">
        <v>850</v>
      </c>
      <c r="C234">
        <v>10</v>
      </c>
      <c r="D234" s="321">
        <v>46156</v>
      </c>
      <c r="E234" s="321">
        <v>46169</v>
      </c>
      <c r="F234">
        <v>41</v>
      </c>
      <c r="G234" t="s">
        <v>390</v>
      </c>
    </row>
    <row r="235" spans="1:7">
      <c r="A235" t="s">
        <v>851</v>
      </c>
      <c r="B235" t="s">
        <v>852</v>
      </c>
      <c r="C235">
        <v>5</v>
      </c>
      <c r="D235" s="321">
        <v>46206</v>
      </c>
      <c r="E235" s="321">
        <v>46212</v>
      </c>
      <c r="F235">
        <v>27</v>
      </c>
      <c r="G235" t="s">
        <v>390</v>
      </c>
    </row>
    <row r="236" spans="1:7">
      <c r="A236" t="s">
        <v>853</v>
      </c>
      <c r="B236" t="s">
        <v>854</v>
      </c>
      <c r="C236">
        <v>15</v>
      </c>
      <c r="D236" s="321">
        <v>46156</v>
      </c>
      <c r="E236" s="321">
        <v>46178</v>
      </c>
      <c r="F236">
        <v>72</v>
      </c>
      <c r="G236" t="s">
        <v>390</v>
      </c>
    </row>
    <row r="237" spans="1:7">
      <c r="A237" t="s">
        <v>855</v>
      </c>
      <c r="B237" t="s">
        <v>856</v>
      </c>
      <c r="C237">
        <v>10</v>
      </c>
      <c r="D237" s="321">
        <v>46202</v>
      </c>
      <c r="E237" s="321">
        <v>46213</v>
      </c>
      <c r="F237">
        <v>101</v>
      </c>
      <c r="G237" t="s">
        <v>390</v>
      </c>
    </row>
    <row r="238" spans="1:7">
      <c r="A238" t="s">
        <v>857</v>
      </c>
      <c r="B238" t="s">
        <v>858</v>
      </c>
      <c r="C238">
        <v>5</v>
      </c>
      <c r="D238" s="321">
        <v>46223</v>
      </c>
      <c r="E238" s="321">
        <v>46227</v>
      </c>
      <c r="F238">
        <v>101</v>
      </c>
      <c r="G238" t="s">
        <v>390</v>
      </c>
    </row>
    <row r="239" spans="1:7">
      <c r="A239" t="s">
        <v>859</v>
      </c>
      <c r="C239">
        <v>165</v>
      </c>
      <c r="D239" s="321">
        <v>46136</v>
      </c>
      <c r="E239" s="321">
        <v>46384</v>
      </c>
      <c r="F239">
        <v>4</v>
      </c>
      <c r="G239" t="s">
        <v>390</v>
      </c>
    </row>
    <row r="240" spans="1:7">
      <c r="A240" t="s">
        <v>860</v>
      </c>
      <c r="B240" t="s">
        <v>861</v>
      </c>
      <c r="C240">
        <v>10</v>
      </c>
      <c r="D240" s="321">
        <v>46199</v>
      </c>
      <c r="E240" s="321">
        <v>46212</v>
      </c>
      <c r="F240">
        <v>-26</v>
      </c>
      <c r="G240" t="s">
        <v>390</v>
      </c>
    </row>
    <row r="241" spans="1:7">
      <c r="A241" t="s">
        <v>862</v>
      </c>
      <c r="B241" t="s">
        <v>863</v>
      </c>
      <c r="C241">
        <v>5</v>
      </c>
      <c r="D241" s="321">
        <v>46301</v>
      </c>
      <c r="E241" s="321">
        <v>46307</v>
      </c>
      <c r="F241">
        <v>-26</v>
      </c>
      <c r="G241" t="s">
        <v>390</v>
      </c>
    </row>
    <row r="242" spans="1:7">
      <c r="A242" t="s">
        <v>864</v>
      </c>
      <c r="B242" t="s">
        <v>865</v>
      </c>
      <c r="C242">
        <v>10</v>
      </c>
      <c r="D242" s="321">
        <v>46211</v>
      </c>
      <c r="E242" s="321">
        <v>46224</v>
      </c>
      <c r="F242">
        <v>-30</v>
      </c>
      <c r="G242" t="s">
        <v>390</v>
      </c>
    </row>
    <row r="243" spans="1:7">
      <c r="A243" t="s">
        <v>866</v>
      </c>
      <c r="B243" t="s">
        <v>867</v>
      </c>
      <c r="C243">
        <v>5</v>
      </c>
      <c r="D243" s="321">
        <v>46307</v>
      </c>
      <c r="E243" s="321">
        <v>46314</v>
      </c>
      <c r="F243">
        <v>-30</v>
      </c>
      <c r="G243" t="s">
        <v>390</v>
      </c>
    </row>
    <row r="244" spans="1:7">
      <c r="A244" t="s">
        <v>868</v>
      </c>
      <c r="B244" t="s">
        <v>869</v>
      </c>
      <c r="C244">
        <v>10</v>
      </c>
      <c r="D244" s="321">
        <v>46192</v>
      </c>
      <c r="E244" s="321">
        <v>46205</v>
      </c>
      <c r="F244">
        <v>-21</v>
      </c>
      <c r="G244" t="s">
        <v>390</v>
      </c>
    </row>
    <row r="245" spans="1:7">
      <c r="A245" t="s">
        <v>870</v>
      </c>
      <c r="B245" t="s">
        <v>871</v>
      </c>
      <c r="C245">
        <v>5</v>
      </c>
      <c r="D245" s="321">
        <v>46294</v>
      </c>
      <c r="E245" s="321">
        <v>46300</v>
      </c>
      <c r="F245">
        <v>-21</v>
      </c>
      <c r="G245" t="s">
        <v>390</v>
      </c>
    </row>
    <row r="246" spans="1:7">
      <c r="A246" t="s">
        <v>872</v>
      </c>
      <c r="B246" t="s">
        <v>873</v>
      </c>
      <c r="C246">
        <v>10</v>
      </c>
      <c r="D246" s="321">
        <v>46225</v>
      </c>
      <c r="E246" s="321">
        <v>46241</v>
      </c>
      <c r="F246">
        <v>-47</v>
      </c>
      <c r="G246" t="s">
        <v>390</v>
      </c>
    </row>
    <row r="247" spans="1:7">
      <c r="A247" t="s">
        <v>874</v>
      </c>
      <c r="B247" t="s">
        <v>875</v>
      </c>
      <c r="C247">
        <v>5</v>
      </c>
      <c r="D247" s="321">
        <v>46332</v>
      </c>
      <c r="E247" s="321">
        <v>46338</v>
      </c>
      <c r="F247">
        <v>-47</v>
      </c>
      <c r="G247" t="s">
        <v>390</v>
      </c>
    </row>
    <row r="248" spans="1:7">
      <c r="A248" t="s">
        <v>876</v>
      </c>
      <c r="B248" t="s">
        <v>877</v>
      </c>
      <c r="C248">
        <v>10</v>
      </c>
      <c r="D248" s="321">
        <v>46147</v>
      </c>
      <c r="E248" s="321">
        <v>46160</v>
      </c>
      <c r="F248">
        <v>92</v>
      </c>
      <c r="G248" t="s">
        <v>390</v>
      </c>
    </row>
    <row r="249" spans="1:7">
      <c r="A249" t="s">
        <v>878</v>
      </c>
      <c r="B249" t="s">
        <v>879</v>
      </c>
      <c r="C249">
        <v>5</v>
      </c>
      <c r="D249" s="321">
        <v>46247</v>
      </c>
      <c r="E249" s="321">
        <v>46253</v>
      </c>
      <c r="F249">
        <v>92</v>
      </c>
      <c r="G249" t="s">
        <v>390</v>
      </c>
    </row>
    <row r="250" spans="1:7">
      <c r="A250" t="s">
        <v>880</v>
      </c>
      <c r="B250" t="s">
        <v>881</v>
      </c>
      <c r="C250">
        <v>10</v>
      </c>
      <c r="D250" s="321">
        <v>46219</v>
      </c>
      <c r="E250" s="321">
        <v>46237</v>
      </c>
      <c r="F250">
        <v>41</v>
      </c>
      <c r="G250" t="s">
        <v>390</v>
      </c>
    </row>
    <row r="251" spans="1:7">
      <c r="A251" t="s">
        <v>882</v>
      </c>
      <c r="B251" t="s">
        <v>883</v>
      </c>
      <c r="C251">
        <v>5</v>
      </c>
      <c r="D251" s="321">
        <v>46322</v>
      </c>
      <c r="E251" s="321">
        <v>46328</v>
      </c>
      <c r="F251">
        <v>41</v>
      </c>
      <c r="G251" t="s">
        <v>390</v>
      </c>
    </row>
    <row r="252" spans="1:7">
      <c r="A252" t="s">
        <v>884</v>
      </c>
      <c r="B252" t="s">
        <v>885</v>
      </c>
      <c r="C252">
        <v>5</v>
      </c>
      <c r="D252" s="321">
        <v>46149</v>
      </c>
      <c r="E252" s="321">
        <v>46155</v>
      </c>
      <c r="F252">
        <v>-34</v>
      </c>
      <c r="G252" t="s">
        <v>390</v>
      </c>
    </row>
    <row r="253" spans="1:7">
      <c r="A253" t="s">
        <v>886</v>
      </c>
      <c r="B253" t="s">
        <v>887</v>
      </c>
      <c r="C253">
        <v>5</v>
      </c>
      <c r="D253" s="321">
        <v>46241</v>
      </c>
      <c r="E253" s="321">
        <v>46248</v>
      </c>
      <c r="F253">
        <v>-34</v>
      </c>
      <c r="G253" t="s">
        <v>390</v>
      </c>
    </row>
    <row r="254" spans="1:7">
      <c r="A254" t="s">
        <v>888</v>
      </c>
      <c r="B254" t="s">
        <v>889</v>
      </c>
      <c r="C254">
        <v>10</v>
      </c>
      <c r="D254" s="321">
        <v>46169</v>
      </c>
      <c r="E254" s="321">
        <v>46184</v>
      </c>
      <c r="F254">
        <v>0</v>
      </c>
      <c r="G254" t="s">
        <v>390</v>
      </c>
    </row>
    <row r="255" spans="1:7">
      <c r="A255" t="s">
        <v>890</v>
      </c>
      <c r="B255" t="s">
        <v>891</v>
      </c>
      <c r="C255">
        <v>5</v>
      </c>
      <c r="D255" s="321">
        <v>46274</v>
      </c>
      <c r="E255" s="321">
        <v>46280</v>
      </c>
      <c r="F255">
        <v>0</v>
      </c>
      <c r="G255" t="s">
        <v>390</v>
      </c>
    </row>
    <row r="256" spans="1:7">
      <c r="A256" t="s">
        <v>892</v>
      </c>
      <c r="B256" t="s">
        <v>893</v>
      </c>
      <c r="C256">
        <v>10</v>
      </c>
      <c r="D256" s="321">
        <v>46136</v>
      </c>
      <c r="E256" s="321">
        <v>46150</v>
      </c>
      <c r="F256">
        <v>0</v>
      </c>
      <c r="G256" t="s">
        <v>390</v>
      </c>
    </row>
    <row r="257" spans="1:7">
      <c r="A257" t="s">
        <v>894</v>
      </c>
      <c r="B257" t="s">
        <v>895</v>
      </c>
      <c r="C257">
        <v>5</v>
      </c>
      <c r="D257" s="321">
        <v>46234</v>
      </c>
      <c r="E257" s="321">
        <v>46240</v>
      </c>
      <c r="F257">
        <v>0</v>
      </c>
      <c r="G257" t="s">
        <v>390</v>
      </c>
    </row>
    <row r="258" spans="1:7">
      <c r="A258" t="s">
        <v>896</v>
      </c>
      <c r="B258" t="s">
        <v>897</v>
      </c>
      <c r="C258">
        <v>10</v>
      </c>
      <c r="D258" s="321">
        <v>46272</v>
      </c>
      <c r="E258" s="321">
        <v>46283</v>
      </c>
      <c r="F258">
        <v>4</v>
      </c>
      <c r="G258" t="s">
        <v>390</v>
      </c>
    </row>
    <row r="259" spans="1:7">
      <c r="A259" t="s">
        <v>898</v>
      </c>
      <c r="B259" t="s">
        <v>899</v>
      </c>
      <c r="C259">
        <v>5</v>
      </c>
      <c r="D259" s="321">
        <v>46377</v>
      </c>
      <c r="E259" s="321">
        <v>46384</v>
      </c>
      <c r="F259">
        <v>4</v>
      </c>
      <c r="G259" t="s">
        <v>390</v>
      </c>
    </row>
    <row r="260" spans="1:7">
      <c r="A260" t="s">
        <v>900</v>
      </c>
      <c r="B260" t="s">
        <v>901</v>
      </c>
      <c r="C260">
        <v>10</v>
      </c>
      <c r="D260" s="321">
        <v>46150</v>
      </c>
      <c r="E260" s="321">
        <v>46163</v>
      </c>
      <c r="F260">
        <v>-33</v>
      </c>
      <c r="G260" t="s">
        <v>390</v>
      </c>
    </row>
    <row r="261" spans="1:7">
      <c r="A261" t="s">
        <v>902</v>
      </c>
      <c r="B261" t="s">
        <v>903</v>
      </c>
      <c r="C261">
        <v>5</v>
      </c>
      <c r="D261" s="321">
        <v>46258</v>
      </c>
      <c r="E261" s="321">
        <v>46262</v>
      </c>
      <c r="F261">
        <v>-33</v>
      </c>
      <c r="G261" t="s">
        <v>390</v>
      </c>
    </row>
    <row r="262" spans="1:7">
      <c r="A262" t="s">
        <v>904</v>
      </c>
      <c r="B262" t="s">
        <v>905</v>
      </c>
      <c r="C262">
        <v>10</v>
      </c>
      <c r="D262" s="321">
        <v>46150</v>
      </c>
      <c r="E262" s="321">
        <v>46163</v>
      </c>
      <c r="F262">
        <v>0</v>
      </c>
      <c r="G262" t="s">
        <v>390</v>
      </c>
    </row>
    <row r="263" spans="1:7">
      <c r="A263" t="s">
        <v>906</v>
      </c>
      <c r="B263" t="s">
        <v>907</v>
      </c>
      <c r="C263">
        <v>5</v>
      </c>
      <c r="D263" s="321">
        <v>46258</v>
      </c>
      <c r="E263" s="321">
        <v>46262</v>
      </c>
      <c r="F263">
        <v>0</v>
      </c>
      <c r="G263" t="s">
        <v>390</v>
      </c>
    </row>
    <row r="264" spans="1:7">
      <c r="A264" t="s">
        <v>908</v>
      </c>
      <c r="B264" t="s">
        <v>909</v>
      </c>
      <c r="C264">
        <v>10</v>
      </c>
      <c r="D264" s="321">
        <v>46150</v>
      </c>
      <c r="E264" s="321">
        <v>46163</v>
      </c>
      <c r="F264">
        <v>0</v>
      </c>
      <c r="G264" t="s">
        <v>390</v>
      </c>
    </row>
    <row r="265" spans="1:7">
      <c r="A265" t="s">
        <v>910</v>
      </c>
      <c r="B265" t="s">
        <v>911</v>
      </c>
      <c r="C265">
        <v>5</v>
      </c>
      <c r="D265" s="321">
        <v>46258</v>
      </c>
      <c r="E265" s="321">
        <v>46262</v>
      </c>
      <c r="F265">
        <v>0</v>
      </c>
      <c r="G265" t="s">
        <v>390</v>
      </c>
    </row>
    <row r="266" spans="1:7">
      <c r="A266" t="s">
        <v>912</v>
      </c>
      <c r="B266" t="s">
        <v>913</v>
      </c>
      <c r="C266">
        <v>10</v>
      </c>
      <c r="D266" s="321">
        <v>46178</v>
      </c>
      <c r="E266" s="321">
        <v>46191</v>
      </c>
      <c r="F266">
        <v>72</v>
      </c>
      <c r="G266" t="s">
        <v>390</v>
      </c>
    </row>
    <row r="267" spans="1:7">
      <c r="A267" t="s">
        <v>914</v>
      </c>
      <c r="B267" t="s">
        <v>915</v>
      </c>
      <c r="C267">
        <v>5</v>
      </c>
      <c r="D267" s="321">
        <v>46275</v>
      </c>
      <c r="E267" s="321">
        <v>46281</v>
      </c>
      <c r="F267">
        <v>72</v>
      </c>
      <c r="G267" t="s">
        <v>390</v>
      </c>
    </row>
    <row r="268" spans="1:7">
      <c r="A268" t="s">
        <v>916</v>
      </c>
      <c r="C268">
        <v>129</v>
      </c>
      <c r="D268" s="321">
        <v>46168</v>
      </c>
      <c r="E268" s="321">
        <v>46358</v>
      </c>
      <c r="F268">
        <v>4</v>
      </c>
      <c r="G268" t="s">
        <v>390</v>
      </c>
    </row>
    <row r="269" spans="1:7">
      <c r="A269" t="s">
        <v>917</v>
      </c>
      <c r="B269" t="s">
        <v>918</v>
      </c>
      <c r="C269">
        <v>20</v>
      </c>
      <c r="D269" s="321">
        <v>46237</v>
      </c>
      <c r="E269" s="321">
        <v>46265</v>
      </c>
      <c r="F269">
        <v>-26</v>
      </c>
      <c r="G269" t="s">
        <v>390</v>
      </c>
    </row>
    <row r="270" spans="1:7">
      <c r="A270" t="s">
        <v>919</v>
      </c>
      <c r="B270" t="s">
        <v>920</v>
      </c>
      <c r="C270">
        <v>5</v>
      </c>
      <c r="D270" s="321">
        <v>46280</v>
      </c>
      <c r="E270" s="321">
        <v>46286</v>
      </c>
      <c r="F270">
        <v>-26</v>
      </c>
      <c r="G270" t="s">
        <v>390</v>
      </c>
    </row>
    <row r="271" spans="1:7">
      <c r="A271" t="s">
        <v>921</v>
      </c>
      <c r="B271" t="s">
        <v>922</v>
      </c>
      <c r="C271">
        <v>20</v>
      </c>
      <c r="D271" s="321">
        <v>46241</v>
      </c>
      <c r="E271" s="321">
        <v>46269</v>
      </c>
      <c r="F271">
        <v>-30</v>
      </c>
      <c r="G271" t="s">
        <v>390</v>
      </c>
    </row>
    <row r="272" spans="1:7">
      <c r="A272" t="s">
        <v>923</v>
      </c>
      <c r="B272" t="s">
        <v>924</v>
      </c>
      <c r="C272">
        <v>5</v>
      </c>
      <c r="D272" s="321">
        <v>46286</v>
      </c>
      <c r="E272" s="321">
        <v>46290</v>
      </c>
      <c r="F272">
        <v>-30</v>
      </c>
      <c r="G272" t="s">
        <v>390</v>
      </c>
    </row>
    <row r="273" spans="1:7">
      <c r="A273" t="s">
        <v>925</v>
      </c>
      <c r="B273" t="s">
        <v>926</v>
      </c>
      <c r="C273">
        <v>17</v>
      </c>
      <c r="D273" s="321">
        <v>46230</v>
      </c>
      <c r="E273" s="321">
        <v>46258</v>
      </c>
      <c r="F273">
        <v>-21</v>
      </c>
      <c r="G273" t="s">
        <v>390</v>
      </c>
    </row>
    <row r="274" spans="1:7">
      <c r="A274" t="s">
        <v>927</v>
      </c>
      <c r="B274" t="s">
        <v>928</v>
      </c>
      <c r="C274">
        <v>5</v>
      </c>
      <c r="D274" s="321">
        <v>46273</v>
      </c>
      <c r="E274" s="321">
        <v>46279</v>
      </c>
      <c r="F274">
        <v>-21</v>
      </c>
      <c r="G274" t="s">
        <v>390</v>
      </c>
    </row>
    <row r="275" spans="1:7">
      <c r="A275" t="s">
        <v>929</v>
      </c>
      <c r="B275" t="s">
        <v>930</v>
      </c>
      <c r="C275">
        <v>20</v>
      </c>
      <c r="D275" s="321">
        <v>46267</v>
      </c>
      <c r="E275" s="321">
        <v>46294</v>
      </c>
      <c r="F275">
        <v>-47</v>
      </c>
      <c r="G275" t="s">
        <v>390</v>
      </c>
    </row>
    <row r="276" spans="1:7">
      <c r="A276" t="s">
        <v>931</v>
      </c>
      <c r="B276" t="s">
        <v>932</v>
      </c>
      <c r="C276">
        <v>5</v>
      </c>
      <c r="D276" s="321">
        <v>46310</v>
      </c>
      <c r="E276" s="321">
        <v>46316</v>
      </c>
      <c r="F276">
        <v>-47</v>
      </c>
      <c r="G276" t="s">
        <v>390</v>
      </c>
    </row>
    <row r="277" spans="1:7">
      <c r="A277" t="s">
        <v>933</v>
      </c>
      <c r="B277" t="s">
        <v>934</v>
      </c>
      <c r="C277">
        <v>20</v>
      </c>
      <c r="D277" s="321">
        <v>46178</v>
      </c>
      <c r="E277" s="321">
        <v>46205</v>
      </c>
      <c r="F277">
        <v>92</v>
      </c>
      <c r="G277" t="s">
        <v>390</v>
      </c>
    </row>
    <row r="278" spans="1:7">
      <c r="A278" t="s">
        <v>935</v>
      </c>
      <c r="B278" t="s">
        <v>936</v>
      </c>
      <c r="C278">
        <v>5</v>
      </c>
      <c r="D278" s="321">
        <v>46220</v>
      </c>
      <c r="E278" s="321">
        <v>46226</v>
      </c>
      <c r="F278">
        <v>92</v>
      </c>
      <c r="G278" t="s">
        <v>390</v>
      </c>
    </row>
    <row r="279" spans="1:7">
      <c r="A279" t="s">
        <v>937</v>
      </c>
      <c r="B279" t="s">
        <v>938</v>
      </c>
      <c r="C279">
        <v>20</v>
      </c>
      <c r="D279" s="321">
        <v>46255</v>
      </c>
      <c r="E279" s="321">
        <v>46282</v>
      </c>
      <c r="F279">
        <v>41</v>
      </c>
      <c r="G279" t="s">
        <v>390</v>
      </c>
    </row>
    <row r="280" spans="1:7">
      <c r="A280" t="s">
        <v>939</v>
      </c>
      <c r="B280" t="s">
        <v>940</v>
      </c>
      <c r="C280">
        <v>5</v>
      </c>
      <c r="D280" s="321">
        <v>46297</v>
      </c>
      <c r="E280" s="321">
        <v>46303</v>
      </c>
      <c r="F280">
        <v>41</v>
      </c>
      <c r="G280" t="s">
        <v>390</v>
      </c>
    </row>
    <row r="281" spans="1:7">
      <c r="A281" t="s">
        <v>941</v>
      </c>
      <c r="B281" t="s">
        <v>942</v>
      </c>
      <c r="C281">
        <v>20</v>
      </c>
      <c r="D281" s="321">
        <v>46171</v>
      </c>
      <c r="E281" s="321">
        <v>46202</v>
      </c>
      <c r="F281">
        <v>-34</v>
      </c>
      <c r="G281" t="s">
        <v>390</v>
      </c>
    </row>
    <row r="282" spans="1:7">
      <c r="A282" t="s">
        <v>943</v>
      </c>
      <c r="B282" t="s">
        <v>944</v>
      </c>
      <c r="C282">
        <v>5</v>
      </c>
      <c r="D282" s="321">
        <v>46217</v>
      </c>
      <c r="E282" s="321">
        <v>46223</v>
      </c>
      <c r="F282">
        <v>-34</v>
      </c>
      <c r="G282" t="s">
        <v>390</v>
      </c>
    </row>
    <row r="283" spans="1:7">
      <c r="A283" t="s">
        <v>945</v>
      </c>
      <c r="B283" t="s">
        <v>946</v>
      </c>
      <c r="C283">
        <v>17</v>
      </c>
      <c r="D283" s="321">
        <v>46210</v>
      </c>
      <c r="E283" s="321">
        <v>46237</v>
      </c>
      <c r="F283">
        <v>0</v>
      </c>
      <c r="G283" t="s">
        <v>390</v>
      </c>
    </row>
    <row r="284" spans="1:7">
      <c r="A284" t="s">
        <v>947</v>
      </c>
      <c r="B284" t="s">
        <v>948</v>
      </c>
      <c r="C284">
        <v>5</v>
      </c>
      <c r="D284" s="321">
        <v>46253</v>
      </c>
      <c r="E284" s="321">
        <v>46259</v>
      </c>
      <c r="F284">
        <v>0</v>
      </c>
      <c r="G284" t="s">
        <v>390</v>
      </c>
    </row>
    <row r="285" spans="1:7">
      <c r="A285" t="s">
        <v>949</v>
      </c>
      <c r="B285" t="s">
        <v>950</v>
      </c>
      <c r="C285">
        <v>18</v>
      </c>
      <c r="D285" s="321">
        <v>46168</v>
      </c>
      <c r="E285" s="321">
        <v>46195</v>
      </c>
      <c r="F285">
        <v>0</v>
      </c>
      <c r="G285" t="s">
        <v>390</v>
      </c>
    </row>
    <row r="286" spans="1:7">
      <c r="A286" t="s">
        <v>951</v>
      </c>
      <c r="B286" t="s">
        <v>952</v>
      </c>
      <c r="C286">
        <v>5</v>
      </c>
      <c r="D286" s="321">
        <v>46210</v>
      </c>
      <c r="E286" s="321">
        <v>46216</v>
      </c>
      <c r="F286">
        <v>0</v>
      </c>
      <c r="G286" t="s">
        <v>390</v>
      </c>
    </row>
    <row r="287" spans="1:7">
      <c r="A287" t="s">
        <v>953</v>
      </c>
      <c r="B287" t="s">
        <v>954</v>
      </c>
      <c r="C287">
        <v>14</v>
      </c>
      <c r="D287" s="321">
        <v>46317</v>
      </c>
      <c r="E287" s="321">
        <v>46337</v>
      </c>
      <c r="F287">
        <v>4</v>
      </c>
      <c r="G287" t="s">
        <v>390</v>
      </c>
    </row>
    <row r="288" spans="1:7">
      <c r="A288" t="s">
        <v>955</v>
      </c>
      <c r="B288" t="s">
        <v>956</v>
      </c>
      <c r="C288">
        <v>5</v>
      </c>
      <c r="D288" s="321">
        <v>46352</v>
      </c>
      <c r="E288" s="321">
        <v>46358</v>
      </c>
      <c r="F288">
        <v>4</v>
      </c>
      <c r="G288" t="s">
        <v>390</v>
      </c>
    </row>
    <row r="289" spans="1:7">
      <c r="A289" t="s">
        <v>957</v>
      </c>
      <c r="B289" t="s">
        <v>958</v>
      </c>
      <c r="C289">
        <v>20</v>
      </c>
      <c r="D289" s="321">
        <v>46189</v>
      </c>
      <c r="E289" s="321">
        <v>46216</v>
      </c>
      <c r="F289">
        <v>-33</v>
      </c>
      <c r="G289" t="s">
        <v>390</v>
      </c>
    </row>
    <row r="290" spans="1:7">
      <c r="A290" t="s">
        <v>959</v>
      </c>
      <c r="B290" t="s">
        <v>960</v>
      </c>
      <c r="C290">
        <v>5</v>
      </c>
      <c r="D290" s="321">
        <v>46234</v>
      </c>
      <c r="E290" s="321">
        <v>46240</v>
      </c>
      <c r="F290">
        <v>-33</v>
      </c>
      <c r="G290" t="s">
        <v>390</v>
      </c>
    </row>
    <row r="291" spans="1:7">
      <c r="A291" t="s">
        <v>961</v>
      </c>
      <c r="B291" t="s">
        <v>962</v>
      </c>
      <c r="C291">
        <v>20</v>
      </c>
      <c r="D291" s="321">
        <v>46189</v>
      </c>
      <c r="E291" s="321">
        <v>46216</v>
      </c>
      <c r="F291">
        <v>0</v>
      </c>
      <c r="G291" t="s">
        <v>390</v>
      </c>
    </row>
    <row r="292" spans="1:7">
      <c r="A292" t="s">
        <v>963</v>
      </c>
      <c r="B292" t="s">
        <v>964</v>
      </c>
      <c r="C292">
        <v>5</v>
      </c>
      <c r="D292" s="321">
        <v>46234</v>
      </c>
      <c r="E292" s="321">
        <v>46240</v>
      </c>
      <c r="F292">
        <v>0</v>
      </c>
      <c r="G292" t="s">
        <v>390</v>
      </c>
    </row>
    <row r="293" spans="1:7">
      <c r="A293" t="s">
        <v>965</v>
      </c>
      <c r="B293" t="s">
        <v>966</v>
      </c>
      <c r="C293">
        <v>20</v>
      </c>
      <c r="D293" s="321">
        <v>46189</v>
      </c>
      <c r="E293" s="321">
        <v>46216</v>
      </c>
      <c r="F293">
        <v>0</v>
      </c>
      <c r="G293" t="s">
        <v>390</v>
      </c>
    </row>
    <row r="294" spans="1:7">
      <c r="A294" t="s">
        <v>967</v>
      </c>
      <c r="B294" t="s">
        <v>968</v>
      </c>
      <c r="C294">
        <v>5</v>
      </c>
      <c r="D294" s="321">
        <v>46234</v>
      </c>
      <c r="E294" s="321">
        <v>46240</v>
      </c>
      <c r="F294">
        <v>0</v>
      </c>
      <c r="G294" t="s">
        <v>390</v>
      </c>
    </row>
    <row r="295" spans="1:7">
      <c r="A295" t="s">
        <v>969</v>
      </c>
      <c r="B295" t="s">
        <v>970</v>
      </c>
      <c r="C295">
        <v>17</v>
      </c>
      <c r="D295" s="321">
        <v>46211</v>
      </c>
      <c r="E295" s="321">
        <v>46238</v>
      </c>
      <c r="F295">
        <v>72</v>
      </c>
      <c r="G295" t="s">
        <v>390</v>
      </c>
    </row>
    <row r="296" spans="1:7">
      <c r="A296" t="s">
        <v>971</v>
      </c>
      <c r="B296" t="s">
        <v>972</v>
      </c>
      <c r="C296">
        <v>5</v>
      </c>
      <c r="D296" s="321">
        <v>46254</v>
      </c>
      <c r="E296" s="321">
        <v>46260</v>
      </c>
      <c r="F296">
        <v>72</v>
      </c>
      <c r="G296" t="s">
        <v>390</v>
      </c>
    </row>
    <row r="297" spans="1:7">
      <c r="A297" t="s">
        <v>973</v>
      </c>
      <c r="C297">
        <v>166</v>
      </c>
      <c r="D297" s="321">
        <v>46121</v>
      </c>
      <c r="E297" s="321">
        <v>46372</v>
      </c>
      <c r="F297">
        <v>20</v>
      </c>
      <c r="G297" t="s">
        <v>390</v>
      </c>
    </row>
    <row r="298" spans="1:7">
      <c r="A298" t="s">
        <v>974</v>
      </c>
      <c r="B298" t="s">
        <v>975</v>
      </c>
      <c r="C298">
        <v>20</v>
      </c>
      <c r="D298" s="321">
        <v>46133</v>
      </c>
      <c r="E298" s="321">
        <v>46161</v>
      </c>
      <c r="F298">
        <v>52</v>
      </c>
      <c r="G298" t="s">
        <v>390</v>
      </c>
    </row>
    <row r="299" spans="1:7">
      <c r="A299" t="s">
        <v>976</v>
      </c>
      <c r="B299" t="s">
        <v>977</v>
      </c>
      <c r="C299">
        <v>5</v>
      </c>
      <c r="D299" s="321">
        <v>46178</v>
      </c>
      <c r="E299" s="321">
        <v>46184</v>
      </c>
      <c r="F299">
        <v>127</v>
      </c>
      <c r="G299" t="s">
        <v>390</v>
      </c>
    </row>
    <row r="300" spans="1:7">
      <c r="A300" t="s">
        <v>978</v>
      </c>
      <c r="B300" t="s">
        <v>979</v>
      </c>
      <c r="C300">
        <v>20</v>
      </c>
      <c r="D300" s="321">
        <v>46140</v>
      </c>
      <c r="E300" s="321">
        <v>46168</v>
      </c>
      <c r="F300">
        <v>112</v>
      </c>
      <c r="G300" t="s">
        <v>390</v>
      </c>
    </row>
    <row r="301" spans="1:7">
      <c r="A301" t="s">
        <v>980</v>
      </c>
      <c r="B301" t="s">
        <v>981</v>
      </c>
      <c r="C301">
        <v>5</v>
      </c>
      <c r="D301" s="321">
        <v>46185</v>
      </c>
      <c r="E301" s="321">
        <v>46191</v>
      </c>
      <c r="F301">
        <v>127</v>
      </c>
      <c r="G301" t="s">
        <v>390</v>
      </c>
    </row>
    <row r="302" spans="1:7">
      <c r="A302" t="s">
        <v>982</v>
      </c>
      <c r="B302" t="s">
        <v>983</v>
      </c>
      <c r="C302">
        <v>10</v>
      </c>
      <c r="D302" s="321">
        <v>46157</v>
      </c>
      <c r="E302" s="321">
        <v>46170</v>
      </c>
      <c r="F302">
        <v>130</v>
      </c>
      <c r="G302" t="s">
        <v>390</v>
      </c>
    </row>
    <row r="303" spans="1:7">
      <c r="A303" t="s">
        <v>984</v>
      </c>
      <c r="B303" t="s">
        <v>985</v>
      </c>
      <c r="C303">
        <v>5</v>
      </c>
      <c r="D303" s="321">
        <v>46189</v>
      </c>
      <c r="E303" s="321">
        <v>46195</v>
      </c>
      <c r="F303">
        <v>130</v>
      </c>
      <c r="G303" t="s">
        <v>390</v>
      </c>
    </row>
    <row r="304" spans="1:7">
      <c r="A304" t="s">
        <v>986</v>
      </c>
      <c r="B304" t="s">
        <v>987</v>
      </c>
      <c r="C304">
        <v>10</v>
      </c>
      <c r="D304" s="321">
        <v>46265</v>
      </c>
      <c r="E304" s="321">
        <v>46276</v>
      </c>
      <c r="F304">
        <v>60</v>
      </c>
      <c r="G304" t="s">
        <v>390</v>
      </c>
    </row>
    <row r="305" spans="1:7">
      <c r="A305" t="s">
        <v>988</v>
      </c>
      <c r="B305" t="s">
        <v>989</v>
      </c>
      <c r="C305">
        <v>5</v>
      </c>
      <c r="D305" s="321">
        <v>46293</v>
      </c>
      <c r="E305" s="321">
        <v>46297</v>
      </c>
      <c r="F305">
        <v>60</v>
      </c>
      <c r="G305" t="s">
        <v>390</v>
      </c>
    </row>
    <row r="306" spans="1:7">
      <c r="A306" t="s">
        <v>990</v>
      </c>
      <c r="B306" t="s">
        <v>991</v>
      </c>
      <c r="C306">
        <v>10</v>
      </c>
      <c r="D306" s="321">
        <v>46322</v>
      </c>
      <c r="E306" s="321">
        <v>46335</v>
      </c>
      <c r="F306">
        <v>21</v>
      </c>
      <c r="G306" t="s">
        <v>390</v>
      </c>
    </row>
    <row r="307" spans="1:7">
      <c r="A307" t="s">
        <v>992</v>
      </c>
      <c r="B307" t="s">
        <v>993</v>
      </c>
      <c r="C307">
        <v>5</v>
      </c>
      <c r="D307" s="321">
        <v>46350</v>
      </c>
      <c r="E307" s="321">
        <v>46356</v>
      </c>
      <c r="F307">
        <v>21</v>
      </c>
      <c r="G307" t="s">
        <v>390</v>
      </c>
    </row>
    <row r="308" spans="1:7">
      <c r="A308" t="s">
        <v>994</v>
      </c>
      <c r="B308" t="s">
        <v>995</v>
      </c>
      <c r="C308">
        <v>20</v>
      </c>
      <c r="D308" s="321">
        <v>46121</v>
      </c>
      <c r="E308" s="321">
        <v>46154</v>
      </c>
      <c r="F308">
        <v>0</v>
      </c>
      <c r="G308" t="s">
        <v>390</v>
      </c>
    </row>
    <row r="309" spans="1:7">
      <c r="A309" t="s">
        <v>996</v>
      </c>
      <c r="B309" t="s">
        <v>997</v>
      </c>
      <c r="C309">
        <v>60</v>
      </c>
      <c r="D309" s="321">
        <v>46155</v>
      </c>
      <c r="E309" s="321">
        <v>46245</v>
      </c>
      <c r="F309">
        <v>0</v>
      </c>
      <c r="G309" t="s">
        <v>390</v>
      </c>
    </row>
    <row r="310" spans="1:7">
      <c r="A310" t="s">
        <v>998</v>
      </c>
      <c r="B310" t="s">
        <v>999</v>
      </c>
      <c r="C310">
        <v>45</v>
      </c>
      <c r="D310" s="321">
        <v>46247</v>
      </c>
      <c r="E310" s="321">
        <v>46310</v>
      </c>
      <c r="F310">
        <v>11</v>
      </c>
      <c r="G310" t="s">
        <v>390</v>
      </c>
    </row>
    <row r="311" spans="1:7">
      <c r="A311" t="s">
        <v>1000</v>
      </c>
      <c r="B311" t="s">
        <v>1001</v>
      </c>
      <c r="C311">
        <v>5</v>
      </c>
      <c r="D311" s="321">
        <v>46155</v>
      </c>
      <c r="E311" s="321">
        <v>46161</v>
      </c>
      <c r="F311">
        <v>137</v>
      </c>
      <c r="G311" t="s">
        <v>390</v>
      </c>
    </row>
    <row r="312" spans="1:7">
      <c r="A312" t="s">
        <v>1002</v>
      </c>
      <c r="B312" t="s">
        <v>1003</v>
      </c>
      <c r="C312">
        <v>5</v>
      </c>
      <c r="D312" s="321">
        <v>46247</v>
      </c>
      <c r="E312" s="321">
        <v>46253</v>
      </c>
      <c r="F312">
        <v>92</v>
      </c>
      <c r="G312" t="s">
        <v>390</v>
      </c>
    </row>
    <row r="313" spans="1:7">
      <c r="A313" t="s">
        <v>1004</v>
      </c>
      <c r="B313" t="s">
        <v>1005</v>
      </c>
      <c r="C313">
        <v>5</v>
      </c>
      <c r="D313" s="321">
        <v>46155</v>
      </c>
      <c r="E313" s="321">
        <v>46161</v>
      </c>
      <c r="F313">
        <v>137</v>
      </c>
      <c r="G313" t="s">
        <v>390</v>
      </c>
    </row>
    <row r="314" spans="1:7">
      <c r="A314" t="s">
        <v>1006</v>
      </c>
      <c r="B314" t="s">
        <v>1007</v>
      </c>
      <c r="C314">
        <v>5</v>
      </c>
      <c r="D314" s="321">
        <v>46247</v>
      </c>
      <c r="E314" s="321">
        <v>46253</v>
      </c>
      <c r="F314">
        <v>92</v>
      </c>
      <c r="G314" t="s">
        <v>390</v>
      </c>
    </row>
    <row r="315" spans="1:7">
      <c r="A315" t="s">
        <v>1008</v>
      </c>
      <c r="B315" t="s">
        <v>1009</v>
      </c>
      <c r="C315">
        <v>5</v>
      </c>
      <c r="D315" s="321">
        <v>46162</v>
      </c>
      <c r="E315" s="321">
        <v>46168</v>
      </c>
      <c r="F315">
        <v>52</v>
      </c>
      <c r="G315" t="s">
        <v>390</v>
      </c>
    </row>
    <row r="316" spans="1:7">
      <c r="A316" t="s">
        <v>1010</v>
      </c>
      <c r="B316" t="s">
        <v>1011</v>
      </c>
      <c r="C316">
        <v>5</v>
      </c>
      <c r="D316" s="321">
        <v>46185</v>
      </c>
      <c r="E316" s="321">
        <v>46191</v>
      </c>
      <c r="F316">
        <v>127</v>
      </c>
      <c r="G316" t="s">
        <v>390</v>
      </c>
    </row>
    <row r="317" spans="1:7">
      <c r="A317" t="s">
        <v>1012</v>
      </c>
      <c r="B317" t="s">
        <v>1013</v>
      </c>
      <c r="C317">
        <v>20</v>
      </c>
      <c r="D317" s="321">
        <v>46162</v>
      </c>
      <c r="E317" s="321">
        <v>46191</v>
      </c>
      <c r="F317">
        <v>52</v>
      </c>
      <c r="G317" t="s">
        <v>390</v>
      </c>
    </row>
    <row r="318" spans="1:7">
      <c r="A318" t="s">
        <v>1014</v>
      </c>
      <c r="B318" t="s">
        <v>1015</v>
      </c>
      <c r="C318">
        <v>5</v>
      </c>
      <c r="D318" s="321">
        <v>46206</v>
      </c>
      <c r="E318" s="321">
        <v>46212</v>
      </c>
      <c r="F318">
        <v>117</v>
      </c>
      <c r="G318" t="s">
        <v>390</v>
      </c>
    </row>
    <row r="319" spans="1:7">
      <c r="A319" t="s">
        <v>1016</v>
      </c>
      <c r="B319" t="s">
        <v>1017</v>
      </c>
      <c r="C319">
        <v>20</v>
      </c>
      <c r="D319" s="321">
        <v>46162</v>
      </c>
      <c r="E319" s="321">
        <v>46191</v>
      </c>
      <c r="F319">
        <v>117</v>
      </c>
      <c r="G319" t="s">
        <v>390</v>
      </c>
    </row>
    <row r="320" spans="1:7">
      <c r="A320" t="s">
        <v>1018</v>
      </c>
      <c r="B320" t="s">
        <v>1019</v>
      </c>
      <c r="C320">
        <v>5</v>
      </c>
      <c r="D320" s="321">
        <v>46206</v>
      </c>
      <c r="E320" s="321">
        <v>46212</v>
      </c>
      <c r="F320">
        <v>117</v>
      </c>
      <c r="G320" t="s">
        <v>390</v>
      </c>
    </row>
    <row r="321" spans="1:7">
      <c r="A321" t="s">
        <v>1020</v>
      </c>
      <c r="B321" t="s">
        <v>1021</v>
      </c>
      <c r="C321">
        <v>15</v>
      </c>
      <c r="D321" s="321">
        <v>46140</v>
      </c>
      <c r="E321" s="321">
        <v>46161</v>
      </c>
      <c r="F321">
        <v>112</v>
      </c>
      <c r="G321" t="s">
        <v>390</v>
      </c>
    </row>
    <row r="322" spans="1:7">
      <c r="A322" t="s">
        <v>1022</v>
      </c>
      <c r="B322" t="s">
        <v>1023</v>
      </c>
      <c r="C322">
        <v>10</v>
      </c>
      <c r="D322" s="321">
        <v>46178</v>
      </c>
      <c r="E322" s="321">
        <v>46191</v>
      </c>
      <c r="F322">
        <v>112</v>
      </c>
      <c r="G322" t="s">
        <v>390</v>
      </c>
    </row>
    <row r="323" spans="1:7">
      <c r="A323" t="s">
        <v>1024</v>
      </c>
      <c r="B323" t="s">
        <v>1025</v>
      </c>
      <c r="C323">
        <v>10</v>
      </c>
      <c r="D323" s="321">
        <v>46206</v>
      </c>
      <c r="E323" s="321">
        <v>46219</v>
      </c>
      <c r="F323">
        <v>112</v>
      </c>
      <c r="G323" t="s">
        <v>390</v>
      </c>
    </row>
    <row r="324" spans="1:7">
      <c r="A324" t="s">
        <v>1026</v>
      </c>
      <c r="B324" t="s">
        <v>1027</v>
      </c>
      <c r="C324">
        <v>15</v>
      </c>
      <c r="D324" s="321">
        <v>46169</v>
      </c>
      <c r="E324" s="321">
        <v>46191</v>
      </c>
      <c r="F324">
        <v>52</v>
      </c>
      <c r="G324" t="s">
        <v>390</v>
      </c>
    </row>
    <row r="325" spans="1:7">
      <c r="A325" t="s">
        <v>1028</v>
      </c>
      <c r="B325" t="s">
        <v>1029</v>
      </c>
      <c r="C325">
        <v>10</v>
      </c>
      <c r="D325" s="321">
        <v>46206</v>
      </c>
      <c r="E325" s="321">
        <v>46219</v>
      </c>
      <c r="F325">
        <v>92</v>
      </c>
      <c r="G325" t="s">
        <v>390</v>
      </c>
    </row>
    <row r="326" spans="1:7">
      <c r="A326" t="s">
        <v>1030</v>
      </c>
      <c r="B326" t="s">
        <v>1031</v>
      </c>
      <c r="C326">
        <v>10</v>
      </c>
      <c r="D326" s="321">
        <v>46239</v>
      </c>
      <c r="E326" s="321">
        <v>46253</v>
      </c>
      <c r="F326">
        <v>92</v>
      </c>
      <c r="G326" t="s">
        <v>390</v>
      </c>
    </row>
    <row r="327" spans="1:7">
      <c r="A327" t="s">
        <v>1032</v>
      </c>
      <c r="B327" t="s">
        <v>1033</v>
      </c>
      <c r="C327">
        <v>15</v>
      </c>
      <c r="D327" s="321">
        <v>46121</v>
      </c>
      <c r="E327" s="321">
        <v>46147</v>
      </c>
      <c r="F327">
        <v>47</v>
      </c>
      <c r="G327" t="s">
        <v>390</v>
      </c>
    </row>
    <row r="328" spans="1:7">
      <c r="A328" t="s">
        <v>1034</v>
      </c>
      <c r="B328" t="s">
        <v>1035</v>
      </c>
      <c r="C328">
        <v>15</v>
      </c>
      <c r="D328" s="321">
        <v>46192</v>
      </c>
      <c r="E328" s="321">
        <v>46212</v>
      </c>
      <c r="F328">
        <v>47</v>
      </c>
      <c r="G328" t="s">
        <v>390</v>
      </c>
    </row>
    <row r="329" spans="1:7">
      <c r="A329" t="s">
        <v>1036</v>
      </c>
      <c r="B329" t="s">
        <v>1037</v>
      </c>
      <c r="C329">
        <v>10</v>
      </c>
      <c r="D329" s="321">
        <v>46261</v>
      </c>
      <c r="E329" s="321">
        <v>46274</v>
      </c>
      <c r="F329">
        <v>47</v>
      </c>
      <c r="G329" t="s">
        <v>390</v>
      </c>
    </row>
    <row r="330" spans="1:7">
      <c r="A330" t="s">
        <v>1038</v>
      </c>
      <c r="B330" t="s">
        <v>1039</v>
      </c>
      <c r="C330">
        <v>15</v>
      </c>
      <c r="D330" s="321">
        <v>46121</v>
      </c>
      <c r="E330" s="321">
        <v>46147</v>
      </c>
      <c r="F330">
        <v>47</v>
      </c>
      <c r="G330" t="s">
        <v>390</v>
      </c>
    </row>
    <row r="331" spans="1:7">
      <c r="A331" t="s">
        <v>1040</v>
      </c>
      <c r="B331" t="s">
        <v>1041</v>
      </c>
      <c r="C331">
        <v>15</v>
      </c>
      <c r="D331" s="321">
        <v>46192</v>
      </c>
      <c r="E331" s="321">
        <v>46212</v>
      </c>
      <c r="F331">
        <v>47</v>
      </c>
      <c r="G331" t="s">
        <v>390</v>
      </c>
    </row>
    <row r="332" spans="1:7">
      <c r="A332" t="s">
        <v>1042</v>
      </c>
      <c r="B332" t="s">
        <v>1043</v>
      </c>
      <c r="C332">
        <v>10</v>
      </c>
      <c r="D332" s="321">
        <v>46261</v>
      </c>
      <c r="E332" s="321">
        <v>46274</v>
      </c>
      <c r="F332">
        <v>47</v>
      </c>
      <c r="G332" t="s">
        <v>390</v>
      </c>
    </row>
    <row r="333" spans="1:7">
      <c r="A333" t="s">
        <v>1044</v>
      </c>
      <c r="B333" t="s">
        <v>1045</v>
      </c>
      <c r="C333">
        <v>15</v>
      </c>
      <c r="D333" s="321">
        <v>46121</v>
      </c>
      <c r="E333" s="321">
        <v>46147</v>
      </c>
      <c r="F333">
        <v>65</v>
      </c>
      <c r="G333" t="s">
        <v>390</v>
      </c>
    </row>
    <row r="334" spans="1:7">
      <c r="A334" t="s">
        <v>1046</v>
      </c>
      <c r="B334" t="s">
        <v>1047</v>
      </c>
      <c r="C334">
        <v>15</v>
      </c>
      <c r="D334" s="321">
        <v>46192</v>
      </c>
      <c r="E334" s="321">
        <v>46212</v>
      </c>
      <c r="F334">
        <v>67</v>
      </c>
      <c r="G334" t="s">
        <v>390</v>
      </c>
    </row>
    <row r="335" spans="1:7">
      <c r="A335" t="s">
        <v>1048</v>
      </c>
      <c r="B335" t="s">
        <v>1049</v>
      </c>
      <c r="C335">
        <v>10</v>
      </c>
      <c r="D335" s="321">
        <v>46261</v>
      </c>
      <c r="E335" s="321">
        <v>46274</v>
      </c>
      <c r="F335">
        <v>47</v>
      </c>
      <c r="G335" t="s">
        <v>390</v>
      </c>
    </row>
    <row r="336" spans="1:7">
      <c r="A336" t="s">
        <v>1050</v>
      </c>
      <c r="B336" t="s">
        <v>1051</v>
      </c>
      <c r="C336">
        <v>15</v>
      </c>
      <c r="D336" s="321">
        <v>46121</v>
      </c>
      <c r="E336" s="321">
        <v>46147</v>
      </c>
      <c r="F336">
        <v>32</v>
      </c>
      <c r="G336" t="s">
        <v>390</v>
      </c>
    </row>
    <row r="337" spans="1:7">
      <c r="A337" t="s">
        <v>1052</v>
      </c>
      <c r="B337" t="s">
        <v>1053</v>
      </c>
      <c r="C337">
        <v>15</v>
      </c>
      <c r="D337" s="321">
        <v>46192</v>
      </c>
      <c r="E337" s="321">
        <v>46212</v>
      </c>
      <c r="F337">
        <v>42</v>
      </c>
      <c r="G337" t="s">
        <v>390</v>
      </c>
    </row>
    <row r="338" spans="1:7">
      <c r="A338" t="s">
        <v>1054</v>
      </c>
      <c r="B338" t="s">
        <v>1055</v>
      </c>
      <c r="C338">
        <v>10</v>
      </c>
      <c r="D338" s="321">
        <v>46261</v>
      </c>
      <c r="E338" s="321">
        <v>46274</v>
      </c>
      <c r="F338">
        <v>47</v>
      </c>
      <c r="G338" t="s">
        <v>390</v>
      </c>
    </row>
    <row r="339" spans="1:7">
      <c r="A339" t="s">
        <v>1056</v>
      </c>
      <c r="B339" t="s">
        <v>1057</v>
      </c>
      <c r="C339">
        <v>15</v>
      </c>
      <c r="D339" s="321">
        <v>46121</v>
      </c>
      <c r="E339" s="321">
        <v>46147</v>
      </c>
      <c r="F339">
        <v>32</v>
      </c>
      <c r="G339" t="s">
        <v>390</v>
      </c>
    </row>
    <row r="340" spans="1:7">
      <c r="A340" t="s">
        <v>1058</v>
      </c>
      <c r="B340" t="s">
        <v>1059</v>
      </c>
      <c r="C340">
        <v>15</v>
      </c>
      <c r="D340" s="321">
        <v>46192</v>
      </c>
      <c r="E340" s="321">
        <v>46212</v>
      </c>
      <c r="F340">
        <v>42</v>
      </c>
      <c r="G340" t="s">
        <v>390</v>
      </c>
    </row>
    <row r="341" spans="1:7">
      <c r="A341" t="s">
        <v>1060</v>
      </c>
      <c r="B341" t="s">
        <v>1061</v>
      </c>
      <c r="C341">
        <v>10</v>
      </c>
      <c r="D341" s="321">
        <v>46261</v>
      </c>
      <c r="E341" s="321">
        <v>46274</v>
      </c>
      <c r="F341">
        <v>47</v>
      </c>
      <c r="G341" t="s">
        <v>390</v>
      </c>
    </row>
    <row r="342" spans="1:7">
      <c r="A342" t="s">
        <v>1062</v>
      </c>
      <c r="B342" t="s">
        <v>1063</v>
      </c>
      <c r="C342">
        <v>15</v>
      </c>
      <c r="D342" s="321">
        <v>46121</v>
      </c>
      <c r="E342" s="321">
        <v>46147</v>
      </c>
      <c r="F342">
        <v>65</v>
      </c>
      <c r="G342" t="s">
        <v>390</v>
      </c>
    </row>
    <row r="343" spans="1:7">
      <c r="A343" t="s">
        <v>1064</v>
      </c>
      <c r="B343" t="s">
        <v>1065</v>
      </c>
      <c r="C343">
        <v>15</v>
      </c>
      <c r="D343" s="321">
        <v>46192</v>
      </c>
      <c r="E343" s="321">
        <v>46212</v>
      </c>
      <c r="F343">
        <v>87</v>
      </c>
      <c r="G343" t="s">
        <v>390</v>
      </c>
    </row>
    <row r="344" spans="1:7">
      <c r="A344" t="s">
        <v>1066</v>
      </c>
      <c r="B344" t="s">
        <v>1067</v>
      </c>
      <c r="C344">
        <v>10</v>
      </c>
      <c r="D344" s="321">
        <v>46261</v>
      </c>
      <c r="E344" s="321">
        <v>46274</v>
      </c>
      <c r="F344">
        <v>67</v>
      </c>
      <c r="G344" t="s">
        <v>390</v>
      </c>
    </row>
    <row r="345" spans="1:7">
      <c r="A345" t="s">
        <v>1068</v>
      </c>
      <c r="B345" t="s">
        <v>1069</v>
      </c>
      <c r="C345">
        <v>35</v>
      </c>
      <c r="D345" s="321">
        <v>46265</v>
      </c>
      <c r="E345" s="321">
        <v>46314</v>
      </c>
      <c r="F345">
        <v>25</v>
      </c>
      <c r="G345" t="s">
        <v>390</v>
      </c>
    </row>
    <row r="346" spans="1:7">
      <c r="A346" t="s">
        <v>1070</v>
      </c>
      <c r="B346" t="s">
        <v>1071</v>
      </c>
      <c r="C346">
        <v>15</v>
      </c>
      <c r="D346" s="321">
        <v>46330</v>
      </c>
      <c r="E346" s="321">
        <v>46350</v>
      </c>
      <c r="F346">
        <v>25</v>
      </c>
      <c r="G346" t="s">
        <v>390</v>
      </c>
    </row>
    <row r="347" spans="1:7">
      <c r="A347" t="s">
        <v>1072</v>
      </c>
      <c r="B347" t="s">
        <v>1073</v>
      </c>
      <c r="C347">
        <v>35</v>
      </c>
      <c r="D347" s="321">
        <v>46265</v>
      </c>
      <c r="E347" s="321">
        <v>46314</v>
      </c>
      <c r="F347">
        <v>25</v>
      </c>
      <c r="G347" t="s">
        <v>390</v>
      </c>
    </row>
    <row r="348" spans="1:7">
      <c r="A348" t="s">
        <v>1074</v>
      </c>
      <c r="B348" t="s">
        <v>1075</v>
      </c>
      <c r="C348">
        <v>15</v>
      </c>
      <c r="D348" s="321">
        <v>46330</v>
      </c>
      <c r="E348" s="321">
        <v>46350</v>
      </c>
      <c r="F348">
        <v>25</v>
      </c>
      <c r="G348" t="s">
        <v>390</v>
      </c>
    </row>
    <row r="349" spans="1:7">
      <c r="A349" t="s">
        <v>1076</v>
      </c>
      <c r="B349" t="s">
        <v>1077</v>
      </c>
      <c r="C349">
        <v>15</v>
      </c>
      <c r="D349" s="321">
        <v>46148</v>
      </c>
      <c r="E349" s="321">
        <v>46168</v>
      </c>
      <c r="F349">
        <v>117</v>
      </c>
      <c r="G349" t="s">
        <v>390</v>
      </c>
    </row>
    <row r="350" spans="1:7">
      <c r="A350" t="s">
        <v>1078</v>
      </c>
      <c r="B350" t="s">
        <v>1079</v>
      </c>
      <c r="C350">
        <v>10</v>
      </c>
      <c r="D350" s="321">
        <v>46199</v>
      </c>
      <c r="E350" s="321">
        <v>46212</v>
      </c>
      <c r="F350">
        <v>117</v>
      </c>
      <c r="G350" t="s">
        <v>390</v>
      </c>
    </row>
    <row r="351" spans="1:7">
      <c r="A351" t="s">
        <v>1080</v>
      </c>
      <c r="B351" t="s">
        <v>1081</v>
      </c>
      <c r="C351">
        <v>15</v>
      </c>
      <c r="D351" s="321">
        <v>46322</v>
      </c>
      <c r="E351" s="321">
        <v>46342</v>
      </c>
      <c r="F351">
        <v>11</v>
      </c>
      <c r="G351" t="s">
        <v>390</v>
      </c>
    </row>
    <row r="352" spans="1:7">
      <c r="A352" t="s">
        <v>1082</v>
      </c>
      <c r="B352" t="s">
        <v>1083</v>
      </c>
      <c r="C352">
        <v>10</v>
      </c>
      <c r="D352" s="321">
        <v>46357</v>
      </c>
      <c r="E352" s="321">
        <v>46372</v>
      </c>
      <c r="F352">
        <v>11</v>
      </c>
      <c r="G352" t="s">
        <v>390</v>
      </c>
    </row>
    <row r="353" spans="1:7">
      <c r="A353" t="s">
        <v>1084</v>
      </c>
      <c r="B353" t="s">
        <v>1085</v>
      </c>
      <c r="C353">
        <v>20</v>
      </c>
      <c r="D353" s="321">
        <v>46258</v>
      </c>
      <c r="E353" s="321">
        <v>46283</v>
      </c>
      <c r="F353">
        <v>50</v>
      </c>
      <c r="G353" t="s">
        <v>390</v>
      </c>
    </row>
    <row r="354" spans="1:7">
      <c r="A354" t="s">
        <v>1086</v>
      </c>
      <c r="B354" t="s">
        <v>1087</v>
      </c>
      <c r="C354">
        <v>10</v>
      </c>
      <c r="D354" s="321">
        <v>46300</v>
      </c>
      <c r="E354" s="321">
        <v>46314</v>
      </c>
      <c r="F354">
        <v>50</v>
      </c>
      <c r="G354" t="s">
        <v>390</v>
      </c>
    </row>
    <row r="355" spans="1:7">
      <c r="A355" t="s">
        <v>1088</v>
      </c>
      <c r="B355" t="s">
        <v>1089</v>
      </c>
      <c r="C355">
        <v>20</v>
      </c>
      <c r="D355" s="321">
        <v>46258</v>
      </c>
      <c r="E355" s="321">
        <v>46283</v>
      </c>
      <c r="F355">
        <v>50</v>
      </c>
      <c r="G355" t="s">
        <v>390</v>
      </c>
    </row>
    <row r="356" spans="1:7">
      <c r="A356" t="s">
        <v>1090</v>
      </c>
      <c r="B356" t="s">
        <v>1091</v>
      </c>
      <c r="C356">
        <v>10</v>
      </c>
      <c r="D356" s="321">
        <v>46300</v>
      </c>
      <c r="E356" s="321">
        <v>46314</v>
      </c>
      <c r="F356">
        <v>50</v>
      </c>
      <c r="G356" t="s">
        <v>390</v>
      </c>
    </row>
    <row r="357" spans="1:7">
      <c r="A357" t="s">
        <v>1092</v>
      </c>
      <c r="B357" t="s">
        <v>1093</v>
      </c>
      <c r="C357">
        <v>20</v>
      </c>
      <c r="D357" s="321">
        <v>46258</v>
      </c>
      <c r="E357" s="321">
        <v>46283</v>
      </c>
      <c r="F357">
        <v>50</v>
      </c>
      <c r="G357" t="s">
        <v>390</v>
      </c>
    </row>
    <row r="358" spans="1:7">
      <c r="A358" t="s">
        <v>1094</v>
      </c>
      <c r="B358" t="s">
        <v>1095</v>
      </c>
      <c r="C358">
        <v>10</v>
      </c>
      <c r="D358" s="321">
        <v>46300</v>
      </c>
      <c r="E358" s="321">
        <v>46314</v>
      </c>
      <c r="F358">
        <v>50</v>
      </c>
      <c r="G358" t="s">
        <v>390</v>
      </c>
    </row>
    <row r="359" spans="1:7">
      <c r="A359" t="s">
        <v>1096</v>
      </c>
      <c r="B359" t="s">
        <v>1097</v>
      </c>
      <c r="C359">
        <v>20</v>
      </c>
      <c r="D359" s="321">
        <v>46258</v>
      </c>
      <c r="E359" s="321">
        <v>46283</v>
      </c>
      <c r="F359">
        <v>50</v>
      </c>
      <c r="G359" t="s">
        <v>390</v>
      </c>
    </row>
    <row r="360" spans="1:7">
      <c r="A360" t="s">
        <v>1098</v>
      </c>
      <c r="B360" t="s">
        <v>1099</v>
      </c>
      <c r="C360">
        <v>10</v>
      </c>
      <c r="D360" s="321">
        <v>46300</v>
      </c>
      <c r="E360" s="321">
        <v>46314</v>
      </c>
      <c r="F360">
        <v>50</v>
      </c>
      <c r="G360" t="s">
        <v>390</v>
      </c>
    </row>
    <row r="361" spans="1:7">
      <c r="A361" t="s">
        <v>1100</v>
      </c>
      <c r="B361" t="s">
        <v>1101</v>
      </c>
      <c r="C361">
        <v>20</v>
      </c>
      <c r="D361" s="321">
        <v>46258</v>
      </c>
      <c r="E361" s="321">
        <v>46283</v>
      </c>
      <c r="F361">
        <v>50</v>
      </c>
      <c r="G361" t="s">
        <v>390</v>
      </c>
    </row>
    <row r="362" spans="1:7">
      <c r="A362" t="s">
        <v>1102</v>
      </c>
      <c r="B362" t="s">
        <v>1103</v>
      </c>
      <c r="C362">
        <v>10</v>
      </c>
      <c r="D362" s="321">
        <v>46300</v>
      </c>
      <c r="E362" s="321">
        <v>46314</v>
      </c>
      <c r="F362">
        <v>50</v>
      </c>
      <c r="G362" t="s">
        <v>390</v>
      </c>
    </row>
    <row r="363" spans="1:7">
      <c r="A363" t="s">
        <v>1104</v>
      </c>
      <c r="B363" t="s">
        <v>1105</v>
      </c>
      <c r="C363">
        <v>20</v>
      </c>
      <c r="D363" s="321">
        <v>46265</v>
      </c>
      <c r="E363" s="321">
        <v>46290</v>
      </c>
      <c r="F363">
        <v>45</v>
      </c>
      <c r="G363" t="s">
        <v>390</v>
      </c>
    </row>
    <row r="364" spans="1:7">
      <c r="A364" t="s">
        <v>1106</v>
      </c>
      <c r="B364" t="s">
        <v>1107</v>
      </c>
      <c r="C364">
        <v>10</v>
      </c>
      <c r="D364" s="321">
        <v>46307</v>
      </c>
      <c r="E364" s="321">
        <v>46322</v>
      </c>
      <c r="F364">
        <v>45</v>
      </c>
      <c r="G364" t="s">
        <v>390</v>
      </c>
    </row>
    <row r="365" spans="1:7">
      <c r="A365" t="s">
        <v>1108</v>
      </c>
      <c r="B365" t="s">
        <v>1109</v>
      </c>
      <c r="C365">
        <v>20</v>
      </c>
      <c r="D365" s="321">
        <v>46265</v>
      </c>
      <c r="E365" s="321">
        <v>46290</v>
      </c>
      <c r="F365">
        <v>45</v>
      </c>
      <c r="G365" t="s">
        <v>390</v>
      </c>
    </row>
    <row r="366" spans="1:7">
      <c r="A366" t="s">
        <v>1110</v>
      </c>
      <c r="B366" t="s">
        <v>1111</v>
      </c>
      <c r="C366">
        <v>10</v>
      </c>
      <c r="D366" s="321">
        <v>46307</v>
      </c>
      <c r="E366" s="321">
        <v>46322</v>
      </c>
      <c r="F366">
        <v>45</v>
      </c>
      <c r="G366" t="s">
        <v>390</v>
      </c>
    </row>
    <row r="367" spans="1:7">
      <c r="A367" t="s">
        <v>1112</v>
      </c>
      <c r="B367" t="s">
        <v>1113</v>
      </c>
      <c r="C367">
        <v>20</v>
      </c>
      <c r="D367" s="321">
        <v>46265</v>
      </c>
      <c r="E367" s="321">
        <v>46290</v>
      </c>
      <c r="F367">
        <v>45</v>
      </c>
      <c r="G367" t="s">
        <v>390</v>
      </c>
    </row>
    <row r="368" spans="1:7">
      <c r="A368" t="s">
        <v>1114</v>
      </c>
      <c r="B368" t="s">
        <v>1115</v>
      </c>
      <c r="C368">
        <v>10</v>
      </c>
      <c r="D368" s="321">
        <v>46307</v>
      </c>
      <c r="E368" s="321">
        <v>46322</v>
      </c>
      <c r="F368">
        <v>45</v>
      </c>
      <c r="G368" t="s">
        <v>390</v>
      </c>
    </row>
    <row r="369" spans="1:7">
      <c r="A369" t="s">
        <v>1116</v>
      </c>
      <c r="B369" t="s">
        <v>1117</v>
      </c>
      <c r="C369">
        <v>20</v>
      </c>
      <c r="D369" s="321">
        <v>46265</v>
      </c>
      <c r="E369" s="321">
        <v>46290</v>
      </c>
      <c r="F369">
        <v>45</v>
      </c>
      <c r="G369" t="s">
        <v>390</v>
      </c>
    </row>
    <row r="370" spans="1:7">
      <c r="A370" t="s">
        <v>1118</v>
      </c>
      <c r="B370" t="s">
        <v>1119</v>
      </c>
      <c r="C370">
        <v>10</v>
      </c>
      <c r="D370" s="321">
        <v>46307</v>
      </c>
      <c r="E370" s="321">
        <v>46322</v>
      </c>
      <c r="F370">
        <v>45</v>
      </c>
      <c r="G370" t="s">
        <v>390</v>
      </c>
    </row>
    <row r="371" spans="1:7">
      <c r="A371" t="s">
        <v>1120</v>
      </c>
      <c r="B371" t="s">
        <v>1121</v>
      </c>
      <c r="C371">
        <v>20</v>
      </c>
      <c r="D371" s="321">
        <v>46265</v>
      </c>
      <c r="E371" s="321">
        <v>46290</v>
      </c>
      <c r="F371">
        <v>45</v>
      </c>
      <c r="G371" t="s">
        <v>390</v>
      </c>
    </row>
    <row r="372" spans="1:7">
      <c r="A372" t="s">
        <v>1122</v>
      </c>
      <c r="B372" t="s">
        <v>1123</v>
      </c>
      <c r="C372">
        <v>10</v>
      </c>
      <c r="D372" s="321">
        <v>46307</v>
      </c>
      <c r="E372" s="321">
        <v>46322</v>
      </c>
      <c r="F372">
        <v>45</v>
      </c>
      <c r="G372" t="s">
        <v>390</v>
      </c>
    </row>
    <row r="373" spans="1:7">
      <c r="A373" t="s">
        <v>1124</v>
      </c>
      <c r="B373" t="s">
        <v>1125</v>
      </c>
      <c r="C373">
        <v>10</v>
      </c>
      <c r="D373" s="321">
        <v>46148</v>
      </c>
      <c r="E373" s="321">
        <v>46161</v>
      </c>
      <c r="F373">
        <v>65</v>
      </c>
      <c r="G373" t="s">
        <v>390</v>
      </c>
    </row>
    <row r="374" spans="1:7">
      <c r="A374" t="s">
        <v>1126</v>
      </c>
      <c r="B374" t="s">
        <v>1127</v>
      </c>
      <c r="C374">
        <v>10</v>
      </c>
      <c r="D374" s="321">
        <v>46178</v>
      </c>
      <c r="E374" s="321">
        <v>46191</v>
      </c>
      <c r="F374">
        <v>107</v>
      </c>
      <c r="G374" t="s">
        <v>390</v>
      </c>
    </row>
    <row r="375" spans="1:7">
      <c r="A375" t="s">
        <v>1128</v>
      </c>
      <c r="B375" t="s">
        <v>1129</v>
      </c>
      <c r="C375">
        <v>5</v>
      </c>
      <c r="D375" s="321">
        <v>46206</v>
      </c>
      <c r="E375" s="321">
        <v>46212</v>
      </c>
      <c r="F375">
        <v>107</v>
      </c>
      <c r="G375" t="s">
        <v>390</v>
      </c>
    </row>
    <row r="376" spans="1:7">
      <c r="A376" t="s">
        <v>1130</v>
      </c>
      <c r="B376" t="s">
        <v>1131</v>
      </c>
      <c r="C376">
        <v>20</v>
      </c>
      <c r="D376" s="321">
        <v>46224</v>
      </c>
      <c r="E376" s="321">
        <v>46255</v>
      </c>
      <c r="F376">
        <v>55</v>
      </c>
      <c r="G376" t="s">
        <v>390</v>
      </c>
    </row>
    <row r="377" spans="1:7">
      <c r="A377" t="s">
        <v>1132</v>
      </c>
      <c r="B377" t="s">
        <v>1133</v>
      </c>
      <c r="C377">
        <v>10</v>
      </c>
      <c r="D377" s="321">
        <v>46286</v>
      </c>
      <c r="E377" s="321">
        <v>46297</v>
      </c>
      <c r="F377">
        <v>45</v>
      </c>
      <c r="G377" t="s">
        <v>390</v>
      </c>
    </row>
    <row r="378" spans="1:7">
      <c r="A378" t="s">
        <v>1134</v>
      </c>
      <c r="B378" t="s">
        <v>1135</v>
      </c>
      <c r="C378">
        <v>5</v>
      </c>
      <c r="D378" s="321">
        <v>46343</v>
      </c>
      <c r="E378" s="321">
        <v>46349</v>
      </c>
      <c r="F378">
        <v>26</v>
      </c>
      <c r="G378" t="s">
        <v>390</v>
      </c>
    </row>
    <row r="379" spans="1:7">
      <c r="A379" t="s">
        <v>1136</v>
      </c>
      <c r="B379" t="s">
        <v>1137</v>
      </c>
      <c r="C379">
        <v>15</v>
      </c>
      <c r="D379" s="321">
        <v>46148</v>
      </c>
      <c r="E379" s="321">
        <v>46168</v>
      </c>
      <c r="F379">
        <v>69</v>
      </c>
      <c r="G379" t="s">
        <v>390</v>
      </c>
    </row>
    <row r="380" spans="1:7">
      <c r="A380" t="s">
        <v>1138</v>
      </c>
      <c r="B380" t="s">
        <v>1139</v>
      </c>
      <c r="C380">
        <v>10</v>
      </c>
      <c r="D380" s="321">
        <v>46185</v>
      </c>
      <c r="E380" s="321">
        <v>46198</v>
      </c>
      <c r="F380">
        <v>112</v>
      </c>
      <c r="G380" t="s">
        <v>390</v>
      </c>
    </row>
    <row r="381" spans="1:7">
      <c r="A381" t="s">
        <v>1140</v>
      </c>
      <c r="B381" t="s">
        <v>1141</v>
      </c>
      <c r="C381">
        <v>5</v>
      </c>
      <c r="D381" s="321">
        <v>46213</v>
      </c>
      <c r="E381" s="321">
        <v>46219</v>
      </c>
      <c r="F381">
        <v>112</v>
      </c>
      <c r="G381" t="s">
        <v>390</v>
      </c>
    </row>
    <row r="382" spans="1:7">
      <c r="A382" t="s">
        <v>1142</v>
      </c>
      <c r="B382" t="s">
        <v>1143</v>
      </c>
      <c r="C382">
        <v>20</v>
      </c>
      <c r="D382" s="321">
        <v>46224</v>
      </c>
      <c r="E382" s="321">
        <v>46255</v>
      </c>
      <c r="F382">
        <v>55</v>
      </c>
      <c r="G382" t="s">
        <v>390</v>
      </c>
    </row>
    <row r="383" spans="1:7">
      <c r="A383" t="s">
        <v>1144</v>
      </c>
      <c r="B383" t="s">
        <v>1145</v>
      </c>
      <c r="C383">
        <v>10</v>
      </c>
      <c r="D383" s="321">
        <v>46286</v>
      </c>
      <c r="E383" s="321">
        <v>46297</v>
      </c>
      <c r="F383">
        <v>45</v>
      </c>
      <c r="G383" t="s">
        <v>390</v>
      </c>
    </row>
    <row r="384" spans="1:7">
      <c r="A384" t="s">
        <v>1146</v>
      </c>
      <c r="B384" t="s">
        <v>1147</v>
      </c>
      <c r="C384">
        <v>5</v>
      </c>
      <c r="D384" s="321">
        <v>46343</v>
      </c>
      <c r="E384" s="321">
        <v>46349</v>
      </c>
      <c r="F384">
        <v>26</v>
      </c>
      <c r="G384" t="s">
        <v>390</v>
      </c>
    </row>
    <row r="385" spans="1:7">
      <c r="A385" t="s">
        <v>1148</v>
      </c>
      <c r="B385" t="s">
        <v>1149</v>
      </c>
      <c r="C385">
        <v>20</v>
      </c>
      <c r="D385" s="321">
        <v>46258</v>
      </c>
      <c r="E385" s="321">
        <v>46283</v>
      </c>
      <c r="F385">
        <v>40</v>
      </c>
      <c r="G385" t="s">
        <v>390</v>
      </c>
    </row>
    <row r="386" spans="1:7">
      <c r="A386" t="s">
        <v>1150</v>
      </c>
      <c r="B386" t="s">
        <v>1151</v>
      </c>
      <c r="C386">
        <v>10</v>
      </c>
      <c r="D386" s="321">
        <v>46322</v>
      </c>
      <c r="E386" s="321">
        <v>46335</v>
      </c>
      <c r="F386">
        <v>26</v>
      </c>
      <c r="G386" t="s">
        <v>390</v>
      </c>
    </row>
    <row r="387" spans="1:7">
      <c r="A387" t="s">
        <v>1152</v>
      </c>
      <c r="B387" t="s">
        <v>1153</v>
      </c>
      <c r="C387">
        <v>10</v>
      </c>
      <c r="D387" s="321">
        <v>46286</v>
      </c>
      <c r="E387" s="321">
        <v>46297</v>
      </c>
      <c r="F387">
        <v>40</v>
      </c>
      <c r="G387" t="s">
        <v>390</v>
      </c>
    </row>
    <row r="388" spans="1:7">
      <c r="A388" t="s">
        <v>1154</v>
      </c>
      <c r="B388" t="s">
        <v>1155</v>
      </c>
      <c r="C388">
        <v>10</v>
      </c>
      <c r="D388" s="321">
        <v>46336</v>
      </c>
      <c r="E388" s="321">
        <v>46349</v>
      </c>
      <c r="F388">
        <v>26</v>
      </c>
      <c r="G388" t="s">
        <v>390</v>
      </c>
    </row>
    <row r="389" spans="1:7">
      <c r="A389" t="s">
        <v>1156</v>
      </c>
      <c r="B389" t="s">
        <v>1157</v>
      </c>
      <c r="C389">
        <v>10</v>
      </c>
      <c r="D389" s="321">
        <v>46286</v>
      </c>
      <c r="E389" s="321">
        <v>46297</v>
      </c>
      <c r="F389">
        <v>40</v>
      </c>
      <c r="G389" t="s">
        <v>390</v>
      </c>
    </row>
    <row r="390" spans="1:7">
      <c r="A390" t="s">
        <v>1158</v>
      </c>
      <c r="B390" t="s">
        <v>1159</v>
      </c>
      <c r="C390">
        <v>10</v>
      </c>
      <c r="D390" s="321">
        <v>46336</v>
      </c>
      <c r="E390" s="321">
        <v>46349</v>
      </c>
      <c r="F390">
        <v>26</v>
      </c>
      <c r="G390" t="s">
        <v>390</v>
      </c>
    </row>
    <row r="391" spans="1:7">
      <c r="A391" t="s">
        <v>1160</v>
      </c>
      <c r="B391" t="s">
        <v>1161</v>
      </c>
      <c r="C391">
        <v>10</v>
      </c>
      <c r="D391" s="321">
        <v>46286</v>
      </c>
      <c r="E391" s="321">
        <v>46297</v>
      </c>
      <c r="F391">
        <v>40</v>
      </c>
      <c r="G391" t="s">
        <v>390</v>
      </c>
    </row>
    <row r="392" spans="1:7">
      <c r="A392" t="s">
        <v>1162</v>
      </c>
      <c r="B392" t="s">
        <v>1163</v>
      </c>
      <c r="C392">
        <v>10</v>
      </c>
      <c r="D392" s="321">
        <v>46336</v>
      </c>
      <c r="E392" s="321">
        <v>46349</v>
      </c>
      <c r="F392">
        <v>26</v>
      </c>
      <c r="G392" t="s">
        <v>390</v>
      </c>
    </row>
    <row r="393" spans="1:7">
      <c r="A393" t="s">
        <v>1164</v>
      </c>
      <c r="B393" t="s">
        <v>1165</v>
      </c>
      <c r="C393">
        <v>10</v>
      </c>
      <c r="D393" s="321">
        <v>46286</v>
      </c>
      <c r="E393" s="321">
        <v>46297</v>
      </c>
      <c r="F393">
        <v>40</v>
      </c>
      <c r="G393" t="s">
        <v>390</v>
      </c>
    </row>
    <row r="394" spans="1:7">
      <c r="A394" t="s">
        <v>1166</v>
      </c>
      <c r="B394" t="s">
        <v>1167</v>
      </c>
      <c r="C394">
        <v>10</v>
      </c>
      <c r="D394" s="321">
        <v>46336</v>
      </c>
      <c r="E394" s="321">
        <v>46349</v>
      </c>
      <c r="F394">
        <v>26</v>
      </c>
      <c r="G394" t="s">
        <v>390</v>
      </c>
    </row>
    <row r="395" spans="1:7">
      <c r="A395" t="s">
        <v>1168</v>
      </c>
      <c r="B395" t="s">
        <v>1169</v>
      </c>
      <c r="C395">
        <v>15</v>
      </c>
      <c r="D395" s="321">
        <v>46265</v>
      </c>
      <c r="E395" s="321">
        <v>46283</v>
      </c>
      <c r="F395">
        <v>50</v>
      </c>
      <c r="G395" t="s">
        <v>390</v>
      </c>
    </row>
    <row r="396" spans="1:7">
      <c r="A396" t="s">
        <v>1170</v>
      </c>
      <c r="B396" t="s">
        <v>1171</v>
      </c>
      <c r="C396">
        <v>10</v>
      </c>
      <c r="D396" s="321">
        <v>46322</v>
      </c>
      <c r="E396" s="321">
        <v>46335</v>
      </c>
      <c r="F396">
        <v>36</v>
      </c>
      <c r="G396" t="s">
        <v>390</v>
      </c>
    </row>
    <row r="397" spans="1:7">
      <c r="A397" t="s">
        <v>1172</v>
      </c>
      <c r="B397" t="s">
        <v>1173</v>
      </c>
      <c r="C397">
        <v>10</v>
      </c>
      <c r="D397" s="321">
        <v>46286</v>
      </c>
      <c r="E397" s="321">
        <v>46297</v>
      </c>
      <c r="F397">
        <v>40</v>
      </c>
      <c r="G397" t="s">
        <v>390</v>
      </c>
    </row>
    <row r="398" spans="1:7">
      <c r="A398" t="s">
        <v>1174</v>
      </c>
      <c r="B398" t="s">
        <v>1175</v>
      </c>
      <c r="C398">
        <v>10</v>
      </c>
      <c r="D398" s="321">
        <v>46336</v>
      </c>
      <c r="E398" s="321">
        <v>46349</v>
      </c>
      <c r="F398">
        <v>26</v>
      </c>
      <c r="G398" t="s">
        <v>390</v>
      </c>
    </row>
    <row r="399" spans="1:7">
      <c r="A399" t="s">
        <v>1176</v>
      </c>
      <c r="B399" t="s">
        <v>1177</v>
      </c>
      <c r="C399">
        <v>10</v>
      </c>
      <c r="D399" s="321">
        <v>46286</v>
      </c>
      <c r="E399" s="321">
        <v>46297</v>
      </c>
      <c r="F399">
        <v>40</v>
      </c>
      <c r="G399" t="s">
        <v>390</v>
      </c>
    </row>
    <row r="400" spans="1:7">
      <c r="A400" t="s">
        <v>1178</v>
      </c>
      <c r="B400" t="s">
        <v>1179</v>
      </c>
      <c r="C400">
        <v>10</v>
      </c>
      <c r="D400" s="321">
        <v>46336</v>
      </c>
      <c r="E400" s="321">
        <v>46349</v>
      </c>
      <c r="F400">
        <v>26</v>
      </c>
      <c r="G400" t="s">
        <v>390</v>
      </c>
    </row>
    <row r="401" spans="1:7">
      <c r="A401" t="s">
        <v>1180</v>
      </c>
      <c r="B401" t="s">
        <v>1181</v>
      </c>
      <c r="C401">
        <v>10</v>
      </c>
      <c r="D401" s="321">
        <v>46286</v>
      </c>
      <c r="E401" s="321">
        <v>46297</v>
      </c>
      <c r="F401">
        <v>40</v>
      </c>
      <c r="G401" t="s">
        <v>390</v>
      </c>
    </row>
    <row r="402" spans="1:7">
      <c r="A402" t="s">
        <v>1182</v>
      </c>
      <c r="B402" t="s">
        <v>1183</v>
      </c>
      <c r="C402">
        <v>10</v>
      </c>
      <c r="D402" s="321">
        <v>46336</v>
      </c>
      <c r="E402" s="321">
        <v>46349</v>
      </c>
      <c r="F402">
        <v>26</v>
      </c>
      <c r="G402" t="s">
        <v>390</v>
      </c>
    </row>
    <row r="403" spans="1:7">
      <c r="A403" t="s">
        <v>1184</v>
      </c>
      <c r="B403" t="s">
        <v>1185</v>
      </c>
      <c r="C403">
        <v>10</v>
      </c>
      <c r="D403" s="321">
        <v>46286</v>
      </c>
      <c r="E403" s="321">
        <v>46297</v>
      </c>
      <c r="F403">
        <v>40</v>
      </c>
      <c r="G403" t="s">
        <v>390</v>
      </c>
    </row>
    <row r="404" spans="1:7">
      <c r="A404" t="s">
        <v>1186</v>
      </c>
      <c r="B404" t="s">
        <v>1187</v>
      </c>
      <c r="C404">
        <v>10</v>
      </c>
      <c r="D404" s="321">
        <v>46336</v>
      </c>
      <c r="E404" s="321">
        <v>46349</v>
      </c>
      <c r="F404">
        <v>26</v>
      </c>
      <c r="G404" t="s">
        <v>390</v>
      </c>
    </row>
    <row r="405" spans="1:7">
      <c r="A405" t="s">
        <v>1188</v>
      </c>
      <c r="C405">
        <v>70</v>
      </c>
      <c r="D405" s="321">
        <v>46155</v>
      </c>
      <c r="E405" s="321">
        <v>46260</v>
      </c>
      <c r="F405">
        <v>91</v>
      </c>
      <c r="G405" t="s">
        <v>390</v>
      </c>
    </row>
    <row r="406" spans="1:7">
      <c r="A406" t="s">
        <v>1189</v>
      </c>
      <c r="B406" t="s">
        <v>1190</v>
      </c>
      <c r="C406">
        <v>10</v>
      </c>
      <c r="D406" s="321">
        <v>46155</v>
      </c>
      <c r="E406" s="321">
        <v>46168</v>
      </c>
      <c r="F406">
        <v>65</v>
      </c>
      <c r="G406" t="s">
        <v>390</v>
      </c>
    </row>
    <row r="407" spans="1:7">
      <c r="A407" t="s">
        <v>1191</v>
      </c>
      <c r="B407" t="s">
        <v>1192</v>
      </c>
      <c r="C407">
        <v>5</v>
      </c>
      <c r="D407" s="321">
        <v>46192</v>
      </c>
      <c r="E407" s="321">
        <v>46198</v>
      </c>
      <c r="F407">
        <v>107</v>
      </c>
      <c r="G407" t="s">
        <v>390</v>
      </c>
    </row>
    <row r="408" spans="1:7">
      <c r="A408" t="s">
        <v>1193</v>
      </c>
      <c r="B408" t="s">
        <v>1194</v>
      </c>
      <c r="C408">
        <v>5</v>
      </c>
      <c r="D408" s="321">
        <v>46213</v>
      </c>
      <c r="E408" s="321">
        <v>46219</v>
      </c>
      <c r="F408">
        <v>107</v>
      </c>
      <c r="G408" t="s">
        <v>390</v>
      </c>
    </row>
    <row r="409" spans="1:7">
      <c r="A409" t="s">
        <v>1195</v>
      </c>
      <c r="B409" t="s">
        <v>1196</v>
      </c>
      <c r="C409">
        <v>20</v>
      </c>
      <c r="D409" s="321">
        <v>46169</v>
      </c>
      <c r="E409" s="321">
        <v>46198</v>
      </c>
      <c r="F409">
        <v>52</v>
      </c>
      <c r="G409" t="s">
        <v>390</v>
      </c>
    </row>
    <row r="410" spans="1:7">
      <c r="A410" t="s">
        <v>1197</v>
      </c>
      <c r="B410" t="s">
        <v>1198</v>
      </c>
      <c r="C410">
        <v>10</v>
      </c>
      <c r="D410" s="321">
        <v>46213</v>
      </c>
      <c r="E410" s="321">
        <v>46226</v>
      </c>
      <c r="F410">
        <v>82</v>
      </c>
      <c r="G410" t="s">
        <v>390</v>
      </c>
    </row>
    <row r="411" spans="1:7">
      <c r="A411" t="s">
        <v>1199</v>
      </c>
      <c r="B411" t="s">
        <v>1200</v>
      </c>
      <c r="C411">
        <v>10</v>
      </c>
      <c r="D411" s="321">
        <v>46247</v>
      </c>
      <c r="E411" s="321">
        <v>46260</v>
      </c>
      <c r="F411">
        <v>82</v>
      </c>
      <c r="G411" t="s">
        <v>390</v>
      </c>
    </row>
    <row r="412" spans="1:7">
      <c r="A412" t="s">
        <v>1201</v>
      </c>
      <c r="B412" t="s">
        <v>1202</v>
      </c>
      <c r="C412">
        <v>20</v>
      </c>
      <c r="D412" s="321">
        <v>46169</v>
      </c>
      <c r="E412" s="321">
        <v>46198</v>
      </c>
      <c r="F412">
        <v>52</v>
      </c>
      <c r="G412" t="s">
        <v>390</v>
      </c>
    </row>
    <row r="413" spans="1:7">
      <c r="A413" t="s">
        <v>1203</v>
      </c>
      <c r="B413" t="s">
        <v>1204</v>
      </c>
      <c r="C413">
        <v>10</v>
      </c>
      <c r="D413" s="321">
        <v>46213</v>
      </c>
      <c r="E413" s="321">
        <v>46226</v>
      </c>
      <c r="F413">
        <v>82</v>
      </c>
      <c r="G413" t="s">
        <v>390</v>
      </c>
    </row>
    <row r="414" spans="1:7">
      <c r="A414" t="s">
        <v>1205</v>
      </c>
      <c r="B414" t="s">
        <v>1206</v>
      </c>
      <c r="C414">
        <v>10</v>
      </c>
      <c r="D414" s="321">
        <v>46247</v>
      </c>
      <c r="E414" s="321">
        <v>46260</v>
      </c>
      <c r="F414">
        <v>82</v>
      </c>
      <c r="G414" t="s">
        <v>390</v>
      </c>
    </row>
    <row r="415" spans="1:7">
      <c r="A415" t="s">
        <v>1207</v>
      </c>
      <c r="B415" t="s">
        <v>1208</v>
      </c>
      <c r="C415">
        <v>20</v>
      </c>
      <c r="D415" s="321">
        <v>46169</v>
      </c>
      <c r="E415" s="321">
        <v>46198</v>
      </c>
      <c r="F415">
        <v>52</v>
      </c>
      <c r="G415" t="s">
        <v>390</v>
      </c>
    </row>
    <row r="416" spans="1:7">
      <c r="A416" t="s">
        <v>1209</v>
      </c>
      <c r="B416" t="s">
        <v>1210</v>
      </c>
      <c r="C416">
        <v>10</v>
      </c>
      <c r="D416" s="321">
        <v>46213</v>
      </c>
      <c r="E416" s="321">
        <v>46226</v>
      </c>
      <c r="F416">
        <v>82</v>
      </c>
      <c r="G416" t="s">
        <v>390</v>
      </c>
    </row>
    <row r="417" spans="1:7">
      <c r="A417" t="s">
        <v>1211</v>
      </c>
      <c r="B417" t="s">
        <v>1212</v>
      </c>
      <c r="C417">
        <v>10</v>
      </c>
      <c r="D417" s="321">
        <v>46247</v>
      </c>
      <c r="E417" s="321">
        <v>46260</v>
      </c>
      <c r="F417">
        <v>82</v>
      </c>
      <c r="G417" t="s">
        <v>390</v>
      </c>
    </row>
    <row r="418" spans="1:7">
      <c r="A418" t="s">
        <v>1213</v>
      </c>
      <c r="B418" t="s">
        <v>1214</v>
      </c>
      <c r="C418">
        <v>20</v>
      </c>
      <c r="D418" s="321">
        <v>46169</v>
      </c>
      <c r="E418" s="321">
        <v>46198</v>
      </c>
      <c r="F418">
        <v>52</v>
      </c>
      <c r="G418" t="s">
        <v>390</v>
      </c>
    </row>
    <row r="419" spans="1:7">
      <c r="A419" t="s">
        <v>1215</v>
      </c>
      <c r="B419" t="s">
        <v>1216</v>
      </c>
      <c r="C419">
        <v>10</v>
      </c>
      <c r="D419" s="321">
        <v>46213</v>
      </c>
      <c r="E419" s="321">
        <v>46226</v>
      </c>
      <c r="F419">
        <v>82</v>
      </c>
      <c r="G419" t="s">
        <v>390</v>
      </c>
    </row>
    <row r="420" spans="1:7">
      <c r="A420" t="s">
        <v>1217</v>
      </c>
      <c r="B420" t="s">
        <v>1218</v>
      </c>
      <c r="C420">
        <v>10</v>
      </c>
      <c r="D420" s="321">
        <v>46247</v>
      </c>
      <c r="E420" s="321">
        <v>46260</v>
      </c>
      <c r="F420">
        <v>82</v>
      </c>
      <c r="G420" t="s">
        <v>390</v>
      </c>
    </row>
    <row r="421" spans="1:7">
      <c r="A421" t="s">
        <v>1219</v>
      </c>
      <c r="B421" t="s">
        <v>1220</v>
      </c>
      <c r="C421">
        <v>20</v>
      </c>
      <c r="D421" s="321">
        <v>46169</v>
      </c>
      <c r="E421" s="321">
        <v>46198</v>
      </c>
      <c r="F421">
        <v>52</v>
      </c>
      <c r="G421" t="s">
        <v>390</v>
      </c>
    </row>
    <row r="422" spans="1:7">
      <c r="A422" t="s">
        <v>1221</v>
      </c>
      <c r="B422" t="s">
        <v>1222</v>
      </c>
      <c r="C422">
        <v>10</v>
      </c>
      <c r="D422" s="321">
        <v>46213</v>
      </c>
      <c r="E422" s="321">
        <v>46226</v>
      </c>
      <c r="F422">
        <v>82</v>
      </c>
      <c r="G422" t="s">
        <v>390</v>
      </c>
    </row>
    <row r="423" spans="1:7">
      <c r="A423" t="s">
        <v>1223</v>
      </c>
      <c r="B423" t="s">
        <v>1224</v>
      </c>
      <c r="C423">
        <v>10</v>
      </c>
      <c r="D423" s="321">
        <v>46247</v>
      </c>
      <c r="E423" s="321">
        <v>46260</v>
      </c>
      <c r="F423">
        <v>82</v>
      </c>
      <c r="G423" t="s">
        <v>390</v>
      </c>
    </row>
    <row r="424" spans="1:7">
      <c r="A424" t="s">
        <v>1225</v>
      </c>
      <c r="B424" t="s">
        <v>1226</v>
      </c>
      <c r="C424">
        <v>20</v>
      </c>
      <c r="D424" s="321">
        <v>46169</v>
      </c>
      <c r="E424" s="321">
        <v>46198</v>
      </c>
      <c r="F424">
        <v>52</v>
      </c>
      <c r="G424" t="s">
        <v>390</v>
      </c>
    </row>
    <row r="425" spans="1:7">
      <c r="A425" t="s">
        <v>1227</v>
      </c>
      <c r="B425" t="s">
        <v>1228</v>
      </c>
      <c r="C425">
        <v>10</v>
      </c>
      <c r="D425" s="321">
        <v>46213</v>
      </c>
      <c r="E425" s="321">
        <v>46226</v>
      </c>
      <c r="F425">
        <v>82</v>
      </c>
      <c r="G425" t="s">
        <v>390</v>
      </c>
    </row>
    <row r="426" spans="1:7">
      <c r="A426" t="s">
        <v>1229</v>
      </c>
      <c r="B426" t="s">
        <v>1230</v>
      </c>
      <c r="C426">
        <v>10</v>
      </c>
      <c r="D426" s="321">
        <v>46247</v>
      </c>
      <c r="E426" s="321">
        <v>46260</v>
      </c>
      <c r="F426">
        <v>82</v>
      </c>
      <c r="G426" t="s">
        <v>390</v>
      </c>
    </row>
    <row r="427" spans="1:7">
      <c r="A427" t="s">
        <v>1231</v>
      </c>
      <c r="B427" t="s">
        <v>1232</v>
      </c>
      <c r="C427">
        <v>20</v>
      </c>
      <c r="D427" s="321">
        <v>46169</v>
      </c>
      <c r="E427" s="321">
        <v>46198</v>
      </c>
      <c r="F427">
        <v>52</v>
      </c>
      <c r="G427" t="s">
        <v>390</v>
      </c>
    </row>
    <row r="428" spans="1:7">
      <c r="A428" t="s">
        <v>1233</v>
      </c>
      <c r="B428" t="s">
        <v>1234</v>
      </c>
      <c r="C428">
        <v>10</v>
      </c>
      <c r="D428" s="321">
        <v>46213</v>
      </c>
      <c r="E428" s="321">
        <v>46226</v>
      </c>
      <c r="F428">
        <v>82</v>
      </c>
      <c r="G428" t="s">
        <v>390</v>
      </c>
    </row>
    <row r="429" spans="1:7">
      <c r="A429" t="s">
        <v>1235</v>
      </c>
      <c r="B429" t="s">
        <v>1236</v>
      </c>
      <c r="C429">
        <v>10</v>
      </c>
      <c r="D429" s="321">
        <v>46247</v>
      </c>
      <c r="E429" s="321">
        <v>46260</v>
      </c>
      <c r="F429">
        <v>82</v>
      </c>
      <c r="G429" t="s">
        <v>390</v>
      </c>
    </row>
    <row r="430" spans="1:7">
      <c r="A430" t="s">
        <v>1237</v>
      </c>
      <c r="B430" t="s">
        <v>1238</v>
      </c>
      <c r="C430">
        <v>20</v>
      </c>
      <c r="D430" s="321">
        <v>46169</v>
      </c>
      <c r="E430" s="321">
        <v>46198</v>
      </c>
      <c r="F430">
        <v>61</v>
      </c>
      <c r="G430" t="s">
        <v>390</v>
      </c>
    </row>
    <row r="431" spans="1:7">
      <c r="A431" t="s">
        <v>1239</v>
      </c>
      <c r="B431" t="s">
        <v>1240</v>
      </c>
      <c r="C431">
        <v>10</v>
      </c>
      <c r="D431" s="321">
        <v>46213</v>
      </c>
      <c r="E431" s="321">
        <v>46226</v>
      </c>
      <c r="F431">
        <v>91</v>
      </c>
      <c r="G431" t="s">
        <v>390</v>
      </c>
    </row>
    <row r="432" spans="1:7">
      <c r="A432" t="s">
        <v>1241</v>
      </c>
      <c r="B432" t="s">
        <v>1242</v>
      </c>
      <c r="C432">
        <v>10</v>
      </c>
      <c r="D432" s="321">
        <v>46247</v>
      </c>
      <c r="E432" s="321">
        <v>46260</v>
      </c>
      <c r="F432">
        <v>91</v>
      </c>
      <c r="G432" t="s">
        <v>390</v>
      </c>
    </row>
    <row r="433" spans="1:7">
      <c r="A433" t="s">
        <v>1243</v>
      </c>
      <c r="C433">
        <v>109</v>
      </c>
      <c r="D433" s="321">
        <v>46149</v>
      </c>
      <c r="E433" s="321">
        <v>46310</v>
      </c>
      <c r="F433">
        <v>61</v>
      </c>
      <c r="G433" t="s">
        <v>390</v>
      </c>
    </row>
    <row r="434" spans="1:7">
      <c r="A434" t="s">
        <v>1244</v>
      </c>
      <c r="B434" t="s">
        <v>1245</v>
      </c>
      <c r="C434">
        <v>15</v>
      </c>
      <c r="D434" s="321">
        <v>46162</v>
      </c>
      <c r="E434" s="321">
        <v>46184</v>
      </c>
      <c r="F434">
        <v>71</v>
      </c>
      <c r="G434" t="s">
        <v>390</v>
      </c>
    </row>
    <row r="435" spans="1:7">
      <c r="A435" t="s">
        <v>1246</v>
      </c>
      <c r="B435" t="s">
        <v>1247</v>
      </c>
      <c r="C435">
        <v>5</v>
      </c>
      <c r="D435" s="321">
        <v>46276</v>
      </c>
      <c r="E435" s="321">
        <v>46282</v>
      </c>
      <c r="F435">
        <v>71</v>
      </c>
      <c r="G435" t="s">
        <v>390</v>
      </c>
    </row>
    <row r="436" spans="1:7">
      <c r="A436" t="s">
        <v>1248</v>
      </c>
      <c r="B436" t="s">
        <v>1249</v>
      </c>
      <c r="C436">
        <v>15</v>
      </c>
      <c r="D436" s="321">
        <v>46162</v>
      </c>
      <c r="E436" s="321">
        <v>46184</v>
      </c>
      <c r="F436">
        <v>71</v>
      </c>
      <c r="G436" t="s">
        <v>390</v>
      </c>
    </row>
    <row r="437" spans="1:7">
      <c r="A437" t="s">
        <v>1250</v>
      </c>
      <c r="B437" t="s">
        <v>1251</v>
      </c>
      <c r="C437">
        <v>5</v>
      </c>
      <c r="D437" s="321">
        <v>46276</v>
      </c>
      <c r="E437" s="321">
        <v>46282</v>
      </c>
      <c r="F437">
        <v>71</v>
      </c>
      <c r="G437" t="s">
        <v>390</v>
      </c>
    </row>
    <row r="438" spans="1:7">
      <c r="A438" t="s">
        <v>1252</v>
      </c>
      <c r="B438" t="s">
        <v>1253</v>
      </c>
      <c r="C438">
        <v>15</v>
      </c>
      <c r="D438" s="321">
        <v>46177</v>
      </c>
      <c r="E438" s="321">
        <v>46197</v>
      </c>
      <c r="F438">
        <v>65</v>
      </c>
      <c r="G438" t="s">
        <v>390</v>
      </c>
    </row>
    <row r="439" spans="1:7">
      <c r="A439" t="s">
        <v>1254</v>
      </c>
      <c r="B439" t="s">
        <v>1255</v>
      </c>
      <c r="C439">
        <v>5</v>
      </c>
      <c r="D439" s="321">
        <v>46286</v>
      </c>
      <c r="E439" s="321">
        <v>46290</v>
      </c>
      <c r="F439">
        <v>65</v>
      </c>
      <c r="G439" t="s">
        <v>390</v>
      </c>
    </row>
    <row r="440" spans="1:7">
      <c r="A440" t="s">
        <v>1256</v>
      </c>
      <c r="B440" t="s">
        <v>1257</v>
      </c>
      <c r="C440">
        <v>15</v>
      </c>
      <c r="D440" s="321">
        <v>46177</v>
      </c>
      <c r="E440" s="321">
        <v>46197</v>
      </c>
      <c r="F440">
        <v>65</v>
      </c>
      <c r="G440" t="s">
        <v>390</v>
      </c>
    </row>
    <row r="441" spans="1:7">
      <c r="A441" t="s">
        <v>1258</v>
      </c>
      <c r="B441" t="s">
        <v>1259</v>
      </c>
      <c r="C441">
        <v>5</v>
      </c>
      <c r="D441" s="321">
        <v>46286</v>
      </c>
      <c r="E441" s="321">
        <v>46290</v>
      </c>
      <c r="F441">
        <v>65</v>
      </c>
      <c r="G441" t="s">
        <v>390</v>
      </c>
    </row>
    <row r="442" spans="1:7">
      <c r="A442" t="s">
        <v>1260</v>
      </c>
      <c r="B442" t="s">
        <v>1261</v>
      </c>
      <c r="C442">
        <v>15</v>
      </c>
      <c r="D442" s="321">
        <v>46177</v>
      </c>
      <c r="E442" s="321">
        <v>46197</v>
      </c>
      <c r="F442">
        <v>65</v>
      </c>
      <c r="G442" t="s">
        <v>390</v>
      </c>
    </row>
    <row r="443" spans="1:7">
      <c r="A443" t="s">
        <v>1262</v>
      </c>
      <c r="B443" t="s">
        <v>1263</v>
      </c>
      <c r="C443">
        <v>5</v>
      </c>
      <c r="D443" s="321">
        <v>46286</v>
      </c>
      <c r="E443" s="321">
        <v>46290</v>
      </c>
      <c r="F443">
        <v>65</v>
      </c>
      <c r="G443" t="s">
        <v>390</v>
      </c>
    </row>
    <row r="444" spans="1:7">
      <c r="A444" t="s">
        <v>1264</v>
      </c>
      <c r="B444" t="s">
        <v>1265</v>
      </c>
      <c r="C444">
        <v>15</v>
      </c>
      <c r="D444" s="321">
        <v>46177</v>
      </c>
      <c r="E444" s="321">
        <v>46197</v>
      </c>
      <c r="F444">
        <v>65</v>
      </c>
      <c r="G444" t="s">
        <v>390</v>
      </c>
    </row>
    <row r="445" spans="1:7">
      <c r="A445" t="s">
        <v>1266</v>
      </c>
      <c r="B445" t="s">
        <v>1267</v>
      </c>
      <c r="C445">
        <v>5</v>
      </c>
      <c r="D445" s="321">
        <v>46286</v>
      </c>
      <c r="E445" s="321">
        <v>46290</v>
      </c>
      <c r="F445">
        <v>65</v>
      </c>
      <c r="G445" t="s">
        <v>390</v>
      </c>
    </row>
    <row r="446" spans="1:7">
      <c r="A446" t="s">
        <v>1268</v>
      </c>
      <c r="B446" t="s">
        <v>1269</v>
      </c>
      <c r="C446">
        <v>15</v>
      </c>
      <c r="D446" s="321">
        <v>46149</v>
      </c>
      <c r="E446" s="321">
        <v>46169</v>
      </c>
      <c r="F446">
        <v>81</v>
      </c>
      <c r="G446" t="s">
        <v>390</v>
      </c>
    </row>
    <row r="447" spans="1:7">
      <c r="A447" t="s">
        <v>1270</v>
      </c>
      <c r="B447" t="s">
        <v>1271</v>
      </c>
      <c r="C447">
        <v>5</v>
      </c>
      <c r="D447" s="321">
        <v>46262</v>
      </c>
      <c r="E447" s="321">
        <v>46268</v>
      </c>
      <c r="F447">
        <v>81</v>
      </c>
      <c r="G447" t="s">
        <v>390</v>
      </c>
    </row>
    <row r="448" spans="1:7">
      <c r="A448" t="s">
        <v>1272</v>
      </c>
      <c r="B448" t="s">
        <v>1273</v>
      </c>
      <c r="C448">
        <v>15</v>
      </c>
      <c r="D448" s="321">
        <v>46178</v>
      </c>
      <c r="E448" s="321">
        <v>46198</v>
      </c>
      <c r="F448">
        <v>78</v>
      </c>
      <c r="G448" t="s">
        <v>390</v>
      </c>
    </row>
    <row r="449" spans="1:7">
      <c r="A449" t="s">
        <v>1274</v>
      </c>
      <c r="B449" t="s">
        <v>1275</v>
      </c>
      <c r="C449">
        <v>5</v>
      </c>
      <c r="D449" s="321">
        <v>46267</v>
      </c>
      <c r="E449" s="321">
        <v>46273</v>
      </c>
      <c r="F449">
        <v>78</v>
      </c>
      <c r="G449" t="s">
        <v>390</v>
      </c>
    </row>
    <row r="450" spans="1:7">
      <c r="A450" t="s">
        <v>1276</v>
      </c>
      <c r="B450" t="s">
        <v>1277</v>
      </c>
      <c r="C450">
        <v>15</v>
      </c>
      <c r="D450" s="321">
        <v>46178</v>
      </c>
      <c r="E450" s="321">
        <v>46198</v>
      </c>
      <c r="F450">
        <v>78</v>
      </c>
      <c r="G450" t="s">
        <v>390</v>
      </c>
    </row>
    <row r="451" spans="1:7">
      <c r="A451" t="s">
        <v>1278</v>
      </c>
      <c r="B451" t="s">
        <v>1279</v>
      </c>
      <c r="C451">
        <v>5</v>
      </c>
      <c r="D451" s="321">
        <v>46267</v>
      </c>
      <c r="E451" s="321">
        <v>46273</v>
      </c>
      <c r="F451">
        <v>78</v>
      </c>
      <c r="G451" t="s">
        <v>390</v>
      </c>
    </row>
    <row r="452" spans="1:7">
      <c r="A452" t="s">
        <v>1280</v>
      </c>
      <c r="B452" t="s">
        <v>1281</v>
      </c>
      <c r="C452">
        <v>15</v>
      </c>
      <c r="D452" s="321">
        <v>46178</v>
      </c>
      <c r="E452" s="321">
        <v>46198</v>
      </c>
      <c r="F452">
        <v>78</v>
      </c>
      <c r="G452" t="s">
        <v>390</v>
      </c>
    </row>
    <row r="453" spans="1:7">
      <c r="A453" t="s">
        <v>1282</v>
      </c>
      <c r="B453" t="s">
        <v>1283</v>
      </c>
      <c r="C453">
        <v>5</v>
      </c>
      <c r="D453" s="321">
        <v>46267</v>
      </c>
      <c r="E453" s="321">
        <v>46273</v>
      </c>
      <c r="F453">
        <v>78</v>
      </c>
      <c r="G453" t="s">
        <v>390</v>
      </c>
    </row>
    <row r="454" spans="1:7">
      <c r="A454" t="s">
        <v>1284</v>
      </c>
      <c r="B454" t="s">
        <v>1285</v>
      </c>
      <c r="C454">
        <v>15</v>
      </c>
      <c r="D454" s="321">
        <v>46178</v>
      </c>
      <c r="E454" s="321">
        <v>46198</v>
      </c>
      <c r="F454">
        <v>78</v>
      </c>
      <c r="G454" t="s">
        <v>390</v>
      </c>
    </row>
    <row r="455" spans="1:7">
      <c r="A455" t="s">
        <v>1286</v>
      </c>
      <c r="B455" t="s">
        <v>1287</v>
      </c>
      <c r="C455">
        <v>5</v>
      </c>
      <c r="D455" s="321">
        <v>46267</v>
      </c>
      <c r="E455" s="321">
        <v>46273</v>
      </c>
      <c r="F455">
        <v>78</v>
      </c>
      <c r="G455" t="s">
        <v>390</v>
      </c>
    </row>
    <row r="456" spans="1:7">
      <c r="A456" t="s">
        <v>1288</v>
      </c>
      <c r="B456" t="s">
        <v>1289</v>
      </c>
      <c r="C456">
        <v>15</v>
      </c>
      <c r="D456" s="321">
        <v>46178</v>
      </c>
      <c r="E456" s="321">
        <v>46198</v>
      </c>
      <c r="F456">
        <v>78</v>
      </c>
      <c r="G456" t="s">
        <v>390</v>
      </c>
    </row>
    <row r="457" spans="1:7">
      <c r="A457" t="s">
        <v>1290</v>
      </c>
      <c r="B457" t="s">
        <v>1291</v>
      </c>
      <c r="C457">
        <v>5</v>
      </c>
      <c r="D457" s="321">
        <v>46267</v>
      </c>
      <c r="E457" s="321">
        <v>46273</v>
      </c>
      <c r="F457">
        <v>78</v>
      </c>
      <c r="G457" t="s">
        <v>390</v>
      </c>
    </row>
    <row r="458" spans="1:7">
      <c r="A458" t="s">
        <v>1292</v>
      </c>
      <c r="B458" t="s">
        <v>1293</v>
      </c>
      <c r="C458">
        <v>15</v>
      </c>
      <c r="D458" s="321">
        <v>46178</v>
      </c>
      <c r="E458" s="321">
        <v>46198</v>
      </c>
      <c r="F458">
        <v>78</v>
      </c>
      <c r="G458" t="s">
        <v>390</v>
      </c>
    </row>
    <row r="459" spans="1:7">
      <c r="A459" t="s">
        <v>1294</v>
      </c>
      <c r="B459" t="s">
        <v>1295</v>
      </c>
      <c r="C459">
        <v>5</v>
      </c>
      <c r="D459" s="321">
        <v>46267</v>
      </c>
      <c r="E459" s="321">
        <v>46273</v>
      </c>
      <c r="F459">
        <v>78</v>
      </c>
      <c r="G459" t="s">
        <v>390</v>
      </c>
    </row>
    <row r="460" spans="1:7">
      <c r="A460" t="s">
        <v>1296</v>
      </c>
      <c r="B460" t="s">
        <v>1297</v>
      </c>
      <c r="C460">
        <v>15</v>
      </c>
      <c r="D460" s="321">
        <v>46178</v>
      </c>
      <c r="E460" s="321">
        <v>46198</v>
      </c>
      <c r="F460">
        <v>78</v>
      </c>
      <c r="G460" t="s">
        <v>390</v>
      </c>
    </row>
    <row r="461" spans="1:7">
      <c r="A461" t="s">
        <v>1298</v>
      </c>
      <c r="B461" t="s">
        <v>1299</v>
      </c>
      <c r="C461">
        <v>5</v>
      </c>
      <c r="D461" s="321">
        <v>46267</v>
      </c>
      <c r="E461" s="321">
        <v>46273</v>
      </c>
      <c r="F461">
        <v>78</v>
      </c>
      <c r="G461" t="s">
        <v>390</v>
      </c>
    </row>
    <row r="462" spans="1:7">
      <c r="A462" t="s">
        <v>1300</v>
      </c>
      <c r="B462" t="s">
        <v>1301</v>
      </c>
      <c r="C462">
        <v>15</v>
      </c>
      <c r="D462" s="321">
        <v>46178</v>
      </c>
      <c r="E462" s="321">
        <v>46198</v>
      </c>
      <c r="F462">
        <v>80</v>
      </c>
      <c r="G462" t="s">
        <v>390</v>
      </c>
    </row>
    <row r="463" spans="1:7">
      <c r="A463" t="s">
        <v>1302</v>
      </c>
      <c r="B463" t="s">
        <v>1303</v>
      </c>
      <c r="C463">
        <v>5</v>
      </c>
      <c r="D463" s="321">
        <v>46267</v>
      </c>
      <c r="E463" s="321">
        <v>46273</v>
      </c>
      <c r="F463">
        <v>78</v>
      </c>
      <c r="G463" t="s">
        <v>390</v>
      </c>
    </row>
    <row r="464" spans="1:7">
      <c r="A464" t="s">
        <v>1304</v>
      </c>
      <c r="B464" t="s">
        <v>1305</v>
      </c>
      <c r="C464">
        <v>15</v>
      </c>
      <c r="D464" s="321">
        <v>46199</v>
      </c>
      <c r="E464" s="321">
        <v>46219</v>
      </c>
      <c r="F464">
        <v>52</v>
      </c>
      <c r="G464" t="s">
        <v>390</v>
      </c>
    </row>
    <row r="465" spans="1:7">
      <c r="A465" t="s">
        <v>1306</v>
      </c>
      <c r="B465" t="s">
        <v>1307</v>
      </c>
      <c r="C465">
        <v>5</v>
      </c>
      <c r="D465" s="321">
        <v>46303</v>
      </c>
      <c r="E465" s="321">
        <v>46310</v>
      </c>
      <c r="F465">
        <v>52</v>
      </c>
      <c r="G465" t="s">
        <v>390</v>
      </c>
    </row>
    <row r="466" spans="1:7">
      <c r="A466" t="s">
        <v>1308</v>
      </c>
      <c r="B466" t="s">
        <v>1309</v>
      </c>
      <c r="C466">
        <v>15</v>
      </c>
      <c r="D466" s="321">
        <v>46199</v>
      </c>
      <c r="E466" s="321">
        <v>46219</v>
      </c>
      <c r="F466">
        <v>52</v>
      </c>
      <c r="G466" t="s">
        <v>390</v>
      </c>
    </row>
    <row r="467" spans="1:7">
      <c r="A467" t="s">
        <v>1310</v>
      </c>
      <c r="B467" t="s">
        <v>1311</v>
      </c>
      <c r="C467">
        <v>5</v>
      </c>
      <c r="D467" s="321">
        <v>46303</v>
      </c>
      <c r="E467" s="321">
        <v>46310</v>
      </c>
      <c r="F467">
        <v>52</v>
      </c>
      <c r="G467" t="s">
        <v>390</v>
      </c>
    </row>
    <row r="468" spans="1:7">
      <c r="A468" t="s">
        <v>1312</v>
      </c>
      <c r="B468" t="s">
        <v>1313</v>
      </c>
      <c r="C468">
        <v>15</v>
      </c>
      <c r="D468" s="321">
        <v>46199</v>
      </c>
      <c r="E468" s="321">
        <v>46219</v>
      </c>
      <c r="F468">
        <v>52</v>
      </c>
      <c r="G468" t="s">
        <v>390</v>
      </c>
    </row>
    <row r="469" spans="1:7">
      <c r="A469" t="s">
        <v>1314</v>
      </c>
      <c r="B469" t="s">
        <v>1315</v>
      </c>
      <c r="C469">
        <v>5</v>
      </c>
      <c r="D469" s="321">
        <v>46303</v>
      </c>
      <c r="E469" s="321">
        <v>46310</v>
      </c>
      <c r="F469">
        <v>52</v>
      </c>
      <c r="G469" t="s">
        <v>390</v>
      </c>
    </row>
    <row r="470" spans="1:7">
      <c r="A470" t="s">
        <v>1316</v>
      </c>
      <c r="B470" t="s">
        <v>1317</v>
      </c>
      <c r="C470">
        <v>15</v>
      </c>
      <c r="D470" s="321">
        <v>46199</v>
      </c>
      <c r="E470" s="321">
        <v>46219</v>
      </c>
      <c r="F470">
        <v>52</v>
      </c>
      <c r="G470" t="s">
        <v>390</v>
      </c>
    </row>
    <row r="471" spans="1:7">
      <c r="A471" t="s">
        <v>1318</v>
      </c>
      <c r="B471" t="s">
        <v>1319</v>
      </c>
      <c r="C471">
        <v>5</v>
      </c>
      <c r="D471" s="321">
        <v>46303</v>
      </c>
      <c r="E471" s="321">
        <v>46310</v>
      </c>
      <c r="F471">
        <v>52</v>
      </c>
      <c r="G471" t="s">
        <v>390</v>
      </c>
    </row>
    <row r="472" spans="1:7">
      <c r="A472" t="s">
        <v>1320</v>
      </c>
      <c r="B472" t="s">
        <v>1321</v>
      </c>
      <c r="C472">
        <v>15</v>
      </c>
      <c r="D472" s="321">
        <v>46199</v>
      </c>
      <c r="E472" s="321">
        <v>46219</v>
      </c>
      <c r="F472">
        <v>52</v>
      </c>
      <c r="G472" t="s">
        <v>390</v>
      </c>
    </row>
    <row r="473" spans="1:7">
      <c r="A473" t="s">
        <v>1322</v>
      </c>
      <c r="B473" t="s">
        <v>1323</v>
      </c>
      <c r="C473">
        <v>5</v>
      </c>
      <c r="D473" s="321">
        <v>46303</v>
      </c>
      <c r="E473" s="321">
        <v>46310</v>
      </c>
      <c r="F473">
        <v>52</v>
      </c>
      <c r="G473" t="s">
        <v>390</v>
      </c>
    </row>
    <row r="474" spans="1:7">
      <c r="A474" t="s">
        <v>1324</v>
      </c>
      <c r="B474" t="s">
        <v>1325</v>
      </c>
      <c r="C474">
        <v>15</v>
      </c>
      <c r="D474" s="321">
        <v>46199</v>
      </c>
      <c r="E474" s="321">
        <v>46219</v>
      </c>
      <c r="F474">
        <v>52</v>
      </c>
      <c r="G474" t="s">
        <v>390</v>
      </c>
    </row>
    <row r="475" spans="1:7">
      <c r="A475" t="s">
        <v>1326</v>
      </c>
      <c r="B475" t="s">
        <v>1327</v>
      </c>
      <c r="C475">
        <v>5</v>
      </c>
      <c r="D475" s="321">
        <v>46303</v>
      </c>
      <c r="E475" s="321">
        <v>46310</v>
      </c>
      <c r="F475">
        <v>52</v>
      </c>
      <c r="G475" t="s">
        <v>390</v>
      </c>
    </row>
    <row r="476" spans="1:7">
      <c r="A476" t="s">
        <v>1328</v>
      </c>
      <c r="B476" t="s">
        <v>1329</v>
      </c>
      <c r="C476">
        <v>15</v>
      </c>
      <c r="D476" s="321">
        <v>46199</v>
      </c>
      <c r="E476" s="321">
        <v>46219</v>
      </c>
      <c r="F476">
        <v>52</v>
      </c>
      <c r="G476" t="s">
        <v>390</v>
      </c>
    </row>
    <row r="477" spans="1:7">
      <c r="A477" t="s">
        <v>1330</v>
      </c>
      <c r="B477" t="s">
        <v>1331</v>
      </c>
      <c r="C477">
        <v>5</v>
      </c>
      <c r="D477" s="321">
        <v>46303</v>
      </c>
      <c r="E477" s="321">
        <v>46310</v>
      </c>
      <c r="F477">
        <v>52</v>
      </c>
      <c r="G477" t="s">
        <v>390</v>
      </c>
    </row>
    <row r="478" spans="1:7">
      <c r="A478" t="s">
        <v>1332</v>
      </c>
      <c r="B478" t="s">
        <v>1333</v>
      </c>
      <c r="C478">
        <v>15</v>
      </c>
      <c r="D478" s="321">
        <v>46199</v>
      </c>
      <c r="E478" s="321">
        <v>46219</v>
      </c>
      <c r="F478">
        <v>52</v>
      </c>
      <c r="G478" t="s">
        <v>390</v>
      </c>
    </row>
    <row r="479" spans="1:7">
      <c r="A479" t="s">
        <v>1334</v>
      </c>
      <c r="B479" t="s">
        <v>1335</v>
      </c>
      <c r="C479">
        <v>5</v>
      </c>
      <c r="D479" s="321">
        <v>46303</v>
      </c>
      <c r="E479" s="321">
        <v>46310</v>
      </c>
      <c r="F479">
        <v>52</v>
      </c>
      <c r="G479" t="s">
        <v>390</v>
      </c>
    </row>
    <row r="480" spans="1:7">
      <c r="A480" t="s">
        <v>1336</v>
      </c>
      <c r="B480" t="s">
        <v>1337</v>
      </c>
      <c r="C480">
        <v>15</v>
      </c>
      <c r="D480" s="321">
        <v>46199</v>
      </c>
      <c r="E480" s="321">
        <v>46219</v>
      </c>
      <c r="F480">
        <v>61</v>
      </c>
      <c r="G480" t="s">
        <v>390</v>
      </c>
    </row>
    <row r="481" spans="1:7">
      <c r="A481" t="s">
        <v>1338</v>
      </c>
      <c r="B481" t="s">
        <v>1339</v>
      </c>
      <c r="C481">
        <v>5</v>
      </c>
      <c r="D481" s="321">
        <v>46303</v>
      </c>
      <c r="E481" s="321">
        <v>46310</v>
      </c>
      <c r="F481">
        <v>61</v>
      </c>
      <c r="G481" t="s">
        <v>390</v>
      </c>
    </row>
    <row r="482" spans="1:7">
      <c r="A482" t="s">
        <v>1340</v>
      </c>
      <c r="C482">
        <v>64</v>
      </c>
      <c r="D482" s="321">
        <v>46195</v>
      </c>
      <c r="E482" s="321">
        <v>46288</v>
      </c>
      <c r="F482">
        <v>61</v>
      </c>
      <c r="G482" t="s">
        <v>390</v>
      </c>
    </row>
    <row r="483" spans="1:7">
      <c r="A483" t="s">
        <v>1341</v>
      </c>
      <c r="B483" t="s">
        <v>1342</v>
      </c>
      <c r="C483">
        <v>11</v>
      </c>
      <c r="D483" s="321">
        <v>46220</v>
      </c>
      <c r="E483" s="321">
        <v>46239</v>
      </c>
      <c r="F483">
        <v>71</v>
      </c>
      <c r="G483" t="s">
        <v>390</v>
      </c>
    </row>
    <row r="484" spans="1:7">
      <c r="A484" t="s">
        <v>1343</v>
      </c>
      <c r="B484" t="s">
        <v>1344</v>
      </c>
      <c r="C484">
        <v>5</v>
      </c>
      <c r="D484" s="321">
        <v>46255</v>
      </c>
      <c r="E484" s="321">
        <v>46261</v>
      </c>
      <c r="F484">
        <v>71</v>
      </c>
      <c r="G484" t="s">
        <v>390</v>
      </c>
    </row>
    <row r="485" spans="1:7">
      <c r="A485" t="s">
        <v>1345</v>
      </c>
      <c r="B485" t="s">
        <v>1346</v>
      </c>
      <c r="C485">
        <v>11</v>
      </c>
      <c r="D485" s="321">
        <v>46220</v>
      </c>
      <c r="E485" s="321">
        <v>46239</v>
      </c>
      <c r="F485">
        <v>71</v>
      </c>
      <c r="G485" t="s">
        <v>390</v>
      </c>
    </row>
    <row r="486" spans="1:7">
      <c r="A486" t="s">
        <v>1347</v>
      </c>
      <c r="B486" t="s">
        <v>1348</v>
      </c>
      <c r="C486">
        <v>5</v>
      </c>
      <c r="D486" s="321">
        <v>46255</v>
      </c>
      <c r="E486" s="321">
        <v>46261</v>
      </c>
      <c r="F486">
        <v>71</v>
      </c>
      <c r="G486" t="s">
        <v>390</v>
      </c>
    </row>
    <row r="487" spans="1:7">
      <c r="A487" t="s">
        <v>1349</v>
      </c>
      <c r="B487" t="s">
        <v>1350</v>
      </c>
      <c r="C487">
        <v>16</v>
      </c>
      <c r="D487" s="321">
        <v>46223</v>
      </c>
      <c r="E487" s="321">
        <v>46248</v>
      </c>
      <c r="F487">
        <v>65</v>
      </c>
      <c r="G487" t="s">
        <v>390</v>
      </c>
    </row>
    <row r="488" spans="1:7">
      <c r="A488" t="s">
        <v>1351</v>
      </c>
      <c r="B488" t="s">
        <v>1352</v>
      </c>
      <c r="C488">
        <v>5</v>
      </c>
      <c r="D488" s="321">
        <v>46265</v>
      </c>
      <c r="E488" s="321">
        <v>46269</v>
      </c>
      <c r="F488">
        <v>65</v>
      </c>
      <c r="G488" t="s">
        <v>390</v>
      </c>
    </row>
    <row r="489" spans="1:7">
      <c r="A489" t="s">
        <v>1353</v>
      </c>
      <c r="B489" t="s">
        <v>1354</v>
      </c>
      <c r="C489">
        <v>16</v>
      </c>
      <c r="D489" s="321">
        <v>46223</v>
      </c>
      <c r="E489" s="321">
        <v>46248</v>
      </c>
      <c r="F489">
        <v>65</v>
      </c>
      <c r="G489" t="s">
        <v>390</v>
      </c>
    </row>
    <row r="490" spans="1:7">
      <c r="A490" t="s">
        <v>1355</v>
      </c>
      <c r="B490" t="s">
        <v>1356</v>
      </c>
      <c r="C490">
        <v>5</v>
      </c>
      <c r="D490" s="321">
        <v>46265</v>
      </c>
      <c r="E490" s="321">
        <v>46269</v>
      </c>
      <c r="F490">
        <v>65</v>
      </c>
      <c r="G490" t="s">
        <v>390</v>
      </c>
    </row>
    <row r="491" spans="1:7">
      <c r="A491" t="s">
        <v>1357</v>
      </c>
      <c r="B491" t="s">
        <v>1358</v>
      </c>
      <c r="C491">
        <v>16</v>
      </c>
      <c r="D491" s="321">
        <v>46223</v>
      </c>
      <c r="E491" s="321">
        <v>46248</v>
      </c>
      <c r="F491">
        <v>65</v>
      </c>
      <c r="G491" t="s">
        <v>390</v>
      </c>
    </row>
    <row r="492" spans="1:7">
      <c r="A492" t="s">
        <v>1359</v>
      </c>
      <c r="B492" t="s">
        <v>1360</v>
      </c>
      <c r="C492">
        <v>5</v>
      </c>
      <c r="D492" s="321">
        <v>46265</v>
      </c>
      <c r="E492" s="321">
        <v>46269</v>
      </c>
      <c r="F492">
        <v>65</v>
      </c>
      <c r="G492" t="s">
        <v>390</v>
      </c>
    </row>
    <row r="493" spans="1:7">
      <c r="A493" t="s">
        <v>1361</v>
      </c>
      <c r="B493" t="s">
        <v>1362</v>
      </c>
      <c r="C493">
        <v>16</v>
      </c>
      <c r="D493" s="321">
        <v>46223</v>
      </c>
      <c r="E493" s="321">
        <v>46248</v>
      </c>
      <c r="F493">
        <v>65</v>
      </c>
      <c r="G493" t="s">
        <v>390</v>
      </c>
    </row>
    <row r="494" spans="1:7">
      <c r="A494" t="s">
        <v>1363</v>
      </c>
      <c r="B494" t="s">
        <v>1364</v>
      </c>
      <c r="C494">
        <v>5</v>
      </c>
      <c r="D494" s="321">
        <v>46265</v>
      </c>
      <c r="E494" s="321">
        <v>46269</v>
      </c>
      <c r="F494">
        <v>65</v>
      </c>
      <c r="G494" t="s">
        <v>390</v>
      </c>
    </row>
    <row r="495" spans="1:7">
      <c r="A495" t="s">
        <v>1365</v>
      </c>
      <c r="B495" t="s">
        <v>1366</v>
      </c>
      <c r="C495">
        <v>20</v>
      </c>
      <c r="D495" s="321">
        <v>46195</v>
      </c>
      <c r="E495" s="321">
        <v>46220</v>
      </c>
      <c r="F495">
        <v>81</v>
      </c>
      <c r="G495" t="s">
        <v>390</v>
      </c>
    </row>
    <row r="496" spans="1:7">
      <c r="A496" t="s">
        <v>1367</v>
      </c>
      <c r="B496" t="s">
        <v>1368</v>
      </c>
      <c r="C496">
        <v>5</v>
      </c>
      <c r="D496" s="321">
        <v>46240</v>
      </c>
      <c r="E496" s="321">
        <v>46247</v>
      </c>
      <c r="F496">
        <v>81</v>
      </c>
      <c r="G496" t="s">
        <v>390</v>
      </c>
    </row>
    <row r="497" spans="1:7">
      <c r="A497" t="s">
        <v>1369</v>
      </c>
      <c r="B497" t="s">
        <v>1370</v>
      </c>
      <c r="C497">
        <v>8</v>
      </c>
      <c r="D497" s="321">
        <v>46216</v>
      </c>
      <c r="E497" s="321">
        <v>46225</v>
      </c>
      <c r="F497">
        <v>78</v>
      </c>
      <c r="G497" t="s">
        <v>390</v>
      </c>
    </row>
    <row r="498" spans="1:7">
      <c r="A498" t="s">
        <v>1371</v>
      </c>
      <c r="B498" t="s">
        <v>1372</v>
      </c>
      <c r="C498">
        <v>5</v>
      </c>
      <c r="D498" s="321">
        <v>46245</v>
      </c>
      <c r="E498" s="321">
        <v>46252</v>
      </c>
      <c r="F498">
        <v>78</v>
      </c>
      <c r="G498" t="s">
        <v>390</v>
      </c>
    </row>
    <row r="499" spans="1:7">
      <c r="A499" t="s">
        <v>1373</v>
      </c>
      <c r="B499" t="s">
        <v>1374</v>
      </c>
      <c r="C499">
        <v>8</v>
      </c>
      <c r="D499" s="321">
        <v>46216</v>
      </c>
      <c r="E499" s="321">
        <v>46225</v>
      </c>
      <c r="F499">
        <v>78</v>
      </c>
      <c r="G499" t="s">
        <v>390</v>
      </c>
    </row>
    <row r="500" spans="1:7">
      <c r="A500" t="s">
        <v>1375</v>
      </c>
      <c r="B500" t="s">
        <v>1376</v>
      </c>
      <c r="C500">
        <v>5</v>
      </c>
      <c r="D500" s="321">
        <v>46245</v>
      </c>
      <c r="E500" s="321">
        <v>46252</v>
      </c>
      <c r="F500">
        <v>78</v>
      </c>
      <c r="G500" t="s">
        <v>390</v>
      </c>
    </row>
    <row r="501" spans="1:7">
      <c r="A501" t="s">
        <v>1377</v>
      </c>
      <c r="B501" t="s">
        <v>1378</v>
      </c>
      <c r="C501">
        <v>8</v>
      </c>
      <c r="D501" s="321">
        <v>46216</v>
      </c>
      <c r="E501" s="321">
        <v>46225</v>
      </c>
      <c r="F501">
        <v>78</v>
      </c>
      <c r="G501" t="s">
        <v>390</v>
      </c>
    </row>
    <row r="502" spans="1:7">
      <c r="A502" t="s">
        <v>1379</v>
      </c>
      <c r="B502" t="s">
        <v>1380</v>
      </c>
      <c r="C502">
        <v>5</v>
      </c>
      <c r="D502" s="321">
        <v>46245</v>
      </c>
      <c r="E502" s="321">
        <v>46252</v>
      </c>
      <c r="F502">
        <v>78</v>
      </c>
      <c r="G502" t="s">
        <v>390</v>
      </c>
    </row>
    <row r="503" spans="1:7">
      <c r="A503" t="s">
        <v>1381</v>
      </c>
      <c r="B503" t="s">
        <v>1382</v>
      </c>
      <c r="C503">
        <v>8</v>
      </c>
      <c r="D503" s="321">
        <v>46216</v>
      </c>
      <c r="E503" s="321">
        <v>46225</v>
      </c>
      <c r="F503">
        <v>78</v>
      </c>
      <c r="G503" t="s">
        <v>390</v>
      </c>
    </row>
    <row r="504" spans="1:7">
      <c r="A504" t="s">
        <v>1383</v>
      </c>
      <c r="B504" t="s">
        <v>1384</v>
      </c>
      <c r="C504">
        <v>5</v>
      </c>
      <c r="D504" s="321">
        <v>46245</v>
      </c>
      <c r="E504" s="321">
        <v>46252</v>
      </c>
      <c r="F504">
        <v>78</v>
      </c>
      <c r="G504" t="s">
        <v>390</v>
      </c>
    </row>
    <row r="505" spans="1:7">
      <c r="A505" t="s">
        <v>1385</v>
      </c>
      <c r="B505" t="s">
        <v>1386</v>
      </c>
      <c r="C505">
        <v>8</v>
      </c>
      <c r="D505" s="321">
        <v>46216</v>
      </c>
      <c r="E505" s="321">
        <v>46225</v>
      </c>
      <c r="F505">
        <v>78</v>
      </c>
      <c r="G505" t="s">
        <v>390</v>
      </c>
    </row>
    <row r="506" spans="1:7">
      <c r="A506" t="s">
        <v>1387</v>
      </c>
      <c r="B506" t="s">
        <v>1388</v>
      </c>
      <c r="C506">
        <v>5</v>
      </c>
      <c r="D506" s="321">
        <v>46245</v>
      </c>
      <c r="E506" s="321">
        <v>46252</v>
      </c>
      <c r="F506">
        <v>78</v>
      </c>
      <c r="G506" t="s">
        <v>390</v>
      </c>
    </row>
    <row r="507" spans="1:7">
      <c r="A507" t="s">
        <v>1389</v>
      </c>
      <c r="B507" t="s">
        <v>1390</v>
      </c>
      <c r="C507">
        <v>8</v>
      </c>
      <c r="D507" s="321">
        <v>46216</v>
      </c>
      <c r="E507" s="321">
        <v>46225</v>
      </c>
      <c r="F507">
        <v>78</v>
      </c>
      <c r="G507" t="s">
        <v>390</v>
      </c>
    </row>
    <row r="508" spans="1:7">
      <c r="A508" t="s">
        <v>1391</v>
      </c>
      <c r="B508" t="s">
        <v>1392</v>
      </c>
      <c r="C508">
        <v>5</v>
      </c>
      <c r="D508" s="321">
        <v>46245</v>
      </c>
      <c r="E508" s="321">
        <v>46252</v>
      </c>
      <c r="F508">
        <v>78</v>
      </c>
      <c r="G508" t="s">
        <v>390</v>
      </c>
    </row>
    <row r="509" spans="1:7">
      <c r="A509" t="s">
        <v>1393</v>
      </c>
      <c r="B509" t="s">
        <v>1394</v>
      </c>
      <c r="C509">
        <v>8</v>
      </c>
      <c r="D509" s="321">
        <v>46216</v>
      </c>
      <c r="E509" s="321">
        <v>46225</v>
      </c>
      <c r="F509">
        <v>78</v>
      </c>
      <c r="G509" t="s">
        <v>390</v>
      </c>
    </row>
    <row r="510" spans="1:7">
      <c r="A510" t="s">
        <v>1395</v>
      </c>
      <c r="B510" t="s">
        <v>1396</v>
      </c>
      <c r="C510">
        <v>5</v>
      </c>
      <c r="D510" s="321">
        <v>46245</v>
      </c>
      <c r="E510" s="321">
        <v>46252</v>
      </c>
      <c r="F510">
        <v>78</v>
      </c>
      <c r="G510" t="s">
        <v>390</v>
      </c>
    </row>
    <row r="511" spans="1:7">
      <c r="A511" t="s">
        <v>1397</v>
      </c>
      <c r="B511" t="s">
        <v>1398</v>
      </c>
      <c r="C511">
        <v>8</v>
      </c>
      <c r="D511" s="321">
        <v>46216</v>
      </c>
      <c r="E511" s="321">
        <v>46225</v>
      </c>
      <c r="F511">
        <v>80</v>
      </c>
      <c r="G511" t="s">
        <v>390</v>
      </c>
    </row>
    <row r="512" spans="1:7">
      <c r="A512" t="s">
        <v>1399</v>
      </c>
      <c r="B512" t="s">
        <v>1400</v>
      </c>
      <c r="C512">
        <v>3</v>
      </c>
      <c r="D512" s="321">
        <v>46245</v>
      </c>
      <c r="E512" s="321">
        <v>46248</v>
      </c>
      <c r="F512">
        <v>80</v>
      </c>
      <c r="G512" t="s">
        <v>390</v>
      </c>
    </row>
    <row r="513" spans="1:7">
      <c r="A513" t="s">
        <v>1401</v>
      </c>
      <c r="B513" t="s">
        <v>1402</v>
      </c>
      <c r="C513">
        <v>15</v>
      </c>
      <c r="D513" s="321">
        <v>46247</v>
      </c>
      <c r="E513" s="321">
        <v>46267</v>
      </c>
      <c r="F513">
        <v>52</v>
      </c>
      <c r="G513" t="s">
        <v>390</v>
      </c>
    </row>
    <row r="514" spans="1:7">
      <c r="A514" t="s">
        <v>1403</v>
      </c>
      <c r="B514" t="s">
        <v>1404</v>
      </c>
      <c r="C514">
        <v>5</v>
      </c>
      <c r="D514" s="321">
        <v>46282</v>
      </c>
      <c r="E514" s="321">
        <v>46288</v>
      </c>
      <c r="F514">
        <v>52</v>
      </c>
      <c r="G514" t="s">
        <v>390</v>
      </c>
    </row>
    <row r="515" spans="1:7">
      <c r="A515" t="s">
        <v>1405</v>
      </c>
      <c r="B515" t="s">
        <v>1406</v>
      </c>
      <c r="C515">
        <v>15</v>
      </c>
      <c r="D515" s="321">
        <v>46247</v>
      </c>
      <c r="E515" s="321">
        <v>46267</v>
      </c>
      <c r="F515">
        <v>52</v>
      </c>
      <c r="G515" t="s">
        <v>390</v>
      </c>
    </row>
    <row r="516" spans="1:7">
      <c r="A516" t="s">
        <v>1407</v>
      </c>
      <c r="B516" t="s">
        <v>1408</v>
      </c>
      <c r="C516">
        <v>5</v>
      </c>
      <c r="D516" s="321">
        <v>46282</v>
      </c>
      <c r="E516" s="321">
        <v>46288</v>
      </c>
      <c r="F516">
        <v>52</v>
      </c>
      <c r="G516" t="s">
        <v>390</v>
      </c>
    </row>
    <row r="517" spans="1:7">
      <c r="A517" t="s">
        <v>1409</v>
      </c>
      <c r="B517" t="s">
        <v>1410</v>
      </c>
      <c r="C517">
        <v>15</v>
      </c>
      <c r="D517" s="321">
        <v>46247</v>
      </c>
      <c r="E517" s="321">
        <v>46267</v>
      </c>
      <c r="F517">
        <v>52</v>
      </c>
      <c r="G517" t="s">
        <v>390</v>
      </c>
    </row>
    <row r="518" spans="1:7">
      <c r="A518" t="s">
        <v>1411</v>
      </c>
      <c r="B518" t="s">
        <v>1412</v>
      </c>
      <c r="C518">
        <v>5</v>
      </c>
      <c r="D518" s="321">
        <v>46282</v>
      </c>
      <c r="E518" s="321">
        <v>46288</v>
      </c>
      <c r="F518">
        <v>52</v>
      </c>
      <c r="G518" t="s">
        <v>390</v>
      </c>
    </row>
    <row r="519" spans="1:7">
      <c r="A519" t="s">
        <v>1413</v>
      </c>
      <c r="B519" t="s">
        <v>1414</v>
      </c>
      <c r="C519">
        <v>15</v>
      </c>
      <c r="D519" s="321">
        <v>46247</v>
      </c>
      <c r="E519" s="321">
        <v>46267</v>
      </c>
      <c r="F519">
        <v>52</v>
      </c>
      <c r="G519" t="s">
        <v>390</v>
      </c>
    </row>
    <row r="520" spans="1:7">
      <c r="A520" t="s">
        <v>1415</v>
      </c>
      <c r="B520" t="s">
        <v>1416</v>
      </c>
      <c r="C520">
        <v>5</v>
      </c>
      <c r="D520" s="321">
        <v>46282</v>
      </c>
      <c r="E520" s="321">
        <v>46288</v>
      </c>
      <c r="F520">
        <v>52</v>
      </c>
      <c r="G520" t="s">
        <v>390</v>
      </c>
    </row>
    <row r="521" spans="1:7">
      <c r="A521" t="s">
        <v>1417</v>
      </c>
      <c r="B521" t="s">
        <v>1418</v>
      </c>
      <c r="C521">
        <v>15</v>
      </c>
      <c r="D521" s="321">
        <v>46247</v>
      </c>
      <c r="E521" s="321">
        <v>46267</v>
      </c>
      <c r="F521">
        <v>52</v>
      </c>
      <c r="G521" t="s">
        <v>390</v>
      </c>
    </row>
    <row r="522" spans="1:7">
      <c r="A522" t="s">
        <v>1419</v>
      </c>
      <c r="B522" t="s">
        <v>1420</v>
      </c>
      <c r="C522">
        <v>5</v>
      </c>
      <c r="D522" s="321">
        <v>46282</v>
      </c>
      <c r="E522" s="321">
        <v>46288</v>
      </c>
      <c r="F522">
        <v>52</v>
      </c>
      <c r="G522" t="s">
        <v>390</v>
      </c>
    </row>
    <row r="523" spans="1:7">
      <c r="A523" t="s">
        <v>1421</v>
      </c>
      <c r="B523" t="s">
        <v>1422</v>
      </c>
      <c r="C523">
        <v>15</v>
      </c>
      <c r="D523" s="321">
        <v>46247</v>
      </c>
      <c r="E523" s="321">
        <v>46267</v>
      </c>
      <c r="F523">
        <v>52</v>
      </c>
      <c r="G523" t="s">
        <v>390</v>
      </c>
    </row>
    <row r="524" spans="1:7">
      <c r="A524" t="s">
        <v>1423</v>
      </c>
      <c r="B524" t="s">
        <v>1424</v>
      </c>
      <c r="C524">
        <v>5</v>
      </c>
      <c r="D524" s="321">
        <v>46282</v>
      </c>
      <c r="E524" s="321">
        <v>46288</v>
      </c>
      <c r="F524">
        <v>52</v>
      </c>
      <c r="G524" t="s">
        <v>390</v>
      </c>
    </row>
    <row r="525" spans="1:7">
      <c r="A525" t="s">
        <v>1425</v>
      </c>
      <c r="B525" t="s">
        <v>1426</v>
      </c>
      <c r="C525">
        <v>15</v>
      </c>
      <c r="D525" s="321">
        <v>46247</v>
      </c>
      <c r="E525" s="321">
        <v>46267</v>
      </c>
      <c r="F525">
        <v>52</v>
      </c>
      <c r="G525" t="s">
        <v>390</v>
      </c>
    </row>
    <row r="526" spans="1:7">
      <c r="A526" t="s">
        <v>1427</v>
      </c>
      <c r="B526" t="s">
        <v>1428</v>
      </c>
      <c r="C526">
        <v>5</v>
      </c>
      <c r="D526" s="321">
        <v>46282</v>
      </c>
      <c r="E526" s="321">
        <v>46288</v>
      </c>
      <c r="F526">
        <v>52</v>
      </c>
      <c r="G526" t="s">
        <v>390</v>
      </c>
    </row>
    <row r="527" spans="1:7">
      <c r="A527" t="s">
        <v>1429</v>
      </c>
      <c r="B527" t="s">
        <v>1430</v>
      </c>
      <c r="C527">
        <v>15</v>
      </c>
      <c r="D527" s="321">
        <v>46247</v>
      </c>
      <c r="E527" s="321">
        <v>46267</v>
      </c>
      <c r="F527">
        <v>52</v>
      </c>
      <c r="G527" t="s">
        <v>390</v>
      </c>
    </row>
    <row r="528" spans="1:7">
      <c r="A528" t="s">
        <v>1431</v>
      </c>
      <c r="B528" t="s">
        <v>1432</v>
      </c>
      <c r="C528">
        <v>5</v>
      </c>
      <c r="D528" s="321">
        <v>46282</v>
      </c>
      <c r="E528" s="321">
        <v>46288</v>
      </c>
      <c r="F528">
        <v>52</v>
      </c>
      <c r="G528" t="s">
        <v>390</v>
      </c>
    </row>
    <row r="529" spans="1:7">
      <c r="A529" t="s">
        <v>1433</v>
      </c>
      <c r="B529" t="s">
        <v>1434</v>
      </c>
      <c r="C529">
        <v>15</v>
      </c>
      <c r="D529" s="321">
        <v>46247</v>
      </c>
      <c r="E529" s="321">
        <v>46267</v>
      </c>
      <c r="F529">
        <v>61</v>
      </c>
      <c r="G529" t="s">
        <v>390</v>
      </c>
    </row>
    <row r="530" spans="1:7">
      <c r="A530" t="s">
        <v>1435</v>
      </c>
      <c r="B530" t="s">
        <v>1436</v>
      </c>
      <c r="C530">
        <v>5</v>
      </c>
      <c r="D530" s="321">
        <v>46282</v>
      </c>
      <c r="E530" s="321">
        <v>46288</v>
      </c>
      <c r="F530">
        <v>61</v>
      </c>
      <c r="G530" t="s">
        <v>390</v>
      </c>
    </row>
    <row r="531" spans="1:7">
      <c r="A531" t="s">
        <v>1437</v>
      </c>
      <c r="C531">
        <v>175</v>
      </c>
      <c r="D531" s="321">
        <v>46085</v>
      </c>
      <c r="E531" s="321">
        <v>46346</v>
      </c>
      <c r="F531">
        <v>36</v>
      </c>
      <c r="G531" t="s">
        <v>390</v>
      </c>
    </row>
    <row r="532" spans="1:7">
      <c r="A532" t="s">
        <v>1438</v>
      </c>
      <c r="B532" t="s">
        <v>1439</v>
      </c>
      <c r="C532">
        <v>10</v>
      </c>
      <c r="D532" s="321">
        <v>46220</v>
      </c>
      <c r="E532" s="321">
        <v>46238</v>
      </c>
      <c r="F532">
        <v>76</v>
      </c>
      <c r="G532" t="s">
        <v>390</v>
      </c>
    </row>
    <row r="533" spans="1:7">
      <c r="A533" t="s">
        <v>1440</v>
      </c>
      <c r="B533" t="s">
        <v>1441</v>
      </c>
      <c r="C533">
        <v>10</v>
      </c>
      <c r="D533" s="321">
        <v>46254</v>
      </c>
      <c r="E533" s="321">
        <v>46267</v>
      </c>
      <c r="F533">
        <v>76</v>
      </c>
      <c r="G533" t="s">
        <v>390</v>
      </c>
    </row>
    <row r="534" spans="1:7">
      <c r="A534" t="s">
        <v>1442</v>
      </c>
      <c r="B534" t="s">
        <v>1443</v>
      </c>
      <c r="C534">
        <v>5</v>
      </c>
      <c r="D534" s="321">
        <v>46282</v>
      </c>
      <c r="E534" s="321">
        <v>46288</v>
      </c>
      <c r="F534">
        <v>76</v>
      </c>
      <c r="G534" t="s">
        <v>390</v>
      </c>
    </row>
    <row r="535" spans="1:7">
      <c r="A535" t="s">
        <v>1444</v>
      </c>
      <c r="B535" t="s">
        <v>1445</v>
      </c>
      <c r="C535">
        <v>10</v>
      </c>
      <c r="D535" s="321">
        <v>46156</v>
      </c>
      <c r="E535" s="321">
        <v>46169</v>
      </c>
      <c r="F535">
        <v>46</v>
      </c>
      <c r="G535" t="s">
        <v>390</v>
      </c>
    </row>
    <row r="536" spans="1:7">
      <c r="A536" t="s">
        <v>1446</v>
      </c>
      <c r="B536" t="s">
        <v>1447</v>
      </c>
      <c r="C536">
        <v>10</v>
      </c>
      <c r="D536" s="321">
        <v>46188</v>
      </c>
      <c r="E536" s="321">
        <v>46199</v>
      </c>
      <c r="F536">
        <v>71</v>
      </c>
      <c r="G536" t="s">
        <v>390</v>
      </c>
    </row>
    <row r="537" spans="1:7">
      <c r="A537" t="s">
        <v>1448</v>
      </c>
      <c r="B537" t="s">
        <v>1449</v>
      </c>
      <c r="C537">
        <v>5</v>
      </c>
      <c r="D537" s="321">
        <v>46216</v>
      </c>
      <c r="E537" s="321">
        <v>46220</v>
      </c>
      <c r="F537">
        <v>81</v>
      </c>
      <c r="G537" t="s">
        <v>390</v>
      </c>
    </row>
    <row r="538" spans="1:7">
      <c r="A538" t="s">
        <v>1450</v>
      </c>
      <c r="B538" t="s">
        <v>1451</v>
      </c>
      <c r="C538">
        <v>10</v>
      </c>
      <c r="D538" s="321">
        <v>46155</v>
      </c>
      <c r="E538" s="321">
        <v>46168</v>
      </c>
      <c r="F538">
        <v>0</v>
      </c>
      <c r="G538" t="s">
        <v>390</v>
      </c>
    </row>
    <row r="539" spans="1:7">
      <c r="A539" t="s">
        <v>1452</v>
      </c>
      <c r="B539" t="s">
        <v>1453</v>
      </c>
      <c r="C539">
        <v>10</v>
      </c>
      <c r="D539" s="321">
        <v>46185</v>
      </c>
      <c r="E539" s="321">
        <v>46198</v>
      </c>
      <c r="F539">
        <v>112</v>
      </c>
      <c r="G539" t="s">
        <v>390</v>
      </c>
    </row>
    <row r="540" spans="1:7">
      <c r="A540" t="s">
        <v>1454</v>
      </c>
      <c r="B540" t="s">
        <v>1455</v>
      </c>
      <c r="C540">
        <v>5</v>
      </c>
      <c r="D540" s="321">
        <v>46213</v>
      </c>
      <c r="E540" s="321">
        <v>46219</v>
      </c>
      <c r="F540">
        <v>112</v>
      </c>
      <c r="G540" t="s">
        <v>390</v>
      </c>
    </row>
    <row r="541" spans="1:7">
      <c r="A541" t="s">
        <v>1456</v>
      </c>
      <c r="B541" t="s">
        <v>1457</v>
      </c>
      <c r="C541">
        <v>10</v>
      </c>
      <c r="D541" s="321">
        <v>46155</v>
      </c>
      <c r="E541" s="321">
        <v>46168</v>
      </c>
      <c r="F541">
        <v>0</v>
      </c>
      <c r="G541" t="s">
        <v>390</v>
      </c>
    </row>
    <row r="542" spans="1:7">
      <c r="A542" t="s">
        <v>1458</v>
      </c>
      <c r="B542" t="s">
        <v>1459</v>
      </c>
      <c r="C542">
        <v>10</v>
      </c>
      <c r="D542" s="321">
        <v>46185</v>
      </c>
      <c r="E542" s="321">
        <v>46198</v>
      </c>
      <c r="F542">
        <v>112</v>
      </c>
      <c r="G542" t="s">
        <v>390</v>
      </c>
    </row>
    <row r="543" spans="1:7">
      <c r="A543" t="s">
        <v>1460</v>
      </c>
      <c r="B543" t="s">
        <v>1461</v>
      </c>
      <c r="C543">
        <v>5</v>
      </c>
      <c r="D543" s="321">
        <v>46213</v>
      </c>
      <c r="E543" s="321">
        <v>46219</v>
      </c>
      <c r="F543">
        <v>112</v>
      </c>
      <c r="G543" t="s">
        <v>390</v>
      </c>
    </row>
    <row r="544" spans="1:7">
      <c r="A544" t="s">
        <v>1462</v>
      </c>
      <c r="B544" t="s">
        <v>1463</v>
      </c>
      <c r="C544">
        <v>10</v>
      </c>
      <c r="D544" s="321">
        <v>46155</v>
      </c>
      <c r="E544" s="321">
        <v>46168</v>
      </c>
      <c r="F544">
        <v>0</v>
      </c>
      <c r="G544" t="s">
        <v>390</v>
      </c>
    </row>
    <row r="545" spans="1:7">
      <c r="A545" t="s">
        <v>1464</v>
      </c>
      <c r="B545" t="s">
        <v>1465</v>
      </c>
      <c r="C545">
        <v>10</v>
      </c>
      <c r="D545" s="321">
        <v>46185</v>
      </c>
      <c r="E545" s="321">
        <v>46198</v>
      </c>
      <c r="F545">
        <v>112</v>
      </c>
      <c r="G545" t="s">
        <v>390</v>
      </c>
    </row>
    <row r="546" spans="1:7">
      <c r="A546" t="s">
        <v>1466</v>
      </c>
      <c r="B546" t="s">
        <v>1467</v>
      </c>
      <c r="C546">
        <v>5</v>
      </c>
      <c r="D546" s="321">
        <v>46213</v>
      </c>
      <c r="E546" s="321">
        <v>46219</v>
      </c>
      <c r="F546">
        <v>112</v>
      </c>
      <c r="G546" t="s">
        <v>390</v>
      </c>
    </row>
    <row r="547" spans="1:7">
      <c r="A547" t="s">
        <v>1468</v>
      </c>
      <c r="B547" t="s">
        <v>1469</v>
      </c>
      <c r="C547">
        <v>10</v>
      </c>
      <c r="D547" s="321">
        <v>46155</v>
      </c>
      <c r="E547" s="321">
        <v>46168</v>
      </c>
      <c r="F547">
        <v>0</v>
      </c>
      <c r="G547" t="s">
        <v>390</v>
      </c>
    </row>
    <row r="548" spans="1:7">
      <c r="A548" t="s">
        <v>1470</v>
      </c>
      <c r="B548" t="s">
        <v>1471</v>
      </c>
      <c r="C548">
        <v>10</v>
      </c>
      <c r="D548" s="321">
        <v>46185</v>
      </c>
      <c r="E548" s="321">
        <v>46198</v>
      </c>
      <c r="F548">
        <v>112</v>
      </c>
      <c r="G548" t="s">
        <v>390</v>
      </c>
    </row>
    <row r="549" spans="1:7">
      <c r="A549" t="s">
        <v>1472</v>
      </c>
      <c r="B549" t="s">
        <v>1473</v>
      </c>
      <c r="C549">
        <v>5</v>
      </c>
      <c r="D549" s="321">
        <v>46213</v>
      </c>
      <c r="E549" s="321">
        <v>46219</v>
      </c>
      <c r="F549">
        <v>112</v>
      </c>
      <c r="G549" t="s">
        <v>390</v>
      </c>
    </row>
    <row r="550" spans="1:7">
      <c r="A550" t="s">
        <v>1474</v>
      </c>
      <c r="B550" t="s">
        <v>1475</v>
      </c>
      <c r="C550">
        <v>10</v>
      </c>
      <c r="D550" s="321">
        <v>46155</v>
      </c>
      <c r="E550" s="321">
        <v>46168</v>
      </c>
      <c r="F550">
        <v>0</v>
      </c>
      <c r="G550" t="s">
        <v>390</v>
      </c>
    </row>
    <row r="551" spans="1:7">
      <c r="A551" t="s">
        <v>1476</v>
      </c>
      <c r="B551" t="s">
        <v>1477</v>
      </c>
      <c r="C551">
        <v>10</v>
      </c>
      <c r="D551" s="321">
        <v>46185</v>
      </c>
      <c r="E551" s="321">
        <v>46198</v>
      </c>
      <c r="F551">
        <v>112</v>
      </c>
      <c r="G551" t="s">
        <v>390</v>
      </c>
    </row>
    <row r="552" spans="1:7">
      <c r="A552" t="s">
        <v>1478</v>
      </c>
      <c r="B552" t="s">
        <v>1479</v>
      </c>
      <c r="C552">
        <v>5</v>
      </c>
      <c r="D552" s="321">
        <v>46213</v>
      </c>
      <c r="E552" s="321">
        <v>46219</v>
      </c>
      <c r="F552">
        <v>112</v>
      </c>
      <c r="G552" t="s">
        <v>390</v>
      </c>
    </row>
    <row r="553" spans="1:7">
      <c r="A553" t="s">
        <v>1480</v>
      </c>
      <c r="B553" t="s">
        <v>1481</v>
      </c>
      <c r="C553">
        <v>25</v>
      </c>
      <c r="D553" s="321">
        <v>46169</v>
      </c>
      <c r="E553" s="321">
        <v>46205</v>
      </c>
      <c r="F553">
        <v>27</v>
      </c>
      <c r="G553" t="s">
        <v>390</v>
      </c>
    </row>
    <row r="554" spans="1:7">
      <c r="A554" t="s">
        <v>1482</v>
      </c>
      <c r="B554" t="s">
        <v>1483</v>
      </c>
      <c r="C554">
        <v>15</v>
      </c>
      <c r="D554" s="321">
        <v>46220</v>
      </c>
      <c r="E554" s="321">
        <v>46245</v>
      </c>
      <c r="F554">
        <v>72</v>
      </c>
      <c r="G554" t="s">
        <v>390</v>
      </c>
    </row>
    <row r="555" spans="1:7">
      <c r="A555" t="s">
        <v>1484</v>
      </c>
      <c r="B555" t="s">
        <v>1485</v>
      </c>
      <c r="C555">
        <v>15</v>
      </c>
      <c r="D555" s="321">
        <v>46261</v>
      </c>
      <c r="E555" s="321">
        <v>46281</v>
      </c>
      <c r="F555">
        <v>72</v>
      </c>
      <c r="G555" t="s">
        <v>390</v>
      </c>
    </row>
    <row r="556" spans="1:7">
      <c r="A556" t="s">
        <v>1486</v>
      </c>
      <c r="B556" t="s">
        <v>1487</v>
      </c>
      <c r="C556">
        <v>25</v>
      </c>
      <c r="D556" s="321">
        <v>46169</v>
      </c>
      <c r="E556" s="321">
        <v>46205</v>
      </c>
      <c r="F556">
        <v>47</v>
      </c>
      <c r="G556" t="s">
        <v>390</v>
      </c>
    </row>
    <row r="557" spans="1:7">
      <c r="A557" t="s">
        <v>1488</v>
      </c>
      <c r="B557" t="s">
        <v>1489</v>
      </c>
      <c r="C557">
        <v>15</v>
      </c>
      <c r="D557" s="321">
        <v>46220</v>
      </c>
      <c r="E557" s="321">
        <v>46245</v>
      </c>
      <c r="F557">
        <v>72</v>
      </c>
      <c r="G557" t="s">
        <v>390</v>
      </c>
    </row>
    <row r="558" spans="1:7">
      <c r="A558" t="s">
        <v>1490</v>
      </c>
      <c r="B558" t="s">
        <v>1491</v>
      </c>
      <c r="C558">
        <v>15</v>
      </c>
      <c r="D558" s="321">
        <v>46261</v>
      </c>
      <c r="E558" s="321">
        <v>46281</v>
      </c>
      <c r="F558">
        <v>72</v>
      </c>
      <c r="G558" t="s">
        <v>390</v>
      </c>
    </row>
    <row r="559" spans="1:7">
      <c r="A559" t="s">
        <v>1492</v>
      </c>
      <c r="B559" t="s">
        <v>1493</v>
      </c>
      <c r="C559">
        <v>25</v>
      </c>
      <c r="D559" s="321">
        <v>46169</v>
      </c>
      <c r="E559" s="321">
        <v>46205</v>
      </c>
      <c r="F559">
        <v>42</v>
      </c>
      <c r="G559" t="s">
        <v>390</v>
      </c>
    </row>
    <row r="560" spans="1:7">
      <c r="A560" t="s">
        <v>1494</v>
      </c>
      <c r="B560" t="s">
        <v>1495</v>
      </c>
      <c r="C560">
        <v>15</v>
      </c>
      <c r="D560" s="321">
        <v>46220</v>
      </c>
      <c r="E560" s="321">
        <v>46245</v>
      </c>
      <c r="F560">
        <v>72</v>
      </c>
      <c r="G560" t="s">
        <v>390</v>
      </c>
    </row>
    <row r="561" spans="1:7">
      <c r="A561" t="s">
        <v>1496</v>
      </c>
      <c r="B561" t="s">
        <v>1497</v>
      </c>
      <c r="C561">
        <v>15</v>
      </c>
      <c r="D561" s="321">
        <v>46261</v>
      </c>
      <c r="E561" s="321">
        <v>46281</v>
      </c>
      <c r="F561">
        <v>72</v>
      </c>
      <c r="G561" t="s">
        <v>390</v>
      </c>
    </row>
    <row r="562" spans="1:7">
      <c r="A562" t="s">
        <v>1498</v>
      </c>
      <c r="B562" t="s">
        <v>1499</v>
      </c>
      <c r="C562">
        <v>25</v>
      </c>
      <c r="D562" s="321">
        <v>46178</v>
      </c>
      <c r="E562" s="321">
        <v>46212</v>
      </c>
      <c r="F562">
        <v>42</v>
      </c>
      <c r="G562" t="s">
        <v>390</v>
      </c>
    </row>
    <row r="563" spans="1:7">
      <c r="A563" t="s">
        <v>1500</v>
      </c>
      <c r="B563" t="s">
        <v>1501</v>
      </c>
      <c r="C563">
        <v>15</v>
      </c>
      <c r="D563" s="321">
        <v>46227</v>
      </c>
      <c r="E563" s="321">
        <v>46253</v>
      </c>
      <c r="F563">
        <v>67</v>
      </c>
      <c r="G563" t="s">
        <v>390</v>
      </c>
    </row>
    <row r="564" spans="1:7">
      <c r="A564" t="s">
        <v>1502</v>
      </c>
      <c r="B564" t="s">
        <v>1503</v>
      </c>
      <c r="C564">
        <v>15</v>
      </c>
      <c r="D564" s="321">
        <v>46268</v>
      </c>
      <c r="E564" s="321">
        <v>46288</v>
      </c>
      <c r="F564">
        <v>67</v>
      </c>
      <c r="G564" t="s">
        <v>390</v>
      </c>
    </row>
    <row r="565" spans="1:7">
      <c r="A565" t="s">
        <v>1504</v>
      </c>
      <c r="B565" t="s">
        <v>1505</v>
      </c>
      <c r="C565">
        <v>25</v>
      </c>
      <c r="D565" s="321">
        <v>46169</v>
      </c>
      <c r="E565" s="321">
        <v>46205</v>
      </c>
      <c r="F565">
        <v>42</v>
      </c>
      <c r="G565" t="s">
        <v>390</v>
      </c>
    </row>
    <row r="566" spans="1:7">
      <c r="A566" t="s">
        <v>1506</v>
      </c>
      <c r="B566" t="s">
        <v>1507</v>
      </c>
      <c r="C566">
        <v>15</v>
      </c>
      <c r="D566" s="321">
        <v>46220</v>
      </c>
      <c r="E566" s="321">
        <v>46245</v>
      </c>
      <c r="F566">
        <v>72</v>
      </c>
      <c r="G566" t="s">
        <v>390</v>
      </c>
    </row>
    <row r="567" spans="1:7">
      <c r="A567" t="s">
        <v>1508</v>
      </c>
      <c r="B567" t="s">
        <v>1509</v>
      </c>
      <c r="C567">
        <v>15</v>
      </c>
      <c r="D567" s="321">
        <v>46261</v>
      </c>
      <c r="E567" s="321">
        <v>46281</v>
      </c>
      <c r="F567">
        <v>72</v>
      </c>
      <c r="G567" t="s">
        <v>390</v>
      </c>
    </row>
    <row r="568" spans="1:7">
      <c r="A568" t="s">
        <v>1510</v>
      </c>
      <c r="B568" t="s">
        <v>1511</v>
      </c>
      <c r="C568">
        <v>25</v>
      </c>
      <c r="D568" s="321">
        <v>46178</v>
      </c>
      <c r="E568" s="321">
        <v>46212</v>
      </c>
      <c r="F568">
        <v>42</v>
      </c>
      <c r="G568" t="s">
        <v>390</v>
      </c>
    </row>
    <row r="569" spans="1:7">
      <c r="A569" t="s">
        <v>1512</v>
      </c>
      <c r="B569" t="s">
        <v>1513</v>
      </c>
      <c r="C569">
        <v>15</v>
      </c>
      <c r="D569" s="321">
        <v>46227</v>
      </c>
      <c r="E569" s="321">
        <v>46253</v>
      </c>
      <c r="F569">
        <v>67</v>
      </c>
      <c r="G569" t="s">
        <v>390</v>
      </c>
    </row>
    <row r="570" spans="1:7">
      <c r="A570" t="s">
        <v>1514</v>
      </c>
      <c r="B570" t="s">
        <v>1515</v>
      </c>
      <c r="C570">
        <v>15</v>
      </c>
      <c r="D570" s="321">
        <v>46268</v>
      </c>
      <c r="E570" s="321">
        <v>46288</v>
      </c>
      <c r="F570">
        <v>67</v>
      </c>
      <c r="G570" t="s">
        <v>390</v>
      </c>
    </row>
    <row r="571" spans="1:7">
      <c r="A571" t="s">
        <v>1516</v>
      </c>
      <c r="B571" t="s">
        <v>1517</v>
      </c>
      <c r="C571">
        <v>25</v>
      </c>
      <c r="D571" s="321">
        <v>46178</v>
      </c>
      <c r="E571" s="321">
        <v>46212</v>
      </c>
      <c r="F571">
        <v>42</v>
      </c>
      <c r="G571" t="s">
        <v>390</v>
      </c>
    </row>
    <row r="572" spans="1:7">
      <c r="A572" t="s">
        <v>1518</v>
      </c>
      <c r="B572" t="s">
        <v>1519</v>
      </c>
      <c r="C572">
        <v>15</v>
      </c>
      <c r="D572" s="321">
        <v>46227</v>
      </c>
      <c r="E572" s="321">
        <v>46253</v>
      </c>
      <c r="F572">
        <v>67</v>
      </c>
      <c r="G572" t="s">
        <v>390</v>
      </c>
    </row>
    <row r="573" spans="1:7">
      <c r="A573" t="s">
        <v>1520</v>
      </c>
      <c r="B573" t="s">
        <v>1521</v>
      </c>
      <c r="C573">
        <v>15</v>
      </c>
      <c r="D573" s="321">
        <v>46268</v>
      </c>
      <c r="E573" s="321">
        <v>46288</v>
      </c>
      <c r="F573">
        <v>67</v>
      </c>
      <c r="G573" t="s">
        <v>390</v>
      </c>
    </row>
    <row r="574" spans="1:7">
      <c r="A574" t="s">
        <v>1522</v>
      </c>
      <c r="B574" t="s">
        <v>1523</v>
      </c>
      <c r="C574">
        <v>25</v>
      </c>
      <c r="D574" s="321">
        <v>46169</v>
      </c>
      <c r="E574" s="321">
        <v>46205</v>
      </c>
      <c r="F574">
        <v>27</v>
      </c>
      <c r="G574" t="s">
        <v>390</v>
      </c>
    </row>
    <row r="575" spans="1:7">
      <c r="A575" t="s">
        <v>1524</v>
      </c>
      <c r="B575" t="s">
        <v>1525</v>
      </c>
      <c r="C575">
        <v>15</v>
      </c>
      <c r="D575" s="321">
        <v>46220</v>
      </c>
      <c r="E575" s="321">
        <v>46245</v>
      </c>
      <c r="F575">
        <v>72</v>
      </c>
      <c r="G575" t="s">
        <v>390</v>
      </c>
    </row>
    <row r="576" spans="1:7">
      <c r="A576" t="s">
        <v>1526</v>
      </c>
      <c r="B576" t="s">
        <v>1527</v>
      </c>
      <c r="C576">
        <v>15</v>
      </c>
      <c r="D576" s="321">
        <v>46261</v>
      </c>
      <c r="E576" s="321">
        <v>46281</v>
      </c>
      <c r="F576">
        <v>72</v>
      </c>
      <c r="G576" t="s">
        <v>390</v>
      </c>
    </row>
    <row r="577" spans="1:7">
      <c r="A577" t="s">
        <v>1528</v>
      </c>
      <c r="B577" t="s">
        <v>1529</v>
      </c>
      <c r="C577">
        <v>25</v>
      </c>
      <c r="D577" s="321">
        <v>46178</v>
      </c>
      <c r="E577" s="321">
        <v>46212</v>
      </c>
      <c r="F577">
        <v>27</v>
      </c>
      <c r="G577" t="s">
        <v>390</v>
      </c>
    </row>
    <row r="578" spans="1:7">
      <c r="A578" t="s">
        <v>1530</v>
      </c>
      <c r="B578" t="s">
        <v>1531</v>
      </c>
      <c r="C578">
        <v>15</v>
      </c>
      <c r="D578" s="321">
        <v>46227</v>
      </c>
      <c r="E578" s="321">
        <v>46253</v>
      </c>
      <c r="F578">
        <v>67</v>
      </c>
      <c r="G578" t="s">
        <v>390</v>
      </c>
    </row>
    <row r="579" spans="1:7">
      <c r="A579" t="s">
        <v>1532</v>
      </c>
      <c r="B579" t="s">
        <v>1533</v>
      </c>
      <c r="C579">
        <v>15</v>
      </c>
      <c r="D579" s="321">
        <v>46268</v>
      </c>
      <c r="E579" s="321">
        <v>46288</v>
      </c>
      <c r="F579">
        <v>67</v>
      </c>
      <c r="G579" t="s">
        <v>390</v>
      </c>
    </row>
    <row r="580" spans="1:7">
      <c r="A580" t="s">
        <v>1534</v>
      </c>
      <c r="B580" t="s">
        <v>1535</v>
      </c>
      <c r="C580">
        <v>25</v>
      </c>
      <c r="D580" s="321">
        <v>46178</v>
      </c>
      <c r="E580" s="321">
        <v>46212</v>
      </c>
      <c r="F580">
        <v>27</v>
      </c>
      <c r="G580" t="s">
        <v>390</v>
      </c>
    </row>
    <row r="581" spans="1:7">
      <c r="A581" t="s">
        <v>1536</v>
      </c>
      <c r="B581" t="s">
        <v>1537</v>
      </c>
      <c r="C581">
        <v>15</v>
      </c>
      <c r="D581" s="321">
        <v>46227</v>
      </c>
      <c r="E581" s="321">
        <v>46253</v>
      </c>
      <c r="F581">
        <v>67</v>
      </c>
      <c r="G581" t="s">
        <v>390</v>
      </c>
    </row>
    <row r="582" spans="1:7">
      <c r="A582" t="s">
        <v>1538</v>
      </c>
      <c r="B582" t="s">
        <v>1539</v>
      </c>
      <c r="C582">
        <v>15</v>
      </c>
      <c r="D582" s="321">
        <v>46268</v>
      </c>
      <c r="E582" s="321">
        <v>46288</v>
      </c>
      <c r="F582">
        <v>67</v>
      </c>
      <c r="G582" t="s">
        <v>390</v>
      </c>
    </row>
    <row r="583" spans="1:7">
      <c r="A583" t="s">
        <v>1540</v>
      </c>
      <c r="B583" t="s">
        <v>1541</v>
      </c>
      <c r="C583">
        <v>25</v>
      </c>
      <c r="D583" s="321">
        <v>46185</v>
      </c>
      <c r="E583" s="321">
        <v>46219</v>
      </c>
      <c r="F583">
        <v>37</v>
      </c>
      <c r="G583" t="s">
        <v>390</v>
      </c>
    </row>
    <row r="584" spans="1:7">
      <c r="A584" t="s">
        <v>1542</v>
      </c>
      <c r="B584" t="s">
        <v>1543</v>
      </c>
      <c r="C584">
        <v>15</v>
      </c>
      <c r="D584" s="321">
        <v>46239</v>
      </c>
      <c r="E584" s="321">
        <v>46260</v>
      </c>
      <c r="F584">
        <v>62</v>
      </c>
      <c r="G584" t="s">
        <v>390</v>
      </c>
    </row>
    <row r="585" spans="1:7">
      <c r="A585" t="s">
        <v>1544</v>
      </c>
      <c r="B585" t="s">
        <v>1545</v>
      </c>
      <c r="C585">
        <v>15</v>
      </c>
      <c r="D585" s="321">
        <v>46275</v>
      </c>
      <c r="E585" s="321">
        <v>46295</v>
      </c>
      <c r="F585">
        <v>62</v>
      </c>
      <c r="G585" t="s">
        <v>390</v>
      </c>
    </row>
    <row r="586" spans="1:7">
      <c r="A586" t="s">
        <v>1546</v>
      </c>
      <c r="B586" t="s">
        <v>1547</v>
      </c>
      <c r="C586">
        <v>25</v>
      </c>
      <c r="D586" s="321">
        <v>46185</v>
      </c>
      <c r="E586" s="321">
        <v>46219</v>
      </c>
      <c r="F586">
        <v>37</v>
      </c>
      <c r="G586" t="s">
        <v>390</v>
      </c>
    </row>
    <row r="587" spans="1:7">
      <c r="A587" t="s">
        <v>1548</v>
      </c>
      <c r="B587" t="s">
        <v>1549</v>
      </c>
      <c r="C587">
        <v>15</v>
      </c>
      <c r="D587" s="321">
        <v>46239</v>
      </c>
      <c r="E587" s="321">
        <v>46260</v>
      </c>
      <c r="F587">
        <v>62</v>
      </c>
      <c r="G587" t="s">
        <v>390</v>
      </c>
    </row>
    <row r="588" spans="1:7">
      <c r="A588" t="s">
        <v>1550</v>
      </c>
      <c r="B588" t="s">
        <v>1551</v>
      </c>
      <c r="C588">
        <v>15</v>
      </c>
      <c r="D588" s="321">
        <v>46275</v>
      </c>
      <c r="E588" s="321">
        <v>46295</v>
      </c>
      <c r="F588">
        <v>62</v>
      </c>
      <c r="G588" t="s">
        <v>390</v>
      </c>
    </row>
    <row r="589" spans="1:7">
      <c r="A589" t="s">
        <v>1552</v>
      </c>
      <c r="B589" t="s">
        <v>1553</v>
      </c>
      <c r="C589">
        <v>25</v>
      </c>
      <c r="D589" s="321">
        <v>46178</v>
      </c>
      <c r="E589" s="321">
        <v>46212</v>
      </c>
      <c r="F589">
        <v>27</v>
      </c>
      <c r="G589" t="s">
        <v>390</v>
      </c>
    </row>
    <row r="590" spans="1:7">
      <c r="A590" t="s">
        <v>1554</v>
      </c>
      <c r="B590" t="s">
        <v>1555</v>
      </c>
      <c r="C590">
        <v>15</v>
      </c>
      <c r="D590" s="321">
        <v>46227</v>
      </c>
      <c r="E590" s="321">
        <v>46253</v>
      </c>
      <c r="F590">
        <v>67</v>
      </c>
      <c r="G590" t="s">
        <v>390</v>
      </c>
    </row>
    <row r="591" spans="1:7">
      <c r="A591" t="s">
        <v>1556</v>
      </c>
      <c r="B591" t="s">
        <v>1557</v>
      </c>
      <c r="C591">
        <v>15</v>
      </c>
      <c r="D591" s="321">
        <v>46268</v>
      </c>
      <c r="E591" s="321">
        <v>46288</v>
      </c>
      <c r="F591">
        <v>67</v>
      </c>
      <c r="G591" t="s">
        <v>390</v>
      </c>
    </row>
    <row r="592" spans="1:7">
      <c r="A592" t="s">
        <v>1558</v>
      </c>
      <c r="B592" t="s">
        <v>1559</v>
      </c>
      <c r="C592">
        <v>25</v>
      </c>
      <c r="D592" s="321">
        <v>46178</v>
      </c>
      <c r="E592" s="321">
        <v>46212</v>
      </c>
      <c r="F592">
        <v>42</v>
      </c>
      <c r="G592" t="s">
        <v>390</v>
      </c>
    </row>
    <row r="593" spans="1:7">
      <c r="A593" t="s">
        <v>1560</v>
      </c>
      <c r="B593" t="s">
        <v>1561</v>
      </c>
      <c r="C593">
        <v>15</v>
      </c>
      <c r="D593" s="321">
        <v>46227</v>
      </c>
      <c r="E593" s="321">
        <v>46253</v>
      </c>
      <c r="F593">
        <v>67</v>
      </c>
      <c r="G593" t="s">
        <v>390</v>
      </c>
    </row>
    <row r="594" spans="1:7">
      <c r="A594" t="s">
        <v>1562</v>
      </c>
      <c r="B594" t="s">
        <v>1563</v>
      </c>
      <c r="C594">
        <v>15</v>
      </c>
      <c r="D594" s="321">
        <v>46268</v>
      </c>
      <c r="E594" s="321">
        <v>46288</v>
      </c>
      <c r="F594">
        <v>67</v>
      </c>
      <c r="G594" t="s">
        <v>390</v>
      </c>
    </row>
    <row r="595" spans="1:7">
      <c r="A595" t="s">
        <v>1564</v>
      </c>
      <c r="B595" t="s">
        <v>1565</v>
      </c>
      <c r="C595">
        <v>25</v>
      </c>
      <c r="D595" s="321">
        <v>46178</v>
      </c>
      <c r="E595" s="321">
        <v>46212</v>
      </c>
      <c r="F595">
        <v>42</v>
      </c>
      <c r="G595" t="s">
        <v>390</v>
      </c>
    </row>
    <row r="596" spans="1:7">
      <c r="A596" t="s">
        <v>1566</v>
      </c>
      <c r="B596" t="s">
        <v>1567</v>
      </c>
      <c r="C596">
        <v>15</v>
      </c>
      <c r="D596" s="321">
        <v>46227</v>
      </c>
      <c r="E596" s="321">
        <v>46253</v>
      </c>
      <c r="F596">
        <v>67</v>
      </c>
      <c r="G596" t="s">
        <v>390</v>
      </c>
    </row>
    <row r="597" spans="1:7">
      <c r="A597" t="s">
        <v>1568</v>
      </c>
      <c r="B597" t="s">
        <v>1569</v>
      </c>
      <c r="C597">
        <v>15</v>
      </c>
      <c r="D597" s="321">
        <v>46268</v>
      </c>
      <c r="E597" s="321">
        <v>46288</v>
      </c>
      <c r="F597">
        <v>67</v>
      </c>
      <c r="G597" t="s">
        <v>390</v>
      </c>
    </row>
    <row r="598" spans="1:7">
      <c r="A598" t="s">
        <v>1570</v>
      </c>
      <c r="B598" t="s">
        <v>1571</v>
      </c>
      <c r="C598">
        <v>25</v>
      </c>
      <c r="D598" s="321">
        <v>46178</v>
      </c>
      <c r="E598" s="321">
        <v>46212</v>
      </c>
      <c r="F598">
        <v>42</v>
      </c>
      <c r="G598" t="s">
        <v>390</v>
      </c>
    </row>
    <row r="599" spans="1:7">
      <c r="A599" t="s">
        <v>1572</v>
      </c>
      <c r="B599" t="s">
        <v>1573</v>
      </c>
      <c r="C599">
        <v>15</v>
      </c>
      <c r="D599" s="321">
        <v>46227</v>
      </c>
      <c r="E599" s="321">
        <v>46253</v>
      </c>
      <c r="F599">
        <v>67</v>
      </c>
      <c r="G599" t="s">
        <v>390</v>
      </c>
    </row>
    <row r="600" spans="1:7">
      <c r="A600" t="s">
        <v>1574</v>
      </c>
      <c r="B600" t="s">
        <v>1575</v>
      </c>
      <c r="C600">
        <v>15</v>
      </c>
      <c r="D600" s="321">
        <v>46268</v>
      </c>
      <c r="E600" s="321">
        <v>46288</v>
      </c>
      <c r="F600">
        <v>67</v>
      </c>
      <c r="G600" t="s">
        <v>390</v>
      </c>
    </row>
    <row r="601" spans="1:7">
      <c r="A601" t="s">
        <v>1576</v>
      </c>
      <c r="B601" t="s">
        <v>1577</v>
      </c>
      <c r="C601">
        <v>25</v>
      </c>
      <c r="D601" s="321">
        <v>46178</v>
      </c>
      <c r="E601" s="321">
        <v>46212</v>
      </c>
      <c r="F601">
        <v>42</v>
      </c>
      <c r="G601" t="s">
        <v>390</v>
      </c>
    </row>
    <row r="602" spans="1:7">
      <c r="A602" t="s">
        <v>1578</v>
      </c>
      <c r="B602" t="s">
        <v>1579</v>
      </c>
      <c r="C602">
        <v>15</v>
      </c>
      <c r="D602" s="321">
        <v>46227</v>
      </c>
      <c r="E602" s="321">
        <v>46253</v>
      </c>
      <c r="F602">
        <v>67</v>
      </c>
      <c r="G602" t="s">
        <v>390</v>
      </c>
    </row>
    <row r="603" spans="1:7">
      <c r="A603" t="s">
        <v>1580</v>
      </c>
      <c r="B603" t="s">
        <v>1581</v>
      </c>
      <c r="C603">
        <v>15</v>
      </c>
      <c r="D603" s="321">
        <v>46268</v>
      </c>
      <c r="E603" s="321">
        <v>46288</v>
      </c>
      <c r="F603">
        <v>67</v>
      </c>
      <c r="G603" t="s">
        <v>390</v>
      </c>
    </row>
    <row r="604" spans="1:7">
      <c r="A604" t="s">
        <v>1582</v>
      </c>
      <c r="B604" t="s">
        <v>1583</v>
      </c>
      <c r="C604">
        <v>25</v>
      </c>
      <c r="D604" s="321">
        <v>46178</v>
      </c>
      <c r="E604" s="321">
        <v>46212</v>
      </c>
      <c r="F604">
        <v>42</v>
      </c>
      <c r="G604" t="s">
        <v>390</v>
      </c>
    </row>
    <row r="605" spans="1:7">
      <c r="A605" t="s">
        <v>1584</v>
      </c>
      <c r="B605" t="s">
        <v>1585</v>
      </c>
      <c r="C605">
        <v>15</v>
      </c>
      <c r="D605" s="321">
        <v>46227</v>
      </c>
      <c r="E605" s="321">
        <v>46253</v>
      </c>
      <c r="F605">
        <v>67</v>
      </c>
      <c r="G605" t="s">
        <v>390</v>
      </c>
    </row>
    <row r="606" spans="1:7">
      <c r="A606" t="s">
        <v>1586</v>
      </c>
      <c r="B606" t="s">
        <v>1587</v>
      </c>
      <c r="C606">
        <v>15</v>
      </c>
      <c r="D606" s="321">
        <v>46268</v>
      </c>
      <c r="E606" s="321">
        <v>46288</v>
      </c>
      <c r="F606">
        <v>67</v>
      </c>
      <c r="G606" t="s">
        <v>390</v>
      </c>
    </row>
    <row r="607" spans="1:7">
      <c r="A607" t="s">
        <v>1588</v>
      </c>
      <c r="B607" t="s">
        <v>1589</v>
      </c>
      <c r="C607">
        <v>25</v>
      </c>
      <c r="D607" s="321">
        <v>46192</v>
      </c>
      <c r="E607" s="321">
        <v>46226</v>
      </c>
      <c r="F607">
        <v>27</v>
      </c>
      <c r="G607" t="s">
        <v>390</v>
      </c>
    </row>
    <row r="608" spans="1:7">
      <c r="A608" t="s">
        <v>1590</v>
      </c>
      <c r="B608" t="s">
        <v>1591</v>
      </c>
      <c r="C608">
        <v>15</v>
      </c>
      <c r="D608" s="321">
        <v>46247</v>
      </c>
      <c r="E608" s="321">
        <v>46267</v>
      </c>
      <c r="F608">
        <v>57</v>
      </c>
      <c r="G608" t="s">
        <v>390</v>
      </c>
    </row>
    <row r="609" spans="1:7">
      <c r="A609" t="s">
        <v>1592</v>
      </c>
      <c r="B609" t="s">
        <v>1593</v>
      </c>
      <c r="C609">
        <v>15</v>
      </c>
      <c r="D609" s="321">
        <v>46282</v>
      </c>
      <c r="E609" s="321">
        <v>46302</v>
      </c>
      <c r="F609">
        <v>57</v>
      </c>
      <c r="G609" t="s">
        <v>390</v>
      </c>
    </row>
    <row r="610" spans="1:7">
      <c r="A610" t="s">
        <v>1594</v>
      </c>
      <c r="B610" t="s">
        <v>1595</v>
      </c>
      <c r="C610">
        <v>25</v>
      </c>
      <c r="D610" s="321">
        <v>46192</v>
      </c>
      <c r="E610" s="321">
        <v>46226</v>
      </c>
      <c r="F610">
        <v>32</v>
      </c>
      <c r="G610" t="s">
        <v>390</v>
      </c>
    </row>
    <row r="611" spans="1:7">
      <c r="A611" t="s">
        <v>1596</v>
      </c>
      <c r="B611" t="s">
        <v>1597</v>
      </c>
      <c r="C611">
        <v>15</v>
      </c>
      <c r="D611" s="321">
        <v>46247</v>
      </c>
      <c r="E611" s="321">
        <v>46267</v>
      </c>
      <c r="F611">
        <v>57</v>
      </c>
      <c r="G611" t="s">
        <v>390</v>
      </c>
    </row>
    <row r="612" spans="1:7">
      <c r="A612" t="s">
        <v>1598</v>
      </c>
      <c r="B612" t="s">
        <v>1599</v>
      </c>
      <c r="C612">
        <v>15</v>
      </c>
      <c r="D612" s="321">
        <v>46282</v>
      </c>
      <c r="E612" s="321">
        <v>46302</v>
      </c>
      <c r="F612">
        <v>57</v>
      </c>
      <c r="G612" t="s">
        <v>390</v>
      </c>
    </row>
    <row r="613" spans="1:7">
      <c r="A613" t="s">
        <v>1600</v>
      </c>
      <c r="B613" t="s">
        <v>1601</v>
      </c>
      <c r="C613">
        <v>25</v>
      </c>
      <c r="D613" s="321">
        <v>46192</v>
      </c>
      <c r="E613" s="321">
        <v>46226</v>
      </c>
      <c r="F613">
        <v>32</v>
      </c>
      <c r="G613" t="s">
        <v>390</v>
      </c>
    </row>
    <row r="614" spans="1:7">
      <c r="A614" t="s">
        <v>1602</v>
      </c>
      <c r="B614" t="s">
        <v>1603</v>
      </c>
      <c r="C614">
        <v>15</v>
      </c>
      <c r="D614" s="321">
        <v>46247</v>
      </c>
      <c r="E614" s="321">
        <v>46267</v>
      </c>
      <c r="F614">
        <v>57</v>
      </c>
      <c r="G614" t="s">
        <v>390</v>
      </c>
    </row>
    <row r="615" spans="1:7">
      <c r="A615" t="s">
        <v>1604</v>
      </c>
      <c r="B615" t="s">
        <v>1605</v>
      </c>
      <c r="C615">
        <v>15</v>
      </c>
      <c r="D615" s="321">
        <v>46282</v>
      </c>
      <c r="E615" s="321">
        <v>46302</v>
      </c>
      <c r="F615">
        <v>57</v>
      </c>
      <c r="G615" t="s">
        <v>390</v>
      </c>
    </row>
    <row r="616" spans="1:7">
      <c r="A616" t="s">
        <v>1606</v>
      </c>
      <c r="B616" t="s">
        <v>1607</v>
      </c>
      <c r="C616">
        <v>25</v>
      </c>
      <c r="D616" s="321">
        <v>46192</v>
      </c>
      <c r="E616" s="321">
        <v>46226</v>
      </c>
      <c r="F616">
        <v>27</v>
      </c>
      <c r="G616" t="s">
        <v>390</v>
      </c>
    </row>
    <row r="617" spans="1:7">
      <c r="A617" t="s">
        <v>1608</v>
      </c>
      <c r="B617" t="s">
        <v>1609</v>
      </c>
      <c r="C617">
        <v>15</v>
      </c>
      <c r="D617" s="321">
        <v>46247</v>
      </c>
      <c r="E617" s="321">
        <v>46267</v>
      </c>
      <c r="F617">
        <v>57</v>
      </c>
      <c r="G617" t="s">
        <v>390</v>
      </c>
    </row>
    <row r="618" spans="1:7">
      <c r="A618" t="s">
        <v>1610</v>
      </c>
      <c r="B618" t="s">
        <v>1611</v>
      </c>
      <c r="C618">
        <v>15</v>
      </c>
      <c r="D618" s="321">
        <v>46282</v>
      </c>
      <c r="E618" s="321">
        <v>46302</v>
      </c>
      <c r="F618">
        <v>57</v>
      </c>
      <c r="G618" t="s">
        <v>390</v>
      </c>
    </row>
    <row r="619" spans="1:7">
      <c r="A619" t="s">
        <v>1612</v>
      </c>
      <c r="B619" t="s">
        <v>1613</v>
      </c>
      <c r="C619">
        <v>25</v>
      </c>
      <c r="D619" s="321">
        <v>46192</v>
      </c>
      <c r="E619" s="321">
        <v>46226</v>
      </c>
      <c r="F619">
        <v>32</v>
      </c>
      <c r="G619" t="s">
        <v>390</v>
      </c>
    </row>
    <row r="620" spans="1:7">
      <c r="A620" t="s">
        <v>1614</v>
      </c>
      <c r="B620" t="s">
        <v>1615</v>
      </c>
      <c r="C620">
        <v>15</v>
      </c>
      <c r="D620" s="321">
        <v>46247</v>
      </c>
      <c r="E620" s="321">
        <v>46267</v>
      </c>
      <c r="F620">
        <v>57</v>
      </c>
      <c r="G620" t="s">
        <v>390</v>
      </c>
    </row>
    <row r="621" spans="1:7">
      <c r="A621" t="s">
        <v>1616</v>
      </c>
      <c r="B621" t="s">
        <v>1617</v>
      </c>
      <c r="C621">
        <v>15</v>
      </c>
      <c r="D621" s="321">
        <v>46282</v>
      </c>
      <c r="E621" s="321">
        <v>46302</v>
      </c>
      <c r="F621">
        <v>57</v>
      </c>
      <c r="G621" t="s">
        <v>390</v>
      </c>
    </row>
    <row r="622" spans="1:7">
      <c r="A622" t="s">
        <v>1618</v>
      </c>
      <c r="B622" t="s">
        <v>1619</v>
      </c>
      <c r="C622">
        <v>25</v>
      </c>
      <c r="D622" s="321">
        <v>46192</v>
      </c>
      <c r="E622" s="321">
        <v>46226</v>
      </c>
      <c r="F622">
        <v>27</v>
      </c>
      <c r="G622" t="s">
        <v>390</v>
      </c>
    </row>
    <row r="623" spans="1:7">
      <c r="A623" t="s">
        <v>1620</v>
      </c>
      <c r="B623" t="s">
        <v>1621</v>
      </c>
      <c r="C623">
        <v>15</v>
      </c>
      <c r="D623" s="321">
        <v>46247</v>
      </c>
      <c r="E623" s="321">
        <v>46267</v>
      </c>
      <c r="F623">
        <v>57</v>
      </c>
      <c r="G623" t="s">
        <v>390</v>
      </c>
    </row>
    <row r="624" spans="1:7">
      <c r="A624" t="s">
        <v>1622</v>
      </c>
      <c r="B624" t="s">
        <v>1623</v>
      </c>
      <c r="C624">
        <v>15</v>
      </c>
      <c r="D624" s="321">
        <v>46282</v>
      </c>
      <c r="E624" s="321">
        <v>46302</v>
      </c>
      <c r="F624">
        <v>57</v>
      </c>
      <c r="G624" t="s">
        <v>390</v>
      </c>
    </row>
    <row r="625" spans="1:7">
      <c r="A625" t="s">
        <v>1624</v>
      </c>
      <c r="B625" t="s">
        <v>1625</v>
      </c>
      <c r="C625">
        <v>25</v>
      </c>
      <c r="D625" s="321">
        <v>46192</v>
      </c>
      <c r="E625" s="321">
        <v>46226</v>
      </c>
      <c r="F625">
        <v>32</v>
      </c>
      <c r="G625" t="s">
        <v>390</v>
      </c>
    </row>
    <row r="626" spans="1:7">
      <c r="A626" t="s">
        <v>1626</v>
      </c>
      <c r="B626" t="s">
        <v>1627</v>
      </c>
      <c r="C626">
        <v>15</v>
      </c>
      <c r="D626" s="321">
        <v>46247</v>
      </c>
      <c r="E626" s="321">
        <v>46267</v>
      </c>
      <c r="F626">
        <v>57</v>
      </c>
      <c r="G626" t="s">
        <v>390</v>
      </c>
    </row>
    <row r="627" spans="1:7">
      <c r="A627" t="s">
        <v>1628</v>
      </c>
      <c r="B627" t="s">
        <v>1629</v>
      </c>
      <c r="C627">
        <v>15</v>
      </c>
      <c r="D627" s="321">
        <v>46282</v>
      </c>
      <c r="E627" s="321">
        <v>46302</v>
      </c>
      <c r="F627">
        <v>57</v>
      </c>
      <c r="G627" t="s">
        <v>390</v>
      </c>
    </row>
    <row r="628" spans="1:7">
      <c r="A628" t="s">
        <v>1630</v>
      </c>
      <c r="B628" t="s">
        <v>1631</v>
      </c>
      <c r="C628">
        <v>25</v>
      </c>
      <c r="D628" s="321">
        <v>46192</v>
      </c>
      <c r="E628" s="321">
        <v>46226</v>
      </c>
      <c r="F628">
        <v>32</v>
      </c>
      <c r="G628" t="s">
        <v>390</v>
      </c>
    </row>
    <row r="629" spans="1:7">
      <c r="A629" t="s">
        <v>1632</v>
      </c>
      <c r="B629" t="s">
        <v>1633</v>
      </c>
      <c r="C629">
        <v>15</v>
      </c>
      <c r="D629" s="321">
        <v>46247</v>
      </c>
      <c r="E629" s="321">
        <v>46267</v>
      </c>
      <c r="F629">
        <v>57</v>
      </c>
      <c r="G629" t="s">
        <v>390</v>
      </c>
    </row>
    <row r="630" spans="1:7">
      <c r="A630" t="s">
        <v>1634</v>
      </c>
      <c r="B630" t="s">
        <v>1635</v>
      </c>
      <c r="C630">
        <v>15</v>
      </c>
      <c r="D630" s="321">
        <v>46282</v>
      </c>
      <c r="E630" s="321">
        <v>46302</v>
      </c>
      <c r="F630">
        <v>57</v>
      </c>
      <c r="G630" t="s">
        <v>390</v>
      </c>
    </row>
    <row r="631" spans="1:7">
      <c r="A631" t="s">
        <v>1636</v>
      </c>
      <c r="B631" t="s">
        <v>1637</v>
      </c>
      <c r="C631">
        <v>25</v>
      </c>
      <c r="D631" s="321">
        <v>46192</v>
      </c>
      <c r="E631" s="321">
        <v>46226</v>
      </c>
      <c r="F631">
        <v>32</v>
      </c>
      <c r="G631" t="s">
        <v>390</v>
      </c>
    </row>
    <row r="632" spans="1:7">
      <c r="A632" t="s">
        <v>1638</v>
      </c>
      <c r="B632" t="s">
        <v>1639</v>
      </c>
      <c r="C632">
        <v>15</v>
      </c>
      <c r="D632" s="321">
        <v>46247</v>
      </c>
      <c r="E632" s="321">
        <v>46267</v>
      </c>
      <c r="F632">
        <v>57</v>
      </c>
      <c r="G632" t="s">
        <v>390</v>
      </c>
    </row>
    <row r="633" spans="1:7">
      <c r="A633" t="s">
        <v>1640</v>
      </c>
      <c r="B633" t="s">
        <v>1641</v>
      </c>
      <c r="C633">
        <v>15</v>
      </c>
      <c r="D633" s="321">
        <v>46282</v>
      </c>
      <c r="E633" s="321">
        <v>46302</v>
      </c>
      <c r="F633">
        <v>57</v>
      </c>
      <c r="G633" t="s">
        <v>390</v>
      </c>
    </row>
    <row r="634" spans="1:7">
      <c r="A634" t="s">
        <v>1642</v>
      </c>
      <c r="B634" t="s">
        <v>1643</v>
      </c>
      <c r="C634">
        <v>25</v>
      </c>
      <c r="D634" s="321">
        <v>46199</v>
      </c>
      <c r="E634" s="321">
        <v>46238</v>
      </c>
      <c r="F634">
        <v>27</v>
      </c>
      <c r="G634" t="s">
        <v>390</v>
      </c>
    </row>
    <row r="635" spans="1:7">
      <c r="A635" t="s">
        <v>1644</v>
      </c>
      <c r="B635" t="s">
        <v>1645</v>
      </c>
      <c r="C635">
        <v>15</v>
      </c>
      <c r="D635" s="321">
        <v>46254</v>
      </c>
      <c r="E635" s="321">
        <v>46274</v>
      </c>
      <c r="F635">
        <v>52</v>
      </c>
      <c r="G635" t="s">
        <v>390</v>
      </c>
    </row>
    <row r="636" spans="1:7">
      <c r="A636" t="s">
        <v>1646</v>
      </c>
      <c r="B636" t="s">
        <v>1647</v>
      </c>
      <c r="C636">
        <v>15</v>
      </c>
      <c r="D636" s="321">
        <v>46289</v>
      </c>
      <c r="E636" s="321">
        <v>46310</v>
      </c>
      <c r="F636">
        <v>52</v>
      </c>
      <c r="G636" t="s">
        <v>390</v>
      </c>
    </row>
    <row r="637" spans="1:7">
      <c r="A637" t="s">
        <v>1648</v>
      </c>
      <c r="B637" t="s">
        <v>1649</v>
      </c>
      <c r="C637">
        <v>25</v>
      </c>
      <c r="D637" s="321">
        <v>46199</v>
      </c>
      <c r="E637" s="321">
        <v>46238</v>
      </c>
      <c r="F637">
        <v>27</v>
      </c>
      <c r="G637" t="s">
        <v>390</v>
      </c>
    </row>
    <row r="638" spans="1:7">
      <c r="A638" t="s">
        <v>1650</v>
      </c>
      <c r="B638" t="s">
        <v>1651</v>
      </c>
      <c r="C638">
        <v>15</v>
      </c>
      <c r="D638" s="321">
        <v>46254</v>
      </c>
      <c r="E638" s="321">
        <v>46274</v>
      </c>
      <c r="F638">
        <v>52</v>
      </c>
      <c r="G638" t="s">
        <v>390</v>
      </c>
    </row>
    <row r="639" spans="1:7">
      <c r="A639" t="s">
        <v>1652</v>
      </c>
      <c r="B639" t="s">
        <v>1653</v>
      </c>
      <c r="C639">
        <v>15</v>
      </c>
      <c r="D639" s="321">
        <v>46289</v>
      </c>
      <c r="E639" s="321">
        <v>46310</v>
      </c>
      <c r="F639">
        <v>52</v>
      </c>
      <c r="G639" t="s">
        <v>390</v>
      </c>
    </row>
    <row r="640" spans="1:7">
      <c r="A640" t="s">
        <v>1654</v>
      </c>
      <c r="B640" t="s">
        <v>1655</v>
      </c>
      <c r="C640">
        <v>25</v>
      </c>
      <c r="D640" s="321">
        <v>46199</v>
      </c>
      <c r="E640" s="321">
        <v>46238</v>
      </c>
      <c r="F640">
        <v>27</v>
      </c>
      <c r="G640" t="s">
        <v>390</v>
      </c>
    </row>
    <row r="641" spans="1:7">
      <c r="A641" t="s">
        <v>1656</v>
      </c>
      <c r="B641" t="s">
        <v>1657</v>
      </c>
      <c r="C641">
        <v>15</v>
      </c>
      <c r="D641" s="321">
        <v>46254</v>
      </c>
      <c r="E641" s="321">
        <v>46274</v>
      </c>
      <c r="F641">
        <v>52</v>
      </c>
      <c r="G641" t="s">
        <v>390</v>
      </c>
    </row>
    <row r="642" spans="1:7">
      <c r="A642" t="s">
        <v>1658</v>
      </c>
      <c r="B642" t="s">
        <v>1659</v>
      </c>
      <c r="C642">
        <v>15</v>
      </c>
      <c r="D642" s="321">
        <v>46289</v>
      </c>
      <c r="E642" s="321">
        <v>46310</v>
      </c>
      <c r="F642">
        <v>52</v>
      </c>
      <c r="G642" t="s">
        <v>390</v>
      </c>
    </row>
    <row r="643" spans="1:7">
      <c r="A643" t="s">
        <v>1660</v>
      </c>
      <c r="B643" t="s">
        <v>1661</v>
      </c>
      <c r="C643">
        <v>25</v>
      </c>
      <c r="D643" s="321">
        <v>46199</v>
      </c>
      <c r="E643" s="321">
        <v>46238</v>
      </c>
      <c r="F643">
        <v>27</v>
      </c>
      <c r="G643" t="s">
        <v>390</v>
      </c>
    </row>
    <row r="644" spans="1:7">
      <c r="A644" t="s">
        <v>1662</v>
      </c>
      <c r="B644" t="s">
        <v>1663</v>
      </c>
      <c r="C644">
        <v>15</v>
      </c>
      <c r="D644" s="321">
        <v>46254</v>
      </c>
      <c r="E644" s="321">
        <v>46274</v>
      </c>
      <c r="F644">
        <v>52</v>
      </c>
      <c r="G644" t="s">
        <v>390</v>
      </c>
    </row>
    <row r="645" spans="1:7">
      <c r="A645" t="s">
        <v>1664</v>
      </c>
      <c r="B645" t="s">
        <v>1665</v>
      </c>
      <c r="C645">
        <v>15</v>
      </c>
      <c r="D645" s="321">
        <v>46289</v>
      </c>
      <c r="E645" s="321">
        <v>46310</v>
      </c>
      <c r="F645">
        <v>52</v>
      </c>
      <c r="G645" t="s">
        <v>390</v>
      </c>
    </row>
    <row r="646" spans="1:7">
      <c r="A646" t="s">
        <v>1666</v>
      </c>
      <c r="B646" t="s">
        <v>1667</v>
      </c>
      <c r="C646">
        <v>20</v>
      </c>
      <c r="D646" s="321">
        <v>46140</v>
      </c>
      <c r="E646" s="321">
        <v>46168</v>
      </c>
      <c r="F646">
        <v>0</v>
      </c>
      <c r="G646" t="s">
        <v>390</v>
      </c>
    </row>
    <row r="647" spans="1:7">
      <c r="A647" t="s">
        <v>1668</v>
      </c>
      <c r="B647" t="s">
        <v>1669</v>
      </c>
      <c r="C647">
        <v>10</v>
      </c>
      <c r="D647" s="321">
        <v>46185</v>
      </c>
      <c r="E647" s="321">
        <v>46198</v>
      </c>
      <c r="F647">
        <v>112</v>
      </c>
      <c r="G647" t="s">
        <v>390</v>
      </c>
    </row>
    <row r="648" spans="1:7">
      <c r="A648" t="s">
        <v>1670</v>
      </c>
      <c r="B648" t="s">
        <v>1671</v>
      </c>
      <c r="C648">
        <v>5</v>
      </c>
      <c r="D648" s="321">
        <v>46213</v>
      </c>
      <c r="E648" s="321">
        <v>46219</v>
      </c>
      <c r="F648">
        <v>112</v>
      </c>
      <c r="G648" t="s">
        <v>390</v>
      </c>
    </row>
    <row r="649" spans="1:7">
      <c r="A649" t="s">
        <v>1672</v>
      </c>
      <c r="B649" t="s">
        <v>1673</v>
      </c>
      <c r="C649">
        <v>25</v>
      </c>
      <c r="D649" s="321">
        <v>46239</v>
      </c>
      <c r="E649" s="321">
        <v>46274</v>
      </c>
      <c r="F649">
        <v>27</v>
      </c>
      <c r="G649" t="s">
        <v>390</v>
      </c>
    </row>
    <row r="650" spans="1:7">
      <c r="A650" t="s">
        <v>1674</v>
      </c>
      <c r="B650" t="s">
        <v>1675</v>
      </c>
      <c r="C650">
        <v>15</v>
      </c>
      <c r="D650" s="321">
        <v>46289</v>
      </c>
      <c r="E650" s="321">
        <v>46310</v>
      </c>
      <c r="F650">
        <v>27</v>
      </c>
      <c r="G650" t="s">
        <v>390</v>
      </c>
    </row>
    <row r="651" spans="1:7">
      <c r="A651" t="s">
        <v>1676</v>
      </c>
      <c r="B651" t="s">
        <v>1677</v>
      </c>
      <c r="C651">
        <v>15</v>
      </c>
      <c r="D651" s="321">
        <v>46328</v>
      </c>
      <c r="E651" s="321">
        <v>46346</v>
      </c>
      <c r="F651">
        <v>27</v>
      </c>
      <c r="G651" t="s">
        <v>390</v>
      </c>
    </row>
    <row r="652" spans="1:7">
      <c r="A652" t="s">
        <v>1678</v>
      </c>
      <c r="B652" t="s">
        <v>1679</v>
      </c>
      <c r="C652">
        <v>25</v>
      </c>
      <c r="D652" s="321">
        <v>46170</v>
      </c>
      <c r="E652" s="321">
        <v>46206</v>
      </c>
      <c r="F652">
        <v>46</v>
      </c>
      <c r="G652" t="s">
        <v>390</v>
      </c>
    </row>
    <row r="653" spans="1:7">
      <c r="A653" t="s">
        <v>1680</v>
      </c>
      <c r="B653" t="s">
        <v>1681</v>
      </c>
      <c r="C653">
        <v>15</v>
      </c>
      <c r="D653" s="321">
        <v>46223</v>
      </c>
      <c r="E653" s="321">
        <v>46247</v>
      </c>
      <c r="F653">
        <v>56</v>
      </c>
      <c r="G653" t="s">
        <v>390</v>
      </c>
    </row>
    <row r="654" spans="1:7">
      <c r="A654" t="s">
        <v>1682</v>
      </c>
      <c r="B654" t="s">
        <v>1683</v>
      </c>
      <c r="C654">
        <v>15</v>
      </c>
      <c r="D654" s="321">
        <v>46262</v>
      </c>
      <c r="E654" s="321">
        <v>46282</v>
      </c>
      <c r="F654">
        <v>56</v>
      </c>
      <c r="G654" t="s">
        <v>390</v>
      </c>
    </row>
    <row r="655" spans="1:7">
      <c r="A655" t="s">
        <v>1684</v>
      </c>
      <c r="B655" t="s">
        <v>1685</v>
      </c>
      <c r="C655">
        <v>25</v>
      </c>
      <c r="D655" s="321">
        <v>46170</v>
      </c>
      <c r="E655" s="321">
        <v>46206</v>
      </c>
      <c r="F655">
        <v>46</v>
      </c>
      <c r="G655" t="s">
        <v>390</v>
      </c>
    </row>
    <row r="656" spans="1:7">
      <c r="A656" t="s">
        <v>1686</v>
      </c>
      <c r="B656" t="s">
        <v>1687</v>
      </c>
      <c r="C656">
        <v>15</v>
      </c>
      <c r="D656" s="321">
        <v>46223</v>
      </c>
      <c r="E656" s="321">
        <v>46247</v>
      </c>
      <c r="F656">
        <v>56</v>
      </c>
      <c r="G656" t="s">
        <v>390</v>
      </c>
    </row>
    <row r="657" spans="1:7">
      <c r="A657" t="s">
        <v>1688</v>
      </c>
      <c r="B657" t="s">
        <v>1689</v>
      </c>
      <c r="C657">
        <v>15</v>
      </c>
      <c r="D657" s="321">
        <v>46262</v>
      </c>
      <c r="E657" s="321">
        <v>46282</v>
      </c>
      <c r="F657">
        <v>56</v>
      </c>
      <c r="G657" t="s">
        <v>390</v>
      </c>
    </row>
    <row r="658" spans="1:7">
      <c r="A658" t="s">
        <v>1690</v>
      </c>
      <c r="B658" t="s">
        <v>1691</v>
      </c>
      <c r="C658">
        <v>25</v>
      </c>
      <c r="D658" s="321">
        <v>46170</v>
      </c>
      <c r="E658" s="321">
        <v>46206</v>
      </c>
      <c r="F658">
        <v>71</v>
      </c>
      <c r="G658" t="s">
        <v>390</v>
      </c>
    </row>
    <row r="659" spans="1:7">
      <c r="A659" t="s">
        <v>1692</v>
      </c>
      <c r="B659" t="s">
        <v>1693</v>
      </c>
      <c r="C659">
        <v>15</v>
      </c>
      <c r="D659" s="321">
        <v>46223</v>
      </c>
      <c r="E659" s="321">
        <v>46247</v>
      </c>
      <c r="F659">
        <v>71</v>
      </c>
      <c r="G659" t="s">
        <v>390</v>
      </c>
    </row>
    <row r="660" spans="1:7">
      <c r="A660" t="s">
        <v>1694</v>
      </c>
      <c r="B660" t="s">
        <v>1695</v>
      </c>
      <c r="C660">
        <v>15</v>
      </c>
      <c r="D660" s="321">
        <v>46262</v>
      </c>
      <c r="E660" s="321">
        <v>46282</v>
      </c>
      <c r="F660">
        <v>71</v>
      </c>
      <c r="G660" t="s">
        <v>390</v>
      </c>
    </row>
    <row r="661" spans="1:7">
      <c r="A661" t="s">
        <v>1696</v>
      </c>
      <c r="B661" t="s">
        <v>1697</v>
      </c>
      <c r="C661">
        <v>25</v>
      </c>
      <c r="D661" s="321">
        <v>46170</v>
      </c>
      <c r="E661" s="321">
        <v>46206</v>
      </c>
      <c r="F661">
        <v>46</v>
      </c>
      <c r="G661" t="s">
        <v>390</v>
      </c>
    </row>
    <row r="662" spans="1:7">
      <c r="A662" t="s">
        <v>1698</v>
      </c>
      <c r="B662" t="s">
        <v>1699</v>
      </c>
      <c r="C662">
        <v>15</v>
      </c>
      <c r="D662" s="321">
        <v>46223</v>
      </c>
      <c r="E662" s="321">
        <v>46247</v>
      </c>
      <c r="F662">
        <v>56</v>
      </c>
      <c r="G662" t="s">
        <v>390</v>
      </c>
    </row>
    <row r="663" spans="1:7">
      <c r="A663" t="s">
        <v>1700</v>
      </c>
      <c r="B663" t="s">
        <v>1701</v>
      </c>
      <c r="C663">
        <v>15</v>
      </c>
      <c r="D663" s="321">
        <v>46262</v>
      </c>
      <c r="E663" s="321">
        <v>46282</v>
      </c>
      <c r="F663">
        <v>56</v>
      </c>
      <c r="G663" t="s">
        <v>390</v>
      </c>
    </row>
    <row r="664" spans="1:7">
      <c r="A664" t="s">
        <v>1702</v>
      </c>
      <c r="B664" t="s">
        <v>1703</v>
      </c>
      <c r="C664">
        <v>25</v>
      </c>
      <c r="D664" s="321">
        <v>46209</v>
      </c>
      <c r="E664" s="321">
        <v>46247</v>
      </c>
      <c r="F664">
        <v>46</v>
      </c>
      <c r="G664" t="s">
        <v>390</v>
      </c>
    </row>
    <row r="665" spans="1:7">
      <c r="A665" t="s">
        <v>1704</v>
      </c>
      <c r="B665" t="s">
        <v>1705</v>
      </c>
      <c r="C665">
        <v>15</v>
      </c>
      <c r="D665" s="321">
        <v>46262</v>
      </c>
      <c r="E665" s="321">
        <v>46282</v>
      </c>
      <c r="F665">
        <v>46</v>
      </c>
      <c r="G665" t="s">
        <v>390</v>
      </c>
    </row>
    <row r="666" spans="1:7">
      <c r="A666" t="s">
        <v>1706</v>
      </c>
      <c r="B666" t="s">
        <v>1707</v>
      </c>
      <c r="C666">
        <v>15</v>
      </c>
      <c r="D666" s="321">
        <v>46297</v>
      </c>
      <c r="E666" s="321">
        <v>46321</v>
      </c>
      <c r="F666">
        <v>46</v>
      </c>
      <c r="G666" t="s">
        <v>390</v>
      </c>
    </row>
    <row r="667" spans="1:7">
      <c r="A667" t="s">
        <v>1708</v>
      </c>
      <c r="B667" t="s">
        <v>1709</v>
      </c>
      <c r="C667">
        <v>25</v>
      </c>
      <c r="D667" s="321">
        <v>46209</v>
      </c>
      <c r="E667" s="321">
        <v>46247</v>
      </c>
      <c r="F667">
        <v>46</v>
      </c>
      <c r="G667" t="s">
        <v>390</v>
      </c>
    </row>
    <row r="668" spans="1:7">
      <c r="A668" t="s">
        <v>1710</v>
      </c>
      <c r="B668" t="s">
        <v>1711</v>
      </c>
      <c r="C668">
        <v>15</v>
      </c>
      <c r="D668" s="321">
        <v>46262</v>
      </c>
      <c r="E668" s="321">
        <v>46282</v>
      </c>
      <c r="F668">
        <v>46</v>
      </c>
      <c r="G668" t="s">
        <v>390</v>
      </c>
    </row>
    <row r="669" spans="1:7">
      <c r="A669" t="s">
        <v>1712</v>
      </c>
      <c r="B669" t="s">
        <v>1713</v>
      </c>
      <c r="C669">
        <v>15</v>
      </c>
      <c r="D669" s="321">
        <v>46297</v>
      </c>
      <c r="E669" s="321">
        <v>46321</v>
      </c>
      <c r="F669">
        <v>46</v>
      </c>
      <c r="G669" t="s">
        <v>390</v>
      </c>
    </row>
    <row r="670" spans="1:7">
      <c r="A670" t="s">
        <v>1714</v>
      </c>
      <c r="B670" t="s">
        <v>1715</v>
      </c>
      <c r="C670">
        <v>25</v>
      </c>
      <c r="D670" s="321">
        <v>46209</v>
      </c>
      <c r="E670" s="321">
        <v>46247</v>
      </c>
      <c r="F670">
        <v>46</v>
      </c>
      <c r="G670" t="s">
        <v>390</v>
      </c>
    </row>
    <row r="671" spans="1:7">
      <c r="A671" t="s">
        <v>1716</v>
      </c>
      <c r="B671" t="s">
        <v>1717</v>
      </c>
      <c r="C671">
        <v>15</v>
      </c>
      <c r="D671" s="321">
        <v>46262</v>
      </c>
      <c r="E671" s="321">
        <v>46282</v>
      </c>
      <c r="F671">
        <v>46</v>
      </c>
      <c r="G671" t="s">
        <v>390</v>
      </c>
    </row>
    <row r="672" spans="1:7">
      <c r="A672" t="s">
        <v>1718</v>
      </c>
      <c r="B672" t="s">
        <v>1719</v>
      </c>
      <c r="C672">
        <v>15</v>
      </c>
      <c r="D672" s="321">
        <v>46297</v>
      </c>
      <c r="E672" s="321">
        <v>46321</v>
      </c>
      <c r="F672">
        <v>46</v>
      </c>
      <c r="G672" t="s">
        <v>390</v>
      </c>
    </row>
    <row r="673" spans="1:7">
      <c r="A673" t="s">
        <v>1720</v>
      </c>
      <c r="B673" t="s">
        <v>1721</v>
      </c>
      <c r="C673">
        <v>25</v>
      </c>
      <c r="D673" s="321">
        <v>46209</v>
      </c>
      <c r="E673" s="321">
        <v>46247</v>
      </c>
      <c r="F673">
        <v>46</v>
      </c>
      <c r="G673" t="s">
        <v>390</v>
      </c>
    </row>
    <row r="674" spans="1:7">
      <c r="A674" t="s">
        <v>1722</v>
      </c>
      <c r="B674" t="s">
        <v>1723</v>
      </c>
      <c r="C674">
        <v>15</v>
      </c>
      <c r="D674" s="321">
        <v>46262</v>
      </c>
      <c r="E674" s="321">
        <v>46282</v>
      </c>
      <c r="F674">
        <v>46</v>
      </c>
      <c r="G674" t="s">
        <v>390</v>
      </c>
    </row>
    <row r="675" spans="1:7">
      <c r="A675" t="s">
        <v>1724</v>
      </c>
      <c r="B675" t="s">
        <v>1725</v>
      </c>
      <c r="C675">
        <v>15</v>
      </c>
      <c r="D675" s="321">
        <v>46297</v>
      </c>
      <c r="E675" s="321">
        <v>46321</v>
      </c>
      <c r="F675">
        <v>46</v>
      </c>
      <c r="G675" t="s">
        <v>390</v>
      </c>
    </row>
    <row r="676" spans="1:7">
      <c r="A676" t="s">
        <v>1726</v>
      </c>
      <c r="B676" t="s">
        <v>1727</v>
      </c>
      <c r="C676">
        <v>25</v>
      </c>
      <c r="D676" s="321">
        <v>46209</v>
      </c>
      <c r="E676" s="321">
        <v>46247</v>
      </c>
      <c r="F676">
        <v>46</v>
      </c>
      <c r="G676" t="s">
        <v>390</v>
      </c>
    </row>
    <row r="677" spans="1:7">
      <c r="A677" t="s">
        <v>1728</v>
      </c>
      <c r="B677" t="s">
        <v>1729</v>
      </c>
      <c r="C677">
        <v>15</v>
      </c>
      <c r="D677" s="321">
        <v>46262</v>
      </c>
      <c r="E677" s="321">
        <v>46282</v>
      </c>
      <c r="F677">
        <v>46</v>
      </c>
      <c r="G677" t="s">
        <v>390</v>
      </c>
    </row>
    <row r="678" spans="1:7">
      <c r="A678" t="s">
        <v>1730</v>
      </c>
      <c r="B678" t="s">
        <v>1731</v>
      </c>
      <c r="C678">
        <v>15</v>
      </c>
      <c r="D678" s="321">
        <v>46297</v>
      </c>
      <c r="E678" s="321">
        <v>46321</v>
      </c>
      <c r="F678">
        <v>46</v>
      </c>
      <c r="G678" t="s">
        <v>390</v>
      </c>
    </row>
    <row r="679" spans="1:7">
      <c r="A679" t="s">
        <v>1732</v>
      </c>
      <c r="B679" t="s">
        <v>1733</v>
      </c>
      <c r="C679">
        <v>25</v>
      </c>
      <c r="D679" s="321">
        <v>46209</v>
      </c>
      <c r="E679" s="321">
        <v>46247</v>
      </c>
      <c r="F679">
        <v>46</v>
      </c>
      <c r="G679" t="s">
        <v>390</v>
      </c>
    </row>
    <row r="680" spans="1:7">
      <c r="A680" t="s">
        <v>1734</v>
      </c>
      <c r="B680" t="s">
        <v>1735</v>
      </c>
      <c r="C680">
        <v>15</v>
      </c>
      <c r="D680" s="321">
        <v>46262</v>
      </c>
      <c r="E680" s="321">
        <v>46282</v>
      </c>
      <c r="F680">
        <v>46</v>
      </c>
      <c r="G680" t="s">
        <v>390</v>
      </c>
    </row>
    <row r="681" spans="1:7">
      <c r="A681" t="s">
        <v>1736</v>
      </c>
      <c r="B681" t="s">
        <v>1737</v>
      </c>
      <c r="C681">
        <v>15</v>
      </c>
      <c r="D681" s="321">
        <v>46297</v>
      </c>
      <c r="E681" s="321">
        <v>46321</v>
      </c>
      <c r="F681">
        <v>46</v>
      </c>
      <c r="G681" t="s">
        <v>390</v>
      </c>
    </row>
    <row r="682" spans="1:7">
      <c r="A682" t="s">
        <v>1738</v>
      </c>
      <c r="B682" t="s">
        <v>1739</v>
      </c>
      <c r="C682">
        <v>25</v>
      </c>
      <c r="D682" s="321">
        <v>46209</v>
      </c>
      <c r="E682" s="321">
        <v>46247</v>
      </c>
      <c r="F682">
        <v>46</v>
      </c>
      <c r="G682" t="s">
        <v>390</v>
      </c>
    </row>
    <row r="683" spans="1:7">
      <c r="A683" t="s">
        <v>1740</v>
      </c>
      <c r="B683" t="s">
        <v>1741</v>
      </c>
      <c r="C683">
        <v>15</v>
      </c>
      <c r="D683" s="321">
        <v>46262</v>
      </c>
      <c r="E683" s="321">
        <v>46282</v>
      </c>
      <c r="F683">
        <v>46</v>
      </c>
      <c r="G683" t="s">
        <v>390</v>
      </c>
    </row>
    <row r="684" spans="1:7">
      <c r="A684" t="s">
        <v>1742</v>
      </c>
      <c r="B684" t="s">
        <v>1743</v>
      </c>
      <c r="C684">
        <v>15</v>
      </c>
      <c r="D684" s="321">
        <v>46297</v>
      </c>
      <c r="E684" s="321">
        <v>46321</v>
      </c>
      <c r="F684">
        <v>46</v>
      </c>
      <c r="G684" t="s">
        <v>390</v>
      </c>
    </row>
    <row r="685" spans="1:7">
      <c r="A685" t="s">
        <v>1744</v>
      </c>
      <c r="B685" t="s">
        <v>1745</v>
      </c>
      <c r="C685">
        <v>10</v>
      </c>
      <c r="D685" s="321">
        <v>46254</v>
      </c>
      <c r="E685" s="321">
        <v>46267</v>
      </c>
      <c r="F685">
        <v>47</v>
      </c>
      <c r="G685" t="s">
        <v>390</v>
      </c>
    </row>
    <row r="686" spans="1:7">
      <c r="A686" t="s">
        <v>1746</v>
      </c>
      <c r="B686" t="s">
        <v>1747</v>
      </c>
      <c r="C686">
        <v>10</v>
      </c>
      <c r="D686" s="321">
        <v>46282</v>
      </c>
      <c r="E686" s="321">
        <v>46295</v>
      </c>
      <c r="F686">
        <v>47</v>
      </c>
      <c r="G686" t="s">
        <v>390</v>
      </c>
    </row>
    <row r="687" spans="1:7">
      <c r="A687" t="s">
        <v>1748</v>
      </c>
      <c r="B687" t="s">
        <v>1749</v>
      </c>
      <c r="C687">
        <v>5</v>
      </c>
      <c r="D687" s="321">
        <v>46311</v>
      </c>
      <c r="E687" s="321">
        <v>46317</v>
      </c>
      <c r="F687">
        <v>47</v>
      </c>
      <c r="G687" t="s">
        <v>390</v>
      </c>
    </row>
    <row r="688" spans="1:7">
      <c r="A688" t="s">
        <v>1750</v>
      </c>
      <c r="B688" t="s">
        <v>1751</v>
      </c>
      <c r="C688">
        <v>10</v>
      </c>
      <c r="D688" s="321">
        <v>46156</v>
      </c>
      <c r="E688" s="321">
        <v>46169</v>
      </c>
      <c r="F688">
        <v>111</v>
      </c>
      <c r="G688" t="s">
        <v>390</v>
      </c>
    </row>
    <row r="689" spans="1:7">
      <c r="A689" t="s">
        <v>1752</v>
      </c>
      <c r="B689" t="s">
        <v>1753</v>
      </c>
      <c r="C689">
        <v>10</v>
      </c>
      <c r="D689" s="321">
        <v>46188</v>
      </c>
      <c r="E689" s="321">
        <v>46199</v>
      </c>
      <c r="F689">
        <v>111</v>
      </c>
      <c r="G689" t="s">
        <v>390</v>
      </c>
    </row>
    <row r="690" spans="1:7">
      <c r="A690" t="s">
        <v>1754</v>
      </c>
      <c r="B690" t="s">
        <v>1755</v>
      </c>
      <c r="C690">
        <v>5</v>
      </c>
      <c r="D690" s="321">
        <v>46216</v>
      </c>
      <c r="E690" s="321">
        <v>46220</v>
      </c>
      <c r="F690">
        <v>111</v>
      </c>
      <c r="G690" t="s">
        <v>390</v>
      </c>
    </row>
    <row r="691" spans="1:7">
      <c r="A691" t="s">
        <v>1756</v>
      </c>
      <c r="B691" t="s">
        <v>1757</v>
      </c>
      <c r="C691">
        <v>10</v>
      </c>
      <c r="D691" s="321">
        <v>46155</v>
      </c>
      <c r="E691" s="321">
        <v>46168</v>
      </c>
      <c r="F691">
        <v>112</v>
      </c>
      <c r="G691" t="s">
        <v>390</v>
      </c>
    </row>
    <row r="692" spans="1:7">
      <c r="A692" t="s">
        <v>1758</v>
      </c>
      <c r="B692" t="s">
        <v>1759</v>
      </c>
      <c r="C692">
        <v>10</v>
      </c>
      <c r="D692" s="321">
        <v>46185</v>
      </c>
      <c r="E692" s="321">
        <v>46198</v>
      </c>
      <c r="F692">
        <v>112</v>
      </c>
      <c r="G692" t="s">
        <v>390</v>
      </c>
    </row>
    <row r="693" spans="1:7">
      <c r="A693" t="s">
        <v>1760</v>
      </c>
      <c r="B693" t="s">
        <v>1761</v>
      </c>
      <c r="C693">
        <v>5</v>
      </c>
      <c r="D693" s="321">
        <v>46213</v>
      </c>
      <c r="E693" s="321">
        <v>46219</v>
      </c>
      <c r="F693">
        <v>112</v>
      </c>
      <c r="G693" t="s">
        <v>390</v>
      </c>
    </row>
    <row r="694" spans="1:7">
      <c r="A694" t="s">
        <v>1762</v>
      </c>
      <c r="B694" t="s">
        <v>1457</v>
      </c>
      <c r="C694">
        <v>10</v>
      </c>
      <c r="D694" s="321">
        <v>46155</v>
      </c>
      <c r="E694" s="321">
        <v>46168</v>
      </c>
      <c r="F694">
        <v>112</v>
      </c>
      <c r="G694" t="s">
        <v>390</v>
      </c>
    </row>
    <row r="695" spans="1:7">
      <c r="A695" t="s">
        <v>1763</v>
      </c>
      <c r="B695" t="s">
        <v>1459</v>
      </c>
      <c r="C695">
        <v>10</v>
      </c>
      <c r="D695" s="321">
        <v>46185</v>
      </c>
      <c r="E695" s="321">
        <v>46198</v>
      </c>
      <c r="F695">
        <v>112</v>
      </c>
      <c r="G695" t="s">
        <v>390</v>
      </c>
    </row>
    <row r="696" spans="1:7">
      <c r="A696" t="s">
        <v>1764</v>
      </c>
      <c r="B696" t="s">
        <v>1461</v>
      </c>
      <c r="C696">
        <v>5</v>
      </c>
      <c r="D696" s="321">
        <v>46213</v>
      </c>
      <c r="E696" s="321">
        <v>46219</v>
      </c>
      <c r="F696">
        <v>112</v>
      </c>
      <c r="G696" t="s">
        <v>390</v>
      </c>
    </row>
    <row r="697" spans="1:7">
      <c r="A697" t="s">
        <v>1765</v>
      </c>
      <c r="B697" t="s">
        <v>1766</v>
      </c>
      <c r="C697">
        <v>10</v>
      </c>
      <c r="D697" s="321">
        <v>46155</v>
      </c>
      <c r="E697" s="321">
        <v>46168</v>
      </c>
      <c r="F697">
        <v>112</v>
      </c>
      <c r="G697" t="s">
        <v>390</v>
      </c>
    </row>
    <row r="698" spans="1:7">
      <c r="A698" t="s">
        <v>1767</v>
      </c>
      <c r="B698" t="s">
        <v>1768</v>
      </c>
      <c r="C698">
        <v>10</v>
      </c>
      <c r="D698" s="321">
        <v>46185</v>
      </c>
      <c r="E698" s="321">
        <v>46198</v>
      </c>
      <c r="F698">
        <v>112</v>
      </c>
      <c r="G698" t="s">
        <v>390</v>
      </c>
    </row>
    <row r="699" spans="1:7">
      <c r="A699" t="s">
        <v>1769</v>
      </c>
      <c r="B699" t="s">
        <v>1770</v>
      </c>
      <c r="C699">
        <v>5</v>
      </c>
      <c r="D699" s="321">
        <v>46213</v>
      </c>
      <c r="E699" s="321">
        <v>46219</v>
      </c>
      <c r="F699">
        <v>112</v>
      </c>
      <c r="G699" t="s">
        <v>390</v>
      </c>
    </row>
    <row r="700" spans="1:7">
      <c r="A700" t="s">
        <v>1771</v>
      </c>
      <c r="B700" t="s">
        <v>1772</v>
      </c>
      <c r="C700">
        <v>10</v>
      </c>
      <c r="D700" s="321">
        <v>46155</v>
      </c>
      <c r="E700" s="321">
        <v>46168</v>
      </c>
      <c r="F700">
        <v>112</v>
      </c>
      <c r="G700" t="s">
        <v>390</v>
      </c>
    </row>
    <row r="701" spans="1:7">
      <c r="A701" t="s">
        <v>1773</v>
      </c>
      <c r="B701" t="s">
        <v>1774</v>
      </c>
      <c r="C701">
        <v>10</v>
      </c>
      <c r="D701" s="321">
        <v>46185</v>
      </c>
      <c r="E701" s="321">
        <v>46198</v>
      </c>
      <c r="F701">
        <v>112</v>
      </c>
      <c r="G701" t="s">
        <v>390</v>
      </c>
    </row>
    <row r="702" spans="1:7">
      <c r="A702" t="s">
        <v>1775</v>
      </c>
      <c r="B702" t="s">
        <v>1776</v>
      </c>
      <c r="C702">
        <v>5</v>
      </c>
      <c r="D702" s="321">
        <v>46213</v>
      </c>
      <c r="E702" s="321">
        <v>46219</v>
      </c>
      <c r="F702">
        <v>112</v>
      </c>
      <c r="G702" t="s">
        <v>390</v>
      </c>
    </row>
    <row r="703" spans="1:7">
      <c r="A703" t="s">
        <v>1777</v>
      </c>
      <c r="B703" t="s">
        <v>1778</v>
      </c>
      <c r="C703">
        <v>10</v>
      </c>
      <c r="D703" s="321">
        <v>46155</v>
      </c>
      <c r="E703" s="321">
        <v>46168</v>
      </c>
      <c r="F703">
        <v>112</v>
      </c>
      <c r="G703" t="s">
        <v>390</v>
      </c>
    </row>
    <row r="704" spans="1:7">
      <c r="A704" t="s">
        <v>1779</v>
      </c>
      <c r="B704" t="s">
        <v>1780</v>
      </c>
      <c r="C704">
        <v>10</v>
      </c>
      <c r="D704" s="321">
        <v>46185</v>
      </c>
      <c r="E704" s="321">
        <v>46198</v>
      </c>
      <c r="F704">
        <v>112</v>
      </c>
      <c r="G704" t="s">
        <v>390</v>
      </c>
    </row>
    <row r="705" spans="1:7">
      <c r="A705" t="s">
        <v>1781</v>
      </c>
      <c r="B705" t="s">
        <v>1782</v>
      </c>
      <c r="C705">
        <v>5</v>
      </c>
      <c r="D705" s="321">
        <v>46213</v>
      </c>
      <c r="E705" s="321">
        <v>46219</v>
      </c>
      <c r="F705">
        <v>112</v>
      </c>
      <c r="G705" t="s">
        <v>390</v>
      </c>
    </row>
    <row r="706" spans="1:7">
      <c r="A706" t="s">
        <v>1783</v>
      </c>
      <c r="B706" t="s">
        <v>1784</v>
      </c>
      <c r="C706">
        <v>25</v>
      </c>
      <c r="D706" s="321">
        <v>46169</v>
      </c>
      <c r="E706" s="321">
        <v>46205</v>
      </c>
      <c r="F706">
        <v>72</v>
      </c>
      <c r="G706" t="s">
        <v>390</v>
      </c>
    </row>
    <row r="707" spans="1:7">
      <c r="A707" t="s">
        <v>1785</v>
      </c>
      <c r="B707" t="s">
        <v>1786</v>
      </c>
      <c r="C707">
        <v>15</v>
      </c>
      <c r="D707" s="321">
        <v>46220</v>
      </c>
      <c r="E707" s="321">
        <v>46245</v>
      </c>
      <c r="F707">
        <v>72</v>
      </c>
      <c r="G707" t="s">
        <v>390</v>
      </c>
    </row>
    <row r="708" spans="1:7">
      <c r="A708" t="s">
        <v>1787</v>
      </c>
      <c r="B708" t="s">
        <v>1788</v>
      </c>
      <c r="C708">
        <v>15</v>
      </c>
      <c r="D708" s="321">
        <v>46261</v>
      </c>
      <c r="E708" s="321">
        <v>46281</v>
      </c>
      <c r="F708">
        <v>72</v>
      </c>
      <c r="G708" t="s">
        <v>390</v>
      </c>
    </row>
    <row r="709" spans="1:7">
      <c r="A709" t="s">
        <v>1789</v>
      </c>
      <c r="B709" t="s">
        <v>1790</v>
      </c>
      <c r="C709">
        <v>25</v>
      </c>
      <c r="D709" s="321">
        <v>46169</v>
      </c>
      <c r="E709" s="321">
        <v>46205</v>
      </c>
      <c r="F709">
        <v>72</v>
      </c>
      <c r="G709" t="s">
        <v>390</v>
      </c>
    </row>
    <row r="710" spans="1:7">
      <c r="A710" t="s">
        <v>1791</v>
      </c>
      <c r="B710" t="s">
        <v>1792</v>
      </c>
      <c r="C710">
        <v>15</v>
      </c>
      <c r="D710" s="321">
        <v>46220</v>
      </c>
      <c r="E710" s="321">
        <v>46245</v>
      </c>
      <c r="F710">
        <v>72</v>
      </c>
      <c r="G710" t="s">
        <v>390</v>
      </c>
    </row>
    <row r="711" spans="1:7">
      <c r="A711" t="s">
        <v>1793</v>
      </c>
      <c r="B711" t="s">
        <v>1794</v>
      </c>
      <c r="C711">
        <v>15</v>
      </c>
      <c r="D711" s="321">
        <v>46261</v>
      </c>
      <c r="E711" s="321">
        <v>46281</v>
      </c>
      <c r="F711">
        <v>72</v>
      </c>
      <c r="G711" t="s">
        <v>390</v>
      </c>
    </row>
    <row r="712" spans="1:7">
      <c r="A712" t="s">
        <v>1795</v>
      </c>
      <c r="B712" t="s">
        <v>1796</v>
      </c>
      <c r="C712">
        <v>25</v>
      </c>
      <c r="D712" s="321">
        <v>46169</v>
      </c>
      <c r="E712" s="321">
        <v>46205</v>
      </c>
      <c r="F712">
        <v>72</v>
      </c>
      <c r="G712" t="s">
        <v>390</v>
      </c>
    </row>
    <row r="713" spans="1:7">
      <c r="A713" t="s">
        <v>1797</v>
      </c>
      <c r="B713" t="s">
        <v>1798</v>
      </c>
      <c r="C713">
        <v>15</v>
      </c>
      <c r="D713" s="321">
        <v>46220</v>
      </c>
      <c r="E713" s="321">
        <v>46245</v>
      </c>
      <c r="F713">
        <v>72</v>
      </c>
      <c r="G713" t="s">
        <v>390</v>
      </c>
    </row>
    <row r="714" spans="1:7">
      <c r="A714" t="s">
        <v>1799</v>
      </c>
      <c r="B714" t="s">
        <v>1800</v>
      </c>
      <c r="C714">
        <v>15</v>
      </c>
      <c r="D714" s="321">
        <v>46261</v>
      </c>
      <c r="E714" s="321">
        <v>46281</v>
      </c>
      <c r="F714">
        <v>72</v>
      </c>
      <c r="G714" t="s">
        <v>390</v>
      </c>
    </row>
    <row r="715" spans="1:7">
      <c r="A715" t="s">
        <v>1801</v>
      </c>
      <c r="B715" t="s">
        <v>1802</v>
      </c>
      <c r="C715">
        <v>25</v>
      </c>
      <c r="D715" s="321">
        <v>46178</v>
      </c>
      <c r="E715" s="321">
        <v>46212</v>
      </c>
      <c r="F715">
        <v>67</v>
      </c>
      <c r="G715" t="s">
        <v>390</v>
      </c>
    </row>
    <row r="716" spans="1:7">
      <c r="A716" t="s">
        <v>1803</v>
      </c>
      <c r="B716" t="s">
        <v>1804</v>
      </c>
      <c r="C716">
        <v>15</v>
      </c>
      <c r="D716" s="321">
        <v>46227</v>
      </c>
      <c r="E716" s="321">
        <v>46253</v>
      </c>
      <c r="F716">
        <v>67</v>
      </c>
      <c r="G716" t="s">
        <v>390</v>
      </c>
    </row>
    <row r="717" spans="1:7">
      <c r="A717" t="s">
        <v>1805</v>
      </c>
      <c r="B717" t="s">
        <v>1806</v>
      </c>
      <c r="C717">
        <v>15</v>
      </c>
      <c r="D717" s="321">
        <v>46268</v>
      </c>
      <c r="E717" s="321">
        <v>46288</v>
      </c>
      <c r="F717">
        <v>67</v>
      </c>
      <c r="G717" t="s">
        <v>390</v>
      </c>
    </row>
    <row r="718" spans="1:7">
      <c r="A718" t="s">
        <v>1807</v>
      </c>
      <c r="B718" t="s">
        <v>1808</v>
      </c>
      <c r="C718">
        <v>25</v>
      </c>
      <c r="D718" s="321">
        <v>46169</v>
      </c>
      <c r="E718" s="321">
        <v>46205</v>
      </c>
      <c r="F718">
        <v>72</v>
      </c>
      <c r="G718" t="s">
        <v>390</v>
      </c>
    </row>
    <row r="719" spans="1:7">
      <c r="A719" t="s">
        <v>1809</v>
      </c>
      <c r="B719" t="s">
        <v>1810</v>
      </c>
      <c r="C719">
        <v>15</v>
      </c>
      <c r="D719" s="321">
        <v>46220</v>
      </c>
      <c r="E719" s="321">
        <v>46245</v>
      </c>
      <c r="F719">
        <v>72</v>
      </c>
      <c r="G719" t="s">
        <v>390</v>
      </c>
    </row>
    <row r="720" spans="1:7">
      <c r="A720" t="s">
        <v>1811</v>
      </c>
      <c r="B720" t="s">
        <v>1812</v>
      </c>
      <c r="C720">
        <v>15</v>
      </c>
      <c r="D720" s="321">
        <v>46261</v>
      </c>
      <c r="E720" s="321">
        <v>46281</v>
      </c>
      <c r="F720">
        <v>72</v>
      </c>
      <c r="G720" t="s">
        <v>390</v>
      </c>
    </row>
    <row r="721" spans="1:7">
      <c r="A721" t="s">
        <v>1813</v>
      </c>
      <c r="B721" t="s">
        <v>1814</v>
      </c>
      <c r="C721">
        <v>25</v>
      </c>
      <c r="D721" s="321">
        <v>46178</v>
      </c>
      <c r="E721" s="321">
        <v>46212</v>
      </c>
      <c r="F721">
        <v>67</v>
      </c>
      <c r="G721" t="s">
        <v>390</v>
      </c>
    </row>
    <row r="722" spans="1:7">
      <c r="A722" t="s">
        <v>1815</v>
      </c>
      <c r="B722" t="s">
        <v>1816</v>
      </c>
      <c r="C722">
        <v>15</v>
      </c>
      <c r="D722" s="321">
        <v>46227</v>
      </c>
      <c r="E722" s="321">
        <v>46253</v>
      </c>
      <c r="F722">
        <v>67</v>
      </c>
      <c r="G722" t="s">
        <v>390</v>
      </c>
    </row>
    <row r="723" spans="1:7">
      <c r="A723" t="s">
        <v>1817</v>
      </c>
      <c r="B723" t="s">
        <v>1818</v>
      </c>
      <c r="C723">
        <v>15</v>
      </c>
      <c r="D723" s="321">
        <v>46268</v>
      </c>
      <c r="E723" s="321">
        <v>46288</v>
      </c>
      <c r="F723">
        <v>67</v>
      </c>
      <c r="G723" t="s">
        <v>390</v>
      </c>
    </row>
    <row r="724" spans="1:7">
      <c r="A724" t="s">
        <v>1819</v>
      </c>
      <c r="B724" t="s">
        <v>1820</v>
      </c>
      <c r="C724">
        <v>25</v>
      </c>
      <c r="D724" s="321">
        <v>46178</v>
      </c>
      <c r="E724" s="321">
        <v>46212</v>
      </c>
      <c r="F724">
        <v>67</v>
      </c>
      <c r="G724" t="s">
        <v>390</v>
      </c>
    </row>
    <row r="725" spans="1:7">
      <c r="A725" t="s">
        <v>1821</v>
      </c>
      <c r="B725" t="s">
        <v>1822</v>
      </c>
      <c r="C725">
        <v>15</v>
      </c>
      <c r="D725" s="321">
        <v>46227</v>
      </c>
      <c r="E725" s="321">
        <v>46253</v>
      </c>
      <c r="F725">
        <v>67</v>
      </c>
      <c r="G725" t="s">
        <v>390</v>
      </c>
    </row>
    <row r="726" spans="1:7">
      <c r="A726" t="s">
        <v>1823</v>
      </c>
      <c r="B726" t="s">
        <v>1824</v>
      </c>
      <c r="C726">
        <v>15</v>
      </c>
      <c r="D726" s="321">
        <v>46268</v>
      </c>
      <c r="E726" s="321">
        <v>46288</v>
      </c>
      <c r="F726">
        <v>67</v>
      </c>
      <c r="G726" t="s">
        <v>390</v>
      </c>
    </row>
    <row r="727" spans="1:7">
      <c r="A727" t="s">
        <v>1825</v>
      </c>
      <c r="B727" t="s">
        <v>1826</v>
      </c>
      <c r="C727">
        <v>25</v>
      </c>
      <c r="D727" s="321">
        <v>46169</v>
      </c>
      <c r="E727" s="321">
        <v>46205</v>
      </c>
      <c r="F727">
        <v>72</v>
      </c>
      <c r="G727" t="s">
        <v>390</v>
      </c>
    </row>
    <row r="728" spans="1:7">
      <c r="A728" t="s">
        <v>1827</v>
      </c>
      <c r="B728" t="s">
        <v>1828</v>
      </c>
      <c r="C728">
        <v>15</v>
      </c>
      <c r="D728" s="321">
        <v>46220</v>
      </c>
      <c r="E728" s="321">
        <v>46245</v>
      </c>
      <c r="F728">
        <v>72</v>
      </c>
      <c r="G728" t="s">
        <v>390</v>
      </c>
    </row>
    <row r="729" spans="1:7">
      <c r="A729" t="s">
        <v>1829</v>
      </c>
      <c r="B729" t="s">
        <v>1830</v>
      </c>
      <c r="C729">
        <v>15</v>
      </c>
      <c r="D729" s="321">
        <v>46261</v>
      </c>
      <c r="E729" s="321">
        <v>46281</v>
      </c>
      <c r="F729">
        <v>72</v>
      </c>
      <c r="G729" t="s">
        <v>390</v>
      </c>
    </row>
    <row r="730" spans="1:7">
      <c r="A730" t="s">
        <v>1831</v>
      </c>
      <c r="B730" t="s">
        <v>1832</v>
      </c>
      <c r="C730">
        <v>25</v>
      </c>
      <c r="D730" s="321">
        <v>46178</v>
      </c>
      <c r="E730" s="321">
        <v>46212</v>
      </c>
      <c r="F730">
        <v>67</v>
      </c>
      <c r="G730" t="s">
        <v>390</v>
      </c>
    </row>
    <row r="731" spans="1:7">
      <c r="A731" t="s">
        <v>1833</v>
      </c>
      <c r="B731" t="s">
        <v>1834</v>
      </c>
      <c r="C731">
        <v>15</v>
      </c>
      <c r="D731" s="321">
        <v>46227</v>
      </c>
      <c r="E731" s="321">
        <v>46253</v>
      </c>
      <c r="F731">
        <v>67</v>
      </c>
      <c r="G731" t="s">
        <v>390</v>
      </c>
    </row>
    <row r="732" spans="1:7">
      <c r="A732" t="s">
        <v>1835</v>
      </c>
      <c r="B732" t="s">
        <v>1836</v>
      </c>
      <c r="C732">
        <v>15</v>
      </c>
      <c r="D732" s="321">
        <v>46268</v>
      </c>
      <c r="E732" s="321">
        <v>46288</v>
      </c>
      <c r="F732">
        <v>67</v>
      </c>
      <c r="G732" t="s">
        <v>390</v>
      </c>
    </row>
    <row r="733" spans="1:7">
      <c r="A733" t="s">
        <v>1837</v>
      </c>
      <c r="B733" t="s">
        <v>1838</v>
      </c>
      <c r="C733">
        <v>25</v>
      </c>
      <c r="D733" s="321">
        <v>46178</v>
      </c>
      <c r="E733" s="321">
        <v>46212</v>
      </c>
      <c r="F733">
        <v>67</v>
      </c>
      <c r="G733" t="s">
        <v>390</v>
      </c>
    </row>
    <row r="734" spans="1:7">
      <c r="A734" t="s">
        <v>1839</v>
      </c>
      <c r="B734" t="s">
        <v>1840</v>
      </c>
      <c r="C734">
        <v>15</v>
      </c>
      <c r="D734" s="321">
        <v>46227</v>
      </c>
      <c r="E734" s="321">
        <v>46253</v>
      </c>
      <c r="F734">
        <v>67</v>
      </c>
      <c r="G734" t="s">
        <v>390</v>
      </c>
    </row>
    <row r="735" spans="1:7">
      <c r="A735" t="s">
        <v>1841</v>
      </c>
      <c r="B735" t="s">
        <v>1842</v>
      </c>
      <c r="C735">
        <v>15</v>
      </c>
      <c r="D735" s="321">
        <v>46268</v>
      </c>
      <c r="E735" s="321">
        <v>46288</v>
      </c>
      <c r="F735">
        <v>67</v>
      </c>
      <c r="G735" t="s">
        <v>390</v>
      </c>
    </row>
    <row r="736" spans="1:7">
      <c r="A736" t="s">
        <v>1843</v>
      </c>
      <c r="B736" t="s">
        <v>1844</v>
      </c>
      <c r="C736">
        <v>25</v>
      </c>
      <c r="D736" s="321">
        <v>46185</v>
      </c>
      <c r="E736" s="321">
        <v>46219</v>
      </c>
      <c r="F736">
        <v>62</v>
      </c>
      <c r="G736" t="s">
        <v>390</v>
      </c>
    </row>
    <row r="737" spans="1:7">
      <c r="A737" t="s">
        <v>1845</v>
      </c>
      <c r="B737" t="s">
        <v>1846</v>
      </c>
      <c r="C737">
        <v>15</v>
      </c>
      <c r="D737" s="321">
        <v>46239</v>
      </c>
      <c r="E737" s="321">
        <v>46260</v>
      </c>
      <c r="F737">
        <v>62</v>
      </c>
      <c r="G737" t="s">
        <v>390</v>
      </c>
    </row>
    <row r="738" spans="1:7">
      <c r="A738" t="s">
        <v>1847</v>
      </c>
      <c r="B738" t="s">
        <v>1848</v>
      </c>
      <c r="C738">
        <v>15</v>
      </c>
      <c r="D738" s="321">
        <v>46275</v>
      </c>
      <c r="E738" s="321">
        <v>46295</v>
      </c>
      <c r="F738">
        <v>62</v>
      </c>
      <c r="G738" t="s">
        <v>390</v>
      </c>
    </row>
    <row r="739" spans="1:7">
      <c r="A739" t="s">
        <v>1849</v>
      </c>
      <c r="B739" t="s">
        <v>1850</v>
      </c>
      <c r="C739">
        <v>25</v>
      </c>
      <c r="D739" s="321">
        <v>46185</v>
      </c>
      <c r="E739" s="321">
        <v>46219</v>
      </c>
      <c r="F739">
        <v>62</v>
      </c>
      <c r="G739" t="s">
        <v>390</v>
      </c>
    </row>
    <row r="740" spans="1:7">
      <c r="A740" t="s">
        <v>1851</v>
      </c>
      <c r="B740" t="s">
        <v>1852</v>
      </c>
      <c r="C740">
        <v>15</v>
      </c>
      <c r="D740" s="321">
        <v>46239</v>
      </c>
      <c r="E740" s="321">
        <v>46260</v>
      </c>
      <c r="F740">
        <v>62</v>
      </c>
      <c r="G740" t="s">
        <v>390</v>
      </c>
    </row>
    <row r="741" spans="1:7">
      <c r="A741" t="s">
        <v>1853</v>
      </c>
      <c r="B741" t="s">
        <v>1854</v>
      </c>
      <c r="C741">
        <v>15</v>
      </c>
      <c r="D741" s="321">
        <v>46275</v>
      </c>
      <c r="E741" s="321">
        <v>46295</v>
      </c>
      <c r="F741">
        <v>62</v>
      </c>
      <c r="G741" t="s">
        <v>390</v>
      </c>
    </row>
    <row r="742" spans="1:7">
      <c r="A742" t="s">
        <v>1855</v>
      </c>
      <c r="B742" t="s">
        <v>1856</v>
      </c>
      <c r="C742">
        <v>25</v>
      </c>
      <c r="D742" s="321">
        <v>46178</v>
      </c>
      <c r="E742" s="321">
        <v>46212</v>
      </c>
      <c r="F742">
        <v>67</v>
      </c>
      <c r="G742" t="s">
        <v>390</v>
      </c>
    </row>
    <row r="743" spans="1:7">
      <c r="A743" t="s">
        <v>1857</v>
      </c>
      <c r="B743" t="s">
        <v>1858</v>
      </c>
      <c r="C743">
        <v>15</v>
      </c>
      <c r="D743" s="321">
        <v>46227</v>
      </c>
      <c r="E743" s="321">
        <v>46253</v>
      </c>
      <c r="F743">
        <v>67</v>
      </c>
      <c r="G743" t="s">
        <v>390</v>
      </c>
    </row>
    <row r="744" spans="1:7">
      <c r="A744" t="s">
        <v>1859</v>
      </c>
      <c r="B744" t="s">
        <v>1860</v>
      </c>
      <c r="C744">
        <v>15</v>
      </c>
      <c r="D744" s="321">
        <v>46268</v>
      </c>
      <c r="E744" s="321">
        <v>46288</v>
      </c>
      <c r="F744">
        <v>67</v>
      </c>
      <c r="G744" t="s">
        <v>390</v>
      </c>
    </row>
    <row r="745" spans="1:7">
      <c r="A745" t="s">
        <v>1861</v>
      </c>
      <c r="B745" t="s">
        <v>1862</v>
      </c>
      <c r="C745">
        <v>25</v>
      </c>
      <c r="D745" s="321">
        <v>46178</v>
      </c>
      <c r="E745" s="321">
        <v>46212</v>
      </c>
      <c r="F745">
        <v>67</v>
      </c>
      <c r="G745" t="s">
        <v>390</v>
      </c>
    </row>
    <row r="746" spans="1:7">
      <c r="A746" t="s">
        <v>1863</v>
      </c>
      <c r="B746" t="s">
        <v>1864</v>
      </c>
      <c r="C746">
        <v>15</v>
      </c>
      <c r="D746" s="321">
        <v>46227</v>
      </c>
      <c r="E746" s="321">
        <v>46253</v>
      </c>
      <c r="F746">
        <v>67</v>
      </c>
      <c r="G746" t="s">
        <v>390</v>
      </c>
    </row>
    <row r="747" spans="1:7">
      <c r="A747" t="s">
        <v>1865</v>
      </c>
      <c r="B747" t="s">
        <v>1866</v>
      </c>
      <c r="C747">
        <v>15</v>
      </c>
      <c r="D747" s="321">
        <v>46268</v>
      </c>
      <c r="E747" s="321">
        <v>46288</v>
      </c>
      <c r="F747">
        <v>67</v>
      </c>
      <c r="G747" t="s">
        <v>390</v>
      </c>
    </row>
    <row r="748" spans="1:7">
      <c r="A748" t="s">
        <v>1867</v>
      </c>
      <c r="B748" t="s">
        <v>1868</v>
      </c>
      <c r="C748">
        <v>25</v>
      </c>
      <c r="D748" s="321">
        <v>46178</v>
      </c>
      <c r="E748" s="321">
        <v>46212</v>
      </c>
      <c r="F748">
        <v>67</v>
      </c>
      <c r="G748" t="s">
        <v>390</v>
      </c>
    </row>
    <row r="749" spans="1:7">
      <c r="A749" t="s">
        <v>1869</v>
      </c>
      <c r="B749" t="s">
        <v>1870</v>
      </c>
      <c r="C749">
        <v>15</v>
      </c>
      <c r="D749" s="321">
        <v>46227</v>
      </c>
      <c r="E749" s="321">
        <v>46253</v>
      </c>
      <c r="F749">
        <v>67</v>
      </c>
      <c r="G749" t="s">
        <v>390</v>
      </c>
    </row>
    <row r="750" spans="1:7">
      <c r="A750" t="s">
        <v>1871</v>
      </c>
      <c r="B750" t="s">
        <v>1872</v>
      </c>
      <c r="C750">
        <v>15</v>
      </c>
      <c r="D750" s="321">
        <v>46268</v>
      </c>
      <c r="E750" s="321">
        <v>46288</v>
      </c>
      <c r="F750">
        <v>67</v>
      </c>
      <c r="G750" t="s">
        <v>390</v>
      </c>
    </row>
    <row r="751" spans="1:7">
      <c r="A751" t="s">
        <v>1873</v>
      </c>
      <c r="B751" t="s">
        <v>1874</v>
      </c>
      <c r="C751">
        <v>25</v>
      </c>
      <c r="D751" s="321">
        <v>46178</v>
      </c>
      <c r="E751" s="321">
        <v>46212</v>
      </c>
      <c r="F751">
        <v>67</v>
      </c>
      <c r="G751" t="s">
        <v>390</v>
      </c>
    </row>
    <row r="752" spans="1:7">
      <c r="A752" t="s">
        <v>1875</v>
      </c>
      <c r="B752" t="s">
        <v>1876</v>
      </c>
      <c r="C752">
        <v>15</v>
      </c>
      <c r="D752" s="321">
        <v>46227</v>
      </c>
      <c r="E752" s="321">
        <v>46253</v>
      </c>
      <c r="F752">
        <v>67</v>
      </c>
      <c r="G752" t="s">
        <v>390</v>
      </c>
    </row>
    <row r="753" spans="1:7">
      <c r="A753" t="s">
        <v>1877</v>
      </c>
      <c r="B753" t="s">
        <v>1878</v>
      </c>
      <c r="C753">
        <v>15</v>
      </c>
      <c r="D753" s="321">
        <v>46268</v>
      </c>
      <c r="E753" s="321">
        <v>46288</v>
      </c>
      <c r="F753">
        <v>67</v>
      </c>
      <c r="G753" t="s">
        <v>390</v>
      </c>
    </row>
    <row r="754" spans="1:7">
      <c r="A754" t="s">
        <v>1879</v>
      </c>
      <c r="B754" t="s">
        <v>1880</v>
      </c>
      <c r="C754">
        <v>25</v>
      </c>
      <c r="D754" s="321">
        <v>46178</v>
      </c>
      <c r="E754" s="321">
        <v>46212</v>
      </c>
      <c r="F754">
        <v>67</v>
      </c>
      <c r="G754" t="s">
        <v>390</v>
      </c>
    </row>
    <row r="755" spans="1:7">
      <c r="A755" t="s">
        <v>1881</v>
      </c>
      <c r="B755" t="s">
        <v>1882</v>
      </c>
      <c r="C755">
        <v>15</v>
      </c>
      <c r="D755" s="321">
        <v>46227</v>
      </c>
      <c r="E755" s="321">
        <v>46253</v>
      </c>
      <c r="F755">
        <v>67</v>
      </c>
      <c r="G755" t="s">
        <v>390</v>
      </c>
    </row>
    <row r="756" spans="1:7">
      <c r="A756" t="s">
        <v>1883</v>
      </c>
      <c r="B756" t="s">
        <v>1884</v>
      </c>
      <c r="C756">
        <v>15</v>
      </c>
      <c r="D756" s="321">
        <v>46268</v>
      </c>
      <c r="E756" s="321">
        <v>46288</v>
      </c>
      <c r="F756">
        <v>67</v>
      </c>
      <c r="G756" t="s">
        <v>390</v>
      </c>
    </row>
    <row r="757" spans="1:7">
      <c r="A757" t="s">
        <v>1885</v>
      </c>
      <c r="B757" t="s">
        <v>1886</v>
      </c>
      <c r="C757">
        <v>25</v>
      </c>
      <c r="D757" s="321">
        <v>46178</v>
      </c>
      <c r="E757" s="321">
        <v>46212</v>
      </c>
      <c r="F757">
        <v>67</v>
      </c>
      <c r="G757" t="s">
        <v>390</v>
      </c>
    </row>
    <row r="758" spans="1:7">
      <c r="A758" t="s">
        <v>1887</v>
      </c>
      <c r="B758" t="s">
        <v>1888</v>
      </c>
      <c r="C758">
        <v>15</v>
      </c>
      <c r="D758" s="321">
        <v>46227</v>
      </c>
      <c r="E758" s="321">
        <v>46253</v>
      </c>
      <c r="F758">
        <v>67</v>
      </c>
      <c r="G758" t="s">
        <v>390</v>
      </c>
    </row>
    <row r="759" spans="1:7">
      <c r="A759" t="s">
        <v>1889</v>
      </c>
      <c r="B759" t="s">
        <v>1890</v>
      </c>
      <c r="C759">
        <v>15</v>
      </c>
      <c r="D759" s="321">
        <v>46268</v>
      </c>
      <c r="E759" s="321">
        <v>46288</v>
      </c>
      <c r="F759">
        <v>67</v>
      </c>
      <c r="G759" t="s">
        <v>390</v>
      </c>
    </row>
    <row r="760" spans="1:7">
      <c r="A760" t="s">
        <v>1891</v>
      </c>
      <c r="B760" t="s">
        <v>1892</v>
      </c>
      <c r="C760">
        <v>25</v>
      </c>
      <c r="D760" s="321">
        <v>46227</v>
      </c>
      <c r="E760" s="321">
        <v>46267</v>
      </c>
      <c r="F760">
        <v>32</v>
      </c>
      <c r="G760" t="s">
        <v>390</v>
      </c>
    </row>
    <row r="761" spans="1:7">
      <c r="A761" t="s">
        <v>1893</v>
      </c>
      <c r="B761" t="s">
        <v>1894</v>
      </c>
      <c r="C761">
        <v>15</v>
      </c>
      <c r="D761" s="321">
        <v>46282</v>
      </c>
      <c r="E761" s="321">
        <v>46302</v>
      </c>
      <c r="F761">
        <v>32</v>
      </c>
      <c r="G761" t="s">
        <v>390</v>
      </c>
    </row>
    <row r="762" spans="1:7">
      <c r="A762" t="s">
        <v>1895</v>
      </c>
      <c r="B762" t="s">
        <v>1896</v>
      </c>
      <c r="C762">
        <v>15</v>
      </c>
      <c r="D762" s="321">
        <v>46321</v>
      </c>
      <c r="E762" s="321">
        <v>46339</v>
      </c>
      <c r="F762">
        <v>32</v>
      </c>
      <c r="G762" t="s">
        <v>390</v>
      </c>
    </row>
    <row r="763" spans="1:7">
      <c r="A763" t="s">
        <v>1897</v>
      </c>
      <c r="B763" t="s">
        <v>1898</v>
      </c>
      <c r="C763">
        <v>25</v>
      </c>
      <c r="D763" s="321">
        <v>46192</v>
      </c>
      <c r="E763" s="321">
        <v>46226</v>
      </c>
      <c r="F763">
        <v>57</v>
      </c>
      <c r="G763" t="s">
        <v>390</v>
      </c>
    </row>
    <row r="764" spans="1:7">
      <c r="A764" t="s">
        <v>1899</v>
      </c>
      <c r="B764" t="s">
        <v>1900</v>
      </c>
      <c r="C764">
        <v>15</v>
      </c>
      <c r="D764" s="321">
        <v>46247</v>
      </c>
      <c r="E764" s="321">
        <v>46267</v>
      </c>
      <c r="F764">
        <v>57</v>
      </c>
      <c r="G764" t="s">
        <v>390</v>
      </c>
    </row>
    <row r="765" spans="1:7">
      <c r="A765" t="s">
        <v>1901</v>
      </c>
      <c r="B765" t="s">
        <v>1902</v>
      </c>
      <c r="C765">
        <v>15</v>
      </c>
      <c r="D765" s="321">
        <v>46282</v>
      </c>
      <c r="E765" s="321">
        <v>46302</v>
      </c>
      <c r="F765">
        <v>57</v>
      </c>
      <c r="G765" t="s">
        <v>390</v>
      </c>
    </row>
    <row r="766" spans="1:7">
      <c r="A766" t="s">
        <v>1903</v>
      </c>
      <c r="B766" t="s">
        <v>1904</v>
      </c>
      <c r="C766">
        <v>25</v>
      </c>
      <c r="D766" s="321">
        <v>46192</v>
      </c>
      <c r="E766" s="321">
        <v>46226</v>
      </c>
      <c r="F766">
        <v>57</v>
      </c>
      <c r="G766" t="s">
        <v>390</v>
      </c>
    </row>
    <row r="767" spans="1:7">
      <c r="A767" t="s">
        <v>1905</v>
      </c>
      <c r="B767" t="s">
        <v>1906</v>
      </c>
      <c r="C767">
        <v>15</v>
      </c>
      <c r="D767" s="321">
        <v>46247</v>
      </c>
      <c r="E767" s="321">
        <v>46267</v>
      </c>
      <c r="F767">
        <v>57</v>
      </c>
      <c r="G767" t="s">
        <v>390</v>
      </c>
    </row>
    <row r="768" spans="1:7">
      <c r="A768" t="s">
        <v>1907</v>
      </c>
      <c r="B768" t="s">
        <v>1908</v>
      </c>
      <c r="C768">
        <v>15</v>
      </c>
      <c r="D768" s="321">
        <v>46282</v>
      </c>
      <c r="E768" s="321">
        <v>46302</v>
      </c>
      <c r="F768">
        <v>57</v>
      </c>
      <c r="G768" t="s">
        <v>390</v>
      </c>
    </row>
    <row r="769" spans="1:7">
      <c r="A769" t="s">
        <v>1909</v>
      </c>
      <c r="B769" t="s">
        <v>1910</v>
      </c>
      <c r="C769">
        <v>25</v>
      </c>
      <c r="D769" s="321">
        <v>46192</v>
      </c>
      <c r="E769" s="321">
        <v>46226</v>
      </c>
      <c r="F769">
        <v>57</v>
      </c>
      <c r="G769" t="s">
        <v>390</v>
      </c>
    </row>
    <row r="770" spans="1:7">
      <c r="A770" t="s">
        <v>1911</v>
      </c>
      <c r="B770" t="s">
        <v>1912</v>
      </c>
      <c r="C770">
        <v>15</v>
      </c>
      <c r="D770" s="321">
        <v>46247</v>
      </c>
      <c r="E770" s="321">
        <v>46267</v>
      </c>
      <c r="F770">
        <v>57</v>
      </c>
      <c r="G770" t="s">
        <v>390</v>
      </c>
    </row>
    <row r="771" spans="1:7">
      <c r="A771" t="s">
        <v>1913</v>
      </c>
      <c r="B771" t="s">
        <v>1914</v>
      </c>
      <c r="C771">
        <v>15</v>
      </c>
      <c r="D771" s="321">
        <v>46282</v>
      </c>
      <c r="E771" s="321">
        <v>46302</v>
      </c>
      <c r="F771">
        <v>57</v>
      </c>
      <c r="G771" t="s">
        <v>390</v>
      </c>
    </row>
    <row r="772" spans="1:7">
      <c r="A772" t="s">
        <v>1915</v>
      </c>
      <c r="B772" t="s">
        <v>1916</v>
      </c>
      <c r="C772">
        <v>25</v>
      </c>
      <c r="D772" s="321">
        <v>46192</v>
      </c>
      <c r="E772" s="321">
        <v>46226</v>
      </c>
      <c r="F772">
        <v>57</v>
      </c>
      <c r="G772" t="s">
        <v>390</v>
      </c>
    </row>
    <row r="773" spans="1:7">
      <c r="A773" t="s">
        <v>1917</v>
      </c>
      <c r="B773" t="s">
        <v>1918</v>
      </c>
      <c r="C773">
        <v>15</v>
      </c>
      <c r="D773" s="321">
        <v>46247</v>
      </c>
      <c r="E773" s="321">
        <v>46267</v>
      </c>
      <c r="F773">
        <v>57</v>
      </c>
      <c r="G773" t="s">
        <v>390</v>
      </c>
    </row>
    <row r="774" spans="1:7">
      <c r="A774" t="s">
        <v>1919</v>
      </c>
      <c r="B774" t="s">
        <v>1920</v>
      </c>
      <c r="C774">
        <v>15</v>
      </c>
      <c r="D774" s="321">
        <v>46282</v>
      </c>
      <c r="E774" s="321">
        <v>46302</v>
      </c>
      <c r="F774">
        <v>57</v>
      </c>
      <c r="G774" t="s">
        <v>390</v>
      </c>
    </row>
    <row r="775" spans="1:7">
      <c r="A775" t="s">
        <v>1921</v>
      </c>
      <c r="B775" t="s">
        <v>1922</v>
      </c>
      <c r="C775">
        <v>25</v>
      </c>
      <c r="D775" s="321">
        <v>46192</v>
      </c>
      <c r="E775" s="321">
        <v>46226</v>
      </c>
      <c r="F775">
        <v>57</v>
      </c>
      <c r="G775" t="s">
        <v>390</v>
      </c>
    </row>
    <row r="776" spans="1:7">
      <c r="A776" t="s">
        <v>1923</v>
      </c>
      <c r="B776" t="s">
        <v>1924</v>
      </c>
      <c r="C776">
        <v>15</v>
      </c>
      <c r="D776" s="321">
        <v>46247</v>
      </c>
      <c r="E776" s="321">
        <v>46267</v>
      </c>
      <c r="F776">
        <v>57</v>
      </c>
      <c r="G776" t="s">
        <v>390</v>
      </c>
    </row>
    <row r="777" spans="1:7">
      <c r="A777" t="s">
        <v>1925</v>
      </c>
      <c r="B777" t="s">
        <v>1926</v>
      </c>
      <c r="C777">
        <v>15</v>
      </c>
      <c r="D777" s="321">
        <v>46282</v>
      </c>
      <c r="E777" s="321">
        <v>46302</v>
      </c>
      <c r="F777">
        <v>57</v>
      </c>
      <c r="G777" t="s">
        <v>390</v>
      </c>
    </row>
    <row r="778" spans="1:7">
      <c r="A778" t="s">
        <v>1927</v>
      </c>
      <c r="B778" t="s">
        <v>1928</v>
      </c>
      <c r="C778">
        <v>25</v>
      </c>
      <c r="D778" s="321">
        <v>46192</v>
      </c>
      <c r="E778" s="321">
        <v>46226</v>
      </c>
      <c r="F778">
        <v>57</v>
      </c>
      <c r="G778" t="s">
        <v>390</v>
      </c>
    </row>
    <row r="779" spans="1:7">
      <c r="A779" t="s">
        <v>1929</v>
      </c>
      <c r="B779" t="s">
        <v>1930</v>
      </c>
      <c r="C779">
        <v>15</v>
      </c>
      <c r="D779" s="321">
        <v>46247</v>
      </c>
      <c r="E779" s="321">
        <v>46267</v>
      </c>
      <c r="F779">
        <v>57</v>
      </c>
      <c r="G779" t="s">
        <v>390</v>
      </c>
    </row>
    <row r="780" spans="1:7">
      <c r="A780" t="s">
        <v>1931</v>
      </c>
      <c r="B780" t="s">
        <v>1932</v>
      </c>
      <c r="C780">
        <v>15</v>
      </c>
      <c r="D780" s="321">
        <v>46282</v>
      </c>
      <c r="E780" s="321">
        <v>46302</v>
      </c>
      <c r="F780">
        <v>57</v>
      </c>
      <c r="G780" t="s">
        <v>390</v>
      </c>
    </row>
    <row r="781" spans="1:7">
      <c r="A781" t="s">
        <v>1933</v>
      </c>
      <c r="B781" t="s">
        <v>1934</v>
      </c>
      <c r="C781">
        <v>25</v>
      </c>
      <c r="D781" s="321">
        <v>46192</v>
      </c>
      <c r="E781" s="321">
        <v>46226</v>
      </c>
      <c r="F781">
        <v>57</v>
      </c>
      <c r="G781" t="s">
        <v>390</v>
      </c>
    </row>
    <row r="782" spans="1:7">
      <c r="A782" t="s">
        <v>1935</v>
      </c>
      <c r="B782" t="s">
        <v>1936</v>
      </c>
      <c r="C782">
        <v>15</v>
      </c>
      <c r="D782" s="321">
        <v>46247</v>
      </c>
      <c r="E782" s="321">
        <v>46267</v>
      </c>
      <c r="F782">
        <v>57</v>
      </c>
      <c r="G782" t="s">
        <v>390</v>
      </c>
    </row>
    <row r="783" spans="1:7">
      <c r="A783" t="s">
        <v>1937</v>
      </c>
      <c r="B783" t="s">
        <v>1938</v>
      </c>
      <c r="C783">
        <v>15</v>
      </c>
      <c r="D783" s="321">
        <v>46282</v>
      </c>
      <c r="E783" s="321">
        <v>46302</v>
      </c>
      <c r="F783">
        <v>57</v>
      </c>
      <c r="G783" t="s">
        <v>390</v>
      </c>
    </row>
    <row r="784" spans="1:7">
      <c r="A784" t="s">
        <v>1939</v>
      </c>
      <c r="B784" t="s">
        <v>1940</v>
      </c>
      <c r="C784">
        <v>25</v>
      </c>
      <c r="D784" s="321">
        <v>46192</v>
      </c>
      <c r="E784" s="321">
        <v>46226</v>
      </c>
      <c r="F784">
        <v>57</v>
      </c>
      <c r="G784" t="s">
        <v>390</v>
      </c>
    </row>
    <row r="785" spans="1:7">
      <c r="A785" t="s">
        <v>1941</v>
      </c>
      <c r="B785" t="s">
        <v>1942</v>
      </c>
      <c r="C785">
        <v>15</v>
      </c>
      <c r="D785" s="321">
        <v>46247</v>
      </c>
      <c r="E785" s="321">
        <v>46267</v>
      </c>
      <c r="F785">
        <v>57</v>
      </c>
      <c r="G785" t="s">
        <v>390</v>
      </c>
    </row>
    <row r="786" spans="1:7">
      <c r="A786" t="s">
        <v>1943</v>
      </c>
      <c r="B786" t="s">
        <v>1944</v>
      </c>
      <c r="C786">
        <v>15</v>
      </c>
      <c r="D786" s="321">
        <v>46282</v>
      </c>
      <c r="E786" s="321">
        <v>46302</v>
      </c>
      <c r="F786">
        <v>57</v>
      </c>
      <c r="G786" t="s">
        <v>390</v>
      </c>
    </row>
    <row r="787" spans="1:7">
      <c r="A787" t="s">
        <v>1945</v>
      </c>
      <c r="B787" t="s">
        <v>1946</v>
      </c>
      <c r="C787">
        <v>25</v>
      </c>
      <c r="D787" s="321">
        <v>46199</v>
      </c>
      <c r="E787" s="321">
        <v>46238</v>
      </c>
      <c r="F787">
        <v>52</v>
      </c>
      <c r="G787" t="s">
        <v>390</v>
      </c>
    </row>
    <row r="788" spans="1:7">
      <c r="A788" t="s">
        <v>1947</v>
      </c>
      <c r="B788" t="s">
        <v>1948</v>
      </c>
      <c r="C788">
        <v>15</v>
      </c>
      <c r="D788" s="321">
        <v>46254</v>
      </c>
      <c r="E788" s="321">
        <v>46274</v>
      </c>
      <c r="F788">
        <v>52</v>
      </c>
      <c r="G788" t="s">
        <v>390</v>
      </c>
    </row>
    <row r="789" spans="1:7">
      <c r="A789" t="s">
        <v>1949</v>
      </c>
      <c r="B789" t="s">
        <v>1950</v>
      </c>
      <c r="C789">
        <v>15</v>
      </c>
      <c r="D789" s="321">
        <v>46289</v>
      </c>
      <c r="E789" s="321">
        <v>46310</v>
      </c>
      <c r="F789">
        <v>52</v>
      </c>
      <c r="G789" t="s">
        <v>390</v>
      </c>
    </row>
    <row r="790" spans="1:7">
      <c r="A790" t="s">
        <v>1951</v>
      </c>
      <c r="B790" t="s">
        <v>1952</v>
      </c>
      <c r="C790">
        <v>25</v>
      </c>
      <c r="D790" s="321">
        <v>46199</v>
      </c>
      <c r="E790" s="321">
        <v>46238</v>
      </c>
      <c r="F790">
        <v>52</v>
      </c>
      <c r="G790" t="s">
        <v>390</v>
      </c>
    </row>
    <row r="791" spans="1:7">
      <c r="A791" t="s">
        <v>1953</v>
      </c>
      <c r="B791" t="s">
        <v>1954</v>
      </c>
      <c r="C791">
        <v>15</v>
      </c>
      <c r="D791" s="321">
        <v>46254</v>
      </c>
      <c r="E791" s="321">
        <v>46274</v>
      </c>
      <c r="F791">
        <v>52</v>
      </c>
      <c r="G791" t="s">
        <v>390</v>
      </c>
    </row>
    <row r="792" spans="1:7">
      <c r="A792" t="s">
        <v>1955</v>
      </c>
      <c r="B792" t="s">
        <v>1956</v>
      </c>
      <c r="C792">
        <v>15</v>
      </c>
      <c r="D792" s="321">
        <v>46289</v>
      </c>
      <c r="E792" s="321">
        <v>46310</v>
      </c>
      <c r="F792">
        <v>52</v>
      </c>
      <c r="G792" t="s">
        <v>390</v>
      </c>
    </row>
    <row r="793" spans="1:7">
      <c r="A793" t="s">
        <v>1957</v>
      </c>
      <c r="B793" t="s">
        <v>1958</v>
      </c>
      <c r="C793">
        <v>25</v>
      </c>
      <c r="D793" s="321">
        <v>46199</v>
      </c>
      <c r="E793" s="321">
        <v>46238</v>
      </c>
      <c r="F793">
        <v>52</v>
      </c>
      <c r="G793" t="s">
        <v>390</v>
      </c>
    </row>
    <row r="794" spans="1:7">
      <c r="A794" t="s">
        <v>1959</v>
      </c>
      <c r="B794" t="s">
        <v>1960</v>
      </c>
      <c r="C794">
        <v>15</v>
      </c>
      <c r="D794" s="321">
        <v>46254</v>
      </c>
      <c r="E794" s="321">
        <v>46274</v>
      </c>
      <c r="F794">
        <v>52</v>
      </c>
      <c r="G794" t="s">
        <v>390</v>
      </c>
    </row>
    <row r="795" spans="1:7">
      <c r="A795" t="s">
        <v>1961</v>
      </c>
      <c r="B795" t="s">
        <v>1962</v>
      </c>
      <c r="C795">
        <v>15</v>
      </c>
      <c r="D795" s="321">
        <v>46289</v>
      </c>
      <c r="E795" s="321">
        <v>46310</v>
      </c>
      <c r="F795">
        <v>52</v>
      </c>
      <c r="G795" t="s">
        <v>390</v>
      </c>
    </row>
    <row r="796" spans="1:7">
      <c r="A796" t="s">
        <v>1963</v>
      </c>
      <c r="B796" t="s">
        <v>1964</v>
      </c>
      <c r="C796">
        <v>25</v>
      </c>
      <c r="D796" s="321">
        <v>46199</v>
      </c>
      <c r="E796" s="321">
        <v>46238</v>
      </c>
      <c r="F796">
        <v>52</v>
      </c>
      <c r="G796" t="s">
        <v>390</v>
      </c>
    </row>
    <row r="797" spans="1:7">
      <c r="A797" t="s">
        <v>1965</v>
      </c>
      <c r="B797" t="s">
        <v>1966</v>
      </c>
      <c r="C797">
        <v>15</v>
      </c>
      <c r="D797" s="321">
        <v>46254</v>
      </c>
      <c r="E797" s="321">
        <v>46274</v>
      </c>
      <c r="F797">
        <v>52</v>
      </c>
      <c r="G797" t="s">
        <v>390</v>
      </c>
    </row>
    <row r="798" spans="1:7">
      <c r="A798" t="s">
        <v>1967</v>
      </c>
      <c r="B798" t="s">
        <v>1968</v>
      </c>
      <c r="C798">
        <v>15</v>
      </c>
      <c r="D798" s="321">
        <v>46289</v>
      </c>
      <c r="E798" s="321">
        <v>46310</v>
      </c>
      <c r="F798">
        <v>52</v>
      </c>
      <c r="G798" t="s">
        <v>390</v>
      </c>
    </row>
    <row r="799" spans="1:7">
      <c r="A799" t="s">
        <v>1969</v>
      </c>
      <c r="B799" t="s">
        <v>1970</v>
      </c>
      <c r="C799">
        <v>20</v>
      </c>
      <c r="D799" s="321">
        <v>46140</v>
      </c>
      <c r="E799" s="321">
        <v>46168</v>
      </c>
      <c r="F799">
        <v>0</v>
      </c>
      <c r="G799" t="s">
        <v>390</v>
      </c>
    </row>
    <row r="800" spans="1:7">
      <c r="A800" t="s">
        <v>1971</v>
      </c>
      <c r="B800" t="s">
        <v>1972</v>
      </c>
      <c r="C800">
        <v>10</v>
      </c>
      <c r="D800" s="321">
        <v>46185</v>
      </c>
      <c r="E800" s="321">
        <v>46198</v>
      </c>
      <c r="F800">
        <v>112</v>
      </c>
      <c r="G800" t="s">
        <v>390</v>
      </c>
    </row>
    <row r="801" spans="1:7">
      <c r="A801" t="s">
        <v>1973</v>
      </c>
      <c r="B801" t="s">
        <v>1974</v>
      </c>
      <c r="C801">
        <v>5</v>
      </c>
      <c r="D801" s="321">
        <v>46213</v>
      </c>
      <c r="E801" s="321">
        <v>46219</v>
      </c>
      <c r="F801">
        <v>112</v>
      </c>
      <c r="G801" t="s">
        <v>390</v>
      </c>
    </row>
    <row r="802" spans="1:7">
      <c r="A802" t="s">
        <v>1975</v>
      </c>
      <c r="B802" t="s">
        <v>1976</v>
      </c>
      <c r="C802">
        <v>25</v>
      </c>
      <c r="D802" s="321">
        <v>46239</v>
      </c>
      <c r="E802" s="321">
        <v>46274</v>
      </c>
      <c r="F802">
        <v>27</v>
      </c>
      <c r="G802" t="s">
        <v>390</v>
      </c>
    </row>
    <row r="803" spans="1:7">
      <c r="A803" t="s">
        <v>1977</v>
      </c>
      <c r="B803" t="s">
        <v>1978</v>
      </c>
      <c r="C803">
        <v>15</v>
      </c>
      <c r="D803" s="321">
        <v>46289</v>
      </c>
      <c r="E803" s="321">
        <v>46310</v>
      </c>
      <c r="F803">
        <v>27</v>
      </c>
      <c r="G803" t="s">
        <v>390</v>
      </c>
    </row>
    <row r="804" spans="1:7">
      <c r="A804" t="s">
        <v>1979</v>
      </c>
      <c r="B804" t="s">
        <v>1980</v>
      </c>
      <c r="C804">
        <v>15</v>
      </c>
      <c r="D804" s="321">
        <v>46328</v>
      </c>
      <c r="E804" s="321">
        <v>46346</v>
      </c>
      <c r="F804">
        <v>27</v>
      </c>
      <c r="G804" t="s">
        <v>390</v>
      </c>
    </row>
    <row r="805" spans="1:7">
      <c r="A805" t="s">
        <v>1981</v>
      </c>
      <c r="B805" t="s">
        <v>1982</v>
      </c>
      <c r="C805">
        <v>25</v>
      </c>
      <c r="D805" s="321">
        <v>46170</v>
      </c>
      <c r="E805" s="321">
        <v>46206</v>
      </c>
      <c r="F805">
        <v>71</v>
      </c>
      <c r="G805" t="s">
        <v>390</v>
      </c>
    </row>
    <row r="806" spans="1:7">
      <c r="A806" t="s">
        <v>1983</v>
      </c>
      <c r="B806" t="s">
        <v>1984</v>
      </c>
      <c r="C806">
        <v>15</v>
      </c>
      <c r="D806" s="321">
        <v>46223</v>
      </c>
      <c r="E806" s="321">
        <v>46247</v>
      </c>
      <c r="F806">
        <v>71</v>
      </c>
      <c r="G806" t="s">
        <v>390</v>
      </c>
    </row>
    <row r="807" spans="1:7">
      <c r="A807" t="s">
        <v>1985</v>
      </c>
      <c r="B807" t="s">
        <v>1986</v>
      </c>
      <c r="C807">
        <v>15</v>
      </c>
      <c r="D807" s="321">
        <v>46262</v>
      </c>
      <c r="E807" s="321">
        <v>46282</v>
      </c>
      <c r="F807">
        <v>71</v>
      </c>
      <c r="G807" t="s">
        <v>390</v>
      </c>
    </row>
    <row r="808" spans="1:7">
      <c r="A808" t="s">
        <v>1987</v>
      </c>
      <c r="B808" t="s">
        <v>1988</v>
      </c>
      <c r="C808">
        <v>25</v>
      </c>
      <c r="D808" s="321">
        <v>46170</v>
      </c>
      <c r="E808" s="321">
        <v>46206</v>
      </c>
      <c r="F808">
        <v>71</v>
      </c>
      <c r="G808" t="s">
        <v>390</v>
      </c>
    </row>
    <row r="809" spans="1:7">
      <c r="A809" t="s">
        <v>1989</v>
      </c>
      <c r="B809" t="s">
        <v>1990</v>
      </c>
      <c r="C809">
        <v>15</v>
      </c>
      <c r="D809" s="321">
        <v>46223</v>
      </c>
      <c r="E809" s="321">
        <v>46247</v>
      </c>
      <c r="F809">
        <v>71</v>
      </c>
      <c r="G809" t="s">
        <v>390</v>
      </c>
    </row>
    <row r="810" spans="1:7">
      <c r="A810" t="s">
        <v>1991</v>
      </c>
      <c r="B810" t="s">
        <v>1992</v>
      </c>
      <c r="C810">
        <v>15</v>
      </c>
      <c r="D810" s="321">
        <v>46262</v>
      </c>
      <c r="E810" s="321">
        <v>46282</v>
      </c>
      <c r="F810">
        <v>71</v>
      </c>
      <c r="G810" t="s">
        <v>390</v>
      </c>
    </row>
    <row r="811" spans="1:7">
      <c r="A811" t="s">
        <v>1993</v>
      </c>
      <c r="B811" t="s">
        <v>1994</v>
      </c>
      <c r="C811">
        <v>25</v>
      </c>
      <c r="D811" s="321">
        <v>46170</v>
      </c>
      <c r="E811" s="321">
        <v>46206</v>
      </c>
      <c r="F811">
        <v>71</v>
      </c>
      <c r="G811" t="s">
        <v>390</v>
      </c>
    </row>
    <row r="812" spans="1:7">
      <c r="A812" t="s">
        <v>1995</v>
      </c>
      <c r="B812" t="s">
        <v>1996</v>
      </c>
      <c r="C812">
        <v>15</v>
      </c>
      <c r="D812" s="321">
        <v>46223</v>
      </c>
      <c r="E812" s="321">
        <v>46247</v>
      </c>
      <c r="F812">
        <v>71</v>
      </c>
      <c r="G812" t="s">
        <v>390</v>
      </c>
    </row>
    <row r="813" spans="1:7">
      <c r="A813" t="s">
        <v>1997</v>
      </c>
      <c r="B813" t="s">
        <v>1998</v>
      </c>
      <c r="C813">
        <v>15</v>
      </c>
      <c r="D813" s="321">
        <v>46262</v>
      </c>
      <c r="E813" s="321">
        <v>46282</v>
      </c>
      <c r="F813">
        <v>71</v>
      </c>
      <c r="G813" t="s">
        <v>390</v>
      </c>
    </row>
    <row r="814" spans="1:7">
      <c r="A814" t="s">
        <v>1999</v>
      </c>
      <c r="B814" t="s">
        <v>2000</v>
      </c>
      <c r="C814">
        <v>25</v>
      </c>
      <c r="D814" s="321">
        <v>46209</v>
      </c>
      <c r="E814" s="321">
        <v>46247</v>
      </c>
      <c r="F814">
        <v>46</v>
      </c>
      <c r="G814" t="s">
        <v>390</v>
      </c>
    </row>
    <row r="815" spans="1:7">
      <c r="A815" t="s">
        <v>2001</v>
      </c>
      <c r="B815" t="s">
        <v>2002</v>
      </c>
      <c r="C815">
        <v>15</v>
      </c>
      <c r="D815" s="321">
        <v>46262</v>
      </c>
      <c r="E815" s="321">
        <v>46282</v>
      </c>
      <c r="F815">
        <v>46</v>
      </c>
      <c r="G815" t="s">
        <v>390</v>
      </c>
    </row>
    <row r="816" spans="1:7">
      <c r="A816" t="s">
        <v>2003</v>
      </c>
      <c r="B816" t="s">
        <v>2004</v>
      </c>
      <c r="C816">
        <v>15</v>
      </c>
      <c r="D816" s="321">
        <v>46297</v>
      </c>
      <c r="E816" s="321">
        <v>46321</v>
      </c>
      <c r="F816">
        <v>46</v>
      </c>
      <c r="G816" t="s">
        <v>390</v>
      </c>
    </row>
    <row r="817" spans="1:7">
      <c r="A817" t="s">
        <v>2005</v>
      </c>
      <c r="B817" t="s">
        <v>2006</v>
      </c>
      <c r="C817">
        <v>25</v>
      </c>
      <c r="D817" s="321">
        <v>46209</v>
      </c>
      <c r="E817" s="321">
        <v>46247</v>
      </c>
      <c r="F817">
        <v>46</v>
      </c>
      <c r="G817" t="s">
        <v>390</v>
      </c>
    </row>
    <row r="818" spans="1:7">
      <c r="A818" t="s">
        <v>2007</v>
      </c>
      <c r="B818" t="s">
        <v>2008</v>
      </c>
      <c r="C818">
        <v>15</v>
      </c>
      <c r="D818" s="321">
        <v>46262</v>
      </c>
      <c r="E818" s="321">
        <v>46282</v>
      </c>
      <c r="F818">
        <v>46</v>
      </c>
      <c r="G818" t="s">
        <v>390</v>
      </c>
    </row>
    <row r="819" spans="1:7">
      <c r="A819" t="s">
        <v>2009</v>
      </c>
      <c r="B819" t="s">
        <v>2010</v>
      </c>
      <c r="C819">
        <v>15</v>
      </c>
      <c r="D819" s="321">
        <v>46297</v>
      </c>
      <c r="E819" s="321">
        <v>46321</v>
      </c>
      <c r="F819">
        <v>46</v>
      </c>
      <c r="G819" t="s">
        <v>390</v>
      </c>
    </row>
    <row r="820" spans="1:7">
      <c r="A820" t="s">
        <v>2011</v>
      </c>
      <c r="B820" t="s">
        <v>2012</v>
      </c>
      <c r="C820">
        <v>25</v>
      </c>
      <c r="D820" s="321">
        <v>46209</v>
      </c>
      <c r="E820" s="321">
        <v>46247</v>
      </c>
      <c r="F820">
        <v>46</v>
      </c>
      <c r="G820" t="s">
        <v>390</v>
      </c>
    </row>
    <row r="821" spans="1:7">
      <c r="A821" t="s">
        <v>2013</v>
      </c>
      <c r="B821" t="s">
        <v>2014</v>
      </c>
      <c r="C821">
        <v>15</v>
      </c>
      <c r="D821" s="321">
        <v>46262</v>
      </c>
      <c r="E821" s="321">
        <v>46282</v>
      </c>
      <c r="F821">
        <v>46</v>
      </c>
      <c r="G821" t="s">
        <v>390</v>
      </c>
    </row>
    <row r="822" spans="1:7">
      <c r="A822" t="s">
        <v>2015</v>
      </c>
      <c r="B822" t="s">
        <v>2016</v>
      </c>
      <c r="C822">
        <v>15</v>
      </c>
      <c r="D822" s="321">
        <v>46297</v>
      </c>
      <c r="E822" s="321">
        <v>46321</v>
      </c>
      <c r="F822">
        <v>46</v>
      </c>
      <c r="G822" t="s">
        <v>390</v>
      </c>
    </row>
    <row r="823" spans="1:7">
      <c r="A823" t="s">
        <v>2017</v>
      </c>
      <c r="B823" t="s">
        <v>2018</v>
      </c>
      <c r="C823">
        <v>25</v>
      </c>
      <c r="D823" s="321">
        <v>46209</v>
      </c>
      <c r="E823" s="321">
        <v>46247</v>
      </c>
      <c r="F823">
        <v>46</v>
      </c>
      <c r="G823" t="s">
        <v>390</v>
      </c>
    </row>
    <row r="824" spans="1:7">
      <c r="A824" t="s">
        <v>2019</v>
      </c>
      <c r="B824" t="s">
        <v>2020</v>
      </c>
      <c r="C824">
        <v>15</v>
      </c>
      <c r="D824" s="321">
        <v>46262</v>
      </c>
      <c r="E824" s="321">
        <v>46282</v>
      </c>
      <c r="F824">
        <v>46</v>
      </c>
      <c r="G824" t="s">
        <v>390</v>
      </c>
    </row>
    <row r="825" spans="1:7">
      <c r="A825" t="s">
        <v>2021</v>
      </c>
      <c r="B825" t="s">
        <v>2022</v>
      </c>
      <c r="C825">
        <v>15</v>
      </c>
      <c r="D825" s="321">
        <v>46297</v>
      </c>
      <c r="E825" s="321">
        <v>46321</v>
      </c>
      <c r="F825">
        <v>46</v>
      </c>
      <c r="G825" t="s">
        <v>390</v>
      </c>
    </row>
    <row r="826" spans="1:7">
      <c r="A826" t="s">
        <v>2023</v>
      </c>
      <c r="B826" t="s">
        <v>2024</v>
      </c>
      <c r="C826">
        <v>25</v>
      </c>
      <c r="D826" s="321">
        <v>46209</v>
      </c>
      <c r="E826" s="321">
        <v>46247</v>
      </c>
      <c r="F826">
        <v>46</v>
      </c>
      <c r="G826" t="s">
        <v>390</v>
      </c>
    </row>
    <row r="827" spans="1:7">
      <c r="A827" t="s">
        <v>2025</v>
      </c>
      <c r="B827" t="s">
        <v>2026</v>
      </c>
      <c r="C827">
        <v>15</v>
      </c>
      <c r="D827" s="321">
        <v>46262</v>
      </c>
      <c r="E827" s="321">
        <v>46282</v>
      </c>
      <c r="F827">
        <v>46</v>
      </c>
      <c r="G827" t="s">
        <v>390</v>
      </c>
    </row>
    <row r="828" spans="1:7">
      <c r="A828" t="s">
        <v>2027</v>
      </c>
      <c r="B828" t="s">
        <v>2028</v>
      </c>
      <c r="C828">
        <v>15</v>
      </c>
      <c r="D828" s="321">
        <v>46297</v>
      </c>
      <c r="E828" s="321">
        <v>46321</v>
      </c>
      <c r="F828">
        <v>46</v>
      </c>
      <c r="G828" t="s">
        <v>390</v>
      </c>
    </row>
    <row r="829" spans="1:7">
      <c r="A829" t="s">
        <v>2029</v>
      </c>
      <c r="B829" t="s">
        <v>2030</v>
      </c>
      <c r="C829">
        <v>25</v>
      </c>
      <c r="D829" s="321">
        <v>46209</v>
      </c>
      <c r="E829" s="321">
        <v>46247</v>
      </c>
      <c r="F829">
        <v>46</v>
      </c>
      <c r="G829" t="s">
        <v>390</v>
      </c>
    </row>
    <row r="830" spans="1:7">
      <c r="A830" t="s">
        <v>2031</v>
      </c>
      <c r="B830" t="s">
        <v>2032</v>
      </c>
      <c r="C830">
        <v>15</v>
      </c>
      <c r="D830" s="321">
        <v>46262</v>
      </c>
      <c r="E830" s="321">
        <v>46282</v>
      </c>
      <c r="F830">
        <v>46</v>
      </c>
      <c r="G830" t="s">
        <v>390</v>
      </c>
    </row>
    <row r="831" spans="1:7">
      <c r="A831" t="s">
        <v>2033</v>
      </c>
      <c r="B831" t="s">
        <v>2034</v>
      </c>
      <c r="C831">
        <v>15</v>
      </c>
      <c r="D831" s="321">
        <v>46297</v>
      </c>
      <c r="E831" s="321">
        <v>46321</v>
      </c>
      <c r="F831">
        <v>46</v>
      </c>
      <c r="G831" t="s">
        <v>390</v>
      </c>
    </row>
    <row r="832" spans="1:7">
      <c r="A832" t="s">
        <v>2035</v>
      </c>
      <c r="B832" t="s">
        <v>2036</v>
      </c>
      <c r="C832">
        <v>25</v>
      </c>
      <c r="D832" s="321">
        <v>46209</v>
      </c>
      <c r="E832" s="321">
        <v>46247</v>
      </c>
      <c r="F832">
        <v>46</v>
      </c>
      <c r="G832" t="s">
        <v>390</v>
      </c>
    </row>
    <row r="833" spans="1:7">
      <c r="A833" t="s">
        <v>2037</v>
      </c>
      <c r="B833" t="s">
        <v>2038</v>
      </c>
      <c r="C833">
        <v>15</v>
      </c>
      <c r="D833" s="321">
        <v>46262</v>
      </c>
      <c r="E833" s="321">
        <v>46282</v>
      </c>
      <c r="F833">
        <v>46</v>
      </c>
      <c r="G833" t="s">
        <v>390</v>
      </c>
    </row>
    <row r="834" spans="1:7">
      <c r="A834" t="s">
        <v>2039</v>
      </c>
      <c r="B834" t="s">
        <v>2040</v>
      </c>
      <c r="C834">
        <v>15</v>
      </c>
      <c r="D834" s="321">
        <v>46297</v>
      </c>
      <c r="E834" s="321">
        <v>46321</v>
      </c>
      <c r="F834">
        <v>46</v>
      </c>
      <c r="G834" t="s">
        <v>390</v>
      </c>
    </row>
    <row r="835" spans="1:7">
      <c r="A835" t="s">
        <v>2041</v>
      </c>
      <c r="B835" t="s">
        <v>2042</v>
      </c>
      <c r="C835">
        <v>25</v>
      </c>
      <c r="D835" s="321">
        <v>46085</v>
      </c>
      <c r="E835" s="321">
        <v>46120</v>
      </c>
      <c r="F835">
        <v>127</v>
      </c>
      <c r="G835" t="s">
        <v>390</v>
      </c>
    </row>
    <row r="836" spans="1:7">
      <c r="A836" t="s">
        <v>2043</v>
      </c>
      <c r="B836" t="s">
        <v>2044</v>
      </c>
      <c r="C836">
        <v>15</v>
      </c>
      <c r="D836" s="321">
        <v>46140</v>
      </c>
      <c r="E836" s="321">
        <v>46161</v>
      </c>
      <c r="F836">
        <v>127</v>
      </c>
      <c r="G836" t="s">
        <v>390</v>
      </c>
    </row>
    <row r="837" spans="1:7">
      <c r="A837" t="s">
        <v>2045</v>
      </c>
      <c r="B837" t="s">
        <v>2046</v>
      </c>
      <c r="C837">
        <v>15</v>
      </c>
      <c r="D837" s="321">
        <v>46178</v>
      </c>
      <c r="E837" s="321">
        <v>46198</v>
      </c>
      <c r="F837">
        <v>127</v>
      </c>
      <c r="G837" t="s">
        <v>390</v>
      </c>
    </row>
    <row r="838" spans="1:7">
      <c r="A838" t="s">
        <v>2047</v>
      </c>
      <c r="B838" t="s">
        <v>2048</v>
      </c>
      <c r="C838">
        <v>25</v>
      </c>
      <c r="D838" s="321">
        <v>46085</v>
      </c>
      <c r="E838" s="321">
        <v>46120</v>
      </c>
      <c r="F838">
        <v>127</v>
      </c>
      <c r="G838" t="s">
        <v>390</v>
      </c>
    </row>
    <row r="839" spans="1:7">
      <c r="A839" t="s">
        <v>2049</v>
      </c>
      <c r="B839" t="s">
        <v>2050</v>
      </c>
      <c r="C839">
        <v>15</v>
      </c>
      <c r="D839" s="321">
        <v>46140</v>
      </c>
      <c r="E839" s="321">
        <v>46161</v>
      </c>
      <c r="F839">
        <v>127</v>
      </c>
      <c r="G839" t="s">
        <v>390</v>
      </c>
    </row>
    <row r="840" spans="1:7">
      <c r="A840" t="s">
        <v>2051</v>
      </c>
      <c r="B840" t="s">
        <v>2052</v>
      </c>
      <c r="C840">
        <v>15</v>
      </c>
      <c r="D840" s="321">
        <v>46178</v>
      </c>
      <c r="E840" s="321">
        <v>46198</v>
      </c>
      <c r="F840">
        <v>127</v>
      </c>
      <c r="G840" t="s">
        <v>390</v>
      </c>
    </row>
    <row r="841" spans="1:7">
      <c r="A841" t="s">
        <v>2053</v>
      </c>
      <c r="B841" t="s">
        <v>2054</v>
      </c>
      <c r="C841">
        <v>25</v>
      </c>
      <c r="D841" s="321">
        <v>46085</v>
      </c>
      <c r="E841" s="321">
        <v>46120</v>
      </c>
      <c r="F841">
        <v>127</v>
      </c>
      <c r="G841" t="s">
        <v>390</v>
      </c>
    </row>
    <row r="842" spans="1:7">
      <c r="A842" t="s">
        <v>2055</v>
      </c>
      <c r="B842" t="s">
        <v>2056</v>
      </c>
      <c r="C842">
        <v>15</v>
      </c>
      <c r="D842" s="321">
        <v>46140</v>
      </c>
      <c r="E842" s="321">
        <v>46161</v>
      </c>
      <c r="F842">
        <v>127</v>
      </c>
      <c r="G842" t="s">
        <v>390</v>
      </c>
    </row>
    <row r="843" spans="1:7">
      <c r="A843" t="s">
        <v>2057</v>
      </c>
      <c r="B843" t="s">
        <v>2058</v>
      </c>
      <c r="C843">
        <v>15</v>
      </c>
      <c r="D843" s="321">
        <v>46178</v>
      </c>
      <c r="E843" s="321">
        <v>46198</v>
      </c>
      <c r="F843">
        <v>127</v>
      </c>
      <c r="G843" t="s">
        <v>390</v>
      </c>
    </row>
    <row r="844" spans="1:7">
      <c r="A844" t="s">
        <v>2059</v>
      </c>
      <c r="B844" t="s">
        <v>2060</v>
      </c>
      <c r="C844">
        <v>25</v>
      </c>
      <c r="D844" s="321">
        <v>46085</v>
      </c>
      <c r="E844" s="321">
        <v>46120</v>
      </c>
      <c r="F844">
        <v>127</v>
      </c>
      <c r="G844" t="s">
        <v>390</v>
      </c>
    </row>
    <row r="845" spans="1:7">
      <c r="A845" t="s">
        <v>2061</v>
      </c>
      <c r="B845" t="s">
        <v>2062</v>
      </c>
      <c r="C845">
        <v>15</v>
      </c>
      <c r="D845" s="321">
        <v>46140</v>
      </c>
      <c r="E845" s="321">
        <v>46161</v>
      </c>
      <c r="F845">
        <v>127</v>
      </c>
      <c r="G845" t="s">
        <v>390</v>
      </c>
    </row>
    <row r="846" spans="1:7">
      <c r="A846" t="s">
        <v>2063</v>
      </c>
      <c r="B846" t="s">
        <v>2064</v>
      </c>
      <c r="C846">
        <v>15</v>
      </c>
      <c r="D846" s="321">
        <v>46178</v>
      </c>
      <c r="E846" s="321">
        <v>46198</v>
      </c>
      <c r="F846">
        <v>127</v>
      </c>
      <c r="G846" t="s">
        <v>390</v>
      </c>
    </row>
    <row r="847" spans="1:7">
      <c r="A847" t="s">
        <v>2065</v>
      </c>
      <c r="B847" t="s">
        <v>2066</v>
      </c>
      <c r="C847">
        <v>25</v>
      </c>
      <c r="D847" s="321">
        <v>46085</v>
      </c>
      <c r="E847" s="321">
        <v>46120</v>
      </c>
      <c r="F847">
        <v>127</v>
      </c>
      <c r="G847" t="s">
        <v>390</v>
      </c>
    </row>
    <row r="848" spans="1:7">
      <c r="A848" t="s">
        <v>2067</v>
      </c>
      <c r="B848" t="s">
        <v>2068</v>
      </c>
      <c r="C848">
        <v>15</v>
      </c>
      <c r="D848" s="321">
        <v>46140</v>
      </c>
      <c r="E848" s="321">
        <v>46161</v>
      </c>
      <c r="F848">
        <v>127</v>
      </c>
      <c r="G848" t="s">
        <v>390</v>
      </c>
    </row>
    <row r="849" spans="1:7">
      <c r="A849" t="s">
        <v>2069</v>
      </c>
      <c r="B849" t="s">
        <v>2070</v>
      </c>
      <c r="C849">
        <v>15</v>
      </c>
      <c r="D849" s="321">
        <v>46178</v>
      </c>
      <c r="E849" s="321">
        <v>46198</v>
      </c>
      <c r="F849">
        <v>127</v>
      </c>
      <c r="G849" t="s">
        <v>390</v>
      </c>
    </row>
    <row r="850" spans="1:7">
      <c r="A850" t="s">
        <v>2071</v>
      </c>
      <c r="B850" t="s">
        <v>2072</v>
      </c>
      <c r="C850">
        <v>25</v>
      </c>
      <c r="D850" s="321">
        <v>46085</v>
      </c>
      <c r="E850" s="321">
        <v>46120</v>
      </c>
      <c r="F850">
        <v>127</v>
      </c>
      <c r="G850" t="s">
        <v>390</v>
      </c>
    </row>
    <row r="851" spans="1:7">
      <c r="A851" t="s">
        <v>2073</v>
      </c>
      <c r="B851" t="s">
        <v>2074</v>
      </c>
      <c r="C851">
        <v>15</v>
      </c>
      <c r="D851" s="321">
        <v>46140</v>
      </c>
      <c r="E851" s="321">
        <v>46161</v>
      </c>
      <c r="F851">
        <v>127</v>
      </c>
      <c r="G851" t="s">
        <v>390</v>
      </c>
    </row>
    <row r="852" spans="1:7">
      <c r="A852" t="s">
        <v>2075</v>
      </c>
      <c r="B852" t="s">
        <v>2076</v>
      </c>
      <c r="C852">
        <v>15</v>
      </c>
      <c r="D852" s="321">
        <v>46178</v>
      </c>
      <c r="E852" s="321">
        <v>46198</v>
      </c>
      <c r="F852">
        <v>127</v>
      </c>
      <c r="G852" t="s">
        <v>390</v>
      </c>
    </row>
    <row r="853" spans="1:7">
      <c r="A853" t="s">
        <v>2077</v>
      </c>
      <c r="B853" t="s">
        <v>2078</v>
      </c>
      <c r="C853">
        <v>25</v>
      </c>
      <c r="D853" s="321">
        <v>46085</v>
      </c>
      <c r="E853" s="321">
        <v>46120</v>
      </c>
      <c r="F853">
        <v>127</v>
      </c>
      <c r="G853" t="s">
        <v>390</v>
      </c>
    </row>
    <row r="854" spans="1:7">
      <c r="A854" t="s">
        <v>2079</v>
      </c>
      <c r="B854" t="s">
        <v>2080</v>
      </c>
      <c r="C854">
        <v>15</v>
      </c>
      <c r="D854" s="321">
        <v>46140</v>
      </c>
      <c r="E854" s="321">
        <v>46161</v>
      </c>
      <c r="F854">
        <v>127</v>
      </c>
      <c r="G854" t="s">
        <v>390</v>
      </c>
    </row>
    <row r="855" spans="1:7">
      <c r="A855" t="s">
        <v>2081</v>
      </c>
      <c r="B855" t="s">
        <v>2082</v>
      </c>
      <c r="C855">
        <v>15</v>
      </c>
      <c r="D855" s="321">
        <v>46178</v>
      </c>
      <c r="E855" s="321">
        <v>46198</v>
      </c>
      <c r="F855">
        <v>127</v>
      </c>
      <c r="G855" t="s">
        <v>390</v>
      </c>
    </row>
    <row r="856" spans="1:7">
      <c r="A856" t="s">
        <v>2083</v>
      </c>
      <c r="B856" t="s">
        <v>2084</v>
      </c>
      <c r="C856">
        <v>25</v>
      </c>
      <c r="D856" s="321">
        <v>46085</v>
      </c>
      <c r="E856" s="321">
        <v>46120</v>
      </c>
      <c r="F856">
        <v>127</v>
      </c>
      <c r="G856" t="s">
        <v>390</v>
      </c>
    </row>
    <row r="857" spans="1:7">
      <c r="A857" t="s">
        <v>2085</v>
      </c>
      <c r="B857" t="s">
        <v>2086</v>
      </c>
      <c r="C857">
        <v>15</v>
      </c>
      <c r="D857" s="321">
        <v>46140</v>
      </c>
      <c r="E857" s="321">
        <v>46161</v>
      </c>
      <c r="F857">
        <v>127</v>
      </c>
      <c r="G857" t="s">
        <v>390</v>
      </c>
    </row>
    <row r="858" spans="1:7">
      <c r="A858" t="s">
        <v>2087</v>
      </c>
      <c r="B858" t="s">
        <v>2088</v>
      </c>
      <c r="C858">
        <v>15</v>
      </c>
      <c r="D858" s="321">
        <v>46178</v>
      </c>
      <c r="E858" s="321">
        <v>46198</v>
      </c>
      <c r="F858">
        <v>127</v>
      </c>
      <c r="G858" t="s">
        <v>390</v>
      </c>
    </row>
    <row r="859" spans="1:7">
      <c r="A859" t="s">
        <v>2089</v>
      </c>
      <c r="B859" t="s">
        <v>2090</v>
      </c>
      <c r="C859">
        <v>25</v>
      </c>
      <c r="D859" s="321">
        <v>46085</v>
      </c>
      <c r="E859" s="321">
        <v>46120</v>
      </c>
      <c r="F859">
        <v>127</v>
      </c>
      <c r="G859" t="s">
        <v>390</v>
      </c>
    </row>
    <row r="860" spans="1:7">
      <c r="A860" t="s">
        <v>2091</v>
      </c>
      <c r="B860" t="s">
        <v>2092</v>
      </c>
      <c r="C860">
        <v>15</v>
      </c>
      <c r="D860" s="321">
        <v>46140</v>
      </c>
      <c r="E860" s="321">
        <v>46161</v>
      </c>
      <c r="F860">
        <v>127</v>
      </c>
      <c r="G860" t="s">
        <v>390</v>
      </c>
    </row>
    <row r="861" spans="1:7">
      <c r="A861" t="s">
        <v>2093</v>
      </c>
      <c r="B861" t="s">
        <v>2094</v>
      </c>
      <c r="C861">
        <v>15</v>
      </c>
      <c r="D861" s="321">
        <v>46178</v>
      </c>
      <c r="E861" s="321">
        <v>46198</v>
      </c>
      <c r="F861">
        <v>127</v>
      </c>
      <c r="G861" t="s">
        <v>390</v>
      </c>
    </row>
    <row r="862" spans="1:7">
      <c r="A862" t="s">
        <v>2095</v>
      </c>
      <c r="B862" t="s">
        <v>2096</v>
      </c>
      <c r="C862">
        <v>25</v>
      </c>
      <c r="D862" s="321">
        <v>46085</v>
      </c>
      <c r="E862" s="321">
        <v>46120</v>
      </c>
      <c r="F862">
        <v>127</v>
      </c>
      <c r="G862" t="s">
        <v>390</v>
      </c>
    </row>
    <row r="863" spans="1:7">
      <c r="A863" t="s">
        <v>2097</v>
      </c>
      <c r="B863" t="s">
        <v>2098</v>
      </c>
      <c r="C863">
        <v>15</v>
      </c>
      <c r="D863" s="321">
        <v>46140</v>
      </c>
      <c r="E863" s="321">
        <v>46161</v>
      </c>
      <c r="F863">
        <v>127</v>
      </c>
      <c r="G863" t="s">
        <v>390</v>
      </c>
    </row>
    <row r="864" spans="1:7">
      <c r="A864" t="s">
        <v>2099</v>
      </c>
      <c r="B864" t="s">
        <v>2100</v>
      </c>
      <c r="C864">
        <v>15</v>
      </c>
      <c r="D864" s="321">
        <v>46178</v>
      </c>
      <c r="E864" s="321">
        <v>46198</v>
      </c>
      <c r="F864">
        <v>127</v>
      </c>
      <c r="G864" t="s">
        <v>390</v>
      </c>
    </row>
    <row r="865" spans="1:7">
      <c r="A865" t="s">
        <v>2101</v>
      </c>
      <c r="B865" t="s">
        <v>2102</v>
      </c>
      <c r="C865">
        <v>25</v>
      </c>
      <c r="D865" s="321">
        <v>46169</v>
      </c>
      <c r="E865" s="321">
        <v>46205</v>
      </c>
      <c r="F865">
        <v>72</v>
      </c>
      <c r="G865" t="s">
        <v>390</v>
      </c>
    </row>
    <row r="866" spans="1:7">
      <c r="A866" t="s">
        <v>2103</v>
      </c>
      <c r="B866" t="s">
        <v>2104</v>
      </c>
      <c r="C866">
        <v>15</v>
      </c>
      <c r="D866" s="321">
        <v>46220</v>
      </c>
      <c r="E866" s="321">
        <v>46245</v>
      </c>
      <c r="F866">
        <v>72</v>
      </c>
      <c r="G866" t="s">
        <v>390</v>
      </c>
    </row>
    <row r="867" spans="1:7">
      <c r="A867" t="s">
        <v>2105</v>
      </c>
      <c r="B867" t="s">
        <v>2106</v>
      </c>
      <c r="C867">
        <v>15</v>
      </c>
      <c r="D867" s="321">
        <v>46261</v>
      </c>
      <c r="E867" s="321">
        <v>46281</v>
      </c>
      <c r="F867">
        <v>72</v>
      </c>
      <c r="G867" t="s">
        <v>390</v>
      </c>
    </row>
    <row r="868" spans="1:7">
      <c r="A868" t="s">
        <v>2107</v>
      </c>
      <c r="B868" t="s">
        <v>2108</v>
      </c>
      <c r="C868">
        <v>25</v>
      </c>
      <c r="D868" s="321">
        <v>46169</v>
      </c>
      <c r="E868" s="321">
        <v>46205</v>
      </c>
      <c r="F868">
        <v>72</v>
      </c>
      <c r="G868" t="s">
        <v>390</v>
      </c>
    </row>
    <row r="869" spans="1:7">
      <c r="A869" t="s">
        <v>2109</v>
      </c>
      <c r="B869" t="s">
        <v>2110</v>
      </c>
      <c r="C869">
        <v>15</v>
      </c>
      <c r="D869" s="321">
        <v>46220</v>
      </c>
      <c r="E869" s="321">
        <v>46245</v>
      </c>
      <c r="F869">
        <v>72</v>
      </c>
      <c r="G869" t="s">
        <v>390</v>
      </c>
    </row>
    <row r="870" spans="1:7">
      <c r="A870" t="s">
        <v>2111</v>
      </c>
      <c r="B870" t="s">
        <v>2112</v>
      </c>
      <c r="C870">
        <v>15</v>
      </c>
      <c r="D870" s="321">
        <v>46261</v>
      </c>
      <c r="E870" s="321">
        <v>46281</v>
      </c>
      <c r="F870">
        <v>72</v>
      </c>
      <c r="G870" t="s">
        <v>390</v>
      </c>
    </row>
    <row r="871" spans="1:7">
      <c r="A871" t="s">
        <v>2113</v>
      </c>
      <c r="B871" t="s">
        <v>2114</v>
      </c>
      <c r="C871">
        <v>25</v>
      </c>
      <c r="D871" s="321">
        <v>46169</v>
      </c>
      <c r="E871" s="321">
        <v>46205</v>
      </c>
      <c r="F871">
        <v>72</v>
      </c>
      <c r="G871" t="s">
        <v>390</v>
      </c>
    </row>
    <row r="872" spans="1:7">
      <c r="A872" t="s">
        <v>2115</v>
      </c>
      <c r="B872" t="s">
        <v>2116</v>
      </c>
      <c r="C872">
        <v>15</v>
      </c>
      <c r="D872" s="321">
        <v>46220</v>
      </c>
      <c r="E872" s="321">
        <v>46245</v>
      </c>
      <c r="F872">
        <v>72</v>
      </c>
      <c r="G872" t="s">
        <v>390</v>
      </c>
    </row>
    <row r="873" spans="1:7">
      <c r="A873" t="s">
        <v>2117</v>
      </c>
      <c r="B873" t="s">
        <v>2118</v>
      </c>
      <c r="C873">
        <v>15</v>
      </c>
      <c r="D873" s="321">
        <v>46261</v>
      </c>
      <c r="E873" s="321">
        <v>46281</v>
      </c>
      <c r="F873">
        <v>72</v>
      </c>
      <c r="G873" t="s">
        <v>390</v>
      </c>
    </row>
    <row r="874" spans="1:7">
      <c r="A874" t="s">
        <v>2119</v>
      </c>
      <c r="B874" t="s">
        <v>2120</v>
      </c>
      <c r="C874">
        <v>25</v>
      </c>
      <c r="D874" s="321">
        <v>46169</v>
      </c>
      <c r="E874" s="321">
        <v>46205</v>
      </c>
      <c r="F874">
        <v>72</v>
      </c>
      <c r="G874" t="s">
        <v>390</v>
      </c>
    </row>
    <row r="875" spans="1:7">
      <c r="A875" t="s">
        <v>2121</v>
      </c>
      <c r="B875" t="s">
        <v>2122</v>
      </c>
      <c r="C875">
        <v>15</v>
      </c>
      <c r="D875" s="321">
        <v>46220</v>
      </c>
      <c r="E875" s="321">
        <v>46245</v>
      </c>
      <c r="F875">
        <v>72</v>
      </c>
      <c r="G875" t="s">
        <v>390</v>
      </c>
    </row>
    <row r="876" spans="1:7">
      <c r="A876" t="s">
        <v>2123</v>
      </c>
      <c r="B876" t="s">
        <v>2124</v>
      </c>
      <c r="C876">
        <v>15</v>
      </c>
      <c r="D876" s="321">
        <v>46261</v>
      </c>
      <c r="E876" s="321">
        <v>46281</v>
      </c>
      <c r="F876">
        <v>72</v>
      </c>
      <c r="G876" t="s">
        <v>390</v>
      </c>
    </row>
    <row r="877" spans="1:7">
      <c r="A877" t="s">
        <v>2125</v>
      </c>
      <c r="B877" t="s">
        <v>2126</v>
      </c>
      <c r="C877">
        <v>25</v>
      </c>
      <c r="D877" s="321">
        <v>46169</v>
      </c>
      <c r="E877" s="321">
        <v>46205</v>
      </c>
      <c r="F877">
        <v>72</v>
      </c>
      <c r="G877" t="s">
        <v>390</v>
      </c>
    </row>
    <row r="878" spans="1:7">
      <c r="A878" t="s">
        <v>2127</v>
      </c>
      <c r="B878" t="s">
        <v>2128</v>
      </c>
      <c r="C878">
        <v>15</v>
      </c>
      <c r="D878" s="321">
        <v>46220</v>
      </c>
      <c r="E878" s="321">
        <v>46245</v>
      </c>
      <c r="F878">
        <v>72</v>
      </c>
      <c r="G878" t="s">
        <v>390</v>
      </c>
    </row>
    <row r="879" spans="1:7">
      <c r="A879" t="s">
        <v>2129</v>
      </c>
      <c r="B879" t="s">
        <v>2130</v>
      </c>
      <c r="C879">
        <v>15</v>
      </c>
      <c r="D879" s="321">
        <v>46261</v>
      </c>
      <c r="E879" s="321">
        <v>46281</v>
      </c>
      <c r="F879">
        <v>72</v>
      </c>
      <c r="G879" t="s">
        <v>390</v>
      </c>
    </row>
    <row r="880" spans="1:7">
      <c r="A880" t="s">
        <v>2131</v>
      </c>
      <c r="B880" t="s">
        <v>2132</v>
      </c>
      <c r="C880">
        <v>25</v>
      </c>
      <c r="D880" s="321">
        <v>46169</v>
      </c>
      <c r="E880" s="321">
        <v>46205</v>
      </c>
      <c r="F880">
        <v>72</v>
      </c>
      <c r="G880" t="s">
        <v>390</v>
      </c>
    </row>
    <row r="881" spans="1:7">
      <c r="A881" t="s">
        <v>2133</v>
      </c>
      <c r="B881" t="s">
        <v>2134</v>
      </c>
      <c r="C881">
        <v>15</v>
      </c>
      <c r="D881" s="321">
        <v>46220</v>
      </c>
      <c r="E881" s="321">
        <v>46245</v>
      </c>
      <c r="F881">
        <v>72</v>
      </c>
      <c r="G881" t="s">
        <v>390</v>
      </c>
    </row>
    <row r="882" spans="1:7">
      <c r="A882" t="s">
        <v>2135</v>
      </c>
      <c r="B882" t="s">
        <v>2136</v>
      </c>
      <c r="C882">
        <v>15</v>
      </c>
      <c r="D882" s="321">
        <v>46261</v>
      </c>
      <c r="E882" s="321">
        <v>46281</v>
      </c>
      <c r="F882">
        <v>72</v>
      </c>
      <c r="G882" t="s">
        <v>390</v>
      </c>
    </row>
    <row r="883" spans="1:7">
      <c r="A883" t="s">
        <v>2137</v>
      </c>
      <c r="B883" t="s">
        <v>2138</v>
      </c>
      <c r="C883">
        <v>25</v>
      </c>
      <c r="D883" s="321">
        <v>46169</v>
      </c>
      <c r="E883" s="321">
        <v>46205</v>
      </c>
      <c r="F883">
        <v>72</v>
      </c>
      <c r="G883" t="s">
        <v>390</v>
      </c>
    </row>
    <row r="884" spans="1:7">
      <c r="A884" t="s">
        <v>2139</v>
      </c>
      <c r="B884" t="s">
        <v>2140</v>
      </c>
      <c r="C884">
        <v>15</v>
      </c>
      <c r="D884" s="321">
        <v>46220</v>
      </c>
      <c r="E884" s="321">
        <v>46245</v>
      </c>
      <c r="F884">
        <v>72</v>
      </c>
      <c r="G884" t="s">
        <v>390</v>
      </c>
    </row>
    <row r="885" spans="1:7">
      <c r="A885" t="s">
        <v>2141</v>
      </c>
      <c r="B885" t="s">
        <v>2142</v>
      </c>
      <c r="C885">
        <v>15</v>
      </c>
      <c r="D885" s="321">
        <v>46261</v>
      </c>
      <c r="E885" s="321">
        <v>46281</v>
      </c>
      <c r="F885">
        <v>72</v>
      </c>
      <c r="G885" t="s">
        <v>390</v>
      </c>
    </row>
    <row r="886" spans="1:7">
      <c r="A886" t="s">
        <v>2143</v>
      </c>
      <c r="B886" t="s">
        <v>2144</v>
      </c>
      <c r="C886">
        <v>25</v>
      </c>
      <c r="D886" s="321">
        <v>46169</v>
      </c>
      <c r="E886" s="321">
        <v>46205</v>
      </c>
      <c r="F886">
        <v>72</v>
      </c>
      <c r="G886" t="s">
        <v>390</v>
      </c>
    </row>
    <row r="887" spans="1:7">
      <c r="A887" t="s">
        <v>2145</v>
      </c>
      <c r="B887" t="s">
        <v>2146</v>
      </c>
      <c r="C887">
        <v>15</v>
      </c>
      <c r="D887" s="321">
        <v>46220</v>
      </c>
      <c r="E887" s="321">
        <v>46245</v>
      </c>
      <c r="F887">
        <v>72</v>
      </c>
      <c r="G887" t="s">
        <v>390</v>
      </c>
    </row>
    <row r="888" spans="1:7">
      <c r="A888" t="s">
        <v>2147</v>
      </c>
      <c r="B888" t="s">
        <v>2148</v>
      </c>
      <c r="C888">
        <v>15</v>
      </c>
      <c r="D888" s="321">
        <v>46261</v>
      </c>
      <c r="E888" s="321">
        <v>46281</v>
      </c>
      <c r="F888">
        <v>72</v>
      </c>
      <c r="G888" t="s">
        <v>390</v>
      </c>
    </row>
    <row r="889" spans="1:7">
      <c r="A889" t="s">
        <v>2149</v>
      </c>
      <c r="B889" t="s">
        <v>2150</v>
      </c>
      <c r="C889">
        <v>25</v>
      </c>
      <c r="D889" s="321">
        <v>46169</v>
      </c>
      <c r="E889" s="321">
        <v>46205</v>
      </c>
      <c r="F889">
        <v>72</v>
      </c>
      <c r="G889" t="s">
        <v>390</v>
      </c>
    </row>
    <row r="890" spans="1:7">
      <c r="A890" t="s">
        <v>2151</v>
      </c>
      <c r="B890" t="s">
        <v>2152</v>
      </c>
      <c r="C890">
        <v>15</v>
      </c>
      <c r="D890" s="321">
        <v>46220</v>
      </c>
      <c r="E890" s="321">
        <v>46245</v>
      </c>
      <c r="F890">
        <v>72</v>
      </c>
      <c r="G890" t="s">
        <v>390</v>
      </c>
    </row>
    <row r="891" spans="1:7">
      <c r="A891" t="s">
        <v>2153</v>
      </c>
      <c r="B891" t="s">
        <v>2154</v>
      </c>
      <c r="C891">
        <v>15</v>
      </c>
      <c r="D891" s="321">
        <v>46261</v>
      </c>
      <c r="E891" s="321">
        <v>46281</v>
      </c>
      <c r="F891">
        <v>72</v>
      </c>
      <c r="G891" t="s">
        <v>390</v>
      </c>
    </row>
    <row r="892" spans="1:7">
      <c r="A892" t="s">
        <v>2155</v>
      </c>
      <c r="B892" t="s">
        <v>2156</v>
      </c>
      <c r="C892">
        <v>25</v>
      </c>
      <c r="D892" s="321">
        <v>46085</v>
      </c>
      <c r="E892" s="321">
        <v>46120</v>
      </c>
      <c r="F892">
        <v>127</v>
      </c>
      <c r="G892" t="s">
        <v>390</v>
      </c>
    </row>
    <row r="893" spans="1:7">
      <c r="A893" t="s">
        <v>2157</v>
      </c>
      <c r="B893" t="s">
        <v>2158</v>
      </c>
      <c r="C893">
        <v>15</v>
      </c>
      <c r="D893" s="321">
        <v>46140</v>
      </c>
      <c r="E893" s="321">
        <v>46161</v>
      </c>
      <c r="F893">
        <v>127</v>
      </c>
      <c r="G893" t="s">
        <v>390</v>
      </c>
    </row>
    <row r="894" spans="1:7">
      <c r="A894" t="s">
        <v>2159</v>
      </c>
      <c r="B894" t="s">
        <v>2160</v>
      </c>
      <c r="C894">
        <v>15</v>
      </c>
      <c r="D894" s="321">
        <v>46178</v>
      </c>
      <c r="E894" s="321">
        <v>46198</v>
      </c>
      <c r="F894">
        <v>127</v>
      </c>
      <c r="G894" t="s">
        <v>390</v>
      </c>
    </row>
    <row r="895" spans="1:7">
      <c r="A895" t="s">
        <v>2161</v>
      </c>
      <c r="C895">
        <v>177</v>
      </c>
      <c r="D895" s="321">
        <v>46113</v>
      </c>
      <c r="E895" s="321">
        <v>46380</v>
      </c>
      <c r="F895">
        <v>14</v>
      </c>
      <c r="G895" t="s">
        <v>390</v>
      </c>
    </row>
    <row r="896" spans="1:7">
      <c r="A896" t="s">
        <v>2162</v>
      </c>
      <c r="B896" t="s">
        <v>2163</v>
      </c>
      <c r="C896">
        <v>11</v>
      </c>
      <c r="D896" s="321">
        <v>46219</v>
      </c>
      <c r="E896" s="321">
        <v>46238</v>
      </c>
      <c r="F896">
        <v>60</v>
      </c>
      <c r="G896" t="s">
        <v>390</v>
      </c>
    </row>
    <row r="897" spans="1:7">
      <c r="A897" t="s">
        <v>2164</v>
      </c>
      <c r="B897" t="s">
        <v>2165</v>
      </c>
      <c r="C897">
        <v>10</v>
      </c>
      <c r="D897" s="321">
        <v>46254</v>
      </c>
      <c r="E897" s="321">
        <v>46267</v>
      </c>
      <c r="F897">
        <v>71</v>
      </c>
      <c r="G897" t="s">
        <v>390</v>
      </c>
    </row>
    <row r="898" spans="1:7">
      <c r="A898" t="s">
        <v>2166</v>
      </c>
      <c r="B898" t="s">
        <v>2167</v>
      </c>
      <c r="C898">
        <v>10</v>
      </c>
      <c r="D898" s="321">
        <v>46282</v>
      </c>
      <c r="E898" s="321">
        <v>46295</v>
      </c>
      <c r="F898">
        <v>71</v>
      </c>
      <c r="G898" t="s">
        <v>390</v>
      </c>
    </row>
    <row r="899" spans="1:7">
      <c r="A899" t="s">
        <v>2168</v>
      </c>
      <c r="B899" t="s">
        <v>2169</v>
      </c>
      <c r="C899">
        <v>15</v>
      </c>
      <c r="D899" s="321">
        <v>46219</v>
      </c>
      <c r="E899" s="321">
        <v>46244</v>
      </c>
      <c r="F899">
        <v>67</v>
      </c>
      <c r="G899" t="s">
        <v>390</v>
      </c>
    </row>
    <row r="900" spans="1:7">
      <c r="A900" t="s">
        <v>2170</v>
      </c>
      <c r="B900" t="s">
        <v>2171</v>
      </c>
      <c r="C900">
        <v>10</v>
      </c>
      <c r="D900" s="321">
        <v>46260</v>
      </c>
      <c r="E900" s="321">
        <v>46273</v>
      </c>
      <c r="F900">
        <v>67</v>
      </c>
      <c r="G900" t="s">
        <v>390</v>
      </c>
    </row>
    <row r="901" spans="1:7">
      <c r="A901" t="s">
        <v>2172</v>
      </c>
      <c r="B901" t="s">
        <v>2173</v>
      </c>
      <c r="C901">
        <v>10</v>
      </c>
      <c r="D901" s="321">
        <v>46288</v>
      </c>
      <c r="E901" s="321">
        <v>46301</v>
      </c>
      <c r="F901">
        <v>67</v>
      </c>
      <c r="G901" t="s">
        <v>390</v>
      </c>
    </row>
    <row r="902" spans="1:7">
      <c r="A902" t="s">
        <v>2174</v>
      </c>
      <c r="B902" t="s">
        <v>2175</v>
      </c>
      <c r="C902">
        <v>17</v>
      </c>
      <c r="D902" s="321">
        <v>46226</v>
      </c>
      <c r="E902" s="321">
        <v>46254</v>
      </c>
      <c r="F902">
        <v>60</v>
      </c>
      <c r="G902" t="s">
        <v>390</v>
      </c>
    </row>
    <row r="903" spans="1:7">
      <c r="A903" t="s">
        <v>2176</v>
      </c>
      <c r="B903" t="s">
        <v>2177</v>
      </c>
      <c r="C903">
        <v>10</v>
      </c>
      <c r="D903" s="321">
        <v>46269</v>
      </c>
      <c r="E903" s="321">
        <v>46282</v>
      </c>
      <c r="F903">
        <v>60</v>
      </c>
      <c r="G903" t="s">
        <v>390</v>
      </c>
    </row>
    <row r="904" spans="1:7">
      <c r="A904" t="s">
        <v>2178</v>
      </c>
      <c r="B904" t="s">
        <v>2179</v>
      </c>
      <c r="C904">
        <v>10</v>
      </c>
      <c r="D904" s="321">
        <v>46297</v>
      </c>
      <c r="E904" s="321">
        <v>46311</v>
      </c>
      <c r="F904">
        <v>60</v>
      </c>
      <c r="G904" t="s">
        <v>390</v>
      </c>
    </row>
    <row r="905" spans="1:7">
      <c r="A905" t="s">
        <v>2180</v>
      </c>
      <c r="B905" t="s">
        <v>2181</v>
      </c>
      <c r="C905">
        <v>17</v>
      </c>
      <c r="D905" s="321">
        <v>46226</v>
      </c>
      <c r="E905" s="321">
        <v>46254</v>
      </c>
      <c r="F905">
        <v>60</v>
      </c>
      <c r="G905" t="s">
        <v>390</v>
      </c>
    </row>
    <row r="906" spans="1:7">
      <c r="A906" t="s">
        <v>2182</v>
      </c>
      <c r="B906" t="s">
        <v>2183</v>
      </c>
      <c r="C906">
        <v>10</v>
      </c>
      <c r="D906" s="321">
        <v>46269</v>
      </c>
      <c r="E906" s="321">
        <v>46282</v>
      </c>
      <c r="F906">
        <v>60</v>
      </c>
      <c r="G906" t="s">
        <v>390</v>
      </c>
    </row>
    <row r="907" spans="1:7">
      <c r="A907" t="s">
        <v>2184</v>
      </c>
      <c r="B907" t="s">
        <v>2185</v>
      </c>
      <c r="C907">
        <v>10</v>
      </c>
      <c r="D907" s="321">
        <v>46297</v>
      </c>
      <c r="E907" s="321">
        <v>46311</v>
      </c>
      <c r="F907">
        <v>60</v>
      </c>
      <c r="G907" t="s">
        <v>390</v>
      </c>
    </row>
    <row r="908" spans="1:7">
      <c r="A908" t="s">
        <v>2186</v>
      </c>
      <c r="B908" t="s">
        <v>2187</v>
      </c>
      <c r="C908">
        <v>19</v>
      </c>
      <c r="D908" s="321">
        <v>46147</v>
      </c>
      <c r="E908" s="321">
        <v>46171</v>
      </c>
      <c r="F908">
        <v>91</v>
      </c>
      <c r="G908" t="s">
        <v>390</v>
      </c>
    </row>
    <row r="909" spans="1:7">
      <c r="A909" t="s">
        <v>2188</v>
      </c>
      <c r="B909" t="s">
        <v>2189</v>
      </c>
      <c r="C909">
        <v>10</v>
      </c>
      <c r="D909" s="321">
        <v>46190</v>
      </c>
      <c r="E909" s="321">
        <v>46203</v>
      </c>
      <c r="F909">
        <v>113</v>
      </c>
      <c r="G909" t="s">
        <v>390</v>
      </c>
    </row>
    <row r="910" spans="1:7">
      <c r="A910" t="s">
        <v>2190</v>
      </c>
      <c r="B910" t="s">
        <v>2191</v>
      </c>
      <c r="C910">
        <v>10</v>
      </c>
      <c r="D910" s="321">
        <v>46218</v>
      </c>
      <c r="E910" s="321">
        <v>46234</v>
      </c>
      <c r="F910">
        <v>113</v>
      </c>
      <c r="G910" t="s">
        <v>390</v>
      </c>
    </row>
    <row r="911" spans="1:7">
      <c r="A911" t="s">
        <v>2192</v>
      </c>
      <c r="B911" t="s">
        <v>2193</v>
      </c>
      <c r="C911">
        <v>19</v>
      </c>
      <c r="D911" s="321">
        <v>46147</v>
      </c>
      <c r="E911" s="321">
        <v>46171</v>
      </c>
      <c r="F911">
        <v>113</v>
      </c>
      <c r="G911" t="s">
        <v>390</v>
      </c>
    </row>
    <row r="912" spans="1:7">
      <c r="A912" t="s">
        <v>2194</v>
      </c>
      <c r="B912" t="s">
        <v>2195</v>
      </c>
      <c r="C912">
        <v>10</v>
      </c>
      <c r="D912" s="321">
        <v>46190</v>
      </c>
      <c r="E912" s="321">
        <v>46203</v>
      </c>
      <c r="F912">
        <v>113</v>
      </c>
      <c r="G912" t="s">
        <v>390</v>
      </c>
    </row>
    <row r="913" spans="1:7">
      <c r="A913" t="s">
        <v>2196</v>
      </c>
      <c r="B913" t="s">
        <v>2197</v>
      </c>
      <c r="C913">
        <v>10</v>
      </c>
      <c r="D913" s="321">
        <v>46218</v>
      </c>
      <c r="E913" s="321">
        <v>46234</v>
      </c>
      <c r="F913">
        <v>113</v>
      </c>
      <c r="G913" t="s">
        <v>390</v>
      </c>
    </row>
    <row r="914" spans="1:7">
      <c r="A914" t="s">
        <v>2198</v>
      </c>
      <c r="B914" t="s">
        <v>2199</v>
      </c>
      <c r="C914">
        <v>22</v>
      </c>
      <c r="D914" s="321">
        <v>46154</v>
      </c>
      <c r="E914" s="321">
        <v>46185</v>
      </c>
      <c r="F914">
        <v>91</v>
      </c>
      <c r="G914" t="s">
        <v>390</v>
      </c>
    </row>
    <row r="915" spans="1:7">
      <c r="A915" t="s">
        <v>2200</v>
      </c>
      <c r="B915" t="s">
        <v>2201</v>
      </c>
      <c r="C915">
        <v>10</v>
      </c>
      <c r="D915" s="321">
        <v>46202</v>
      </c>
      <c r="E915" s="321">
        <v>46213</v>
      </c>
      <c r="F915">
        <v>91</v>
      </c>
      <c r="G915" t="s">
        <v>390</v>
      </c>
    </row>
    <row r="916" spans="1:7">
      <c r="A916" t="s">
        <v>2202</v>
      </c>
      <c r="B916" t="s">
        <v>2203</v>
      </c>
      <c r="C916">
        <v>10</v>
      </c>
      <c r="D916" s="321">
        <v>46230</v>
      </c>
      <c r="E916" s="321">
        <v>46247</v>
      </c>
      <c r="F916">
        <v>91</v>
      </c>
      <c r="G916" t="s">
        <v>390</v>
      </c>
    </row>
    <row r="917" spans="1:7">
      <c r="A917" t="s">
        <v>2204</v>
      </c>
      <c r="B917" t="s">
        <v>2205</v>
      </c>
      <c r="C917">
        <v>22</v>
      </c>
      <c r="D917" s="321">
        <v>46154</v>
      </c>
      <c r="E917" s="321">
        <v>46185</v>
      </c>
      <c r="F917">
        <v>105</v>
      </c>
      <c r="G917" t="s">
        <v>390</v>
      </c>
    </row>
    <row r="918" spans="1:7">
      <c r="A918" t="s">
        <v>2206</v>
      </c>
      <c r="B918" t="s">
        <v>2207</v>
      </c>
      <c r="C918">
        <v>10</v>
      </c>
      <c r="D918" s="321">
        <v>46202</v>
      </c>
      <c r="E918" s="321">
        <v>46213</v>
      </c>
      <c r="F918">
        <v>105</v>
      </c>
      <c r="G918" t="s">
        <v>390</v>
      </c>
    </row>
    <row r="919" spans="1:7">
      <c r="A919" t="s">
        <v>2208</v>
      </c>
      <c r="B919" t="s">
        <v>2209</v>
      </c>
      <c r="C919">
        <v>10</v>
      </c>
      <c r="D919" s="321">
        <v>46230</v>
      </c>
      <c r="E919" s="321">
        <v>46247</v>
      </c>
      <c r="F919">
        <v>105</v>
      </c>
      <c r="G919" t="s">
        <v>390</v>
      </c>
    </row>
    <row r="920" spans="1:7">
      <c r="A920" t="s">
        <v>2210</v>
      </c>
      <c r="B920" t="s">
        <v>2211</v>
      </c>
      <c r="C920">
        <v>11</v>
      </c>
      <c r="D920" s="321">
        <v>46168</v>
      </c>
      <c r="E920" s="321">
        <v>46184</v>
      </c>
      <c r="F920">
        <v>5</v>
      </c>
      <c r="G920" t="s">
        <v>390</v>
      </c>
    </row>
    <row r="921" spans="1:7">
      <c r="A921" t="s">
        <v>2212</v>
      </c>
      <c r="B921" t="s">
        <v>2213</v>
      </c>
      <c r="C921">
        <v>5</v>
      </c>
      <c r="D921" s="321">
        <v>46199</v>
      </c>
      <c r="E921" s="321">
        <v>46205</v>
      </c>
      <c r="F921">
        <v>107</v>
      </c>
      <c r="G921" t="s">
        <v>390</v>
      </c>
    </row>
    <row r="922" spans="1:7">
      <c r="A922" t="s">
        <v>2214</v>
      </c>
      <c r="B922" t="s">
        <v>2215</v>
      </c>
      <c r="C922">
        <v>5</v>
      </c>
      <c r="D922" s="321">
        <v>46220</v>
      </c>
      <c r="E922" s="321">
        <v>46226</v>
      </c>
      <c r="F922">
        <v>107</v>
      </c>
      <c r="G922" t="s">
        <v>390</v>
      </c>
    </row>
    <row r="923" spans="1:7">
      <c r="A923" t="s">
        <v>2216</v>
      </c>
      <c r="B923" t="s">
        <v>2217</v>
      </c>
      <c r="C923">
        <v>11</v>
      </c>
      <c r="D923" s="321">
        <v>46169</v>
      </c>
      <c r="E923" s="321">
        <v>46185</v>
      </c>
      <c r="F923">
        <v>5</v>
      </c>
      <c r="G923" t="s">
        <v>390</v>
      </c>
    </row>
    <row r="924" spans="1:7">
      <c r="A924" t="s">
        <v>2218</v>
      </c>
      <c r="B924" t="s">
        <v>2219</v>
      </c>
      <c r="C924">
        <v>5</v>
      </c>
      <c r="D924" s="321">
        <v>46202</v>
      </c>
      <c r="E924" s="321">
        <v>46206</v>
      </c>
      <c r="F924">
        <v>106</v>
      </c>
      <c r="G924" t="s">
        <v>390</v>
      </c>
    </row>
    <row r="925" spans="1:7">
      <c r="A925" t="s">
        <v>2220</v>
      </c>
      <c r="B925" t="s">
        <v>2221</v>
      </c>
      <c r="C925">
        <v>5</v>
      </c>
      <c r="D925" s="321">
        <v>46223</v>
      </c>
      <c r="E925" s="321">
        <v>46227</v>
      </c>
      <c r="F925">
        <v>106</v>
      </c>
      <c r="G925" t="s">
        <v>390</v>
      </c>
    </row>
    <row r="926" spans="1:7">
      <c r="A926" t="s">
        <v>2222</v>
      </c>
      <c r="B926" t="s">
        <v>2223</v>
      </c>
      <c r="C926">
        <v>11</v>
      </c>
      <c r="D926" s="321">
        <v>46169</v>
      </c>
      <c r="E926" s="321">
        <v>46185</v>
      </c>
      <c r="F926">
        <v>106</v>
      </c>
      <c r="G926" t="s">
        <v>390</v>
      </c>
    </row>
    <row r="927" spans="1:7">
      <c r="A927" t="s">
        <v>2224</v>
      </c>
      <c r="B927" t="s">
        <v>2225</v>
      </c>
      <c r="C927">
        <v>5</v>
      </c>
      <c r="D927" s="321">
        <v>46202</v>
      </c>
      <c r="E927" s="321">
        <v>46206</v>
      </c>
      <c r="F927">
        <v>106</v>
      </c>
      <c r="G927" t="s">
        <v>390</v>
      </c>
    </row>
    <row r="928" spans="1:7">
      <c r="A928" t="s">
        <v>2226</v>
      </c>
      <c r="B928" t="s">
        <v>2227</v>
      </c>
      <c r="C928">
        <v>5</v>
      </c>
      <c r="D928" s="321">
        <v>46223</v>
      </c>
      <c r="E928" s="321">
        <v>46227</v>
      </c>
      <c r="F928">
        <v>106</v>
      </c>
      <c r="G928" t="s">
        <v>390</v>
      </c>
    </row>
    <row r="929" spans="1:7">
      <c r="A929" t="s">
        <v>2228</v>
      </c>
      <c r="B929" t="s">
        <v>2229</v>
      </c>
      <c r="C929">
        <v>10</v>
      </c>
      <c r="D929" s="321">
        <v>46178</v>
      </c>
      <c r="E929" s="321">
        <v>46191</v>
      </c>
      <c r="F929">
        <v>5</v>
      </c>
      <c r="G929" t="s">
        <v>390</v>
      </c>
    </row>
    <row r="930" spans="1:7">
      <c r="A930" t="s">
        <v>2230</v>
      </c>
      <c r="B930" t="s">
        <v>2231</v>
      </c>
      <c r="C930">
        <v>5</v>
      </c>
      <c r="D930" s="321">
        <v>46206</v>
      </c>
      <c r="E930" s="321">
        <v>46212</v>
      </c>
      <c r="F930">
        <v>102</v>
      </c>
      <c r="G930" t="s">
        <v>390</v>
      </c>
    </row>
    <row r="931" spans="1:7">
      <c r="A931" t="s">
        <v>2232</v>
      </c>
      <c r="B931" t="s">
        <v>2233</v>
      </c>
      <c r="C931">
        <v>5</v>
      </c>
      <c r="D931" s="321">
        <v>46227</v>
      </c>
      <c r="E931" s="321">
        <v>46238</v>
      </c>
      <c r="F931">
        <v>102</v>
      </c>
      <c r="G931" t="s">
        <v>390</v>
      </c>
    </row>
    <row r="932" spans="1:7">
      <c r="A932" t="s">
        <v>2234</v>
      </c>
      <c r="B932" t="s">
        <v>2235</v>
      </c>
      <c r="C932">
        <v>10</v>
      </c>
      <c r="D932" s="321">
        <v>46183</v>
      </c>
      <c r="E932" s="321">
        <v>46196</v>
      </c>
      <c r="F932">
        <v>5</v>
      </c>
      <c r="G932" t="s">
        <v>390</v>
      </c>
    </row>
    <row r="933" spans="1:7">
      <c r="A933" t="s">
        <v>2236</v>
      </c>
      <c r="B933" t="s">
        <v>2237</v>
      </c>
      <c r="C933">
        <v>5</v>
      </c>
      <c r="D933" s="321">
        <v>46216</v>
      </c>
      <c r="E933" s="321">
        <v>46220</v>
      </c>
      <c r="F933">
        <v>96</v>
      </c>
      <c r="G933" t="s">
        <v>390</v>
      </c>
    </row>
    <row r="934" spans="1:7">
      <c r="A934" t="s">
        <v>2238</v>
      </c>
      <c r="B934" t="s">
        <v>2239</v>
      </c>
      <c r="C934">
        <v>5</v>
      </c>
      <c r="D934" s="321">
        <v>46248</v>
      </c>
      <c r="E934" s="321">
        <v>46254</v>
      </c>
      <c r="F934">
        <v>91</v>
      </c>
      <c r="G934" t="s">
        <v>390</v>
      </c>
    </row>
    <row r="935" spans="1:7">
      <c r="A935" t="s">
        <v>2240</v>
      </c>
      <c r="B935" t="s">
        <v>2241</v>
      </c>
      <c r="C935">
        <v>10</v>
      </c>
      <c r="D935" s="321">
        <v>46183</v>
      </c>
      <c r="E935" s="321">
        <v>46196</v>
      </c>
      <c r="F935">
        <v>5</v>
      </c>
      <c r="G935" t="s">
        <v>390</v>
      </c>
    </row>
    <row r="936" spans="1:7">
      <c r="A936" t="s">
        <v>2242</v>
      </c>
      <c r="B936" t="s">
        <v>2243</v>
      </c>
      <c r="C936">
        <v>5</v>
      </c>
      <c r="D936" s="321">
        <v>46216</v>
      </c>
      <c r="E936" s="321">
        <v>46220</v>
      </c>
      <c r="F936">
        <v>96</v>
      </c>
      <c r="G936" t="s">
        <v>390</v>
      </c>
    </row>
    <row r="937" spans="1:7">
      <c r="A937" t="s">
        <v>2244</v>
      </c>
      <c r="B937" t="s">
        <v>2245</v>
      </c>
      <c r="C937">
        <v>5</v>
      </c>
      <c r="D937" s="321">
        <v>46248</v>
      </c>
      <c r="E937" s="321">
        <v>46254</v>
      </c>
      <c r="F937">
        <v>91</v>
      </c>
      <c r="G937" t="s">
        <v>390</v>
      </c>
    </row>
    <row r="938" spans="1:7">
      <c r="A938" t="s">
        <v>2246</v>
      </c>
      <c r="B938" t="s">
        <v>2247</v>
      </c>
      <c r="C938">
        <v>12</v>
      </c>
      <c r="D938" s="321">
        <v>46195</v>
      </c>
      <c r="E938" s="321">
        <v>46210</v>
      </c>
      <c r="F938">
        <v>5</v>
      </c>
      <c r="G938" t="s">
        <v>390</v>
      </c>
    </row>
    <row r="939" spans="1:7">
      <c r="A939" t="s">
        <v>2248</v>
      </c>
      <c r="B939" t="s">
        <v>2249</v>
      </c>
      <c r="C939">
        <v>5</v>
      </c>
      <c r="D939" s="321">
        <v>46225</v>
      </c>
      <c r="E939" s="321">
        <v>46234</v>
      </c>
      <c r="F939">
        <v>89</v>
      </c>
      <c r="G939" t="s">
        <v>390</v>
      </c>
    </row>
    <row r="940" spans="1:7">
      <c r="A940" t="s">
        <v>2250</v>
      </c>
      <c r="B940" t="s">
        <v>2251</v>
      </c>
      <c r="C940">
        <v>5</v>
      </c>
      <c r="D940" s="321">
        <v>46252</v>
      </c>
      <c r="E940" s="321">
        <v>46258</v>
      </c>
      <c r="F940">
        <v>89</v>
      </c>
      <c r="G940" t="s">
        <v>390</v>
      </c>
    </row>
    <row r="941" spans="1:7">
      <c r="A941" t="s">
        <v>2252</v>
      </c>
      <c r="B941" t="s">
        <v>2253</v>
      </c>
      <c r="C941">
        <v>12</v>
      </c>
      <c r="D941" s="321">
        <v>46196</v>
      </c>
      <c r="E941" s="321">
        <v>46211</v>
      </c>
      <c r="F941">
        <v>5</v>
      </c>
      <c r="G941" t="s">
        <v>390</v>
      </c>
    </row>
    <row r="942" spans="1:7">
      <c r="A942" t="s">
        <v>2254</v>
      </c>
      <c r="B942" t="s">
        <v>2255</v>
      </c>
      <c r="C942">
        <v>5</v>
      </c>
      <c r="D942" s="321">
        <v>46226</v>
      </c>
      <c r="E942" s="321">
        <v>46237</v>
      </c>
      <c r="F942">
        <v>88</v>
      </c>
      <c r="G942" t="s">
        <v>390</v>
      </c>
    </row>
    <row r="943" spans="1:7">
      <c r="A943" t="s">
        <v>2256</v>
      </c>
      <c r="B943" t="s">
        <v>2257</v>
      </c>
      <c r="C943">
        <v>5</v>
      </c>
      <c r="D943" s="321">
        <v>46253</v>
      </c>
      <c r="E943" s="321">
        <v>46259</v>
      </c>
      <c r="F943">
        <v>88</v>
      </c>
      <c r="G943" t="s">
        <v>390</v>
      </c>
    </row>
    <row r="944" spans="1:7">
      <c r="A944" t="s">
        <v>2258</v>
      </c>
      <c r="B944" t="s">
        <v>2259</v>
      </c>
      <c r="C944">
        <v>10</v>
      </c>
      <c r="D944" s="321">
        <v>46113</v>
      </c>
      <c r="E944" s="321">
        <v>46132</v>
      </c>
      <c r="F944">
        <v>43</v>
      </c>
      <c r="G944" t="s">
        <v>390</v>
      </c>
    </row>
    <row r="945" spans="1:7">
      <c r="A945" t="s">
        <v>2260</v>
      </c>
      <c r="B945" t="s">
        <v>2261</v>
      </c>
      <c r="C945">
        <v>5</v>
      </c>
      <c r="D945" s="321">
        <v>46148</v>
      </c>
      <c r="E945" s="321">
        <v>46154</v>
      </c>
      <c r="F945">
        <v>87</v>
      </c>
      <c r="G945" t="s">
        <v>390</v>
      </c>
    </row>
    <row r="946" spans="1:7">
      <c r="A946" t="s">
        <v>2262</v>
      </c>
      <c r="B946" t="s">
        <v>2263</v>
      </c>
      <c r="C946">
        <v>5</v>
      </c>
      <c r="D946" s="321">
        <v>46169</v>
      </c>
      <c r="E946" s="321">
        <v>46177</v>
      </c>
      <c r="F946">
        <v>97</v>
      </c>
      <c r="G946" t="s">
        <v>390</v>
      </c>
    </row>
    <row r="947" spans="1:7">
      <c r="A947" t="s">
        <v>2264</v>
      </c>
      <c r="B947" t="s">
        <v>2265</v>
      </c>
      <c r="C947">
        <v>12</v>
      </c>
      <c r="D947" s="321">
        <v>46128</v>
      </c>
      <c r="E947" s="321">
        <v>46146</v>
      </c>
      <c r="F947">
        <v>43</v>
      </c>
      <c r="G947" t="s">
        <v>390</v>
      </c>
    </row>
    <row r="948" spans="1:7">
      <c r="A948" t="s">
        <v>2266</v>
      </c>
      <c r="B948" t="s">
        <v>2267</v>
      </c>
      <c r="C948">
        <v>5</v>
      </c>
      <c r="D948" s="321">
        <v>46161</v>
      </c>
      <c r="E948" s="321">
        <v>46167</v>
      </c>
      <c r="F948">
        <v>83</v>
      </c>
      <c r="G948" t="s">
        <v>390</v>
      </c>
    </row>
    <row r="949" spans="1:7">
      <c r="A949" t="s">
        <v>2268</v>
      </c>
      <c r="B949" t="s">
        <v>2269</v>
      </c>
      <c r="C949">
        <v>5</v>
      </c>
      <c r="D949" s="321">
        <v>46184</v>
      </c>
      <c r="E949" s="321">
        <v>46190</v>
      </c>
      <c r="F949">
        <v>93</v>
      </c>
      <c r="G949" t="s">
        <v>390</v>
      </c>
    </row>
    <row r="950" spans="1:7">
      <c r="A950" t="s">
        <v>2270</v>
      </c>
      <c r="B950" t="s">
        <v>2271</v>
      </c>
      <c r="C950">
        <v>15</v>
      </c>
      <c r="D950" s="321">
        <v>46132</v>
      </c>
      <c r="E950" s="321">
        <v>46153</v>
      </c>
      <c r="F950">
        <v>95</v>
      </c>
      <c r="G950" t="s">
        <v>390</v>
      </c>
    </row>
    <row r="951" spans="1:7">
      <c r="A951" t="s">
        <v>2272</v>
      </c>
      <c r="B951" t="s">
        <v>2273</v>
      </c>
      <c r="C951">
        <v>5</v>
      </c>
      <c r="D951" s="321">
        <v>46168</v>
      </c>
      <c r="E951" s="321">
        <v>46175</v>
      </c>
      <c r="F951">
        <v>113</v>
      </c>
      <c r="G951" t="s">
        <v>390</v>
      </c>
    </row>
    <row r="952" spans="1:7">
      <c r="A952" t="s">
        <v>2274</v>
      </c>
      <c r="B952" t="s">
        <v>2275</v>
      </c>
      <c r="C952">
        <v>5</v>
      </c>
      <c r="D952" s="321">
        <v>46191</v>
      </c>
      <c r="E952" s="321">
        <v>46197</v>
      </c>
      <c r="F952">
        <v>118</v>
      </c>
      <c r="G952" t="s">
        <v>390</v>
      </c>
    </row>
    <row r="953" spans="1:7">
      <c r="A953" t="s">
        <v>2276</v>
      </c>
      <c r="B953" t="s">
        <v>2277</v>
      </c>
      <c r="C953">
        <v>19</v>
      </c>
      <c r="D953" s="321">
        <v>46160</v>
      </c>
      <c r="E953" s="321">
        <v>46188</v>
      </c>
      <c r="F953">
        <v>95</v>
      </c>
      <c r="G953" t="s">
        <v>390</v>
      </c>
    </row>
    <row r="954" spans="1:7">
      <c r="A954" t="s">
        <v>2278</v>
      </c>
      <c r="B954" t="s">
        <v>2279</v>
      </c>
      <c r="C954">
        <v>10</v>
      </c>
      <c r="D954" s="321">
        <v>46203</v>
      </c>
      <c r="E954" s="321">
        <v>46216</v>
      </c>
      <c r="F954">
        <v>95</v>
      </c>
      <c r="G954" t="s">
        <v>390</v>
      </c>
    </row>
    <row r="955" spans="1:7">
      <c r="A955" t="s">
        <v>2280</v>
      </c>
      <c r="B955" t="s">
        <v>2281</v>
      </c>
      <c r="C955">
        <v>10</v>
      </c>
      <c r="D955" s="321">
        <v>46234</v>
      </c>
      <c r="E955" s="321">
        <v>46248</v>
      </c>
      <c r="F955">
        <v>95</v>
      </c>
      <c r="G955" t="s">
        <v>390</v>
      </c>
    </row>
    <row r="956" spans="1:7">
      <c r="A956" t="s">
        <v>2282</v>
      </c>
      <c r="B956" t="s">
        <v>2283</v>
      </c>
      <c r="C956">
        <v>20</v>
      </c>
      <c r="D956" s="321">
        <v>46147</v>
      </c>
      <c r="E956" s="321">
        <v>46175</v>
      </c>
      <c r="F956">
        <v>43</v>
      </c>
      <c r="G956" t="s">
        <v>390</v>
      </c>
    </row>
    <row r="957" spans="1:7">
      <c r="A957" t="s">
        <v>2284</v>
      </c>
      <c r="B957" t="s">
        <v>2285</v>
      </c>
      <c r="C957">
        <v>10</v>
      </c>
      <c r="D957" s="321">
        <v>46191</v>
      </c>
      <c r="E957" s="321">
        <v>46204</v>
      </c>
      <c r="F957">
        <v>73</v>
      </c>
      <c r="G957" t="s">
        <v>390</v>
      </c>
    </row>
    <row r="958" spans="1:7">
      <c r="A958" t="s">
        <v>2286</v>
      </c>
      <c r="B958" t="s">
        <v>2287</v>
      </c>
      <c r="C958">
        <v>10</v>
      </c>
      <c r="D958" s="321">
        <v>46219</v>
      </c>
      <c r="E958" s="321">
        <v>46237</v>
      </c>
      <c r="F958">
        <v>73</v>
      </c>
      <c r="G958" t="s">
        <v>390</v>
      </c>
    </row>
    <row r="959" spans="1:7">
      <c r="A959" t="s">
        <v>2288</v>
      </c>
      <c r="B959" t="s">
        <v>2289</v>
      </c>
      <c r="C959">
        <v>16</v>
      </c>
      <c r="D959" s="321">
        <v>46245</v>
      </c>
      <c r="E959" s="321">
        <v>46267</v>
      </c>
      <c r="F959">
        <v>42</v>
      </c>
      <c r="G959" t="s">
        <v>390</v>
      </c>
    </row>
    <row r="960" spans="1:7">
      <c r="A960" t="s">
        <v>2290</v>
      </c>
      <c r="B960" t="s">
        <v>2291</v>
      </c>
      <c r="C960">
        <v>10</v>
      </c>
      <c r="D960" s="321">
        <v>46282</v>
      </c>
      <c r="E960" s="321">
        <v>46295</v>
      </c>
      <c r="F960">
        <v>42</v>
      </c>
      <c r="G960" t="s">
        <v>390</v>
      </c>
    </row>
    <row r="961" spans="1:7">
      <c r="A961" t="s">
        <v>2292</v>
      </c>
      <c r="B961" t="s">
        <v>2293</v>
      </c>
      <c r="C961">
        <v>10</v>
      </c>
      <c r="D961" s="321">
        <v>46311</v>
      </c>
      <c r="E961" s="321">
        <v>46325</v>
      </c>
      <c r="F961">
        <v>42</v>
      </c>
      <c r="G961" t="s">
        <v>390</v>
      </c>
    </row>
    <row r="962" spans="1:7">
      <c r="A962" t="s">
        <v>2294</v>
      </c>
      <c r="B962" t="s">
        <v>2295</v>
      </c>
      <c r="C962">
        <v>19</v>
      </c>
      <c r="D962" s="321">
        <v>46167</v>
      </c>
      <c r="E962" s="321">
        <v>46195</v>
      </c>
      <c r="F962">
        <v>49</v>
      </c>
      <c r="G962" t="s">
        <v>390</v>
      </c>
    </row>
    <row r="963" spans="1:7">
      <c r="A963" t="s">
        <v>2296</v>
      </c>
      <c r="B963" t="s">
        <v>2297</v>
      </c>
      <c r="C963">
        <v>10</v>
      </c>
      <c r="D963" s="321">
        <v>46210</v>
      </c>
      <c r="E963" s="321">
        <v>46223</v>
      </c>
      <c r="F963">
        <v>90</v>
      </c>
      <c r="G963" t="s">
        <v>390</v>
      </c>
    </row>
    <row r="964" spans="1:7">
      <c r="A964" t="s">
        <v>2298</v>
      </c>
      <c r="B964" t="s">
        <v>2299</v>
      </c>
      <c r="C964">
        <v>10</v>
      </c>
      <c r="D964" s="321">
        <v>46241</v>
      </c>
      <c r="E964" s="321">
        <v>46255</v>
      </c>
      <c r="F964">
        <v>90</v>
      </c>
      <c r="G964" t="s">
        <v>390</v>
      </c>
    </row>
    <row r="965" spans="1:7">
      <c r="A965" t="s">
        <v>2300</v>
      </c>
      <c r="B965" t="s">
        <v>2301</v>
      </c>
      <c r="C965">
        <v>19</v>
      </c>
      <c r="D965" s="321">
        <v>46175</v>
      </c>
      <c r="E965" s="321">
        <v>46202</v>
      </c>
      <c r="F965">
        <v>85</v>
      </c>
      <c r="G965" t="s">
        <v>390</v>
      </c>
    </row>
    <row r="966" spans="1:7">
      <c r="A966" t="s">
        <v>2302</v>
      </c>
      <c r="B966" t="s">
        <v>2303</v>
      </c>
      <c r="C966">
        <v>10</v>
      </c>
      <c r="D966" s="321">
        <v>46217</v>
      </c>
      <c r="E966" s="321">
        <v>46230</v>
      </c>
      <c r="F966">
        <v>85</v>
      </c>
      <c r="G966" t="s">
        <v>390</v>
      </c>
    </row>
    <row r="967" spans="1:7">
      <c r="A967" t="s">
        <v>2304</v>
      </c>
      <c r="B967" t="s">
        <v>2305</v>
      </c>
      <c r="C967">
        <v>10</v>
      </c>
      <c r="D967" s="321">
        <v>46251</v>
      </c>
      <c r="E967" s="321">
        <v>46262</v>
      </c>
      <c r="F967">
        <v>85</v>
      </c>
      <c r="G967" t="s">
        <v>390</v>
      </c>
    </row>
    <row r="968" spans="1:7">
      <c r="A968" t="s">
        <v>2306</v>
      </c>
      <c r="B968" t="s">
        <v>2307</v>
      </c>
      <c r="C968">
        <v>21</v>
      </c>
      <c r="D968" s="321">
        <v>46188</v>
      </c>
      <c r="E968" s="321">
        <v>46216</v>
      </c>
      <c r="F968">
        <v>49</v>
      </c>
      <c r="G968" t="s">
        <v>390</v>
      </c>
    </row>
    <row r="969" spans="1:7">
      <c r="A969" t="s">
        <v>2308</v>
      </c>
      <c r="B969" t="s">
        <v>2309</v>
      </c>
      <c r="C969">
        <v>10</v>
      </c>
      <c r="D969" s="321">
        <v>46234</v>
      </c>
      <c r="E969" s="321">
        <v>46248</v>
      </c>
      <c r="F969">
        <v>75</v>
      </c>
      <c r="G969" t="s">
        <v>390</v>
      </c>
    </row>
    <row r="970" spans="1:7">
      <c r="A970" t="s">
        <v>2310</v>
      </c>
      <c r="B970" t="s">
        <v>2311</v>
      </c>
      <c r="C970">
        <v>10</v>
      </c>
      <c r="D970" s="321">
        <v>46265</v>
      </c>
      <c r="E970" s="321">
        <v>46276</v>
      </c>
      <c r="F970">
        <v>75</v>
      </c>
      <c r="G970" t="s">
        <v>390</v>
      </c>
    </row>
    <row r="971" spans="1:7">
      <c r="A971" t="s">
        <v>2312</v>
      </c>
      <c r="B971" t="s">
        <v>2313</v>
      </c>
      <c r="C971">
        <v>21</v>
      </c>
      <c r="D971" s="321">
        <v>46195</v>
      </c>
      <c r="E971" s="321">
        <v>46223</v>
      </c>
      <c r="F971">
        <v>54</v>
      </c>
      <c r="G971" t="s">
        <v>390</v>
      </c>
    </row>
    <row r="972" spans="1:7">
      <c r="A972" t="s">
        <v>2314</v>
      </c>
      <c r="B972" t="s">
        <v>2315</v>
      </c>
      <c r="C972">
        <v>10</v>
      </c>
      <c r="D972" s="321">
        <v>46241</v>
      </c>
      <c r="E972" s="321">
        <v>46255</v>
      </c>
      <c r="F972">
        <v>70</v>
      </c>
      <c r="G972" t="s">
        <v>390</v>
      </c>
    </row>
    <row r="973" spans="1:7">
      <c r="A973" t="s">
        <v>2316</v>
      </c>
      <c r="B973" t="s">
        <v>2317</v>
      </c>
      <c r="C973">
        <v>10</v>
      </c>
      <c r="D973" s="321">
        <v>46272</v>
      </c>
      <c r="E973" s="321">
        <v>46283</v>
      </c>
      <c r="F973">
        <v>70</v>
      </c>
      <c r="G973" t="s">
        <v>390</v>
      </c>
    </row>
    <row r="974" spans="1:7">
      <c r="A974" t="s">
        <v>2318</v>
      </c>
      <c r="B974" t="s">
        <v>2319</v>
      </c>
      <c r="C974">
        <v>17</v>
      </c>
      <c r="D974" s="321">
        <v>46223</v>
      </c>
      <c r="E974" s="321">
        <v>46251</v>
      </c>
      <c r="F974">
        <v>54</v>
      </c>
      <c r="G974" t="s">
        <v>390</v>
      </c>
    </row>
    <row r="975" spans="1:7">
      <c r="A975" t="s">
        <v>2320</v>
      </c>
      <c r="B975" t="s">
        <v>2321</v>
      </c>
      <c r="C975">
        <v>10</v>
      </c>
      <c r="D975" s="321">
        <v>46266</v>
      </c>
      <c r="E975" s="321">
        <v>46279</v>
      </c>
      <c r="F975">
        <v>54</v>
      </c>
      <c r="G975" t="s">
        <v>390</v>
      </c>
    </row>
    <row r="976" spans="1:7">
      <c r="A976" t="s">
        <v>2322</v>
      </c>
      <c r="B976" t="s">
        <v>2323</v>
      </c>
      <c r="C976">
        <v>10</v>
      </c>
      <c r="D976" s="321">
        <v>46294</v>
      </c>
      <c r="E976" s="321">
        <v>46307</v>
      </c>
      <c r="F976">
        <v>54</v>
      </c>
      <c r="G976" t="s">
        <v>390</v>
      </c>
    </row>
    <row r="977" spans="1:7">
      <c r="A977" t="s">
        <v>2324</v>
      </c>
      <c r="B977" t="s">
        <v>2325</v>
      </c>
      <c r="C977">
        <v>12</v>
      </c>
      <c r="D977" s="321">
        <v>46230</v>
      </c>
      <c r="E977" s="321">
        <v>46251</v>
      </c>
      <c r="F977">
        <v>54</v>
      </c>
      <c r="G977" t="s">
        <v>390</v>
      </c>
    </row>
    <row r="978" spans="1:7">
      <c r="A978" t="s">
        <v>2326</v>
      </c>
      <c r="B978" t="s">
        <v>2327</v>
      </c>
      <c r="C978">
        <v>10</v>
      </c>
      <c r="D978" s="321">
        <v>46266</v>
      </c>
      <c r="E978" s="321">
        <v>46279</v>
      </c>
      <c r="F978">
        <v>54</v>
      </c>
      <c r="G978" t="s">
        <v>390</v>
      </c>
    </row>
    <row r="979" spans="1:7">
      <c r="A979" t="s">
        <v>2328</v>
      </c>
      <c r="B979" t="s">
        <v>2329</v>
      </c>
      <c r="C979">
        <v>10</v>
      </c>
      <c r="D979" s="321">
        <v>46294</v>
      </c>
      <c r="E979" s="321">
        <v>46307</v>
      </c>
      <c r="F979">
        <v>54</v>
      </c>
      <c r="G979" t="s">
        <v>390</v>
      </c>
    </row>
    <row r="980" spans="1:7">
      <c r="A980" t="s">
        <v>2330</v>
      </c>
      <c r="B980" t="s">
        <v>2331</v>
      </c>
      <c r="C980">
        <v>17</v>
      </c>
      <c r="D980" s="321">
        <v>46128</v>
      </c>
      <c r="E980" s="321">
        <v>46153</v>
      </c>
      <c r="F980">
        <v>118</v>
      </c>
      <c r="G980" t="s">
        <v>390</v>
      </c>
    </row>
    <row r="981" spans="1:7">
      <c r="A981" t="s">
        <v>2332</v>
      </c>
      <c r="B981" t="s">
        <v>2333</v>
      </c>
      <c r="C981">
        <v>10</v>
      </c>
      <c r="D981" s="321">
        <v>46168</v>
      </c>
      <c r="E981" s="321">
        <v>46183</v>
      </c>
      <c r="F981">
        <v>118</v>
      </c>
      <c r="G981" t="s">
        <v>390</v>
      </c>
    </row>
    <row r="982" spans="1:7">
      <c r="A982" t="s">
        <v>2334</v>
      </c>
      <c r="B982" t="s">
        <v>2335</v>
      </c>
      <c r="C982">
        <v>10</v>
      </c>
      <c r="D982" s="321">
        <v>46198</v>
      </c>
      <c r="E982" s="321">
        <v>46211</v>
      </c>
      <c r="F982">
        <v>118</v>
      </c>
      <c r="G982" t="s">
        <v>390</v>
      </c>
    </row>
    <row r="983" spans="1:7">
      <c r="A983" t="s">
        <v>2336</v>
      </c>
      <c r="B983" t="s">
        <v>2337</v>
      </c>
      <c r="C983">
        <v>17</v>
      </c>
      <c r="D983" s="321">
        <v>46199</v>
      </c>
      <c r="E983" s="321">
        <v>46223</v>
      </c>
      <c r="F983">
        <v>5</v>
      </c>
      <c r="G983" t="s">
        <v>390</v>
      </c>
    </row>
    <row r="984" spans="1:7">
      <c r="A984" t="s">
        <v>2338</v>
      </c>
      <c r="B984" t="s">
        <v>2339</v>
      </c>
      <c r="C984">
        <v>10</v>
      </c>
      <c r="D984" s="321">
        <v>46241</v>
      </c>
      <c r="E984" s="321">
        <v>46255</v>
      </c>
      <c r="F984">
        <v>35</v>
      </c>
      <c r="G984" t="s">
        <v>390</v>
      </c>
    </row>
    <row r="985" spans="1:7">
      <c r="A985" t="s">
        <v>2340</v>
      </c>
      <c r="B985" t="s">
        <v>2341</v>
      </c>
      <c r="C985">
        <v>10</v>
      </c>
      <c r="D985" s="321">
        <v>46272</v>
      </c>
      <c r="E985" s="321">
        <v>46283</v>
      </c>
      <c r="F985">
        <v>40</v>
      </c>
      <c r="G985" t="s">
        <v>390</v>
      </c>
    </row>
    <row r="986" spans="1:7">
      <c r="A986" t="s">
        <v>2342</v>
      </c>
      <c r="B986" t="s">
        <v>2343</v>
      </c>
      <c r="C986">
        <v>17</v>
      </c>
      <c r="D986" s="321">
        <v>46199</v>
      </c>
      <c r="E986" s="321">
        <v>46223</v>
      </c>
      <c r="F986">
        <v>39</v>
      </c>
      <c r="G986" t="s">
        <v>390</v>
      </c>
    </row>
    <row r="987" spans="1:7">
      <c r="A987" t="s">
        <v>2344</v>
      </c>
      <c r="B987" t="s">
        <v>2345</v>
      </c>
      <c r="C987">
        <v>10</v>
      </c>
      <c r="D987" s="321">
        <v>46241</v>
      </c>
      <c r="E987" s="321">
        <v>46255</v>
      </c>
      <c r="F987">
        <v>50</v>
      </c>
      <c r="G987" t="s">
        <v>390</v>
      </c>
    </row>
    <row r="988" spans="1:7">
      <c r="A988" t="s">
        <v>2346</v>
      </c>
      <c r="B988" t="s">
        <v>2347</v>
      </c>
      <c r="C988">
        <v>10</v>
      </c>
      <c r="D988" s="321">
        <v>46272</v>
      </c>
      <c r="E988" s="321">
        <v>46283</v>
      </c>
      <c r="F988">
        <v>50</v>
      </c>
      <c r="G988" t="s">
        <v>390</v>
      </c>
    </row>
    <row r="989" spans="1:7">
      <c r="A989" t="s">
        <v>2348</v>
      </c>
      <c r="B989" t="s">
        <v>2349</v>
      </c>
      <c r="C989">
        <v>16</v>
      </c>
      <c r="D989" s="321">
        <v>46209</v>
      </c>
      <c r="E989" s="321">
        <v>46230</v>
      </c>
      <c r="F989">
        <v>39</v>
      </c>
      <c r="G989" t="s">
        <v>390</v>
      </c>
    </row>
    <row r="990" spans="1:7">
      <c r="A990" t="s">
        <v>2350</v>
      </c>
      <c r="B990" t="s">
        <v>2351</v>
      </c>
      <c r="C990">
        <v>10</v>
      </c>
      <c r="D990" s="321">
        <v>46251</v>
      </c>
      <c r="E990" s="321">
        <v>46262</v>
      </c>
      <c r="F990">
        <v>45</v>
      </c>
      <c r="G990" t="s">
        <v>390</v>
      </c>
    </row>
    <row r="991" spans="1:7">
      <c r="A991" t="s">
        <v>2352</v>
      </c>
      <c r="B991" t="s">
        <v>2353</v>
      </c>
      <c r="C991">
        <v>10</v>
      </c>
      <c r="D991" s="321">
        <v>46279</v>
      </c>
      <c r="E991" s="321">
        <v>46290</v>
      </c>
      <c r="F991">
        <v>45</v>
      </c>
      <c r="G991" t="s">
        <v>390</v>
      </c>
    </row>
    <row r="992" spans="1:7">
      <c r="A992" t="s">
        <v>2354</v>
      </c>
      <c r="B992" t="s">
        <v>2355</v>
      </c>
      <c r="C992">
        <v>15</v>
      </c>
      <c r="D992" s="321">
        <v>46218</v>
      </c>
      <c r="E992" s="321">
        <v>46241</v>
      </c>
      <c r="F992">
        <v>39</v>
      </c>
      <c r="G992" t="s">
        <v>390</v>
      </c>
    </row>
    <row r="993" spans="1:7">
      <c r="A993" t="s">
        <v>2356</v>
      </c>
      <c r="B993" t="s">
        <v>2357</v>
      </c>
      <c r="C993">
        <v>10</v>
      </c>
      <c r="D993" s="321">
        <v>46259</v>
      </c>
      <c r="E993" s="321">
        <v>46272</v>
      </c>
      <c r="F993">
        <v>39</v>
      </c>
      <c r="G993" t="s">
        <v>390</v>
      </c>
    </row>
    <row r="994" spans="1:7">
      <c r="A994" t="s">
        <v>2358</v>
      </c>
      <c r="B994" t="s">
        <v>2359</v>
      </c>
      <c r="C994">
        <v>10</v>
      </c>
      <c r="D994" s="321">
        <v>46287</v>
      </c>
      <c r="E994" s="321">
        <v>46300</v>
      </c>
      <c r="F994">
        <v>39</v>
      </c>
      <c r="G994" t="s">
        <v>390</v>
      </c>
    </row>
    <row r="995" spans="1:7">
      <c r="A995" t="s">
        <v>2360</v>
      </c>
      <c r="B995" t="s">
        <v>2361</v>
      </c>
      <c r="C995">
        <v>15</v>
      </c>
      <c r="D995" s="321">
        <v>46218</v>
      </c>
      <c r="E995" s="321">
        <v>46241</v>
      </c>
      <c r="F995">
        <v>39</v>
      </c>
      <c r="G995" t="s">
        <v>390</v>
      </c>
    </row>
    <row r="996" spans="1:7">
      <c r="A996" t="s">
        <v>2362</v>
      </c>
      <c r="B996" t="s">
        <v>2363</v>
      </c>
      <c r="C996">
        <v>10</v>
      </c>
      <c r="D996" s="321">
        <v>46259</v>
      </c>
      <c r="E996" s="321">
        <v>46272</v>
      </c>
      <c r="F996">
        <v>39</v>
      </c>
      <c r="G996" t="s">
        <v>390</v>
      </c>
    </row>
    <row r="997" spans="1:7">
      <c r="A997" t="s">
        <v>2364</v>
      </c>
      <c r="B997" t="s">
        <v>2365</v>
      </c>
      <c r="C997">
        <v>10</v>
      </c>
      <c r="D997" s="321">
        <v>46287</v>
      </c>
      <c r="E997" s="321">
        <v>46300</v>
      </c>
      <c r="F997">
        <v>39</v>
      </c>
      <c r="G997" t="s">
        <v>390</v>
      </c>
    </row>
    <row r="998" spans="1:7">
      <c r="A998" t="s">
        <v>2366</v>
      </c>
      <c r="B998" t="s">
        <v>2367</v>
      </c>
      <c r="C998">
        <v>15</v>
      </c>
      <c r="D998" s="321">
        <v>46218</v>
      </c>
      <c r="E998" s="321">
        <v>46241</v>
      </c>
      <c r="F998">
        <v>39</v>
      </c>
      <c r="G998" t="s">
        <v>390</v>
      </c>
    </row>
    <row r="999" spans="1:7">
      <c r="A999" t="s">
        <v>2368</v>
      </c>
      <c r="B999" t="s">
        <v>2369</v>
      </c>
      <c r="C999">
        <v>10</v>
      </c>
      <c r="D999" s="321">
        <v>46259</v>
      </c>
      <c r="E999" s="321">
        <v>46272</v>
      </c>
      <c r="F999">
        <v>39</v>
      </c>
      <c r="G999" t="s">
        <v>390</v>
      </c>
    </row>
    <row r="1000" spans="1:7">
      <c r="A1000" t="s">
        <v>2370</v>
      </c>
      <c r="B1000" t="s">
        <v>2371</v>
      </c>
      <c r="C1000">
        <v>10</v>
      </c>
      <c r="D1000" s="321">
        <v>46287</v>
      </c>
      <c r="E1000" s="321">
        <v>46300</v>
      </c>
      <c r="F1000">
        <v>39</v>
      </c>
      <c r="G1000" t="s">
        <v>390</v>
      </c>
    </row>
    <row r="1001" spans="1:7">
      <c r="A1001" t="s">
        <v>2372</v>
      </c>
      <c r="B1001" t="s">
        <v>2373</v>
      </c>
      <c r="C1001">
        <v>12</v>
      </c>
      <c r="D1001" s="321">
        <v>46225</v>
      </c>
      <c r="E1001" s="321">
        <v>46245</v>
      </c>
      <c r="F1001">
        <v>33</v>
      </c>
      <c r="G1001" t="s">
        <v>390</v>
      </c>
    </row>
    <row r="1002" spans="1:7">
      <c r="A1002" t="s">
        <v>2374</v>
      </c>
      <c r="B1002" t="s">
        <v>2375</v>
      </c>
      <c r="C1002">
        <v>10</v>
      </c>
      <c r="D1002" s="321">
        <v>46261</v>
      </c>
      <c r="E1002" s="321">
        <v>46274</v>
      </c>
      <c r="F1002">
        <v>37</v>
      </c>
      <c r="G1002" t="s">
        <v>390</v>
      </c>
    </row>
    <row r="1003" spans="1:7">
      <c r="A1003" t="s">
        <v>2376</v>
      </c>
      <c r="B1003" t="s">
        <v>2377</v>
      </c>
      <c r="C1003">
        <v>10</v>
      </c>
      <c r="D1003" s="321">
        <v>46289</v>
      </c>
      <c r="E1003" s="321">
        <v>46302</v>
      </c>
      <c r="F1003">
        <v>37</v>
      </c>
      <c r="G1003" t="s">
        <v>390</v>
      </c>
    </row>
    <row r="1004" spans="1:7">
      <c r="A1004" t="s">
        <v>2378</v>
      </c>
      <c r="B1004" t="s">
        <v>2379</v>
      </c>
      <c r="C1004">
        <v>12</v>
      </c>
      <c r="D1004" s="321">
        <v>46234</v>
      </c>
      <c r="E1004" s="321">
        <v>46252</v>
      </c>
      <c r="F1004">
        <v>33</v>
      </c>
      <c r="G1004" t="s">
        <v>390</v>
      </c>
    </row>
    <row r="1005" spans="1:7">
      <c r="A1005" t="s">
        <v>2380</v>
      </c>
      <c r="B1005" t="s">
        <v>2381</v>
      </c>
      <c r="C1005">
        <v>10</v>
      </c>
      <c r="D1005" s="321">
        <v>46267</v>
      </c>
      <c r="E1005" s="321">
        <v>46280</v>
      </c>
      <c r="F1005">
        <v>33</v>
      </c>
      <c r="G1005" t="s">
        <v>390</v>
      </c>
    </row>
    <row r="1006" spans="1:7">
      <c r="A1006" t="s">
        <v>2382</v>
      </c>
      <c r="B1006" t="s">
        <v>2383</v>
      </c>
      <c r="C1006">
        <v>10</v>
      </c>
      <c r="D1006" s="321">
        <v>46295</v>
      </c>
      <c r="E1006" s="321">
        <v>46309</v>
      </c>
      <c r="F1006">
        <v>33</v>
      </c>
      <c r="G1006" t="s">
        <v>390</v>
      </c>
    </row>
    <row r="1007" spans="1:7">
      <c r="A1007" t="s">
        <v>2384</v>
      </c>
      <c r="B1007" t="s">
        <v>2385</v>
      </c>
      <c r="C1007">
        <v>12</v>
      </c>
      <c r="D1007" s="321">
        <v>46234</v>
      </c>
      <c r="E1007" s="321">
        <v>46252</v>
      </c>
      <c r="F1007">
        <v>5</v>
      </c>
      <c r="G1007" t="s">
        <v>390</v>
      </c>
    </row>
    <row r="1008" spans="1:7">
      <c r="A1008" t="s">
        <v>2386</v>
      </c>
      <c r="B1008" t="s">
        <v>2387</v>
      </c>
      <c r="C1008">
        <v>10</v>
      </c>
      <c r="D1008" s="321">
        <v>46267</v>
      </c>
      <c r="E1008" s="321">
        <v>46280</v>
      </c>
      <c r="F1008">
        <v>33</v>
      </c>
      <c r="G1008" t="s">
        <v>390</v>
      </c>
    </row>
    <row r="1009" spans="1:7">
      <c r="A1009" t="s">
        <v>2388</v>
      </c>
      <c r="B1009" t="s">
        <v>2389</v>
      </c>
      <c r="C1009">
        <v>10</v>
      </c>
      <c r="D1009" s="321">
        <v>46295</v>
      </c>
      <c r="E1009" s="321">
        <v>46309</v>
      </c>
      <c r="F1009">
        <v>33</v>
      </c>
      <c r="G1009" t="s">
        <v>390</v>
      </c>
    </row>
    <row r="1010" spans="1:7">
      <c r="A1010" t="s">
        <v>2390</v>
      </c>
      <c r="B1010" t="s">
        <v>2391</v>
      </c>
      <c r="C1010">
        <v>12</v>
      </c>
      <c r="D1010" s="321">
        <v>46238</v>
      </c>
      <c r="E1010" s="321">
        <v>46254</v>
      </c>
      <c r="F1010">
        <v>5</v>
      </c>
      <c r="G1010" t="s">
        <v>390</v>
      </c>
    </row>
    <row r="1011" spans="1:7">
      <c r="A1011" t="s">
        <v>2392</v>
      </c>
      <c r="B1011" t="s">
        <v>2393</v>
      </c>
      <c r="C1011">
        <v>10</v>
      </c>
      <c r="D1011" s="321">
        <v>46269</v>
      </c>
      <c r="E1011" s="321">
        <v>46282</v>
      </c>
      <c r="F1011">
        <v>31</v>
      </c>
      <c r="G1011" t="s">
        <v>390</v>
      </c>
    </row>
    <row r="1012" spans="1:7">
      <c r="A1012" t="s">
        <v>2394</v>
      </c>
      <c r="B1012" t="s">
        <v>2395</v>
      </c>
      <c r="C1012">
        <v>10</v>
      </c>
      <c r="D1012" s="321">
        <v>46297</v>
      </c>
      <c r="E1012" s="321">
        <v>46311</v>
      </c>
      <c r="F1012">
        <v>31</v>
      </c>
      <c r="G1012" t="s">
        <v>390</v>
      </c>
    </row>
    <row r="1013" spans="1:7">
      <c r="A1013" t="s">
        <v>2396</v>
      </c>
      <c r="B1013" t="s">
        <v>2397</v>
      </c>
      <c r="C1013">
        <v>12</v>
      </c>
      <c r="D1013" s="321">
        <v>46238</v>
      </c>
      <c r="E1013" s="321">
        <v>46254</v>
      </c>
      <c r="F1013">
        <v>9</v>
      </c>
      <c r="G1013" t="s">
        <v>390</v>
      </c>
    </row>
    <row r="1014" spans="1:7">
      <c r="A1014" t="s">
        <v>2398</v>
      </c>
      <c r="B1014" t="s">
        <v>2399</v>
      </c>
      <c r="C1014">
        <v>10</v>
      </c>
      <c r="D1014" s="321">
        <v>46269</v>
      </c>
      <c r="E1014" s="321">
        <v>46282</v>
      </c>
      <c r="F1014">
        <v>31</v>
      </c>
      <c r="G1014" t="s">
        <v>390</v>
      </c>
    </row>
    <row r="1015" spans="1:7">
      <c r="A1015" t="s">
        <v>2400</v>
      </c>
      <c r="B1015" t="s">
        <v>2401</v>
      </c>
      <c r="C1015">
        <v>10</v>
      </c>
      <c r="D1015" s="321">
        <v>46297</v>
      </c>
      <c r="E1015" s="321">
        <v>46311</v>
      </c>
      <c r="F1015">
        <v>31</v>
      </c>
      <c r="G1015" t="s">
        <v>390</v>
      </c>
    </row>
    <row r="1016" spans="1:7">
      <c r="A1016" t="s">
        <v>2402</v>
      </c>
      <c r="B1016" t="s">
        <v>2403</v>
      </c>
      <c r="C1016">
        <v>12</v>
      </c>
      <c r="D1016" s="321">
        <v>46238</v>
      </c>
      <c r="E1016" s="321">
        <v>46254</v>
      </c>
      <c r="F1016">
        <v>9</v>
      </c>
      <c r="G1016" t="s">
        <v>390</v>
      </c>
    </row>
    <row r="1017" spans="1:7">
      <c r="A1017" t="s">
        <v>2404</v>
      </c>
      <c r="B1017" t="s">
        <v>2405</v>
      </c>
      <c r="C1017">
        <v>10</v>
      </c>
      <c r="D1017" s="321">
        <v>46269</v>
      </c>
      <c r="E1017" s="321">
        <v>46282</v>
      </c>
      <c r="F1017">
        <v>31</v>
      </c>
      <c r="G1017" t="s">
        <v>390</v>
      </c>
    </row>
    <row r="1018" spans="1:7">
      <c r="A1018" t="s">
        <v>2406</v>
      </c>
      <c r="B1018" t="s">
        <v>2407</v>
      </c>
      <c r="C1018">
        <v>10</v>
      </c>
      <c r="D1018" s="321">
        <v>46297</v>
      </c>
      <c r="E1018" s="321">
        <v>46311</v>
      </c>
      <c r="F1018">
        <v>31</v>
      </c>
      <c r="G1018" t="s">
        <v>390</v>
      </c>
    </row>
    <row r="1019" spans="1:7">
      <c r="A1019" t="s">
        <v>2408</v>
      </c>
      <c r="B1019" t="s">
        <v>2409</v>
      </c>
      <c r="C1019">
        <v>9</v>
      </c>
      <c r="D1019" s="321">
        <v>46244</v>
      </c>
      <c r="E1019" s="321">
        <v>46255</v>
      </c>
      <c r="F1019">
        <v>6</v>
      </c>
      <c r="G1019" t="s">
        <v>390</v>
      </c>
    </row>
    <row r="1020" spans="1:7">
      <c r="A1020" t="s">
        <v>2410</v>
      </c>
      <c r="B1020" t="s">
        <v>2411</v>
      </c>
      <c r="C1020">
        <v>5</v>
      </c>
      <c r="D1020" s="321">
        <v>46272</v>
      </c>
      <c r="E1020" s="321">
        <v>46276</v>
      </c>
      <c r="F1020">
        <v>35</v>
      </c>
      <c r="G1020" t="s">
        <v>390</v>
      </c>
    </row>
    <row r="1021" spans="1:7">
      <c r="A1021" t="s">
        <v>2412</v>
      </c>
      <c r="B1021" t="s">
        <v>2413</v>
      </c>
      <c r="C1021">
        <v>5</v>
      </c>
      <c r="D1021" s="321">
        <v>46293</v>
      </c>
      <c r="E1021" s="321">
        <v>46297</v>
      </c>
      <c r="F1021">
        <v>40</v>
      </c>
      <c r="G1021" t="s">
        <v>390</v>
      </c>
    </row>
    <row r="1022" spans="1:7">
      <c r="A1022" t="s">
        <v>2414</v>
      </c>
      <c r="B1022" t="s">
        <v>2415</v>
      </c>
      <c r="C1022">
        <v>10</v>
      </c>
      <c r="D1022" s="321">
        <v>46113</v>
      </c>
      <c r="E1022" s="321">
        <v>46132</v>
      </c>
      <c r="F1022">
        <v>142</v>
      </c>
      <c r="G1022" t="s">
        <v>390</v>
      </c>
    </row>
    <row r="1023" spans="1:7">
      <c r="A1023" t="s">
        <v>2416</v>
      </c>
      <c r="B1023" t="s">
        <v>2417</v>
      </c>
      <c r="C1023">
        <v>5</v>
      </c>
      <c r="D1023" s="321">
        <v>46148</v>
      </c>
      <c r="E1023" s="321">
        <v>46154</v>
      </c>
      <c r="F1023">
        <v>142</v>
      </c>
      <c r="G1023" t="s">
        <v>390</v>
      </c>
    </row>
    <row r="1024" spans="1:7">
      <c r="A1024" t="s">
        <v>2418</v>
      </c>
      <c r="B1024" t="s">
        <v>2419</v>
      </c>
      <c r="C1024">
        <v>5</v>
      </c>
      <c r="D1024" s="321">
        <v>46169</v>
      </c>
      <c r="E1024" s="321">
        <v>46177</v>
      </c>
      <c r="F1024">
        <v>142</v>
      </c>
      <c r="G1024" t="s">
        <v>390</v>
      </c>
    </row>
    <row r="1025" spans="1:7">
      <c r="A1025" t="s">
        <v>2420</v>
      </c>
      <c r="B1025" t="s">
        <v>2421</v>
      </c>
      <c r="C1025">
        <v>12</v>
      </c>
      <c r="D1025" s="321">
        <v>46128</v>
      </c>
      <c r="E1025" s="321">
        <v>46146</v>
      </c>
      <c r="F1025">
        <v>70</v>
      </c>
      <c r="G1025" t="s">
        <v>390</v>
      </c>
    </row>
    <row r="1026" spans="1:7">
      <c r="A1026" t="s">
        <v>2422</v>
      </c>
      <c r="B1026" t="s">
        <v>2423</v>
      </c>
      <c r="C1026">
        <v>5</v>
      </c>
      <c r="D1026" s="321">
        <v>46161</v>
      </c>
      <c r="E1026" s="321">
        <v>46167</v>
      </c>
      <c r="F1026">
        <v>103</v>
      </c>
      <c r="G1026" t="s">
        <v>390</v>
      </c>
    </row>
    <row r="1027" spans="1:7">
      <c r="A1027" t="s">
        <v>2424</v>
      </c>
      <c r="B1027" t="s">
        <v>2425</v>
      </c>
      <c r="C1027">
        <v>5</v>
      </c>
      <c r="D1027" s="321">
        <v>46184</v>
      </c>
      <c r="E1027" s="321">
        <v>46190</v>
      </c>
      <c r="F1027">
        <v>108</v>
      </c>
      <c r="G1027" t="s">
        <v>390</v>
      </c>
    </row>
    <row r="1028" spans="1:7">
      <c r="A1028" t="s">
        <v>2426</v>
      </c>
      <c r="B1028" t="s">
        <v>2427</v>
      </c>
      <c r="C1028">
        <v>15</v>
      </c>
      <c r="D1028" s="321">
        <v>46132</v>
      </c>
      <c r="E1028" s="321">
        <v>46153</v>
      </c>
      <c r="F1028">
        <v>128</v>
      </c>
      <c r="G1028" t="s">
        <v>390</v>
      </c>
    </row>
    <row r="1029" spans="1:7">
      <c r="A1029" t="s">
        <v>2428</v>
      </c>
      <c r="B1029" t="s">
        <v>2429</v>
      </c>
      <c r="C1029">
        <v>5</v>
      </c>
      <c r="D1029" s="321">
        <v>46168</v>
      </c>
      <c r="E1029" s="321">
        <v>46175</v>
      </c>
      <c r="F1029">
        <v>128</v>
      </c>
      <c r="G1029" t="s">
        <v>390</v>
      </c>
    </row>
    <row r="1030" spans="1:7">
      <c r="A1030" t="s">
        <v>2430</v>
      </c>
      <c r="B1030" t="s">
        <v>2431</v>
      </c>
      <c r="C1030">
        <v>5</v>
      </c>
      <c r="D1030" s="321">
        <v>46191</v>
      </c>
      <c r="E1030" s="321">
        <v>46197</v>
      </c>
      <c r="F1030">
        <v>128</v>
      </c>
      <c r="G1030" t="s">
        <v>390</v>
      </c>
    </row>
    <row r="1031" spans="1:7">
      <c r="A1031" t="s">
        <v>2432</v>
      </c>
      <c r="B1031" t="s">
        <v>2433</v>
      </c>
      <c r="C1031">
        <v>19</v>
      </c>
      <c r="D1031" s="321">
        <v>46160</v>
      </c>
      <c r="E1031" s="321">
        <v>46188</v>
      </c>
      <c r="F1031">
        <v>95</v>
      </c>
      <c r="G1031" t="s">
        <v>390</v>
      </c>
    </row>
    <row r="1032" spans="1:7">
      <c r="A1032" t="s">
        <v>2434</v>
      </c>
      <c r="B1032" t="s">
        <v>2435</v>
      </c>
      <c r="C1032">
        <v>10</v>
      </c>
      <c r="D1032" s="321">
        <v>46203</v>
      </c>
      <c r="E1032" s="321">
        <v>46216</v>
      </c>
      <c r="F1032">
        <v>95</v>
      </c>
      <c r="G1032" t="s">
        <v>390</v>
      </c>
    </row>
    <row r="1033" spans="1:7">
      <c r="A1033" t="s">
        <v>2436</v>
      </c>
      <c r="B1033" t="s">
        <v>2437</v>
      </c>
      <c r="C1033">
        <v>10</v>
      </c>
      <c r="D1033" s="321">
        <v>46234</v>
      </c>
      <c r="E1033" s="321">
        <v>46248</v>
      </c>
      <c r="F1033">
        <v>95</v>
      </c>
      <c r="G1033" t="s">
        <v>390</v>
      </c>
    </row>
    <row r="1034" spans="1:7">
      <c r="A1034" t="s">
        <v>2438</v>
      </c>
      <c r="B1034" t="s">
        <v>2439</v>
      </c>
      <c r="C1034">
        <v>20</v>
      </c>
      <c r="D1034" s="321">
        <v>46147</v>
      </c>
      <c r="E1034" s="321">
        <v>46175</v>
      </c>
      <c r="F1034">
        <v>103</v>
      </c>
      <c r="G1034" t="s">
        <v>390</v>
      </c>
    </row>
    <row r="1035" spans="1:7">
      <c r="A1035" t="s">
        <v>2440</v>
      </c>
      <c r="B1035" t="s">
        <v>2441</v>
      </c>
      <c r="C1035">
        <v>10</v>
      </c>
      <c r="D1035" s="321">
        <v>46191</v>
      </c>
      <c r="E1035" s="321">
        <v>46204</v>
      </c>
      <c r="F1035">
        <v>103</v>
      </c>
      <c r="G1035" t="s">
        <v>390</v>
      </c>
    </row>
    <row r="1036" spans="1:7">
      <c r="A1036" t="s">
        <v>2442</v>
      </c>
      <c r="B1036" t="s">
        <v>2443</v>
      </c>
      <c r="C1036">
        <v>10</v>
      </c>
      <c r="D1036" s="321">
        <v>46219</v>
      </c>
      <c r="E1036" s="321">
        <v>46237</v>
      </c>
      <c r="F1036">
        <v>103</v>
      </c>
      <c r="G1036" t="s">
        <v>390</v>
      </c>
    </row>
    <row r="1037" spans="1:7">
      <c r="A1037" t="s">
        <v>2444</v>
      </c>
      <c r="B1037" t="s">
        <v>2445</v>
      </c>
      <c r="C1037">
        <v>19</v>
      </c>
      <c r="D1037" s="321">
        <v>46167</v>
      </c>
      <c r="E1037" s="321">
        <v>46195</v>
      </c>
      <c r="F1037">
        <v>90</v>
      </c>
      <c r="G1037" t="s">
        <v>390</v>
      </c>
    </row>
    <row r="1038" spans="1:7">
      <c r="A1038" t="s">
        <v>2446</v>
      </c>
      <c r="B1038" t="s">
        <v>2447</v>
      </c>
      <c r="C1038">
        <v>10</v>
      </c>
      <c r="D1038" s="321">
        <v>46210</v>
      </c>
      <c r="E1038" s="321">
        <v>46223</v>
      </c>
      <c r="F1038">
        <v>90</v>
      </c>
      <c r="G1038" t="s">
        <v>390</v>
      </c>
    </row>
    <row r="1039" spans="1:7">
      <c r="A1039" t="s">
        <v>2448</v>
      </c>
      <c r="B1039" t="s">
        <v>2449</v>
      </c>
      <c r="C1039">
        <v>10</v>
      </c>
      <c r="D1039" s="321">
        <v>46241</v>
      </c>
      <c r="E1039" s="321">
        <v>46255</v>
      </c>
      <c r="F1039">
        <v>90</v>
      </c>
      <c r="G1039" t="s">
        <v>390</v>
      </c>
    </row>
    <row r="1040" spans="1:7">
      <c r="A1040" t="s">
        <v>2450</v>
      </c>
      <c r="B1040" t="s">
        <v>2451</v>
      </c>
      <c r="C1040">
        <v>19</v>
      </c>
      <c r="D1040" s="321">
        <v>46175</v>
      </c>
      <c r="E1040" s="321">
        <v>46202</v>
      </c>
      <c r="F1040">
        <v>85</v>
      </c>
      <c r="G1040" t="s">
        <v>390</v>
      </c>
    </row>
    <row r="1041" spans="1:7">
      <c r="A1041" t="s">
        <v>2452</v>
      </c>
      <c r="B1041" t="s">
        <v>2453</v>
      </c>
      <c r="C1041">
        <v>10</v>
      </c>
      <c r="D1041" s="321">
        <v>46217</v>
      </c>
      <c r="E1041" s="321">
        <v>46230</v>
      </c>
      <c r="F1041">
        <v>85</v>
      </c>
      <c r="G1041" t="s">
        <v>390</v>
      </c>
    </row>
    <row r="1042" spans="1:7">
      <c r="A1042" t="s">
        <v>2454</v>
      </c>
      <c r="B1042" t="s">
        <v>2455</v>
      </c>
      <c r="C1042">
        <v>10</v>
      </c>
      <c r="D1042" s="321">
        <v>46251</v>
      </c>
      <c r="E1042" s="321">
        <v>46262</v>
      </c>
      <c r="F1042">
        <v>85</v>
      </c>
      <c r="G1042" t="s">
        <v>390</v>
      </c>
    </row>
    <row r="1043" spans="1:7">
      <c r="A1043" t="s">
        <v>2456</v>
      </c>
      <c r="B1043" t="s">
        <v>2457</v>
      </c>
      <c r="C1043">
        <v>21</v>
      </c>
      <c r="D1043" s="321">
        <v>46188</v>
      </c>
      <c r="E1043" s="321">
        <v>46216</v>
      </c>
      <c r="F1043">
        <v>49</v>
      </c>
      <c r="G1043" t="s">
        <v>390</v>
      </c>
    </row>
    <row r="1044" spans="1:7">
      <c r="A1044" t="s">
        <v>2458</v>
      </c>
      <c r="B1044" t="s">
        <v>2459</v>
      </c>
      <c r="C1044">
        <v>10</v>
      </c>
      <c r="D1044" s="321">
        <v>46234</v>
      </c>
      <c r="E1044" s="321">
        <v>46248</v>
      </c>
      <c r="F1044">
        <v>75</v>
      </c>
      <c r="G1044" t="s">
        <v>390</v>
      </c>
    </row>
    <row r="1045" spans="1:7">
      <c r="A1045" t="s">
        <v>2460</v>
      </c>
      <c r="B1045" t="s">
        <v>2461</v>
      </c>
      <c r="C1045">
        <v>10</v>
      </c>
      <c r="D1045" s="321">
        <v>46265</v>
      </c>
      <c r="E1045" s="321">
        <v>46276</v>
      </c>
      <c r="F1045">
        <v>75</v>
      </c>
      <c r="G1045" t="s">
        <v>390</v>
      </c>
    </row>
    <row r="1046" spans="1:7">
      <c r="A1046" t="s">
        <v>2462</v>
      </c>
      <c r="B1046" t="s">
        <v>2463</v>
      </c>
      <c r="C1046">
        <v>21</v>
      </c>
      <c r="D1046" s="321">
        <v>46195</v>
      </c>
      <c r="E1046" s="321">
        <v>46223</v>
      </c>
      <c r="F1046">
        <v>49</v>
      </c>
      <c r="G1046" t="s">
        <v>390</v>
      </c>
    </row>
    <row r="1047" spans="1:7">
      <c r="A1047" t="s">
        <v>2464</v>
      </c>
      <c r="B1047" t="s">
        <v>2465</v>
      </c>
      <c r="C1047">
        <v>10</v>
      </c>
      <c r="D1047" s="321">
        <v>46241</v>
      </c>
      <c r="E1047" s="321">
        <v>46255</v>
      </c>
      <c r="F1047">
        <v>70</v>
      </c>
      <c r="G1047" t="s">
        <v>390</v>
      </c>
    </row>
    <row r="1048" spans="1:7">
      <c r="A1048" t="s">
        <v>2466</v>
      </c>
      <c r="B1048" t="s">
        <v>2467</v>
      </c>
      <c r="C1048">
        <v>10</v>
      </c>
      <c r="D1048" s="321">
        <v>46272</v>
      </c>
      <c r="E1048" s="321">
        <v>46283</v>
      </c>
      <c r="F1048">
        <v>70</v>
      </c>
      <c r="G1048" t="s">
        <v>390</v>
      </c>
    </row>
    <row r="1049" spans="1:7">
      <c r="A1049" t="s">
        <v>2468</v>
      </c>
      <c r="B1049" t="s">
        <v>2469</v>
      </c>
      <c r="C1049">
        <v>13</v>
      </c>
      <c r="D1049" s="321">
        <v>46223</v>
      </c>
      <c r="E1049" s="321">
        <v>46244</v>
      </c>
      <c r="F1049">
        <v>49</v>
      </c>
      <c r="G1049" t="s">
        <v>390</v>
      </c>
    </row>
    <row r="1050" spans="1:7">
      <c r="A1050" t="s">
        <v>2470</v>
      </c>
      <c r="B1050" t="s">
        <v>2471</v>
      </c>
      <c r="C1050">
        <v>10</v>
      </c>
      <c r="D1050" s="321">
        <v>46260</v>
      </c>
      <c r="E1050" s="321">
        <v>46273</v>
      </c>
      <c r="F1050">
        <v>58</v>
      </c>
      <c r="G1050" t="s">
        <v>390</v>
      </c>
    </row>
    <row r="1051" spans="1:7">
      <c r="A1051" t="s">
        <v>2472</v>
      </c>
      <c r="B1051" t="s">
        <v>2473</v>
      </c>
      <c r="C1051">
        <v>10</v>
      </c>
      <c r="D1051" s="321">
        <v>46288</v>
      </c>
      <c r="E1051" s="321">
        <v>46301</v>
      </c>
      <c r="F1051">
        <v>58</v>
      </c>
      <c r="G1051" t="s">
        <v>390</v>
      </c>
    </row>
    <row r="1052" spans="1:7">
      <c r="A1052" t="s">
        <v>2474</v>
      </c>
      <c r="B1052" t="s">
        <v>2475</v>
      </c>
      <c r="C1052">
        <v>12</v>
      </c>
      <c r="D1052" s="321">
        <v>46230</v>
      </c>
      <c r="E1052" s="321">
        <v>46251</v>
      </c>
      <c r="F1052">
        <v>49</v>
      </c>
      <c r="G1052" t="s">
        <v>390</v>
      </c>
    </row>
    <row r="1053" spans="1:7">
      <c r="A1053" t="s">
        <v>2476</v>
      </c>
      <c r="B1053" t="s">
        <v>2477</v>
      </c>
      <c r="C1053">
        <v>15</v>
      </c>
      <c r="D1053" s="321">
        <v>46266</v>
      </c>
      <c r="E1053" s="321">
        <v>46286</v>
      </c>
      <c r="F1053">
        <v>49</v>
      </c>
      <c r="G1053" t="s">
        <v>390</v>
      </c>
    </row>
    <row r="1054" spans="1:7">
      <c r="A1054" t="s">
        <v>2478</v>
      </c>
      <c r="B1054" t="s">
        <v>2479</v>
      </c>
      <c r="C1054">
        <v>10</v>
      </c>
      <c r="D1054" s="321">
        <v>46301</v>
      </c>
      <c r="E1054" s="321">
        <v>46315</v>
      </c>
      <c r="F1054">
        <v>49</v>
      </c>
      <c r="G1054" t="s">
        <v>390</v>
      </c>
    </row>
    <row r="1055" spans="1:7">
      <c r="A1055" t="s">
        <v>2480</v>
      </c>
      <c r="B1055" t="s">
        <v>2481</v>
      </c>
      <c r="C1055">
        <v>17</v>
      </c>
      <c r="D1055" s="321">
        <v>46128</v>
      </c>
      <c r="E1055" s="321">
        <v>46153</v>
      </c>
      <c r="F1055">
        <v>118</v>
      </c>
      <c r="G1055" t="s">
        <v>390</v>
      </c>
    </row>
    <row r="1056" spans="1:7">
      <c r="A1056" t="s">
        <v>2482</v>
      </c>
      <c r="B1056" t="s">
        <v>2483</v>
      </c>
      <c r="C1056">
        <v>10</v>
      </c>
      <c r="D1056" s="321">
        <v>46168</v>
      </c>
      <c r="E1056" s="321">
        <v>46183</v>
      </c>
      <c r="F1056">
        <v>118</v>
      </c>
      <c r="G1056" t="s">
        <v>390</v>
      </c>
    </row>
    <row r="1057" spans="1:7">
      <c r="A1057" t="s">
        <v>2484</v>
      </c>
      <c r="B1057" t="s">
        <v>2485</v>
      </c>
      <c r="C1057">
        <v>10</v>
      </c>
      <c r="D1057" s="321">
        <v>46198</v>
      </c>
      <c r="E1057" s="321">
        <v>46211</v>
      </c>
      <c r="F1057">
        <v>118</v>
      </c>
      <c r="G1057" t="s">
        <v>390</v>
      </c>
    </row>
    <row r="1058" spans="1:7">
      <c r="A1058" t="s">
        <v>2486</v>
      </c>
      <c r="B1058" t="s">
        <v>2487</v>
      </c>
      <c r="C1058">
        <v>16</v>
      </c>
      <c r="D1058" s="321">
        <v>46245</v>
      </c>
      <c r="E1058" s="321">
        <v>46267</v>
      </c>
      <c r="F1058">
        <v>42</v>
      </c>
      <c r="G1058" t="s">
        <v>390</v>
      </c>
    </row>
    <row r="1059" spans="1:7">
      <c r="A1059" t="s">
        <v>2488</v>
      </c>
      <c r="B1059" t="s">
        <v>2489</v>
      </c>
      <c r="C1059">
        <v>10</v>
      </c>
      <c r="D1059" s="321">
        <v>46282</v>
      </c>
      <c r="E1059" s="321">
        <v>46295</v>
      </c>
      <c r="F1059">
        <v>42</v>
      </c>
      <c r="G1059" t="s">
        <v>390</v>
      </c>
    </row>
    <row r="1060" spans="1:7">
      <c r="A1060" t="s">
        <v>2490</v>
      </c>
      <c r="B1060" t="s">
        <v>2491</v>
      </c>
      <c r="C1060">
        <v>10</v>
      </c>
      <c r="D1060" s="321">
        <v>46311</v>
      </c>
      <c r="E1060" s="321">
        <v>46325</v>
      </c>
      <c r="F1060">
        <v>42</v>
      </c>
      <c r="G1060" t="s">
        <v>390</v>
      </c>
    </row>
    <row r="1061" spans="1:7">
      <c r="A1061" t="s">
        <v>2492</v>
      </c>
      <c r="B1061" t="s">
        <v>2493</v>
      </c>
      <c r="C1061">
        <v>17</v>
      </c>
      <c r="D1061" s="321">
        <v>46199</v>
      </c>
      <c r="E1061" s="321">
        <v>46223</v>
      </c>
      <c r="F1061">
        <v>59</v>
      </c>
      <c r="G1061" t="s">
        <v>390</v>
      </c>
    </row>
    <row r="1062" spans="1:7">
      <c r="A1062" t="s">
        <v>2494</v>
      </c>
      <c r="B1062" t="s">
        <v>2495</v>
      </c>
      <c r="C1062">
        <v>10</v>
      </c>
      <c r="D1062" s="321">
        <v>46241</v>
      </c>
      <c r="E1062" s="321">
        <v>46255</v>
      </c>
      <c r="F1062">
        <v>60</v>
      </c>
      <c r="G1062" t="s">
        <v>390</v>
      </c>
    </row>
    <row r="1063" spans="1:7">
      <c r="A1063" t="s">
        <v>2496</v>
      </c>
      <c r="B1063" t="s">
        <v>2497</v>
      </c>
      <c r="C1063">
        <v>10</v>
      </c>
      <c r="D1063" s="321">
        <v>46272</v>
      </c>
      <c r="E1063" s="321">
        <v>46283</v>
      </c>
      <c r="F1063">
        <v>60</v>
      </c>
      <c r="G1063" t="s">
        <v>390</v>
      </c>
    </row>
    <row r="1064" spans="1:7">
      <c r="A1064" t="s">
        <v>2498</v>
      </c>
      <c r="B1064" t="s">
        <v>2499</v>
      </c>
      <c r="C1064">
        <v>17</v>
      </c>
      <c r="D1064" s="321">
        <v>46199</v>
      </c>
      <c r="E1064" s="321">
        <v>46223</v>
      </c>
      <c r="F1064">
        <v>70</v>
      </c>
      <c r="G1064" t="s">
        <v>390</v>
      </c>
    </row>
    <row r="1065" spans="1:7">
      <c r="A1065" t="s">
        <v>2500</v>
      </c>
      <c r="B1065" t="s">
        <v>2501</v>
      </c>
      <c r="C1065">
        <v>10</v>
      </c>
      <c r="D1065" s="321">
        <v>46241</v>
      </c>
      <c r="E1065" s="321">
        <v>46255</v>
      </c>
      <c r="F1065">
        <v>70</v>
      </c>
      <c r="G1065" t="s">
        <v>390</v>
      </c>
    </row>
    <row r="1066" spans="1:7">
      <c r="A1066" t="s">
        <v>2502</v>
      </c>
      <c r="B1066" t="s">
        <v>2503</v>
      </c>
      <c r="C1066">
        <v>10</v>
      </c>
      <c r="D1066" s="321">
        <v>46272</v>
      </c>
      <c r="E1066" s="321">
        <v>46283</v>
      </c>
      <c r="F1066">
        <v>70</v>
      </c>
      <c r="G1066" t="s">
        <v>390</v>
      </c>
    </row>
    <row r="1067" spans="1:7">
      <c r="A1067" t="s">
        <v>2504</v>
      </c>
      <c r="B1067" t="s">
        <v>2505</v>
      </c>
      <c r="C1067">
        <v>16</v>
      </c>
      <c r="D1067" s="321">
        <v>46209</v>
      </c>
      <c r="E1067" s="321">
        <v>46230</v>
      </c>
      <c r="F1067">
        <v>65</v>
      </c>
      <c r="G1067" t="s">
        <v>390</v>
      </c>
    </row>
    <row r="1068" spans="1:7">
      <c r="A1068" t="s">
        <v>2506</v>
      </c>
      <c r="B1068" t="s">
        <v>2507</v>
      </c>
      <c r="C1068">
        <v>10</v>
      </c>
      <c r="D1068" s="321">
        <v>46251</v>
      </c>
      <c r="E1068" s="321">
        <v>46262</v>
      </c>
      <c r="F1068">
        <v>65</v>
      </c>
      <c r="G1068" t="s">
        <v>390</v>
      </c>
    </row>
    <row r="1069" spans="1:7">
      <c r="A1069" t="s">
        <v>2508</v>
      </c>
      <c r="B1069" t="s">
        <v>2509</v>
      </c>
      <c r="C1069">
        <v>10</v>
      </c>
      <c r="D1069" s="321">
        <v>46279</v>
      </c>
      <c r="E1069" s="321">
        <v>46290</v>
      </c>
      <c r="F1069">
        <v>65</v>
      </c>
      <c r="G1069" t="s">
        <v>390</v>
      </c>
    </row>
    <row r="1070" spans="1:7">
      <c r="A1070" t="s">
        <v>2510</v>
      </c>
      <c r="B1070" t="s">
        <v>2511</v>
      </c>
      <c r="C1070">
        <v>15</v>
      </c>
      <c r="D1070" s="321">
        <v>46218</v>
      </c>
      <c r="E1070" s="321">
        <v>46241</v>
      </c>
      <c r="F1070">
        <v>59</v>
      </c>
      <c r="G1070" t="s">
        <v>390</v>
      </c>
    </row>
    <row r="1071" spans="1:7">
      <c r="A1071" t="s">
        <v>2512</v>
      </c>
      <c r="B1071" t="s">
        <v>2513</v>
      </c>
      <c r="C1071">
        <v>10</v>
      </c>
      <c r="D1071" s="321">
        <v>46259</v>
      </c>
      <c r="E1071" s="321">
        <v>46272</v>
      </c>
      <c r="F1071">
        <v>59</v>
      </c>
      <c r="G1071" t="s">
        <v>390</v>
      </c>
    </row>
    <row r="1072" spans="1:7">
      <c r="A1072" t="s">
        <v>2514</v>
      </c>
      <c r="B1072" t="s">
        <v>2515</v>
      </c>
      <c r="C1072">
        <v>10</v>
      </c>
      <c r="D1072" s="321">
        <v>46287</v>
      </c>
      <c r="E1072" s="321">
        <v>46300</v>
      </c>
      <c r="F1072">
        <v>59</v>
      </c>
      <c r="G1072" t="s">
        <v>390</v>
      </c>
    </row>
    <row r="1073" spans="1:7">
      <c r="A1073" t="s">
        <v>2516</v>
      </c>
      <c r="B1073" t="s">
        <v>2517</v>
      </c>
      <c r="C1073">
        <v>15</v>
      </c>
      <c r="D1073" s="321">
        <v>46218</v>
      </c>
      <c r="E1073" s="321">
        <v>46241</v>
      </c>
      <c r="F1073">
        <v>59</v>
      </c>
      <c r="G1073" t="s">
        <v>390</v>
      </c>
    </row>
    <row r="1074" spans="1:7">
      <c r="A1074" t="s">
        <v>2518</v>
      </c>
      <c r="B1074" t="s">
        <v>2519</v>
      </c>
      <c r="C1074">
        <v>10</v>
      </c>
      <c r="D1074" s="321">
        <v>46259</v>
      </c>
      <c r="E1074" s="321">
        <v>46272</v>
      </c>
      <c r="F1074">
        <v>59</v>
      </c>
      <c r="G1074" t="s">
        <v>390</v>
      </c>
    </row>
    <row r="1075" spans="1:7">
      <c r="A1075" t="s">
        <v>2520</v>
      </c>
      <c r="B1075" t="s">
        <v>2521</v>
      </c>
      <c r="C1075">
        <v>10</v>
      </c>
      <c r="D1075" s="321">
        <v>46287</v>
      </c>
      <c r="E1075" s="321">
        <v>46300</v>
      </c>
      <c r="F1075">
        <v>59</v>
      </c>
      <c r="G1075" t="s">
        <v>390</v>
      </c>
    </row>
    <row r="1076" spans="1:7">
      <c r="A1076" t="s">
        <v>2522</v>
      </c>
      <c r="B1076" t="s">
        <v>2523</v>
      </c>
      <c r="C1076">
        <v>15</v>
      </c>
      <c r="D1076" s="321">
        <v>46218</v>
      </c>
      <c r="E1076" s="321">
        <v>46241</v>
      </c>
      <c r="F1076">
        <v>59</v>
      </c>
      <c r="G1076" t="s">
        <v>390</v>
      </c>
    </row>
    <row r="1077" spans="1:7">
      <c r="A1077" t="s">
        <v>2524</v>
      </c>
      <c r="B1077" t="s">
        <v>2525</v>
      </c>
      <c r="C1077">
        <v>10</v>
      </c>
      <c r="D1077" s="321">
        <v>46259</v>
      </c>
      <c r="E1077" s="321">
        <v>46272</v>
      </c>
      <c r="F1077">
        <v>59</v>
      </c>
      <c r="G1077" t="s">
        <v>390</v>
      </c>
    </row>
    <row r="1078" spans="1:7">
      <c r="A1078" t="s">
        <v>2526</v>
      </c>
      <c r="B1078" t="s">
        <v>2527</v>
      </c>
      <c r="C1078">
        <v>10</v>
      </c>
      <c r="D1078" s="321">
        <v>46287</v>
      </c>
      <c r="E1078" s="321">
        <v>46300</v>
      </c>
      <c r="F1078">
        <v>59</v>
      </c>
      <c r="G1078" t="s">
        <v>390</v>
      </c>
    </row>
    <row r="1079" spans="1:7">
      <c r="A1079" t="s">
        <v>2528</v>
      </c>
      <c r="B1079" t="s">
        <v>2529</v>
      </c>
      <c r="C1079">
        <v>12</v>
      </c>
      <c r="D1079" s="321">
        <v>46225</v>
      </c>
      <c r="E1079" s="321">
        <v>46245</v>
      </c>
      <c r="F1079">
        <v>57</v>
      </c>
      <c r="G1079" t="s">
        <v>390</v>
      </c>
    </row>
    <row r="1080" spans="1:7">
      <c r="A1080" t="s">
        <v>2530</v>
      </c>
      <c r="B1080" t="s">
        <v>2531</v>
      </c>
      <c r="C1080">
        <v>10</v>
      </c>
      <c r="D1080" s="321">
        <v>46261</v>
      </c>
      <c r="E1080" s="321">
        <v>46274</v>
      </c>
      <c r="F1080">
        <v>57</v>
      </c>
      <c r="G1080" t="s">
        <v>390</v>
      </c>
    </row>
    <row r="1081" spans="1:7">
      <c r="A1081" t="s">
        <v>2532</v>
      </c>
      <c r="B1081" t="s">
        <v>2533</v>
      </c>
      <c r="C1081">
        <v>10</v>
      </c>
      <c r="D1081" s="321">
        <v>46289</v>
      </c>
      <c r="E1081" s="321">
        <v>46302</v>
      </c>
      <c r="F1081">
        <v>57</v>
      </c>
      <c r="G1081" t="s">
        <v>390</v>
      </c>
    </row>
    <row r="1082" spans="1:7">
      <c r="A1082" t="s">
        <v>2534</v>
      </c>
      <c r="B1082" t="s">
        <v>2535</v>
      </c>
      <c r="C1082">
        <v>12</v>
      </c>
      <c r="D1082" s="321">
        <v>46234</v>
      </c>
      <c r="E1082" s="321">
        <v>46252</v>
      </c>
      <c r="F1082">
        <v>53</v>
      </c>
      <c r="G1082" t="s">
        <v>390</v>
      </c>
    </row>
    <row r="1083" spans="1:7">
      <c r="A1083" t="s">
        <v>2536</v>
      </c>
      <c r="B1083" t="s">
        <v>2537</v>
      </c>
      <c r="C1083">
        <v>10</v>
      </c>
      <c r="D1083" s="321">
        <v>46267</v>
      </c>
      <c r="E1083" s="321">
        <v>46280</v>
      </c>
      <c r="F1083">
        <v>53</v>
      </c>
      <c r="G1083" t="s">
        <v>390</v>
      </c>
    </row>
    <row r="1084" spans="1:7">
      <c r="A1084" t="s">
        <v>2538</v>
      </c>
      <c r="B1084" t="s">
        <v>2539</v>
      </c>
      <c r="C1084">
        <v>10</v>
      </c>
      <c r="D1084" s="321">
        <v>46295</v>
      </c>
      <c r="E1084" s="321">
        <v>46309</v>
      </c>
      <c r="F1084">
        <v>53</v>
      </c>
      <c r="G1084" t="s">
        <v>390</v>
      </c>
    </row>
    <row r="1085" spans="1:7">
      <c r="A1085" t="s">
        <v>2540</v>
      </c>
      <c r="B1085" t="s">
        <v>2541</v>
      </c>
      <c r="C1085">
        <v>12</v>
      </c>
      <c r="D1085" s="321">
        <v>46234</v>
      </c>
      <c r="E1085" s="321">
        <v>46252</v>
      </c>
      <c r="F1085">
        <v>53</v>
      </c>
      <c r="G1085" t="s">
        <v>390</v>
      </c>
    </row>
    <row r="1086" spans="1:7">
      <c r="A1086" t="s">
        <v>2542</v>
      </c>
      <c r="B1086" t="s">
        <v>2543</v>
      </c>
      <c r="C1086">
        <v>10</v>
      </c>
      <c r="D1086" s="321">
        <v>46267</v>
      </c>
      <c r="E1086" s="321">
        <v>46280</v>
      </c>
      <c r="F1086">
        <v>53</v>
      </c>
      <c r="G1086" t="s">
        <v>390</v>
      </c>
    </row>
    <row r="1087" spans="1:7">
      <c r="A1087" t="s">
        <v>2544</v>
      </c>
      <c r="B1087" t="s">
        <v>2545</v>
      </c>
      <c r="C1087">
        <v>10</v>
      </c>
      <c r="D1087" s="321">
        <v>46295</v>
      </c>
      <c r="E1087" s="321">
        <v>46309</v>
      </c>
      <c r="F1087">
        <v>53</v>
      </c>
      <c r="G1087" t="s">
        <v>390</v>
      </c>
    </row>
    <row r="1088" spans="1:7">
      <c r="A1088" t="s">
        <v>2546</v>
      </c>
      <c r="B1088" t="s">
        <v>2547</v>
      </c>
      <c r="C1088">
        <v>11</v>
      </c>
      <c r="D1088" s="321">
        <v>46244</v>
      </c>
      <c r="E1088" s="321">
        <v>46259</v>
      </c>
      <c r="F1088">
        <v>48</v>
      </c>
      <c r="G1088" t="s">
        <v>390</v>
      </c>
    </row>
    <row r="1089" spans="1:7">
      <c r="A1089" t="s">
        <v>2548</v>
      </c>
      <c r="B1089" t="s">
        <v>2549</v>
      </c>
      <c r="C1089">
        <v>10</v>
      </c>
      <c r="D1089" s="321">
        <v>46274</v>
      </c>
      <c r="E1089" s="321">
        <v>46287</v>
      </c>
      <c r="F1089">
        <v>48</v>
      </c>
      <c r="G1089" t="s">
        <v>390</v>
      </c>
    </row>
    <row r="1090" spans="1:7">
      <c r="A1090" t="s">
        <v>2550</v>
      </c>
      <c r="B1090" t="s">
        <v>2551</v>
      </c>
      <c r="C1090">
        <v>10</v>
      </c>
      <c r="D1090" s="321">
        <v>46302</v>
      </c>
      <c r="E1090" s="321">
        <v>46316</v>
      </c>
      <c r="F1090">
        <v>48</v>
      </c>
      <c r="G1090" t="s">
        <v>390</v>
      </c>
    </row>
    <row r="1091" spans="1:7">
      <c r="A1091" t="s">
        <v>2552</v>
      </c>
      <c r="B1091" t="s">
        <v>2553</v>
      </c>
      <c r="C1091">
        <v>11</v>
      </c>
      <c r="D1091" s="321">
        <v>46244</v>
      </c>
      <c r="E1091" s="321">
        <v>46259</v>
      </c>
      <c r="F1091">
        <v>48</v>
      </c>
      <c r="G1091" t="s">
        <v>390</v>
      </c>
    </row>
    <row r="1092" spans="1:7">
      <c r="A1092" t="s">
        <v>2554</v>
      </c>
      <c r="B1092" t="s">
        <v>2555</v>
      </c>
      <c r="C1092">
        <v>10</v>
      </c>
      <c r="D1092" s="321">
        <v>46274</v>
      </c>
      <c r="E1092" s="321">
        <v>46287</v>
      </c>
      <c r="F1092">
        <v>48</v>
      </c>
      <c r="G1092" t="s">
        <v>390</v>
      </c>
    </row>
    <row r="1093" spans="1:7">
      <c r="A1093" t="s">
        <v>2556</v>
      </c>
      <c r="B1093" t="s">
        <v>2557</v>
      </c>
      <c r="C1093">
        <v>10</v>
      </c>
      <c r="D1093" s="321">
        <v>46302</v>
      </c>
      <c r="E1093" s="321">
        <v>46316</v>
      </c>
      <c r="F1093">
        <v>48</v>
      </c>
      <c r="G1093" t="s">
        <v>390</v>
      </c>
    </row>
    <row r="1094" spans="1:7">
      <c r="A1094" t="s">
        <v>2558</v>
      </c>
      <c r="B1094" t="s">
        <v>2559</v>
      </c>
      <c r="C1094">
        <v>11</v>
      </c>
      <c r="D1094" s="321">
        <v>46244</v>
      </c>
      <c r="E1094" s="321">
        <v>46259</v>
      </c>
      <c r="F1094">
        <v>5</v>
      </c>
      <c r="G1094" t="s">
        <v>390</v>
      </c>
    </row>
    <row r="1095" spans="1:7">
      <c r="A1095" t="s">
        <v>2560</v>
      </c>
      <c r="B1095" t="s">
        <v>2561</v>
      </c>
      <c r="C1095">
        <v>10</v>
      </c>
      <c r="D1095" s="321">
        <v>46274</v>
      </c>
      <c r="E1095" s="321">
        <v>46287</v>
      </c>
      <c r="F1095">
        <v>48</v>
      </c>
      <c r="G1095" t="s">
        <v>390</v>
      </c>
    </row>
    <row r="1096" spans="1:7">
      <c r="A1096" t="s">
        <v>2562</v>
      </c>
      <c r="B1096" t="s">
        <v>2563</v>
      </c>
      <c r="C1096">
        <v>10</v>
      </c>
      <c r="D1096" s="321">
        <v>46302</v>
      </c>
      <c r="E1096" s="321">
        <v>46316</v>
      </c>
      <c r="F1096">
        <v>48</v>
      </c>
      <c r="G1096" t="s">
        <v>390</v>
      </c>
    </row>
    <row r="1097" spans="1:7">
      <c r="A1097" t="s">
        <v>2564</v>
      </c>
      <c r="B1097" t="s">
        <v>2565</v>
      </c>
      <c r="C1097">
        <v>11</v>
      </c>
      <c r="D1097" s="321">
        <v>46244</v>
      </c>
      <c r="E1097" s="321">
        <v>46259</v>
      </c>
      <c r="F1097">
        <v>5</v>
      </c>
      <c r="G1097" t="s">
        <v>390</v>
      </c>
    </row>
    <row r="1098" spans="1:7">
      <c r="A1098" t="s">
        <v>2566</v>
      </c>
      <c r="B1098" t="s">
        <v>2567</v>
      </c>
      <c r="C1098">
        <v>10</v>
      </c>
      <c r="D1098" s="321">
        <v>46274</v>
      </c>
      <c r="E1098" s="321">
        <v>46287</v>
      </c>
      <c r="F1098">
        <v>48</v>
      </c>
      <c r="G1098" t="s">
        <v>390</v>
      </c>
    </row>
    <row r="1099" spans="1:7">
      <c r="A1099" t="s">
        <v>2568</v>
      </c>
      <c r="B1099" t="s">
        <v>2569</v>
      </c>
      <c r="C1099">
        <v>10</v>
      </c>
      <c r="D1099" s="321">
        <v>46302</v>
      </c>
      <c r="E1099" s="321">
        <v>46316</v>
      </c>
      <c r="F1099">
        <v>48</v>
      </c>
      <c r="G1099" t="s">
        <v>390</v>
      </c>
    </row>
    <row r="1100" spans="1:7">
      <c r="A1100" t="s">
        <v>2570</v>
      </c>
      <c r="B1100" t="s">
        <v>2571</v>
      </c>
      <c r="C1100">
        <v>11</v>
      </c>
      <c r="D1100" s="321">
        <v>46244</v>
      </c>
      <c r="E1100" s="321">
        <v>46259</v>
      </c>
      <c r="F1100">
        <v>5</v>
      </c>
      <c r="G1100" t="s">
        <v>390</v>
      </c>
    </row>
    <row r="1101" spans="1:7">
      <c r="A1101" t="s">
        <v>2572</v>
      </c>
      <c r="B1101" t="s">
        <v>2573</v>
      </c>
      <c r="C1101">
        <v>10</v>
      </c>
      <c r="D1101" s="321">
        <v>46274</v>
      </c>
      <c r="E1101" s="321">
        <v>46287</v>
      </c>
      <c r="F1101">
        <v>48</v>
      </c>
      <c r="G1101" t="s">
        <v>390</v>
      </c>
    </row>
    <row r="1102" spans="1:7">
      <c r="A1102" t="s">
        <v>2574</v>
      </c>
      <c r="B1102" t="s">
        <v>2575</v>
      </c>
      <c r="C1102">
        <v>10</v>
      </c>
      <c r="D1102" s="321">
        <v>46302</v>
      </c>
      <c r="E1102" s="321">
        <v>46316</v>
      </c>
      <c r="F1102">
        <v>48</v>
      </c>
      <c r="G1102" t="s">
        <v>390</v>
      </c>
    </row>
    <row r="1103" spans="1:7">
      <c r="A1103" t="s">
        <v>2576</v>
      </c>
      <c r="B1103" t="s">
        <v>2577</v>
      </c>
      <c r="C1103">
        <v>12</v>
      </c>
      <c r="D1103" s="321">
        <v>46245</v>
      </c>
      <c r="E1103" s="321">
        <v>46261</v>
      </c>
      <c r="F1103">
        <v>5</v>
      </c>
      <c r="G1103" t="s">
        <v>390</v>
      </c>
    </row>
    <row r="1104" spans="1:7">
      <c r="A1104" t="s">
        <v>2578</v>
      </c>
      <c r="B1104" t="s">
        <v>2579</v>
      </c>
      <c r="C1104">
        <v>10</v>
      </c>
      <c r="D1104" s="321">
        <v>46276</v>
      </c>
      <c r="E1104" s="321">
        <v>46289</v>
      </c>
      <c r="F1104">
        <v>46</v>
      </c>
      <c r="G1104" t="s">
        <v>390</v>
      </c>
    </row>
    <row r="1105" spans="1:7">
      <c r="A1105" t="s">
        <v>2580</v>
      </c>
      <c r="B1105" t="s">
        <v>2581</v>
      </c>
      <c r="C1105">
        <v>10</v>
      </c>
      <c r="D1105" s="321">
        <v>46304</v>
      </c>
      <c r="E1105" s="321">
        <v>46321</v>
      </c>
      <c r="F1105">
        <v>46</v>
      </c>
      <c r="G1105" t="s">
        <v>390</v>
      </c>
    </row>
    <row r="1106" spans="1:7">
      <c r="A1106" t="s">
        <v>2582</v>
      </c>
      <c r="B1106" t="s">
        <v>2583</v>
      </c>
      <c r="C1106">
        <v>15</v>
      </c>
      <c r="D1106" s="321">
        <v>46258</v>
      </c>
      <c r="E1106" s="321">
        <v>46276</v>
      </c>
      <c r="F1106">
        <v>5</v>
      </c>
      <c r="G1106" t="s">
        <v>390</v>
      </c>
    </row>
    <row r="1107" spans="1:7">
      <c r="A1107" t="s">
        <v>2584</v>
      </c>
      <c r="B1107" t="s">
        <v>2585</v>
      </c>
      <c r="C1107">
        <v>10</v>
      </c>
      <c r="D1107" s="321">
        <v>46293</v>
      </c>
      <c r="E1107" s="321">
        <v>46304</v>
      </c>
      <c r="F1107">
        <v>25</v>
      </c>
      <c r="G1107" t="s">
        <v>390</v>
      </c>
    </row>
    <row r="1108" spans="1:7">
      <c r="A1108" t="s">
        <v>2586</v>
      </c>
      <c r="B1108" t="s">
        <v>2587</v>
      </c>
      <c r="C1108">
        <v>10</v>
      </c>
      <c r="D1108" s="321">
        <v>46323</v>
      </c>
      <c r="E1108" s="321">
        <v>46336</v>
      </c>
      <c r="F1108">
        <v>25</v>
      </c>
      <c r="G1108" t="s">
        <v>390</v>
      </c>
    </row>
    <row r="1109" spans="1:7">
      <c r="A1109" t="s">
        <v>2588</v>
      </c>
      <c r="B1109" t="s">
        <v>2589</v>
      </c>
      <c r="C1109">
        <v>7</v>
      </c>
      <c r="D1109" s="321">
        <v>46175</v>
      </c>
      <c r="E1109" s="321">
        <v>46184</v>
      </c>
      <c r="F1109">
        <v>77</v>
      </c>
      <c r="G1109" t="s">
        <v>390</v>
      </c>
    </row>
    <row r="1110" spans="1:7">
      <c r="A1110" t="s">
        <v>2590</v>
      </c>
      <c r="B1110" t="s">
        <v>2591</v>
      </c>
      <c r="C1110">
        <v>5</v>
      </c>
      <c r="D1110" s="321">
        <v>46199</v>
      </c>
      <c r="E1110" s="321">
        <v>46205</v>
      </c>
      <c r="F1110">
        <v>92</v>
      </c>
      <c r="G1110" t="s">
        <v>390</v>
      </c>
    </row>
    <row r="1111" spans="1:7">
      <c r="A1111" t="s">
        <v>2592</v>
      </c>
      <c r="B1111" t="s">
        <v>2593</v>
      </c>
      <c r="C1111">
        <v>5</v>
      </c>
      <c r="D1111" s="321">
        <v>46220</v>
      </c>
      <c r="E1111" s="321">
        <v>46226</v>
      </c>
      <c r="F1111">
        <v>97</v>
      </c>
      <c r="G1111" t="s">
        <v>390</v>
      </c>
    </row>
    <row r="1112" spans="1:7">
      <c r="A1112" t="s">
        <v>2594</v>
      </c>
      <c r="B1112" t="s">
        <v>2595</v>
      </c>
      <c r="C1112">
        <v>15</v>
      </c>
      <c r="D1112" s="321">
        <v>46300</v>
      </c>
      <c r="E1112" s="321">
        <v>46322</v>
      </c>
      <c r="F1112">
        <v>5</v>
      </c>
      <c r="G1112" t="s">
        <v>390</v>
      </c>
    </row>
    <row r="1113" spans="1:7">
      <c r="A1113" t="s">
        <v>2596</v>
      </c>
      <c r="B1113" t="s">
        <v>2597</v>
      </c>
      <c r="C1113">
        <v>10</v>
      </c>
      <c r="D1113" s="321">
        <v>46337</v>
      </c>
      <c r="E1113" s="321">
        <v>46350</v>
      </c>
      <c r="F1113">
        <v>5</v>
      </c>
      <c r="G1113" t="s">
        <v>390</v>
      </c>
    </row>
    <row r="1114" spans="1:7">
      <c r="A1114" t="s">
        <v>2598</v>
      </c>
      <c r="B1114" t="s">
        <v>2599</v>
      </c>
      <c r="C1114">
        <v>10</v>
      </c>
      <c r="D1114" s="321">
        <v>46367</v>
      </c>
      <c r="E1114" s="321">
        <v>46380</v>
      </c>
      <c r="F1114">
        <v>5</v>
      </c>
      <c r="G1114" t="s">
        <v>390</v>
      </c>
    </row>
    <row r="1115" spans="1:7">
      <c r="A1115" t="s">
        <v>2600</v>
      </c>
      <c r="B1115" t="s">
        <v>2601</v>
      </c>
      <c r="C1115">
        <v>15</v>
      </c>
      <c r="D1115" s="321">
        <v>46258</v>
      </c>
      <c r="E1115" s="321">
        <v>46276</v>
      </c>
      <c r="F1115">
        <v>35</v>
      </c>
      <c r="G1115" t="s">
        <v>390</v>
      </c>
    </row>
    <row r="1116" spans="1:7">
      <c r="A1116" t="s">
        <v>2602</v>
      </c>
      <c r="B1116" t="s">
        <v>2603</v>
      </c>
      <c r="C1116">
        <v>10</v>
      </c>
      <c r="D1116" s="321">
        <v>46293</v>
      </c>
      <c r="E1116" s="321">
        <v>46304</v>
      </c>
      <c r="F1116">
        <v>35</v>
      </c>
      <c r="G1116" t="s">
        <v>390</v>
      </c>
    </row>
    <row r="1117" spans="1:7">
      <c r="A1117" t="s">
        <v>2604</v>
      </c>
      <c r="B1117" t="s">
        <v>2605</v>
      </c>
      <c r="C1117">
        <v>10</v>
      </c>
      <c r="D1117" s="321">
        <v>46323</v>
      </c>
      <c r="E1117" s="321">
        <v>46336</v>
      </c>
      <c r="F1117">
        <v>35</v>
      </c>
      <c r="G1117" t="s">
        <v>390</v>
      </c>
    </row>
    <row r="1118" spans="1:7">
      <c r="A1118" t="s">
        <v>2606</v>
      </c>
      <c r="B1118" t="s">
        <v>2607</v>
      </c>
      <c r="C1118">
        <v>7</v>
      </c>
      <c r="D1118" s="321">
        <v>46175</v>
      </c>
      <c r="E1118" s="321">
        <v>46184</v>
      </c>
      <c r="F1118">
        <v>107</v>
      </c>
      <c r="G1118" t="s">
        <v>390</v>
      </c>
    </row>
    <row r="1119" spans="1:7">
      <c r="A1119" t="s">
        <v>2608</v>
      </c>
      <c r="B1119" t="s">
        <v>2609</v>
      </c>
      <c r="C1119">
        <v>5</v>
      </c>
      <c r="D1119" s="321">
        <v>46199</v>
      </c>
      <c r="E1119" s="321">
        <v>46205</v>
      </c>
      <c r="F1119">
        <v>107</v>
      </c>
      <c r="G1119" t="s">
        <v>390</v>
      </c>
    </row>
    <row r="1120" spans="1:7">
      <c r="A1120" t="s">
        <v>2610</v>
      </c>
      <c r="B1120" t="s">
        <v>2611</v>
      </c>
      <c r="C1120">
        <v>5</v>
      </c>
      <c r="D1120" s="321">
        <v>46220</v>
      </c>
      <c r="E1120" s="321">
        <v>46226</v>
      </c>
      <c r="F1120">
        <v>107</v>
      </c>
      <c r="G1120" t="s">
        <v>390</v>
      </c>
    </row>
    <row r="1121" spans="1:7">
      <c r="A1121" t="s">
        <v>2612</v>
      </c>
      <c r="B1121" t="s">
        <v>2613</v>
      </c>
      <c r="C1121">
        <v>15</v>
      </c>
      <c r="D1121" s="321">
        <v>46300</v>
      </c>
      <c r="E1121" s="321">
        <v>46322</v>
      </c>
      <c r="F1121">
        <v>5</v>
      </c>
      <c r="G1121" t="s">
        <v>390</v>
      </c>
    </row>
    <row r="1122" spans="1:7">
      <c r="A1122" t="s">
        <v>2614</v>
      </c>
      <c r="B1122" t="s">
        <v>2615</v>
      </c>
      <c r="C1122">
        <v>10</v>
      </c>
      <c r="D1122" s="321">
        <v>46337</v>
      </c>
      <c r="E1122" s="321">
        <v>46350</v>
      </c>
      <c r="F1122">
        <v>5</v>
      </c>
      <c r="G1122" t="s">
        <v>390</v>
      </c>
    </row>
    <row r="1123" spans="1:7">
      <c r="A1123" t="s">
        <v>2616</v>
      </c>
      <c r="B1123" t="s">
        <v>2617</v>
      </c>
      <c r="C1123">
        <v>10</v>
      </c>
      <c r="D1123" s="321">
        <v>46367</v>
      </c>
      <c r="E1123" s="321">
        <v>46380</v>
      </c>
      <c r="F1123">
        <v>5</v>
      </c>
      <c r="G1123" t="s">
        <v>390</v>
      </c>
    </row>
    <row r="1124" spans="1:7">
      <c r="A1124" t="s">
        <v>2618</v>
      </c>
      <c r="B1124" t="s">
        <v>2619</v>
      </c>
      <c r="C1124">
        <v>19</v>
      </c>
      <c r="D1124" s="321">
        <v>46148</v>
      </c>
      <c r="E1124" s="321">
        <v>46175</v>
      </c>
      <c r="F1124">
        <v>112</v>
      </c>
      <c r="G1124" t="s">
        <v>390</v>
      </c>
    </row>
    <row r="1125" spans="1:7">
      <c r="A1125" t="s">
        <v>2620</v>
      </c>
      <c r="B1125" t="s">
        <v>2621</v>
      </c>
      <c r="C1125">
        <v>10</v>
      </c>
      <c r="D1125" s="321">
        <v>46191</v>
      </c>
      <c r="E1125" s="321">
        <v>46204</v>
      </c>
      <c r="F1125">
        <v>112</v>
      </c>
      <c r="G1125" t="s">
        <v>390</v>
      </c>
    </row>
    <row r="1126" spans="1:7">
      <c r="A1126" t="s">
        <v>2622</v>
      </c>
      <c r="B1126" t="s">
        <v>2623</v>
      </c>
      <c r="C1126">
        <v>10</v>
      </c>
      <c r="D1126" s="321">
        <v>46219</v>
      </c>
      <c r="E1126" s="321">
        <v>46237</v>
      </c>
      <c r="F1126">
        <v>112</v>
      </c>
      <c r="G1126" t="s">
        <v>390</v>
      </c>
    </row>
    <row r="1127" spans="1:7">
      <c r="A1127" t="s">
        <v>2624</v>
      </c>
      <c r="C1127">
        <v>128</v>
      </c>
      <c r="D1127" s="321">
        <v>46128</v>
      </c>
      <c r="E1127" s="321">
        <v>46317</v>
      </c>
      <c r="F1127">
        <v>56</v>
      </c>
      <c r="G1127" t="s">
        <v>390</v>
      </c>
    </row>
    <row r="1128" spans="1:7">
      <c r="A1128" t="s">
        <v>2625</v>
      </c>
      <c r="B1128" t="s">
        <v>2626</v>
      </c>
      <c r="C1128">
        <v>17</v>
      </c>
      <c r="D1128" s="321">
        <v>46128</v>
      </c>
      <c r="E1128" s="321">
        <v>46153</v>
      </c>
      <c r="F1128">
        <v>47</v>
      </c>
      <c r="G1128" t="s">
        <v>390</v>
      </c>
    </row>
    <row r="1129" spans="1:7">
      <c r="A1129" t="s">
        <v>2627</v>
      </c>
      <c r="B1129" t="s">
        <v>2628</v>
      </c>
      <c r="C1129">
        <v>10</v>
      </c>
      <c r="D1129" s="321">
        <v>46168</v>
      </c>
      <c r="E1129" s="321">
        <v>46183</v>
      </c>
      <c r="F1129">
        <v>118</v>
      </c>
      <c r="G1129" t="s">
        <v>390</v>
      </c>
    </row>
    <row r="1130" spans="1:7">
      <c r="A1130" t="s">
        <v>2629</v>
      </c>
      <c r="B1130" t="s">
        <v>2630</v>
      </c>
      <c r="C1130">
        <v>10</v>
      </c>
      <c r="D1130" s="321">
        <v>46198</v>
      </c>
      <c r="E1130" s="321">
        <v>46211</v>
      </c>
      <c r="F1130">
        <v>118</v>
      </c>
      <c r="G1130" t="s">
        <v>390</v>
      </c>
    </row>
    <row r="1131" spans="1:7">
      <c r="A1131" t="s">
        <v>2631</v>
      </c>
      <c r="B1131" t="s">
        <v>2632</v>
      </c>
      <c r="C1131">
        <v>15</v>
      </c>
      <c r="D1131" s="321">
        <v>46148</v>
      </c>
      <c r="E1131" s="321">
        <v>46168</v>
      </c>
      <c r="F1131">
        <v>47</v>
      </c>
      <c r="G1131" t="s">
        <v>390</v>
      </c>
    </row>
    <row r="1132" spans="1:7">
      <c r="A1132" t="s">
        <v>2633</v>
      </c>
      <c r="B1132" t="s">
        <v>2634</v>
      </c>
      <c r="C1132">
        <v>10</v>
      </c>
      <c r="D1132" s="321">
        <v>46185</v>
      </c>
      <c r="E1132" s="321">
        <v>46198</v>
      </c>
      <c r="F1132">
        <v>102</v>
      </c>
      <c r="G1132" t="s">
        <v>390</v>
      </c>
    </row>
    <row r="1133" spans="1:7">
      <c r="A1133" t="s">
        <v>2635</v>
      </c>
      <c r="B1133" t="s">
        <v>2636</v>
      </c>
      <c r="C1133">
        <v>10</v>
      </c>
      <c r="D1133" s="321">
        <v>46213</v>
      </c>
      <c r="E1133" s="321">
        <v>46226</v>
      </c>
      <c r="F1133">
        <v>102</v>
      </c>
      <c r="G1133" t="s">
        <v>390</v>
      </c>
    </row>
    <row r="1134" spans="1:7">
      <c r="A1134" t="s">
        <v>2637</v>
      </c>
      <c r="B1134" t="s">
        <v>2638</v>
      </c>
      <c r="C1134">
        <v>15</v>
      </c>
      <c r="D1134" s="321">
        <v>46148</v>
      </c>
      <c r="E1134" s="321">
        <v>46168</v>
      </c>
      <c r="F1134">
        <v>107</v>
      </c>
      <c r="G1134" t="s">
        <v>390</v>
      </c>
    </row>
    <row r="1135" spans="1:7">
      <c r="A1135" t="s">
        <v>2639</v>
      </c>
      <c r="B1135" t="s">
        <v>2640</v>
      </c>
      <c r="C1135">
        <v>10</v>
      </c>
      <c r="D1135" s="321">
        <v>46185</v>
      </c>
      <c r="E1135" s="321">
        <v>46198</v>
      </c>
      <c r="F1135">
        <v>107</v>
      </c>
      <c r="G1135" t="s">
        <v>390</v>
      </c>
    </row>
    <row r="1136" spans="1:7">
      <c r="A1136" t="s">
        <v>2641</v>
      </c>
      <c r="B1136" t="s">
        <v>2642</v>
      </c>
      <c r="C1136">
        <v>10</v>
      </c>
      <c r="D1136" s="321">
        <v>46213</v>
      </c>
      <c r="E1136" s="321">
        <v>46226</v>
      </c>
      <c r="F1136">
        <v>107</v>
      </c>
      <c r="G1136" t="s">
        <v>390</v>
      </c>
    </row>
    <row r="1137" spans="1:7">
      <c r="A1137" t="s">
        <v>2643</v>
      </c>
      <c r="B1137" t="s">
        <v>2644</v>
      </c>
      <c r="C1137">
        <v>15</v>
      </c>
      <c r="D1137" s="321">
        <v>46148</v>
      </c>
      <c r="E1137" s="321">
        <v>46168</v>
      </c>
      <c r="F1137">
        <v>107</v>
      </c>
      <c r="G1137" t="s">
        <v>390</v>
      </c>
    </row>
    <row r="1138" spans="1:7">
      <c r="A1138" t="s">
        <v>2645</v>
      </c>
      <c r="B1138" t="s">
        <v>2646</v>
      </c>
      <c r="C1138">
        <v>10</v>
      </c>
      <c r="D1138" s="321">
        <v>46185</v>
      </c>
      <c r="E1138" s="321">
        <v>46198</v>
      </c>
      <c r="F1138">
        <v>107</v>
      </c>
      <c r="G1138" t="s">
        <v>390</v>
      </c>
    </row>
    <row r="1139" spans="1:7">
      <c r="A1139" t="s">
        <v>2647</v>
      </c>
      <c r="B1139" t="s">
        <v>2648</v>
      </c>
      <c r="C1139">
        <v>10</v>
      </c>
      <c r="D1139" s="321">
        <v>46213</v>
      </c>
      <c r="E1139" s="321">
        <v>46226</v>
      </c>
      <c r="F1139">
        <v>107</v>
      </c>
      <c r="G1139" t="s">
        <v>390</v>
      </c>
    </row>
    <row r="1140" spans="1:7">
      <c r="A1140" t="s">
        <v>2649</v>
      </c>
      <c r="B1140" t="s">
        <v>2650</v>
      </c>
      <c r="C1140">
        <v>15</v>
      </c>
      <c r="D1140" s="321">
        <v>46148</v>
      </c>
      <c r="E1140" s="321">
        <v>46168</v>
      </c>
      <c r="F1140">
        <v>82</v>
      </c>
      <c r="G1140" t="s">
        <v>390</v>
      </c>
    </row>
    <row r="1141" spans="1:7">
      <c r="A1141" t="s">
        <v>2651</v>
      </c>
      <c r="B1141" t="s">
        <v>2652</v>
      </c>
      <c r="C1141">
        <v>10</v>
      </c>
      <c r="D1141" s="321">
        <v>46185</v>
      </c>
      <c r="E1141" s="321">
        <v>46198</v>
      </c>
      <c r="F1141">
        <v>107</v>
      </c>
      <c r="G1141" t="s">
        <v>390</v>
      </c>
    </row>
    <row r="1142" spans="1:7">
      <c r="A1142" t="s">
        <v>2653</v>
      </c>
      <c r="B1142" t="s">
        <v>2654</v>
      </c>
      <c r="C1142">
        <v>10</v>
      </c>
      <c r="D1142" s="321">
        <v>46213</v>
      </c>
      <c r="E1142" s="321">
        <v>46226</v>
      </c>
      <c r="F1142">
        <v>107</v>
      </c>
      <c r="G1142" t="s">
        <v>390</v>
      </c>
    </row>
    <row r="1143" spans="1:7">
      <c r="A1143" t="s">
        <v>2655</v>
      </c>
      <c r="B1143" t="s">
        <v>2656</v>
      </c>
      <c r="C1143">
        <v>16</v>
      </c>
      <c r="D1143" s="321">
        <v>46154</v>
      </c>
      <c r="E1143" s="321">
        <v>46177</v>
      </c>
      <c r="F1143">
        <v>47</v>
      </c>
      <c r="G1143" t="s">
        <v>390</v>
      </c>
    </row>
    <row r="1144" spans="1:7">
      <c r="A1144" t="s">
        <v>2657</v>
      </c>
      <c r="B1144" t="s">
        <v>2658</v>
      </c>
      <c r="C1144">
        <v>10</v>
      </c>
      <c r="D1144" s="321">
        <v>46192</v>
      </c>
      <c r="E1144" s="321">
        <v>46205</v>
      </c>
      <c r="F1144">
        <v>97</v>
      </c>
      <c r="G1144" t="s">
        <v>390</v>
      </c>
    </row>
    <row r="1145" spans="1:7">
      <c r="A1145" t="s">
        <v>2659</v>
      </c>
      <c r="B1145" t="s">
        <v>2660</v>
      </c>
      <c r="C1145">
        <v>10</v>
      </c>
      <c r="D1145" s="321">
        <v>46220</v>
      </c>
      <c r="E1145" s="321">
        <v>46238</v>
      </c>
      <c r="F1145">
        <v>97</v>
      </c>
      <c r="G1145" t="s">
        <v>390</v>
      </c>
    </row>
    <row r="1146" spans="1:7">
      <c r="A1146" t="s">
        <v>2661</v>
      </c>
      <c r="B1146" t="s">
        <v>2662</v>
      </c>
      <c r="C1146">
        <v>16</v>
      </c>
      <c r="D1146" s="321">
        <v>46154</v>
      </c>
      <c r="E1146" s="321">
        <v>46177</v>
      </c>
      <c r="F1146">
        <v>102</v>
      </c>
      <c r="G1146" t="s">
        <v>390</v>
      </c>
    </row>
    <row r="1147" spans="1:7">
      <c r="A1147" t="s">
        <v>2663</v>
      </c>
      <c r="B1147" t="s">
        <v>2664</v>
      </c>
      <c r="C1147">
        <v>10</v>
      </c>
      <c r="D1147" s="321">
        <v>46192</v>
      </c>
      <c r="E1147" s="321">
        <v>46205</v>
      </c>
      <c r="F1147">
        <v>102</v>
      </c>
      <c r="G1147" t="s">
        <v>390</v>
      </c>
    </row>
    <row r="1148" spans="1:7">
      <c r="A1148" t="s">
        <v>2665</v>
      </c>
      <c r="B1148" t="s">
        <v>2666</v>
      </c>
      <c r="C1148">
        <v>10</v>
      </c>
      <c r="D1148" s="321">
        <v>46220</v>
      </c>
      <c r="E1148" s="321">
        <v>46238</v>
      </c>
      <c r="F1148">
        <v>102</v>
      </c>
      <c r="G1148" t="s">
        <v>390</v>
      </c>
    </row>
    <row r="1149" spans="1:7">
      <c r="A1149" t="s">
        <v>2667</v>
      </c>
      <c r="B1149" t="s">
        <v>2668</v>
      </c>
      <c r="C1149">
        <v>16</v>
      </c>
      <c r="D1149" s="321">
        <v>46154</v>
      </c>
      <c r="E1149" s="321">
        <v>46177</v>
      </c>
      <c r="F1149">
        <v>102</v>
      </c>
      <c r="G1149" t="s">
        <v>390</v>
      </c>
    </row>
    <row r="1150" spans="1:7">
      <c r="A1150" t="s">
        <v>2669</v>
      </c>
      <c r="B1150" t="s">
        <v>2670</v>
      </c>
      <c r="C1150">
        <v>10</v>
      </c>
      <c r="D1150" s="321">
        <v>46192</v>
      </c>
      <c r="E1150" s="321">
        <v>46205</v>
      </c>
      <c r="F1150">
        <v>102</v>
      </c>
      <c r="G1150" t="s">
        <v>390</v>
      </c>
    </row>
    <row r="1151" spans="1:7">
      <c r="A1151" t="s">
        <v>2671</v>
      </c>
      <c r="B1151" t="s">
        <v>2672</v>
      </c>
      <c r="C1151">
        <v>10</v>
      </c>
      <c r="D1151" s="321">
        <v>46220</v>
      </c>
      <c r="E1151" s="321">
        <v>46238</v>
      </c>
      <c r="F1151">
        <v>102</v>
      </c>
      <c r="G1151" t="s">
        <v>390</v>
      </c>
    </row>
    <row r="1152" spans="1:7">
      <c r="A1152" t="s">
        <v>2673</v>
      </c>
      <c r="B1152" t="s">
        <v>2674</v>
      </c>
      <c r="C1152">
        <v>16</v>
      </c>
      <c r="D1152" s="321">
        <v>46154</v>
      </c>
      <c r="E1152" s="321">
        <v>46177</v>
      </c>
      <c r="F1152">
        <v>80</v>
      </c>
      <c r="G1152" t="s">
        <v>390</v>
      </c>
    </row>
    <row r="1153" spans="1:7">
      <c r="A1153" t="s">
        <v>2675</v>
      </c>
      <c r="B1153" t="s">
        <v>2676</v>
      </c>
      <c r="C1153">
        <v>10</v>
      </c>
      <c r="D1153" s="321">
        <v>46192</v>
      </c>
      <c r="E1153" s="321">
        <v>46205</v>
      </c>
      <c r="F1153">
        <v>102</v>
      </c>
      <c r="G1153" t="s">
        <v>390</v>
      </c>
    </row>
    <row r="1154" spans="1:7">
      <c r="A1154" t="s">
        <v>2677</v>
      </c>
      <c r="B1154" t="s">
        <v>2678</v>
      </c>
      <c r="C1154">
        <v>10</v>
      </c>
      <c r="D1154" s="321">
        <v>46220</v>
      </c>
      <c r="E1154" s="321">
        <v>46238</v>
      </c>
      <c r="F1154">
        <v>102</v>
      </c>
      <c r="G1154" t="s">
        <v>390</v>
      </c>
    </row>
    <row r="1155" spans="1:7">
      <c r="A1155" t="s">
        <v>2679</v>
      </c>
      <c r="B1155" t="s">
        <v>2680</v>
      </c>
      <c r="C1155">
        <v>20</v>
      </c>
      <c r="D1155" s="321">
        <v>46147</v>
      </c>
      <c r="E1155" s="321">
        <v>46175</v>
      </c>
      <c r="F1155">
        <v>47</v>
      </c>
      <c r="G1155" t="s">
        <v>390</v>
      </c>
    </row>
    <row r="1156" spans="1:7">
      <c r="A1156" t="s">
        <v>2681</v>
      </c>
      <c r="B1156" t="s">
        <v>2682</v>
      </c>
      <c r="C1156">
        <v>10</v>
      </c>
      <c r="D1156" s="321">
        <v>46191</v>
      </c>
      <c r="E1156" s="321">
        <v>46204</v>
      </c>
      <c r="F1156">
        <v>103</v>
      </c>
      <c r="G1156" t="s">
        <v>390</v>
      </c>
    </row>
    <row r="1157" spans="1:7">
      <c r="A1157" t="s">
        <v>2683</v>
      </c>
      <c r="B1157" t="s">
        <v>2684</v>
      </c>
      <c r="C1157">
        <v>10</v>
      </c>
      <c r="D1157" s="321">
        <v>46219</v>
      </c>
      <c r="E1157" s="321">
        <v>46237</v>
      </c>
      <c r="F1157">
        <v>103</v>
      </c>
      <c r="G1157" t="s">
        <v>390</v>
      </c>
    </row>
    <row r="1158" spans="1:7">
      <c r="A1158" t="s">
        <v>2685</v>
      </c>
      <c r="B1158" t="s">
        <v>2686</v>
      </c>
      <c r="C1158">
        <v>11</v>
      </c>
      <c r="D1158" s="321">
        <v>46162</v>
      </c>
      <c r="E1158" s="321">
        <v>46178</v>
      </c>
      <c r="F1158">
        <v>101</v>
      </c>
      <c r="G1158" t="s">
        <v>390</v>
      </c>
    </row>
    <row r="1159" spans="1:7">
      <c r="A1159" t="s">
        <v>2687</v>
      </c>
      <c r="B1159" t="s">
        <v>2688</v>
      </c>
      <c r="C1159">
        <v>10</v>
      </c>
      <c r="D1159" s="321">
        <v>46195</v>
      </c>
      <c r="E1159" s="321">
        <v>46206</v>
      </c>
      <c r="F1159">
        <v>110</v>
      </c>
      <c r="G1159" t="s">
        <v>390</v>
      </c>
    </row>
    <row r="1160" spans="1:7">
      <c r="A1160" t="s">
        <v>2689</v>
      </c>
      <c r="B1160" t="s">
        <v>2690</v>
      </c>
      <c r="C1160">
        <v>10</v>
      </c>
      <c r="D1160" s="321">
        <v>46223</v>
      </c>
      <c r="E1160" s="321">
        <v>46239</v>
      </c>
      <c r="F1160">
        <v>110</v>
      </c>
      <c r="G1160" t="s">
        <v>390</v>
      </c>
    </row>
    <row r="1161" spans="1:7">
      <c r="A1161" t="s">
        <v>2691</v>
      </c>
      <c r="B1161" t="s">
        <v>2692</v>
      </c>
      <c r="C1161">
        <v>11</v>
      </c>
      <c r="D1161" s="321">
        <v>46162</v>
      </c>
      <c r="E1161" s="321">
        <v>46178</v>
      </c>
      <c r="F1161">
        <v>110</v>
      </c>
      <c r="G1161" t="s">
        <v>390</v>
      </c>
    </row>
    <row r="1162" spans="1:7">
      <c r="A1162" t="s">
        <v>2693</v>
      </c>
      <c r="B1162" t="s">
        <v>2694</v>
      </c>
      <c r="C1162">
        <v>10</v>
      </c>
      <c r="D1162" s="321">
        <v>46195</v>
      </c>
      <c r="E1162" s="321">
        <v>46206</v>
      </c>
      <c r="F1162">
        <v>110</v>
      </c>
      <c r="G1162" t="s">
        <v>390</v>
      </c>
    </row>
    <row r="1163" spans="1:7">
      <c r="A1163" t="s">
        <v>2695</v>
      </c>
      <c r="B1163" t="s">
        <v>2696</v>
      </c>
      <c r="C1163">
        <v>10</v>
      </c>
      <c r="D1163" s="321">
        <v>46223</v>
      </c>
      <c r="E1163" s="321">
        <v>46239</v>
      </c>
      <c r="F1163">
        <v>110</v>
      </c>
      <c r="G1163" t="s">
        <v>390</v>
      </c>
    </row>
    <row r="1164" spans="1:7">
      <c r="A1164" t="s">
        <v>2697</v>
      </c>
      <c r="B1164" t="s">
        <v>2698</v>
      </c>
      <c r="C1164">
        <v>11</v>
      </c>
      <c r="D1164" s="321">
        <v>46162</v>
      </c>
      <c r="E1164" s="321">
        <v>46178</v>
      </c>
      <c r="F1164">
        <v>101</v>
      </c>
      <c r="G1164" t="s">
        <v>390</v>
      </c>
    </row>
    <row r="1165" spans="1:7">
      <c r="A1165" t="s">
        <v>2699</v>
      </c>
      <c r="B1165" t="s">
        <v>2700</v>
      </c>
      <c r="C1165">
        <v>10</v>
      </c>
      <c r="D1165" s="321">
        <v>46195</v>
      </c>
      <c r="E1165" s="321">
        <v>46206</v>
      </c>
      <c r="F1165">
        <v>101</v>
      </c>
      <c r="G1165" t="s">
        <v>390</v>
      </c>
    </row>
    <row r="1166" spans="1:7">
      <c r="A1166" t="s">
        <v>2701</v>
      </c>
      <c r="B1166" t="s">
        <v>2702</v>
      </c>
      <c r="C1166">
        <v>10</v>
      </c>
      <c r="D1166" s="321">
        <v>46223</v>
      </c>
      <c r="E1166" s="321">
        <v>46239</v>
      </c>
      <c r="F1166">
        <v>101</v>
      </c>
      <c r="G1166" t="s">
        <v>390</v>
      </c>
    </row>
    <row r="1167" spans="1:7">
      <c r="A1167" t="s">
        <v>2703</v>
      </c>
      <c r="C1167">
        <v>50</v>
      </c>
      <c r="D1167" s="321">
        <v>46178</v>
      </c>
      <c r="E1167" s="321">
        <v>46253</v>
      </c>
      <c r="F1167">
        <v>92</v>
      </c>
      <c r="G1167" t="s">
        <v>390</v>
      </c>
    </row>
    <row r="1168" spans="1:7">
      <c r="A1168" t="s">
        <v>2704</v>
      </c>
      <c r="B1168" t="s">
        <v>2705</v>
      </c>
      <c r="C1168">
        <v>10</v>
      </c>
      <c r="D1168" s="321">
        <v>46178</v>
      </c>
      <c r="E1168" s="321">
        <v>46191</v>
      </c>
      <c r="F1168">
        <v>47</v>
      </c>
      <c r="G1168" t="s">
        <v>390</v>
      </c>
    </row>
    <row r="1169" spans="1:7">
      <c r="A1169" t="s">
        <v>2706</v>
      </c>
      <c r="B1169" t="s">
        <v>2707</v>
      </c>
      <c r="C1169">
        <v>5</v>
      </c>
      <c r="D1169" s="321">
        <v>46206</v>
      </c>
      <c r="E1169" s="321">
        <v>46212</v>
      </c>
      <c r="F1169">
        <v>102</v>
      </c>
      <c r="G1169" t="s">
        <v>390</v>
      </c>
    </row>
    <row r="1170" spans="1:7">
      <c r="A1170" t="s">
        <v>2708</v>
      </c>
      <c r="B1170" t="s">
        <v>2709</v>
      </c>
      <c r="C1170">
        <v>5</v>
      </c>
      <c r="D1170" s="321">
        <v>46239</v>
      </c>
      <c r="E1170" s="321">
        <v>46245</v>
      </c>
      <c r="F1170">
        <v>97</v>
      </c>
      <c r="G1170" t="s">
        <v>390</v>
      </c>
    </row>
    <row r="1171" spans="1:7">
      <c r="A1171" t="s">
        <v>2710</v>
      </c>
      <c r="B1171" t="s">
        <v>2711</v>
      </c>
      <c r="C1171">
        <v>10</v>
      </c>
      <c r="D1171" s="321">
        <v>46192</v>
      </c>
      <c r="E1171" s="321">
        <v>46205</v>
      </c>
      <c r="F1171">
        <v>47</v>
      </c>
      <c r="G1171" t="s">
        <v>390</v>
      </c>
    </row>
    <row r="1172" spans="1:7">
      <c r="A1172" t="s">
        <v>2712</v>
      </c>
      <c r="B1172" t="s">
        <v>2713</v>
      </c>
      <c r="C1172">
        <v>5</v>
      </c>
      <c r="D1172" s="321">
        <v>46220</v>
      </c>
      <c r="E1172" s="321">
        <v>46226</v>
      </c>
      <c r="F1172">
        <v>92</v>
      </c>
      <c r="G1172" t="s">
        <v>390</v>
      </c>
    </row>
    <row r="1173" spans="1:7">
      <c r="A1173" t="s">
        <v>2714</v>
      </c>
      <c r="B1173" t="s">
        <v>2715</v>
      </c>
      <c r="C1173">
        <v>5</v>
      </c>
      <c r="D1173" s="321">
        <v>46247</v>
      </c>
      <c r="E1173" s="321">
        <v>46253</v>
      </c>
      <c r="F1173">
        <v>92</v>
      </c>
      <c r="G1173" t="s">
        <v>390</v>
      </c>
    </row>
    <row r="1174" spans="1:7">
      <c r="A1174" t="s">
        <v>2716</v>
      </c>
      <c r="B1174" t="s">
        <v>2717</v>
      </c>
      <c r="C1174">
        <v>10</v>
      </c>
      <c r="D1174" s="321">
        <v>46192</v>
      </c>
      <c r="E1174" s="321">
        <v>46205</v>
      </c>
      <c r="F1174">
        <v>47</v>
      </c>
      <c r="G1174" t="s">
        <v>390</v>
      </c>
    </row>
    <row r="1175" spans="1:7">
      <c r="A1175" t="s">
        <v>2718</v>
      </c>
      <c r="B1175" t="s">
        <v>2719</v>
      </c>
      <c r="C1175">
        <v>5</v>
      </c>
      <c r="D1175" s="321">
        <v>46220</v>
      </c>
      <c r="E1175" s="321">
        <v>46226</v>
      </c>
      <c r="F1175">
        <v>92</v>
      </c>
      <c r="G1175" t="s">
        <v>390</v>
      </c>
    </row>
    <row r="1176" spans="1:7">
      <c r="A1176" t="s">
        <v>2720</v>
      </c>
      <c r="B1176" t="s">
        <v>2721</v>
      </c>
      <c r="C1176">
        <v>5</v>
      </c>
      <c r="D1176" s="321">
        <v>46247</v>
      </c>
      <c r="E1176" s="321">
        <v>46253</v>
      </c>
      <c r="F1176">
        <v>92</v>
      </c>
      <c r="G1176" t="s">
        <v>390</v>
      </c>
    </row>
    <row r="1177" spans="1:7">
      <c r="A1177" t="s">
        <v>2722</v>
      </c>
      <c r="B1177" t="s">
        <v>2723</v>
      </c>
      <c r="C1177">
        <v>10</v>
      </c>
      <c r="D1177" s="321">
        <v>46192</v>
      </c>
      <c r="E1177" s="321">
        <v>46205</v>
      </c>
      <c r="F1177">
        <v>47</v>
      </c>
      <c r="G1177" t="s">
        <v>390</v>
      </c>
    </row>
    <row r="1178" spans="1:7">
      <c r="A1178" t="s">
        <v>2724</v>
      </c>
      <c r="B1178" t="s">
        <v>2725</v>
      </c>
      <c r="C1178">
        <v>5</v>
      </c>
      <c r="D1178" s="321">
        <v>46220</v>
      </c>
      <c r="E1178" s="321">
        <v>46226</v>
      </c>
      <c r="F1178">
        <v>92</v>
      </c>
      <c r="G1178" t="s">
        <v>390</v>
      </c>
    </row>
    <row r="1179" spans="1:7">
      <c r="A1179" t="s">
        <v>2726</v>
      </c>
      <c r="B1179" t="s">
        <v>2727</v>
      </c>
      <c r="C1179">
        <v>5</v>
      </c>
      <c r="D1179" s="321">
        <v>46247</v>
      </c>
      <c r="E1179" s="321">
        <v>46253</v>
      </c>
      <c r="F1179">
        <v>92</v>
      </c>
      <c r="G1179" t="s">
        <v>390</v>
      </c>
    </row>
    <row r="1180" spans="1:7">
      <c r="A1180" t="s">
        <v>2728</v>
      </c>
      <c r="C1180">
        <v>85</v>
      </c>
      <c r="D1180" s="321">
        <v>46192</v>
      </c>
      <c r="E1180" s="321">
        <v>46317</v>
      </c>
      <c r="F1180">
        <v>47</v>
      </c>
      <c r="G1180" t="s">
        <v>390</v>
      </c>
    </row>
    <row r="1181" spans="1:7">
      <c r="A1181" t="s">
        <v>2729</v>
      </c>
      <c r="B1181" t="s">
        <v>2730</v>
      </c>
      <c r="C1181">
        <v>10</v>
      </c>
      <c r="D1181" s="321">
        <v>46192</v>
      </c>
      <c r="E1181" s="321">
        <v>46205</v>
      </c>
      <c r="F1181">
        <v>57</v>
      </c>
      <c r="G1181" t="s">
        <v>390</v>
      </c>
    </row>
    <row r="1182" spans="1:7">
      <c r="A1182" t="s">
        <v>2731</v>
      </c>
      <c r="B1182" t="s">
        <v>2732</v>
      </c>
      <c r="C1182">
        <v>5</v>
      </c>
      <c r="D1182" s="321">
        <v>46296</v>
      </c>
      <c r="E1182" s="321">
        <v>46302</v>
      </c>
      <c r="F1182">
        <v>57</v>
      </c>
      <c r="G1182" t="s">
        <v>390</v>
      </c>
    </row>
    <row r="1183" spans="1:7">
      <c r="A1183" t="s">
        <v>2733</v>
      </c>
      <c r="B1183" t="s">
        <v>2734</v>
      </c>
      <c r="C1183">
        <v>10</v>
      </c>
      <c r="D1183" s="321">
        <v>46206</v>
      </c>
      <c r="E1183" s="321">
        <v>46219</v>
      </c>
      <c r="F1183">
        <v>47</v>
      </c>
      <c r="G1183" t="s">
        <v>390</v>
      </c>
    </row>
    <row r="1184" spans="1:7">
      <c r="A1184" t="s">
        <v>2735</v>
      </c>
      <c r="B1184" t="s">
        <v>2736</v>
      </c>
      <c r="C1184">
        <v>5</v>
      </c>
      <c r="D1184" s="321">
        <v>46311</v>
      </c>
      <c r="E1184" s="321">
        <v>46317</v>
      </c>
      <c r="F1184">
        <v>47</v>
      </c>
      <c r="G1184" t="s">
        <v>390</v>
      </c>
    </row>
    <row r="1185" spans="1:7">
      <c r="A1185" t="s">
        <v>2737</v>
      </c>
      <c r="B1185" t="s">
        <v>2738</v>
      </c>
      <c r="C1185">
        <v>10</v>
      </c>
      <c r="D1185" s="321">
        <v>46206</v>
      </c>
      <c r="E1185" s="321">
        <v>46219</v>
      </c>
      <c r="F1185">
        <v>47</v>
      </c>
      <c r="G1185" t="s">
        <v>390</v>
      </c>
    </row>
    <row r="1186" spans="1:7">
      <c r="A1186" t="s">
        <v>2739</v>
      </c>
      <c r="B1186" t="s">
        <v>2740</v>
      </c>
      <c r="C1186">
        <v>5</v>
      </c>
      <c r="D1186" s="321">
        <v>46311</v>
      </c>
      <c r="E1186" s="321">
        <v>46317</v>
      </c>
      <c r="F1186">
        <v>47</v>
      </c>
      <c r="G1186" t="s">
        <v>390</v>
      </c>
    </row>
    <row r="1187" spans="1:7">
      <c r="A1187" t="s">
        <v>2741</v>
      </c>
      <c r="B1187" t="s">
        <v>2742</v>
      </c>
      <c r="C1187">
        <v>10</v>
      </c>
      <c r="D1187" s="321">
        <v>46206</v>
      </c>
      <c r="E1187" s="321">
        <v>46219</v>
      </c>
      <c r="F1187">
        <v>47</v>
      </c>
      <c r="G1187" t="s">
        <v>390</v>
      </c>
    </row>
    <row r="1188" spans="1:7">
      <c r="A1188" t="s">
        <v>2743</v>
      </c>
      <c r="B1188" t="s">
        <v>2744</v>
      </c>
      <c r="C1188">
        <v>5</v>
      </c>
      <c r="D1188" s="321">
        <v>46311</v>
      </c>
      <c r="E1188" s="321">
        <v>46317</v>
      </c>
      <c r="F1188">
        <v>47</v>
      </c>
      <c r="G1188" t="s">
        <v>390</v>
      </c>
    </row>
    <row r="1189" spans="1:7">
      <c r="A1189" t="s">
        <v>2745</v>
      </c>
      <c r="C1189">
        <v>40</v>
      </c>
      <c r="D1189" s="321">
        <v>46239</v>
      </c>
      <c r="E1189" s="321">
        <v>46295</v>
      </c>
      <c r="F1189">
        <v>47</v>
      </c>
      <c r="G1189" t="s">
        <v>390</v>
      </c>
    </row>
    <row r="1190" spans="1:7">
      <c r="A1190" t="s">
        <v>2746</v>
      </c>
      <c r="B1190" t="s">
        <v>2747</v>
      </c>
      <c r="C1190">
        <v>15</v>
      </c>
      <c r="D1190" s="321">
        <v>46239</v>
      </c>
      <c r="E1190" s="321">
        <v>46260</v>
      </c>
      <c r="F1190">
        <v>57</v>
      </c>
      <c r="G1190" t="s">
        <v>390</v>
      </c>
    </row>
    <row r="1191" spans="1:7">
      <c r="A1191" t="s">
        <v>2748</v>
      </c>
      <c r="B1191" t="s">
        <v>2749</v>
      </c>
      <c r="C1191">
        <v>5</v>
      </c>
      <c r="D1191" s="321">
        <v>46275</v>
      </c>
      <c r="E1191" s="321">
        <v>46281</v>
      </c>
      <c r="F1191">
        <v>57</v>
      </c>
      <c r="G1191" t="s">
        <v>390</v>
      </c>
    </row>
    <row r="1192" spans="1:7">
      <c r="A1192" t="s">
        <v>2750</v>
      </c>
      <c r="B1192" t="s">
        <v>2751</v>
      </c>
      <c r="C1192">
        <v>15</v>
      </c>
      <c r="D1192" s="321">
        <v>46254</v>
      </c>
      <c r="E1192" s="321">
        <v>46274</v>
      </c>
      <c r="F1192">
        <v>47</v>
      </c>
      <c r="G1192" t="s">
        <v>390</v>
      </c>
    </row>
    <row r="1193" spans="1:7">
      <c r="A1193" t="s">
        <v>2752</v>
      </c>
      <c r="B1193" t="s">
        <v>2753</v>
      </c>
      <c r="C1193">
        <v>5</v>
      </c>
      <c r="D1193" s="321">
        <v>46289</v>
      </c>
      <c r="E1193" s="321">
        <v>46295</v>
      </c>
      <c r="F1193">
        <v>47</v>
      </c>
      <c r="G1193" t="s">
        <v>390</v>
      </c>
    </row>
    <row r="1194" spans="1:7">
      <c r="A1194" t="s">
        <v>2754</v>
      </c>
      <c r="B1194" t="s">
        <v>2755</v>
      </c>
      <c r="C1194">
        <v>15</v>
      </c>
      <c r="D1194" s="321">
        <v>46254</v>
      </c>
      <c r="E1194" s="321">
        <v>46274</v>
      </c>
      <c r="F1194">
        <v>47</v>
      </c>
      <c r="G1194" t="s">
        <v>390</v>
      </c>
    </row>
    <row r="1195" spans="1:7">
      <c r="A1195" t="s">
        <v>2756</v>
      </c>
      <c r="B1195" t="s">
        <v>2757</v>
      </c>
      <c r="C1195">
        <v>5</v>
      </c>
      <c r="D1195" s="321">
        <v>46289</v>
      </c>
      <c r="E1195" s="321">
        <v>46295</v>
      </c>
      <c r="F1195">
        <v>47</v>
      </c>
      <c r="G1195" t="s">
        <v>390</v>
      </c>
    </row>
    <row r="1196" spans="1:7">
      <c r="A1196" t="s">
        <v>2758</v>
      </c>
      <c r="B1196" t="s">
        <v>2759</v>
      </c>
      <c r="C1196">
        <v>15</v>
      </c>
      <c r="D1196" s="321">
        <v>46254</v>
      </c>
      <c r="E1196" s="321">
        <v>46274</v>
      </c>
      <c r="F1196">
        <v>47</v>
      </c>
      <c r="G1196" t="s">
        <v>390</v>
      </c>
    </row>
    <row r="1197" spans="1:7">
      <c r="A1197" t="s">
        <v>2760</v>
      </c>
      <c r="B1197" t="s">
        <v>2761</v>
      </c>
      <c r="C1197">
        <v>5</v>
      </c>
      <c r="D1197" s="321">
        <v>46289</v>
      </c>
      <c r="E1197" s="321">
        <v>46295</v>
      </c>
      <c r="F1197">
        <v>47</v>
      </c>
      <c r="G1197" t="s">
        <v>390</v>
      </c>
    </row>
    <row r="1198" spans="1:7">
      <c r="A1198" t="s">
        <v>2762</v>
      </c>
      <c r="C1198">
        <v>151</v>
      </c>
      <c r="D1198" s="321">
        <v>46112</v>
      </c>
      <c r="E1198" s="321">
        <v>46339</v>
      </c>
      <c r="F1198">
        <v>32</v>
      </c>
      <c r="G1198" t="s">
        <v>390</v>
      </c>
    </row>
    <row r="1199" spans="1:7">
      <c r="A1199" t="s">
        <v>2763</v>
      </c>
      <c r="B1199" t="s">
        <v>2764</v>
      </c>
      <c r="C1199">
        <v>10</v>
      </c>
      <c r="D1199" s="321">
        <v>46113</v>
      </c>
      <c r="E1199" s="321">
        <v>46132</v>
      </c>
      <c r="F1199">
        <v>-45</v>
      </c>
      <c r="G1199" t="s">
        <v>390</v>
      </c>
    </row>
    <row r="1200" spans="1:7">
      <c r="A1200" t="s">
        <v>2765</v>
      </c>
      <c r="B1200" t="s">
        <v>2766</v>
      </c>
      <c r="C1200">
        <v>5</v>
      </c>
      <c r="D1200" s="321">
        <v>46155</v>
      </c>
      <c r="E1200" s="321">
        <v>46161</v>
      </c>
      <c r="F1200">
        <v>33</v>
      </c>
      <c r="G1200" t="s">
        <v>390</v>
      </c>
    </row>
    <row r="1201" spans="1:7">
      <c r="A1201" t="s">
        <v>2767</v>
      </c>
      <c r="B1201" t="s">
        <v>2768</v>
      </c>
      <c r="C1201">
        <v>5</v>
      </c>
      <c r="D1201" s="321">
        <v>46178</v>
      </c>
      <c r="E1201" s="321">
        <v>46184</v>
      </c>
      <c r="F1201">
        <v>33</v>
      </c>
      <c r="G1201" t="s">
        <v>390</v>
      </c>
    </row>
    <row r="1202" spans="1:7">
      <c r="A1202" t="s">
        <v>2769</v>
      </c>
      <c r="B1202" t="s">
        <v>2770</v>
      </c>
      <c r="C1202">
        <v>10</v>
      </c>
      <c r="D1202" s="321">
        <v>46120</v>
      </c>
      <c r="E1202" s="321">
        <v>46136</v>
      </c>
      <c r="F1202">
        <v>58</v>
      </c>
      <c r="G1202" t="s">
        <v>390</v>
      </c>
    </row>
    <row r="1203" spans="1:7">
      <c r="A1203" t="s">
        <v>2771</v>
      </c>
      <c r="B1203" t="s">
        <v>2772</v>
      </c>
      <c r="C1203">
        <v>10</v>
      </c>
      <c r="D1203" s="321">
        <v>46162</v>
      </c>
      <c r="E1203" s="321">
        <v>46177</v>
      </c>
      <c r="F1203">
        <v>82</v>
      </c>
      <c r="G1203" t="s">
        <v>390</v>
      </c>
    </row>
    <row r="1204" spans="1:7">
      <c r="A1204" t="s">
        <v>2773</v>
      </c>
      <c r="B1204" t="s">
        <v>2774</v>
      </c>
      <c r="C1204">
        <v>5</v>
      </c>
      <c r="D1204" s="321">
        <v>46192</v>
      </c>
      <c r="E1204" s="321">
        <v>46198</v>
      </c>
      <c r="F1204">
        <v>87</v>
      </c>
      <c r="G1204" t="s">
        <v>390</v>
      </c>
    </row>
    <row r="1205" spans="1:7">
      <c r="A1205" t="s">
        <v>2775</v>
      </c>
      <c r="B1205" t="s">
        <v>2776</v>
      </c>
      <c r="C1205">
        <v>10</v>
      </c>
      <c r="D1205" s="321">
        <v>46120</v>
      </c>
      <c r="E1205" s="321">
        <v>46136</v>
      </c>
      <c r="F1205">
        <v>83</v>
      </c>
      <c r="G1205" t="s">
        <v>390</v>
      </c>
    </row>
    <row r="1206" spans="1:7">
      <c r="A1206" t="s">
        <v>2777</v>
      </c>
      <c r="B1206" t="s">
        <v>2778</v>
      </c>
      <c r="C1206">
        <v>10</v>
      </c>
      <c r="D1206" s="321">
        <v>46162</v>
      </c>
      <c r="E1206" s="321">
        <v>46177</v>
      </c>
      <c r="F1206">
        <v>92</v>
      </c>
      <c r="G1206" t="s">
        <v>390</v>
      </c>
    </row>
    <row r="1207" spans="1:7">
      <c r="A1207" t="s">
        <v>2779</v>
      </c>
      <c r="B1207" t="s">
        <v>2780</v>
      </c>
      <c r="C1207">
        <v>5</v>
      </c>
      <c r="D1207" s="321">
        <v>46192</v>
      </c>
      <c r="E1207" s="321">
        <v>46198</v>
      </c>
      <c r="F1207">
        <v>97</v>
      </c>
      <c r="G1207" t="s">
        <v>390</v>
      </c>
    </row>
    <row r="1208" spans="1:7">
      <c r="A1208" t="s">
        <v>2781</v>
      </c>
      <c r="B1208" t="s">
        <v>2782</v>
      </c>
      <c r="C1208">
        <v>15</v>
      </c>
      <c r="D1208" s="321">
        <v>46178</v>
      </c>
      <c r="E1208" s="321">
        <v>46198</v>
      </c>
      <c r="F1208">
        <v>32</v>
      </c>
      <c r="G1208" t="s">
        <v>390</v>
      </c>
    </row>
    <row r="1209" spans="1:7">
      <c r="A1209" t="s">
        <v>2783</v>
      </c>
      <c r="B1209" t="s">
        <v>2784</v>
      </c>
      <c r="C1209">
        <v>10</v>
      </c>
      <c r="D1209" s="321">
        <v>46213</v>
      </c>
      <c r="E1209" s="321">
        <v>46226</v>
      </c>
      <c r="F1209">
        <v>67</v>
      </c>
      <c r="G1209" t="s">
        <v>390</v>
      </c>
    </row>
    <row r="1210" spans="1:7">
      <c r="A1210" t="s">
        <v>2785</v>
      </c>
      <c r="B1210" t="s">
        <v>2786</v>
      </c>
      <c r="C1210">
        <v>5</v>
      </c>
      <c r="D1210" s="321">
        <v>46247</v>
      </c>
      <c r="E1210" s="321">
        <v>46253</v>
      </c>
      <c r="F1210">
        <v>87</v>
      </c>
      <c r="G1210" t="s">
        <v>390</v>
      </c>
    </row>
    <row r="1211" spans="1:7">
      <c r="A1211" t="s">
        <v>2787</v>
      </c>
      <c r="B1211" t="s">
        <v>2788</v>
      </c>
      <c r="C1211">
        <v>15</v>
      </c>
      <c r="D1211" s="321">
        <v>46199</v>
      </c>
      <c r="E1211" s="321">
        <v>46219</v>
      </c>
      <c r="F1211">
        <v>72</v>
      </c>
      <c r="G1211" t="s">
        <v>390</v>
      </c>
    </row>
    <row r="1212" spans="1:7">
      <c r="A1212" t="s">
        <v>2789</v>
      </c>
      <c r="B1212" t="s">
        <v>2790</v>
      </c>
      <c r="C1212">
        <v>5</v>
      </c>
      <c r="D1212" s="321">
        <v>46275</v>
      </c>
      <c r="E1212" s="321">
        <v>46281</v>
      </c>
      <c r="F1212">
        <v>72</v>
      </c>
      <c r="G1212" t="s">
        <v>390</v>
      </c>
    </row>
    <row r="1213" spans="1:7">
      <c r="A1213" t="s">
        <v>2791</v>
      </c>
      <c r="B1213" t="s">
        <v>2792</v>
      </c>
      <c r="C1213">
        <v>15</v>
      </c>
      <c r="D1213" s="321">
        <v>46178</v>
      </c>
      <c r="E1213" s="321">
        <v>46198</v>
      </c>
      <c r="F1213">
        <v>72</v>
      </c>
      <c r="G1213" t="s">
        <v>390</v>
      </c>
    </row>
    <row r="1214" spans="1:7">
      <c r="A1214" t="s">
        <v>2793</v>
      </c>
      <c r="B1214" t="s">
        <v>2794</v>
      </c>
      <c r="C1214">
        <v>10</v>
      </c>
      <c r="D1214" s="321">
        <v>46227</v>
      </c>
      <c r="E1214" s="321">
        <v>46245</v>
      </c>
      <c r="F1214">
        <v>67</v>
      </c>
      <c r="G1214" t="s">
        <v>390</v>
      </c>
    </row>
    <row r="1215" spans="1:7">
      <c r="A1215" t="s">
        <v>2795</v>
      </c>
      <c r="B1215" t="s">
        <v>2796</v>
      </c>
      <c r="C1215">
        <v>5</v>
      </c>
      <c r="D1215" s="321">
        <v>46261</v>
      </c>
      <c r="E1215" s="321">
        <v>46267</v>
      </c>
      <c r="F1215">
        <v>72</v>
      </c>
      <c r="G1215" t="s">
        <v>390</v>
      </c>
    </row>
    <row r="1216" spans="1:7">
      <c r="A1216" t="s">
        <v>2797</v>
      </c>
      <c r="B1216" t="s">
        <v>2798</v>
      </c>
      <c r="C1216">
        <v>15</v>
      </c>
      <c r="D1216" s="321">
        <v>46199</v>
      </c>
      <c r="E1216" s="321">
        <v>46219</v>
      </c>
      <c r="F1216">
        <v>42</v>
      </c>
      <c r="G1216" t="s">
        <v>390</v>
      </c>
    </row>
    <row r="1217" spans="1:7">
      <c r="A1217" t="s">
        <v>2799</v>
      </c>
      <c r="B1217" t="s">
        <v>2800</v>
      </c>
      <c r="C1217">
        <v>10</v>
      </c>
      <c r="D1217" s="321">
        <v>46239</v>
      </c>
      <c r="E1217" s="321">
        <v>46253</v>
      </c>
      <c r="F1217">
        <v>77</v>
      </c>
      <c r="G1217" t="s">
        <v>390</v>
      </c>
    </row>
    <row r="1218" spans="1:7">
      <c r="A1218" t="s">
        <v>2801</v>
      </c>
      <c r="B1218" t="s">
        <v>2802</v>
      </c>
      <c r="C1218">
        <v>5</v>
      </c>
      <c r="D1218" s="321">
        <v>46268</v>
      </c>
      <c r="E1218" s="321">
        <v>46274</v>
      </c>
      <c r="F1218">
        <v>77</v>
      </c>
      <c r="G1218" t="s">
        <v>390</v>
      </c>
    </row>
    <row r="1219" spans="1:7">
      <c r="A1219" t="s">
        <v>2803</v>
      </c>
      <c r="B1219" t="s">
        <v>2804</v>
      </c>
      <c r="C1219">
        <v>15</v>
      </c>
      <c r="D1219" s="321">
        <v>46199</v>
      </c>
      <c r="E1219" s="321">
        <v>46219</v>
      </c>
      <c r="F1219">
        <v>42</v>
      </c>
      <c r="G1219" t="s">
        <v>390</v>
      </c>
    </row>
    <row r="1220" spans="1:7">
      <c r="A1220" t="s">
        <v>2805</v>
      </c>
      <c r="B1220" t="s">
        <v>2806</v>
      </c>
      <c r="C1220">
        <v>10</v>
      </c>
      <c r="D1220" s="321">
        <v>46239</v>
      </c>
      <c r="E1220" s="321">
        <v>46253</v>
      </c>
      <c r="F1220">
        <v>77</v>
      </c>
      <c r="G1220" t="s">
        <v>390</v>
      </c>
    </row>
    <row r="1221" spans="1:7">
      <c r="A1221" t="s">
        <v>2807</v>
      </c>
      <c r="B1221" t="s">
        <v>2808</v>
      </c>
      <c r="C1221">
        <v>5</v>
      </c>
      <c r="D1221" s="321">
        <v>46268</v>
      </c>
      <c r="E1221" s="321">
        <v>46274</v>
      </c>
      <c r="F1221">
        <v>77</v>
      </c>
      <c r="G1221" t="s">
        <v>390</v>
      </c>
    </row>
    <row r="1222" spans="1:7">
      <c r="A1222" t="s">
        <v>2809</v>
      </c>
      <c r="B1222" t="s">
        <v>2810</v>
      </c>
      <c r="C1222">
        <v>15</v>
      </c>
      <c r="D1222" s="321">
        <v>46199</v>
      </c>
      <c r="E1222" s="321">
        <v>46219</v>
      </c>
      <c r="F1222">
        <v>57</v>
      </c>
      <c r="G1222" t="s">
        <v>390</v>
      </c>
    </row>
    <row r="1223" spans="1:7">
      <c r="A1223" t="s">
        <v>2811</v>
      </c>
      <c r="B1223" t="s">
        <v>2812</v>
      </c>
      <c r="C1223">
        <v>10</v>
      </c>
      <c r="D1223" s="321">
        <v>46239</v>
      </c>
      <c r="E1223" s="321">
        <v>46253</v>
      </c>
      <c r="F1223">
        <v>62</v>
      </c>
      <c r="G1223" t="s">
        <v>390</v>
      </c>
    </row>
    <row r="1224" spans="1:7">
      <c r="A1224" t="s">
        <v>2813</v>
      </c>
      <c r="B1224" t="s">
        <v>2814</v>
      </c>
      <c r="C1224">
        <v>5</v>
      </c>
      <c r="D1224" s="321">
        <v>46268</v>
      </c>
      <c r="E1224" s="321">
        <v>46274</v>
      </c>
      <c r="F1224">
        <v>67</v>
      </c>
      <c r="G1224" t="s">
        <v>390</v>
      </c>
    </row>
    <row r="1225" spans="1:7">
      <c r="A1225" t="s">
        <v>2815</v>
      </c>
      <c r="B1225" t="s">
        <v>2816</v>
      </c>
      <c r="C1225">
        <v>10</v>
      </c>
      <c r="D1225" s="321">
        <v>46120</v>
      </c>
      <c r="E1225" s="321">
        <v>46136</v>
      </c>
      <c r="F1225">
        <v>58</v>
      </c>
      <c r="G1225" t="s">
        <v>390</v>
      </c>
    </row>
    <row r="1226" spans="1:7">
      <c r="A1226" t="s">
        <v>2817</v>
      </c>
      <c r="B1226" t="s">
        <v>2818</v>
      </c>
      <c r="C1226">
        <v>10</v>
      </c>
      <c r="D1226" s="321">
        <v>46162</v>
      </c>
      <c r="E1226" s="321">
        <v>46177</v>
      </c>
      <c r="F1226">
        <v>82</v>
      </c>
      <c r="G1226" t="s">
        <v>390</v>
      </c>
    </row>
    <row r="1227" spans="1:7">
      <c r="A1227" t="s">
        <v>2819</v>
      </c>
      <c r="B1227" t="s">
        <v>2820</v>
      </c>
      <c r="C1227">
        <v>5</v>
      </c>
      <c r="D1227" s="321">
        <v>46192</v>
      </c>
      <c r="E1227" s="321">
        <v>46198</v>
      </c>
      <c r="F1227">
        <v>97</v>
      </c>
      <c r="G1227" t="s">
        <v>390</v>
      </c>
    </row>
    <row r="1228" spans="1:7">
      <c r="A1228" t="s">
        <v>2821</v>
      </c>
      <c r="B1228" t="s">
        <v>2822</v>
      </c>
      <c r="C1228">
        <v>10</v>
      </c>
      <c r="D1228" s="321">
        <v>46120</v>
      </c>
      <c r="E1228" s="321">
        <v>46136</v>
      </c>
      <c r="F1228">
        <v>78</v>
      </c>
      <c r="G1228" t="s">
        <v>390</v>
      </c>
    </row>
    <row r="1229" spans="1:7">
      <c r="A1229" t="s">
        <v>2823</v>
      </c>
      <c r="B1229" t="s">
        <v>2824</v>
      </c>
      <c r="C1229">
        <v>10</v>
      </c>
      <c r="D1229" s="321">
        <v>46162</v>
      </c>
      <c r="E1229" s="321">
        <v>46177</v>
      </c>
      <c r="F1229">
        <v>102</v>
      </c>
      <c r="G1229" t="s">
        <v>390</v>
      </c>
    </row>
    <row r="1230" spans="1:7">
      <c r="A1230" t="s">
        <v>2825</v>
      </c>
      <c r="B1230" t="s">
        <v>2826</v>
      </c>
      <c r="C1230">
        <v>5</v>
      </c>
      <c r="D1230" s="321">
        <v>46192</v>
      </c>
      <c r="E1230" s="321">
        <v>46198</v>
      </c>
      <c r="F1230">
        <v>112</v>
      </c>
      <c r="G1230" t="s">
        <v>390</v>
      </c>
    </row>
    <row r="1231" spans="1:7">
      <c r="A1231" t="s">
        <v>2827</v>
      </c>
      <c r="B1231" t="s">
        <v>2828</v>
      </c>
      <c r="C1231">
        <v>15</v>
      </c>
      <c r="D1231" s="321">
        <v>46178</v>
      </c>
      <c r="E1231" s="321">
        <v>46198</v>
      </c>
      <c r="F1231">
        <v>32</v>
      </c>
      <c r="G1231" t="s">
        <v>390</v>
      </c>
    </row>
    <row r="1232" spans="1:7">
      <c r="A1232" t="s">
        <v>2829</v>
      </c>
      <c r="B1232" t="s">
        <v>2830</v>
      </c>
      <c r="C1232">
        <v>10</v>
      </c>
      <c r="D1232" s="321">
        <v>46213</v>
      </c>
      <c r="E1232" s="321">
        <v>46226</v>
      </c>
      <c r="F1232">
        <v>57</v>
      </c>
      <c r="G1232" t="s">
        <v>390</v>
      </c>
    </row>
    <row r="1233" spans="1:7">
      <c r="A1233" t="s">
        <v>2831</v>
      </c>
      <c r="B1233" t="s">
        <v>2832</v>
      </c>
      <c r="C1233">
        <v>5</v>
      </c>
      <c r="D1233" s="321">
        <v>46247</v>
      </c>
      <c r="E1233" s="321">
        <v>46253</v>
      </c>
      <c r="F1233">
        <v>67</v>
      </c>
      <c r="G1233" t="s">
        <v>390</v>
      </c>
    </row>
    <row r="1234" spans="1:7">
      <c r="A1234" t="s">
        <v>2833</v>
      </c>
      <c r="B1234" t="s">
        <v>2834</v>
      </c>
      <c r="C1234">
        <v>15</v>
      </c>
      <c r="D1234" s="321">
        <v>46199</v>
      </c>
      <c r="E1234" s="321">
        <v>46219</v>
      </c>
      <c r="F1234">
        <v>32</v>
      </c>
      <c r="G1234" t="s">
        <v>390</v>
      </c>
    </row>
    <row r="1235" spans="1:7">
      <c r="A1235" t="s">
        <v>2835</v>
      </c>
      <c r="B1235" t="s">
        <v>2836</v>
      </c>
      <c r="C1235">
        <v>5</v>
      </c>
      <c r="D1235" s="321">
        <v>46268</v>
      </c>
      <c r="E1235" s="321">
        <v>46274</v>
      </c>
      <c r="F1235">
        <v>57</v>
      </c>
      <c r="G1235" t="s">
        <v>390</v>
      </c>
    </row>
    <row r="1236" spans="1:7">
      <c r="A1236" t="s">
        <v>2837</v>
      </c>
      <c r="B1236" t="s">
        <v>2838</v>
      </c>
      <c r="C1236">
        <v>15</v>
      </c>
      <c r="D1236" s="321">
        <v>46139</v>
      </c>
      <c r="E1236" s="321">
        <v>46160</v>
      </c>
      <c r="F1236">
        <v>58</v>
      </c>
      <c r="G1236" t="s">
        <v>390</v>
      </c>
    </row>
    <row r="1237" spans="1:7">
      <c r="A1237" t="s">
        <v>2839</v>
      </c>
      <c r="B1237" t="s">
        <v>2840</v>
      </c>
      <c r="C1237">
        <v>10</v>
      </c>
      <c r="D1237" s="321">
        <v>46178</v>
      </c>
      <c r="E1237" s="321">
        <v>46191</v>
      </c>
      <c r="F1237">
        <v>82</v>
      </c>
      <c r="G1237" t="s">
        <v>390</v>
      </c>
    </row>
    <row r="1238" spans="1:7">
      <c r="A1238" t="s">
        <v>2841</v>
      </c>
      <c r="B1238" t="s">
        <v>2842</v>
      </c>
      <c r="C1238">
        <v>5</v>
      </c>
      <c r="D1238" s="321">
        <v>46206</v>
      </c>
      <c r="E1238" s="321">
        <v>46212</v>
      </c>
      <c r="F1238">
        <v>92</v>
      </c>
      <c r="G1238" t="s">
        <v>390</v>
      </c>
    </row>
    <row r="1239" spans="1:7">
      <c r="A1239" t="s">
        <v>2843</v>
      </c>
      <c r="B1239" t="s">
        <v>2844</v>
      </c>
      <c r="C1239">
        <v>15</v>
      </c>
      <c r="D1239" s="321">
        <v>46199</v>
      </c>
      <c r="E1239" s="321">
        <v>46219</v>
      </c>
      <c r="F1239">
        <v>77</v>
      </c>
      <c r="G1239" t="s">
        <v>390</v>
      </c>
    </row>
    <row r="1240" spans="1:7">
      <c r="A1240" t="s">
        <v>2845</v>
      </c>
      <c r="B1240" t="s">
        <v>2846</v>
      </c>
      <c r="C1240">
        <v>10</v>
      </c>
      <c r="D1240" s="321">
        <v>46239</v>
      </c>
      <c r="E1240" s="321">
        <v>46253</v>
      </c>
      <c r="F1240">
        <v>77</v>
      </c>
      <c r="G1240" t="s">
        <v>390</v>
      </c>
    </row>
    <row r="1241" spans="1:7">
      <c r="A1241" t="s">
        <v>2847</v>
      </c>
      <c r="B1241" t="s">
        <v>2848</v>
      </c>
      <c r="C1241">
        <v>5</v>
      </c>
      <c r="D1241" s="321">
        <v>46268</v>
      </c>
      <c r="E1241" s="321">
        <v>46274</v>
      </c>
      <c r="F1241">
        <v>77</v>
      </c>
      <c r="G1241" t="s">
        <v>390</v>
      </c>
    </row>
    <row r="1242" spans="1:7">
      <c r="A1242" t="s">
        <v>2849</v>
      </c>
      <c r="B1242" t="s">
        <v>2804</v>
      </c>
      <c r="C1242">
        <v>15</v>
      </c>
      <c r="D1242" s="321">
        <v>46199</v>
      </c>
      <c r="E1242" s="321">
        <v>46219</v>
      </c>
      <c r="F1242">
        <v>77</v>
      </c>
      <c r="G1242" t="s">
        <v>390</v>
      </c>
    </row>
    <row r="1243" spans="1:7">
      <c r="A1243" t="s">
        <v>2850</v>
      </c>
      <c r="B1243" t="s">
        <v>2806</v>
      </c>
      <c r="C1243">
        <v>10</v>
      </c>
      <c r="D1243" s="321">
        <v>46239</v>
      </c>
      <c r="E1243" s="321">
        <v>46253</v>
      </c>
      <c r="F1243">
        <v>77</v>
      </c>
      <c r="G1243" t="s">
        <v>390</v>
      </c>
    </row>
    <row r="1244" spans="1:7">
      <c r="A1244" t="s">
        <v>2851</v>
      </c>
      <c r="B1244" t="s">
        <v>2808</v>
      </c>
      <c r="C1244">
        <v>5</v>
      </c>
      <c r="D1244" s="321">
        <v>46268</v>
      </c>
      <c r="E1244" s="321">
        <v>46274</v>
      </c>
      <c r="F1244">
        <v>77</v>
      </c>
      <c r="G1244" t="s">
        <v>390</v>
      </c>
    </row>
    <row r="1245" spans="1:7">
      <c r="A1245" t="s">
        <v>2852</v>
      </c>
      <c r="B1245" t="s">
        <v>2853</v>
      </c>
      <c r="C1245">
        <v>15</v>
      </c>
      <c r="D1245" s="321">
        <v>46199</v>
      </c>
      <c r="E1245" s="321">
        <v>46219</v>
      </c>
      <c r="F1245">
        <v>37</v>
      </c>
      <c r="G1245" t="s">
        <v>390</v>
      </c>
    </row>
    <row r="1246" spans="1:7">
      <c r="A1246" t="s">
        <v>2854</v>
      </c>
      <c r="B1246" t="s">
        <v>2855</v>
      </c>
      <c r="C1246">
        <v>10</v>
      </c>
      <c r="D1246" s="321">
        <v>46239</v>
      </c>
      <c r="E1246" s="321">
        <v>46253</v>
      </c>
      <c r="F1246">
        <v>62</v>
      </c>
      <c r="G1246" t="s">
        <v>390</v>
      </c>
    </row>
    <row r="1247" spans="1:7">
      <c r="A1247" t="s">
        <v>2856</v>
      </c>
      <c r="B1247" t="s">
        <v>2857</v>
      </c>
      <c r="C1247">
        <v>5</v>
      </c>
      <c r="D1247" s="321">
        <v>46268</v>
      </c>
      <c r="E1247" s="321">
        <v>46274</v>
      </c>
      <c r="F1247">
        <v>67</v>
      </c>
      <c r="G1247" t="s">
        <v>390</v>
      </c>
    </row>
    <row r="1248" spans="1:7">
      <c r="A1248" t="s">
        <v>2858</v>
      </c>
      <c r="B1248" t="s">
        <v>2859</v>
      </c>
      <c r="C1248">
        <v>15</v>
      </c>
      <c r="D1248" s="321">
        <v>46113</v>
      </c>
      <c r="E1248" s="321">
        <v>46139</v>
      </c>
      <c r="F1248">
        <v>-45</v>
      </c>
      <c r="G1248" t="s">
        <v>390</v>
      </c>
    </row>
    <row r="1249" spans="1:7">
      <c r="A1249" t="s">
        <v>2860</v>
      </c>
      <c r="B1249" t="s">
        <v>2861</v>
      </c>
      <c r="C1249">
        <v>10</v>
      </c>
      <c r="D1249" s="321">
        <v>46185</v>
      </c>
      <c r="E1249" s="321">
        <v>46198</v>
      </c>
      <c r="F1249">
        <v>112</v>
      </c>
      <c r="G1249" t="s">
        <v>390</v>
      </c>
    </row>
    <row r="1250" spans="1:7">
      <c r="A1250" t="s">
        <v>2862</v>
      </c>
      <c r="B1250" t="s">
        <v>2863</v>
      </c>
      <c r="C1250">
        <v>15</v>
      </c>
      <c r="D1250" s="321">
        <v>46112</v>
      </c>
      <c r="E1250" s="321">
        <v>46136</v>
      </c>
      <c r="F1250">
        <v>0</v>
      </c>
      <c r="G1250" t="s">
        <v>390</v>
      </c>
    </row>
    <row r="1251" spans="1:7">
      <c r="A1251" t="s">
        <v>2864</v>
      </c>
      <c r="B1251" t="s">
        <v>2865</v>
      </c>
      <c r="C1251">
        <v>10</v>
      </c>
      <c r="D1251" s="321">
        <v>46169</v>
      </c>
      <c r="E1251" s="321">
        <v>46184</v>
      </c>
      <c r="F1251">
        <v>33</v>
      </c>
      <c r="G1251" t="s">
        <v>390</v>
      </c>
    </row>
    <row r="1252" spans="1:7">
      <c r="A1252" t="s">
        <v>2866</v>
      </c>
      <c r="B1252" t="s">
        <v>2867</v>
      </c>
      <c r="C1252">
        <v>15</v>
      </c>
      <c r="D1252" s="321">
        <v>46113</v>
      </c>
      <c r="E1252" s="321">
        <v>46139</v>
      </c>
      <c r="F1252">
        <v>-45</v>
      </c>
      <c r="G1252" t="s">
        <v>390</v>
      </c>
    </row>
    <row r="1253" spans="1:7">
      <c r="A1253" t="s">
        <v>2868</v>
      </c>
      <c r="B1253" t="s">
        <v>2869</v>
      </c>
      <c r="C1253">
        <v>10</v>
      </c>
      <c r="D1253" s="321">
        <v>46185</v>
      </c>
      <c r="E1253" s="321">
        <v>46198</v>
      </c>
      <c r="F1253">
        <v>112</v>
      </c>
      <c r="G1253" t="s">
        <v>390</v>
      </c>
    </row>
    <row r="1254" spans="1:7">
      <c r="A1254" t="s">
        <v>2870</v>
      </c>
      <c r="B1254" t="s">
        <v>2871</v>
      </c>
      <c r="C1254">
        <v>15</v>
      </c>
      <c r="D1254" s="321">
        <v>46113</v>
      </c>
      <c r="E1254" s="321">
        <v>46139</v>
      </c>
      <c r="F1254">
        <v>-45</v>
      </c>
      <c r="G1254" t="s">
        <v>390</v>
      </c>
    </row>
    <row r="1255" spans="1:7">
      <c r="A1255" t="s">
        <v>2872</v>
      </c>
      <c r="B1255" t="s">
        <v>2873</v>
      </c>
      <c r="C1255">
        <v>10</v>
      </c>
      <c r="D1255" s="321">
        <v>46185</v>
      </c>
      <c r="E1255" s="321">
        <v>46198</v>
      </c>
      <c r="F1255">
        <v>112</v>
      </c>
      <c r="G1255" t="s">
        <v>390</v>
      </c>
    </row>
    <row r="1256" spans="1:7">
      <c r="A1256" t="s">
        <v>2874</v>
      </c>
      <c r="B1256" t="s">
        <v>2875</v>
      </c>
      <c r="C1256">
        <v>15</v>
      </c>
      <c r="D1256" s="321">
        <v>46113</v>
      </c>
      <c r="E1256" s="321">
        <v>46139</v>
      </c>
      <c r="F1256">
        <v>87</v>
      </c>
      <c r="G1256" t="s">
        <v>390</v>
      </c>
    </row>
    <row r="1257" spans="1:7">
      <c r="A1257" t="s">
        <v>2876</v>
      </c>
      <c r="B1257" t="s">
        <v>2877</v>
      </c>
      <c r="C1257">
        <v>10</v>
      </c>
      <c r="D1257" s="321">
        <v>46185</v>
      </c>
      <c r="E1257" s="321">
        <v>46198</v>
      </c>
      <c r="F1257">
        <v>112</v>
      </c>
      <c r="G1257" t="s">
        <v>390</v>
      </c>
    </row>
    <row r="1258" spans="1:7">
      <c r="A1258" t="s">
        <v>2878</v>
      </c>
      <c r="B1258" t="s">
        <v>2879</v>
      </c>
      <c r="C1258">
        <v>15</v>
      </c>
      <c r="D1258" s="321">
        <v>46113</v>
      </c>
      <c r="E1258" s="321">
        <v>46139</v>
      </c>
      <c r="F1258">
        <v>87</v>
      </c>
      <c r="G1258" t="s">
        <v>390</v>
      </c>
    </row>
    <row r="1259" spans="1:7">
      <c r="A1259" t="s">
        <v>2880</v>
      </c>
      <c r="B1259" t="s">
        <v>2881</v>
      </c>
      <c r="C1259">
        <v>10</v>
      </c>
      <c r="D1259" s="321">
        <v>46185</v>
      </c>
      <c r="E1259" s="321">
        <v>46198</v>
      </c>
      <c r="F1259">
        <v>112</v>
      </c>
      <c r="G1259" t="s">
        <v>390</v>
      </c>
    </row>
    <row r="1260" spans="1:7">
      <c r="A1260" t="s">
        <v>2882</v>
      </c>
      <c r="B1260" t="s">
        <v>2883</v>
      </c>
      <c r="C1260">
        <v>15</v>
      </c>
      <c r="D1260" s="321">
        <v>46113</v>
      </c>
      <c r="E1260" s="321">
        <v>46139</v>
      </c>
      <c r="F1260">
        <v>147</v>
      </c>
      <c r="G1260" t="s">
        <v>390</v>
      </c>
    </row>
    <row r="1261" spans="1:7">
      <c r="A1261" t="s">
        <v>2884</v>
      </c>
      <c r="B1261" t="s">
        <v>2885</v>
      </c>
      <c r="C1261">
        <v>10</v>
      </c>
      <c r="D1261" s="321">
        <v>46185</v>
      </c>
      <c r="E1261" s="321">
        <v>46198</v>
      </c>
      <c r="F1261">
        <v>127</v>
      </c>
      <c r="G1261" t="s">
        <v>390</v>
      </c>
    </row>
    <row r="1262" spans="1:7">
      <c r="A1262" t="s">
        <v>2886</v>
      </c>
      <c r="B1262" t="s">
        <v>2887</v>
      </c>
      <c r="C1262">
        <v>15</v>
      </c>
      <c r="D1262" s="321">
        <v>46113</v>
      </c>
      <c r="E1262" s="321">
        <v>46139</v>
      </c>
      <c r="F1262">
        <v>112</v>
      </c>
      <c r="G1262" t="s">
        <v>390</v>
      </c>
    </row>
    <row r="1263" spans="1:7">
      <c r="A1263" t="s">
        <v>2888</v>
      </c>
      <c r="B1263" t="s">
        <v>2889</v>
      </c>
      <c r="C1263">
        <v>10</v>
      </c>
      <c r="D1263" s="321">
        <v>46185</v>
      </c>
      <c r="E1263" s="321">
        <v>46198</v>
      </c>
      <c r="F1263">
        <v>117</v>
      </c>
      <c r="G1263" t="s">
        <v>390</v>
      </c>
    </row>
    <row r="1264" spans="1:7">
      <c r="A1264" t="s">
        <v>2890</v>
      </c>
      <c r="B1264" t="s">
        <v>2891</v>
      </c>
      <c r="C1264">
        <v>15</v>
      </c>
      <c r="D1264" s="321">
        <v>46113</v>
      </c>
      <c r="E1264" s="321">
        <v>46139</v>
      </c>
      <c r="F1264">
        <v>92</v>
      </c>
      <c r="G1264" t="s">
        <v>390</v>
      </c>
    </row>
    <row r="1265" spans="1:7">
      <c r="A1265" t="s">
        <v>2892</v>
      </c>
      <c r="B1265" t="s">
        <v>2893</v>
      </c>
      <c r="C1265">
        <v>10</v>
      </c>
      <c r="D1265" s="321">
        <v>46185</v>
      </c>
      <c r="E1265" s="321">
        <v>46198</v>
      </c>
      <c r="F1265">
        <v>117</v>
      </c>
      <c r="G1265" t="s">
        <v>390</v>
      </c>
    </row>
    <row r="1266" spans="1:7">
      <c r="A1266" t="s">
        <v>2894</v>
      </c>
      <c r="B1266" t="s">
        <v>2895</v>
      </c>
      <c r="C1266">
        <v>15</v>
      </c>
      <c r="D1266" s="321">
        <v>46113</v>
      </c>
      <c r="E1266" s="321">
        <v>46139</v>
      </c>
      <c r="F1266">
        <v>147</v>
      </c>
      <c r="G1266" t="s">
        <v>390</v>
      </c>
    </row>
    <row r="1267" spans="1:7">
      <c r="A1267" t="s">
        <v>2896</v>
      </c>
      <c r="B1267" t="s">
        <v>2897</v>
      </c>
      <c r="C1267">
        <v>10</v>
      </c>
      <c r="D1267" s="321">
        <v>46185</v>
      </c>
      <c r="E1267" s="321">
        <v>46198</v>
      </c>
      <c r="F1267">
        <v>127</v>
      </c>
      <c r="G1267" t="s">
        <v>390</v>
      </c>
    </row>
    <row r="1268" spans="1:7">
      <c r="A1268" t="s">
        <v>2898</v>
      </c>
      <c r="B1268" t="s">
        <v>2899</v>
      </c>
      <c r="C1268">
        <v>15</v>
      </c>
      <c r="D1268" s="321">
        <v>46113</v>
      </c>
      <c r="E1268" s="321">
        <v>46139</v>
      </c>
      <c r="F1268">
        <v>112</v>
      </c>
      <c r="G1268" t="s">
        <v>390</v>
      </c>
    </row>
    <row r="1269" spans="1:7">
      <c r="A1269" t="s">
        <v>2900</v>
      </c>
      <c r="B1269" t="s">
        <v>2901</v>
      </c>
      <c r="C1269">
        <v>5</v>
      </c>
      <c r="D1269" s="321">
        <v>46185</v>
      </c>
      <c r="E1269" s="321">
        <v>46191</v>
      </c>
      <c r="F1269">
        <v>122</v>
      </c>
      <c r="G1269" t="s">
        <v>390</v>
      </c>
    </row>
    <row r="1270" spans="1:7">
      <c r="A1270" t="s">
        <v>2902</v>
      </c>
      <c r="B1270" t="s">
        <v>2903</v>
      </c>
      <c r="C1270">
        <v>15</v>
      </c>
      <c r="D1270" s="321">
        <v>46133</v>
      </c>
      <c r="E1270" s="321">
        <v>46154</v>
      </c>
      <c r="F1270">
        <v>137</v>
      </c>
      <c r="G1270" t="s">
        <v>390</v>
      </c>
    </row>
    <row r="1271" spans="1:7">
      <c r="A1271" t="s">
        <v>2904</v>
      </c>
      <c r="B1271" t="s">
        <v>2905</v>
      </c>
      <c r="C1271">
        <v>10</v>
      </c>
      <c r="D1271" s="321">
        <v>46169</v>
      </c>
      <c r="E1271" s="321">
        <v>46184</v>
      </c>
      <c r="F1271">
        <v>137</v>
      </c>
      <c r="G1271" t="s">
        <v>390</v>
      </c>
    </row>
    <row r="1272" spans="1:7">
      <c r="A1272" t="s">
        <v>2906</v>
      </c>
      <c r="B1272" t="s">
        <v>2907</v>
      </c>
      <c r="C1272">
        <v>15</v>
      </c>
      <c r="D1272" s="321">
        <v>46133</v>
      </c>
      <c r="E1272" s="321">
        <v>46154</v>
      </c>
      <c r="F1272">
        <v>137</v>
      </c>
      <c r="G1272" t="s">
        <v>390</v>
      </c>
    </row>
    <row r="1273" spans="1:7">
      <c r="A1273" t="s">
        <v>2908</v>
      </c>
      <c r="B1273" t="s">
        <v>2909</v>
      </c>
      <c r="C1273">
        <v>10</v>
      </c>
      <c r="D1273" s="321">
        <v>46169</v>
      </c>
      <c r="E1273" s="321">
        <v>46184</v>
      </c>
      <c r="F1273">
        <v>137</v>
      </c>
      <c r="G1273" t="s">
        <v>390</v>
      </c>
    </row>
    <row r="1274" spans="1:7">
      <c r="A1274" t="s">
        <v>2910</v>
      </c>
      <c r="B1274" t="s">
        <v>2911</v>
      </c>
      <c r="C1274">
        <v>15</v>
      </c>
      <c r="D1274" s="321">
        <v>46133</v>
      </c>
      <c r="E1274" s="321">
        <v>46154</v>
      </c>
      <c r="F1274">
        <v>137</v>
      </c>
      <c r="G1274" t="s">
        <v>390</v>
      </c>
    </row>
    <row r="1275" spans="1:7">
      <c r="A1275" t="s">
        <v>2912</v>
      </c>
      <c r="B1275" t="s">
        <v>2913</v>
      </c>
      <c r="C1275">
        <v>10</v>
      </c>
      <c r="D1275" s="321">
        <v>46169</v>
      </c>
      <c r="E1275" s="321">
        <v>46184</v>
      </c>
      <c r="F1275">
        <v>137</v>
      </c>
      <c r="G1275" t="s">
        <v>390</v>
      </c>
    </row>
    <row r="1276" spans="1:7">
      <c r="A1276" t="s">
        <v>2914</v>
      </c>
      <c r="B1276" t="s">
        <v>2915</v>
      </c>
      <c r="C1276">
        <v>15</v>
      </c>
      <c r="D1276" s="321">
        <v>46133</v>
      </c>
      <c r="E1276" s="321">
        <v>46154</v>
      </c>
      <c r="F1276">
        <v>137</v>
      </c>
      <c r="G1276" t="s">
        <v>390</v>
      </c>
    </row>
    <row r="1277" spans="1:7">
      <c r="A1277" t="s">
        <v>2916</v>
      </c>
      <c r="B1277" t="s">
        <v>2917</v>
      </c>
      <c r="C1277">
        <v>10</v>
      </c>
      <c r="D1277" s="321">
        <v>46169</v>
      </c>
      <c r="E1277" s="321">
        <v>46184</v>
      </c>
      <c r="F1277">
        <v>137</v>
      </c>
      <c r="G1277" t="s">
        <v>390</v>
      </c>
    </row>
    <row r="1278" spans="1:7">
      <c r="A1278" t="s">
        <v>2918</v>
      </c>
      <c r="B1278" t="s">
        <v>2919</v>
      </c>
      <c r="C1278">
        <v>15</v>
      </c>
      <c r="D1278" s="321">
        <v>46133</v>
      </c>
      <c r="E1278" s="321">
        <v>46154</v>
      </c>
      <c r="F1278">
        <v>137</v>
      </c>
      <c r="G1278" t="s">
        <v>390</v>
      </c>
    </row>
    <row r="1279" spans="1:7">
      <c r="A1279" t="s">
        <v>2920</v>
      </c>
      <c r="B1279" t="s">
        <v>2921</v>
      </c>
      <c r="C1279">
        <v>10</v>
      </c>
      <c r="D1279" s="321">
        <v>46169</v>
      </c>
      <c r="E1279" s="321">
        <v>46184</v>
      </c>
      <c r="F1279">
        <v>137</v>
      </c>
      <c r="G1279" t="s">
        <v>390</v>
      </c>
    </row>
    <row r="1280" spans="1:7">
      <c r="A1280" t="s">
        <v>2922</v>
      </c>
      <c r="B1280" t="s">
        <v>2923</v>
      </c>
      <c r="C1280">
        <v>15</v>
      </c>
      <c r="D1280" s="321">
        <v>46113</v>
      </c>
      <c r="E1280" s="321">
        <v>46139</v>
      </c>
      <c r="F1280">
        <v>147</v>
      </c>
      <c r="G1280" t="s">
        <v>390</v>
      </c>
    </row>
    <row r="1281" spans="1:7">
      <c r="A1281" t="s">
        <v>2924</v>
      </c>
      <c r="B1281" t="s">
        <v>2925</v>
      </c>
      <c r="C1281">
        <v>10</v>
      </c>
      <c r="D1281" s="321">
        <v>46155</v>
      </c>
      <c r="E1281" s="321">
        <v>46168</v>
      </c>
      <c r="F1281">
        <v>147</v>
      </c>
      <c r="G1281" t="s">
        <v>390</v>
      </c>
    </row>
    <row r="1282" spans="1:7">
      <c r="A1282" t="s">
        <v>2926</v>
      </c>
      <c r="B1282" t="s">
        <v>2927</v>
      </c>
      <c r="C1282">
        <v>15</v>
      </c>
      <c r="D1282" s="321">
        <v>46140</v>
      </c>
      <c r="E1282" s="321">
        <v>46161</v>
      </c>
      <c r="F1282">
        <v>112</v>
      </c>
      <c r="G1282" t="s">
        <v>390</v>
      </c>
    </row>
    <row r="1283" spans="1:7">
      <c r="A1283" t="s">
        <v>2928</v>
      </c>
      <c r="B1283" t="s">
        <v>2929</v>
      </c>
      <c r="C1283">
        <v>10</v>
      </c>
      <c r="D1283" s="321">
        <v>46206</v>
      </c>
      <c r="E1283" s="321">
        <v>46219</v>
      </c>
      <c r="F1283">
        <v>112</v>
      </c>
      <c r="G1283" t="s">
        <v>390</v>
      </c>
    </row>
    <row r="1284" spans="1:7">
      <c r="A1284" t="s">
        <v>2930</v>
      </c>
      <c r="B1284" t="s">
        <v>2931</v>
      </c>
      <c r="C1284">
        <v>15</v>
      </c>
      <c r="D1284" s="321">
        <v>46199</v>
      </c>
      <c r="E1284" s="321">
        <v>46219</v>
      </c>
      <c r="F1284">
        <v>72</v>
      </c>
      <c r="G1284" t="s">
        <v>390</v>
      </c>
    </row>
    <row r="1285" spans="1:7">
      <c r="A1285" t="s">
        <v>2932</v>
      </c>
      <c r="B1285" t="s">
        <v>2933</v>
      </c>
      <c r="C1285">
        <v>10</v>
      </c>
      <c r="D1285" s="321">
        <v>46239</v>
      </c>
      <c r="E1285" s="321">
        <v>46253</v>
      </c>
      <c r="F1285">
        <v>72</v>
      </c>
      <c r="G1285" t="s">
        <v>390</v>
      </c>
    </row>
    <row r="1286" spans="1:7">
      <c r="A1286" t="s">
        <v>2934</v>
      </c>
      <c r="B1286" t="s">
        <v>2935</v>
      </c>
      <c r="C1286">
        <v>10</v>
      </c>
      <c r="D1286" s="321">
        <v>46268</v>
      </c>
      <c r="E1286" s="321">
        <v>46281</v>
      </c>
      <c r="F1286">
        <v>72</v>
      </c>
      <c r="G1286" t="s">
        <v>390</v>
      </c>
    </row>
    <row r="1287" spans="1:7">
      <c r="A1287" t="s">
        <v>2936</v>
      </c>
      <c r="B1287" t="s">
        <v>2937</v>
      </c>
      <c r="C1287">
        <v>15</v>
      </c>
      <c r="D1287" s="321">
        <v>46199</v>
      </c>
      <c r="E1287" s="321">
        <v>46219</v>
      </c>
      <c r="F1287">
        <v>42</v>
      </c>
      <c r="G1287" t="s">
        <v>390</v>
      </c>
    </row>
    <row r="1288" spans="1:7">
      <c r="A1288" t="s">
        <v>2938</v>
      </c>
      <c r="B1288" t="s">
        <v>2939</v>
      </c>
      <c r="C1288">
        <v>10</v>
      </c>
      <c r="D1288" s="321">
        <v>46268</v>
      </c>
      <c r="E1288" s="321">
        <v>46281</v>
      </c>
      <c r="F1288">
        <v>52</v>
      </c>
      <c r="G1288" t="s">
        <v>390</v>
      </c>
    </row>
    <row r="1289" spans="1:7">
      <c r="A1289" t="s">
        <v>2940</v>
      </c>
      <c r="B1289" t="s">
        <v>2941</v>
      </c>
      <c r="C1289">
        <v>15</v>
      </c>
      <c r="D1289" s="321">
        <v>46148</v>
      </c>
      <c r="E1289" s="321">
        <v>46168</v>
      </c>
      <c r="F1289">
        <v>92</v>
      </c>
      <c r="G1289" t="s">
        <v>390</v>
      </c>
    </row>
    <row r="1290" spans="1:7">
      <c r="A1290" t="s">
        <v>2942</v>
      </c>
      <c r="B1290" t="s">
        <v>2943</v>
      </c>
      <c r="C1290">
        <v>10</v>
      </c>
      <c r="D1290" s="321">
        <v>46213</v>
      </c>
      <c r="E1290" s="321">
        <v>46226</v>
      </c>
      <c r="F1290">
        <v>77</v>
      </c>
      <c r="G1290" t="s">
        <v>390</v>
      </c>
    </row>
    <row r="1291" spans="1:7">
      <c r="A1291" t="s">
        <v>2944</v>
      </c>
      <c r="B1291" t="s">
        <v>2945</v>
      </c>
      <c r="C1291">
        <v>10</v>
      </c>
      <c r="D1291" s="321">
        <v>46275</v>
      </c>
      <c r="E1291" s="321">
        <v>46288</v>
      </c>
      <c r="F1291">
        <v>57</v>
      </c>
      <c r="G1291" t="s">
        <v>390</v>
      </c>
    </row>
    <row r="1292" spans="1:7">
      <c r="A1292" t="s">
        <v>2946</v>
      </c>
      <c r="B1292" t="s">
        <v>2947</v>
      </c>
      <c r="C1292">
        <v>15</v>
      </c>
      <c r="D1292" s="321">
        <v>46199</v>
      </c>
      <c r="E1292" s="321">
        <v>46219</v>
      </c>
      <c r="F1292">
        <v>42</v>
      </c>
      <c r="G1292" t="s">
        <v>390</v>
      </c>
    </row>
    <row r="1293" spans="1:7">
      <c r="A1293" t="s">
        <v>2948</v>
      </c>
      <c r="B1293" t="s">
        <v>2949</v>
      </c>
      <c r="C1293">
        <v>10</v>
      </c>
      <c r="D1293" s="321">
        <v>46247</v>
      </c>
      <c r="E1293" s="321">
        <v>46260</v>
      </c>
      <c r="F1293">
        <v>47</v>
      </c>
      <c r="G1293" t="s">
        <v>390</v>
      </c>
    </row>
    <row r="1294" spans="1:7">
      <c r="A1294" t="s">
        <v>2950</v>
      </c>
      <c r="B1294" t="s">
        <v>2951</v>
      </c>
      <c r="C1294">
        <v>10</v>
      </c>
      <c r="D1294" s="321">
        <v>46275</v>
      </c>
      <c r="E1294" s="321">
        <v>46288</v>
      </c>
      <c r="F1294">
        <v>47</v>
      </c>
      <c r="G1294" t="s">
        <v>390</v>
      </c>
    </row>
    <row r="1295" spans="1:7">
      <c r="A1295" t="s">
        <v>2952</v>
      </c>
      <c r="B1295" t="s">
        <v>2953</v>
      </c>
      <c r="C1295">
        <v>15</v>
      </c>
      <c r="D1295" s="321">
        <v>46199</v>
      </c>
      <c r="E1295" s="321">
        <v>46219</v>
      </c>
      <c r="F1295">
        <v>72</v>
      </c>
      <c r="G1295" t="s">
        <v>390</v>
      </c>
    </row>
    <row r="1296" spans="1:7">
      <c r="A1296" t="s">
        <v>2954</v>
      </c>
      <c r="B1296" t="s">
        <v>2955</v>
      </c>
      <c r="C1296">
        <v>10</v>
      </c>
      <c r="D1296" s="321">
        <v>46275</v>
      </c>
      <c r="E1296" s="321">
        <v>46288</v>
      </c>
      <c r="F1296">
        <v>67</v>
      </c>
      <c r="G1296" t="s">
        <v>390</v>
      </c>
    </row>
    <row r="1297" spans="1:7">
      <c r="A1297" t="s">
        <v>2956</v>
      </c>
      <c r="B1297" t="s">
        <v>2957</v>
      </c>
      <c r="C1297">
        <v>15</v>
      </c>
      <c r="D1297" s="321">
        <v>46199</v>
      </c>
      <c r="E1297" s="321">
        <v>46219</v>
      </c>
      <c r="F1297">
        <v>72</v>
      </c>
      <c r="G1297" t="s">
        <v>390</v>
      </c>
    </row>
    <row r="1298" spans="1:7">
      <c r="A1298" t="s">
        <v>2958</v>
      </c>
      <c r="B1298" t="s">
        <v>2959</v>
      </c>
      <c r="C1298">
        <v>10</v>
      </c>
      <c r="D1298" s="321">
        <v>46239</v>
      </c>
      <c r="E1298" s="321">
        <v>46253</v>
      </c>
      <c r="F1298">
        <v>72</v>
      </c>
      <c r="G1298" t="s">
        <v>390</v>
      </c>
    </row>
    <row r="1299" spans="1:7">
      <c r="A1299" t="s">
        <v>2960</v>
      </c>
      <c r="B1299" t="s">
        <v>2961</v>
      </c>
      <c r="C1299">
        <v>10</v>
      </c>
      <c r="D1299" s="321">
        <v>46268</v>
      </c>
      <c r="E1299" s="321">
        <v>46281</v>
      </c>
      <c r="F1299">
        <v>72</v>
      </c>
      <c r="G1299" t="s">
        <v>390</v>
      </c>
    </row>
    <row r="1300" spans="1:7">
      <c r="A1300" t="s">
        <v>2962</v>
      </c>
      <c r="B1300" t="s">
        <v>2963</v>
      </c>
      <c r="C1300">
        <v>15</v>
      </c>
      <c r="D1300" s="321">
        <v>46220</v>
      </c>
      <c r="E1300" s="321">
        <v>46245</v>
      </c>
      <c r="F1300">
        <v>42</v>
      </c>
      <c r="G1300" t="s">
        <v>390</v>
      </c>
    </row>
    <row r="1301" spans="1:7">
      <c r="A1301" t="s">
        <v>2964</v>
      </c>
      <c r="B1301" t="s">
        <v>2965</v>
      </c>
      <c r="C1301">
        <v>10</v>
      </c>
      <c r="D1301" s="321">
        <v>46289</v>
      </c>
      <c r="E1301" s="321">
        <v>46302</v>
      </c>
      <c r="F1301">
        <v>47</v>
      </c>
      <c r="G1301" t="s">
        <v>390</v>
      </c>
    </row>
    <row r="1302" spans="1:7">
      <c r="A1302" t="s">
        <v>2966</v>
      </c>
      <c r="B1302" t="s">
        <v>2967</v>
      </c>
      <c r="C1302">
        <v>15</v>
      </c>
      <c r="D1302" s="321">
        <v>46220</v>
      </c>
      <c r="E1302" s="321">
        <v>46245</v>
      </c>
      <c r="F1302">
        <v>57</v>
      </c>
      <c r="G1302" t="s">
        <v>390</v>
      </c>
    </row>
    <row r="1303" spans="1:7">
      <c r="A1303" t="s">
        <v>2968</v>
      </c>
      <c r="B1303" t="s">
        <v>2969</v>
      </c>
      <c r="C1303">
        <v>10</v>
      </c>
      <c r="D1303" s="321">
        <v>46289</v>
      </c>
      <c r="E1303" s="321">
        <v>46302</v>
      </c>
      <c r="F1303">
        <v>57</v>
      </c>
      <c r="G1303" t="s">
        <v>390</v>
      </c>
    </row>
    <row r="1304" spans="1:7">
      <c r="A1304" t="s">
        <v>2970</v>
      </c>
      <c r="B1304" t="s">
        <v>2971</v>
      </c>
      <c r="C1304">
        <v>15</v>
      </c>
      <c r="D1304" s="321">
        <v>46247</v>
      </c>
      <c r="E1304" s="321">
        <v>46267</v>
      </c>
      <c r="F1304">
        <v>42</v>
      </c>
      <c r="G1304" t="s">
        <v>390</v>
      </c>
    </row>
    <row r="1305" spans="1:7">
      <c r="A1305" t="s">
        <v>2972</v>
      </c>
      <c r="B1305" t="s">
        <v>2973</v>
      </c>
      <c r="C1305">
        <v>10</v>
      </c>
      <c r="D1305" s="321">
        <v>46282</v>
      </c>
      <c r="E1305" s="321">
        <v>46295</v>
      </c>
      <c r="F1305">
        <v>42</v>
      </c>
      <c r="G1305" t="s">
        <v>390</v>
      </c>
    </row>
    <row r="1306" spans="1:7">
      <c r="A1306" t="s">
        <v>2974</v>
      </c>
      <c r="B1306" t="s">
        <v>2975</v>
      </c>
      <c r="C1306">
        <v>10</v>
      </c>
      <c r="D1306" s="321">
        <v>46311</v>
      </c>
      <c r="E1306" s="321">
        <v>46325</v>
      </c>
      <c r="F1306">
        <v>42</v>
      </c>
      <c r="G1306" t="s">
        <v>390</v>
      </c>
    </row>
    <row r="1307" spans="1:7">
      <c r="A1307" t="s">
        <v>2976</v>
      </c>
      <c r="B1307" t="s">
        <v>2977</v>
      </c>
      <c r="C1307">
        <v>15</v>
      </c>
      <c r="D1307" s="321">
        <v>46199</v>
      </c>
      <c r="E1307" s="321">
        <v>46219</v>
      </c>
      <c r="F1307">
        <v>72</v>
      </c>
      <c r="G1307" t="s">
        <v>390</v>
      </c>
    </row>
    <row r="1308" spans="1:7">
      <c r="A1308" t="s">
        <v>2978</v>
      </c>
      <c r="B1308" t="s">
        <v>2979</v>
      </c>
      <c r="C1308">
        <v>10</v>
      </c>
      <c r="D1308" s="321">
        <v>46239</v>
      </c>
      <c r="E1308" s="321">
        <v>46253</v>
      </c>
      <c r="F1308">
        <v>72</v>
      </c>
      <c r="G1308" t="s">
        <v>390</v>
      </c>
    </row>
    <row r="1309" spans="1:7">
      <c r="A1309" t="s">
        <v>2980</v>
      </c>
      <c r="B1309" t="s">
        <v>2981</v>
      </c>
      <c r="C1309">
        <v>10</v>
      </c>
      <c r="D1309" s="321">
        <v>46268</v>
      </c>
      <c r="E1309" s="321">
        <v>46281</v>
      </c>
      <c r="F1309">
        <v>72</v>
      </c>
      <c r="G1309" t="s">
        <v>390</v>
      </c>
    </row>
    <row r="1310" spans="1:7">
      <c r="A1310" t="s">
        <v>2982</v>
      </c>
      <c r="B1310" t="s">
        <v>2983</v>
      </c>
      <c r="C1310">
        <v>15</v>
      </c>
      <c r="D1310" s="321">
        <v>46199</v>
      </c>
      <c r="E1310" s="321">
        <v>46219</v>
      </c>
      <c r="F1310">
        <v>72</v>
      </c>
      <c r="G1310" t="s">
        <v>390</v>
      </c>
    </row>
    <row r="1311" spans="1:7">
      <c r="A1311" t="s">
        <v>2984</v>
      </c>
      <c r="B1311" t="s">
        <v>2985</v>
      </c>
      <c r="C1311">
        <v>10</v>
      </c>
      <c r="D1311" s="321">
        <v>46239</v>
      </c>
      <c r="E1311" s="321">
        <v>46253</v>
      </c>
      <c r="F1311">
        <v>72</v>
      </c>
      <c r="G1311" t="s">
        <v>390</v>
      </c>
    </row>
    <row r="1312" spans="1:7">
      <c r="A1312" t="s">
        <v>2986</v>
      </c>
      <c r="B1312" t="s">
        <v>2987</v>
      </c>
      <c r="C1312">
        <v>10</v>
      </c>
      <c r="D1312" s="321">
        <v>46268</v>
      </c>
      <c r="E1312" s="321">
        <v>46281</v>
      </c>
      <c r="F1312">
        <v>72</v>
      </c>
      <c r="G1312" t="s">
        <v>390</v>
      </c>
    </row>
    <row r="1313" spans="1:7">
      <c r="A1313" t="s">
        <v>2988</v>
      </c>
      <c r="B1313" t="s">
        <v>2989</v>
      </c>
      <c r="C1313">
        <v>15</v>
      </c>
      <c r="D1313" s="321">
        <v>46199</v>
      </c>
      <c r="E1313" s="321">
        <v>46219</v>
      </c>
      <c r="F1313">
        <v>72</v>
      </c>
      <c r="G1313" t="s">
        <v>390</v>
      </c>
    </row>
    <row r="1314" spans="1:7">
      <c r="A1314" t="s">
        <v>2990</v>
      </c>
      <c r="B1314" t="s">
        <v>2991</v>
      </c>
      <c r="C1314">
        <v>10</v>
      </c>
      <c r="D1314" s="321">
        <v>46239</v>
      </c>
      <c r="E1314" s="321">
        <v>46253</v>
      </c>
      <c r="F1314">
        <v>72</v>
      </c>
      <c r="G1314" t="s">
        <v>390</v>
      </c>
    </row>
    <row r="1315" spans="1:7">
      <c r="A1315" t="s">
        <v>2992</v>
      </c>
      <c r="B1315" t="s">
        <v>2993</v>
      </c>
      <c r="C1315">
        <v>10</v>
      </c>
      <c r="D1315" s="321">
        <v>46268</v>
      </c>
      <c r="E1315" s="321">
        <v>46281</v>
      </c>
      <c r="F1315">
        <v>72</v>
      </c>
      <c r="G1315" t="s">
        <v>390</v>
      </c>
    </row>
    <row r="1316" spans="1:7">
      <c r="A1316" t="s">
        <v>2994</v>
      </c>
      <c r="B1316" t="s">
        <v>2995</v>
      </c>
      <c r="C1316">
        <v>15</v>
      </c>
      <c r="D1316" s="321">
        <v>46199</v>
      </c>
      <c r="E1316" s="321">
        <v>46219</v>
      </c>
      <c r="F1316">
        <v>72</v>
      </c>
      <c r="G1316" t="s">
        <v>390</v>
      </c>
    </row>
    <row r="1317" spans="1:7">
      <c r="A1317" t="s">
        <v>2996</v>
      </c>
      <c r="B1317" t="s">
        <v>2997</v>
      </c>
      <c r="C1317">
        <v>10</v>
      </c>
      <c r="D1317" s="321">
        <v>46268</v>
      </c>
      <c r="E1317" s="321">
        <v>46281</v>
      </c>
      <c r="F1317">
        <v>72</v>
      </c>
      <c r="G1317" t="s">
        <v>390</v>
      </c>
    </row>
    <row r="1318" spans="1:7">
      <c r="A1318" t="s">
        <v>2998</v>
      </c>
      <c r="B1318" t="s">
        <v>2999</v>
      </c>
      <c r="C1318">
        <v>15</v>
      </c>
      <c r="D1318" s="321">
        <v>46220</v>
      </c>
      <c r="E1318" s="321">
        <v>46245</v>
      </c>
      <c r="F1318">
        <v>42</v>
      </c>
      <c r="G1318" t="s">
        <v>390</v>
      </c>
    </row>
    <row r="1319" spans="1:7">
      <c r="A1319" t="s">
        <v>3000</v>
      </c>
      <c r="B1319" t="s">
        <v>3001</v>
      </c>
      <c r="C1319">
        <v>10</v>
      </c>
      <c r="D1319" s="321">
        <v>46289</v>
      </c>
      <c r="E1319" s="321">
        <v>46302</v>
      </c>
      <c r="F1319">
        <v>47</v>
      </c>
      <c r="G1319" t="s">
        <v>390</v>
      </c>
    </row>
    <row r="1320" spans="1:7">
      <c r="A1320" t="s">
        <v>3002</v>
      </c>
      <c r="B1320" t="s">
        <v>3003</v>
      </c>
      <c r="C1320">
        <v>15</v>
      </c>
      <c r="D1320" s="321">
        <v>46220</v>
      </c>
      <c r="E1320" s="321">
        <v>46245</v>
      </c>
      <c r="F1320">
        <v>42</v>
      </c>
      <c r="G1320" t="s">
        <v>390</v>
      </c>
    </row>
    <row r="1321" spans="1:7">
      <c r="A1321" t="s">
        <v>3004</v>
      </c>
      <c r="B1321" t="s">
        <v>3005</v>
      </c>
      <c r="C1321">
        <v>10</v>
      </c>
      <c r="D1321" s="321">
        <v>46289</v>
      </c>
      <c r="E1321" s="321">
        <v>46302</v>
      </c>
      <c r="F1321">
        <v>47</v>
      </c>
      <c r="G1321" t="s">
        <v>390</v>
      </c>
    </row>
    <row r="1322" spans="1:7">
      <c r="A1322" t="s">
        <v>3006</v>
      </c>
      <c r="B1322" t="s">
        <v>3007</v>
      </c>
      <c r="C1322">
        <v>15</v>
      </c>
      <c r="D1322" s="321">
        <v>46220</v>
      </c>
      <c r="E1322" s="321">
        <v>46245</v>
      </c>
      <c r="F1322">
        <v>42</v>
      </c>
      <c r="G1322" t="s">
        <v>390</v>
      </c>
    </row>
    <row r="1323" spans="1:7">
      <c r="A1323" t="s">
        <v>3008</v>
      </c>
      <c r="B1323" t="s">
        <v>3009</v>
      </c>
      <c r="C1323">
        <v>10</v>
      </c>
      <c r="D1323" s="321">
        <v>46289</v>
      </c>
      <c r="E1323" s="321">
        <v>46302</v>
      </c>
      <c r="F1323">
        <v>47</v>
      </c>
      <c r="G1323" t="s">
        <v>390</v>
      </c>
    </row>
    <row r="1324" spans="1:7">
      <c r="A1324" t="s">
        <v>3010</v>
      </c>
      <c r="B1324" t="s">
        <v>3011</v>
      </c>
      <c r="C1324">
        <v>15</v>
      </c>
      <c r="D1324" s="321">
        <v>46140</v>
      </c>
      <c r="E1324" s="321">
        <v>46161</v>
      </c>
      <c r="F1324">
        <v>112</v>
      </c>
      <c r="G1324" t="s">
        <v>390</v>
      </c>
    </row>
    <row r="1325" spans="1:7">
      <c r="A1325" t="s">
        <v>3012</v>
      </c>
      <c r="B1325" t="s">
        <v>3013</v>
      </c>
      <c r="C1325">
        <v>10</v>
      </c>
      <c r="D1325" s="321">
        <v>46206</v>
      </c>
      <c r="E1325" s="321">
        <v>46219</v>
      </c>
      <c r="F1325">
        <v>112</v>
      </c>
      <c r="G1325" t="s">
        <v>390</v>
      </c>
    </row>
    <row r="1326" spans="1:7">
      <c r="A1326" t="s">
        <v>3014</v>
      </c>
      <c r="B1326" t="s">
        <v>3015</v>
      </c>
      <c r="C1326">
        <v>15</v>
      </c>
      <c r="D1326" s="321">
        <v>46199</v>
      </c>
      <c r="E1326" s="321">
        <v>46219</v>
      </c>
      <c r="F1326">
        <v>72</v>
      </c>
      <c r="G1326" t="s">
        <v>390</v>
      </c>
    </row>
    <row r="1327" spans="1:7">
      <c r="A1327" t="s">
        <v>3016</v>
      </c>
      <c r="B1327" t="s">
        <v>3017</v>
      </c>
      <c r="C1327">
        <v>10</v>
      </c>
      <c r="D1327" s="321">
        <v>46239</v>
      </c>
      <c r="E1327" s="321">
        <v>46253</v>
      </c>
      <c r="F1327">
        <v>72</v>
      </c>
      <c r="G1327" t="s">
        <v>390</v>
      </c>
    </row>
    <row r="1328" spans="1:7">
      <c r="A1328" t="s">
        <v>3018</v>
      </c>
      <c r="B1328" t="s">
        <v>3019</v>
      </c>
      <c r="C1328">
        <v>10</v>
      </c>
      <c r="D1328" s="321">
        <v>46268</v>
      </c>
      <c r="E1328" s="321">
        <v>46281</v>
      </c>
      <c r="F1328">
        <v>72</v>
      </c>
      <c r="G1328" t="s">
        <v>390</v>
      </c>
    </row>
    <row r="1329" spans="1:7">
      <c r="A1329" t="s">
        <v>3020</v>
      </c>
      <c r="B1329" t="s">
        <v>3021</v>
      </c>
      <c r="C1329">
        <v>15</v>
      </c>
      <c r="D1329" s="321">
        <v>46199</v>
      </c>
      <c r="E1329" s="321">
        <v>46219</v>
      </c>
      <c r="F1329">
        <v>72</v>
      </c>
      <c r="G1329" t="s">
        <v>390</v>
      </c>
    </row>
    <row r="1330" spans="1:7">
      <c r="A1330" t="s">
        <v>3022</v>
      </c>
      <c r="B1330" t="s">
        <v>3023</v>
      </c>
      <c r="C1330">
        <v>10</v>
      </c>
      <c r="D1330" s="321">
        <v>46239</v>
      </c>
      <c r="E1330" s="321">
        <v>46253</v>
      </c>
      <c r="F1330">
        <v>72</v>
      </c>
      <c r="G1330" t="s">
        <v>390</v>
      </c>
    </row>
    <row r="1331" spans="1:7">
      <c r="A1331" t="s">
        <v>3024</v>
      </c>
      <c r="B1331" t="s">
        <v>3025</v>
      </c>
      <c r="C1331">
        <v>10</v>
      </c>
      <c r="D1331" s="321">
        <v>46268</v>
      </c>
      <c r="E1331" s="321">
        <v>46281</v>
      </c>
      <c r="F1331">
        <v>72</v>
      </c>
      <c r="G1331" t="s">
        <v>390</v>
      </c>
    </row>
    <row r="1332" spans="1:7">
      <c r="A1332" t="s">
        <v>3026</v>
      </c>
      <c r="B1332" t="s">
        <v>3027</v>
      </c>
      <c r="C1332">
        <v>15</v>
      </c>
      <c r="D1332" s="321">
        <v>46148</v>
      </c>
      <c r="E1332" s="321">
        <v>46168</v>
      </c>
      <c r="F1332">
        <v>107</v>
      </c>
      <c r="G1332" t="s">
        <v>390</v>
      </c>
    </row>
    <row r="1333" spans="1:7">
      <c r="A1333" t="s">
        <v>3028</v>
      </c>
      <c r="B1333" t="s">
        <v>3029</v>
      </c>
      <c r="C1333">
        <v>10</v>
      </c>
      <c r="D1333" s="321">
        <v>46213</v>
      </c>
      <c r="E1333" s="321">
        <v>46226</v>
      </c>
      <c r="F1333">
        <v>87</v>
      </c>
      <c r="G1333" t="s">
        <v>390</v>
      </c>
    </row>
    <row r="1334" spans="1:7">
      <c r="A1334" t="s">
        <v>3030</v>
      </c>
      <c r="B1334" t="s">
        <v>3031</v>
      </c>
      <c r="C1334">
        <v>10</v>
      </c>
      <c r="D1334" s="321">
        <v>46275</v>
      </c>
      <c r="E1334" s="321">
        <v>46288</v>
      </c>
      <c r="F1334">
        <v>67</v>
      </c>
      <c r="G1334" t="s">
        <v>390</v>
      </c>
    </row>
    <row r="1335" spans="1:7">
      <c r="A1335" t="s">
        <v>3032</v>
      </c>
      <c r="B1335" t="s">
        <v>3033</v>
      </c>
      <c r="C1335">
        <v>15</v>
      </c>
      <c r="D1335" s="321">
        <v>46199</v>
      </c>
      <c r="E1335" s="321">
        <v>46219</v>
      </c>
      <c r="F1335">
        <v>72</v>
      </c>
      <c r="G1335" t="s">
        <v>390</v>
      </c>
    </row>
    <row r="1336" spans="1:7">
      <c r="A1336" t="s">
        <v>3034</v>
      </c>
      <c r="B1336" t="s">
        <v>3035</v>
      </c>
      <c r="C1336">
        <v>10</v>
      </c>
      <c r="D1336" s="321">
        <v>46239</v>
      </c>
      <c r="E1336" s="321">
        <v>46253</v>
      </c>
      <c r="F1336">
        <v>72</v>
      </c>
      <c r="G1336" t="s">
        <v>390</v>
      </c>
    </row>
    <row r="1337" spans="1:7">
      <c r="A1337" t="s">
        <v>3036</v>
      </c>
      <c r="B1337" t="s">
        <v>3037</v>
      </c>
      <c r="C1337">
        <v>10</v>
      </c>
      <c r="D1337" s="321">
        <v>46275</v>
      </c>
      <c r="E1337" s="321">
        <v>46288</v>
      </c>
      <c r="F1337">
        <v>67</v>
      </c>
      <c r="G1337" t="s">
        <v>390</v>
      </c>
    </row>
    <row r="1338" spans="1:7">
      <c r="A1338" t="s">
        <v>3038</v>
      </c>
      <c r="B1338" t="s">
        <v>3039</v>
      </c>
      <c r="C1338">
        <v>15</v>
      </c>
      <c r="D1338" s="321">
        <v>46199</v>
      </c>
      <c r="E1338" s="321">
        <v>46219</v>
      </c>
      <c r="F1338">
        <v>72</v>
      </c>
      <c r="G1338" t="s">
        <v>390</v>
      </c>
    </row>
    <row r="1339" spans="1:7">
      <c r="A1339" t="s">
        <v>3040</v>
      </c>
      <c r="B1339" t="s">
        <v>3041</v>
      </c>
      <c r="C1339">
        <v>10</v>
      </c>
      <c r="D1339" s="321">
        <v>46268</v>
      </c>
      <c r="E1339" s="321">
        <v>46281</v>
      </c>
      <c r="F1339">
        <v>72</v>
      </c>
      <c r="G1339" t="s">
        <v>390</v>
      </c>
    </row>
    <row r="1340" spans="1:7">
      <c r="A1340" t="s">
        <v>3042</v>
      </c>
      <c r="B1340" t="s">
        <v>3043</v>
      </c>
      <c r="C1340">
        <v>15</v>
      </c>
      <c r="D1340" s="321">
        <v>46199</v>
      </c>
      <c r="E1340" s="321">
        <v>46219</v>
      </c>
      <c r="F1340">
        <v>72</v>
      </c>
      <c r="G1340" t="s">
        <v>390</v>
      </c>
    </row>
    <row r="1341" spans="1:7">
      <c r="A1341" t="s">
        <v>3044</v>
      </c>
      <c r="B1341" t="s">
        <v>3045</v>
      </c>
      <c r="C1341">
        <v>10</v>
      </c>
      <c r="D1341" s="321">
        <v>46239</v>
      </c>
      <c r="E1341" s="321">
        <v>46253</v>
      </c>
      <c r="F1341">
        <v>72</v>
      </c>
      <c r="G1341" t="s">
        <v>390</v>
      </c>
    </row>
    <row r="1342" spans="1:7">
      <c r="A1342" t="s">
        <v>3046</v>
      </c>
      <c r="B1342" t="s">
        <v>3047</v>
      </c>
      <c r="C1342">
        <v>10</v>
      </c>
      <c r="D1342" s="321">
        <v>46268</v>
      </c>
      <c r="E1342" s="321">
        <v>46281</v>
      </c>
      <c r="F1342">
        <v>72</v>
      </c>
      <c r="G1342" t="s">
        <v>390</v>
      </c>
    </row>
    <row r="1343" spans="1:7">
      <c r="A1343" t="s">
        <v>3048</v>
      </c>
      <c r="B1343" t="s">
        <v>3049</v>
      </c>
      <c r="C1343">
        <v>15</v>
      </c>
      <c r="D1343" s="321">
        <v>46220</v>
      </c>
      <c r="E1343" s="321">
        <v>46245</v>
      </c>
      <c r="F1343">
        <v>57</v>
      </c>
      <c r="G1343" t="s">
        <v>390</v>
      </c>
    </row>
    <row r="1344" spans="1:7">
      <c r="A1344" t="s">
        <v>3050</v>
      </c>
      <c r="B1344" t="s">
        <v>3051</v>
      </c>
      <c r="C1344">
        <v>10</v>
      </c>
      <c r="D1344" s="321">
        <v>46289</v>
      </c>
      <c r="E1344" s="321">
        <v>46302</v>
      </c>
      <c r="F1344">
        <v>57</v>
      </c>
      <c r="G1344" t="s">
        <v>390</v>
      </c>
    </row>
    <row r="1345" spans="1:7">
      <c r="A1345" t="s">
        <v>3052</v>
      </c>
      <c r="B1345" t="s">
        <v>3053</v>
      </c>
      <c r="C1345">
        <v>15</v>
      </c>
      <c r="D1345" s="321">
        <v>46220</v>
      </c>
      <c r="E1345" s="321">
        <v>46245</v>
      </c>
      <c r="F1345">
        <v>57</v>
      </c>
      <c r="G1345" t="s">
        <v>390</v>
      </c>
    </row>
    <row r="1346" spans="1:7">
      <c r="A1346" t="s">
        <v>3054</v>
      </c>
      <c r="B1346" t="s">
        <v>3055</v>
      </c>
      <c r="C1346">
        <v>10</v>
      </c>
      <c r="D1346" s="321">
        <v>46289</v>
      </c>
      <c r="E1346" s="321">
        <v>46302</v>
      </c>
      <c r="F1346">
        <v>57</v>
      </c>
      <c r="G1346" t="s">
        <v>390</v>
      </c>
    </row>
    <row r="1347" spans="1:7">
      <c r="A1347" t="s">
        <v>3056</v>
      </c>
      <c r="B1347" t="s">
        <v>3057</v>
      </c>
      <c r="C1347">
        <v>15</v>
      </c>
      <c r="D1347" s="321">
        <v>46247</v>
      </c>
      <c r="E1347" s="321">
        <v>46267</v>
      </c>
      <c r="F1347">
        <v>42</v>
      </c>
      <c r="G1347" t="s">
        <v>390</v>
      </c>
    </row>
    <row r="1348" spans="1:7">
      <c r="A1348" t="s">
        <v>3058</v>
      </c>
      <c r="B1348" t="s">
        <v>3059</v>
      </c>
      <c r="C1348">
        <v>10</v>
      </c>
      <c r="D1348" s="321">
        <v>46282</v>
      </c>
      <c r="E1348" s="321">
        <v>46295</v>
      </c>
      <c r="F1348">
        <v>42</v>
      </c>
      <c r="G1348" t="s">
        <v>390</v>
      </c>
    </row>
    <row r="1349" spans="1:7">
      <c r="A1349" t="s">
        <v>3060</v>
      </c>
      <c r="B1349" t="s">
        <v>3061</v>
      </c>
      <c r="C1349">
        <v>10</v>
      </c>
      <c r="D1349" s="321">
        <v>46311</v>
      </c>
      <c r="E1349" s="321">
        <v>46325</v>
      </c>
      <c r="F1349">
        <v>42</v>
      </c>
      <c r="G1349" t="s">
        <v>390</v>
      </c>
    </row>
    <row r="1350" spans="1:7">
      <c r="A1350" t="s">
        <v>3062</v>
      </c>
      <c r="B1350" t="s">
        <v>3063</v>
      </c>
      <c r="C1350">
        <v>15</v>
      </c>
      <c r="D1350" s="321">
        <v>46199</v>
      </c>
      <c r="E1350" s="321">
        <v>46219</v>
      </c>
      <c r="F1350">
        <v>72</v>
      </c>
      <c r="G1350" t="s">
        <v>390</v>
      </c>
    </row>
    <row r="1351" spans="1:7">
      <c r="A1351" t="s">
        <v>3064</v>
      </c>
      <c r="B1351" t="s">
        <v>3065</v>
      </c>
      <c r="C1351">
        <v>10</v>
      </c>
      <c r="D1351" s="321">
        <v>46239</v>
      </c>
      <c r="E1351" s="321">
        <v>46253</v>
      </c>
      <c r="F1351">
        <v>72</v>
      </c>
      <c r="G1351" t="s">
        <v>390</v>
      </c>
    </row>
    <row r="1352" spans="1:7">
      <c r="A1352" t="s">
        <v>3066</v>
      </c>
      <c r="B1352" t="s">
        <v>3067</v>
      </c>
      <c r="C1352">
        <v>10</v>
      </c>
      <c r="D1352" s="321">
        <v>46268</v>
      </c>
      <c r="E1352" s="321">
        <v>46281</v>
      </c>
      <c r="F1352">
        <v>72</v>
      </c>
      <c r="G1352" t="s">
        <v>390</v>
      </c>
    </row>
    <row r="1353" spans="1:7">
      <c r="A1353" t="s">
        <v>3068</v>
      </c>
      <c r="B1353" t="s">
        <v>3069</v>
      </c>
      <c r="C1353">
        <v>15</v>
      </c>
      <c r="D1353" s="321">
        <v>46199</v>
      </c>
      <c r="E1353" s="321">
        <v>46219</v>
      </c>
      <c r="F1353">
        <v>72</v>
      </c>
      <c r="G1353" t="s">
        <v>390</v>
      </c>
    </row>
    <row r="1354" spans="1:7">
      <c r="A1354" t="s">
        <v>3070</v>
      </c>
      <c r="B1354" t="s">
        <v>3071</v>
      </c>
      <c r="C1354">
        <v>10</v>
      </c>
      <c r="D1354" s="321">
        <v>46239</v>
      </c>
      <c r="E1354" s="321">
        <v>46253</v>
      </c>
      <c r="F1354">
        <v>72</v>
      </c>
      <c r="G1354" t="s">
        <v>390</v>
      </c>
    </row>
    <row r="1355" spans="1:7">
      <c r="A1355" t="s">
        <v>3072</v>
      </c>
      <c r="B1355" t="s">
        <v>3073</v>
      </c>
      <c r="C1355">
        <v>10</v>
      </c>
      <c r="D1355" s="321">
        <v>46268</v>
      </c>
      <c r="E1355" s="321">
        <v>46281</v>
      </c>
      <c r="F1355">
        <v>72</v>
      </c>
      <c r="G1355" t="s">
        <v>390</v>
      </c>
    </row>
    <row r="1356" spans="1:7">
      <c r="A1356" t="s">
        <v>3074</v>
      </c>
      <c r="B1356" t="s">
        <v>3075</v>
      </c>
      <c r="C1356">
        <v>15</v>
      </c>
      <c r="D1356" s="321">
        <v>46199</v>
      </c>
      <c r="E1356" s="321">
        <v>46219</v>
      </c>
      <c r="F1356">
        <v>72</v>
      </c>
      <c r="G1356" t="s">
        <v>390</v>
      </c>
    </row>
    <row r="1357" spans="1:7">
      <c r="A1357" t="s">
        <v>3076</v>
      </c>
      <c r="B1357" t="s">
        <v>3077</v>
      </c>
      <c r="C1357">
        <v>10</v>
      </c>
      <c r="D1357" s="321">
        <v>46268</v>
      </c>
      <c r="E1357" s="321">
        <v>46281</v>
      </c>
      <c r="F1357">
        <v>72</v>
      </c>
      <c r="G1357" t="s">
        <v>390</v>
      </c>
    </row>
    <row r="1358" spans="1:7">
      <c r="A1358" t="s">
        <v>3078</v>
      </c>
      <c r="B1358" t="s">
        <v>3079</v>
      </c>
      <c r="C1358">
        <v>15</v>
      </c>
      <c r="D1358" s="321">
        <v>46199</v>
      </c>
      <c r="E1358" s="321">
        <v>46219</v>
      </c>
      <c r="F1358">
        <v>72</v>
      </c>
      <c r="G1358" t="s">
        <v>390</v>
      </c>
    </row>
    <row r="1359" spans="1:7">
      <c r="A1359" t="s">
        <v>3080</v>
      </c>
      <c r="B1359" t="s">
        <v>3081</v>
      </c>
      <c r="C1359">
        <v>10</v>
      </c>
      <c r="D1359" s="321">
        <v>46268</v>
      </c>
      <c r="E1359" s="321">
        <v>46281</v>
      </c>
      <c r="F1359">
        <v>72</v>
      </c>
      <c r="G1359" t="s">
        <v>390</v>
      </c>
    </row>
    <row r="1360" spans="1:7">
      <c r="A1360" t="s">
        <v>3082</v>
      </c>
      <c r="B1360" t="s">
        <v>3083</v>
      </c>
      <c r="C1360">
        <v>15</v>
      </c>
      <c r="D1360" s="321">
        <v>46220</v>
      </c>
      <c r="E1360" s="321">
        <v>46245</v>
      </c>
      <c r="F1360">
        <v>57</v>
      </c>
      <c r="G1360" t="s">
        <v>390</v>
      </c>
    </row>
    <row r="1361" spans="1:7">
      <c r="A1361" t="s">
        <v>3084</v>
      </c>
      <c r="B1361" t="s">
        <v>3085</v>
      </c>
      <c r="C1361">
        <v>10</v>
      </c>
      <c r="D1361" s="321">
        <v>46289</v>
      </c>
      <c r="E1361" s="321">
        <v>46302</v>
      </c>
      <c r="F1361">
        <v>57</v>
      </c>
      <c r="G1361" t="s">
        <v>390</v>
      </c>
    </row>
    <row r="1362" spans="1:7">
      <c r="A1362" t="s">
        <v>3086</v>
      </c>
      <c r="B1362" t="s">
        <v>3087</v>
      </c>
      <c r="C1362">
        <v>15</v>
      </c>
      <c r="D1362" s="321">
        <v>46220</v>
      </c>
      <c r="E1362" s="321">
        <v>46245</v>
      </c>
      <c r="F1362">
        <v>57</v>
      </c>
      <c r="G1362" t="s">
        <v>390</v>
      </c>
    </row>
    <row r="1363" spans="1:7">
      <c r="A1363" t="s">
        <v>3088</v>
      </c>
      <c r="B1363" t="s">
        <v>3089</v>
      </c>
      <c r="C1363">
        <v>10</v>
      </c>
      <c r="D1363" s="321">
        <v>46289</v>
      </c>
      <c r="E1363" s="321">
        <v>46302</v>
      </c>
      <c r="F1363">
        <v>57</v>
      </c>
      <c r="G1363" t="s">
        <v>390</v>
      </c>
    </row>
    <row r="1364" spans="1:7">
      <c r="A1364" t="s">
        <v>3090</v>
      </c>
      <c r="B1364" t="s">
        <v>3091</v>
      </c>
      <c r="C1364">
        <v>15</v>
      </c>
      <c r="D1364" s="321">
        <v>46220</v>
      </c>
      <c r="E1364" s="321">
        <v>46245</v>
      </c>
      <c r="F1364">
        <v>57</v>
      </c>
      <c r="G1364" t="s">
        <v>390</v>
      </c>
    </row>
    <row r="1365" spans="1:7">
      <c r="A1365" t="s">
        <v>3092</v>
      </c>
      <c r="B1365" t="s">
        <v>3093</v>
      </c>
      <c r="C1365">
        <v>10</v>
      </c>
      <c r="D1365" s="321">
        <v>46289</v>
      </c>
      <c r="E1365" s="321">
        <v>46302</v>
      </c>
      <c r="F1365">
        <v>57</v>
      </c>
      <c r="G1365" t="s">
        <v>390</v>
      </c>
    </row>
    <row r="1366" spans="1:7">
      <c r="A1366" t="s">
        <v>3094</v>
      </c>
      <c r="B1366" t="s">
        <v>3095</v>
      </c>
      <c r="C1366">
        <v>15</v>
      </c>
      <c r="D1366" s="321">
        <v>46178</v>
      </c>
      <c r="E1366" s="321">
        <v>46198</v>
      </c>
      <c r="F1366">
        <v>72</v>
      </c>
      <c r="G1366" t="s">
        <v>390</v>
      </c>
    </row>
    <row r="1367" spans="1:7">
      <c r="A1367" t="s">
        <v>3096</v>
      </c>
      <c r="B1367" t="s">
        <v>3097</v>
      </c>
      <c r="C1367">
        <v>10</v>
      </c>
      <c r="D1367" s="321">
        <v>46213</v>
      </c>
      <c r="E1367" s="321">
        <v>46226</v>
      </c>
      <c r="F1367">
        <v>77</v>
      </c>
      <c r="G1367" t="s">
        <v>390</v>
      </c>
    </row>
    <row r="1368" spans="1:7">
      <c r="A1368" t="s">
        <v>3098</v>
      </c>
      <c r="B1368" t="s">
        <v>3099</v>
      </c>
      <c r="C1368">
        <v>10</v>
      </c>
      <c r="D1368" s="321">
        <v>46247</v>
      </c>
      <c r="E1368" s="321">
        <v>46260</v>
      </c>
      <c r="F1368">
        <v>77</v>
      </c>
      <c r="G1368" t="s">
        <v>390</v>
      </c>
    </row>
    <row r="1369" spans="1:7">
      <c r="A1369" t="s">
        <v>3100</v>
      </c>
      <c r="B1369" t="s">
        <v>3101</v>
      </c>
      <c r="C1369">
        <v>15</v>
      </c>
      <c r="D1369" s="321">
        <v>46178</v>
      </c>
      <c r="E1369" s="321">
        <v>46198</v>
      </c>
      <c r="F1369">
        <v>72</v>
      </c>
      <c r="G1369" t="s">
        <v>390</v>
      </c>
    </row>
    <row r="1370" spans="1:7">
      <c r="A1370" t="s">
        <v>3102</v>
      </c>
      <c r="B1370" t="s">
        <v>3103</v>
      </c>
      <c r="C1370">
        <v>10</v>
      </c>
      <c r="D1370" s="321">
        <v>46213</v>
      </c>
      <c r="E1370" s="321">
        <v>46226</v>
      </c>
      <c r="F1370">
        <v>77</v>
      </c>
      <c r="G1370" t="s">
        <v>390</v>
      </c>
    </row>
    <row r="1371" spans="1:7">
      <c r="A1371" t="s">
        <v>3104</v>
      </c>
      <c r="B1371" t="s">
        <v>3105</v>
      </c>
      <c r="C1371">
        <v>10</v>
      </c>
      <c r="D1371" s="321">
        <v>46247</v>
      </c>
      <c r="E1371" s="321">
        <v>46260</v>
      </c>
      <c r="F1371">
        <v>77</v>
      </c>
      <c r="G1371" t="s">
        <v>390</v>
      </c>
    </row>
    <row r="1372" spans="1:7">
      <c r="A1372" t="s">
        <v>3106</v>
      </c>
      <c r="B1372" t="s">
        <v>3107</v>
      </c>
      <c r="C1372">
        <v>15</v>
      </c>
      <c r="D1372" s="321">
        <v>46178</v>
      </c>
      <c r="E1372" s="321">
        <v>46198</v>
      </c>
      <c r="F1372">
        <v>72</v>
      </c>
      <c r="G1372" t="s">
        <v>390</v>
      </c>
    </row>
    <row r="1373" spans="1:7">
      <c r="A1373" t="s">
        <v>3108</v>
      </c>
      <c r="B1373" t="s">
        <v>3109</v>
      </c>
      <c r="C1373">
        <v>10</v>
      </c>
      <c r="D1373" s="321">
        <v>46213</v>
      </c>
      <c r="E1373" s="321">
        <v>46226</v>
      </c>
      <c r="F1373">
        <v>77</v>
      </c>
      <c r="G1373" t="s">
        <v>390</v>
      </c>
    </row>
    <row r="1374" spans="1:7">
      <c r="A1374" t="s">
        <v>3110</v>
      </c>
      <c r="B1374" t="s">
        <v>3111</v>
      </c>
      <c r="C1374">
        <v>10</v>
      </c>
      <c r="D1374" s="321">
        <v>46247</v>
      </c>
      <c r="E1374" s="321">
        <v>46260</v>
      </c>
      <c r="F1374">
        <v>77</v>
      </c>
      <c r="G1374" t="s">
        <v>390</v>
      </c>
    </row>
    <row r="1375" spans="1:7">
      <c r="A1375" t="s">
        <v>3112</v>
      </c>
      <c r="B1375" t="s">
        <v>3113</v>
      </c>
      <c r="C1375">
        <v>15</v>
      </c>
      <c r="D1375" s="321">
        <v>46199</v>
      </c>
      <c r="E1375" s="321">
        <v>46219</v>
      </c>
      <c r="F1375">
        <v>72</v>
      </c>
      <c r="G1375" t="s">
        <v>390</v>
      </c>
    </row>
    <row r="1376" spans="1:7">
      <c r="A1376" t="s">
        <v>3114</v>
      </c>
      <c r="B1376" t="s">
        <v>3115</v>
      </c>
      <c r="C1376">
        <v>10</v>
      </c>
      <c r="D1376" s="321">
        <v>46239</v>
      </c>
      <c r="E1376" s="321">
        <v>46253</v>
      </c>
      <c r="F1376">
        <v>72</v>
      </c>
      <c r="G1376" t="s">
        <v>390</v>
      </c>
    </row>
    <row r="1377" spans="1:7">
      <c r="A1377" t="s">
        <v>3116</v>
      </c>
      <c r="B1377" t="s">
        <v>3117</v>
      </c>
      <c r="C1377">
        <v>10</v>
      </c>
      <c r="D1377" s="321">
        <v>46268</v>
      </c>
      <c r="E1377" s="321">
        <v>46281</v>
      </c>
      <c r="F1377">
        <v>72</v>
      </c>
      <c r="G1377" t="s">
        <v>390</v>
      </c>
    </row>
    <row r="1378" spans="1:7">
      <c r="A1378" t="s">
        <v>3118</v>
      </c>
      <c r="B1378" t="s">
        <v>3119</v>
      </c>
      <c r="C1378">
        <v>15</v>
      </c>
      <c r="D1378" s="321">
        <v>46199</v>
      </c>
      <c r="E1378" s="321">
        <v>46219</v>
      </c>
      <c r="F1378">
        <v>72</v>
      </c>
      <c r="G1378" t="s">
        <v>390</v>
      </c>
    </row>
    <row r="1379" spans="1:7">
      <c r="A1379" t="s">
        <v>3120</v>
      </c>
      <c r="B1379" t="s">
        <v>3121</v>
      </c>
      <c r="C1379">
        <v>10</v>
      </c>
      <c r="D1379" s="321">
        <v>46239</v>
      </c>
      <c r="E1379" s="321">
        <v>46253</v>
      </c>
      <c r="F1379">
        <v>72</v>
      </c>
      <c r="G1379" t="s">
        <v>390</v>
      </c>
    </row>
    <row r="1380" spans="1:7">
      <c r="A1380" t="s">
        <v>3122</v>
      </c>
      <c r="B1380" t="s">
        <v>3123</v>
      </c>
      <c r="C1380">
        <v>10</v>
      </c>
      <c r="D1380" s="321">
        <v>46268</v>
      </c>
      <c r="E1380" s="321">
        <v>46281</v>
      </c>
      <c r="F1380">
        <v>72</v>
      </c>
      <c r="G1380" t="s">
        <v>390</v>
      </c>
    </row>
    <row r="1381" spans="1:7">
      <c r="A1381" t="s">
        <v>3124</v>
      </c>
      <c r="B1381" t="s">
        <v>3125</v>
      </c>
      <c r="C1381">
        <v>15</v>
      </c>
      <c r="D1381" s="321">
        <v>46199</v>
      </c>
      <c r="E1381" s="321">
        <v>46219</v>
      </c>
      <c r="F1381">
        <v>72</v>
      </c>
      <c r="G1381" t="s">
        <v>390</v>
      </c>
    </row>
    <row r="1382" spans="1:7">
      <c r="A1382" t="s">
        <v>3126</v>
      </c>
      <c r="B1382" t="s">
        <v>3127</v>
      </c>
      <c r="C1382">
        <v>10</v>
      </c>
      <c r="D1382" s="321">
        <v>46239</v>
      </c>
      <c r="E1382" s="321">
        <v>46253</v>
      </c>
      <c r="F1382">
        <v>72</v>
      </c>
      <c r="G1382" t="s">
        <v>390</v>
      </c>
    </row>
    <row r="1383" spans="1:7">
      <c r="A1383" t="s">
        <v>3128</v>
      </c>
      <c r="B1383" t="s">
        <v>3129</v>
      </c>
      <c r="C1383">
        <v>10</v>
      </c>
      <c r="D1383" s="321">
        <v>46268</v>
      </c>
      <c r="E1383" s="321">
        <v>46281</v>
      </c>
      <c r="F1383">
        <v>72</v>
      </c>
      <c r="G1383" t="s">
        <v>390</v>
      </c>
    </row>
    <row r="1384" spans="1:7">
      <c r="A1384" t="s">
        <v>3130</v>
      </c>
      <c r="B1384" t="s">
        <v>3131</v>
      </c>
      <c r="C1384">
        <v>15</v>
      </c>
      <c r="D1384" s="321">
        <v>46178</v>
      </c>
      <c r="E1384" s="321">
        <v>46198</v>
      </c>
      <c r="F1384">
        <v>87</v>
      </c>
      <c r="G1384" t="s">
        <v>390</v>
      </c>
    </row>
    <row r="1385" spans="1:7">
      <c r="A1385" t="s">
        <v>3132</v>
      </c>
      <c r="B1385" t="s">
        <v>3133</v>
      </c>
      <c r="C1385">
        <v>10</v>
      </c>
      <c r="D1385" s="321">
        <v>46213</v>
      </c>
      <c r="E1385" s="321">
        <v>46226</v>
      </c>
      <c r="F1385">
        <v>87</v>
      </c>
      <c r="G1385" t="s">
        <v>390</v>
      </c>
    </row>
    <row r="1386" spans="1:7">
      <c r="A1386" t="s">
        <v>3134</v>
      </c>
      <c r="B1386" t="s">
        <v>3135</v>
      </c>
      <c r="C1386">
        <v>10</v>
      </c>
      <c r="D1386" s="321">
        <v>46247</v>
      </c>
      <c r="E1386" s="321">
        <v>46260</v>
      </c>
      <c r="F1386">
        <v>87</v>
      </c>
      <c r="G1386" t="s">
        <v>390</v>
      </c>
    </row>
    <row r="1387" spans="1:7">
      <c r="A1387" t="s">
        <v>3136</v>
      </c>
      <c r="B1387" t="s">
        <v>3137</v>
      </c>
      <c r="C1387">
        <v>15</v>
      </c>
      <c r="D1387" s="321">
        <v>46178</v>
      </c>
      <c r="E1387" s="321">
        <v>46198</v>
      </c>
      <c r="F1387">
        <v>87</v>
      </c>
      <c r="G1387" t="s">
        <v>390</v>
      </c>
    </row>
    <row r="1388" spans="1:7">
      <c r="A1388" t="s">
        <v>3138</v>
      </c>
      <c r="B1388" t="s">
        <v>3139</v>
      </c>
      <c r="C1388">
        <v>10</v>
      </c>
      <c r="D1388" s="321">
        <v>46213</v>
      </c>
      <c r="E1388" s="321">
        <v>46226</v>
      </c>
      <c r="F1388">
        <v>87</v>
      </c>
      <c r="G1388" t="s">
        <v>390</v>
      </c>
    </row>
    <row r="1389" spans="1:7">
      <c r="A1389" t="s">
        <v>3140</v>
      </c>
      <c r="B1389" t="s">
        <v>3141</v>
      </c>
      <c r="C1389">
        <v>10</v>
      </c>
      <c r="D1389" s="321">
        <v>46247</v>
      </c>
      <c r="E1389" s="321">
        <v>46260</v>
      </c>
      <c r="F1389">
        <v>87</v>
      </c>
      <c r="G1389" t="s">
        <v>390</v>
      </c>
    </row>
    <row r="1390" spans="1:7">
      <c r="A1390" t="s">
        <v>3142</v>
      </c>
      <c r="B1390" t="s">
        <v>3143</v>
      </c>
      <c r="C1390">
        <v>15</v>
      </c>
      <c r="D1390" s="321">
        <v>46178</v>
      </c>
      <c r="E1390" s="321">
        <v>46198</v>
      </c>
      <c r="F1390">
        <v>87</v>
      </c>
      <c r="G1390" t="s">
        <v>390</v>
      </c>
    </row>
    <row r="1391" spans="1:7">
      <c r="A1391" t="s">
        <v>3144</v>
      </c>
      <c r="B1391" t="s">
        <v>3145</v>
      </c>
      <c r="C1391">
        <v>10</v>
      </c>
      <c r="D1391" s="321">
        <v>46213</v>
      </c>
      <c r="E1391" s="321">
        <v>46226</v>
      </c>
      <c r="F1391">
        <v>87</v>
      </c>
      <c r="G1391" t="s">
        <v>390</v>
      </c>
    </row>
    <row r="1392" spans="1:7">
      <c r="A1392" t="s">
        <v>3146</v>
      </c>
      <c r="B1392" t="s">
        <v>3147</v>
      </c>
      <c r="C1392">
        <v>10</v>
      </c>
      <c r="D1392" s="321">
        <v>46247</v>
      </c>
      <c r="E1392" s="321">
        <v>46260</v>
      </c>
      <c r="F1392">
        <v>87</v>
      </c>
      <c r="G1392" t="s">
        <v>390</v>
      </c>
    </row>
    <row r="1393" spans="1:7">
      <c r="A1393" t="s">
        <v>3148</v>
      </c>
      <c r="B1393" t="s">
        <v>3149</v>
      </c>
      <c r="C1393">
        <v>15</v>
      </c>
      <c r="D1393" s="321">
        <v>46199</v>
      </c>
      <c r="E1393" s="321">
        <v>46219</v>
      </c>
      <c r="F1393">
        <v>72</v>
      </c>
      <c r="G1393" t="s">
        <v>390</v>
      </c>
    </row>
    <row r="1394" spans="1:7">
      <c r="A1394" t="s">
        <v>3150</v>
      </c>
      <c r="B1394" t="s">
        <v>3151</v>
      </c>
      <c r="C1394">
        <v>10</v>
      </c>
      <c r="D1394" s="321">
        <v>46239</v>
      </c>
      <c r="E1394" s="321">
        <v>46253</v>
      </c>
      <c r="F1394">
        <v>72</v>
      </c>
      <c r="G1394" t="s">
        <v>390</v>
      </c>
    </row>
    <row r="1395" spans="1:7">
      <c r="A1395" t="s">
        <v>3152</v>
      </c>
      <c r="B1395" t="s">
        <v>3153</v>
      </c>
      <c r="C1395">
        <v>10</v>
      </c>
      <c r="D1395" s="321">
        <v>46268</v>
      </c>
      <c r="E1395" s="321">
        <v>46281</v>
      </c>
      <c r="F1395">
        <v>72</v>
      </c>
      <c r="G1395" t="s">
        <v>390</v>
      </c>
    </row>
    <row r="1396" spans="1:7">
      <c r="A1396" t="s">
        <v>3154</v>
      </c>
      <c r="B1396" t="s">
        <v>3155</v>
      </c>
      <c r="C1396">
        <v>15</v>
      </c>
      <c r="D1396" s="321">
        <v>46199</v>
      </c>
      <c r="E1396" s="321">
        <v>46219</v>
      </c>
      <c r="F1396">
        <v>72</v>
      </c>
      <c r="G1396" t="s">
        <v>390</v>
      </c>
    </row>
    <row r="1397" spans="1:7">
      <c r="A1397" t="s">
        <v>3156</v>
      </c>
      <c r="B1397" t="s">
        <v>3157</v>
      </c>
      <c r="C1397">
        <v>10</v>
      </c>
      <c r="D1397" s="321">
        <v>46239</v>
      </c>
      <c r="E1397" s="321">
        <v>46253</v>
      </c>
      <c r="F1397">
        <v>72</v>
      </c>
      <c r="G1397" t="s">
        <v>390</v>
      </c>
    </row>
    <row r="1398" spans="1:7">
      <c r="A1398" t="s">
        <v>3158</v>
      </c>
      <c r="B1398" t="s">
        <v>3159</v>
      </c>
      <c r="C1398">
        <v>10</v>
      </c>
      <c r="D1398" s="321">
        <v>46268</v>
      </c>
      <c r="E1398" s="321">
        <v>46281</v>
      </c>
      <c r="F1398">
        <v>72</v>
      </c>
      <c r="G1398" t="s">
        <v>390</v>
      </c>
    </row>
    <row r="1399" spans="1:7">
      <c r="A1399" t="s">
        <v>3160</v>
      </c>
      <c r="B1399" t="s">
        <v>3161</v>
      </c>
      <c r="C1399">
        <v>15</v>
      </c>
      <c r="D1399" s="321">
        <v>46199</v>
      </c>
      <c r="E1399" s="321">
        <v>46219</v>
      </c>
      <c r="F1399">
        <v>72</v>
      </c>
      <c r="G1399" t="s">
        <v>390</v>
      </c>
    </row>
    <row r="1400" spans="1:7">
      <c r="A1400" t="s">
        <v>3162</v>
      </c>
      <c r="B1400" t="s">
        <v>3163</v>
      </c>
      <c r="C1400">
        <v>10</v>
      </c>
      <c r="D1400" s="321">
        <v>46239</v>
      </c>
      <c r="E1400" s="321">
        <v>46253</v>
      </c>
      <c r="F1400">
        <v>72</v>
      </c>
      <c r="G1400" t="s">
        <v>390</v>
      </c>
    </row>
    <row r="1401" spans="1:7">
      <c r="A1401" t="s">
        <v>3164</v>
      </c>
      <c r="B1401" t="s">
        <v>3165</v>
      </c>
      <c r="C1401">
        <v>10</v>
      </c>
      <c r="D1401" s="321">
        <v>46268</v>
      </c>
      <c r="E1401" s="321">
        <v>46281</v>
      </c>
      <c r="F1401">
        <v>72</v>
      </c>
      <c r="G1401" t="s">
        <v>390</v>
      </c>
    </row>
    <row r="1402" spans="1:7">
      <c r="A1402" t="s">
        <v>3166</v>
      </c>
      <c r="C1402">
        <v>126</v>
      </c>
      <c r="D1402" s="321">
        <v>46112</v>
      </c>
      <c r="E1402" s="321">
        <v>46302</v>
      </c>
      <c r="F1402">
        <v>57</v>
      </c>
      <c r="G1402" t="s">
        <v>390</v>
      </c>
    </row>
    <row r="1403" spans="1:7">
      <c r="A1403" t="s">
        <v>3167</v>
      </c>
      <c r="B1403" t="s">
        <v>3168</v>
      </c>
      <c r="C1403">
        <v>15</v>
      </c>
      <c r="D1403" s="321">
        <v>46148</v>
      </c>
      <c r="E1403" s="321">
        <v>46168</v>
      </c>
      <c r="F1403">
        <v>36</v>
      </c>
      <c r="G1403" t="s">
        <v>390</v>
      </c>
    </row>
    <row r="1404" spans="1:7">
      <c r="A1404" t="s">
        <v>3169</v>
      </c>
      <c r="B1404" t="s">
        <v>3170</v>
      </c>
      <c r="C1404">
        <v>10</v>
      </c>
      <c r="D1404" s="321">
        <v>46185</v>
      </c>
      <c r="E1404" s="321">
        <v>46198</v>
      </c>
      <c r="F1404">
        <v>102</v>
      </c>
      <c r="G1404" t="s">
        <v>390</v>
      </c>
    </row>
    <row r="1405" spans="1:7">
      <c r="A1405" t="s">
        <v>3171</v>
      </c>
      <c r="B1405" t="s">
        <v>3172</v>
      </c>
      <c r="C1405">
        <v>10</v>
      </c>
      <c r="D1405" s="321">
        <v>46213</v>
      </c>
      <c r="E1405" s="321">
        <v>46226</v>
      </c>
      <c r="F1405">
        <v>102</v>
      </c>
      <c r="G1405" t="s">
        <v>390</v>
      </c>
    </row>
    <row r="1406" spans="1:7">
      <c r="A1406" t="s">
        <v>3173</v>
      </c>
      <c r="B1406" t="s">
        <v>3174</v>
      </c>
      <c r="C1406">
        <v>15</v>
      </c>
      <c r="D1406" s="321">
        <v>46112</v>
      </c>
      <c r="E1406" s="321">
        <v>46136</v>
      </c>
      <c r="F1406">
        <v>0</v>
      </c>
      <c r="G1406" t="s">
        <v>390</v>
      </c>
    </row>
    <row r="1407" spans="1:7">
      <c r="A1407" t="s">
        <v>3175</v>
      </c>
      <c r="B1407" t="s">
        <v>3176</v>
      </c>
      <c r="C1407">
        <v>10</v>
      </c>
      <c r="D1407" s="321">
        <v>46154</v>
      </c>
      <c r="E1407" s="321">
        <v>46167</v>
      </c>
      <c r="F1407">
        <v>34</v>
      </c>
      <c r="G1407" t="s">
        <v>390</v>
      </c>
    </row>
    <row r="1408" spans="1:7">
      <c r="A1408" t="s">
        <v>3177</v>
      </c>
      <c r="B1408" t="s">
        <v>3178</v>
      </c>
      <c r="C1408">
        <v>10</v>
      </c>
      <c r="D1408" s="321">
        <v>46185</v>
      </c>
      <c r="E1408" s="321">
        <v>46198</v>
      </c>
      <c r="F1408">
        <v>33</v>
      </c>
      <c r="G1408" t="s">
        <v>390</v>
      </c>
    </row>
    <row r="1409" spans="1:7">
      <c r="A1409" t="s">
        <v>3179</v>
      </c>
      <c r="B1409" t="s">
        <v>3180</v>
      </c>
      <c r="C1409">
        <v>15</v>
      </c>
      <c r="D1409" s="321">
        <v>46148</v>
      </c>
      <c r="E1409" s="321">
        <v>46168</v>
      </c>
      <c r="F1409">
        <v>36</v>
      </c>
      <c r="G1409" t="s">
        <v>390</v>
      </c>
    </row>
    <row r="1410" spans="1:7">
      <c r="A1410" t="s">
        <v>3181</v>
      </c>
      <c r="B1410" t="s">
        <v>3182</v>
      </c>
      <c r="C1410">
        <v>10</v>
      </c>
      <c r="D1410" s="321">
        <v>46185</v>
      </c>
      <c r="E1410" s="321">
        <v>46198</v>
      </c>
      <c r="F1410">
        <v>102</v>
      </c>
      <c r="G1410" t="s">
        <v>390</v>
      </c>
    </row>
    <row r="1411" spans="1:7">
      <c r="A1411" t="s">
        <v>3183</v>
      </c>
      <c r="B1411" t="s">
        <v>3184</v>
      </c>
      <c r="C1411">
        <v>10</v>
      </c>
      <c r="D1411" s="321">
        <v>46213</v>
      </c>
      <c r="E1411" s="321">
        <v>46226</v>
      </c>
      <c r="F1411">
        <v>102</v>
      </c>
      <c r="G1411" t="s">
        <v>390</v>
      </c>
    </row>
    <row r="1412" spans="1:7">
      <c r="A1412" t="s">
        <v>3185</v>
      </c>
      <c r="B1412" t="s">
        <v>3186</v>
      </c>
      <c r="C1412">
        <v>10</v>
      </c>
      <c r="D1412" s="321">
        <v>46132</v>
      </c>
      <c r="E1412" s="321">
        <v>46146</v>
      </c>
      <c r="F1412">
        <v>-45</v>
      </c>
      <c r="G1412" t="s">
        <v>390</v>
      </c>
    </row>
    <row r="1413" spans="1:7">
      <c r="A1413" t="s">
        <v>3187</v>
      </c>
      <c r="B1413" t="s">
        <v>3188</v>
      </c>
      <c r="C1413">
        <v>10</v>
      </c>
      <c r="D1413" s="321">
        <v>46161</v>
      </c>
      <c r="E1413" s="321">
        <v>46175</v>
      </c>
      <c r="F1413">
        <v>123</v>
      </c>
      <c r="G1413" t="s">
        <v>390</v>
      </c>
    </row>
    <row r="1414" spans="1:7">
      <c r="A1414" t="s">
        <v>3189</v>
      </c>
      <c r="B1414" t="s">
        <v>3190</v>
      </c>
      <c r="C1414">
        <v>5</v>
      </c>
      <c r="D1414" s="321">
        <v>46199</v>
      </c>
      <c r="E1414" s="321">
        <v>46205</v>
      </c>
      <c r="F1414">
        <v>117</v>
      </c>
      <c r="G1414" t="s">
        <v>390</v>
      </c>
    </row>
    <row r="1415" spans="1:7">
      <c r="A1415" t="s">
        <v>3191</v>
      </c>
      <c r="B1415" t="s">
        <v>3192</v>
      </c>
      <c r="C1415">
        <v>15</v>
      </c>
      <c r="D1415" s="321">
        <v>46199</v>
      </c>
      <c r="E1415" s="321">
        <v>46219</v>
      </c>
      <c r="F1415">
        <v>47</v>
      </c>
      <c r="G1415" t="s">
        <v>390</v>
      </c>
    </row>
    <row r="1416" spans="1:7">
      <c r="A1416" t="s">
        <v>3193</v>
      </c>
      <c r="B1416" t="s">
        <v>3194</v>
      </c>
      <c r="C1416">
        <v>10</v>
      </c>
      <c r="D1416" s="321">
        <v>46268</v>
      </c>
      <c r="E1416" s="321">
        <v>46281</v>
      </c>
      <c r="F1416">
        <v>67</v>
      </c>
      <c r="G1416" t="s">
        <v>390</v>
      </c>
    </row>
    <row r="1417" spans="1:7">
      <c r="A1417" t="s">
        <v>3195</v>
      </c>
      <c r="B1417" t="s">
        <v>3196</v>
      </c>
      <c r="C1417">
        <v>15</v>
      </c>
      <c r="D1417" s="321">
        <v>46220</v>
      </c>
      <c r="E1417" s="321">
        <v>46245</v>
      </c>
      <c r="F1417">
        <v>32</v>
      </c>
      <c r="G1417" t="s">
        <v>390</v>
      </c>
    </row>
    <row r="1418" spans="1:7">
      <c r="A1418" t="s">
        <v>3197</v>
      </c>
      <c r="B1418" t="s">
        <v>3198</v>
      </c>
      <c r="C1418">
        <v>10</v>
      </c>
      <c r="D1418" s="321">
        <v>46289</v>
      </c>
      <c r="E1418" s="321">
        <v>46302</v>
      </c>
      <c r="F1418">
        <v>52</v>
      </c>
      <c r="G1418" t="s">
        <v>390</v>
      </c>
    </row>
    <row r="1419" spans="1:7">
      <c r="A1419" t="s">
        <v>3199</v>
      </c>
      <c r="B1419" t="s">
        <v>3200</v>
      </c>
      <c r="C1419">
        <v>15</v>
      </c>
      <c r="D1419" s="321">
        <v>46199</v>
      </c>
      <c r="E1419" s="321">
        <v>46219</v>
      </c>
      <c r="F1419">
        <v>47</v>
      </c>
      <c r="G1419" t="s">
        <v>390</v>
      </c>
    </row>
    <row r="1420" spans="1:7">
      <c r="A1420" t="s">
        <v>3201</v>
      </c>
      <c r="B1420" t="s">
        <v>3202</v>
      </c>
      <c r="C1420">
        <v>10</v>
      </c>
      <c r="D1420" s="321">
        <v>46239</v>
      </c>
      <c r="E1420" s="321">
        <v>46253</v>
      </c>
      <c r="F1420">
        <v>67</v>
      </c>
      <c r="G1420" t="s">
        <v>390</v>
      </c>
    </row>
    <row r="1421" spans="1:7">
      <c r="A1421" t="s">
        <v>3203</v>
      </c>
      <c r="B1421" t="s">
        <v>3204</v>
      </c>
      <c r="C1421">
        <v>10</v>
      </c>
      <c r="D1421" s="321">
        <v>46268</v>
      </c>
      <c r="E1421" s="321">
        <v>46281</v>
      </c>
      <c r="F1421">
        <v>67</v>
      </c>
      <c r="G1421" t="s">
        <v>390</v>
      </c>
    </row>
    <row r="1422" spans="1:7">
      <c r="A1422" t="s">
        <v>3205</v>
      </c>
      <c r="B1422" t="s">
        <v>3206</v>
      </c>
      <c r="C1422">
        <v>15</v>
      </c>
      <c r="D1422" s="321">
        <v>46148</v>
      </c>
      <c r="E1422" s="321">
        <v>46168</v>
      </c>
      <c r="F1422">
        <v>63</v>
      </c>
      <c r="G1422" t="s">
        <v>390</v>
      </c>
    </row>
    <row r="1423" spans="1:7">
      <c r="A1423" t="s">
        <v>3207</v>
      </c>
      <c r="B1423" t="s">
        <v>3208</v>
      </c>
      <c r="C1423">
        <v>10</v>
      </c>
      <c r="D1423" s="321">
        <v>46185</v>
      </c>
      <c r="E1423" s="321">
        <v>46198</v>
      </c>
      <c r="F1423">
        <v>102</v>
      </c>
      <c r="G1423" t="s">
        <v>390</v>
      </c>
    </row>
    <row r="1424" spans="1:7">
      <c r="A1424" t="s">
        <v>3209</v>
      </c>
      <c r="B1424" t="s">
        <v>3210</v>
      </c>
      <c r="C1424">
        <v>10</v>
      </c>
      <c r="D1424" s="321">
        <v>46213</v>
      </c>
      <c r="E1424" s="321">
        <v>46226</v>
      </c>
      <c r="F1424">
        <v>102</v>
      </c>
      <c r="G1424" t="s">
        <v>390</v>
      </c>
    </row>
    <row r="1425" spans="1:7">
      <c r="A1425" t="s">
        <v>3211</v>
      </c>
      <c r="B1425" t="s">
        <v>3212</v>
      </c>
      <c r="C1425">
        <v>15</v>
      </c>
      <c r="D1425" s="321">
        <v>46112</v>
      </c>
      <c r="E1425" s="321">
        <v>46136</v>
      </c>
      <c r="F1425">
        <v>89</v>
      </c>
      <c r="G1425" t="s">
        <v>390</v>
      </c>
    </row>
    <row r="1426" spans="1:7">
      <c r="A1426" t="s">
        <v>3213</v>
      </c>
      <c r="B1426" t="s">
        <v>3214</v>
      </c>
      <c r="C1426">
        <v>10</v>
      </c>
      <c r="D1426" s="321">
        <v>46154</v>
      </c>
      <c r="E1426" s="321">
        <v>46167</v>
      </c>
      <c r="F1426">
        <v>123</v>
      </c>
      <c r="G1426" t="s">
        <v>390</v>
      </c>
    </row>
    <row r="1427" spans="1:7">
      <c r="A1427" t="s">
        <v>3215</v>
      </c>
      <c r="B1427" t="s">
        <v>3216</v>
      </c>
      <c r="C1427">
        <v>10</v>
      </c>
      <c r="D1427" s="321">
        <v>46184</v>
      </c>
      <c r="E1427" s="321">
        <v>46197</v>
      </c>
      <c r="F1427">
        <v>123</v>
      </c>
      <c r="G1427" t="s">
        <v>390</v>
      </c>
    </row>
    <row r="1428" spans="1:7">
      <c r="A1428" t="s">
        <v>3217</v>
      </c>
      <c r="B1428" t="s">
        <v>3218</v>
      </c>
      <c r="C1428">
        <v>15</v>
      </c>
      <c r="D1428" s="321">
        <v>46148</v>
      </c>
      <c r="E1428" s="321">
        <v>46168</v>
      </c>
      <c r="F1428">
        <v>36</v>
      </c>
      <c r="G1428" t="s">
        <v>390</v>
      </c>
    </row>
    <row r="1429" spans="1:7">
      <c r="A1429" t="s">
        <v>3219</v>
      </c>
      <c r="B1429" t="s">
        <v>3220</v>
      </c>
      <c r="C1429">
        <v>10</v>
      </c>
      <c r="D1429" s="321">
        <v>46185</v>
      </c>
      <c r="E1429" s="321">
        <v>46198</v>
      </c>
      <c r="F1429">
        <v>102</v>
      </c>
      <c r="G1429" t="s">
        <v>390</v>
      </c>
    </row>
    <row r="1430" spans="1:7">
      <c r="A1430" t="s">
        <v>3221</v>
      </c>
      <c r="B1430" t="s">
        <v>3222</v>
      </c>
      <c r="C1430">
        <v>10</v>
      </c>
      <c r="D1430" s="321">
        <v>46213</v>
      </c>
      <c r="E1430" s="321">
        <v>46226</v>
      </c>
      <c r="F1430">
        <v>102</v>
      </c>
      <c r="G1430" t="s">
        <v>390</v>
      </c>
    </row>
    <row r="1431" spans="1:7">
      <c r="A1431" t="s">
        <v>3223</v>
      </c>
      <c r="B1431" t="s">
        <v>3224</v>
      </c>
      <c r="C1431">
        <v>10</v>
      </c>
      <c r="D1431" s="321">
        <v>46132</v>
      </c>
      <c r="E1431" s="321">
        <v>46146</v>
      </c>
      <c r="F1431">
        <v>-45</v>
      </c>
      <c r="G1431" t="s">
        <v>390</v>
      </c>
    </row>
    <row r="1432" spans="1:7">
      <c r="A1432" t="s">
        <v>3225</v>
      </c>
      <c r="B1432" t="s">
        <v>3226</v>
      </c>
      <c r="C1432">
        <v>10</v>
      </c>
      <c r="D1432" s="321">
        <v>46161</v>
      </c>
      <c r="E1432" s="321">
        <v>46175</v>
      </c>
      <c r="F1432">
        <v>6</v>
      </c>
      <c r="G1432" t="s">
        <v>390</v>
      </c>
    </row>
    <row r="1433" spans="1:7">
      <c r="A1433" t="s">
        <v>3227</v>
      </c>
      <c r="B1433" t="s">
        <v>3228</v>
      </c>
      <c r="C1433">
        <v>10</v>
      </c>
      <c r="D1433" s="321">
        <v>46191</v>
      </c>
      <c r="E1433" s="321">
        <v>46204</v>
      </c>
      <c r="F1433">
        <v>6</v>
      </c>
      <c r="G1433" t="s">
        <v>390</v>
      </c>
    </row>
    <row r="1434" spans="1:7">
      <c r="A1434" t="s">
        <v>3229</v>
      </c>
      <c r="B1434" t="s">
        <v>3230</v>
      </c>
      <c r="C1434">
        <v>15</v>
      </c>
      <c r="D1434" s="321">
        <v>46199</v>
      </c>
      <c r="E1434" s="321">
        <v>46219</v>
      </c>
      <c r="F1434">
        <v>47</v>
      </c>
      <c r="G1434" t="s">
        <v>390</v>
      </c>
    </row>
    <row r="1435" spans="1:7">
      <c r="A1435" t="s">
        <v>3231</v>
      </c>
      <c r="B1435" t="s">
        <v>3232</v>
      </c>
      <c r="C1435">
        <v>10</v>
      </c>
      <c r="D1435" s="321">
        <v>46268</v>
      </c>
      <c r="E1435" s="321">
        <v>46281</v>
      </c>
      <c r="F1435">
        <v>67</v>
      </c>
      <c r="G1435" t="s">
        <v>390</v>
      </c>
    </row>
    <row r="1436" spans="1:7">
      <c r="A1436" t="s">
        <v>3233</v>
      </c>
      <c r="B1436" t="s">
        <v>3234</v>
      </c>
      <c r="C1436">
        <v>15</v>
      </c>
      <c r="D1436" s="321">
        <v>46220</v>
      </c>
      <c r="E1436" s="321">
        <v>46245</v>
      </c>
      <c r="F1436">
        <v>32</v>
      </c>
      <c r="G1436" t="s">
        <v>390</v>
      </c>
    </row>
    <row r="1437" spans="1:7">
      <c r="A1437" t="s">
        <v>3235</v>
      </c>
      <c r="B1437" t="s">
        <v>3236</v>
      </c>
      <c r="C1437">
        <v>10</v>
      </c>
      <c r="D1437" s="321">
        <v>46289</v>
      </c>
      <c r="E1437" s="321">
        <v>46302</v>
      </c>
      <c r="F1437">
        <v>52</v>
      </c>
      <c r="G1437" t="s">
        <v>390</v>
      </c>
    </row>
    <row r="1438" spans="1:7">
      <c r="A1438" t="s">
        <v>3237</v>
      </c>
      <c r="B1438" t="s">
        <v>3238</v>
      </c>
      <c r="C1438">
        <v>15</v>
      </c>
      <c r="D1438" s="321">
        <v>46220</v>
      </c>
      <c r="E1438" s="321">
        <v>46245</v>
      </c>
      <c r="F1438">
        <v>57</v>
      </c>
      <c r="G1438" t="s">
        <v>390</v>
      </c>
    </row>
    <row r="1439" spans="1:7">
      <c r="A1439" t="s">
        <v>3239</v>
      </c>
      <c r="B1439" t="s">
        <v>3240</v>
      </c>
      <c r="C1439">
        <v>10</v>
      </c>
      <c r="D1439" s="321">
        <v>46261</v>
      </c>
      <c r="E1439" s="321">
        <v>46274</v>
      </c>
      <c r="F1439">
        <v>57</v>
      </c>
      <c r="G1439" t="s">
        <v>390</v>
      </c>
    </row>
    <row r="1440" spans="1:7">
      <c r="A1440" t="s">
        <v>3241</v>
      </c>
      <c r="B1440" t="s">
        <v>3242</v>
      </c>
      <c r="C1440">
        <v>10</v>
      </c>
      <c r="D1440" s="321">
        <v>46289</v>
      </c>
      <c r="E1440" s="321">
        <v>46302</v>
      </c>
      <c r="F1440">
        <v>57</v>
      </c>
      <c r="G1440" t="s">
        <v>390</v>
      </c>
    </row>
    <row r="1441" spans="1:7">
      <c r="A1441" t="s">
        <v>3243</v>
      </c>
      <c r="B1441" t="s">
        <v>3244</v>
      </c>
      <c r="C1441">
        <v>15</v>
      </c>
      <c r="D1441" s="321">
        <v>46220</v>
      </c>
      <c r="E1441" s="321">
        <v>46245</v>
      </c>
      <c r="F1441">
        <v>37</v>
      </c>
      <c r="G1441" t="s">
        <v>390</v>
      </c>
    </row>
    <row r="1442" spans="1:7">
      <c r="A1442" t="s">
        <v>3245</v>
      </c>
      <c r="B1442" t="s">
        <v>3246</v>
      </c>
      <c r="C1442">
        <v>10</v>
      </c>
      <c r="D1442" s="321">
        <v>46261</v>
      </c>
      <c r="E1442" s="321">
        <v>46274</v>
      </c>
      <c r="F1442">
        <v>57</v>
      </c>
      <c r="G1442" t="s">
        <v>390</v>
      </c>
    </row>
    <row r="1443" spans="1:7">
      <c r="A1443" t="s">
        <v>3247</v>
      </c>
      <c r="B1443" t="s">
        <v>3248</v>
      </c>
      <c r="C1443">
        <v>10</v>
      </c>
      <c r="D1443" s="321">
        <v>46289</v>
      </c>
      <c r="E1443" s="321">
        <v>46302</v>
      </c>
      <c r="F1443">
        <v>57</v>
      </c>
      <c r="G1443" t="s">
        <v>390</v>
      </c>
    </row>
    <row r="1444" spans="1:7">
      <c r="A1444" t="s">
        <v>3249</v>
      </c>
      <c r="B1444" t="s">
        <v>3250</v>
      </c>
      <c r="C1444">
        <v>15</v>
      </c>
      <c r="D1444" s="321">
        <v>46220</v>
      </c>
      <c r="E1444" s="321">
        <v>46245</v>
      </c>
      <c r="F1444">
        <v>57</v>
      </c>
      <c r="G1444" t="s">
        <v>390</v>
      </c>
    </row>
    <row r="1445" spans="1:7">
      <c r="A1445" t="s">
        <v>3251</v>
      </c>
      <c r="B1445" t="s">
        <v>3252</v>
      </c>
      <c r="C1445">
        <v>10</v>
      </c>
      <c r="D1445" s="321">
        <v>46261</v>
      </c>
      <c r="E1445" s="321">
        <v>46274</v>
      </c>
      <c r="F1445">
        <v>57</v>
      </c>
      <c r="G1445" t="s">
        <v>390</v>
      </c>
    </row>
    <row r="1446" spans="1:7">
      <c r="A1446" t="s">
        <v>3253</v>
      </c>
      <c r="B1446" t="s">
        <v>3254</v>
      </c>
      <c r="C1446">
        <v>10</v>
      </c>
      <c r="D1446" s="321">
        <v>46289</v>
      </c>
      <c r="E1446" s="321">
        <v>46302</v>
      </c>
      <c r="F1446">
        <v>57</v>
      </c>
      <c r="G1446" t="s">
        <v>390</v>
      </c>
    </row>
    <row r="1447" spans="1:7">
      <c r="A1447" t="s">
        <v>3255</v>
      </c>
      <c r="B1447" t="s">
        <v>3256</v>
      </c>
      <c r="C1447">
        <v>15</v>
      </c>
      <c r="D1447" s="321">
        <v>46199</v>
      </c>
      <c r="E1447" s="321">
        <v>46219</v>
      </c>
      <c r="F1447">
        <v>47</v>
      </c>
      <c r="G1447" t="s">
        <v>390</v>
      </c>
    </row>
    <row r="1448" spans="1:7">
      <c r="A1448" t="s">
        <v>3257</v>
      </c>
      <c r="B1448" t="s">
        <v>3258</v>
      </c>
      <c r="C1448">
        <v>10</v>
      </c>
      <c r="D1448" s="321">
        <v>46239</v>
      </c>
      <c r="E1448" s="321">
        <v>46253</v>
      </c>
      <c r="F1448">
        <v>67</v>
      </c>
      <c r="G1448" t="s">
        <v>390</v>
      </c>
    </row>
    <row r="1449" spans="1:7">
      <c r="A1449" t="s">
        <v>3259</v>
      </c>
      <c r="B1449" t="s">
        <v>3260</v>
      </c>
      <c r="C1449">
        <v>10</v>
      </c>
      <c r="D1449" s="321">
        <v>46268</v>
      </c>
      <c r="E1449" s="321">
        <v>46281</v>
      </c>
      <c r="F1449">
        <v>67</v>
      </c>
      <c r="G1449" t="s">
        <v>390</v>
      </c>
    </row>
    <row r="1450" spans="1:7">
      <c r="A1450" t="s">
        <v>3261</v>
      </c>
      <c r="C1450">
        <v>133</v>
      </c>
      <c r="D1450" s="321">
        <v>46142</v>
      </c>
      <c r="E1450" s="321">
        <v>46339</v>
      </c>
      <c r="F1450">
        <v>32</v>
      </c>
      <c r="G1450" t="s">
        <v>390</v>
      </c>
    </row>
    <row r="1451" spans="1:7">
      <c r="A1451" t="s">
        <v>3262</v>
      </c>
      <c r="B1451" t="s">
        <v>3263</v>
      </c>
      <c r="C1451">
        <v>15</v>
      </c>
      <c r="D1451" s="321">
        <v>46181</v>
      </c>
      <c r="E1451" s="321">
        <v>46199</v>
      </c>
      <c r="F1451">
        <v>63</v>
      </c>
      <c r="G1451" t="s">
        <v>390</v>
      </c>
    </row>
    <row r="1452" spans="1:7">
      <c r="A1452" t="s">
        <v>3264</v>
      </c>
      <c r="B1452" t="s">
        <v>3265</v>
      </c>
      <c r="C1452">
        <v>5</v>
      </c>
      <c r="D1452" s="321">
        <v>46288</v>
      </c>
      <c r="E1452" s="321">
        <v>46294</v>
      </c>
      <c r="F1452">
        <v>63</v>
      </c>
      <c r="G1452" t="s">
        <v>390</v>
      </c>
    </row>
    <row r="1453" spans="1:7">
      <c r="A1453" t="s">
        <v>3266</v>
      </c>
      <c r="B1453" t="s">
        <v>3267</v>
      </c>
      <c r="C1453">
        <v>15</v>
      </c>
      <c r="D1453" s="321">
        <v>46142</v>
      </c>
      <c r="E1453" s="321">
        <v>46163</v>
      </c>
      <c r="F1453">
        <v>0</v>
      </c>
      <c r="G1453" t="s">
        <v>390</v>
      </c>
    </row>
    <row r="1454" spans="1:7">
      <c r="A1454" t="s">
        <v>3268</v>
      </c>
      <c r="B1454" t="s">
        <v>3269</v>
      </c>
      <c r="C1454">
        <v>5</v>
      </c>
      <c r="D1454" s="321">
        <v>46252</v>
      </c>
      <c r="E1454" s="321">
        <v>46258</v>
      </c>
      <c r="F1454">
        <v>0</v>
      </c>
      <c r="G1454" t="s">
        <v>390</v>
      </c>
    </row>
    <row r="1455" spans="1:7">
      <c r="A1455" t="s">
        <v>3270</v>
      </c>
      <c r="B1455" t="s">
        <v>3271</v>
      </c>
      <c r="C1455">
        <v>15</v>
      </c>
      <c r="D1455" s="321">
        <v>46213</v>
      </c>
      <c r="E1455" s="321">
        <v>46238</v>
      </c>
      <c r="F1455">
        <v>36</v>
      </c>
      <c r="G1455" t="s">
        <v>390</v>
      </c>
    </row>
    <row r="1456" spans="1:7">
      <c r="A1456" t="s">
        <v>3272</v>
      </c>
      <c r="B1456" t="s">
        <v>3273</v>
      </c>
      <c r="C1456">
        <v>5</v>
      </c>
      <c r="D1456" s="321">
        <v>46329</v>
      </c>
      <c r="E1456" s="321">
        <v>46335</v>
      </c>
      <c r="F1456">
        <v>36</v>
      </c>
      <c r="G1456" t="s">
        <v>390</v>
      </c>
    </row>
    <row r="1457" spans="1:7">
      <c r="A1457" t="s">
        <v>3274</v>
      </c>
      <c r="B1457" t="s">
        <v>3275</v>
      </c>
      <c r="C1457">
        <v>15</v>
      </c>
      <c r="D1457" s="321">
        <v>46168</v>
      </c>
      <c r="E1457" s="321">
        <v>46190</v>
      </c>
      <c r="F1457">
        <v>67</v>
      </c>
      <c r="G1457" t="s">
        <v>390</v>
      </c>
    </row>
    <row r="1458" spans="1:7">
      <c r="A1458" t="s">
        <v>3276</v>
      </c>
      <c r="B1458" t="s">
        <v>3277</v>
      </c>
      <c r="C1458">
        <v>5</v>
      </c>
      <c r="D1458" s="321">
        <v>46282</v>
      </c>
      <c r="E1458" s="321">
        <v>46288</v>
      </c>
      <c r="F1458">
        <v>67</v>
      </c>
      <c r="G1458" t="s">
        <v>390</v>
      </c>
    </row>
    <row r="1459" spans="1:7">
      <c r="A1459" t="s">
        <v>3278</v>
      </c>
      <c r="B1459" t="s">
        <v>3279</v>
      </c>
      <c r="C1459">
        <v>10</v>
      </c>
      <c r="D1459" s="321">
        <v>46220</v>
      </c>
      <c r="E1459" s="321">
        <v>46238</v>
      </c>
      <c r="F1459">
        <v>47</v>
      </c>
      <c r="G1459" t="s">
        <v>390</v>
      </c>
    </row>
    <row r="1460" spans="1:7">
      <c r="A1460" t="s">
        <v>3280</v>
      </c>
      <c r="B1460" t="s">
        <v>3281</v>
      </c>
      <c r="C1460">
        <v>5</v>
      </c>
      <c r="D1460" s="321">
        <v>46311</v>
      </c>
      <c r="E1460" s="321">
        <v>46317</v>
      </c>
      <c r="F1460">
        <v>47</v>
      </c>
      <c r="G1460" t="s">
        <v>390</v>
      </c>
    </row>
    <row r="1461" spans="1:7">
      <c r="A1461" t="s">
        <v>3282</v>
      </c>
      <c r="B1461" t="s">
        <v>3283</v>
      </c>
      <c r="C1461">
        <v>10</v>
      </c>
      <c r="D1461" s="321">
        <v>46247</v>
      </c>
      <c r="E1461" s="321">
        <v>46260</v>
      </c>
      <c r="F1461">
        <v>32</v>
      </c>
      <c r="G1461" t="s">
        <v>390</v>
      </c>
    </row>
    <row r="1462" spans="1:7">
      <c r="A1462" t="s">
        <v>3284</v>
      </c>
      <c r="B1462" t="s">
        <v>3285</v>
      </c>
      <c r="C1462">
        <v>5</v>
      </c>
      <c r="D1462" s="321">
        <v>46335</v>
      </c>
      <c r="E1462" s="321">
        <v>46339</v>
      </c>
      <c r="F1462">
        <v>32</v>
      </c>
      <c r="G1462" t="s">
        <v>390</v>
      </c>
    </row>
    <row r="1463" spans="1:7">
      <c r="A1463" t="s">
        <v>3286</v>
      </c>
      <c r="B1463" t="s">
        <v>3287</v>
      </c>
      <c r="C1463">
        <v>10</v>
      </c>
      <c r="D1463" s="321">
        <v>46220</v>
      </c>
      <c r="E1463" s="321">
        <v>46238</v>
      </c>
      <c r="F1463">
        <v>47</v>
      </c>
      <c r="G1463" t="s">
        <v>390</v>
      </c>
    </row>
    <row r="1464" spans="1:7">
      <c r="A1464" t="s">
        <v>3288</v>
      </c>
      <c r="B1464" t="s">
        <v>3289</v>
      </c>
      <c r="C1464">
        <v>5</v>
      </c>
      <c r="D1464" s="321">
        <v>46311</v>
      </c>
      <c r="E1464" s="321">
        <v>46317</v>
      </c>
      <c r="F1464">
        <v>47</v>
      </c>
      <c r="G1464" t="s">
        <v>390</v>
      </c>
    </row>
    <row r="1465" spans="1:7">
      <c r="A1465" t="s">
        <v>3290</v>
      </c>
      <c r="B1465" t="s">
        <v>3291</v>
      </c>
      <c r="C1465">
        <v>15</v>
      </c>
      <c r="D1465" s="321">
        <v>46181</v>
      </c>
      <c r="E1465" s="321">
        <v>46199</v>
      </c>
      <c r="F1465">
        <v>63</v>
      </c>
      <c r="G1465" t="s">
        <v>390</v>
      </c>
    </row>
    <row r="1466" spans="1:7">
      <c r="A1466" t="s">
        <v>3292</v>
      </c>
      <c r="B1466" t="s">
        <v>3293</v>
      </c>
      <c r="C1466">
        <v>5</v>
      </c>
      <c r="D1466" s="321">
        <v>46288</v>
      </c>
      <c r="E1466" s="321">
        <v>46294</v>
      </c>
      <c r="F1466">
        <v>63</v>
      </c>
      <c r="G1466" t="s">
        <v>390</v>
      </c>
    </row>
    <row r="1467" spans="1:7">
      <c r="A1467" t="s">
        <v>3294</v>
      </c>
      <c r="B1467" t="s">
        <v>3295</v>
      </c>
      <c r="C1467">
        <v>15</v>
      </c>
      <c r="D1467" s="321">
        <v>46142</v>
      </c>
      <c r="E1467" s="321">
        <v>46163</v>
      </c>
      <c r="F1467">
        <v>89</v>
      </c>
      <c r="G1467" t="s">
        <v>390</v>
      </c>
    </row>
    <row r="1468" spans="1:7">
      <c r="A1468" t="s">
        <v>3296</v>
      </c>
      <c r="B1468" t="s">
        <v>3297</v>
      </c>
      <c r="C1468">
        <v>5</v>
      </c>
      <c r="D1468" s="321">
        <v>46252</v>
      </c>
      <c r="E1468" s="321">
        <v>46258</v>
      </c>
      <c r="F1468">
        <v>89</v>
      </c>
      <c r="G1468" t="s">
        <v>390</v>
      </c>
    </row>
    <row r="1469" spans="1:7">
      <c r="A1469" t="s">
        <v>3298</v>
      </c>
      <c r="B1469" t="s">
        <v>3299</v>
      </c>
      <c r="C1469">
        <v>15</v>
      </c>
      <c r="D1469" s="321">
        <v>46213</v>
      </c>
      <c r="E1469" s="321">
        <v>46238</v>
      </c>
      <c r="F1469">
        <v>36</v>
      </c>
      <c r="G1469" t="s">
        <v>390</v>
      </c>
    </row>
    <row r="1470" spans="1:7">
      <c r="A1470" t="s">
        <v>3300</v>
      </c>
      <c r="B1470" t="s">
        <v>3301</v>
      </c>
      <c r="C1470">
        <v>5</v>
      </c>
      <c r="D1470" s="321">
        <v>46329</v>
      </c>
      <c r="E1470" s="321">
        <v>46335</v>
      </c>
      <c r="F1470">
        <v>36</v>
      </c>
      <c r="G1470" t="s">
        <v>390</v>
      </c>
    </row>
    <row r="1471" spans="1:7">
      <c r="A1471" t="s">
        <v>3302</v>
      </c>
      <c r="B1471" t="s">
        <v>3303</v>
      </c>
      <c r="C1471">
        <v>15</v>
      </c>
      <c r="D1471" s="321">
        <v>46168</v>
      </c>
      <c r="E1471" s="321">
        <v>46190</v>
      </c>
      <c r="F1471">
        <v>-45</v>
      </c>
      <c r="G1471" t="s">
        <v>390</v>
      </c>
    </row>
    <row r="1472" spans="1:7">
      <c r="A1472" t="s">
        <v>3304</v>
      </c>
      <c r="B1472" t="s">
        <v>3305</v>
      </c>
      <c r="C1472">
        <v>5</v>
      </c>
      <c r="D1472" s="321">
        <v>46282</v>
      </c>
      <c r="E1472" s="321">
        <v>46288</v>
      </c>
      <c r="F1472">
        <v>-45</v>
      </c>
      <c r="G1472" t="s">
        <v>390</v>
      </c>
    </row>
    <row r="1473" spans="1:7">
      <c r="A1473" t="s">
        <v>3306</v>
      </c>
      <c r="B1473" t="s">
        <v>3307</v>
      </c>
      <c r="C1473">
        <v>10</v>
      </c>
      <c r="D1473" s="321">
        <v>46220</v>
      </c>
      <c r="E1473" s="321">
        <v>46238</v>
      </c>
      <c r="F1473">
        <v>47</v>
      </c>
      <c r="G1473" t="s">
        <v>390</v>
      </c>
    </row>
    <row r="1474" spans="1:7">
      <c r="A1474" t="s">
        <v>3308</v>
      </c>
      <c r="B1474" t="s">
        <v>3309</v>
      </c>
      <c r="C1474">
        <v>5</v>
      </c>
      <c r="D1474" s="321">
        <v>46311</v>
      </c>
      <c r="E1474" s="321">
        <v>46317</v>
      </c>
      <c r="F1474">
        <v>47</v>
      </c>
      <c r="G1474" t="s">
        <v>390</v>
      </c>
    </row>
    <row r="1475" spans="1:7">
      <c r="A1475" t="s">
        <v>3310</v>
      </c>
      <c r="B1475" t="s">
        <v>3311</v>
      </c>
      <c r="C1475">
        <v>10</v>
      </c>
      <c r="D1475" s="321">
        <v>46247</v>
      </c>
      <c r="E1475" s="321">
        <v>46260</v>
      </c>
      <c r="F1475">
        <v>32</v>
      </c>
      <c r="G1475" t="s">
        <v>390</v>
      </c>
    </row>
    <row r="1476" spans="1:7">
      <c r="A1476" t="s">
        <v>3312</v>
      </c>
      <c r="B1476" t="s">
        <v>3313</v>
      </c>
      <c r="C1476">
        <v>5</v>
      </c>
      <c r="D1476" s="321">
        <v>46335</v>
      </c>
      <c r="E1476" s="321">
        <v>46339</v>
      </c>
      <c r="F1476">
        <v>32</v>
      </c>
      <c r="G1476" t="s">
        <v>390</v>
      </c>
    </row>
    <row r="1477" spans="1:7">
      <c r="A1477" t="s">
        <v>3314</v>
      </c>
      <c r="B1477" t="s">
        <v>3315</v>
      </c>
      <c r="C1477">
        <v>10</v>
      </c>
      <c r="D1477" s="321">
        <v>46220</v>
      </c>
      <c r="E1477" s="321">
        <v>46238</v>
      </c>
      <c r="F1477">
        <v>47</v>
      </c>
      <c r="G1477" t="s">
        <v>390</v>
      </c>
    </row>
    <row r="1478" spans="1:7">
      <c r="A1478" t="s">
        <v>3316</v>
      </c>
      <c r="B1478" t="s">
        <v>3317</v>
      </c>
      <c r="C1478">
        <v>5</v>
      </c>
      <c r="D1478" s="321">
        <v>46311</v>
      </c>
      <c r="E1478" s="321">
        <v>46317</v>
      </c>
      <c r="F1478">
        <v>47</v>
      </c>
      <c r="G1478" t="s">
        <v>390</v>
      </c>
    </row>
    <row r="1479" spans="1:7">
      <c r="A1479" t="s">
        <v>3318</v>
      </c>
      <c r="B1479" t="s">
        <v>3319</v>
      </c>
      <c r="C1479">
        <v>10</v>
      </c>
      <c r="D1479" s="321">
        <v>46227</v>
      </c>
      <c r="E1479" s="321">
        <v>46245</v>
      </c>
      <c r="F1479">
        <v>82</v>
      </c>
      <c r="G1479" t="s">
        <v>390</v>
      </c>
    </row>
    <row r="1480" spans="1:7">
      <c r="A1480" t="s">
        <v>3320</v>
      </c>
      <c r="B1480" t="s">
        <v>3321</v>
      </c>
      <c r="C1480">
        <v>5</v>
      </c>
      <c r="D1480" s="321">
        <v>46328</v>
      </c>
      <c r="E1480" s="321">
        <v>46332</v>
      </c>
      <c r="F1480">
        <v>37</v>
      </c>
      <c r="G1480" t="s">
        <v>390</v>
      </c>
    </row>
    <row r="1481" spans="1:7">
      <c r="A1481" t="s">
        <v>3322</v>
      </c>
      <c r="C1481">
        <v>92</v>
      </c>
      <c r="D1481" s="321">
        <v>46183</v>
      </c>
      <c r="E1481" s="321">
        <v>46317</v>
      </c>
      <c r="F1481">
        <v>32</v>
      </c>
      <c r="G1481" t="s">
        <v>390</v>
      </c>
    </row>
    <row r="1482" spans="1:7">
      <c r="A1482" t="s">
        <v>3323</v>
      </c>
      <c r="B1482" t="s">
        <v>3324</v>
      </c>
      <c r="C1482">
        <v>16</v>
      </c>
      <c r="D1482" s="321">
        <v>46225</v>
      </c>
      <c r="E1482" s="321">
        <v>46252</v>
      </c>
      <c r="F1482">
        <v>63</v>
      </c>
      <c r="G1482" t="s">
        <v>390</v>
      </c>
    </row>
    <row r="1483" spans="1:7">
      <c r="A1483" t="s">
        <v>3325</v>
      </c>
      <c r="B1483" t="s">
        <v>3326</v>
      </c>
      <c r="C1483">
        <v>5</v>
      </c>
      <c r="D1483" s="321">
        <v>46267</v>
      </c>
      <c r="E1483" s="321">
        <v>46273</v>
      </c>
      <c r="F1483">
        <v>63</v>
      </c>
      <c r="G1483" t="s">
        <v>390</v>
      </c>
    </row>
    <row r="1484" spans="1:7">
      <c r="A1484" t="s">
        <v>3327</v>
      </c>
      <c r="B1484" t="s">
        <v>3328</v>
      </c>
      <c r="C1484">
        <v>20</v>
      </c>
      <c r="D1484" s="321">
        <v>46183</v>
      </c>
      <c r="E1484" s="321">
        <v>46210</v>
      </c>
      <c r="F1484">
        <v>0</v>
      </c>
      <c r="G1484" t="s">
        <v>390</v>
      </c>
    </row>
    <row r="1485" spans="1:7">
      <c r="A1485" t="s">
        <v>3329</v>
      </c>
      <c r="B1485" t="s">
        <v>3330</v>
      </c>
      <c r="C1485">
        <v>5</v>
      </c>
      <c r="D1485" s="321">
        <v>46225</v>
      </c>
      <c r="E1485" s="321">
        <v>46234</v>
      </c>
      <c r="F1485">
        <v>0</v>
      </c>
      <c r="G1485" t="s">
        <v>390</v>
      </c>
    </row>
    <row r="1486" spans="1:7">
      <c r="A1486" t="s">
        <v>3331</v>
      </c>
      <c r="B1486" t="s">
        <v>3332</v>
      </c>
      <c r="C1486">
        <v>20</v>
      </c>
      <c r="D1486" s="321">
        <v>46262</v>
      </c>
      <c r="E1486" s="321">
        <v>46289</v>
      </c>
      <c r="F1486">
        <v>36</v>
      </c>
      <c r="G1486" t="s">
        <v>390</v>
      </c>
    </row>
    <row r="1487" spans="1:7">
      <c r="A1487" t="s">
        <v>3333</v>
      </c>
      <c r="B1487" t="s">
        <v>3334</v>
      </c>
      <c r="C1487">
        <v>5</v>
      </c>
      <c r="D1487" s="321">
        <v>46304</v>
      </c>
      <c r="E1487" s="321">
        <v>46311</v>
      </c>
      <c r="F1487">
        <v>36</v>
      </c>
      <c r="G1487" t="s">
        <v>390</v>
      </c>
    </row>
    <row r="1488" spans="1:7">
      <c r="A1488" t="s">
        <v>3335</v>
      </c>
      <c r="B1488" t="s">
        <v>3336</v>
      </c>
      <c r="C1488">
        <v>12</v>
      </c>
      <c r="D1488" s="321">
        <v>46225</v>
      </c>
      <c r="E1488" s="321">
        <v>46245</v>
      </c>
      <c r="F1488">
        <v>67</v>
      </c>
      <c r="G1488" t="s">
        <v>390</v>
      </c>
    </row>
    <row r="1489" spans="1:7">
      <c r="A1489" t="s">
        <v>3337</v>
      </c>
      <c r="B1489" t="s">
        <v>3338</v>
      </c>
      <c r="C1489">
        <v>5</v>
      </c>
      <c r="D1489" s="321">
        <v>46261</v>
      </c>
      <c r="E1489" s="321">
        <v>46267</v>
      </c>
      <c r="F1489">
        <v>67</v>
      </c>
      <c r="G1489" t="s">
        <v>390</v>
      </c>
    </row>
    <row r="1490" spans="1:7">
      <c r="A1490" t="s">
        <v>3339</v>
      </c>
      <c r="B1490" t="s">
        <v>3340</v>
      </c>
      <c r="C1490">
        <v>15</v>
      </c>
      <c r="D1490" s="321">
        <v>46254</v>
      </c>
      <c r="E1490" s="321">
        <v>46274</v>
      </c>
      <c r="F1490">
        <v>47</v>
      </c>
      <c r="G1490" t="s">
        <v>390</v>
      </c>
    </row>
    <row r="1491" spans="1:7">
      <c r="A1491" t="s">
        <v>3341</v>
      </c>
      <c r="B1491" t="s">
        <v>3342</v>
      </c>
      <c r="C1491">
        <v>5</v>
      </c>
      <c r="D1491" s="321">
        <v>46289</v>
      </c>
      <c r="E1491" s="321">
        <v>46295</v>
      </c>
      <c r="F1491">
        <v>47</v>
      </c>
      <c r="G1491" t="s">
        <v>390</v>
      </c>
    </row>
    <row r="1492" spans="1:7">
      <c r="A1492" t="s">
        <v>3343</v>
      </c>
      <c r="B1492" t="s">
        <v>3344</v>
      </c>
      <c r="C1492">
        <v>15</v>
      </c>
      <c r="D1492" s="321">
        <v>46275</v>
      </c>
      <c r="E1492" s="321">
        <v>46295</v>
      </c>
      <c r="F1492">
        <v>32</v>
      </c>
      <c r="G1492" t="s">
        <v>390</v>
      </c>
    </row>
    <row r="1493" spans="1:7">
      <c r="A1493" t="s">
        <v>3345</v>
      </c>
      <c r="B1493" t="s">
        <v>3346</v>
      </c>
      <c r="C1493">
        <v>5</v>
      </c>
      <c r="D1493" s="321">
        <v>46311</v>
      </c>
      <c r="E1493" s="321">
        <v>46317</v>
      </c>
      <c r="F1493">
        <v>32</v>
      </c>
      <c r="G1493" t="s">
        <v>390</v>
      </c>
    </row>
    <row r="1494" spans="1:7">
      <c r="A1494" t="s">
        <v>3347</v>
      </c>
      <c r="B1494" t="s">
        <v>3348</v>
      </c>
      <c r="C1494">
        <v>15</v>
      </c>
      <c r="D1494" s="321">
        <v>46254</v>
      </c>
      <c r="E1494" s="321">
        <v>46274</v>
      </c>
      <c r="F1494">
        <v>47</v>
      </c>
      <c r="G1494" t="s">
        <v>390</v>
      </c>
    </row>
    <row r="1495" spans="1:7">
      <c r="A1495" t="s">
        <v>3349</v>
      </c>
      <c r="B1495" t="s">
        <v>3350</v>
      </c>
      <c r="C1495">
        <v>5</v>
      </c>
      <c r="D1495" s="321">
        <v>46289</v>
      </c>
      <c r="E1495" s="321">
        <v>46295</v>
      </c>
      <c r="F1495">
        <v>47</v>
      </c>
      <c r="G1495" t="s">
        <v>390</v>
      </c>
    </row>
    <row r="1496" spans="1:7">
      <c r="A1496" t="s">
        <v>3351</v>
      </c>
      <c r="B1496" t="s">
        <v>3352</v>
      </c>
      <c r="C1496">
        <v>16</v>
      </c>
      <c r="D1496" s="321">
        <v>46225</v>
      </c>
      <c r="E1496" s="321">
        <v>46252</v>
      </c>
      <c r="F1496">
        <v>63</v>
      </c>
      <c r="G1496" t="s">
        <v>390</v>
      </c>
    </row>
    <row r="1497" spans="1:7">
      <c r="A1497" t="s">
        <v>3353</v>
      </c>
      <c r="B1497" t="s">
        <v>3354</v>
      </c>
      <c r="C1497">
        <v>5</v>
      </c>
      <c r="D1497" s="321">
        <v>46267</v>
      </c>
      <c r="E1497" s="321">
        <v>46273</v>
      </c>
      <c r="F1497">
        <v>63</v>
      </c>
      <c r="G1497" t="s">
        <v>390</v>
      </c>
    </row>
    <row r="1498" spans="1:7">
      <c r="A1498" t="s">
        <v>3355</v>
      </c>
      <c r="B1498" t="s">
        <v>3356</v>
      </c>
      <c r="C1498">
        <v>20</v>
      </c>
      <c r="D1498" s="321">
        <v>46183</v>
      </c>
      <c r="E1498" s="321">
        <v>46210</v>
      </c>
      <c r="F1498">
        <v>89</v>
      </c>
      <c r="G1498" t="s">
        <v>390</v>
      </c>
    </row>
    <row r="1499" spans="1:7">
      <c r="A1499" t="s">
        <v>3357</v>
      </c>
      <c r="B1499" t="s">
        <v>3358</v>
      </c>
      <c r="C1499">
        <v>5</v>
      </c>
      <c r="D1499" s="321">
        <v>46225</v>
      </c>
      <c r="E1499" s="321">
        <v>46234</v>
      </c>
      <c r="F1499">
        <v>89</v>
      </c>
      <c r="G1499" t="s">
        <v>390</v>
      </c>
    </row>
    <row r="1500" spans="1:7">
      <c r="A1500" t="s">
        <v>3359</v>
      </c>
      <c r="B1500" t="s">
        <v>3360</v>
      </c>
      <c r="C1500">
        <v>20</v>
      </c>
      <c r="D1500" s="321">
        <v>46262</v>
      </c>
      <c r="E1500" s="321">
        <v>46289</v>
      </c>
      <c r="F1500">
        <v>36</v>
      </c>
      <c r="G1500" t="s">
        <v>390</v>
      </c>
    </row>
    <row r="1501" spans="1:7">
      <c r="A1501" t="s">
        <v>3361</v>
      </c>
      <c r="B1501" t="s">
        <v>3362</v>
      </c>
      <c r="C1501">
        <v>5</v>
      </c>
      <c r="D1501" s="321">
        <v>46304</v>
      </c>
      <c r="E1501" s="321">
        <v>46311</v>
      </c>
      <c r="F1501">
        <v>36</v>
      </c>
      <c r="G1501" t="s">
        <v>390</v>
      </c>
    </row>
    <row r="1502" spans="1:7">
      <c r="A1502" t="s">
        <v>3363</v>
      </c>
      <c r="B1502" t="s">
        <v>3364</v>
      </c>
      <c r="C1502">
        <v>12</v>
      </c>
      <c r="D1502" s="321">
        <v>46225</v>
      </c>
      <c r="E1502" s="321">
        <v>46245</v>
      </c>
      <c r="F1502">
        <v>-45</v>
      </c>
      <c r="G1502" t="s">
        <v>390</v>
      </c>
    </row>
    <row r="1503" spans="1:7">
      <c r="A1503" t="s">
        <v>3365</v>
      </c>
      <c r="B1503" t="s">
        <v>3366</v>
      </c>
      <c r="C1503">
        <v>5</v>
      </c>
      <c r="D1503" s="321">
        <v>46261</v>
      </c>
      <c r="E1503" s="321">
        <v>46267</v>
      </c>
      <c r="F1503">
        <v>-45</v>
      </c>
      <c r="G1503" t="s">
        <v>390</v>
      </c>
    </row>
    <row r="1504" spans="1:7">
      <c r="A1504" t="s">
        <v>3367</v>
      </c>
      <c r="B1504" t="s">
        <v>3368</v>
      </c>
      <c r="C1504">
        <v>15</v>
      </c>
      <c r="D1504" s="321">
        <v>46254</v>
      </c>
      <c r="E1504" s="321">
        <v>46274</v>
      </c>
      <c r="F1504">
        <v>47</v>
      </c>
      <c r="G1504" t="s">
        <v>390</v>
      </c>
    </row>
    <row r="1505" spans="1:7">
      <c r="A1505" t="s">
        <v>3369</v>
      </c>
      <c r="B1505" t="s">
        <v>3370</v>
      </c>
      <c r="C1505">
        <v>5</v>
      </c>
      <c r="D1505" s="321">
        <v>46289</v>
      </c>
      <c r="E1505" s="321">
        <v>46295</v>
      </c>
      <c r="F1505">
        <v>47</v>
      </c>
      <c r="G1505" t="s">
        <v>390</v>
      </c>
    </row>
    <row r="1506" spans="1:7">
      <c r="A1506" t="s">
        <v>3371</v>
      </c>
      <c r="B1506" t="s">
        <v>3372</v>
      </c>
      <c r="C1506">
        <v>15</v>
      </c>
      <c r="D1506" s="321">
        <v>46275</v>
      </c>
      <c r="E1506" s="321">
        <v>46295</v>
      </c>
      <c r="F1506">
        <v>32</v>
      </c>
      <c r="G1506" t="s">
        <v>390</v>
      </c>
    </row>
    <row r="1507" spans="1:7">
      <c r="A1507" t="s">
        <v>3373</v>
      </c>
      <c r="B1507" t="s">
        <v>3374</v>
      </c>
      <c r="C1507">
        <v>5</v>
      </c>
      <c r="D1507" s="321">
        <v>46311</v>
      </c>
      <c r="E1507" s="321">
        <v>46317</v>
      </c>
      <c r="F1507">
        <v>32</v>
      </c>
      <c r="G1507" t="s">
        <v>390</v>
      </c>
    </row>
    <row r="1508" spans="1:7">
      <c r="A1508" t="s">
        <v>3375</v>
      </c>
      <c r="B1508" t="s">
        <v>3376</v>
      </c>
      <c r="C1508">
        <v>20</v>
      </c>
      <c r="D1508" s="321">
        <v>46261</v>
      </c>
      <c r="E1508" s="321">
        <v>46288</v>
      </c>
      <c r="F1508">
        <v>37</v>
      </c>
      <c r="G1508" t="s">
        <v>390</v>
      </c>
    </row>
    <row r="1509" spans="1:7">
      <c r="A1509" t="s">
        <v>3377</v>
      </c>
      <c r="B1509" t="s">
        <v>3378</v>
      </c>
      <c r="C1509">
        <v>5</v>
      </c>
      <c r="D1509" s="321">
        <v>46303</v>
      </c>
      <c r="E1509" s="321">
        <v>46310</v>
      </c>
      <c r="F1509">
        <v>37</v>
      </c>
      <c r="G1509" t="s">
        <v>390</v>
      </c>
    </row>
    <row r="1510" spans="1:7">
      <c r="A1510" t="s">
        <v>3379</v>
      </c>
      <c r="B1510" t="s">
        <v>3380</v>
      </c>
      <c r="C1510">
        <v>15</v>
      </c>
      <c r="D1510" s="321">
        <v>46254</v>
      </c>
      <c r="E1510" s="321">
        <v>46274</v>
      </c>
      <c r="F1510">
        <v>47</v>
      </c>
      <c r="G1510" t="s">
        <v>390</v>
      </c>
    </row>
    <row r="1511" spans="1:7">
      <c r="A1511" t="s">
        <v>3381</v>
      </c>
      <c r="B1511" t="s">
        <v>3382</v>
      </c>
      <c r="C1511">
        <v>5</v>
      </c>
      <c r="D1511" s="321">
        <v>46289</v>
      </c>
      <c r="E1511" s="321">
        <v>46295</v>
      </c>
      <c r="F1511">
        <v>47</v>
      </c>
      <c r="G1511" t="s">
        <v>390</v>
      </c>
    </row>
    <row r="1512" spans="1:7">
      <c r="A1512" t="s">
        <v>3383</v>
      </c>
      <c r="C1512">
        <v>198</v>
      </c>
      <c r="D1512" s="321">
        <v>46091</v>
      </c>
      <c r="E1512" s="321">
        <v>46392</v>
      </c>
      <c r="F1512">
        <v>0</v>
      </c>
      <c r="G1512" t="s">
        <v>390</v>
      </c>
    </row>
    <row r="1513" spans="1:7">
      <c r="A1513" t="s">
        <v>3384</v>
      </c>
      <c r="B1513" t="s">
        <v>3385</v>
      </c>
      <c r="C1513">
        <v>10</v>
      </c>
      <c r="D1513" s="321">
        <v>46091</v>
      </c>
      <c r="E1513" s="321">
        <v>46104</v>
      </c>
      <c r="F1513">
        <v>168</v>
      </c>
      <c r="G1513" t="s">
        <v>390</v>
      </c>
    </row>
    <row r="1514" spans="1:7">
      <c r="A1514" t="s">
        <v>3386</v>
      </c>
      <c r="B1514" t="s">
        <v>3387</v>
      </c>
      <c r="C1514">
        <v>10</v>
      </c>
      <c r="D1514" s="321">
        <v>46203</v>
      </c>
      <c r="E1514" s="321">
        <v>46216</v>
      </c>
      <c r="F1514">
        <v>115</v>
      </c>
      <c r="G1514" t="s">
        <v>390</v>
      </c>
    </row>
    <row r="1515" spans="1:7">
      <c r="A1515" t="s">
        <v>3388</v>
      </c>
      <c r="B1515" t="s">
        <v>3389</v>
      </c>
      <c r="C1515">
        <v>10</v>
      </c>
      <c r="D1515" s="321">
        <v>46097</v>
      </c>
      <c r="E1515" s="321">
        <v>46108</v>
      </c>
      <c r="F1515">
        <v>22</v>
      </c>
      <c r="G1515" t="s">
        <v>390</v>
      </c>
    </row>
    <row r="1516" spans="1:7">
      <c r="A1516" t="s">
        <v>3390</v>
      </c>
      <c r="B1516" t="s">
        <v>3391</v>
      </c>
      <c r="C1516">
        <v>10</v>
      </c>
      <c r="D1516" s="321">
        <v>46129</v>
      </c>
      <c r="E1516" s="321">
        <v>46142</v>
      </c>
      <c r="F1516">
        <v>144</v>
      </c>
      <c r="G1516" t="s">
        <v>390</v>
      </c>
    </row>
    <row r="1517" spans="1:7">
      <c r="A1517" t="s">
        <v>3392</v>
      </c>
      <c r="B1517" t="s">
        <v>3393</v>
      </c>
      <c r="C1517">
        <v>10</v>
      </c>
      <c r="D1517" s="321">
        <v>46203</v>
      </c>
      <c r="E1517" s="321">
        <v>46216</v>
      </c>
      <c r="F1517">
        <v>115</v>
      </c>
      <c r="G1517" t="s">
        <v>390</v>
      </c>
    </row>
    <row r="1518" spans="1:7">
      <c r="A1518" t="s">
        <v>3394</v>
      </c>
      <c r="B1518" t="s">
        <v>3395</v>
      </c>
      <c r="C1518">
        <v>10</v>
      </c>
      <c r="D1518" s="321">
        <v>46097</v>
      </c>
      <c r="E1518" s="321">
        <v>46108</v>
      </c>
      <c r="F1518">
        <v>22</v>
      </c>
      <c r="G1518" t="s">
        <v>390</v>
      </c>
    </row>
    <row r="1519" spans="1:7">
      <c r="A1519" t="s">
        <v>3396</v>
      </c>
      <c r="B1519" t="s">
        <v>3397</v>
      </c>
      <c r="C1519">
        <v>5</v>
      </c>
      <c r="D1519" s="321">
        <v>46146</v>
      </c>
      <c r="E1519" s="321">
        <v>46150</v>
      </c>
      <c r="F1519">
        <v>159</v>
      </c>
      <c r="G1519" t="s">
        <v>390</v>
      </c>
    </row>
    <row r="1520" spans="1:7">
      <c r="A1520" t="s">
        <v>3398</v>
      </c>
      <c r="B1520" t="s">
        <v>3399</v>
      </c>
      <c r="C1520">
        <v>10</v>
      </c>
      <c r="D1520" s="321">
        <v>46098</v>
      </c>
      <c r="E1520" s="321">
        <v>46111</v>
      </c>
      <c r="F1520">
        <v>22</v>
      </c>
      <c r="G1520" t="s">
        <v>390</v>
      </c>
    </row>
    <row r="1521" spans="1:7">
      <c r="A1521" t="s">
        <v>3400</v>
      </c>
      <c r="B1521" t="s">
        <v>3401</v>
      </c>
      <c r="C1521">
        <v>5</v>
      </c>
      <c r="D1521" s="321">
        <v>46147</v>
      </c>
      <c r="E1521" s="321">
        <v>46153</v>
      </c>
      <c r="F1521">
        <v>158</v>
      </c>
      <c r="G1521" t="s">
        <v>390</v>
      </c>
    </row>
    <row r="1522" spans="1:7">
      <c r="A1522" t="s">
        <v>3402</v>
      </c>
      <c r="B1522" t="s">
        <v>3403</v>
      </c>
      <c r="C1522">
        <v>10</v>
      </c>
      <c r="D1522" s="321">
        <v>46098</v>
      </c>
      <c r="E1522" s="321">
        <v>46111</v>
      </c>
      <c r="F1522">
        <v>22</v>
      </c>
      <c r="G1522" t="s">
        <v>390</v>
      </c>
    </row>
    <row r="1523" spans="1:7">
      <c r="A1523" t="s">
        <v>3404</v>
      </c>
      <c r="B1523" t="s">
        <v>3405</v>
      </c>
      <c r="C1523">
        <v>5</v>
      </c>
      <c r="D1523" s="321">
        <v>46147</v>
      </c>
      <c r="E1523" s="321">
        <v>46153</v>
      </c>
      <c r="F1523">
        <v>158</v>
      </c>
      <c r="G1523" t="s">
        <v>390</v>
      </c>
    </row>
    <row r="1524" spans="1:7">
      <c r="A1524" t="s">
        <v>3406</v>
      </c>
      <c r="B1524" t="s">
        <v>3407</v>
      </c>
      <c r="C1524">
        <v>10</v>
      </c>
      <c r="D1524" s="321">
        <v>46104</v>
      </c>
      <c r="E1524" s="321">
        <v>46115</v>
      </c>
      <c r="F1524">
        <v>22</v>
      </c>
      <c r="G1524" t="s">
        <v>390</v>
      </c>
    </row>
    <row r="1525" spans="1:7">
      <c r="A1525" t="s">
        <v>3408</v>
      </c>
      <c r="B1525" t="s">
        <v>3409</v>
      </c>
      <c r="C1525">
        <v>5</v>
      </c>
      <c r="D1525" s="321">
        <v>46153</v>
      </c>
      <c r="E1525" s="321">
        <v>46157</v>
      </c>
      <c r="F1525">
        <v>154</v>
      </c>
      <c r="G1525" t="s">
        <v>390</v>
      </c>
    </row>
    <row r="1526" spans="1:7">
      <c r="A1526" t="s">
        <v>3410</v>
      </c>
      <c r="B1526" t="s">
        <v>3411</v>
      </c>
      <c r="C1526">
        <v>10</v>
      </c>
      <c r="D1526" s="321">
        <v>46104</v>
      </c>
      <c r="E1526" s="321">
        <v>46115</v>
      </c>
      <c r="F1526">
        <v>22</v>
      </c>
      <c r="G1526" t="s">
        <v>390</v>
      </c>
    </row>
    <row r="1527" spans="1:7">
      <c r="A1527" t="s">
        <v>3412</v>
      </c>
      <c r="B1527" t="s">
        <v>3413</v>
      </c>
      <c r="C1527">
        <v>5</v>
      </c>
      <c r="D1527" s="321">
        <v>46153</v>
      </c>
      <c r="E1527" s="321">
        <v>46157</v>
      </c>
      <c r="F1527">
        <v>154</v>
      </c>
      <c r="G1527" t="s">
        <v>390</v>
      </c>
    </row>
    <row r="1528" spans="1:7">
      <c r="A1528" t="s">
        <v>3414</v>
      </c>
      <c r="B1528" t="s">
        <v>3415</v>
      </c>
      <c r="C1528">
        <v>10</v>
      </c>
      <c r="D1528" s="321">
        <v>46120</v>
      </c>
      <c r="E1528" s="321">
        <v>46136</v>
      </c>
      <c r="F1528">
        <v>22</v>
      </c>
      <c r="G1528" t="s">
        <v>390</v>
      </c>
    </row>
    <row r="1529" spans="1:7">
      <c r="A1529" t="s">
        <v>3416</v>
      </c>
      <c r="B1529" t="s">
        <v>3417</v>
      </c>
      <c r="C1529">
        <v>10</v>
      </c>
      <c r="D1529" s="321">
        <v>46154</v>
      </c>
      <c r="E1529" s="321">
        <v>46167</v>
      </c>
      <c r="F1529">
        <v>148</v>
      </c>
      <c r="G1529" t="s">
        <v>390</v>
      </c>
    </row>
    <row r="1530" spans="1:7">
      <c r="A1530" t="s">
        <v>3418</v>
      </c>
      <c r="B1530" t="s">
        <v>3419</v>
      </c>
      <c r="C1530">
        <v>10</v>
      </c>
      <c r="D1530" s="321">
        <v>46120</v>
      </c>
      <c r="E1530" s="321">
        <v>46136</v>
      </c>
      <c r="F1530">
        <v>22</v>
      </c>
      <c r="G1530" t="s">
        <v>390</v>
      </c>
    </row>
    <row r="1531" spans="1:7">
      <c r="A1531" t="s">
        <v>3420</v>
      </c>
      <c r="B1531" t="s">
        <v>3421</v>
      </c>
      <c r="C1531">
        <v>10</v>
      </c>
      <c r="D1531" s="321">
        <v>46154</v>
      </c>
      <c r="E1531" s="321">
        <v>46167</v>
      </c>
      <c r="F1531">
        <v>148</v>
      </c>
      <c r="G1531" t="s">
        <v>390</v>
      </c>
    </row>
    <row r="1532" spans="1:7">
      <c r="A1532" t="s">
        <v>3422</v>
      </c>
      <c r="B1532" t="s">
        <v>3423</v>
      </c>
      <c r="C1532">
        <v>10</v>
      </c>
      <c r="D1532" s="321">
        <v>46121</v>
      </c>
      <c r="E1532" s="321">
        <v>46139</v>
      </c>
      <c r="F1532">
        <v>22</v>
      </c>
      <c r="G1532" t="s">
        <v>390</v>
      </c>
    </row>
    <row r="1533" spans="1:7">
      <c r="A1533" t="s">
        <v>3424</v>
      </c>
      <c r="B1533" t="s">
        <v>3425</v>
      </c>
      <c r="C1533">
        <v>10</v>
      </c>
      <c r="D1533" s="321">
        <v>46155</v>
      </c>
      <c r="E1533" s="321">
        <v>46168</v>
      </c>
      <c r="F1533">
        <v>147</v>
      </c>
      <c r="G1533" t="s">
        <v>390</v>
      </c>
    </row>
    <row r="1534" spans="1:7">
      <c r="A1534" t="s">
        <v>3426</v>
      </c>
      <c r="B1534" t="s">
        <v>3427</v>
      </c>
      <c r="C1534">
        <v>10</v>
      </c>
      <c r="D1534" s="321">
        <v>46121</v>
      </c>
      <c r="E1534" s="321">
        <v>46139</v>
      </c>
      <c r="F1534">
        <v>22</v>
      </c>
      <c r="G1534" t="s">
        <v>390</v>
      </c>
    </row>
    <row r="1535" spans="1:7">
      <c r="A1535" t="s">
        <v>3428</v>
      </c>
      <c r="B1535" t="s">
        <v>3429</v>
      </c>
      <c r="C1535">
        <v>10</v>
      </c>
      <c r="D1535" s="321">
        <v>46155</v>
      </c>
      <c r="E1535" s="321">
        <v>46168</v>
      </c>
      <c r="F1535">
        <v>147</v>
      </c>
      <c r="G1535" t="s">
        <v>390</v>
      </c>
    </row>
    <row r="1536" spans="1:7">
      <c r="A1536" t="s">
        <v>3430</v>
      </c>
      <c r="B1536" t="s">
        <v>3431</v>
      </c>
      <c r="C1536">
        <v>10</v>
      </c>
      <c r="D1536" s="321">
        <v>46129</v>
      </c>
      <c r="E1536" s="321">
        <v>46142</v>
      </c>
      <c r="F1536">
        <v>22</v>
      </c>
      <c r="G1536" t="s">
        <v>390</v>
      </c>
    </row>
    <row r="1537" spans="1:7">
      <c r="A1537" t="s">
        <v>3432</v>
      </c>
      <c r="B1537" t="s">
        <v>3433</v>
      </c>
      <c r="C1537">
        <v>10</v>
      </c>
      <c r="D1537" s="321">
        <v>46160</v>
      </c>
      <c r="E1537" s="321">
        <v>46171</v>
      </c>
      <c r="F1537">
        <v>144</v>
      </c>
      <c r="G1537" t="s">
        <v>390</v>
      </c>
    </row>
    <row r="1538" spans="1:7">
      <c r="A1538" t="s">
        <v>3434</v>
      </c>
      <c r="B1538" t="s">
        <v>3435</v>
      </c>
      <c r="C1538">
        <v>10</v>
      </c>
      <c r="D1538" s="321">
        <v>46129</v>
      </c>
      <c r="E1538" s="321">
        <v>46142</v>
      </c>
      <c r="F1538">
        <v>22</v>
      </c>
      <c r="G1538" t="s">
        <v>390</v>
      </c>
    </row>
    <row r="1539" spans="1:7">
      <c r="A1539" t="s">
        <v>3436</v>
      </c>
      <c r="B1539" t="s">
        <v>3437</v>
      </c>
      <c r="C1539">
        <v>10</v>
      </c>
      <c r="D1539" s="321">
        <v>46160</v>
      </c>
      <c r="E1539" s="321">
        <v>46171</v>
      </c>
      <c r="F1539">
        <v>144</v>
      </c>
      <c r="G1539" t="s">
        <v>390</v>
      </c>
    </row>
    <row r="1540" spans="1:7">
      <c r="A1540" t="s">
        <v>3438</v>
      </c>
      <c r="B1540" t="s">
        <v>3439</v>
      </c>
      <c r="C1540">
        <v>10</v>
      </c>
      <c r="D1540" s="321">
        <v>46129</v>
      </c>
      <c r="E1540" s="321">
        <v>46142</v>
      </c>
      <c r="F1540">
        <v>22</v>
      </c>
      <c r="G1540" t="s">
        <v>390</v>
      </c>
    </row>
    <row r="1541" spans="1:7">
      <c r="A1541" t="s">
        <v>3440</v>
      </c>
      <c r="B1541" t="s">
        <v>3441</v>
      </c>
      <c r="C1541">
        <v>10</v>
      </c>
      <c r="D1541" s="321">
        <v>46160</v>
      </c>
      <c r="E1541" s="321">
        <v>46171</v>
      </c>
      <c r="F1541">
        <v>63</v>
      </c>
      <c r="G1541" t="s">
        <v>390</v>
      </c>
    </row>
    <row r="1542" spans="1:7">
      <c r="A1542" t="s">
        <v>3442</v>
      </c>
      <c r="B1542" t="s">
        <v>3443</v>
      </c>
      <c r="C1542">
        <v>10</v>
      </c>
      <c r="D1542" s="321">
        <v>46133</v>
      </c>
      <c r="E1542" s="321">
        <v>46147</v>
      </c>
      <c r="F1542">
        <v>22</v>
      </c>
      <c r="G1542" t="s">
        <v>390</v>
      </c>
    </row>
    <row r="1543" spans="1:7">
      <c r="A1543" t="s">
        <v>3444</v>
      </c>
      <c r="B1543" t="s">
        <v>3445</v>
      </c>
      <c r="C1543">
        <v>10</v>
      </c>
      <c r="D1543" s="321">
        <v>46162</v>
      </c>
      <c r="E1543" s="321">
        <v>46177</v>
      </c>
      <c r="F1543">
        <v>52</v>
      </c>
      <c r="G1543" t="s">
        <v>390</v>
      </c>
    </row>
    <row r="1544" spans="1:7">
      <c r="A1544" t="s">
        <v>3446</v>
      </c>
      <c r="B1544" t="s">
        <v>3447</v>
      </c>
      <c r="C1544">
        <v>10</v>
      </c>
      <c r="D1544" s="321">
        <v>46133</v>
      </c>
      <c r="E1544" s="321">
        <v>46147</v>
      </c>
      <c r="F1544">
        <v>22</v>
      </c>
      <c r="G1544" t="s">
        <v>390</v>
      </c>
    </row>
    <row r="1545" spans="1:7">
      <c r="A1545" t="s">
        <v>3448</v>
      </c>
      <c r="B1545" t="s">
        <v>3449</v>
      </c>
      <c r="C1545">
        <v>10</v>
      </c>
      <c r="D1545" s="321">
        <v>46162</v>
      </c>
      <c r="E1545" s="321">
        <v>46177</v>
      </c>
      <c r="F1545">
        <v>32</v>
      </c>
      <c r="G1545" t="s">
        <v>390</v>
      </c>
    </row>
    <row r="1546" spans="1:7">
      <c r="A1546" t="s">
        <v>3450</v>
      </c>
      <c r="B1546" t="s">
        <v>3451</v>
      </c>
      <c r="C1546">
        <v>10</v>
      </c>
      <c r="D1546" s="321">
        <v>46133</v>
      </c>
      <c r="E1546" s="321">
        <v>46147</v>
      </c>
      <c r="F1546">
        <v>22</v>
      </c>
      <c r="G1546" t="s">
        <v>390</v>
      </c>
    </row>
    <row r="1547" spans="1:7">
      <c r="A1547" t="s">
        <v>3452</v>
      </c>
      <c r="B1547" t="s">
        <v>3453</v>
      </c>
      <c r="C1547">
        <v>10</v>
      </c>
      <c r="D1547" s="321">
        <v>46162</v>
      </c>
      <c r="E1547" s="321">
        <v>46177</v>
      </c>
      <c r="F1547">
        <v>27</v>
      </c>
      <c r="G1547" t="s">
        <v>390</v>
      </c>
    </row>
    <row r="1548" spans="1:7">
      <c r="A1548" t="s">
        <v>3454</v>
      </c>
      <c r="B1548" t="s">
        <v>3455</v>
      </c>
      <c r="C1548">
        <v>15</v>
      </c>
      <c r="D1548" s="321">
        <v>46140</v>
      </c>
      <c r="E1548" s="321">
        <v>46161</v>
      </c>
      <c r="F1548">
        <v>22</v>
      </c>
      <c r="G1548" t="s">
        <v>390</v>
      </c>
    </row>
    <row r="1549" spans="1:7">
      <c r="A1549" t="s">
        <v>3456</v>
      </c>
      <c r="B1549" t="s">
        <v>3457</v>
      </c>
      <c r="C1549">
        <v>10</v>
      </c>
      <c r="D1549" s="321">
        <v>46178</v>
      </c>
      <c r="E1549" s="321">
        <v>46191</v>
      </c>
      <c r="F1549">
        <v>117</v>
      </c>
      <c r="G1549" t="s">
        <v>390</v>
      </c>
    </row>
    <row r="1550" spans="1:7">
      <c r="A1550" t="s">
        <v>3458</v>
      </c>
      <c r="B1550" t="s">
        <v>3459</v>
      </c>
      <c r="C1550">
        <v>5</v>
      </c>
      <c r="D1550" s="321">
        <v>46206</v>
      </c>
      <c r="E1550" s="321">
        <v>46212</v>
      </c>
      <c r="F1550">
        <v>117</v>
      </c>
      <c r="G1550" t="s">
        <v>390</v>
      </c>
    </row>
    <row r="1551" spans="1:7">
      <c r="A1551" t="s">
        <v>3460</v>
      </c>
      <c r="B1551" t="s">
        <v>3461</v>
      </c>
      <c r="C1551">
        <v>15</v>
      </c>
      <c r="D1551" s="321">
        <v>46140</v>
      </c>
      <c r="E1551" s="321">
        <v>46161</v>
      </c>
      <c r="F1551">
        <v>22</v>
      </c>
      <c r="G1551" t="s">
        <v>390</v>
      </c>
    </row>
    <row r="1552" spans="1:7">
      <c r="A1552" t="s">
        <v>3462</v>
      </c>
      <c r="B1552" t="s">
        <v>3463</v>
      </c>
      <c r="C1552">
        <v>10</v>
      </c>
      <c r="D1552" s="321">
        <v>46178</v>
      </c>
      <c r="E1552" s="321">
        <v>46191</v>
      </c>
      <c r="F1552">
        <v>112</v>
      </c>
      <c r="G1552" t="s">
        <v>390</v>
      </c>
    </row>
    <row r="1553" spans="1:7">
      <c r="A1553" t="s">
        <v>3464</v>
      </c>
      <c r="B1553" t="s">
        <v>3465</v>
      </c>
      <c r="C1553">
        <v>10</v>
      </c>
      <c r="D1553" s="321">
        <v>46206</v>
      </c>
      <c r="E1553" s="321">
        <v>46219</v>
      </c>
      <c r="F1553">
        <v>112</v>
      </c>
      <c r="G1553" t="s">
        <v>390</v>
      </c>
    </row>
    <row r="1554" spans="1:7">
      <c r="A1554" t="s">
        <v>3466</v>
      </c>
      <c r="B1554" t="s">
        <v>3467</v>
      </c>
      <c r="C1554">
        <v>15</v>
      </c>
      <c r="D1554" s="321">
        <v>46206</v>
      </c>
      <c r="E1554" s="321">
        <v>46226</v>
      </c>
      <c r="F1554">
        <v>37</v>
      </c>
      <c r="G1554" t="s">
        <v>390</v>
      </c>
    </row>
    <row r="1555" spans="1:7">
      <c r="A1555" t="s">
        <v>3468</v>
      </c>
      <c r="B1555" t="s">
        <v>3469</v>
      </c>
      <c r="C1555">
        <v>10</v>
      </c>
      <c r="D1555" s="321">
        <v>46336</v>
      </c>
      <c r="E1555" s="321">
        <v>46349</v>
      </c>
      <c r="F1555">
        <v>16</v>
      </c>
      <c r="G1555" t="s">
        <v>390</v>
      </c>
    </row>
    <row r="1556" spans="1:7">
      <c r="A1556" t="s">
        <v>3470</v>
      </c>
      <c r="B1556" t="s">
        <v>3471</v>
      </c>
      <c r="C1556">
        <v>15</v>
      </c>
      <c r="D1556" s="321">
        <v>46296</v>
      </c>
      <c r="E1556" s="321">
        <v>46317</v>
      </c>
      <c r="F1556">
        <v>12</v>
      </c>
      <c r="G1556" t="s">
        <v>390</v>
      </c>
    </row>
    <row r="1557" spans="1:7">
      <c r="A1557" t="s">
        <v>3472</v>
      </c>
      <c r="B1557" t="s">
        <v>3473</v>
      </c>
      <c r="C1557">
        <v>10</v>
      </c>
      <c r="D1557" s="321">
        <v>46351</v>
      </c>
      <c r="E1557" s="321">
        <v>46365</v>
      </c>
      <c r="F1557">
        <v>0</v>
      </c>
      <c r="G1557" t="s">
        <v>390</v>
      </c>
    </row>
    <row r="1558" spans="1:7">
      <c r="A1558" t="s">
        <v>3474</v>
      </c>
      <c r="B1558" t="s">
        <v>3475</v>
      </c>
      <c r="C1558">
        <v>5</v>
      </c>
      <c r="D1558" s="321">
        <v>46384</v>
      </c>
      <c r="E1558" s="321">
        <v>46392</v>
      </c>
      <c r="F1558">
        <v>0</v>
      </c>
      <c r="G1558" t="s">
        <v>390</v>
      </c>
    </row>
    <row r="1559" spans="1:7">
      <c r="A1559" t="s">
        <v>3476</v>
      </c>
      <c r="B1559" t="s">
        <v>3477</v>
      </c>
      <c r="C1559">
        <v>15</v>
      </c>
      <c r="D1559" s="321">
        <v>46140</v>
      </c>
      <c r="E1559" s="321">
        <v>46161</v>
      </c>
      <c r="F1559">
        <v>7</v>
      </c>
      <c r="G1559" t="s">
        <v>390</v>
      </c>
    </row>
    <row r="1560" spans="1:7">
      <c r="A1560" t="s">
        <v>3478</v>
      </c>
      <c r="B1560" t="s">
        <v>3479</v>
      </c>
      <c r="C1560">
        <v>10</v>
      </c>
      <c r="D1560" s="321">
        <v>46178</v>
      </c>
      <c r="E1560" s="321">
        <v>46191</v>
      </c>
      <c r="F1560">
        <v>47</v>
      </c>
      <c r="G1560" t="s">
        <v>390</v>
      </c>
    </row>
    <row r="1561" spans="1:7">
      <c r="A1561" t="s">
        <v>3480</v>
      </c>
      <c r="B1561" t="s">
        <v>3481</v>
      </c>
      <c r="C1561">
        <v>10</v>
      </c>
      <c r="D1561" s="321">
        <v>46206</v>
      </c>
      <c r="E1561" s="321">
        <v>46219</v>
      </c>
      <c r="F1561">
        <v>77</v>
      </c>
      <c r="G1561" t="s">
        <v>390</v>
      </c>
    </row>
    <row r="1562" spans="1:7">
      <c r="A1562" t="s">
        <v>3482</v>
      </c>
      <c r="B1562" t="s">
        <v>3483</v>
      </c>
      <c r="C1562">
        <v>15</v>
      </c>
      <c r="D1562" s="321">
        <v>46140</v>
      </c>
      <c r="E1562" s="321">
        <v>46161</v>
      </c>
      <c r="F1562">
        <v>22</v>
      </c>
      <c r="G1562" t="s">
        <v>390</v>
      </c>
    </row>
    <row r="1563" spans="1:7">
      <c r="A1563" t="s">
        <v>3484</v>
      </c>
      <c r="B1563" t="s">
        <v>3485</v>
      </c>
      <c r="C1563">
        <v>10</v>
      </c>
      <c r="D1563" s="321">
        <v>46178</v>
      </c>
      <c r="E1563" s="321">
        <v>46191</v>
      </c>
      <c r="F1563">
        <v>67</v>
      </c>
      <c r="G1563" t="s">
        <v>390</v>
      </c>
    </row>
    <row r="1564" spans="1:7">
      <c r="A1564" t="s">
        <v>3486</v>
      </c>
      <c r="B1564" t="s">
        <v>3487</v>
      </c>
      <c r="C1564">
        <v>10</v>
      </c>
      <c r="D1564" s="321">
        <v>46206</v>
      </c>
      <c r="E1564" s="321">
        <v>46219</v>
      </c>
      <c r="F1564">
        <v>87</v>
      </c>
      <c r="G1564" t="s">
        <v>390</v>
      </c>
    </row>
    <row r="1565" spans="1:7">
      <c r="A1565" t="s">
        <v>3488</v>
      </c>
      <c r="B1565" t="s">
        <v>3489</v>
      </c>
      <c r="C1565">
        <v>15</v>
      </c>
      <c r="D1565" s="321">
        <v>46162</v>
      </c>
      <c r="E1565" s="321">
        <v>46184</v>
      </c>
      <c r="F1565">
        <v>22</v>
      </c>
      <c r="G1565" t="s">
        <v>390</v>
      </c>
    </row>
    <row r="1566" spans="1:7">
      <c r="A1566" t="s">
        <v>3490</v>
      </c>
      <c r="B1566" t="s">
        <v>3491</v>
      </c>
      <c r="C1566">
        <v>10</v>
      </c>
      <c r="D1566" s="321">
        <v>46199</v>
      </c>
      <c r="E1566" s="321">
        <v>46212</v>
      </c>
      <c r="F1566">
        <v>62</v>
      </c>
      <c r="G1566" t="s">
        <v>390</v>
      </c>
    </row>
    <row r="1567" spans="1:7">
      <c r="A1567" t="s">
        <v>3492</v>
      </c>
      <c r="B1567" t="s">
        <v>3493</v>
      </c>
      <c r="C1567">
        <v>5</v>
      </c>
      <c r="D1567" s="321">
        <v>46227</v>
      </c>
      <c r="E1567" s="321">
        <v>46238</v>
      </c>
      <c r="F1567">
        <v>82</v>
      </c>
      <c r="G1567" t="s">
        <v>390</v>
      </c>
    </row>
    <row r="1568" spans="1:7">
      <c r="A1568" t="s">
        <v>3494</v>
      </c>
      <c r="B1568" t="s">
        <v>3495</v>
      </c>
      <c r="C1568">
        <v>15</v>
      </c>
      <c r="D1568" s="321">
        <v>46162</v>
      </c>
      <c r="E1568" s="321">
        <v>46184</v>
      </c>
      <c r="F1568">
        <v>22</v>
      </c>
      <c r="G1568" t="s">
        <v>390</v>
      </c>
    </row>
    <row r="1569" spans="1:7">
      <c r="A1569" t="s">
        <v>3496</v>
      </c>
      <c r="B1569" t="s">
        <v>3497</v>
      </c>
      <c r="C1569">
        <v>10</v>
      </c>
      <c r="D1569" s="321">
        <v>46199</v>
      </c>
      <c r="E1569" s="321">
        <v>46212</v>
      </c>
      <c r="F1569">
        <v>67</v>
      </c>
      <c r="G1569" t="s">
        <v>390</v>
      </c>
    </row>
    <row r="1570" spans="1:7">
      <c r="A1570" t="s">
        <v>3498</v>
      </c>
      <c r="B1570" t="s">
        <v>3499</v>
      </c>
      <c r="C1570">
        <v>5</v>
      </c>
      <c r="D1570" s="321">
        <v>46227</v>
      </c>
      <c r="E1570" s="321">
        <v>46238</v>
      </c>
      <c r="F1570">
        <v>72</v>
      </c>
      <c r="G1570" t="s">
        <v>390</v>
      </c>
    </row>
    <row r="1571" spans="1:7">
      <c r="A1571" t="s">
        <v>3500</v>
      </c>
      <c r="B1571" t="s">
        <v>3501</v>
      </c>
      <c r="C1571">
        <v>25</v>
      </c>
      <c r="D1571" s="321">
        <v>46206</v>
      </c>
      <c r="E1571" s="321">
        <v>46245</v>
      </c>
      <c r="F1571">
        <v>47</v>
      </c>
      <c r="G1571" t="s">
        <v>390</v>
      </c>
    </row>
    <row r="1572" spans="1:7">
      <c r="A1572" t="s">
        <v>3502</v>
      </c>
      <c r="B1572" t="s">
        <v>3503</v>
      </c>
      <c r="C1572">
        <v>20</v>
      </c>
      <c r="D1572" s="321">
        <v>46289</v>
      </c>
      <c r="E1572" s="321">
        <v>46317</v>
      </c>
      <c r="F1572">
        <v>42</v>
      </c>
      <c r="G1572" t="s">
        <v>390</v>
      </c>
    </row>
    <row r="1573" spans="1:7">
      <c r="A1573" t="s">
        <v>3504</v>
      </c>
      <c r="B1573" t="s">
        <v>3505</v>
      </c>
      <c r="C1573">
        <v>15</v>
      </c>
      <c r="D1573" s="321">
        <v>46185</v>
      </c>
      <c r="E1573" s="321">
        <v>46205</v>
      </c>
      <c r="F1573">
        <v>7</v>
      </c>
      <c r="G1573" t="s">
        <v>390</v>
      </c>
    </row>
    <row r="1574" spans="1:7">
      <c r="A1574" t="s">
        <v>3506</v>
      </c>
      <c r="B1574" t="s">
        <v>3507</v>
      </c>
      <c r="C1574">
        <v>10</v>
      </c>
      <c r="D1574" s="321">
        <v>46279</v>
      </c>
      <c r="E1574" s="321">
        <v>46290</v>
      </c>
      <c r="F1574">
        <v>0</v>
      </c>
      <c r="G1574" t="s">
        <v>390</v>
      </c>
    </row>
    <row r="1575" spans="1:7">
      <c r="A1575" t="s">
        <v>3508</v>
      </c>
      <c r="B1575" t="s">
        <v>3509</v>
      </c>
      <c r="C1575">
        <v>5</v>
      </c>
      <c r="D1575" s="321">
        <v>46329</v>
      </c>
      <c r="E1575" s="321">
        <v>46335</v>
      </c>
      <c r="F1575">
        <v>11</v>
      </c>
      <c r="G1575" t="s">
        <v>390</v>
      </c>
    </row>
    <row r="1576" spans="1:7">
      <c r="A1576" t="s">
        <v>3510</v>
      </c>
      <c r="B1576" t="s">
        <v>3511</v>
      </c>
      <c r="C1576">
        <v>15</v>
      </c>
      <c r="D1576" s="321">
        <v>46206</v>
      </c>
      <c r="E1576" s="321">
        <v>46226</v>
      </c>
      <c r="F1576">
        <v>7</v>
      </c>
      <c r="G1576" t="s">
        <v>390</v>
      </c>
    </row>
    <row r="1577" spans="1:7">
      <c r="A1577" t="s">
        <v>3512</v>
      </c>
      <c r="B1577" t="s">
        <v>3513</v>
      </c>
      <c r="C1577">
        <v>10</v>
      </c>
      <c r="D1577" s="321">
        <v>46293</v>
      </c>
      <c r="E1577" s="321">
        <v>46304</v>
      </c>
      <c r="F1577">
        <v>0</v>
      </c>
      <c r="G1577" t="s">
        <v>390</v>
      </c>
    </row>
    <row r="1578" spans="1:7">
      <c r="A1578" t="s">
        <v>3514</v>
      </c>
      <c r="B1578" t="s">
        <v>3515</v>
      </c>
      <c r="C1578">
        <v>5</v>
      </c>
      <c r="D1578" s="321">
        <v>46336</v>
      </c>
      <c r="E1578" s="321">
        <v>46342</v>
      </c>
      <c r="F1578">
        <v>11</v>
      </c>
      <c r="G1578" t="s">
        <v>390</v>
      </c>
    </row>
    <row r="1579" spans="1:7">
      <c r="A1579" t="s">
        <v>3516</v>
      </c>
      <c r="B1579" t="s">
        <v>3517</v>
      </c>
      <c r="C1579">
        <v>15</v>
      </c>
      <c r="D1579" s="321">
        <v>46227</v>
      </c>
      <c r="E1579" s="321">
        <v>46253</v>
      </c>
      <c r="F1579">
        <v>7</v>
      </c>
      <c r="G1579" t="s">
        <v>390</v>
      </c>
    </row>
    <row r="1580" spans="1:7">
      <c r="A1580" t="s">
        <v>3518</v>
      </c>
      <c r="B1580" t="s">
        <v>3519</v>
      </c>
      <c r="C1580">
        <v>10</v>
      </c>
      <c r="D1580" s="321">
        <v>46307</v>
      </c>
      <c r="E1580" s="321">
        <v>46322</v>
      </c>
      <c r="F1580">
        <v>0</v>
      </c>
      <c r="G1580" t="s">
        <v>390</v>
      </c>
    </row>
    <row r="1581" spans="1:7">
      <c r="A1581" t="s">
        <v>3520</v>
      </c>
      <c r="B1581" t="s">
        <v>3521</v>
      </c>
      <c r="C1581">
        <v>5</v>
      </c>
      <c r="D1581" s="321">
        <v>46343</v>
      </c>
      <c r="E1581" s="321">
        <v>46349</v>
      </c>
      <c r="F1581">
        <v>11</v>
      </c>
      <c r="G1581" t="s">
        <v>390</v>
      </c>
    </row>
    <row r="1582" spans="1:7">
      <c r="A1582" t="s">
        <v>3522</v>
      </c>
      <c r="B1582" t="s">
        <v>3523</v>
      </c>
      <c r="C1582">
        <v>15</v>
      </c>
      <c r="D1582" s="321">
        <v>46254</v>
      </c>
      <c r="E1582" s="321">
        <v>46274</v>
      </c>
      <c r="F1582">
        <v>7</v>
      </c>
      <c r="G1582" t="s">
        <v>390</v>
      </c>
    </row>
    <row r="1583" spans="1:7">
      <c r="A1583" t="s">
        <v>3524</v>
      </c>
      <c r="B1583" t="s">
        <v>3525</v>
      </c>
      <c r="C1583">
        <v>10</v>
      </c>
      <c r="D1583" s="321">
        <v>46323</v>
      </c>
      <c r="E1583" s="321">
        <v>46336</v>
      </c>
      <c r="F1583">
        <v>0</v>
      </c>
      <c r="G1583" t="s">
        <v>390</v>
      </c>
    </row>
    <row r="1584" spans="1:7">
      <c r="A1584" t="s">
        <v>3526</v>
      </c>
      <c r="B1584" t="s">
        <v>3527</v>
      </c>
      <c r="C1584">
        <v>5</v>
      </c>
      <c r="D1584" s="321">
        <v>46351</v>
      </c>
      <c r="E1584" s="321">
        <v>46357</v>
      </c>
      <c r="F1584">
        <v>10</v>
      </c>
      <c r="G1584" t="s">
        <v>390</v>
      </c>
    </row>
    <row r="1585" spans="1:7">
      <c r="A1585" t="s">
        <v>3528</v>
      </c>
      <c r="B1585" t="s">
        <v>3529</v>
      </c>
      <c r="C1585">
        <v>15</v>
      </c>
      <c r="D1585" s="321">
        <v>46162</v>
      </c>
      <c r="E1585" s="321">
        <v>46184</v>
      </c>
      <c r="F1585">
        <v>7</v>
      </c>
      <c r="G1585" t="s">
        <v>390</v>
      </c>
    </row>
    <row r="1586" spans="1:7">
      <c r="A1586" t="s">
        <v>3530</v>
      </c>
      <c r="B1586" t="s">
        <v>3531</v>
      </c>
      <c r="C1586">
        <v>10</v>
      </c>
      <c r="D1586" s="321">
        <v>46265</v>
      </c>
      <c r="E1586" s="321">
        <v>46276</v>
      </c>
      <c r="F1586">
        <v>0</v>
      </c>
      <c r="G1586" t="s">
        <v>390</v>
      </c>
    </row>
    <row r="1587" spans="1:7">
      <c r="A1587" t="s">
        <v>3532</v>
      </c>
      <c r="B1587" t="s">
        <v>3533</v>
      </c>
      <c r="C1587">
        <v>5</v>
      </c>
      <c r="D1587" s="321">
        <v>46322</v>
      </c>
      <c r="E1587" s="321">
        <v>46328</v>
      </c>
      <c r="F1587">
        <v>11</v>
      </c>
      <c r="G1587" t="s">
        <v>390</v>
      </c>
    </row>
    <row r="1588" spans="1:7">
      <c r="A1588" t="s">
        <v>3534</v>
      </c>
      <c r="B1588" t="s">
        <v>3535</v>
      </c>
      <c r="C1588">
        <v>15</v>
      </c>
      <c r="D1588" s="321">
        <v>46185</v>
      </c>
      <c r="E1588" s="321">
        <v>46205</v>
      </c>
      <c r="F1588">
        <v>52</v>
      </c>
      <c r="G1588" t="s">
        <v>390</v>
      </c>
    </row>
    <row r="1589" spans="1:7">
      <c r="A1589" t="s">
        <v>3536</v>
      </c>
      <c r="B1589" t="s">
        <v>3537</v>
      </c>
      <c r="C1589">
        <v>10</v>
      </c>
      <c r="D1589" s="321">
        <v>46279</v>
      </c>
      <c r="E1589" s="321">
        <v>46290</v>
      </c>
      <c r="F1589">
        <v>30</v>
      </c>
      <c r="G1589" t="s">
        <v>390</v>
      </c>
    </row>
    <row r="1590" spans="1:7">
      <c r="A1590" t="s">
        <v>3538</v>
      </c>
      <c r="B1590" t="s">
        <v>3539</v>
      </c>
      <c r="C1590">
        <v>5</v>
      </c>
      <c r="D1590" s="321">
        <v>46329</v>
      </c>
      <c r="E1590" s="321">
        <v>46335</v>
      </c>
      <c r="F1590">
        <v>26</v>
      </c>
      <c r="G1590" t="s">
        <v>390</v>
      </c>
    </row>
    <row r="1591" spans="1:7">
      <c r="A1591" t="s">
        <v>3540</v>
      </c>
      <c r="B1591" t="s">
        <v>3541</v>
      </c>
      <c r="C1591">
        <v>15</v>
      </c>
      <c r="D1591" s="321">
        <v>46206</v>
      </c>
      <c r="E1591" s="321">
        <v>46226</v>
      </c>
      <c r="F1591">
        <v>62</v>
      </c>
      <c r="G1591" t="s">
        <v>390</v>
      </c>
    </row>
    <row r="1592" spans="1:7">
      <c r="A1592" t="s">
        <v>3542</v>
      </c>
      <c r="B1592" t="s">
        <v>3543</v>
      </c>
      <c r="C1592">
        <v>10</v>
      </c>
      <c r="D1592" s="321">
        <v>46293</v>
      </c>
      <c r="E1592" s="321">
        <v>46304</v>
      </c>
      <c r="F1592">
        <v>30</v>
      </c>
      <c r="G1592" t="s">
        <v>390</v>
      </c>
    </row>
    <row r="1593" spans="1:7">
      <c r="A1593" t="s">
        <v>3544</v>
      </c>
      <c r="B1593" t="s">
        <v>3545</v>
      </c>
      <c r="C1593">
        <v>5</v>
      </c>
      <c r="D1593" s="321">
        <v>46336</v>
      </c>
      <c r="E1593" s="321">
        <v>46342</v>
      </c>
      <c r="F1593">
        <v>26</v>
      </c>
      <c r="G1593" t="s">
        <v>390</v>
      </c>
    </row>
    <row r="1594" spans="1:7">
      <c r="A1594" t="s">
        <v>3546</v>
      </c>
      <c r="B1594" t="s">
        <v>3547</v>
      </c>
      <c r="C1594">
        <v>15</v>
      </c>
      <c r="D1594" s="321">
        <v>46185</v>
      </c>
      <c r="E1594" s="321">
        <v>46205</v>
      </c>
      <c r="F1594">
        <v>37</v>
      </c>
      <c r="G1594" t="s">
        <v>390</v>
      </c>
    </row>
    <row r="1595" spans="1:7">
      <c r="A1595" t="s">
        <v>3548</v>
      </c>
      <c r="B1595" t="s">
        <v>3549</v>
      </c>
      <c r="C1595">
        <v>10</v>
      </c>
      <c r="D1595" s="321">
        <v>46279</v>
      </c>
      <c r="E1595" s="321">
        <v>46290</v>
      </c>
      <c r="F1595">
        <v>30</v>
      </c>
      <c r="G1595" t="s">
        <v>390</v>
      </c>
    </row>
    <row r="1596" spans="1:7">
      <c r="A1596" t="s">
        <v>3550</v>
      </c>
      <c r="B1596" t="s">
        <v>3551</v>
      </c>
      <c r="C1596">
        <v>5</v>
      </c>
      <c r="D1596" s="321">
        <v>46329</v>
      </c>
      <c r="E1596" s="321">
        <v>46335</v>
      </c>
      <c r="F1596">
        <v>16</v>
      </c>
      <c r="G1596" t="s">
        <v>390</v>
      </c>
    </row>
    <row r="1597" spans="1:7">
      <c r="A1597" t="s">
        <v>3552</v>
      </c>
      <c r="B1597" t="s">
        <v>3553</v>
      </c>
      <c r="C1597">
        <v>15</v>
      </c>
      <c r="D1597" s="321">
        <v>46185</v>
      </c>
      <c r="E1597" s="321">
        <v>46205</v>
      </c>
      <c r="F1597">
        <v>47</v>
      </c>
      <c r="G1597" t="s">
        <v>390</v>
      </c>
    </row>
    <row r="1598" spans="1:7">
      <c r="A1598" t="s">
        <v>3554</v>
      </c>
      <c r="B1598" t="s">
        <v>3555</v>
      </c>
      <c r="C1598">
        <v>10</v>
      </c>
      <c r="D1598" s="321">
        <v>46220</v>
      </c>
      <c r="E1598" s="321">
        <v>46238</v>
      </c>
      <c r="F1598">
        <v>62</v>
      </c>
      <c r="G1598" t="s">
        <v>390</v>
      </c>
    </row>
    <row r="1599" spans="1:7">
      <c r="A1599" t="s">
        <v>3556</v>
      </c>
      <c r="B1599" t="s">
        <v>3557</v>
      </c>
      <c r="C1599">
        <v>5</v>
      </c>
      <c r="D1599" s="321">
        <v>46254</v>
      </c>
      <c r="E1599" s="321">
        <v>46260</v>
      </c>
      <c r="F1599">
        <v>62</v>
      </c>
      <c r="G1599" t="s">
        <v>390</v>
      </c>
    </row>
    <row r="1600" spans="1:7">
      <c r="A1600" t="s">
        <v>3558</v>
      </c>
      <c r="B1600" t="s">
        <v>3559</v>
      </c>
      <c r="C1600">
        <v>15</v>
      </c>
      <c r="D1600" s="321">
        <v>46272</v>
      </c>
      <c r="E1600" s="321">
        <v>46290</v>
      </c>
      <c r="F1600">
        <v>20</v>
      </c>
      <c r="G1600" t="s">
        <v>390</v>
      </c>
    </row>
    <row r="1601" spans="1:7">
      <c r="A1601" t="s">
        <v>3560</v>
      </c>
      <c r="B1601" t="s">
        <v>3561</v>
      </c>
      <c r="C1601">
        <v>10</v>
      </c>
      <c r="D1601" s="321">
        <v>46307</v>
      </c>
      <c r="E1601" s="321">
        <v>46322</v>
      </c>
      <c r="F1601">
        <v>20</v>
      </c>
      <c r="G1601" t="s">
        <v>390</v>
      </c>
    </row>
    <row r="1602" spans="1:7">
      <c r="A1602" t="s">
        <v>3562</v>
      </c>
      <c r="B1602" t="s">
        <v>3563</v>
      </c>
      <c r="C1602">
        <v>5</v>
      </c>
      <c r="D1602" s="321">
        <v>46345</v>
      </c>
      <c r="E1602" s="321">
        <v>46351</v>
      </c>
      <c r="F1602">
        <v>19</v>
      </c>
      <c r="G1602" t="s">
        <v>390</v>
      </c>
    </row>
    <row r="1603" spans="1:7">
      <c r="A1603" t="s">
        <v>3564</v>
      </c>
      <c r="B1603" t="s">
        <v>3565</v>
      </c>
      <c r="C1603">
        <v>15</v>
      </c>
      <c r="D1603" s="321">
        <v>46213</v>
      </c>
      <c r="E1603" s="321">
        <v>46238</v>
      </c>
      <c r="F1603">
        <v>32</v>
      </c>
      <c r="G1603" t="s">
        <v>390</v>
      </c>
    </row>
    <row r="1604" spans="1:7">
      <c r="A1604" t="s">
        <v>3566</v>
      </c>
      <c r="B1604" t="s">
        <v>3567</v>
      </c>
      <c r="C1604">
        <v>10</v>
      </c>
      <c r="D1604" s="321">
        <v>46275</v>
      </c>
      <c r="E1604" s="321">
        <v>46288</v>
      </c>
      <c r="F1604">
        <v>62</v>
      </c>
      <c r="G1604" t="s">
        <v>390</v>
      </c>
    </row>
    <row r="1605" spans="1:7">
      <c r="A1605" t="s">
        <v>3568</v>
      </c>
      <c r="B1605" t="s">
        <v>3569</v>
      </c>
      <c r="C1605">
        <v>15</v>
      </c>
      <c r="D1605" s="321">
        <v>46275</v>
      </c>
      <c r="E1605" s="321">
        <v>46295</v>
      </c>
      <c r="F1605">
        <v>7</v>
      </c>
      <c r="G1605" t="s">
        <v>390</v>
      </c>
    </row>
    <row r="1606" spans="1:7">
      <c r="A1606" t="s">
        <v>3570</v>
      </c>
      <c r="B1606" t="s">
        <v>3571</v>
      </c>
      <c r="C1606">
        <v>10</v>
      </c>
      <c r="D1606" s="321">
        <v>46337</v>
      </c>
      <c r="E1606" s="321">
        <v>46350</v>
      </c>
      <c r="F1606">
        <v>0</v>
      </c>
      <c r="G1606" t="s">
        <v>390</v>
      </c>
    </row>
    <row r="1607" spans="1:7">
      <c r="A1607" t="s">
        <v>3572</v>
      </c>
      <c r="B1607" t="s">
        <v>3573</v>
      </c>
      <c r="C1607">
        <v>5</v>
      </c>
      <c r="D1607" s="321">
        <v>46367</v>
      </c>
      <c r="E1607" s="321">
        <v>46373</v>
      </c>
      <c r="F1607">
        <v>5</v>
      </c>
      <c r="G1607" t="s">
        <v>390</v>
      </c>
    </row>
    <row r="1608" spans="1:7">
      <c r="A1608" t="s">
        <v>3574</v>
      </c>
      <c r="B1608" t="s">
        <v>3575</v>
      </c>
      <c r="C1608">
        <v>15</v>
      </c>
      <c r="D1608" s="321">
        <v>46227</v>
      </c>
      <c r="E1608" s="321">
        <v>46253</v>
      </c>
      <c r="F1608">
        <v>42</v>
      </c>
      <c r="G1608" t="s">
        <v>390</v>
      </c>
    </row>
    <row r="1609" spans="1:7">
      <c r="A1609" t="s">
        <v>3576</v>
      </c>
      <c r="B1609" t="s">
        <v>3577</v>
      </c>
      <c r="C1609">
        <v>10</v>
      </c>
      <c r="D1609" s="321">
        <v>46268</v>
      </c>
      <c r="E1609" s="321">
        <v>46281</v>
      </c>
      <c r="F1609">
        <v>67</v>
      </c>
      <c r="G1609" t="s">
        <v>390</v>
      </c>
    </row>
    <row r="1610" spans="1:7">
      <c r="A1610" t="s">
        <v>3578</v>
      </c>
      <c r="B1610" t="s">
        <v>3579</v>
      </c>
      <c r="C1610">
        <v>15</v>
      </c>
      <c r="D1610" s="321">
        <v>46227</v>
      </c>
      <c r="E1610" s="321">
        <v>46253</v>
      </c>
      <c r="F1610">
        <v>42</v>
      </c>
      <c r="G1610" t="s">
        <v>390</v>
      </c>
    </row>
    <row r="1611" spans="1:7">
      <c r="A1611" t="s">
        <v>3580</v>
      </c>
      <c r="B1611" t="s">
        <v>3581</v>
      </c>
      <c r="C1611">
        <v>10</v>
      </c>
      <c r="D1611" s="321">
        <v>46268</v>
      </c>
      <c r="E1611" s="321">
        <v>46281</v>
      </c>
      <c r="F1611">
        <v>67</v>
      </c>
      <c r="G1611" t="s">
        <v>390</v>
      </c>
    </row>
    <row r="1612" spans="1:7">
      <c r="A1612" t="s">
        <v>3582</v>
      </c>
      <c r="B1612" t="s">
        <v>3583</v>
      </c>
      <c r="C1612">
        <v>15</v>
      </c>
      <c r="D1612" s="321">
        <v>46296</v>
      </c>
      <c r="E1612" s="321">
        <v>46317</v>
      </c>
      <c r="F1612">
        <v>22</v>
      </c>
      <c r="G1612" t="s">
        <v>390</v>
      </c>
    </row>
    <row r="1613" spans="1:7">
      <c r="A1613" t="s">
        <v>3584</v>
      </c>
      <c r="B1613" t="s">
        <v>3585</v>
      </c>
      <c r="C1613">
        <v>10</v>
      </c>
      <c r="D1613" s="321">
        <v>46351</v>
      </c>
      <c r="E1613" s="321">
        <v>46365</v>
      </c>
      <c r="F1613">
        <v>0</v>
      </c>
      <c r="G1613" t="s">
        <v>390</v>
      </c>
    </row>
    <row r="1614" spans="1:7">
      <c r="A1614" t="s">
        <v>3586</v>
      </c>
      <c r="B1614" t="s">
        <v>3587</v>
      </c>
      <c r="C1614">
        <v>5</v>
      </c>
      <c r="D1614" s="321">
        <v>46384</v>
      </c>
      <c r="E1614" s="321">
        <v>46392</v>
      </c>
      <c r="F1614">
        <v>0</v>
      </c>
      <c r="G1614" t="s">
        <v>390</v>
      </c>
    </row>
    <row r="1615" spans="1:7">
      <c r="A1615" t="s">
        <v>3588</v>
      </c>
      <c r="B1615" t="s">
        <v>3589</v>
      </c>
      <c r="C1615">
        <v>15</v>
      </c>
      <c r="D1615" s="321">
        <v>46140</v>
      </c>
      <c r="E1615" s="321">
        <v>46161</v>
      </c>
      <c r="F1615">
        <v>107</v>
      </c>
      <c r="G1615" t="s">
        <v>390</v>
      </c>
    </row>
    <row r="1616" spans="1:7">
      <c r="A1616" t="s">
        <v>3590</v>
      </c>
      <c r="B1616" t="s">
        <v>3591</v>
      </c>
      <c r="C1616">
        <v>10</v>
      </c>
      <c r="D1616" s="321">
        <v>46178</v>
      </c>
      <c r="E1616" s="321">
        <v>46191</v>
      </c>
      <c r="F1616">
        <v>107</v>
      </c>
      <c r="G1616" t="s">
        <v>390</v>
      </c>
    </row>
    <row r="1617" spans="1:7">
      <c r="A1617" t="s">
        <v>3592</v>
      </c>
      <c r="B1617" t="s">
        <v>3593</v>
      </c>
      <c r="C1617">
        <v>10</v>
      </c>
      <c r="D1617" s="321">
        <v>46206</v>
      </c>
      <c r="E1617" s="321">
        <v>46219</v>
      </c>
      <c r="F1617">
        <v>107</v>
      </c>
      <c r="G1617" t="s">
        <v>390</v>
      </c>
    </row>
    <row r="1618" spans="1:7">
      <c r="A1618" t="s">
        <v>3594</v>
      </c>
      <c r="B1618" t="s">
        <v>3595</v>
      </c>
      <c r="C1618">
        <v>15</v>
      </c>
      <c r="D1618" s="321">
        <v>46140</v>
      </c>
      <c r="E1618" s="321">
        <v>46161</v>
      </c>
      <c r="F1618">
        <v>67</v>
      </c>
      <c r="G1618" t="s">
        <v>390</v>
      </c>
    </row>
    <row r="1619" spans="1:7">
      <c r="A1619" t="s">
        <v>3596</v>
      </c>
      <c r="B1619" t="s">
        <v>3597</v>
      </c>
      <c r="C1619">
        <v>10</v>
      </c>
      <c r="D1619" s="321">
        <v>46178</v>
      </c>
      <c r="E1619" s="321">
        <v>46191</v>
      </c>
      <c r="F1619">
        <v>92</v>
      </c>
      <c r="G1619" t="s">
        <v>390</v>
      </c>
    </row>
    <row r="1620" spans="1:7">
      <c r="A1620" t="s">
        <v>3598</v>
      </c>
      <c r="B1620" t="s">
        <v>3599</v>
      </c>
      <c r="C1620">
        <v>10</v>
      </c>
      <c r="D1620" s="321">
        <v>46206</v>
      </c>
      <c r="E1620" s="321">
        <v>46219</v>
      </c>
      <c r="F1620">
        <v>92</v>
      </c>
      <c r="G1620" t="s">
        <v>390</v>
      </c>
    </row>
    <row r="1621" spans="1:7">
      <c r="A1621" t="s">
        <v>3600</v>
      </c>
      <c r="B1621" t="s">
        <v>3601</v>
      </c>
      <c r="C1621">
        <v>15</v>
      </c>
      <c r="D1621" s="321">
        <v>46162</v>
      </c>
      <c r="E1621" s="321">
        <v>46184</v>
      </c>
      <c r="F1621">
        <v>102</v>
      </c>
      <c r="G1621" t="s">
        <v>390</v>
      </c>
    </row>
    <row r="1622" spans="1:7">
      <c r="A1622" t="s">
        <v>3602</v>
      </c>
      <c r="B1622" t="s">
        <v>3603</v>
      </c>
      <c r="C1622">
        <v>10</v>
      </c>
      <c r="D1622" s="321">
        <v>46199</v>
      </c>
      <c r="E1622" s="321">
        <v>46212</v>
      </c>
      <c r="F1622">
        <v>102</v>
      </c>
      <c r="G1622" t="s">
        <v>390</v>
      </c>
    </row>
    <row r="1623" spans="1:7">
      <c r="A1623" t="s">
        <v>3604</v>
      </c>
      <c r="B1623" t="s">
        <v>3605</v>
      </c>
      <c r="C1623">
        <v>5</v>
      </c>
      <c r="D1623" s="321">
        <v>46227</v>
      </c>
      <c r="E1623" s="321">
        <v>46238</v>
      </c>
      <c r="F1623">
        <v>102</v>
      </c>
      <c r="G1623" t="s">
        <v>390</v>
      </c>
    </row>
    <row r="1624" spans="1:7">
      <c r="A1624" t="s">
        <v>3606</v>
      </c>
      <c r="B1624" t="s">
        <v>3607</v>
      </c>
      <c r="C1624">
        <v>15</v>
      </c>
      <c r="D1624" s="321">
        <v>46162</v>
      </c>
      <c r="E1624" s="321">
        <v>46184</v>
      </c>
      <c r="F1624">
        <v>102</v>
      </c>
      <c r="G1624" t="s">
        <v>390</v>
      </c>
    </row>
    <row r="1625" spans="1:7">
      <c r="A1625" t="s">
        <v>3608</v>
      </c>
      <c r="B1625" t="s">
        <v>3609</v>
      </c>
      <c r="C1625">
        <v>10</v>
      </c>
      <c r="D1625" s="321">
        <v>46199</v>
      </c>
      <c r="E1625" s="321">
        <v>46212</v>
      </c>
      <c r="F1625">
        <v>102</v>
      </c>
      <c r="G1625" t="s">
        <v>390</v>
      </c>
    </row>
    <row r="1626" spans="1:7">
      <c r="A1626" t="s">
        <v>3610</v>
      </c>
      <c r="B1626" t="s">
        <v>3611</v>
      </c>
      <c r="C1626">
        <v>5</v>
      </c>
      <c r="D1626" s="321">
        <v>46227</v>
      </c>
      <c r="E1626" s="321">
        <v>46238</v>
      </c>
      <c r="F1626">
        <v>102</v>
      </c>
      <c r="G1626" t="s">
        <v>390</v>
      </c>
    </row>
    <row r="1627" spans="1:7">
      <c r="A1627" t="s">
        <v>3612</v>
      </c>
      <c r="B1627" t="s">
        <v>3613</v>
      </c>
      <c r="C1627">
        <v>25</v>
      </c>
      <c r="D1627" s="321">
        <v>46206</v>
      </c>
      <c r="E1627" s="321">
        <v>46245</v>
      </c>
      <c r="F1627">
        <v>57</v>
      </c>
      <c r="G1627" t="s">
        <v>390</v>
      </c>
    </row>
    <row r="1628" spans="1:7">
      <c r="A1628" t="s">
        <v>3614</v>
      </c>
      <c r="B1628" t="s">
        <v>3615</v>
      </c>
      <c r="C1628">
        <v>20</v>
      </c>
      <c r="D1628" s="321">
        <v>46289</v>
      </c>
      <c r="E1628" s="321">
        <v>46317</v>
      </c>
      <c r="F1628">
        <v>42</v>
      </c>
      <c r="G1628" t="s">
        <v>390</v>
      </c>
    </row>
    <row r="1629" spans="1:7">
      <c r="A1629" t="s">
        <v>3616</v>
      </c>
      <c r="B1629" t="s">
        <v>3617</v>
      </c>
      <c r="C1629">
        <v>15</v>
      </c>
      <c r="D1629" s="321">
        <v>46185</v>
      </c>
      <c r="E1629" s="321">
        <v>46205</v>
      </c>
      <c r="F1629">
        <v>52</v>
      </c>
      <c r="G1629" t="s">
        <v>390</v>
      </c>
    </row>
    <row r="1630" spans="1:7">
      <c r="A1630" t="s">
        <v>3618</v>
      </c>
      <c r="B1630" t="s">
        <v>3619</v>
      </c>
      <c r="C1630">
        <v>15</v>
      </c>
      <c r="D1630" s="321">
        <v>46272</v>
      </c>
      <c r="E1630" s="321">
        <v>46290</v>
      </c>
      <c r="F1630">
        <v>65</v>
      </c>
      <c r="G1630" t="s">
        <v>390</v>
      </c>
    </row>
    <row r="1631" spans="1:7">
      <c r="A1631" t="s">
        <v>3620</v>
      </c>
      <c r="B1631" t="s">
        <v>3621</v>
      </c>
      <c r="C1631">
        <v>5</v>
      </c>
      <c r="D1631" s="321">
        <v>46329</v>
      </c>
      <c r="E1631" s="321">
        <v>46335</v>
      </c>
      <c r="F1631">
        <v>31</v>
      </c>
      <c r="G1631" t="s">
        <v>390</v>
      </c>
    </row>
    <row r="1632" spans="1:7">
      <c r="A1632" t="s">
        <v>3622</v>
      </c>
      <c r="B1632" t="s">
        <v>3623</v>
      </c>
      <c r="C1632">
        <v>15</v>
      </c>
      <c r="D1632" s="321">
        <v>46206</v>
      </c>
      <c r="E1632" s="321">
        <v>46226</v>
      </c>
      <c r="F1632">
        <v>32</v>
      </c>
      <c r="G1632" t="s">
        <v>390</v>
      </c>
    </row>
    <row r="1633" spans="1:7">
      <c r="A1633" t="s">
        <v>3624</v>
      </c>
      <c r="B1633" t="s">
        <v>3625</v>
      </c>
      <c r="C1633">
        <v>10</v>
      </c>
      <c r="D1633" s="321">
        <v>46293</v>
      </c>
      <c r="E1633" s="321">
        <v>46304</v>
      </c>
      <c r="F1633">
        <v>30</v>
      </c>
      <c r="G1633" t="s">
        <v>390</v>
      </c>
    </row>
    <row r="1634" spans="1:7">
      <c r="A1634" t="s">
        <v>3626</v>
      </c>
      <c r="B1634" t="s">
        <v>3627</v>
      </c>
      <c r="C1634">
        <v>5</v>
      </c>
      <c r="D1634" s="321">
        <v>46336</v>
      </c>
      <c r="E1634" s="321">
        <v>46342</v>
      </c>
      <c r="F1634">
        <v>26</v>
      </c>
      <c r="G1634" t="s">
        <v>390</v>
      </c>
    </row>
    <row r="1635" spans="1:7">
      <c r="A1635" t="s">
        <v>3628</v>
      </c>
      <c r="B1635" t="s">
        <v>3629</v>
      </c>
      <c r="C1635">
        <v>15</v>
      </c>
      <c r="D1635" s="321">
        <v>46227</v>
      </c>
      <c r="E1635" s="321">
        <v>46253</v>
      </c>
      <c r="F1635">
        <v>17</v>
      </c>
      <c r="G1635" t="s">
        <v>390</v>
      </c>
    </row>
    <row r="1636" spans="1:7">
      <c r="A1636" t="s">
        <v>3630</v>
      </c>
      <c r="B1636" t="s">
        <v>3631</v>
      </c>
      <c r="C1636">
        <v>10</v>
      </c>
      <c r="D1636" s="321">
        <v>46307</v>
      </c>
      <c r="E1636" s="321">
        <v>46322</v>
      </c>
      <c r="F1636">
        <v>20</v>
      </c>
      <c r="G1636" t="s">
        <v>390</v>
      </c>
    </row>
    <row r="1637" spans="1:7">
      <c r="A1637" t="s">
        <v>3632</v>
      </c>
      <c r="B1637" t="s">
        <v>3633</v>
      </c>
      <c r="C1637">
        <v>5</v>
      </c>
      <c r="D1637" s="321">
        <v>46343</v>
      </c>
      <c r="E1637" s="321">
        <v>46349</v>
      </c>
      <c r="F1637">
        <v>21</v>
      </c>
      <c r="G1637" t="s">
        <v>390</v>
      </c>
    </row>
    <row r="1638" spans="1:7">
      <c r="A1638" t="s">
        <v>3634</v>
      </c>
      <c r="B1638" t="s">
        <v>3635</v>
      </c>
      <c r="C1638">
        <v>15</v>
      </c>
      <c r="D1638" s="321">
        <v>46254</v>
      </c>
      <c r="E1638" s="321">
        <v>46274</v>
      </c>
      <c r="F1638">
        <v>7</v>
      </c>
      <c r="G1638" t="s">
        <v>390</v>
      </c>
    </row>
    <row r="1639" spans="1:7">
      <c r="A1639" t="s">
        <v>3636</v>
      </c>
      <c r="B1639" t="s">
        <v>3637</v>
      </c>
      <c r="C1639">
        <v>10</v>
      </c>
      <c r="D1639" s="321">
        <v>46323</v>
      </c>
      <c r="E1639" s="321">
        <v>46336</v>
      </c>
      <c r="F1639">
        <v>10</v>
      </c>
      <c r="G1639" t="s">
        <v>390</v>
      </c>
    </row>
    <row r="1640" spans="1:7">
      <c r="A1640" t="s">
        <v>3638</v>
      </c>
      <c r="B1640" t="s">
        <v>3639</v>
      </c>
      <c r="C1640">
        <v>5</v>
      </c>
      <c r="D1640" s="321">
        <v>46351</v>
      </c>
      <c r="E1640" s="321">
        <v>46357</v>
      </c>
      <c r="F1640">
        <v>15</v>
      </c>
      <c r="G1640" t="s">
        <v>390</v>
      </c>
    </row>
    <row r="1641" spans="1:7">
      <c r="A1641" t="s">
        <v>3640</v>
      </c>
      <c r="B1641" t="s">
        <v>3641</v>
      </c>
      <c r="C1641">
        <v>15</v>
      </c>
      <c r="D1641" s="321">
        <v>46162</v>
      </c>
      <c r="E1641" s="321">
        <v>46184</v>
      </c>
      <c r="F1641">
        <v>47</v>
      </c>
      <c r="G1641" t="s">
        <v>390</v>
      </c>
    </row>
    <row r="1642" spans="1:7">
      <c r="A1642" t="s">
        <v>3642</v>
      </c>
      <c r="B1642" t="s">
        <v>3643</v>
      </c>
      <c r="C1642">
        <v>10</v>
      </c>
      <c r="D1642" s="321">
        <v>46265</v>
      </c>
      <c r="E1642" s="321">
        <v>46276</v>
      </c>
      <c r="F1642">
        <v>50</v>
      </c>
      <c r="G1642" t="s">
        <v>390</v>
      </c>
    </row>
    <row r="1643" spans="1:7">
      <c r="A1643" t="s">
        <v>3644</v>
      </c>
      <c r="B1643" t="s">
        <v>3645</v>
      </c>
      <c r="C1643">
        <v>5</v>
      </c>
      <c r="D1643" s="321">
        <v>46322</v>
      </c>
      <c r="E1643" s="321">
        <v>46328</v>
      </c>
      <c r="F1643">
        <v>36</v>
      </c>
      <c r="G1643" t="s">
        <v>390</v>
      </c>
    </row>
    <row r="1644" spans="1:7">
      <c r="A1644" t="s">
        <v>3646</v>
      </c>
      <c r="B1644" t="s">
        <v>3647</v>
      </c>
      <c r="C1644">
        <v>15</v>
      </c>
      <c r="D1644" s="321">
        <v>46185</v>
      </c>
      <c r="E1644" s="321">
        <v>46205</v>
      </c>
      <c r="F1644">
        <v>52</v>
      </c>
      <c r="G1644" t="s">
        <v>390</v>
      </c>
    </row>
    <row r="1645" spans="1:7">
      <c r="A1645" t="s">
        <v>3648</v>
      </c>
      <c r="B1645" t="s">
        <v>3649</v>
      </c>
      <c r="C1645">
        <v>10</v>
      </c>
      <c r="D1645" s="321">
        <v>46279</v>
      </c>
      <c r="E1645" s="321">
        <v>46290</v>
      </c>
      <c r="F1645">
        <v>40</v>
      </c>
      <c r="G1645" t="s">
        <v>390</v>
      </c>
    </row>
    <row r="1646" spans="1:7">
      <c r="A1646" t="s">
        <v>3650</v>
      </c>
      <c r="B1646" t="s">
        <v>3651</v>
      </c>
      <c r="C1646">
        <v>5</v>
      </c>
      <c r="D1646" s="321">
        <v>46329</v>
      </c>
      <c r="E1646" s="321">
        <v>46335</v>
      </c>
      <c r="F1646">
        <v>31</v>
      </c>
      <c r="G1646" t="s">
        <v>390</v>
      </c>
    </row>
    <row r="1647" spans="1:7">
      <c r="A1647" t="s">
        <v>3652</v>
      </c>
      <c r="B1647" t="s">
        <v>3653</v>
      </c>
      <c r="C1647">
        <v>15</v>
      </c>
      <c r="D1647" s="321">
        <v>46206</v>
      </c>
      <c r="E1647" s="321">
        <v>46226</v>
      </c>
      <c r="F1647">
        <v>62</v>
      </c>
      <c r="G1647" t="s">
        <v>390</v>
      </c>
    </row>
    <row r="1648" spans="1:7">
      <c r="A1648" t="s">
        <v>3654</v>
      </c>
      <c r="B1648" t="s">
        <v>3655</v>
      </c>
      <c r="C1648">
        <v>10</v>
      </c>
      <c r="D1648" s="321">
        <v>46293</v>
      </c>
      <c r="E1648" s="321">
        <v>46304</v>
      </c>
      <c r="F1648">
        <v>30</v>
      </c>
      <c r="G1648" t="s">
        <v>390</v>
      </c>
    </row>
    <row r="1649" spans="1:7">
      <c r="A1649" t="s">
        <v>3656</v>
      </c>
      <c r="B1649" t="s">
        <v>3657</v>
      </c>
      <c r="C1649">
        <v>5</v>
      </c>
      <c r="D1649" s="321">
        <v>46336</v>
      </c>
      <c r="E1649" s="321">
        <v>46342</v>
      </c>
      <c r="F1649">
        <v>26</v>
      </c>
      <c r="G1649" t="s">
        <v>390</v>
      </c>
    </row>
    <row r="1650" spans="1:7">
      <c r="A1650" t="s">
        <v>3658</v>
      </c>
      <c r="B1650" t="s">
        <v>3659</v>
      </c>
      <c r="C1650">
        <v>15</v>
      </c>
      <c r="D1650" s="321">
        <v>46185</v>
      </c>
      <c r="E1650" s="321">
        <v>46205</v>
      </c>
      <c r="F1650">
        <v>37</v>
      </c>
      <c r="G1650" t="s">
        <v>390</v>
      </c>
    </row>
    <row r="1651" spans="1:7">
      <c r="A1651" t="s">
        <v>3660</v>
      </c>
      <c r="B1651" t="s">
        <v>3661</v>
      </c>
      <c r="C1651">
        <v>10</v>
      </c>
      <c r="D1651" s="321">
        <v>46279</v>
      </c>
      <c r="E1651" s="321">
        <v>46290</v>
      </c>
      <c r="F1651">
        <v>30</v>
      </c>
      <c r="G1651" t="s">
        <v>390</v>
      </c>
    </row>
    <row r="1652" spans="1:7">
      <c r="A1652" t="s">
        <v>3662</v>
      </c>
      <c r="B1652" t="s">
        <v>3663</v>
      </c>
      <c r="C1652">
        <v>5</v>
      </c>
      <c r="D1652" s="321">
        <v>46329</v>
      </c>
      <c r="E1652" s="321">
        <v>46335</v>
      </c>
      <c r="F1652">
        <v>16</v>
      </c>
      <c r="G1652" t="s">
        <v>390</v>
      </c>
    </row>
    <row r="1653" spans="1:7">
      <c r="A1653" t="s">
        <v>3664</v>
      </c>
      <c r="B1653" t="s">
        <v>3665</v>
      </c>
      <c r="C1653">
        <v>15</v>
      </c>
      <c r="D1653" s="321">
        <v>46185</v>
      </c>
      <c r="E1653" s="321">
        <v>46205</v>
      </c>
      <c r="F1653">
        <v>77</v>
      </c>
      <c r="G1653" t="s">
        <v>390</v>
      </c>
    </row>
    <row r="1654" spans="1:7">
      <c r="A1654" t="s">
        <v>3666</v>
      </c>
      <c r="B1654" t="s">
        <v>3667</v>
      </c>
      <c r="C1654">
        <v>10</v>
      </c>
      <c r="D1654" s="321">
        <v>46220</v>
      </c>
      <c r="E1654" s="321">
        <v>46238</v>
      </c>
      <c r="F1654">
        <v>77</v>
      </c>
      <c r="G1654" t="s">
        <v>390</v>
      </c>
    </row>
    <row r="1655" spans="1:7">
      <c r="A1655" t="s">
        <v>3668</v>
      </c>
      <c r="B1655" t="s">
        <v>3669</v>
      </c>
      <c r="C1655">
        <v>10</v>
      </c>
      <c r="D1655" s="321">
        <v>46254</v>
      </c>
      <c r="E1655" s="321">
        <v>46267</v>
      </c>
      <c r="F1655">
        <v>77</v>
      </c>
      <c r="G1655" t="s">
        <v>390</v>
      </c>
    </row>
    <row r="1656" spans="1:7">
      <c r="A1656" t="s">
        <v>3670</v>
      </c>
      <c r="B1656" t="s">
        <v>3671</v>
      </c>
      <c r="C1656">
        <v>15</v>
      </c>
      <c r="D1656" s="321">
        <v>46272</v>
      </c>
      <c r="E1656" s="321">
        <v>46290</v>
      </c>
      <c r="F1656">
        <v>20</v>
      </c>
      <c r="G1656" t="s">
        <v>390</v>
      </c>
    </row>
    <row r="1657" spans="1:7">
      <c r="A1657" t="s">
        <v>3672</v>
      </c>
      <c r="B1657" t="s">
        <v>3673</v>
      </c>
      <c r="C1657">
        <v>10</v>
      </c>
      <c r="D1657" s="321">
        <v>46307</v>
      </c>
      <c r="E1657" s="321">
        <v>46322</v>
      </c>
      <c r="F1657">
        <v>20</v>
      </c>
      <c r="G1657" t="s">
        <v>390</v>
      </c>
    </row>
    <row r="1658" spans="1:7">
      <c r="A1658" t="s">
        <v>3674</v>
      </c>
      <c r="B1658" t="s">
        <v>3675</v>
      </c>
      <c r="C1658">
        <v>10</v>
      </c>
      <c r="D1658" s="321">
        <v>46338</v>
      </c>
      <c r="E1658" s="321">
        <v>46351</v>
      </c>
      <c r="F1658">
        <v>19</v>
      </c>
      <c r="G1658" t="s">
        <v>390</v>
      </c>
    </row>
    <row r="1659" spans="1:7">
      <c r="A1659" t="s">
        <v>3676</v>
      </c>
      <c r="B1659" t="s">
        <v>3677</v>
      </c>
      <c r="C1659">
        <v>15</v>
      </c>
      <c r="D1659" s="321">
        <v>46213</v>
      </c>
      <c r="E1659" s="321">
        <v>46238</v>
      </c>
      <c r="F1659">
        <v>32</v>
      </c>
      <c r="G1659" t="s">
        <v>390</v>
      </c>
    </row>
    <row r="1660" spans="1:7">
      <c r="A1660" t="s">
        <v>3678</v>
      </c>
      <c r="B1660" t="s">
        <v>3679</v>
      </c>
      <c r="C1660">
        <v>10</v>
      </c>
      <c r="D1660" s="321">
        <v>46275</v>
      </c>
      <c r="E1660" s="321">
        <v>46288</v>
      </c>
      <c r="F1660">
        <v>62</v>
      </c>
      <c r="G1660" t="s">
        <v>390</v>
      </c>
    </row>
    <row r="1661" spans="1:7">
      <c r="A1661" t="s">
        <v>3680</v>
      </c>
      <c r="B1661" t="s">
        <v>3681</v>
      </c>
      <c r="C1661">
        <v>15</v>
      </c>
      <c r="D1661" s="321">
        <v>46275</v>
      </c>
      <c r="E1661" s="321">
        <v>46295</v>
      </c>
      <c r="F1661">
        <v>7</v>
      </c>
      <c r="G1661" t="s">
        <v>390</v>
      </c>
    </row>
    <row r="1662" spans="1:7">
      <c r="A1662" t="s">
        <v>3682</v>
      </c>
      <c r="B1662" t="s">
        <v>3683</v>
      </c>
      <c r="C1662">
        <v>10</v>
      </c>
      <c r="D1662" s="321">
        <v>46337</v>
      </c>
      <c r="E1662" s="321">
        <v>46350</v>
      </c>
      <c r="F1662">
        <v>0</v>
      </c>
      <c r="G1662" t="s">
        <v>390</v>
      </c>
    </row>
    <row r="1663" spans="1:7">
      <c r="A1663" t="s">
        <v>3684</v>
      </c>
      <c r="B1663" t="s">
        <v>3685</v>
      </c>
      <c r="C1663">
        <v>10</v>
      </c>
      <c r="D1663" s="321">
        <v>46367</v>
      </c>
      <c r="E1663" s="321">
        <v>46380</v>
      </c>
      <c r="F1663">
        <v>0</v>
      </c>
      <c r="G1663" t="s">
        <v>390</v>
      </c>
    </row>
    <row r="1664" spans="1:7">
      <c r="A1664" t="s">
        <v>3686</v>
      </c>
      <c r="B1664" t="s">
        <v>3687</v>
      </c>
      <c r="C1664">
        <v>15</v>
      </c>
      <c r="D1664" s="321">
        <v>46275</v>
      </c>
      <c r="E1664" s="321">
        <v>46295</v>
      </c>
      <c r="F1664">
        <v>22</v>
      </c>
      <c r="G1664" t="s">
        <v>390</v>
      </c>
    </row>
    <row r="1665" spans="1:7">
      <c r="A1665" t="s">
        <v>3688</v>
      </c>
      <c r="B1665" t="s">
        <v>3689</v>
      </c>
      <c r="C1665">
        <v>10</v>
      </c>
      <c r="D1665" s="321">
        <v>46311</v>
      </c>
      <c r="E1665" s="321">
        <v>46325</v>
      </c>
      <c r="F1665">
        <v>37</v>
      </c>
      <c r="G1665" t="s">
        <v>390</v>
      </c>
    </row>
    <row r="1666" spans="1:7">
      <c r="A1666" t="s">
        <v>3690</v>
      </c>
      <c r="B1666" t="s">
        <v>3691</v>
      </c>
      <c r="C1666">
        <v>15</v>
      </c>
      <c r="D1666" s="321">
        <v>46275</v>
      </c>
      <c r="E1666" s="321">
        <v>46295</v>
      </c>
      <c r="F1666">
        <v>22</v>
      </c>
      <c r="G1666" t="s">
        <v>390</v>
      </c>
    </row>
    <row r="1667" spans="1:7">
      <c r="A1667" t="s">
        <v>3692</v>
      </c>
      <c r="B1667" t="s">
        <v>3693</v>
      </c>
      <c r="C1667">
        <v>10</v>
      </c>
      <c r="D1667" s="321">
        <v>46311</v>
      </c>
      <c r="E1667" s="321">
        <v>46325</v>
      </c>
      <c r="F1667">
        <v>37</v>
      </c>
      <c r="G1667" t="s">
        <v>390</v>
      </c>
    </row>
    <row r="1668" spans="1:7">
      <c r="A1668" t="s">
        <v>3694</v>
      </c>
      <c r="C1668">
        <v>148</v>
      </c>
      <c r="D1668" s="321">
        <v>46121</v>
      </c>
      <c r="E1668" s="321">
        <v>46344</v>
      </c>
      <c r="F1668">
        <v>24</v>
      </c>
      <c r="G1668" t="s">
        <v>390</v>
      </c>
    </row>
    <row r="1669" spans="1:7">
      <c r="A1669" t="s">
        <v>3695</v>
      </c>
      <c r="B1669" t="s">
        <v>3696</v>
      </c>
      <c r="C1669">
        <v>15</v>
      </c>
      <c r="D1669" s="321">
        <v>46121</v>
      </c>
      <c r="E1669" s="321">
        <v>46147</v>
      </c>
      <c r="F1669">
        <v>22</v>
      </c>
      <c r="G1669" t="s">
        <v>390</v>
      </c>
    </row>
    <row r="1670" spans="1:7">
      <c r="A1670" t="s">
        <v>3697</v>
      </c>
      <c r="B1670" t="s">
        <v>3698</v>
      </c>
      <c r="C1670">
        <v>10</v>
      </c>
      <c r="D1670" s="321">
        <v>46162</v>
      </c>
      <c r="E1670" s="321">
        <v>46177</v>
      </c>
      <c r="F1670">
        <v>72</v>
      </c>
      <c r="G1670" t="s">
        <v>390</v>
      </c>
    </row>
    <row r="1671" spans="1:7">
      <c r="A1671" t="s">
        <v>3699</v>
      </c>
      <c r="B1671" t="s">
        <v>3700</v>
      </c>
      <c r="C1671">
        <v>5</v>
      </c>
      <c r="D1671" s="321">
        <v>46192</v>
      </c>
      <c r="E1671" s="321">
        <v>46198</v>
      </c>
      <c r="F1671">
        <v>72</v>
      </c>
      <c r="G1671" t="s">
        <v>390</v>
      </c>
    </row>
    <row r="1672" spans="1:7">
      <c r="A1672" t="s">
        <v>3701</v>
      </c>
      <c r="B1672" t="s">
        <v>3702</v>
      </c>
      <c r="C1672">
        <v>15</v>
      </c>
      <c r="D1672" s="321">
        <v>46141</v>
      </c>
      <c r="E1672" s="321">
        <v>46162</v>
      </c>
      <c r="F1672">
        <v>0</v>
      </c>
      <c r="G1672" t="s">
        <v>390</v>
      </c>
    </row>
    <row r="1673" spans="1:7">
      <c r="A1673" t="s">
        <v>3703</v>
      </c>
      <c r="B1673" t="s">
        <v>3704</v>
      </c>
      <c r="C1673">
        <v>10</v>
      </c>
      <c r="D1673" s="321">
        <v>46181</v>
      </c>
      <c r="E1673" s="321">
        <v>46192</v>
      </c>
      <c r="F1673">
        <v>96</v>
      </c>
      <c r="G1673" t="s">
        <v>390</v>
      </c>
    </row>
    <row r="1674" spans="1:7">
      <c r="A1674" t="s">
        <v>3705</v>
      </c>
      <c r="B1674" t="s">
        <v>3706</v>
      </c>
      <c r="C1674">
        <v>5</v>
      </c>
      <c r="D1674" s="321">
        <v>46211</v>
      </c>
      <c r="E1674" s="321">
        <v>46217</v>
      </c>
      <c r="F1674">
        <v>104</v>
      </c>
      <c r="G1674" t="s">
        <v>390</v>
      </c>
    </row>
    <row r="1675" spans="1:7">
      <c r="A1675" t="s">
        <v>3707</v>
      </c>
      <c r="B1675" t="s">
        <v>3708</v>
      </c>
      <c r="C1675">
        <v>15</v>
      </c>
      <c r="D1675" s="321">
        <v>46220</v>
      </c>
      <c r="E1675" s="321">
        <v>46245</v>
      </c>
      <c r="F1675">
        <v>4</v>
      </c>
      <c r="G1675" t="s">
        <v>390</v>
      </c>
    </row>
    <row r="1676" spans="1:7">
      <c r="A1676" t="s">
        <v>3709</v>
      </c>
      <c r="B1676" t="s">
        <v>3710</v>
      </c>
      <c r="C1676">
        <v>10</v>
      </c>
      <c r="D1676" s="321">
        <v>46261</v>
      </c>
      <c r="E1676" s="321">
        <v>46274</v>
      </c>
      <c r="F1676">
        <v>42</v>
      </c>
      <c r="G1676" t="s">
        <v>390</v>
      </c>
    </row>
    <row r="1677" spans="1:7">
      <c r="A1677" t="s">
        <v>3711</v>
      </c>
      <c r="B1677" t="s">
        <v>3712</v>
      </c>
      <c r="C1677">
        <v>5</v>
      </c>
      <c r="D1677" s="321">
        <v>46316</v>
      </c>
      <c r="E1677" s="321">
        <v>46323</v>
      </c>
      <c r="F1677">
        <v>34</v>
      </c>
      <c r="G1677" t="s">
        <v>390</v>
      </c>
    </row>
    <row r="1678" spans="1:7">
      <c r="A1678" t="s">
        <v>3713</v>
      </c>
      <c r="B1678" t="s">
        <v>3714</v>
      </c>
      <c r="C1678">
        <v>15</v>
      </c>
      <c r="D1678" s="321">
        <v>46230</v>
      </c>
      <c r="E1678" s="321">
        <v>46254</v>
      </c>
      <c r="F1678">
        <v>4</v>
      </c>
      <c r="G1678" t="s">
        <v>390</v>
      </c>
    </row>
    <row r="1679" spans="1:7">
      <c r="A1679" t="s">
        <v>3715</v>
      </c>
      <c r="B1679" t="s">
        <v>3716</v>
      </c>
      <c r="C1679">
        <v>10</v>
      </c>
      <c r="D1679" s="321">
        <v>46269</v>
      </c>
      <c r="E1679" s="321">
        <v>46282</v>
      </c>
      <c r="F1679">
        <v>36</v>
      </c>
      <c r="G1679" t="s">
        <v>390</v>
      </c>
    </row>
    <row r="1680" spans="1:7">
      <c r="A1680" t="s">
        <v>3717</v>
      </c>
      <c r="B1680" t="s">
        <v>3718</v>
      </c>
      <c r="C1680">
        <v>5</v>
      </c>
      <c r="D1680" s="321">
        <v>46322</v>
      </c>
      <c r="E1680" s="321">
        <v>46328</v>
      </c>
      <c r="F1680">
        <v>31</v>
      </c>
      <c r="G1680" t="s">
        <v>390</v>
      </c>
    </row>
    <row r="1681" spans="1:7">
      <c r="A1681" t="s">
        <v>3719</v>
      </c>
      <c r="B1681" t="s">
        <v>3720</v>
      </c>
      <c r="C1681">
        <v>15</v>
      </c>
      <c r="D1681" s="321">
        <v>46136</v>
      </c>
      <c r="E1681" s="321">
        <v>46157</v>
      </c>
      <c r="F1681">
        <v>57</v>
      </c>
      <c r="G1681" t="s">
        <v>390</v>
      </c>
    </row>
    <row r="1682" spans="1:7">
      <c r="A1682" t="s">
        <v>3721</v>
      </c>
      <c r="B1682" t="s">
        <v>3722</v>
      </c>
      <c r="C1682">
        <v>10</v>
      </c>
      <c r="D1682" s="321">
        <v>46175</v>
      </c>
      <c r="E1682" s="321">
        <v>46189</v>
      </c>
      <c r="F1682">
        <v>99</v>
      </c>
      <c r="G1682" t="s">
        <v>390</v>
      </c>
    </row>
    <row r="1683" spans="1:7">
      <c r="A1683" t="s">
        <v>3723</v>
      </c>
      <c r="B1683" t="s">
        <v>3724</v>
      </c>
      <c r="C1683">
        <v>5</v>
      </c>
      <c r="D1683" s="321">
        <v>46206</v>
      </c>
      <c r="E1683" s="321">
        <v>46212</v>
      </c>
      <c r="F1683">
        <v>107</v>
      </c>
      <c r="G1683" t="s">
        <v>390</v>
      </c>
    </row>
    <row r="1684" spans="1:7">
      <c r="A1684" t="s">
        <v>3725</v>
      </c>
      <c r="B1684" t="s">
        <v>3726</v>
      </c>
      <c r="C1684">
        <v>15</v>
      </c>
      <c r="D1684" s="321">
        <v>46171</v>
      </c>
      <c r="E1684" s="321">
        <v>46195</v>
      </c>
      <c r="F1684">
        <v>57</v>
      </c>
      <c r="G1684" t="s">
        <v>390</v>
      </c>
    </row>
    <row r="1685" spans="1:7">
      <c r="A1685" t="s">
        <v>3727</v>
      </c>
      <c r="B1685" t="s">
        <v>3728</v>
      </c>
      <c r="C1685">
        <v>10</v>
      </c>
      <c r="D1685" s="321">
        <v>46210</v>
      </c>
      <c r="E1685" s="321">
        <v>46223</v>
      </c>
      <c r="F1685">
        <v>75</v>
      </c>
      <c r="G1685" t="s">
        <v>390</v>
      </c>
    </row>
    <row r="1686" spans="1:7">
      <c r="A1686" t="s">
        <v>3729</v>
      </c>
      <c r="B1686" t="s">
        <v>3730</v>
      </c>
      <c r="C1686">
        <v>5</v>
      </c>
      <c r="D1686" s="321">
        <v>46261</v>
      </c>
      <c r="E1686" s="321">
        <v>46267</v>
      </c>
      <c r="F1686">
        <v>72</v>
      </c>
      <c r="G1686" t="s">
        <v>390</v>
      </c>
    </row>
    <row r="1687" spans="1:7">
      <c r="A1687" t="s">
        <v>3731</v>
      </c>
      <c r="B1687" t="s">
        <v>3732</v>
      </c>
      <c r="C1687">
        <v>15</v>
      </c>
      <c r="D1687" s="321">
        <v>46149</v>
      </c>
      <c r="E1687" s="321">
        <v>46169</v>
      </c>
      <c r="F1687">
        <v>0</v>
      </c>
      <c r="G1687" t="s">
        <v>390</v>
      </c>
    </row>
    <row r="1688" spans="1:7">
      <c r="A1688" t="s">
        <v>3733</v>
      </c>
      <c r="B1688" t="s">
        <v>3734</v>
      </c>
      <c r="C1688">
        <v>10</v>
      </c>
      <c r="D1688" s="321">
        <v>46188</v>
      </c>
      <c r="E1688" s="321">
        <v>46199</v>
      </c>
      <c r="F1688">
        <v>91</v>
      </c>
      <c r="G1688" t="s">
        <v>390</v>
      </c>
    </row>
    <row r="1689" spans="1:7">
      <c r="A1689" t="s">
        <v>3735</v>
      </c>
      <c r="B1689" t="s">
        <v>3736</v>
      </c>
      <c r="C1689">
        <v>5</v>
      </c>
      <c r="D1689" s="321">
        <v>46238</v>
      </c>
      <c r="E1689" s="321">
        <v>46244</v>
      </c>
      <c r="F1689">
        <v>88</v>
      </c>
      <c r="G1689" t="s">
        <v>390</v>
      </c>
    </row>
    <row r="1690" spans="1:7">
      <c r="A1690" t="s">
        <v>3737</v>
      </c>
      <c r="B1690" t="s">
        <v>3738</v>
      </c>
      <c r="C1690">
        <v>15</v>
      </c>
      <c r="D1690" s="321">
        <v>46251</v>
      </c>
      <c r="E1690" s="321">
        <v>46269</v>
      </c>
      <c r="F1690">
        <v>4</v>
      </c>
      <c r="G1690" t="s">
        <v>390</v>
      </c>
    </row>
    <row r="1691" spans="1:7">
      <c r="A1691" t="s">
        <v>3739</v>
      </c>
      <c r="B1691" t="s">
        <v>3740</v>
      </c>
      <c r="C1691">
        <v>10</v>
      </c>
      <c r="D1691" s="321">
        <v>46286</v>
      </c>
      <c r="E1691" s="321">
        <v>46297</v>
      </c>
      <c r="F1691">
        <v>25</v>
      </c>
      <c r="G1691" t="s">
        <v>390</v>
      </c>
    </row>
    <row r="1692" spans="1:7">
      <c r="A1692" t="s">
        <v>3741</v>
      </c>
      <c r="B1692" t="s">
        <v>3742</v>
      </c>
      <c r="C1692">
        <v>5</v>
      </c>
      <c r="D1692" s="321">
        <v>46315</v>
      </c>
      <c r="E1692" s="321">
        <v>46322</v>
      </c>
      <c r="F1692">
        <v>35</v>
      </c>
      <c r="G1692" t="s">
        <v>390</v>
      </c>
    </row>
    <row r="1693" spans="1:7">
      <c r="A1693" t="s">
        <v>3743</v>
      </c>
      <c r="B1693" t="s">
        <v>3744</v>
      </c>
      <c r="C1693">
        <v>15</v>
      </c>
      <c r="D1693" s="321">
        <v>46251</v>
      </c>
      <c r="E1693" s="321">
        <v>46269</v>
      </c>
      <c r="F1693">
        <v>14</v>
      </c>
      <c r="G1693" t="s">
        <v>390</v>
      </c>
    </row>
    <row r="1694" spans="1:7">
      <c r="A1694" t="s">
        <v>3745</v>
      </c>
      <c r="B1694" t="s">
        <v>3746</v>
      </c>
      <c r="C1694">
        <v>10</v>
      </c>
      <c r="D1694" s="321">
        <v>46286</v>
      </c>
      <c r="E1694" s="321">
        <v>46297</v>
      </c>
      <c r="F1694">
        <v>25</v>
      </c>
      <c r="G1694" t="s">
        <v>390</v>
      </c>
    </row>
    <row r="1695" spans="1:7">
      <c r="A1695" t="s">
        <v>3747</v>
      </c>
      <c r="B1695" t="s">
        <v>3748</v>
      </c>
      <c r="C1695">
        <v>5</v>
      </c>
      <c r="D1695" s="321">
        <v>46324</v>
      </c>
      <c r="E1695" s="321">
        <v>46330</v>
      </c>
      <c r="F1695">
        <v>29</v>
      </c>
      <c r="G1695" t="s">
        <v>390</v>
      </c>
    </row>
    <row r="1696" spans="1:7">
      <c r="A1696" t="s">
        <v>3749</v>
      </c>
      <c r="B1696" t="s">
        <v>3750</v>
      </c>
      <c r="C1696">
        <v>15</v>
      </c>
      <c r="D1696" s="321">
        <v>46251</v>
      </c>
      <c r="E1696" s="321">
        <v>46269</v>
      </c>
      <c r="F1696">
        <v>5</v>
      </c>
      <c r="G1696" t="s">
        <v>390</v>
      </c>
    </row>
    <row r="1697" spans="1:7">
      <c r="A1697" t="s">
        <v>3751</v>
      </c>
      <c r="B1697" t="s">
        <v>3752</v>
      </c>
      <c r="C1697">
        <v>10</v>
      </c>
      <c r="D1697" s="321">
        <v>46286</v>
      </c>
      <c r="E1697" s="321">
        <v>46297</v>
      </c>
      <c r="F1697">
        <v>25</v>
      </c>
      <c r="G1697" t="s">
        <v>390</v>
      </c>
    </row>
    <row r="1698" spans="1:7">
      <c r="A1698" t="s">
        <v>3753</v>
      </c>
      <c r="B1698" t="s">
        <v>3754</v>
      </c>
      <c r="C1698">
        <v>5</v>
      </c>
      <c r="D1698" s="321">
        <v>46337</v>
      </c>
      <c r="E1698" s="321">
        <v>46343</v>
      </c>
      <c r="F1698">
        <v>20</v>
      </c>
      <c r="G1698" t="s">
        <v>390</v>
      </c>
    </row>
    <row r="1699" spans="1:7">
      <c r="A1699" t="s">
        <v>3755</v>
      </c>
      <c r="B1699" t="s">
        <v>3756</v>
      </c>
      <c r="C1699">
        <v>15</v>
      </c>
      <c r="D1699" s="321">
        <v>46251</v>
      </c>
      <c r="E1699" s="321">
        <v>46269</v>
      </c>
      <c r="F1699">
        <v>5</v>
      </c>
      <c r="G1699" t="s">
        <v>390</v>
      </c>
    </row>
    <row r="1700" spans="1:7">
      <c r="A1700" t="s">
        <v>3757</v>
      </c>
      <c r="B1700" t="s">
        <v>3758</v>
      </c>
      <c r="C1700">
        <v>5</v>
      </c>
      <c r="D1700" s="321">
        <v>46337</v>
      </c>
      <c r="E1700" s="321">
        <v>46343</v>
      </c>
      <c r="F1700">
        <v>20</v>
      </c>
      <c r="G1700" t="s">
        <v>390</v>
      </c>
    </row>
    <row r="1701" spans="1:7">
      <c r="A1701" t="s">
        <v>3759</v>
      </c>
      <c r="B1701" t="s">
        <v>3760</v>
      </c>
      <c r="C1701">
        <v>15</v>
      </c>
      <c r="D1701" s="321">
        <v>46251</v>
      </c>
      <c r="E1701" s="321">
        <v>46269</v>
      </c>
      <c r="F1701">
        <v>5</v>
      </c>
      <c r="G1701" t="s">
        <v>390</v>
      </c>
    </row>
    <row r="1702" spans="1:7">
      <c r="A1702" t="s">
        <v>3761</v>
      </c>
      <c r="B1702" t="s">
        <v>3762</v>
      </c>
      <c r="C1702">
        <v>5</v>
      </c>
      <c r="D1702" s="321">
        <v>46337</v>
      </c>
      <c r="E1702" s="321">
        <v>46343</v>
      </c>
      <c r="F1702">
        <v>20</v>
      </c>
      <c r="G1702" t="s">
        <v>390</v>
      </c>
    </row>
    <row r="1703" spans="1:7">
      <c r="A1703" t="s">
        <v>3763</v>
      </c>
      <c r="B1703" t="s">
        <v>3764</v>
      </c>
      <c r="C1703">
        <v>15</v>
      </c>
      <c r="D1703" s="321">
        <v>46251</v>
      </c>
      <c r="E1703" s="321">
        <v>46269</v>
      </c>
      <c r="F1703">
        <v>5</v>
      </c>
      <c r="G1703" t="s">
        <v>390</v>
      </c>
    </row>
    <row r="1704" spans="1:7">
      <c r="A1704" t="s">
        <v>3765</v>
      </c>
      <c r="B1704" t="s">
        <v>3766</v>
      </c>
      <c r="C1704">
        <v>5</v>
      </c>
      <c r="D1704" s="321">
        <v>46337</v>
      </c>
      <c r="E1704" s="321">
        <v>46343</v>
      </c>
      <c r="F1704">
        <v>20</v>
      </c>
      <c r="G1704" t="s">
        <v>390</v>
      </c>
    </row>
    <row r="1705" spans="1:7">
      <c r="A1705" t="s">
        <v>3767</v>
      </c>
      <c r="B1705" t="s">
        <v>3768</v>
      </c>
      <c r="C1705">
        <v>15</v>
      </c>
      <c r="D1705" s="321">
        <v>46251</v>
      </c>
      <c r="E1705" s="321">
        <v>46269</v>
      </c>
      <c r="F1705">
        <v>5</v>
      </c>
      <c r="G1705" t="s">
        <v>390</v>
      </c>
    </row>
    <row r="1706" spans="1:7">
      <c r="A1706" t="s">
        <v>3769</v>
      </c>
      <c r="B1706" t="s">
        <v>3770</v>
      </c>
      <c r="C1706">
        <v>5</v>
      </c>
      <c r="D1706" s="321">
        <v>46337</v>
      </c>
      <c r="E1706" s="321">
        <v>46343</v>
      </c>
      <c r="F1706">
        <v>20</v>
      </c>
      <c r="G1706" t="s">
        <v>390</v>
      </c>
    </row>
    <row r="1707" spans="1:7">
      <c r="A1707" t="s">
        <v>3771</v>
      </c>
      <c r="B1707" t="s">
        <v>3772</v>
      </c>
      <c r="C1707">
        <v>15</v>
      </c>
      <c r="D1707" s="321">
        <v>46251</v>
      </c>
      <c r="E1707" s="321">
        <v>46269</v>
      </c>
      <c r="F1707">
        <v>5</v>
      </c>
      <c r="G1707" t="s">
        <v>390</v>
      </c>
    </row>
    <row r="1708" spans="1:7">
      <c r="A1708" t="s">
        <v>3773</v>
      </c>
      <c r="B1708" t="s">
        <v>3774</v>
      </c>
      <c r="C1708">
        <v>5</v>
      </c>
      <c r="D1708" s="321">
        <v>46337</v>
      </c>
      <c r="E1708" s="321">
        <v>46343</v>
      </c>
      <c r="F1708">
        <v>20</v>
      </c>
      <c r="G1708" t="s">
        <v>390</v>
      </c>
    </row>
    <row r="1709" spans="1:7">
      <c r="A1709" t="s">
        <v>3775</v>
      </c>
      <c r="B1709" t="s">
        <v>3776</v>
      </c>
      <c r="C1709">
        <v>15</v>
      </c>
      <c r="D1709" s="321">
        <v>46251</v>
      </c>
      <c r="E1709" s="321">
        <v>46269</v>
      </c>
      <c r="F1709">
        <v>5</v>
      </c>
      <c r="G1709" t="s">
        <v>390</v>
      </c>
    </row>
    <row r="1710" spans="1:7">
      <c r="A1710" t="s">
        <v>3777</v>
      </c>
      <c r="B1710" t="s">
        <v>3778</v>
      </c>
      <c r="C1710">
        <v>10</v>
      </c>
      <c r="D1710" s="321">
        <v>46286</v>
      </c>
      <c r="E1710" s="321">
        <v>46297</v>
      </c>
      <c r="F1710">
        <v>25</v>
      </c>
      <c r="G1710" t="s">
        <v>390</v>
      </c>
    </row>
    <row r="1711" spans="1:7">
      <c r="A1711" t="s">
        <v>3779</v>
      </c>
      <c r="B1711" t="s">
        <v>3780</v>
      </c>
      <c r="C1711">
        <v>5</v>
      </c>
      <c r="D1711" s="321">
        <v>46337</v>
      </c>
      <c r="E1711" s="321">
        <v>46343</v>
      </c>
      <c r="F1711">
        <v>20</v>
      </c>
      <c r="G1711" t="s">
        <v>390</v>
      </c>
    </row>
    <row r="1712" spans="1:7">
      <c r="A1712" t="s">
        <v>3781</v>
      </c>
      <c r="B1712" t="s">
        <v>3782</v>
      </c>
      <c r="C1712">
        <v>15</v>
      </c>
      <c r="D1712" s="321">
        <v>46251</v>
      </c>
      <c r="E1712" s="321">
        <v>46269</v>
      </c>
      <c r="F1712">
        <v>5</v>
      </c>
      <c r="G1712" t="s">
        <v>390</v>
      </c>
    </row>
    <row r="1713" spans="1:7">
      <c r="A1713" t="s">
        <v>3783</v>
      </c>
      <c r="B1713" t="s">
        <v>3784</v>
      </c>
      <c r="C1713">
        <v>10</v>
      </c>
      <c r="D1713" s="321">
        <v>46286</v>
      </c>
      <c r="E1713" s="321">
        <v>46297</v>
      </c>
      <c r="F1713">
        <v>25</v>
      </c>
      <c r="G1713" t="s">
        <v>390</v>
      </c>
    </row>
    <row r="1714" spans="1:7">
      <c r="A1714" t="s">
        <v>3785</v>
      </c>
      <c r="B1714" t="s">
        <v>3786</v>
      </c>
      <c r="C1714">
        <v>5</v>
      </c>
      <c r="D1714" s="321">
        <v>46337</v>
      </c>
      <c r="E1714" s="321">
        <v>46343</v>
      </c>
      <c r="F1714">
        <v>20</v>
      </c>
      <c r="G1714" t="s">
        <v>390</v>
      </c>
    </row>
    <row r="1715" spans="1:7">
      <c r="A1715" t="s">
        <v>3787</v>
      </c>
      <c r="B1715" t="s">
        <v>3788</v>
      </c>
      <c r="C1715">
        <v>15</v>
      </c>
      <c r="D1715" s="321">
        <v>46251</v>
      </c>
      <c r="E1715" s="321">
        <v>46269</v>
      </c>
      <c r="F1715">
        <v>5</v>
      </c>
      <c r="G1715" t="s">
        <v>390</v>
      </c>
    </row>
    <row r="1716" spans="1:7">
      <c r="A1716" t="s">
        <v>3789</v>
      </c>
      <c r="B1716" t="s">
        <v>3790</v>
      </c>
      <c r="C1716">
        <v>10</v>
      </c>
      <c r="D1716" s="321">
        <v>46286</v>
      </c>
      <c r="E1716" s="321">
        <v>46297</v>
      </c>
      <c r="F1716">
        <v>25</v>
      </c>
      <c r="G1716" t="s">
        <v>390</v>
      </c>
    </row>
    <row r="1717" spans="1:7">
      <c r="A1717" t="s">
        <v>3791</v>
      </c>
      <c r="B1717" t="s">
        <v>3792</v>
      </c>
      <c r="C1717">
        <v>5</v>
      </c>
      <c r="D1717" s="321">
        <v>46337</v>
      </c>
      <c r="E1717" s="321">
        <v>46343</v>
      </c>
      <c r="F1717">
        <v>20</v>
      </c>
      <c r="G1717" t="s">
        <v>390</v>
      </c>
    </row>
    <row r="1718" spans="1:7">
      <c r="A1718" t="s">
        <v>3793</v>
      </c>
      <c r="B1718" t="s">
        <v>3794</v>
      </c>
      <c r="C1718">
        <v>15</v>
      </c>
      <c r="D1718" s="321">
        <v>46209</v>
      </c>
      <c r="E1718" s="321">
        <v>46227</v>
      </c>
      <c r="F1718">
        <v>27</v>
      </c>
      <c r="G1718" t="s">
        <v>390</v>
      </c>
    </row>
    <row r="1719" spans="1:7">
      <c r="A1719" t="s">
        <v>3795</v>
      </c>
      <c r="B1719" t="s">
        <v>3796</v>
      </c>
      <c r="C1719">
        <v>5</v>
      </c>
      <c r="D1719" s="321">
        <v>46303</v>
      </c>
      <c r="E1719" s="321">
        <v>46310</v>
      </c>
      <c r="F1719">
        <v>42</v>
      </c>
      <c r="G1719" t="s">
        <v>390</v>
      </c>
    </row>
    <row r="1720" spans="1:7">
      <c r="A1720" t="s">
        <v>3797</v>
      </c>
      <c r="B1720" t="s">
        <v>3798</v>
      </c>
      <c r="C1720">
        <v>15</v>
      </c>
      <c r="D1720" s="321">
        <v>46251</v>
      </c>
      <c r="E1720" s="321">
        <v>46269</v>
      </c>
      <c r="F1720">
        <v>16</v>
      </c>
      <c r="G1720" t="s">
        <v>390</v>
      </c>
    </row>
    <row r="1721" spans="1:7">
      <c r="A1721" t="s">
        <v>3799</v>
      </c>
      <c r="B1721" t="s">
        <v>3800</v>
      </c>
      <c r="C1721">
        <v>5</v>
      </c>
      <c r="D1721" s="321">
        <v>46303</v>
      </c>
      <c r="E1721" s="321">
        <v>46310</v>
      </c>
      <c r="F1721">
        <v>42</v>
      </c>
      <c r="G1721" t="s">
        <v>390</v>
      </c>
    </row>
    <row r="1722" spans="1:7">
      <c r="A1722" t="s">
        <v>3801</v>
      </c>
      <c r="B1722" t="s">
        <v>3802</v>
      </c>
      <c r="C1722">
        <v>15</v>
      </c>
      <c r="D1722" s="321">
        <v>46251</v>
      </c>
      <c r="E1722" s="321">
        <v>46269</v>
      </c>
      <c r="F1722">
        <v>5</v>
      </c>
      <c r="G1722" t="s">
        <v>390</v>
      </c>
    </row>
    <row r="1723" spans="1:7">
      <c r="A1723" t="s">
        <v>3803</v>
      </c>
      <c r="B1723" t="s">
        <v>3804</v>
      </c>
      <c r="C1723">
        <v>10</v>
      </c>
      <c r="D1723" s="321">
        <v>46286</v>
      </c>
      <c r="E1723" s="321">
        <v>46297</v>
      </c>
      <c r="F1723">
        <v>25</v>
      </c>
      <c r="G1723" t="s">
        <v>390</v>
      </c>
    </row>
    <row r="1724" spans="1:7">
      <c r="A1724" t="s">
        <v>3805</v>
      </c>
      <c r="B1724" t="s">
        <v>3806</v>
      </c>
      <c r="C1724">
        <v>5</v>
      </c>
      <c r="D1724" s="321">
        <v>46337</v>
      </c>
      <c r="E1724" s="321">
        <v>46343</v>
      </c>
      <c r="F1724">
        <v>20</v>
      </c>
      <c r="G1724" t="s">
        <v>390</v>
      </c>
    </row>
    <row r="1725" spans="1:7">
      <c r="A1725" t="s">
        <v>3807</v>
      </c>
      <c r="B1725" t="s">
        <v>3808</v>
      </c>
      <c r="C1725">
        <v>15</v>
      </c>
      <c r="D1725" s="321">
        <v>46251</v>
      </c>
      <c r="E1725" s="321">
        <v>46269</v>
      </c>
      <c r="F1725">
        <v>5</v>
      </c>
      <c r="G1725" t="s">
        <v>390</v>
      </c>
    </row>
    <row r="1726" spans="1:7">
      <c r="A1726" t="s">
        <v>3809</v>
      </c>
      <c r="B1726" t="s">
        <v>3810</v>
      </c>
      <c r="C1726">
        <v>5</v>
      </c>
      <c r="D1726" s="321">
        <v>46286</v>
      </c>
      <c r="E1726" s="321">
        <v>46290</v>
      </c>
      <c r="F1726">
        <v>30</v>
      </c>
      <c r="G1726" t="s">
        <v>390</v>
      </c>
    </row>
    <row r="1727" spans="1:7">
      <c r="A1727" t="s">
        <v>3811</v>
      </c>
      <c r="B1727" t="s">
        <v>3812</v>
      </c>
      <c r="C1727">
        <v>5</v>
      </c>
      <c r="D1727" s="321">
        <v>46337</v>
      </c>
      <c r="E1727" s="321">
        <v>46343</v>
      </c>
      <c r="F1727">
        <v>20</v>
      </c>
      <c r="G1727" t="s">
        <v>390</v>
      </c>
    </row>
    <row r="1728" spans="1:7">
      <c r="A1728" t="s">
        <v>3813</v>
      </c>
      <c r="B1728" t="s">
        <v>3814</v>
      </c>
      <c r="C1728">
        <v>15</v>
      </c>
      <c r="D1728" s="321">
        <v>46251</v>
      </c>
      <c r="E1728" s="321">
        <v>46269</v>
      </c>
      <c r="F1728">
        <v>5</v>
      </c>
      <c r="G1728" t="s">
        <v>390</v>
      </c>
    </row>
    <row r="1729" spans="1:7">
      <c r="A1729" t="s">
        <v>3815</v>
      </c>
      <c r="B1729" t="s">
        <v>3816</v>
      </c>
      <c r="C1729">
        <v>5</v>
      </c>
      <c r="D1729" s="321">
        <v>46337</v>
      </c>
      <c r="E1729" s="321">
        <v>46343</v>
      </c>
      <c r="F1729">
        <v>25</v>
      </c>
      <c r="G1729" t="s">
        <v>390</v>
      </c>
    </row>
    <row r="1730" spans="1:7">
      <c r="A1730" t="s">
        <v>3817</v>
      </c>
      <c r="B1730" t="s">
        <v>3818</v>
      </c>
      <c r="C1730">
        <v>15</v>
      </c>
      <c r="D1730" s="321">
        <v>46141</v>
      </c>
      <c r="E1730" s="321">
        <v>46162</v>
      </c>
      <c r="F1730">
        <v>0</v>
      </c>
      <c r="G1730" t="s">
        <v>390</v>
      </c>
    </row>
    <row r="1731" spans="1:7">
      <c r="A1731" t="s">
        <v>3819</v>
      </c>
      <c r="B1731" t="s">
        <v>3820</v>
      </c>
      <c r="C1731">
        <v>10</v>
      </c>
      <c r="D1731" s="321">
        <v>46181</v>
      </c>
      <c r="E1731" s="321">
        <v>46192</v>
      </c>
      <c r="F1731">
        <v>22</v>
      </c>
      <c r="G1731" t="s">
        <v>390</v>
      </c>
    </row>
    <row r="1732" spans="1:7">
      <c r="A1732" t="s">
        <v>3821</v>
      </c>
      <c r="B1732" t="s">
        <v>3822</v>
      </c>
      <c r="C1732">
        <v>5</v>
      </c>
      <c r="D1732" s="321">
        <v>46211</v>
      </c>
      <c r="E1732" s="321">
        <v>46217</v>
      </c>
      <c r="F1732">
        <v>20</v>
      </c>
      <c r="G1732" t="s">
        <v>390</v>
      </c>
    </row>
    <row r="1733" spans="1:7">
      <c r="A1733" t="s">
        <v>3823</v>
      </c>
      <c r="B1733" t="s">
        <v>3824</v>
      </c>
      <c r="C1733">
        <v>15</v>
      </c>
      <c r="D1733" s="321">
        <v>46220</v>
      </c>
      <c r="E1733" s="321">
        <v>46245</v>
      </c>
      <c r="F1733">
        <v>19</v>
      </c>
      <c r="G1733" t="s">
        <v>390</v>
      </c>
    </row>
    <row r="1734" spans="1:7">
      <c r="A1734" t="s">
        <v>3825</v>
      </c>
      <c r="B1734" t="s">
        <v>3826</v>
      </c>
      <c r="C1734">
        <v>10</v>
      </c>
      <c r="D1734" s="321">
        <v>46261</v>
      </c>
      <c r="E1734" s="321">
        <v>46274</v>
      </c>
      <c r="F1734">
        <v>42</v>
      </c>
      <c r="G1734" t="s">
        <v>390</v>
      </c>
    </row>
    <row r="1735" spans="1:7">
      <c r="A1735" t="s">
        <v>3827</v>
      </c>
      <c r="B1735" t="s">
        <v>3828</v>
      </c>
      <c r="C1735">
        <v>5</v>
      </c>
      <c r="D1735" s="321">
        <v>46316</v>
      </c>
      <c r="E1735" s="321">
        <v>46323</v>
      </c>
      <c r="F1735">
        <v>34</v>
      </c>
      <c r="G1735" t="s">
        <v>390</v>
      </c>
    </row>
    <row r="1736" spans="1:7">
      <c r="A1736" t="s">
        <v>3829</v>
      </c>
      <c r="B1736" t="s">
        <v>3830</v>
      </c>
      <c r="C1736">
        <v>15</v>
      </c>
      <c r="D1736" s="321">
        <v>46230</v>
      </c>
      <c r="E1736" s="321">
        <v>46254</v>
      </c>
      <c r="F1736">
        <v>16</v>
      </c>
      <c r="G1736" t="s">
        <v>390</v>
      </c>
    </row>
    <row r="1737" spans="1:7">
      <c r="A1737" t="s">
        <v>3831</v>
      </c>
      <c r="B1737" t="s">
        <v>3832</v>
      </c>
      <c r="C1737">
        <v>10</v>
      </c>
      <c r="D1737" s="321">
        <v>46269</v>
      </c>
      <c r="E1737" s="321">
        <v>46282</v>
      </c>
      <c r="F1737">
        <v>36</v>
      </c>
      <c r="G1737" t="s">
        <v>390</v>
      </c>
    </row>
    <row r="1738" spans="1:7">
      <c r="A1738" t="s">
        <v>3833</v>
      </c>
      <c r="B1738" t="s">
        <v>3834</v>
      </c>
      <c r="C1738">
        <v>5</v>
      </c>
      <c r="D1738" s="321">
        <v>46322</v>
      </c>
      <c r="E1738" s="321">
        <v>46328</v>
      </c>
      <c r="F1738">
        <v>31</v>
      </c>
      <c r="G1738" t="s">
        <v>390</v>
      </c>
    </row>
    <row r="1739" spans="1:7">
      <c r="A1739" t="s">
        <v>3835</v>
      </c>
      <c r="B1739" t="s">
        <v>3836</v>
      </c>
      <c r="C1739">
        <v>15</v>
      </c>
      <c r="D1739" s="321">
        <v>46136</v>
      </c>
      <c r="E1739" s="321">
        <v>46157</v>
      </c>
      <c r="F1739">
        <v>93</v>
      </c>
      <c r="G1739" t="s">
        <v>390</v>
      </c>
    </row>
    <row r="1740" spans="1:7">
      <c r="A1740" t="s">
        <v>3837</v>
      </c>
      <c r="B1740" t="s">
        <v>3838</v>
      </c>
      <c r="C1740">
        <v>10</v>
      </c>
      <c r="D1740" s="321">
        <v>46175</v>
      </c>
      <c r="E1740" s="321">
        <v>46189</v>
      </c>
      <c r="F1740">
        <v>99</v>
      </c>
      <c r="G1740" t="s">
        <v>390</v>
      </c>
    </row>
    <row r="1741" spans="1:7">
      <c r="A1741" t="s">
        <v>3839</v>
      </c>
      <c r="B1741" t="s">
        <v>3840</v>
      </c>
      <c r="C1741">
        <v>5</v>
      </c>
      <c r="D1741" s="321">
        <v>46205</v>
      </c>
      <c r="E1741" s="321">
        <v>46211</v>
      </c>
      <c r="F1741">
        <v>108</v>
      </c>
      <c r="G1741" t="s">
        <v>390</v>
      </c>
    </row>
    <row r="1742" spans="1:7">
      <c r="A1742" t="s">
        <v>3841</v>
      </c>
      <c r="B1742" t="s">
        <v>3842</v>
      </c>
      <c r="C1742">
        <v>15</v>
      </c>
      <c r="D1742" s="321">
        <v>46171</v>
      </c>
      <c r="E1742" s="321">
        <v>46195</v>
      </c>
      <c r="F1742">
        <v>57</v>
      </c>
      <c r="G1742" t="s">
        <v>390</v>
      </c>
    </row>
    <row r="1743" spans="1:7">
      <c r="A1743" t="s">
        <v>3843</v>
      </c>
      <c r="B1743" t="s">
        <v>3844</v>
      </c>
      <c r="C1743">
        <v>10</v>
      </c>
      <c r="D1743" s="321">
        <v>46210</v>
      </c>
      <c r="E1743" s="321">
        <v>46223</v>
      </c>
      <c r="F1743">
        <v>75</v>
      </c>
      <c r="G1743" t="s">
        <v>390</v>
      </c>
    </row>
    <row r="1744" spans="1:7">
      <c r="A1744" t="s">
        <v>3845</v>
      </c>
      <c r="B1744" t="s">
        <v>3846</v>
      </c>
      <c r="C1744">
        <v>5</v>
      </c>
      <c r="D1744" s="321">
        <v>46261</v>
      </c>
      <c r="E1744" s="321">
        <v>46267</v>
      </c>
      <c r="F1744">
        <v>72</v>
      </c>
      <c r="G1744" t="s">
        <v>390</v>
      </c>
    </row>
    <row r="1745" spans="1:7">
      <c r="A1745" t="s">
        <v>3847</v>
      </c>
      <c r="B1745" t="s">
        <v>3848</v>
      </c>
      <c r="C1745">
        <v>15</v>
      </c>
      <c r="D1745" s="321">
        <v>46149</v>
      </c>
      <c r="E1745" s="321">
        <v>46169</v>
      </c>
      <c r="F1745">
        <v>0</v>
      </c>
      <c r="G1745" t="s">
        <v>390</v>
      </c>
    </row>
    <row r="1746" spans="1:7">
      <c r="A1746" t="s">
        <v>3849</v>
      </c>
      <c r="B1746" t="s">
        <v>3850</v>
      </c>
      <c r="C1746">
        <v>10</v>
      </c>
      <c r="D1746" s="321">
        <v>46188</v>
      </c>
      <c r="E1746" s="321">
        <v>46199</v>
      </c>
      <c r="F1746">
        <v>38</v>
      </c>
      <c r="G1746" t="s">
        <v>390</v>
      </c>
    </row>
    <row r="1747" spans="1:7">
      <c r="A1747" t="s">
        <v>3851</v>
      </c>
      <c r="B1747" t="s">
        <v>3852</v>
      </c>
      <c r="C1747">
        <v>5</v>
      </c>
      <c r="D1747" s="321">
        <v>46238</v>
      </c>
      <c r="E1747" s="321">
        <v>46244</v>
      </c>
      <c r="F1747">
        <v>25</v>
      </c>
      <c r="G1747" t="s">
        <v>390</v>
      </c>
    </row>
    <row r="1748" spans="1:7">
      <c r="A1748" t="s">
        <v>3853</v>
      </c>
      <c r="B1748" t="s">
        <v>3854</v>
      </c>
      <c r="C1748">
        <v>15</v>
      </c>
      <c r="D1748" s="321">
        <v>46251</v>
      </c>
      <c r="E1748" s="321">
        <v>46269</v>
      </c>
      <c r="F1748">
        <v>4</v>
      </c>
      <c r="G1748" t="s">
        <v>390</v>
      </c>
    </row>
    <row r="1749" spans="1:7">
      <c r="A1749" t="s">
        <v>3855</v>
      </c>
      <c r="B1749" t="s">
        <v>3856</v>
      </c>
      <c r="C1749">
        <v>10</v>
      </c>
      <c r="D1749" s="321">
        <v>46286</v>
      </c>
      <c r="E1749" s="321">
        <v>46297</v>
      </c>
      <c r="F1749">
        <v>25</v>
      </c>
      <c r="G1749" t="s">
        <v>390</v>
      </c>
    </row>
    <row r="1750" spans="1:7">
      <c r="A1750" t="s">
        <v>3857</v>
      </c>
      <c r="B1750" t="s">
        <v>3858</v>
      </c>
      <c r="C1750">
        <v>5</v>
      </c>
      <c r="D1750" s="321">
        <v>46338</v>
      </c>
      <c r="E1750" s="321">
        <v>46344</v>
      </c>
      <c r="F1750">
        <v>19</v>
      </c>
      <c r="G1750" t="s">
        <v>390</v>
      </c>
    </row>
    <row r="1751" spans="1:7">
      <c r="A1751" t="s">
        <v>3859</v>
      </c>
      <c r="B1751" t="s">
        <v>3860</v>
      </c>
      <c r="C1751">
        <v>15</v>
      </c>
      <c r="D1751" s="321">
        <v>46251</v>
      </c>
      <c r="E1751" s="321">
        <v>46269</v>
      </c>
      <c r="F1751">
        <v>14</v>
      </c>
      <c r="G1751" t="s">
        <v>390</v>
      </c>
    </row>
    <row r="1752" spans="1:7">
      <c r="A1752" t="s">
        <v>3861</v>
      </c>
      <c r="B1752" t="s">
        <v>3862</v>
      </c>
      <c r="C1752">
        <v>10</v>
      </c>
      <c r="D1752" s="321">
        <v>46286</v>
      </c>
      <c r="E1752" s="321">
        <v>46297</v>
      </c>
      <c r="F1752">
        <v>25</v>
      </c>
      <c r="G1752" t="s">
        <v>390</v>
      </c>
    </row>
    <row r="1753" spans="1:7">
      <c r="A1753" t="s">
        <v>3863</v>
      </c>
      <c r="B1753" t="s">
        <v>3864</v>
      </c>
      <c r="C1753">
        <v>5</v>
      </c>
      <c r="D1753" s="321">
        <v>46324</v>
      </c>
      <c r="E1753" s="321">
        <v>46330</v>
      </c>
      <c r="F1753">
        <v>29</v>
      </c>
      <c r="G1753" t="s">
        <v>390</v>
      </c>
    </row>
    <row r="1754" spans="1:7">
      <c r="A1754" t="s">
        <v>3865</v>
      </c>
      <c r="B1754" t="s">
        <v>3866</v>
      </c>
      <c r="C1754">
        <v>15</v>
      </c>
      <c r="D1754" s="321">
        <v>46251</v>
      </c>
      <c r="E1754" s="321">
        <v>46269</v>
      </c>
      <c r="F1754">
        <v>5</v>
      </c>
      <c r="G1754" t="s">
        <v>390</v>
      </c>
    </row>
    <row r="1755" spans="1:7">
      <c r="A1755" t="s">
        <v>3867</v>
      </c>
      <c r="B1755" t="s">
        <v>3868</v>
      </c>
      <c r="C1755">
        <v>10</v>
      </c>
      <c r="D1755" s="321">
        <v>46286</v>
      </c>
      <c r="E1755" s="321">
        <v>46297</v>
      </c>
      <c r="F1755">
        <v>25</v>
      </c>
      <c r="G1755" t="s">
        <v>390</v>
      </c>
    </row>
    <row r="1756" spans="1:7">
      <c r="A1756" t="s">
        <v>3869</v>
      </c>
      <c r="B1756" t="s">
        <v>3870</v>
      </c>
      <c r="C1756">
        <v>5</v>
      </c>
      <c r="D1756" s="321">
        <v>46337</v>
      </c>
      <c r="E1756" s="321">
        <v>46343</v>
      </c>
      <c r="F1756">
        <v>20</v>
      </c>
      <c r="G1756" t="s">
        <v>390</v>
      </c>
    </row>
    <row r="1757" spans="1:7">
      <c r="A1757" t="s">
        <v>3871</v>
      </c>
      <c r="B1757" t="s">
        <v>3872</v>
      </c>
      <c r="C1757">
        <v>15</v>
      </c>
      <c r="D1757" s="321">
        <v>46251</v>
      </c>
      <c r="E1757" s="321">
        <v>46269</v>
      </c>
      <c r="F1757">
        <v>5</v>
      </c>
      <c r="G1757" t="s">
        <v>390</v>
      </c>
    </row>
    <row r="1758" spans="1:7">
      <c r="A1758" t="s">
        <v>3873</v>
      </c>
      <c r="B1758" t="s">
        <v>3874</v>
      </c>
      <c r="C1758">
        <v>5</v>
      </c>
      <c r="D1758" s="321">
        <v>46337</v>
      </c>
      <c r="E1758" s="321">
        <v>46343</v>
      </c>
      <c r="F1758">
        <v>20</v>
      </c>
      <c r="G1758" t="s">
        <v>390</v>
      </c>
    </row>
    <row r="1759" spans="1:7">
      <c r="A1759" t="s">
        <v>3875</v>
      </c>
      <c r="B1759" t="s">
        <v>3876</v>
      </c>
      <c r="C1759">
        <v>15</v>
      </c>
      <c r="D1759" s="321">
        <v>46251</v>
      </c>
      <c r="E1759" s="321">
        <v>46269</v>
      </c>
      <c r="F1759">
        <v>5</v>
      </c>
      <c r="G1759" t="s">
        <v>390</v>
      </c>
    </row>
    <row r="1760" spans="1:7">
      <c r="A1760" t="s">
        <v>3877</v>
      </c>
      <c r="B1760" t="s">
        <v>3878</v>
      </c>
      <c r="C1760">
        <v>5</v>
      </c>
      <c r="D1760" s="321">
        <v>46337</v>
      </c>
      <c r="E1760" s="321">
        <v>46343</v>
      </c>
      <c r="F1760">
        <v>20</v>
      </c>
      <c r="G1760" t="s">
        <v>390</v>
      </c>
    </row>
    <row r="1761" spans="1:7">
      <c r="A1761" t="s">
        <v>3879</v>
      </c>
      <c r="B1761" t="s">
        <v>3880</v>
      </c>
      <c r="C1761">
        <v>15</v>
      </c>
      <c r="D1761" s="321">
        <v>46251</v>
      </c>
      <c r="E1761" s="321">
        <v>46269</v>
      </c>
      <c r="F1761">
        <v>5</v>
      </c>
      <c r="G1761" t="s">
        <v>390</v>
      </c>
    </row>
    <row r="1762" spans="1:7">
      <c r="A1762" t="s">
        <v>3881</v>
      </c>
      <c r="B1762" t="s">
        <v>3882</v>
      </c>
      <c r="C1762">
        <v>5</v>
      </c>
      <c r="D1762" s="321">
        <v>46337</v>
      </c>
      <c r="E1762" s="321">
        <v>46343</v>
      </c>
      <c r="F1762">
        <v>20</v>
      </c>
      <c r="G1762" t="s">
        <v>390</v>
      </c>
    </row>
    <row r="1763" spans="1:7">
      <c r="A1763" t="s">
        <v>3883</v>
      </c>
      <c r="B1763" t="s">
        <v>3884</v>
      </c>
      <c r="C1763">
        <v>15</v>
      </c>
      <c r="D1763" s="321">
        <v>46251</v>
      </c>
      <c r="E1763" s="321">
        <v>46269</v>
      </c>
      <c r="F1763">
        <v>5</v>
      </c>
      <c r="G1763" t="s">
        <v>390</v>
      </c>
    </row>
    <row r="1764" spans="1:7">
      <c r="A1764" t="s">
        <v>3885</v>
      </c>
      <c r="B1764" t="s">
        <v>3886</v>
      </c>
      <c r="C1764">
        <v>5</v>
      </c>
      <c r="D1764" s="321">
        <v>46337</v>
      </c>
      <c r="E1764" s="321">
        <v>46343</v>
      </c>
      <c r="F1764">
        <v>20</v>
      </c>
      <c r="G1764" t="s">
        <v>390</v>
      </c>
    </row>
    <row r="1765" spans="1:7">
      <c r="A1765" t="s">
        <v>3887</v>
      </c>
      <c r="B1765" t="s">
        <v>3888</v>
      </c>
      <c r="C1765">
        <v>15</v>
      </c>
      <c r="D1765" s="321">
        <v>46251</v>
      </c>
      <c r="E1765" s="321">
        <v>46269</v>
      </c>
      <c r="F1765">
        <v>5</v>
      </c>
      <c r="G1765" t="s">
        <v>390</v>
      </c>
    </row>
    <row r="1766" spans="1:7">
      <c r="A1766" t="s">
        <v>3889</v>
      </c>
      <c r="B1766" t="s">
        <v>3890</v>
      </c>
      <c r="C1766">
        <v>5</v>
      </c>
      <c r="D1766" s="321">
        <v>46337</v>
      </c>
      <c r="E1766" s="321">
        <v>46343</v>
      </c>
      <c r="F1766">
        <v>20</v>
      </c>
      <c r="G1766" t="s">
        <v>390</v>
      </c>
    </row>
    <row r="1767" spans="1:7">
      <c r="A1767" t="s">
        <v>3891</v>
      </c>
      <c r="B1767" t="s">
        <v>3892</v>
      </c>
      <c r="C1767">
        <v>15</v>
      </c>
      <c r="D1767" s="321">
        <v>46251</v>
      </c>
      <c r="E1767" s="321">
        <v>46269</v>
      </c>
      <c r="F1767">
        <v>5</v>
      </c>
      <c r="G1767" t="s">
        <v>390</v>
      </c>
    </row>
    <row r="1768" spans="1:7">
      <c r="A1768" t="s">
        <v>3893</v>
      </c>
      <c r="B1768" t="s">
        <v>3894</v>
      </c>
      <c r="C1768">
        <v>10</v>
      </c>
      <c r="D1768" s="321">
        <v>46286</v>
      </c>
      <c r="E1768" s="321">
        <v>46297</v>
      </c>
      <c r="F1768">
        <v>25</v>
      </c>
      <c r="G1768" t="s">
        <v>390</v>
      </c>
    </row>
    <row r="1769" spans="1:7">
      <c r="A1769" t="s">
        <v>3895</v>
      </c>
      <c r="B1769" t="s">
        <v>3896</v>
      </c>
      <c r="C1769">
        <v>5</v>
      </c>
      <c r="D1769" s="321">
        <v>46337</v>
      </c>
      <c r="E1769" s="321">
        <v>46343</v>
      </c>
      <c r="F1769">
        <v>20</v>
      </c>
      <c r="G1769" t="s">
        <v>390</v>
      </c>
    </row>
    <row r="1770" spans="1:7">
      <c r="A1770" t="s">
        <v>3897</v>
      </c>
      <c r="B1770" t="s">
        <v>3898</v>
      </c>
      <c r="C1770">
        <v>15</v>
      </c>
      <c r="D1770" s="321">
        <v>46251</v>
      </c>
      <c r="E1770" s="321">
        <v>46269</v>
      </c>
      <c r="F1770">
        <v>5</v>
      </c>
      <c r="G1770" t="s">
        <v>390</v>
      </c>
    </row>
    <row r="1771" spans="1:7">
      <c r="A1771" t="s">
        <v>3899</v>
      </c>
      <c r="B1771" t="s">
        <v>3900</v>
      </c>
      <c r="C1771">
        <v>10</v>
      </c>
      <c r="D1771" s="321">
        <v>46286</v>
      </c>
      <c r="E1771" s="321">
        <v>46297</v>
      </c>
      <c r="F1771">
        <v>25</v>
      </c>
      <c r="G1771" t="s">
        <v>390</v>
      </c>
    </row>
    <row r="1772" spans="1:7">
      <c r="A1772" t="s">
        <v>3901</v>
      </c>
      <c r="B1772" t="s">
        <v>3902</v>
      </c>
      <c r="C1772">
        <v>5</v>
      </c>
      <c r="D1772" s="321">
        <v>46337</v>
      </c>
      <c r="E1772" s="321">
        <v>46343</v>
      </c>
      <c r="F1772">
        <v>20</v>
      </c>
      <c r="G1772" t="s">
        <v>390</v>
      </c>
    </row>
    <row r="1773" spans="1:7">
      <c r="A1773" t="s">
        <v>3903</v>
      </c>
      <c r="B1773" t="s">
        <v>3904</v>
      </c>
      <c r="C1773">
        <v>15</v>
      </c>
      <c r="D1773" s="321">
        <v>46251</v>
      </c>
      <c r="E1773" s="321">
        <v>46269</v>
      </c>
      <c r="F1773">
        <v>5</v>
      </c>
      <c r="G1773" t="s">
        <v>390</v>
      </c>
    </row>
    <row r="1774" spans="1:7">
      <c r="A1774" t="s">
        <v>3905</v>
      </c>
      <c r="B1774" t="s">
        <v>3906</v>
      </c>
      <c r="C1774">
        <v>10</v>
      </c>
      <c r="D1774" s="321">
        <v>46286</v>
      </c>
      <c r="E1774" s="321">
        <v>46297</v>
      </c>
      <c r="F1774">
        <v>25</v>
      </c>
      <c r="G1774" t="s">
        <v>390</v>
      </c>
    </row>
    <row r="1775" spans="1:7">
      <c r="A1775" t="s">
        <v>3907</v>
      </c>
      <c r="B1775" t="s">
        <v>3908</v>
      </c>
      <c r="C1775">
        <v>5</v>
      </c>
      <c r="D1775" s="321">
        <v>46337</v>
      </c>
      <c r="E1775" s="321">
        <v>46343</v>
      </c>
      <c r="F1775">
        <v>20</v>
      </c>
      <c r="G1775" t="s">
        <v>390</v>
      </c>
    </row>
    <row r="1776" spans="1:7">
      <c r="A1776" t="s">
        <v>3909</v>
      </c>
      <c r="B1776" t="s">
        <v>3910</v>
      </c>
      <c r="C1776">
        <v>15</v>
      </c>
      <c r="D1776" s="321">
        <v>46209</v>
      </c>
      <c r="E1776" s="321">
        <v>46227</v>
      </c>
      <c r="F1776">
        <v>27</v>
      </c>
      <c r="G1776" t="s">
        <v>390</v>
      </c>
    </row>
    <row r="1777" spans="1:7">
      <c r="A1777" t="s">
        <v>3911</v>
      </c>
      <c r="B1777" t="s">
        <v>3912</v>
      </c>
      <c r="C1777">
        <v>10</v>
      </c>
      <c r="D1777" s="321">
        <v>46248</v>
      </c>
      <c r="E1777" s="321">
        <v>46261</v>
      </c>
      <c r="F1777">
        <v>51</v>
      </c>
      <c r="G1777" t="s">
        <v>390</v>
      </c>
    </row>
    <row r="1778" spans="1:7">
      <c r="A1778" t="s">
        <v>3913</v>
      </c>
      <c r="B1778" t="s">
        <v>3914</v>
      </c>
      <c r="C1778">
        <v>5</v>
      </c>
      <c r="D1778" s="321">
        <v>46303</v>
      </c>
      <c r="E1778" s="321">
        <v>46310</v>
      </c>
      <c r="F1778">
        <v>42</v>
      </c>
      <c r="G1778" t="s">
        <v>390</v>
      </c>
    </row>
    <row r="1779" spans="1:7">
      <c r="A1779" t="s">
        <v>3915</v>
      </c>
      <c r="B1779" t="s">
        <v>3916</v>
      </c>
      <c r="C1779">
        <v>15</v>
      </c>
      <c r="D1779" s="321">
        <v>46209</v>
      </c>
      <c r="E1779" s="321">
        <v>46227</v>
      </c>
      <c r="F1779">
        <v>27</v>
      </c>
      <c r="G1779" t="s">
        <v>390</v>
      </c>
    </row>
    <row r="1780" spans="1:7">
      <c r="A1780" t="s">
        <v>3917</v>
      </c>
      <c r="B1780" t="s">
        <v>3918</v>
      </c>
      <c r="C1780">
        <v>5</v>
      </c>
      <c r="D1780" s="321">
        <v>46303</v>
      </c>
      <c r="E1780" s="321">
        <v>46310</v>
      </c>
      <c r="F1780">
        <v>42</v>
      </c>
      <c r="G1780" t="s">
        <v>390</v>
      </c>
    </row>
    <row r="1781" spans="1:7">
      <c r="A1781" t="s">
        <v>3919</v>
      </c>
      <c r="B1781" t="s">
        <v>3920</v>
      </c>
      <c r="C1781">
        <v>15</v>
      </c>
      <c r="D1781" s="321">
        <v>46251</v>
      </c>
      <c r="E1781" s="321">
        <v>46269</v>
      </c>
      <c r="F1781">
        <v>16</v>
      </c>
      <c r="G1781" t="s">
        <v>390</v>
      </c>
    </row>
    <row r="1782" spans="1:7">
      <c r="A1782" t="s">
        <v>3921</v>
      </c>
      <c r="B1782" t="s">
        <v>3922</v>
      </c>
      <c r="C1782">
        <v>5</v>
      </c>
      <c r="D1782" s="321">
        <v>46331</v>
      </c>
      <c r="E1782" s="321">
        <v>46337</v>
      </c>
      <c r="F1782">
        <v>24</v>
      </c>
      <c r="G1782" t="s">
        <v>390</v>
      </c>
    </row>
    <row r="1783" spans="1:7">
      <c r="A1783" t="s">
        <v>3923</v>
      </c>
      <c r="B1783" t="s">
        <v>3924</v>
      </c>
      <c r="C1783">
        <v>15</v>
      </c>
      <c r="D1783" s="321">
        <v>46251</v>
      </c>
      <c r="E1783" s="321">
        <v>46269</v>
      </c>
      <c r="F1783">
        <v>5</v>
      </c>
      <c r="G1783" t="s">
        <v>390</v>
      </c>
    </row>
    <row r="1784" spans="1:7">
      <c r="A1784" t="s">
        <v>3925</v>
      </c>
      <c r="B1784" t="s">
        <v>3926</v>
      </c>
      <c r="C1784">
        <v>10</v>
      </c>
      <c r="D1784" s="321">
        <v>46286</v>
      </c>
      <c r="E1784" s="321">
        <v>46297</v>
      </c>
      <c r="F1784">
        <v>25</v>
      </c>
      <c r="G1784" t="s">
        <v>390</v>
      </c>
    </row>
    <row r="1785" spans="1:7">
      <c r="A1785" t="s">
        <v>3927</v>
      </c>
      <c r="B1785" t="s">
        <v>3928</v>
      </c>
      <c r="C1785">
        <v>5</v>
      </c>
      <c r="D1785" s="321">
        <v>46337</v>
      </c>
      <c r="E1785" s="321">
        <v>46343</v>
      </c>
      <c r="F1785">
        <v>20</v>
      </c>
      <c r="G1785" t="s">
        <v>390</v>
      </c>
    </row>
    <row r="1786" spans="1:7">
      <c r="A1786" t="s">
        <v>3929</v>
      </c>
      <c r="B1786" t="s">
        <v>3930</v>
      </c>
      <c r="C1786">
        <v>15</v>
      </c>
      <c r="D1786" s="321">
        <v>46251</v>
      </c>
      <c r="E1786" s="321">
        <v>46269</v>
      </c>
      <c r="F1786">
        <v>5</v>
      </c>
      <c r="G1786" t="s">
        <v>390</v>
      </c>
    </row>
    <row r="1787" spans="1:7">
      <c r="A1787" t="s">
        <v>3931</v>
      </c>
      <c r="B1787" t="s">
        <v>3932</v>
      </c>
      <c r="C1787">
        <v>10</v>
      </c>
      <c r="D1787" s="321">
        <v>46286</v>
      </c>
      <c r="E1787" s="321">
        <v>46297</v>
      </c>
      <c r="F1787">
        <v>25</v>
      </c>
      <c r="G1787" t="s">
        <v>390</v>
      </c>
    </row>
    <row r="1788" spans="1:7">
      <c r="A1788" t="s">
        <v>3933</v>
      </c>
      <c r="B1788" t="s">
        <v>3934</v>
      </c>
      <c r="C1788">
        <v>5</v>
      </c>
      <c r="D1788" s="321">
        <v>46337</v>
      </c>
      <c r="E1788" s="321">
        <v>46343</v>
      </c>
      <c r="F1788">
        <v>20</v>
      </c>
      <c r="G1788" t="s">
        <v>390</v>
      </c>
    </row>
    <row r="1789" spans="1:7">
      <c r="A1789" t="s">
        <v>3935</v>
      </c>
      <c r="B1789" t="s">
        <v>3936</v>
      </c>
      <c r="C1789">
        <v>15</v>
      </c>
      <c r="D1789" s="321">
        <v>46251</v>
      </c>
      <c r="E1789" s="321">
        <v>46269</v>
      </c>
      <c r="F1789">
        <v>5</v>
      </c>
      <c r="G1789" t="s">
        <v>390</v>
      </c>
    </row>
    <row r="1790" spans="1:7">
      <c r="A1790" t="s">
        <v>3937</v>
      </c>
      <c r="B1790" t="s">
        <v>3938</v>
      </c>
      <c r="C1790">
        <v>10</v>
      </c>
      <c r="D1790" s="321">
        <v>46286</v>
      </c>
      <c r="E1790" s="321">
        <v>46297</v>
      </c>
      <c r="F1790">
        <v>25</v>
      </c>
      <c r="G1790" t="s">
        <v>390</v>
      </c>
    </row>
    <row r="1791" spans="1:7">
      <c r="A1791" t="s">
        <v>3939</v>
      </c>
      <c r="B1791" t="s">
        <v>3940</v>
      </c>
      <c r="C1791">
        <v>5</v>
      </c>
      <c r="D1791" s="321">
        <v>46337</v>
      </c>
      <c r="E1791" s="321">
        <v>46343</v>
      </c>
      <c r="F1791">
        <v>20</v>
      </c>
      <c r="G1791" t="s">
        <v>390</v>
      </c>
    </row>
    <row r="1792" spans="1:7">
      <c r="A1792" t="s">
        <v>3941</v>
      </c>
      <c r="C1792">
        <v>160</v>
      </c>
      <c r="D1792" s="321">
        <v>46146</v>
      </c>
      <c r="E1792" s="321">
        <v>46384</v>
      </c>
      <c r="F1792">
        <v>4</v>
      </c>
      <c r="G1792" t="s">
        <v>390</v>
      </c>
    </row>
    <row r="1793" spans="1:7">
      <c r="A1793" t="s">
        <v>3942</v>
      </c>
      <c r="B1793" t="s">
        <v>3943</v>
      </c>
      <c r="C1793">
        <v>10</v>
      </c>
      <c r="D1793" s="321">
        <v>46149</v>
      </c>
      <c r="E1793" s="321">
        <v>46162</v>
      </c>
      <c r="F1793">
        <v>0</v>
      </c>
      <c r="G1793" t="s">
        <v>390</v>
      </c>
    </row>
    <row r="1794" spans="1:7">
      <c r="A1794" t="s">
        <v>3944</v>
      </c>
      <c r="B1794" t="s">
        <v>3945</v>
      </c>
      <c r="C1794">
        <v>5</v>
      </c>
      <c r="D1794" s="321">
        <v>46252</v>
      </c>
      <c r="E1794" s="321">
        <v>46258</v>
      </c>
      <c r="F1794">
        <v>0</v>
      </c>
      <c r="G1794" t="s">
        <v>390</v>
      </c>
    </row>
    <row r="1795" spans="1:7">
      <c r="A1795" t="s">
        <v>3946</v>
      </c>
      <c r="B1795" t="s">
        <v>3947</v>
      </c>
      <c r="C1795">
        <v>10</v>
      </c>
      <c r="D1795" s="321">
        <v>46148</v>
      </c>
      <c r="E1795" s="321">
        <v>46161</v>
      </c>
      <c r="F1795">
        <v>90</v>
      </c>
      <c r="G1795" t="s">
        <v>390</v>
      </c>
    </row>
    <row r="1796" spans="1:7">
      <c r="A1796" t="s">
        <v>3948</v>
      </c>
      <c r="B1796" t="s">
        <v>3949</v>
      </c>
      <c r="C1796">
        <v>5</v>
      </c>
      <c r="D1796" s="321">
        <v>46251</v>
      </c>
      <c r="E1796" s="321">
        <v>46255</v>
      </c>
      <c r="F1796">
        <v>90</v>
      </c>
      <c r="G1796" t="s">
        <v>390</v>
      </c>
    </row>
    <row r="1797" spans="1:7">
      <c r="A1797" t="s">
        <v>3950</v>
      </c>
      <c r="B1797" t="s">
        <v>3951</v>
      </c>
      <c r="C1797">
        <v>10</v>
      </c>
      <c r="D1797" s="321">
        <v>46148</v>
      </c>
      <c r="E1797" s="321">
        <v>46161</v>
      </c>
      <c r="F1797">
        <v>42</v>
      </c>
      <c r="G1797" t="s">
        <v>390</v>
      </c>
    </row>
    <row r="1798" spans="1:7">
      <c r="A1798" t="s">
        <v>3952</v>
      </c>
      <c r="B1798" t="s">
        <v>3953</v>
      </c>
      <c r="C1798">
        <v>5</v>
      </c>
      <c r="D1798" s="321">
        <v>46247</v>
      </c>
      <c r="E1798" s="321">
        <v>46253</v>
      </c>
      <c r="F1798">
        <v>42</v>
      </c>
      <c r="G1798" t="s">
        <v>390</v>
      </c>
    </row>
    <row r="1799" spans="1:7">
      <c r="A1799" t="s">
        <v>3954</v>
      </c>
      <c r="B1799" t="s">
        <v>3955</v>
      </c>
      <c r="C1799">
        <v>10</v>
      </c>
      <c r="D1799" s="321">
        <v>46252</v>
      </c>
      <c r="E1799" s="321">
        <v>46265</v>
      </c>
      <c r="F1799">
        <v>19</v>
      </c>
      <c r="G1799" t="s">
        <v>390</v>
      </c>
    </row>
    <row r="1800" spans="1:7">
      <c r="A1800" t="s">
        <v>3956</v>
      </c>
      <c r="B1800" t="s">
        <v>3957</v>
      </c>
      <c r="C1800">
        <v>5</v>
      </c>
      <c r="D1800" s="321">
        <v>46352</v>
      </c>
      <c r="E1800" s="321">
        <v>46358</v>
      </c>
      <c r="F1800">
        <v>19</v>
      </c>
      <c r="G1800" t="s">
        <v>390</v>
      </c>
    </row>
    <row r="1801" spans="1:7">
      <c r="A1801" t="s">
        <v>3958</v>
      </c>
      <c r="B1801" t="s">
        <v>3959</v>
      </c>
      <c r="C1801">
        <v>10</v>
      </c>
      <c r="D1801" s="321">
        <v>46255</v>
      </c>
      <c r="E1801" s="321">
        <v>46268</v>
      </c>
      <c r="F1801">
        <v>16</v>
      </c>
      <c r="G1801" t="s">
        <v>390</v>
      </c>
    </row>
    <row r="1802" spans="1:7">
      <c r="A1802" t="s">
        <v>3960</v>
      </c>
      <c r="B1802" t="s">
        <v>3961</v>
      </c>
      <c r="C1802">
        <v>5</v>
      </c>
      <c r="D1802" s="321">
        <v>46357</v>
      </c>
      <c r="E1802" s="321">
        <v>46364</v>
      </c>
      <c r="F1802">
        <v>16</v>
      </c>
      <c r="G1802" t="s">
        <v>390</v>
      </c>
    </row>
    <row r="1803" spans="1:7">
      <c r="A1803" t="s">
        <v>3962</v>
      </c>
      <c r="B1803" t="s">
        <v>3963</v>
      </c>
      <c r="C1803">
        <v>10</v>
      </c>
      <c r="D1803" s="321">
        <v>46146</v>
      </c>
      <c r="E1803" s="321">
        <v>46157</v>
      </c>
      <c r="F1803">
        <v>93</v>
      </c>
      <c r="G1803" t="s">
        <v>390</v>
      </c>
    </row>
    <row r="1804" spans="1:7">
      <c r="A1804" t="s">
        <v>3964</v>
      </c>
      <c r="B1804" t="s">
        <v>3965</v>
      </c>
      <c r="C1804">
        <v>5</v>
      </c>
      <c r="D1804" s="321">
        <v>46245</v>
      </c>
      <c r="E1804" s="321">
        <v>46252</v>
      </c>
      <c r="F1804">
        <v>93</v>
      </c>
      <c r="G1804" t="s">
        <v>390</v>
      </c>
    </row>
    <row r="1805" spans="1:7">
      <c r="A1805" t="s">
        <v>3966</v>
      </c>
      <c r="B1805" t="s">
        <v>3967</v>
      </c>
      <c r="C1805">
        <v>10</v>
      </c>
      <c r="D1805" s="321">
        <v>46196</v>
      </c>
      <c r="E1805" s="321">
        <v>46209</v>
      </c>
      <c r="F1805">
        <v>57</v>
      </c>
      <c r="G1805" t="s">
        <v>390</v>
      </c>
    </row>
    <row r="1806" spans="1:7">
      <c r="A1806" t="s">
        <v>3968</v>
      </c>
      <c r="B1806" t="s">
        <v>3969</v>
      </c>
      <c r="C1806">
        <v>5</v>
      </c>
      <c r="D1806" s="321">
        <v>46296</v>
      </c>
      <c r="E1806" s="321">
        <v>46302</v>
      </c>
      <c r="F1806">
        <v>57</v>
      </c>
      <c r="G1806" t="s">
        <v>390</v>
      </c>
    </row>
    <row r="1807" spans="1:7">
      <c r="A1807" t="s">
        <v>3970</v>
      </c>
      <c r="B1807" t="s">
        <v>3971</v>
      </c>
      <c r="C1807">
        <v>10</v>
      </c>
      <c r="D1807" s="321">
        <v>46169</v>
      </c>
      <c r="E1807" s="321">
        <v>46184</v>
      </c>
      <c r="F1807">
        <v>0</v>
      </c>
      <c r="G1807" t="s">
        <v>390</v>
      </c>
    </row>
    <row r="1808" spans="1:7">
      <c r="A1808" t="s">
        <v>3972</v>
      </c>
      <c r="B1808" t="s">
        <v>3973</v>
      </c>
      <c r="C1808">
        <v>5</v>
      </c>
      <c r="D1808" s="321">
        <v>46274</v>
      </c>
      <c r="E1808" s="321">
        <v>46280</v>
      </c>
      <c r="F1808">
        <v>0</v>
      </c>
      <c r="G1808" t="s">
        <v>390</v>
      </c>
    </row>
    <row r="1809" spans="1:7">
      <c r="A1809" t="s">
        <v>3974</v>
      </c>
      <c r="B1809" t="s">
        <v>3975</v>
      </c>
      <c r="C1809">
        <v>10</v>
      </c>
      <c r="D1809" s="321">
        <v>46273</v>
      </c>
      <c r="E1809" s="321">
        <v>46286</v>
      </c>
      <c r="F1809">
        <v>4</v>
      </c>
      <c r="G1809" t="s">
        <v>390</v>
      </c>
    </row>
    <row r="1810" spans="1:7">
      <c r="A1810" t="s">
        <v>3976</v>
      </c>
      <c r="B1810" t="s">
        <v>3977</v>
      </c>
      <c r="C1810">
        <v>5</v>
      </c>
      <c r="D1810" s="321">
        <v>46377</v>
      </c>
      <c r="E1810" s="321">
        <v>46384</v>
      </c>
      <c r="F1810">
        <v>4</v>
      </c>
      <c r="G1810" t="s">
        <v>390</v>
      </c>
    </row>
    <row r="1811" spans="1:7">
      <c r="A1811" t="s">
        <v>3978</v>
      </c>
      <c r="B1811" t="s">
        <v>3979</v>
      </c>
      <c r="C1811">
        <v>10</v>
      </c>
      <c r="D1811" s="321">
        <v>46259</v>
      </c>
      <c r="E1811" s="321">
        <v>46272</v>
      </c>
      <c r="F1811">
        <v>14</v>
      </c>
      <c r="G1811" t="s">
        <v>390</v>
      </c>
    </row>
    <row r="1812" spans="1:7">
      <c r="A1812" t="s">
        <v>3980</v>
      </c>
      <c r="B1812" t="s">
        <v>3981</v>
      </c>
      <c r="C1812">
        <v>5</v>
      </c>
      <c r="D1812" s="321">
        <v>46359</v>
      </c>
      <c r="E1812" s="321">
        <v>46367</v>
      </c>
      <c r="F1812">
        <v>14</v>
      </c>
      <c r="G1812" t="s">
        <v>390</v>
      </c>
    </row>
    <row r="1813" spans="1:7">
      <c r="A1813" t="s">
        <v>3982</v>
      </c>
      <c r="B1813" t="s">
        <v>3983</v>
      </c>
      <c r="C1813">
        <v>10</v>
      </c>
      <c r="D1813" s="321">
        <v>46272</v>
      </c>
      <c r="E1813" s="321">
        <v>46283</v>
      </c>
      <c r="F1813">
        <v>5</v>
      </c>
      <c r="G1813" t="s">
        <v>390</v>
      </c>
    </row>
    <row r="1814" spans="1:7">
      <c r="A1814" t="s">
        <v>3984</v>
      </c>
      <c r="B1814" t="s">
        <v>3985</v>
      </c>
      <c r="C1814">
        <v>5</v>
      </c>
      <c r="D1814" s="321">
        <v>46374</v>
      </c>
      <c r="E1814" s="321">
        <v>46380</v>
      </c>
      <c r="F1814">
        <v>5</v>
      </c>
      <c r="G1814" t="s">
        <v>390</v>
      </c>
    </row>
    <row r="1815" spans="1:7">
      <c r="A1815" t="s">
        <v>3986</v>
      </c>
      <c r="B1815" t="s">
        <v>3987</v>
      </c>
      <c r="C1815">
        <v>10</v>
      </c>
      <c r="D1815" s="321">
        <v>46272</v>
      </c>
      <c r="E1815" s="321">
        <v>46283</v>
      </c>
      <c r="F1815">
        <v>5</v>
      </c>
      <c r="G1815" t="s">
        <v>390</v>
      </c>
    </row>
    <row r="1816" spans="1:7">
      <c r="A1816" t="s">
        <v>3988</v>
      </c>
      <c r="B1816" t="s">
        <v>3989</v>
      </c>
      <c r="C1816">
        <v>5</v>
      </c>
      <c r="D1816" s="321">
        <v>46374</v>
      </c>
      <c r="E1816" s="321">
        <v>46380</v>
      </c>
      <c r="F1816">
        <v>5</v>
      </c>
      <c r="G1816" t="s">
        <v>390</v>
      </c>
    </row>
    <row r="1817" spans="1:7">
      <c r="A1817" t="s">
        <v>3990</v>
      </c>
      <c r="B1817" t="s">
        <v>3991</v>
      </c>
      <c r="C1817">
        <v>10</v>
      </c>
      <c r="D1817" s="321">
        <v>46272</v>
      </c>
      <c r="E1817" s="321">
        <v>46283</v>
      </c>
      <c r="F1817">
        <v>5</v>
      </c>
      <c r="G1817" t="s">
        <v>390</v>
      </c>
    </row>
    <row r="1818" spans="1:7">
      <c r="A1818" t="s">
        <v>3992</v>
      </c>
      <c r="B1818" t="s">
        <v>3993</v>
      </c>
      <c r="C1818">
        <v>5</v>
      </c>
      <c r="D1818" s="321">
        <v>46374</v>
      </c>
      <c r="E1818" s="321">
        <v>46380</v>
      </c>
      <c r="F1818">
        <v>5</v>
      </c>
      <c r="G1818" t="s">
        <v>390</v>
      </c>
    </row>
    <row r="1819" spans="1:7">
      <c r="A1819" t="s">
        <v>3994</v>
      </c>
      <c r="B1819" t="s">
        <v>3995</v>
      </c>
      <c r="C1819">
        <v>10</v>
      </c>
      <c r="D1819" s="321">
        <v>46272</v>
      </c>
      <c r="E1819" s="321">
        <v>46283</v>
      </c>
      <c r="F1819">
        <v>5</v>
      </c>
      <c r="G1819" t="s">
        <v>390</v>
      </c>
    </row>
    <row r="1820" spans="1:7">
      <c r="A1820" t="s">
        <v>3996</v>
      </c>
      <c r="B1820" t="s">
        <v>3997</v>
      </c>
      <c r="C1820">
        <v>5</v>
      </c>
      <c r="D1820" s="321">
        <v>46374</v>
      </c>
      <c r="E1820" s="321">
        <v>46380</v>
      </c>
      <c r="F1820">
        <v>5</v>
      </c>
      <c r="G1820" t="s">
        <v>390</v>
      </c>
    </row>
    <row r="1821" spans="1:7">
      <c r="A1821" t="s">
        <v>3998</v>
      </c>
      <c r="B1821" t="s">
        <v>3999</v>
      </c>
      <c r="C1821">
        <v>10</v>
      </c>
      <c r="D1821" s="321">
        <v>46272</v>
      </c>
      <c r="E1821" s="321">
        <v>46283</v>
      </c>
      <c r="F1821">
        <v>5</v>
      </c>
      <c r="G1821" t="s">
        <v>390</v>
      </c>
    </row>
    <row r="1822" spans="1:7">
      <c r="A1822" t="s">
        <v>4000</v>
      </c>
      <c r="B1822" t="s">
        <v>4001</v>
      </c>
      <c r="C1822">
        <v>5</v>
      </c>
      <c r="D1822" s="321">
        <v>46374</v>
      </c>
      <c r="E1822" s="321">
        <v>46380</v>
      </c>
      <c r="F1822">
        <v>5</v>
      </c>
      <c r="G1822" t="s">
        <v>390</v>
      </c>
    </row>
    <row r="1823" spans="1:7">
      <c r="A1823" t="s">
        <v>4002</v>
      </c>
      <c r="B1823" t="s">
        <v>4003</v>
      </c>
      <c r="C1823">
        <v>10</v>
      </c>
      <c r="D1823" s="321">
        <v>46272</v>
      </c>
      <c r="E1823" s="321">
        <v>46283</v>
      </c>
      <c r="F1823">
        <v>5</v>
      </c>
      <c r="G1823" t="s">
        <v>390</v>
      </c>
    </row>
    <row r="1824" spans="1:7">
      <c r="A1824" t="s">
        <v>4004</v>
      </c>
      <c r="B1824" t="s">
        <v>4005</v>
      </c>
      <c r="C1824">
        <v>5</v>
      </c>
      <c r="D1824" s="321">
        <v>46374</v>
      </c>
      <c r="E1824" s="321">
        <v>46380</v>
      </c>
      <c r="F1824">
        <v>5</v>
      </c>
      <c r="G1824" t="s">
        <v>390</v>
      </c>
    </row>
    <row r="1825" spans="1:7">
      <c r="A1825" t="s">
        <v>4006</v>
      </c>
      <c r="B1825" t="s">
        <v>4007</v>
      </c>
      <c r="C1825">
        <v>10</v>
      </c>
      <c r="D1825" s="321">
        <v>46272</v>
      </c>
      <c r="E1825" s="321">
        <v>46283</v>
      </c>
      <c r="F1825">
        <v>5</v>
      </c>
      <c r="G1825" t="s">
        <v>390</v>
      </c>
    </row>
    <row r="1826" spans="1:7">
      <c r="A1826" t="s">
        <v>4008</v>
      </c>
      <c r="B1826" t="s">
        <v>4009</v>
      </c>
      <c r="C1826">
        <v>5</v>
      </c>
      <c r="D1826" s="321">
        <v>46374</v>
      </c>
      <c r="E1826" s="321">
        <v>46380</v>
      </c>
      <c r="F1826">
        <v>5</v>
      </c>
      <c r="G1826" t="s">
        <v>390</v>
      </c>
    </row>
    <row r="1827" spans="1:7">
      <c r="A1827" t="s">
        <v>4010</v>
      </c>
      <c r="B1827" t="s">
        <v>4011</v>
      </c>
      <c r="C1827">
        <v>10</v>
      </c>
      <c r="D1827" s="321">
        <v>46272</v>
      </c>
      <c r="E1827" s="321">
        <v>46283</v>
      </c>
      <c r="F1827">
        <v>5</v>
      </c>
      <c r="G1827" t="s">
        <v>390</v>
      </c>
    </row>
    <row r="1828" spans="1:7">
      <c r="A1828" t="s">
        <v>4012</v>
      </c>
      <c r="B1828" t="s">
        <v>4013</v>
      </c>
      <c r="C1828">
        <v>5</v>
      </c>
      <c r="D1828" s="321">
        <v>46374</v>
      </c>
      <c r="E1828" s="321">
        <v>46380</v>
      </c>
      <c r="F1828">
        <v>5</v>
      </c>
      <c r="G1828" t="s">
        <v>390</v>
      </c>
    </row>
    <row r="1829" spans="1:7">
      <c r="A1829" t="s">
        <v>4014</v>
      </c>
      <c r="B1829" t="s">
        <v>4015</v>
      </c>
      <c r="C1829">
        <v>10</v>
      </c>
      <c r="D1829" s="321">
        <v>46272</v>
      </c>
      <c r="E1829" s="321">
        <v>46283</v>
      </c>
      <c r="F1829">
        <v>5</v>
      </c>
      <c r="G1829" t="s">
        <v>390</v>
      </c>
    </row>
    <row r="1830" spans="1:7">
      <c r="A1830" t="s">
        <v>4016</v>
      </c>
      <c r="B1830" t="s">
        <v>4017</v>
      </c>
      <c r="C1830">
        <v>5</v>
      </c>
      <c r="D1830" s="321">
        <v>46374</v>
      </c>
      <c r="E1830" s="321">
        <v>46380</v>
      </c>
      <c r="F1830">
        <v>5</v>
      </c>
      <c r="G1830" t="s">
        <v>390</v>
      </c>
    </row>
    <row r="1831" spans="1:7">
      <c r="A1831" t="s">
        <v>4018</v>
      </c>
      <c r="B1831" t="s">
        <v>4019</v>
      </c>
      <c r="C1831">
        <v>10</v>
      </c>
      <c r="D1831" s="321">
        <v>46230</v>
      </c>
      <c r="E1831" s="321">
        <v>46247</v>
      </c>
      <c r="F1831">
        <v>27</v>
      </c>
      <c r="G1831" t="s">
        <v>390</v>
      </c>
    </row>
    <row r="1832" spans="1:7">
      <c r="A1832" t="s">
        <v>4020</v>
      </c>
      <c r="B1832" t="s">
        <v>4021</v>
      </c>
      <c r="C1832">
        <v>5</v>
      </c>
      <c r="D1832" s="321">
        <v>46342</v>
      </c>
      <c r="E1832" s="321">
        <v>46346</v>
      </c>
      <c r="F1832">
        <v>27</v>
      </c>
      <c r="G1832" t="s">
        <v>390</v>
      </c>
    </row>
    <row r="1833" spans="1:7">
      <c r="A1833" t="s">
        <v>4022</v>
      </c>
      <c r="B1833" t="s">
        <v>4023</v>
      </c>
      <c r="C1833">
        <v>10</v>
      </c>
      <c r="D1833" s="321">
        <v>46230</v>
      </c>
      <c r="E1833" s="321">
        <v>46247</v>
      </c>
      <c r="F1833">
        <v>27</v>
      </c>
      <c r="G1833" t="s">
        <v>390</v>
      </c>
    </row>
    <row r="1834" spans="1:7">
      <c r="A1834" t="s">
        <v>4024</v>
      </c>
      <c r="B1834" t="s">
        <v>4025</v>
      </c>
      <c r="C1834">
        <v>5</v>
      </c>
      <c r="D1834" s="321">
        <v>46342</v>
      </c>
      <c r="E1834" s="321">
        <v>46346</v>
      </c>
      <c r="F1834">
        <v>27</v>
      </c>
      <c r="G1834" t="s">
        <v>390</v>
      </c>
    </row>
    <row r="1835" spans="1:7">
      <c r="A1835" t="s">
        <v>4026</v>
      </c>
      <c r="B1835" t="s">
        <v>4027</v>
      </c>
      <c r="C1835">
        <v>10</v>
      </c>
      <c r="D1835" s="321">
        <v>46273</v>
      </c>
      <c r="E1835" s="321">
        <v>46286</v>
      </c>
      <c r="F1835">
        <v>4</v>
      </c>
      <c r="G1835" t="s">
        <v>390</v>
      </c>
    </row>
    <row r="1836" spans="1:7">
      <c r="A1836" t="s">
        <v>4028</v>
      </c>
      <c r="B1836" t="s">
        <v>4029</v>
      </c>
      <c r="C1836">
        <v>5</v>
      </c>
      <c r="D1836" s="321">
        <v>46377</v>
      </c>
      <c r="E1836" s="321">
        <v>46384</v>
      </c>
      <c r="F1836">
        <v>4</v>
      </c>
      <c r="G1836" t="s">
        <v>390</v>
      </c>
    </row>
    <row r="1837" spans="1:7">
      <c r="A1837" t="s">
        <v>4030</v>
      </c>
      <c r="B1837" t="s">
        <v>4031</v>
      </c>
      <c r="C1837">
        <v>10</v>
      </c>
      <c r="D1837" s="321">
        <v>46272</v>
      </c>
      <c r="E1837" s="321">
        <v>46283</v>
      </c>
      <c r="F1837">
        <v>16</v>
      </c>
      <c r="G1837" t="s">
        <v>390</v>
      </c>
    </row>
    <row r="1838" spans="1:7">
      <c r="A1838" t="s">
        <v>4032</v>
      </c>
      <c r="B1838" t="s">
        <v>4033</v>
      </c>
      <c r="C1838">
        <v>5</v>
      </c>
      <c r="D1838" s="321">
        <v>46357</v>
      </c>
      <c r="E1838" s="321">
        <v>46364</v>
      </c>
      <c r="F1838">
        <v>16</v>
      </c>
      <c r="G1838" t="s">
        <v>390</v>
      </c>
    </row>
    <row r="1839" spans="1:7">
      <c r="A1839" t="s">
        <v>4034</v>
      </c>
      <c r="B1839" t="s">
        <v>4035</v>
      </c>
      <c r="C1839">
        <v>10</v>
      </c>
      <c r="D1839" s="321">
        <v>46272</v>
      </c>
      <c r="E1839" s="321">
        <v>46283</v>
      </c>
      <c r="F1839">
        <v>5</v>
      </c>
      <c r="G1839" t="s">
        <v>390</v>
      </c>
    </row>
    <row r="1840" spans="1:7">
      <c r="A1840" t="s">
        <v>4036</v>
      </c>
      <c r="B1840" t="s">
        <v>4037</v>
      </c>
      <c r="C1840">
        <v>5</v>
      </c>
      <c r="D1840" s="321">
        <v>46374</v>
      </c>
      <c r="E1840" s="321">
        <v>46380</v>
      </c>
      <c r="F1840">
        <v>5</v>
      </c>
      <c r="G1840" t="s">
        <v>390</v>
      </c>
    </row>
    <row r="1841" spans="1:7">
      <c r="A1841" t="s">
        <v>4038</v>
      </c>
      <c r="B1841" t="s">
        <v>4039</v>
      </c>
      <c r="C1841">
        <v>10</v>
      </c>
      <c r="D1841" s="321">
        <v>46272</v>
      </c>
      <c r="E1841" s="321">
        <v>46283</v>
      </c>
      <c r="F1841">
        <v>5</v>
      </c>
      <c r="G1841" t="s">
        <v>390</v>
      </c>
    </row>
    <row r="1842" spans="1:7">
      <c r="A1842" t="s">
        <v>4040</v>
      </c>
      <c r="B1842" t="s">
        <v>4041</v>
      </c>
      <c r="C1842">
        <v>5</v>
      </c>
      <c r="D1842" s="321">
        <v>46374</v>
      </c>
      <c r="E1842" s="321">
        <v>46380</v>
      </c>
      <c r="F1842">
        <v>5</v>
      </c>
      <c r="G1842" t="s">
        <v>390</v>
      </c>
    </row>
    <row r="1843" spans="1:7">
      <c r="A1843" t="s">
        <v>4042</v>
      </c>
      <c r="B1843" t="s">
        <v>4043</v>
      </c>
      <c r="C1843">
        <v>10</v>
      </c>
      <c r="D1843" s="321">
        <v>46272</v>
      </c>
      <c r="E1843" s="321">
        <v>46283</v>
      </c>
      <c r="F1843">
        <v>5</v>
      </c>
      <c r="G1843" t="s">
        <v>390</v>
      </c>
    </row>
    <row r="1844" spans="1:7">
      <c r="A1844" t="s">
        <v>4044</v>
      </c>
      <c r="B1844" t="s">
        <v>4045</v>
      </c>
      <c r="C1844">
        <v>5</v>
      </c>
      <c r="D1844" s="321">
        <v>46374</v>
      </c>
      <c r="E1844" s="321">
        <v>46380</v>
      </c>
      <c r="F1844">
        <v>5</v>
      </c>
      <c r="G1844" t="s">
        <v>390</v>
      </c>
    </row>
    <row r="1845" spans="1:7">
      <c r="A1845" t="s">
        <v>4046</v>
      </c>
      <c r="B1845" t="s">
        <v>4047</v>
      </c>
      <c r="C1845">
        <v>10</v>
      </c>
      <c r="D1845" s="321">
        <v>46272</v>
      </c>
      <c r="E1845" s="321">
        <v>46283</v>
      </c>
      <c r="F1845">
        <v>5</v>
      </c>
      <c r="G1845" t="s">
        <v>390</v>
      </c>
    </row>
    <row r="1846" spans="1:7">
      <c r="A1846" t="s">
        <v>4048</v>
      </c>
      <c r="B1846" t="s">
        <v>4049</v>
      </c>
      <c r="C1846">
        <v>5</v>
      </c>
      <c r="D1846" s="321">
        <v>46374</v>
      </c>
      <c r="E1846" s="321">
        <v>46380</v>
      </c>
      <c r="F1846">
        <v>5</v>
      </c>
      <c r="G1846" t="s">
        <v>390</v>
      </c>
    </row>
    <row r="1847" spans="1:7">
      <c r="A1847" t="s">
        <v>4050</v>
      </c>
      <c r="B1847" t="s">
        <v>4051</v>
      </c>
      <c r="C1847">
        <v>10</v>
      </c>
      <c r="D1847" s="321">
        <v>46282</v>
      </c>
      <c r="E1847" s="321">
        <v>46295</v>
      </c>
      <c r="F1847">
        <v>7</v>
      </c>
      <c r="G1847" t="s">
        <v>390</v>
      </c>
    </row>
    <row r="1848" spans="1:7">
      <c r="A1848" t="s">
        <v>4052</v>
      </c>
      <c r="B1848" t="s">
        <v>4053</v>
      </c>
      <c r="C1848">
        <v>5</v>
      </c>
      <c r="D1848" s="321">
        <v>46372</v>
      </c>
      <c r="E1848" s="321">
        <v>46378</v>
      </c>
      <c r="F1848">
        <v>7</v>
      </c>
      <c r="G1848" t="s">
        <v>390</v>
      </c>
    </row>
    <row r="1849" spans="1:7">
      <c r="A1849" t="s">
        <v>4054</v>
      </c>
      <c r="C1849">
        <v>124</v>
      </c>
      <c r="D1849" s="321">
        <v>46177</v>
      </c>
      <c r="E1849" s="321">
        <v>46358</v>
      </c>
      <c r="F1849">
        <v>4</v>
      </c>
      <c r="G1849" t="s">
        <v>390</v>
      </c>
    </row>
    <row r="1850" spans="1:7">
      <c r="A1850" t="s">
        <v>4055</v>
      </c>
      <c r="B1850" t="s">
        <v>4056</v>
      </c>
      <c r="C1850">
        <v>20</v>
      </c>
      <c r="D1850" s="321">
        <v>46182</v>
      </c>
      <c r="E1850" s="321">
        <v>46209</v>
      </c>
      <c r="F1850">
        <v>90</v>
      </c>
      <c r="G1850" t="s">
        <v>390</v>
      </c>
    </row>
    <row r="1851" spans="1:7">
      <c r="A1851" t="s">
        <v>4057</v>
      </c>
      <c r="B1851" t="s">
        <v>4058</v>
      </c>
      <c r="C1851">
        <v>5</v>
      </c>
      <c r="D1851" s="321">
        <v>46224</v>
      </c>
      <c r="E1851" s="321">
        <v>46230</v>
      </c>
      <c r="F1851">
        <v>90</v>
      </c>
      <c r="G1851" t="s">
        <v>390</v>
      </c>
    </row>
    <row r="1852" spans="1:7">
      <c r="A1852" t="s">
        <v>4059</v>
      </c>
      <c r="B1852" t="s">
        <v>4060</v>
      </c>
      <c r="C1852">
        <v>20</v>
      </c>
      <c r="D1852" s="321">
        <v>46183</v>
      </c>
      <c r="E1852" s="321">
        <v>46210</v>
      </c>
      <c r="F1852">
        <v>0</v>
      </c>
      <c r="G1852" t="s">
        <v>390</v>
      </c>
    </row>
    <row r="1853" spans="1:7">
      <c r="A1853" t="s">
        <v>4061</v>
      </c>
      <c r="B1853" t="s">
        <v>4062</v>
      </c>
      <c r="C1853">
        <v>5</v>
      </c>
      <c r="D1853" s="321">
        <v>46225</v>
      </c>
      <c r="E1853" s="321">
        <v>46234</v>
      </c>
      <c r="F1853">
        <v>0</v>
      </c>
      <c r="G1853" t="s">
        <v>390</v>
      </c>
    </row>
    <row r="1854" spans="1:7">
      <c r="A1854" t="s">
        <v>4063</v>
      </c>
      <c r="B1854" t="s">
        <v>4064</v>
      </c>
      <c r="C1854">
        <v>20</v>
      </c>
      <c r="D1854" s="321">
        <v>46178</v>
      </c>
      <c r="E1854" s="321">
        <v>46205</v>
      </c>
      <c r="F1854">
        <v>42</v>
      </c>
      <c r="G1854" t="s">
        <v>390</v>
      </c>
    </row>
    <row r="1855" spans="1:7">
      <c r="A1855" t="s">
        <v>4065</v>
      </c>
      <c r="B1855" t="s">
        <v>4066</v>
      </c>
      <c r="C1855">
        <v>5</v>
      </c>
      <c r="D1855" s="321">
        <v>46220</v>
      </c>
      <c r="E1855" s="321">
        <v>46226</v>
      </c>
      <c r="F1855">
        <v>42</v>
      </c>
      <c r="G1855" t="s">
        <v>390</v>
      </c>
    </row>
    <row r="1856" spans="1:7">
      <c r="A1856" t="s">
        <v>4067</v>
      </c>
      <c r="B1856" t="s">
        <v>4068</v>
      </c>
      <c r="C1856">
        <v>18</v>
      </c>
      <c r="D1856" s="321">
        <v>46289</v>
      </c>
      <c r="E1856" s="321">
        <v>46315</v>
      </c>
      <c r="F1856">
        <v>19</v>
      </c>
      <c r="G1856" t="s">
        <v>390</v>
      </c>
    </row>
    <row r="1857" spans="1:7">
      <c r="A1857" t="s">
        <v>4069</v>
      </c>
      <c r="B1857" t="s">
        <v>4070</v>
      </c>
      <c r="C1857">
        <v>5</v>
      </c>
      <c r="D1857" s="321">
        <v>46331</v>
      </c>
      <c r="E1857" s="321">
        <v>46337</v>
      </c>
      <c r="F1857">
        <v>19</v>
      </c>
      <c r="G1857" t="s">
        <v>390</v>
      </c>
    </row>
    <row r="1858" spans="1:7">
      <c r="A1858" t="s">
        <v>4071</v>
      </c>
      <c r="B1858" t="s">
        <v>4072</v>
      </c>
      <c r="C1858">
        <v>18</v>
      </c>
      <c r="D1858" s="321">
        <v>46294</v>
      </c>
      <c r="E1858" s="321">
        <v>46321</v>
      </c>
      <c r="F1858">
        <v>16</v>
      </c>
      <c r="G1858" t="s">
        <v>390</v>
      </c>
    </row>
    <row r="1859" spans="1:7">
      <c r="A1859" t="s">
        <v>4073</v>
      </c>
      <c r="B1859" t="s">
        <v>4074</v>
      </c>
      <c r="C1859">
        <v>5</v>
      </c>
      <c r="D1859" s="321">
        <v>46336</v>
      </c>
      <c r="E1859" s="321">
        <v>46342</v>
      </c>
      <c r="F1859">
        <v>16</v>
      </c>
      <c r="G1859" t="s">
        <v>390</v>
      </c>
    </row>
    <row r="1860" spans="1:7">
      <c r="A1860" t="s">
        <v>4075</v>
      </c>
      <c r="B1860" t="s">
        <v>4076</v>
      </c>
      <c r="C1860">
        <v>20</v>
      </c>
      <c r="D1860" s="321">
        <v>46177</v>
      </c>
      <c r="E1860" s="321">
        <v>46204</v>
      </c>
      <c r="F1860">
        <v>93</v>
      </c>
      <c r="G1860" t="s">
        <v>390</v>
      </c>
    </row>
    <row r="1861" spans="1:7">
      <c r="A1861" t="s">
        <v>4077</v>
      </c>
      <c r="B1861" t="s">
        <v>4078</v>
      </c>
      <c r="C1861">
        <v>5</v>
      </c>
      <c r="D1861" s="321">
        <v>46219</v>
      </c>
      <c r="E1861" s="321">
        <v>46225</v>
      </c>
      <c r="F1861">
        <v>93</v>
      </c>
      <c r="G1861" t="s">
        <v>390</v>
      </c>
    </row>
    <row r="1862" spans="1:7">
      <c r="A1862" t="s">
        <v>4079</v>
      </c>
      <c r="B1862" t="s">
        <v>4080</v>
      </c>
      <c r="C1862">
        <v>19</v>
      </c>
      <c r="D1862" s="321">
        <v>46230</v>
      </c>
      <c r="E1862" s="321">
        <v>46260</v>
      </c>
      <c r="F1862">
        <v>57</v>
      </c>
      <c r="G1862" t="s">
        <v>390</v>
      </c>
    </row>
    <row r="1863" spans="1:7">
      <c r="A1863" t="s">
        <v>4081</v>
      </c>
      <c r="B1863" t="s">
        <v>4082</v>
      </c>
      <c r="C1863">
        <v>5</v>
      </c>
      <c r="D1863" s="321">
        <v>46275</v>
      </c>
      <c r="E1863" s="321">
        <v>46281</v>
      </c>
      <c r="F1863">
        <v>57</v>
      </c>
      <c r="G1863" t="s">
        <v>390</v>
      </c>
    </row>
    <row r="1864" spans="1:7">
      <c r="A1864" t="s">
        <v>4083</v>
      </c>
      <c r="B1864" t="s">
        <v>4084</v>
      </c>
      <c r="C1864">
        <v>17</v>
      </c>
      <c r="D1864" s="321">
        <v>46210</v>
      </c>
      <c r="E1864" s="321">
        <v>46237</v>
      </c>
      <c r="F1864">
        <v>0</v>
      </c>
      <c r="G1864" t="s">
        <v>390</v>
      </c>
    </row>
    <row r="1865" spans="1:7">
      <c r="A1865" t="s">
        <v>4085</v>
      </c>
      <c r="B1865" t="s">
        <v>4086</v>
      </c>
      <c r="C1865">
        <v>5</v>
      </c>
      <c r="D1865" s="321">
        <v>46253</v>
      </c>
      <c r="E1865" s="321">
        <v>46259</v>
      </c>
      <c r="F1865">
        <v>0</v>
      </c>
      <c r="G1865" t="s">
        <v>390</v>
      </c>
    </row>
    <row r="1866" spans="1:7">
      <c r="A1866" t="s">
        <v>4087</v>
      </c>
      <c r="B1866" t="s">
        <v>4088</v>
      </c>
      <c r="C1866">
        <v>19</v>
      </c>
      <c r="D1866" s="321">
        <v>46310</v>
      </c>
      <c r="E1866" s="321">
        <v>46337</v>
      </c>
      <c r="F1866">
        <v>4</v>
      </c>
      <c r="G1866" t="s">
        <v>390</v>
      </c>
    </row>
    <row r="1867" spans="1:7">
      <c r="A1867" t="s">
        <v>4089</v>
      </c>
      <c r="B1867" t="s">
        <v>4090</v>
      </c>
      <c r="C1867">
        <v>5</v>
      </c>
      <c r="D1867" s="321">
        <v>46352</v>
      </c>
      <c r="E1867" s="321">
        <v>46358</v>
      </c>
      <c r="F1867">
        <v>4</v>
      </c>
      <c r="G1867" t="s">
        <v>390</v>
      </c>
    </row>
    <row r="1868" spans="1:7">
      <c r="A1868" t="s">
        <v>4091</v>
      </c>
      <c r="B1868" t="s">
        <v>4092</v>
      </c>
      <c r="C1868">
        <v>19</v>
      </c>
      <c r="D1868" s="321">
        <v>46295</v>
      </c>
      <c r="E1868" s="321">
        <v>46323</v>
      </c>
      <c r="F1868">
        <v>14</v>
      </c>
      <c r="G1868" t="s">
        <v>390</v>
      </c>
    </row>
    <row r="1869" spans="1:7">
      <c r="A1869" t="s">
        <v>4093</v>
      </c>
      <c r="B1869" t="s">
        <v>4094</v>
      </c>
      <c r="C1869">
        <v>5</v>
      </c>
      <c r="D1869" s="321">
        <v>46338</v>
      </c>
      <c r="E1869" s="321">
        <v>46344</v>
      </c>
      <c r="F1869">
        <v>14</v>
      </c>
      <c r="G1869" t="s">
        <v>390</v>
      </c>
    </row>
    <row r="1870" spans="1:7">
      <c r="A1870" t="s">
        <v>4095</v>
      </c>
      <c r="B1870" t="s">
        <v>4096</v>
      </c>
      <c r="C1870">
        <v>19</v>
      </c>
      <c r="D1870" s="321">
        <v>46309</v>
      </c>
      <c r="E1870" s="321">
        <v>46336</v>
      </c>
      <c r="F1870">
        <v>5</v>
      </c>
      <c r="G1870" t="s">
        <v>390</v>
      </c>
    </row>
    <row r="1871" spans="1:7">
      <c r="A1871" t="s">
        <v>4097</v>
      </c>
      <c r="B1871" t="s">
        <v>4098</v>
      </c>
      <c r="C1871">
        <v>5</v>
      </c>
      <c r="D1871" s="321">
        <v>46351</v>
      </c>
      <c r="E1871" s="321">
        <v>46357</v>
      </c>
      <c r="F1871">
        <v>5</v>
      </c>
      <c r="G1871" t="s">
        <v>390</v>
      </c>
    </row>
    <row r="1872" spans="1:7">
      <c r="A1872" t="s">
        <v>4099</v>
      </c>
      <c r="B1872" t="s">
        <v>4100</v>
      </c>
      <c r="C1872">
        <v>19</v>
      </c>
      <c r="D1872" s="321">
        <v>46309</v>
      </c>
      <c r="E1872" s="321">
        <v>46336</v>
      </c>
      <c r="F1872">
        <v>5</v>
      </c>
      <c r="G1872" t="s">
        <v>390</v>
      </c>
    </row>
    <row r="1873" spans="1:7">
      <c r="A1873" t="s">
        <v>4101</v>
      </c>
      <c r="B1873" t="s">
        <v>4102</v>
      </c>
      <c r="C1873">
        <v>5</v>
      </c>
      <c r="D1873" s="321">
        <v>46351</v>
      </c>
      <c r="E1873" s="321">
        <v>46357</v>
      </c>
      <c r="F1873">
        <v>5</v>
      </c>
      <c r="G1873" t="s">
        <v>390</v>
      </c>
    </row>
    <row r="1874" spans="1:7">
      <c r="A1874" t="s">
        <v>4103</v>
      </c>
      <c r="B1874" t="s">
        <v>4104</v>
      </c>
      <c r="C1874">
        <v>19</v>
      </c>
      <c r="D1874" s="321">
        <v>46309</v>
      </c>
      <c r="E1874" s="321">
        <v>46336</v>
      </c>
      <c r="F1874">
        <v>5</v>
      </c>
      <c r="G1874" t="s">
        <v>390</v>
      </c>
    </row>
    <row r="1875" spans="1:7">
      <c r="A1875" t="s">
        <v>4105</v>
      </c>
      <c r="B1875" t="s">
        <v>4106</v>
      </c>
      <c r="C1875">
        <v>5</v>
      </c>
      <c r="D1875" s="321">
        <v>46351</v>
      </c>
      <c r="E1875" s="321">
        <v>46357</v>
      </c>
      <c r="F1875">
        <v>5</v>
      </c>
      <c r="G1875" t="s">
        <v>390</v>
      </c>
    </row>
    <row r="1876" spans="1:7">
      <c r="A1876" t="s">
        <v>4107</v>
      </c>
      <c r="B1876" t="s">
        <v>4108</v>
      </c>
      <c r="C1876">
        <v>19</v>
      </c>
      <c r="D1876" s="321">
        <v>46309</v>
      </c>
      <c r="E1876" s="321">
        <v>46336</v>
      </c>
      <c r="F1876">
        <v>5</v>
      </c>
      <c r="G1876" t="s">
        <v>390</v>
      </c>
    </row>
    <row r="1877" spans="1:7">
      <c r="A1877" t="s">
        <v>4109</v>
      </c>
      <c r="B1877" t="s">
        <v>4110</v>
      </c>
      <c r="C1877">
        <v>5</v>
      </c>
      <c r="D1877" s="321">
        <v>46351</v>
      </c>
      <c r="E1877" s="321">
        <v>46357</v>
      </c>
      <c r="F1877">
        <v>5</v>
      </c>
      <c r="G1877" t="s">
        <v>390</v>
      </c>
    </row>
    <row r="1878" spans="1:7">
      <c r="A1878" t="s">
        <v>4111</v>
      </c>
      <c r="B1878" t="s">
        <v>4112</v>
      </c>
      <c r="C1878">
        <v>19</v>
      </c>
      <c r="D1878" s="321">
        <v>46309</v>
      </c>
      <c r="E1878" s="321">
        <v>46336</v>
      </c>
      <c r="F1878">
        <v>5</v>
      </c>
      <c r="G1878" t="s">
        <v>390</v>
      </c>
    </row>
    <row r="1879" spans="1:7">
      <c r="A1879" t="s">
        <v>4113</v>
      </c>
      <c r="B1879" t="s">
        <v>4114</v>
      </c>
      <c r="C1879">
        <v>5</v>
      </c>
      <c r="D1879" s="321">
        <v>46351</v>
      </c>
      <c r="E1879" s="321">
        <v>46357</v>
      </c>
      <c r="F1879">
        <v>5</v>
      </c>
      <c r="G1879" t="s">
        <v>390</v>
      </c>
    </row>
    <row r="1880" spans="1:7">
      <c r="A1880" t="s">
        <v>4115</v>
      </c>
      <c r="B1880" t="s">
        <v>4116</v>
      </c>
      <c r="C1880">
        <v>19</v>
      </c>
      <c r="D1880" s="321">
        <v>46309</v>
      </c>
      <c r="E1880" s="321">
        <v>46336</v>
      </c>
      <c r="F1880">
        <v>5</v>
      </c>
      <c r="G1880" t="s">
        <v>390</v>
      </c>
    </row>
    <row r="1881" spans="1:7">
      <c r="A1881" t="s">
        <v>4117</v>
      </c>
      <c r="B1881" t="s">
        <v>4118</v>
      </c>
      <c r="C1881">
        <v>5</v>
      </c>
      <c r="D1881" s="321">
        <v>46351</v>
      </c>
      <c r="E1881" s="321">
        <v>46357</v>
      </c>
      <c r="F1881">
        <v>5</v>
      </c>
      <c r="G1881" t="s">
        <v>390</v>
      </c>
    </row>
    <row r="1882" spans="1:7">
      <c r="A1882" t="s">
        <v>4119</v>
      </c>
      <c r="B1882" t="s">
        <v>4120</v>
      </c>
      <c r="C1882">
        <v>19</v>
      </c>
      <c r="D1882" s="321">
        <v>46309</v>
      </c>
      <c r="E1882" s="321">
        <v>46336</v>
      </c>
      <c r="F1882">
        <v>5</v>
      </c>
      <c r="G1882" t="s">
        <v>390</v>
      </c>
    </row>
    <row r="1883" spans="1:7">
      <c r="A1883" t="s">
        <v>4121</v>
      </c>
      <c r="B1883" t="s">
        <v>4122</v>
      </c>
      <c r="C1883">
        <v>5</v>
      </c>
      <c r="D1883" s="321">
        <v>46351</v>
      </c>
      <c r="E1883" s="321">
        <v>46357</v>
      </c>
      <c r="F1883">
        <v>5</v>
      </c>
      <c r="G1883" t="s">
        <v>390</v>
      </c>
    </row>
    <row r="1884" spans="1:7">
      <c r="A1884" t="s">
        <v>4123</v>
      </c>
      <c r="B1884" t="s">
        <v>4124</v>
      </c>
      <c r="C1884">
        <v>19</v>
      </c>
      <c r="D1884" s="321">
        <v>46309</v>
      </c>
      <c r="E1884" s="321">
        <v>46336</v>
      </c>
      <c r="F1884">
        <v>5</v>
      </c>
      <c r="G1884" t="s">
        <v>390</v>
      </c>
    </row>
    <row r="1885" spans="1:7">
      <c r="A1885" t="s">
        <v>4125</v>
      </c>
      <c r="B1885" t="s">
        <v>4126</v>
      </c>
      <c r="C1885">
        <v>5</v>
      </c>
      <c r="D1885" s="321">
        <v>46351</v>
      </c>
      <c r="E1885" s="321">
        <v>46357</v>
      </c>
      <c r="F1885">
        <v>5</v>
      </c>
      <c r="G1885" t="s">
        <v>390</v>
      </c>
    </row>
    <row r="1886" spans="1:7">
      <c r="A1886" t="s">
        <v>4127</v>
      </c>
      <c r="B1886" t="s">
        <v>4128</v>
      </c>
      <c r="C1886">
        <v>19</v>
      </c>
      <c r="D1886" s="321">
        <v>46309</v>
      </c>
      <c r="E1886" s="321">
        <v>46336</v>
      </c>
      <c r="F1886">
        <v>5</v>
      </c>
      <c r="G1886" t="s">
        <v>390</v>
      </c>
    </row>
    <row r="1887" spans="1:7">
      <c r="A1887" t="s">
        <v>4129</v>
      </c>
      <c r="B1887" t="s">
        <v>4130</v>
      </c>
      <c r="C1887">
        <v>5</v>
      </c>
      <c r="D1887" s="321">
        <v>46351</v>
      </c>
      <c r="E1887" s="321">
        <v>46357</v>
      </c>
      <c r="F1887">
        <v>5</v>
      </c>
      <c r="G1887" t="s">
        <v>390</v>
      </c>
    </row>
    <row r="1888" spans="1:7">
      <c r="A1888" t="s">
        <v>4131</v>
      </c>
      <c r="B1888" t="s">
        <v>4132</v>
      </c>
      <c r="C1888">
        <v>20</v>
      </c>
      <c r="D1888" s="321">
        <v>46275</v>
      </c>
      <c r="E1888" s="321">
        <v>46302</v>
      </c>
      <c r="F1888">
        <v>27</v>
      </c>
      <c r="G1888" t="s">
        <v>390</v>
      </c>
    </row>
    <row r="1889" spans="1:7">
      <c r="A1889" t="s">
        <v>4133</v>
      </c>
      <c r="B1889" t="s">
        <v>4134</v>
      </c>
      <c r="C1889">
        <v>5</v>
      </c>
      <c r="D1889" s="321">
        <v>46321</v>
      </c>
      <c r="E1889" s="321">
        <v>46325</v>
      </c>
      <c r="F1889">
        <v>27</v>
      </c>
      <c r="G1889" t="s">
        <v>390</v>
      </c>
    </row>
    <row r="1890" spans="1:7">
      <c r="A1890" t="s">
        <v>4135</v>
      </c>
      <c r="B1890" t="s">
        <v>4136</v>
      </c>
      <c r="C1890">
        <v>20</v>
      </c>
      <c r="D1890" s="321">
        <v>46275</v>
      </c>
      <c r="E1890" s="321">
        <v>46302</v>
      </c>
      <c r="F1890">
        <v>27</v>
      </c>
      <c r="G1890" t="s">
        <v>390</v>
      </c>
    </row>
    <row r="1891" spans="1:7">
      <c r="A1891" t="s">
        <v>4137</v>
      </c>
      <c r="B1891" t="s">
        <v>4138</v>
      </c>
      <c r="C1891">
        <v>5</v>
      </c>
      <c r="D1891" s="321">
        <v>46321</v>
      </c>
      <c r="E1891" s="321">
        <v>46325</v>
      </c>
      <c r="F1891">
        <v>27</v>
      </c>
      <c r="G1891" t="s">
        <v>390</v>
      </c>
    </row>
    <row r="1892" spans="1:7">
      <c r="A1892" t="s">
        <v>4139</v>
      </c>
      <c r="B1892" t="s">
        <v>4140</v>
      </c>
      <c r="C1892">
        <v>19</v>
      </c>
      <c r="D1892" s="321">
        <v>46310</v>
      </c>
      <c r="E1892" s="321">
        <v>46337</v>
      </c>
      <c r="F1892">
        <v>4</v>
      </c>
      <c r="G1892" t="s">
        <v>390</v>
      </c>
    </row>
    <row r="1893" spans="1:7">
      <c r="A1893" t="s">
        <v>4141</v>
      </c>
      <c r="B1893" t="s">
        <v>4142</v>
      </c>
      <c r="C1893">
        <v>5</v>
      </c>
      <c r="D1893" s="321">
        <v>46352</v>
      </c>
      <c r="E1893" s="321">
        <v>46358</v>
      </c>
      <c r="F1893">
        <v>4</v>
      </c>
      <c r="G1893" t="s">
        <v>390</v>
      </c>
    </row>
    <row r="1894" spans="1:7">
      <c r="A1894" t="s">
        <v>4143</v>
      </c>
      <c r="B1894" t="s">
        <v>4144</v>
      </c>
      <c r="C1894">
        <v>20</v>
      </c>
      <c r="D1894" s="321">
        <v>46301</v>
      </c>
      <c r="E1894" s="321">
        <v>46330</v>
      </c>
      <c r="F1894">
        <v>16</v>
      </c>
      <c r="G1894" t="s">
        <v>390</v>
      </c>
    </row>
    <row r="1895" spans="1:7">
      <c r="A1895" t="s">
        <v>4145</v>
      </c>
      <c r="B1895" t="s">
        <v>4146</v>
      </c>
      <c r="C1895">
        <v>3</v>
      </c>
      <c r="D1895" s="321">
        <v>46338</v>
      </c>
      <c r="E1895" s="321">
        <v>46342</v>
      </c>
      <c r="F1895">
        <v>16</v>
      </c>
      <c r="G1895" t="s">
        <v>390</v>
      </c>
    </row>
    <row r="1896" spans="1:7">
      <c r="A1896" t="s">
        <v>4147</v>
      </c>
      <c r="B1896" t="s">
        <v>4148</v>
      </c>
      <c r="C1896">
        <v>19</v>
      </c>
      <c r="D1896" s="321">
        <v>46309</v>
      </c>
      <c r="E1896" s="321">
        <v>46336</v>
      </c>
      <c r="F1896">
        <v>5</v>
      </c>
      <c r="G1896" t="s">
        <v>390</v>
      </c>
    </row>
    <row r="1897" spans="1:7">
      <c r="A1897" t="s">
        <v>4149</v>
      </c>
      <c r="B1897" t="s">
        <v>4150</v>
      </c>
      <c r="C1897">
        <v>5</v>
      </c>
      <c r="D1897" s="321">
        <v>46351</v>
      </c>
      <c r="E1897" s="321">
        <v>46357</v>
      </c>
      <c r="F1897">
        <v>5</v>
      </c>
      <c r="G1897" t="s">
        <v>390</v>
      </c>
    </row>
    <row r="1898" spans="1:7">
      <c r="A1898" t="s">
        <v>4151</v>
      </c>
      <c r="B1898" t="s">
        <v>4152</v>
      </c>
      <c r="C1898">
        <v>19</v>
      </c>
      <c r="D1898" s="321">
        <v>46309</v>
      </c>
      <c r="E1898" s="321">
        <v>46336</v>
      </c>
      <c r="F1898">
        <v>5</v>
      </c>
      <c r="G1898" t="s">
        <v>390</v>
      </c>
    </row>
    <row r="1899" spans="1:7">
      <c r="A1899" t="s">
        <v>4153</v>
      </c>
      <c r="B1899" t="s">
        <v>4154</v>
      </c>
      <c r="C1899">
        <v>5</v>
      </c>
      <c r="D1899" s="321">
        <v>46351</v>
      </c>
      <c r="E1899" s="321">
        <v>46357</v>
      </c>
      <c r="F1899">
        <v>5</v>
      </c>
      <c r="G1899" t="s">
        <v>390</v>
      </c>
    </row>
    <row r="1900" spans="1:7">
      <c r="A1900" t="s">
        <v>4155</v>
      </c>
      <c r="B1900" t="s">
        <v>4156</v>
      </c>
      <c r="C1900">
        <v>19</v>
      </c>
      <c r="D1900" s="321">
        <v>46309</v>
      </c>
      <c r="E1900" s="321">
        <v>46336</v>
      </c>
      <c r="F1900">
        <v>5</v>
      </c>
      <c r="G1900" t="s">
        <v>390</v>
      </c>
    </row>
    <row r="1901" spans="1:7">
      <c r="A1901" t="s">
        <v>4157</v>
      </c>
      <c r="B1901" t="s">
        <v>4158</v>
      </c>
      <c r="C1901">
        <v>5</v>
      </c>
      <c r="D1901" s="321">
        <v>46351</v>
      </c>
      <c r="E1901" s="321">
        <v>46357</v>
      </c>
      <c r="F1901">
        <v>5</v>
      </c>
      <c r="G1901" t="s">
        <v>390</v>
      </c>
    </row>
    <row r="1902" spans="1:7">
      <c r="A1902" t="s">
        <v>4159</v>
      </c>
      <c r="B1902" t="s">
        <v>4160</v>
      </c>
      <c r="C1902">
        <v>19</v>
      </c>
      <c r="D1902" s="321">
        <v>46309</v>
      </c>
      <c r="E1902" s="321">
        <v>46336</v>
      </c>
      <c r="F1902">
        <v>5</v>
      </c>
      <c r="G1902" t="s">
        <v>390</v>
      </c>
    </row>
    <row r="1903" spans="1:7">
      <c r="A1903" t="s">
        <v>4161</v>
      </c>
      <c r="B1903" t="s">
        <v>4162</v>
      </c>
      <c r="C1903">
        <v>5</v>
      </c>
      <c r="D1903" s="321">
        <v>46351</v>
      </c>
      <c r="E1903" s="321">
        <v>46357</v>
      </c>
      <c r="F1903">
        <v>5</v>
      </c>
      <c r="G1903" t="s">
        <v>390</v>
      </c>
    </row>
    <row r="1904" spans="1:7">
      <c r="A1904" t="s">
        <v>4163</v>
      </c>
      <c r="B1904" t="s">
        <v>4164</v>
      </c>
      <c r="C1904">
        <v>15</v>
      </c>
      <c r="D1904" s="321">
        <v>46311</v>
      </c>
      <c r="E1904" s="321">
        <v>46332</v>
      </c>
      <c r="F1904">
        <v>7</v>
      </c>
      <c r="G1904" t="s">
        <v>390</v>
      </c>
    </row>
    <row r="1905" spans="1:7">
      <c r="A1905" t="s">
        <v>4165</v>
      </c>
      <c r="B1905" t="s">
        <v>4166</v>
      </c>
      <c r="C1905">
        <v>5</v>
      </c>
      <c r="D1905" s="321">
        <v>46349</v>
      </c>
      <c r="E1905" s="321">
        <v>46353</v>
      </c>
      <c r="F1905">
        <v>7</v>
      </c>
      <c r="G1905" t="s">
        <v>390</v>
      </c>
    </row>
    <row r="1906" spans="1:7">
      <c r="A1906" t="s">
        <v>4167</v>
      </c>
      <c r="C1906">
        <v>180</v>
      </c>
      <c r="D1906" s="321">
        <v>46106</v>
      </c>
      <c r="E1906" s="321">
        <v>46378</v>
      </c>
      <c r="F1906">
        <v>7</v>
      </c>
      <c r="G1906" t="s">
        <v>390</v>
      </c>
    </row>
    <row r="1907" spans="1:7">
      <c r="A1907" t="s">
        <v>4168</v>
      </c>
      <c r="B1907" t="s">
        <v>4169</v>
      </c>
      <c r="C1907">
        <v>10</v>
      </c>
      <c r="D1907" s="321">
        <v>46106</v>
      </c>
      <c r="E1907" s="321">
        <v>46120</v>
      </c>
      <c r="F1907">
        <v>-10</v>
      </c>
      <c r="G1907" t="s">
        <v>390</v>
      </c>
    </row>
    <row r="1908" spans="1:7">
      <c r="A1908" t="s">
        <v>4170</v>
      </c>
      <c r="B1908" t="s">
        <v>4171</v>
      </c>
      <c r="C1908">
        <v>10</v>
      </c>
      <c r="D1908" s="321">
        <v>46140</v>
      </c>
      <c r="E1908" s="321">
        <v>46154</v>
      </c>
      <c r="F1908">
        <v>142</v>
      </c>
      <c r="G1908" t="s">
        <v>390</v>
      </c>
    </row>
    <row r="1909" spans="1:7">
      <c r="A1909" t="s">
        <v>4172</v>
      </c>
      <c r="B1909" t="s">
        <v>4173</v>
      </c>
      <c r="C1909">
        <v>5</v>
      </c>
      <c r="D1909" s="321">
        <v>46169</v>
      </c>
      <c r="E1909" s="321">
        <v>46177</v>
      </c>
      <c r="F1909">
        <v>142</v>
      </c>
      <c r="G1909" t="s">
        <v>390</v>
      </c>
    </row>
    <row r="1910" spans="1:7">
      <c r="A1910" t="s">
        <v>4174</v>
      </c>
      <c r="B1910" t="s">
        <v>4175</v>
      </c>
      <c r="C1910">
        <v>10</v>
      </c>
      <c r="D1910" s="321">
        <v>46106</v>
      </c>
      <c r="E1910" s="321">
        <v>46120</v>
      </c>
      <c r="F1910">
        <v>-10</v>
      </c>
      <c r="G1910" t="s">
        <v>390</v>
      </c>
    </row>
    <row r="1911" spans="1:7">
      <c r="A1911" t="s">
        <v>4176</v>
      </c>
      <c r="B1911" t="s">
        <v>4177</v>
      </c>
      <c r="C1911">
        <v>5</v>
      </c>
      <c r="D1911" s="321">
        <v>46140</v>
      </c>
      <c r="E1911" s="321">
        <v>46147</v>
      </c>
      <c r="F1911">
        <v>28</v>
      </c>
      <c r="G1911" t="s">
        <v>390</v>
      </c>
    </row>
    <row r="1912" spans="1:7">
      <c r="A1912" t="s">
        <v>4178</v>
      </c>
      <c r="B1912" t="s">
        <v>4179</v>
      </c>
      <c r="C1912">
        <v>5</v>
      </c>
      <c r="D1912" s="321">
        <v>46162</v>
      </c>
      <c r="E1912" s="321">
        <v>46168</v>
      </c>
      <c r="F1912">
        <v>28</v>
      </c>
      <c r="G1912" t="s">
        <v>390</v>
      </c>
    </row>
    <row r="1913" spans="1:7">
      <c r="A1913" t="s">
        <v>4180</v>
      </c>
      <c r="B1913" t="s">
        <v>4181</v>
      </c>
      <c r="C1913">
        <v>15</v>
      </c>
      <c r="D1913" s="321">
        <v>46121</v>
      </c>
      <c r="E1913" s="321">
        <v>46147</v>
      </c>
      <c r="F1913">
        <v>-10</v>
      </c>
      <c r="G1913" t="s">
        <v>390</v>
      </c>
    </row>
    <row r="1914" spans="1:7">
      <c r="A1914" t="s">
        <v>4182</v>
      </c>
      <c r="B1914" t="s">
        <v>4183</v>
      </c>
      <c r="C1914">
        <v>5</v>
      </c>
      <c r="D1914" s="321">
        <v>46169</v>
      </c>
      <c r="E1914" s="321">
        <v>46177</v>
      </c>
      <c r="F1914">
        <v>28</v>
      </c>
      <c r="G1914" t="s">
        <v>390</v>
      </c>
    </row>
    <row r="1915" spans="1:7">
      <c r="A1915" t="s">
        <v>4184</v>
      </c>
      <c r="B1915" t="s">
        <v>4185</v>
      </c>
      <c r="C1915">
        <v>15</v>
      </c>
      <c r="D1915" s="321">
        <v>46121</v>
      </c>
      <c r="E1915" s="321">
        <v>46147</v>
      </c>
      <c r="F1915">
        <v>7</v>
      </c>
      <c r="G1915" t="s">
        <v>390</v>
      </c>
    </row>
    <row r="1916" spans="1:7">
      <c r="A1916" t="s">
        <v>4186</v>
      </c>
      <c r="B1916" t="s">
        <v>4187</v>
      </c>
      <c r="C1916">
        <v>5</v>
      </c>
      <c r="D1916" s="321">
        <v>46169</v>
      </c>
      <c r="E1916" s="321">
        <v>46177</v>
      </c>
      <c r="F1916">
        <v>87</v>
      </c>
      <c r="G1916" t="s">
        <v>390</v>
      </c>
    </row>
    <row r="1917" spans="1:7">
      <c r="A1917" t="s">
        <v>4188</v>
      </c>
      <c r="B1917" t="s">
        <v>4189</v>
      </c>
      <c r="C1917">
        <v>20</v>
      </c>
      <c r="D1917" s="321">
        <v>46148</v>
      </c>
      <c r="E1917" s="321">
        <v>46177</v>
      </c>
      <c r="F1917">
        <v>7</v>
      </c>
      <c r="G1917" t="s">
        <v>390</v>
      </c>
    </row>
    <row r="1918" spans="1:7">
      <c r="A1918" t="s">
        <v>4190</v>
      </c>
      <c r="B1918" t="s">
        <v>4191</v>
      </c>
      <c r="C1918">
        <v>10</v>
      </c>
      <c r="D1918" s="321">
        <v>46192</v>
      </c>
      <c r="E1918" s="321">
        <v>46205</v>
      </c>
      <c r="F1918">
        <v>42</v>
      </c>
      <c r="G1918" t="s">
        <v>390</v>
      </c>
    </row>
    <row r="1919" spans="1:7">
      <c r="A1919" t="s">
        <v>4192</v>
      </c>
      <c r="B1919" t="s">
        <v>4193</v>
      </c>
      <c r="C1919">
        <v>5</v>
      </c>
      <c r="D1919" s="321">
        <v>46220</v>
      </c>
      <c r="E1919" s="321">
        <v>46226</v>
      </c>
      <c r="F1919">
        <v>57</v>
      </c>
      <c r="G1919" t="s">
        <v>390</v>
      </c>
    </row>
    <row r="1920" spans="1:7">
      <c r="A1920" t="s">
        <v>4194</v>
      </c>
      <c r="B1920" t="s">
        <v>4195</v>
      </c>
      <c r="C1920">
        <v>20</v>
      </c>
      <c r="D1920" s="321">
        <v>46148</v>
      </c>
      <c r="E1920" s="321">
        <v>46177</v>
      </c>
      <c r="F1920">
        <v>7</v>
      </c>
      <c r="G1920" t="s">
        <v>390</v>
      </c>
    </row>
    <row r="1921" spans="1:7">
      <c r="A1921" t="s">
        <v>4196</v>
      </c>
      <c r="B1921" t="s">
        <v>4197</v>
      </c>
      <c r="C1921">
        <v>10</v>
      </c>
      <c r="D1921" s="321">
        <v>46192</v>
      </c>
      <c r="E1921" s="321">
        <v>46205</v>
      </c>
      <c r="F1921">
        <v>42</v>
      </c>
      <c r="G1921" t="s">
        <v>390</v>
      </c>
    </row>
    <row r="1922" spans="1:7">
      <c r="A1922" t="s">
        <v>4198</v>
      </c>
      <c r="B1922" t="s">
        <v>4199</v>
      </c>
      <c r="C1922">
        <v>5</v>
      </c>
      <c r="D1922" s="321">
        <v>46220</v>
      </c>
      <c r="E1922" s="321">
        <v>46226</v>
      </c>
      <c r="F1922">
        <v>57</v>
      </c>
      <c r="G1922" t="s">
        <v>390</v>
      </c>
    </row>
    <row r="1923" spans="1:7">
      <c r="A1923" t="s">
        <v>4200</v>
      </c>
      <c r="B1923" t="s">
        <v>4201</v>
      </c>
      <c r="C1923">
        <v>20</v>
      </c>
      <c r="D1923" s="321">
        <v>46162</v>
      </c>
      <c r="E1923" s="321">
        <v>46191</v>
      </c>
      <c r="F1923">
        <v>7</v>
      </c>
      <c r="G1923" t="s">
        <v>390</v>
      </c>
    </row>
    <row r="1924" spans="1:7">
      <c r="A1924" t="s">
        <v>4202</v>
      </c>
      <c r="B1924" t="s">
        <v>4203</v>
      </c>
      <c r="C1924">
        <v>10</v>
      </c>
      <c r="D1924" s="321">
        <v>46206</v>
      </c>
      <c r="E1924" s="321">
        <v>46219</v>
      </c>
      <c r="F1924">
        <v>32</v>
      </c>
      <c r="G1924" t="s">
        <v>390</v>
      </c>
    </row>
    <row r="1925" spans="1:7">
      <c r="A1925" t="s">
        <v>4204</v>
      </c>
      <c r="B1925" t="s">
        <v>4205</v>
      </c>
      <c r="C1925">
        <v>5</v>
      </c>
      <c r="D1925" s="321">
        <v>46239</v>
      </c>
      <c r="E1925" s="321">
        <v>46245</v>
      </c>
      <c r="F1925">
        <v>47</v>
      </c>
      <c r="G1925" t="s">
        <v>390</v>
      </c>
    </row>
    <row r="1926" spans="1:7">
      <c r="A1926" t="s">
        <v>4206</v>
      </c>
      <c r="B1926" t="s">
        <v>4207</v>
      </c>
      <c r="C1926">
        <v>20</v>
      </c>
      <c r="D1926" s="321">
        <v>46162</v>
      </c>
      <c r="E1926" s="321">
        <v>46191</v>
      </c>
      <c r="F1926">
        <v>7</v>
      </c>
      <c r="G1926" t="s">
        <v>390</v>
      </c>
    </row>
    <row r="1927" spans="1:7">
      <c r="A1927" t="s">
        <v>4208</v>
      </c>
      <c r="B1927" t="s">
        <v>4209</v>
      </c>
      <c r="C1927">
        <v>10</v>
      </c>
      <c r="D1927" s="321">
        <v>46206</v>
      </c>
      <c r="E1927" s="321">
        <v>46219</v>
      </c>
      <c r="F1927">
        <v>32</v>
      </c>
      <c r="G1927" t="s">
        <v>390</v>
      </c>
    </row>
    <row r="1928" spans="1:7">
      <c r="A1928" t="s">
        <v>4210</v>
      </c>
      <c r="B1928" t="s">
        <v>4211</v>
      </c>
      <c r="C1928">
        <v>5</v>
      </c>
      <c r="D1928" s="321">
        <v>46239</v>
      </c>
      <c r="E1928" s="321">
        <v>46245</v>
      </c>
      <c r="F1928">
        <v>47</v>
      </c>
      <c r="G1928" t="s">
        <v>390</v>
      </c>
    </row>
    <row r="1929" spans="1:7">
      <c r="A1929" t="s">
        <v>4212</v>
      </c>
      <c r="B1929" t="s">
        <v>4213</v>
      </c>
      <c r="C1929">
        <v>15</v>
      </c>
      <c r="D1929" s="321">
        <v>46192</v>
      </c>
      <c r="E1929" s="321">
        <v>46212</v>
      </c>
      <c r="F1929">
        <v>7</v>
      </c>
      <c r="G1929" t="s">
        <v>390</v>
      </c>
    </row>
    <row r="1930" spans="1:7">
      <c r="A1930" t="s">
        <v>4214</v>
      </c>
      <c r="B1930" t="s">
        <v>4215</v>
      </c>
      <c r="C1930">
        <v>10</v>
      </c>
      <c r="D1930" s="321">
        <v>46227</v>
      </c>
      <c r="E1930" s="321">
        <v>46245</v>
      </c>
      <c r="F1930">
        <v>27</v>
      </c>
      <c r="G1930" t="s">
        <v>390</v>
      </c>
    </row>
    <row r="1931" spans="1:7">
      <c r="A1931" t="s">
        <v>4216</v>
      </c>
      <c r="B1931" t="s">
        <v>4217</v>
      </c>
      <c r="C1931">
        <v>5</v>
      </c>
      <c r="D1931" s="321">
        <v>46261</v>
      </c>
      <c r="E1931" s="321">
        <v>46267</v>
      </c>
      <c r="F1931">
        <v>37</v>
      </c>
      <c r="G1931" t="s">
        <v>390</v>
      </c>
    </row>
    <row r="1932" spans="1:7">
      <c r="A1932" t="s">
        <v>4218</v>
      </c>
      <c r="B1932" t="s">
        <v>4219</v>
      </c>
      <c r="C1932">
        <v>15</v>
      </c>
      <c r="D1932" s="321">
        <v>46192</v>
      </c>
      <c r="E1932" s="321">
        <v>46212</v>
      </c>
      <c r="F1932">
        <v>62</v>
      </c>
      <c r="G1932" t="s">
        <v>390</v>
      </c>
    </row>
    <row r="1933" spans="1:7">
      <c r="A1933" t="s">
        <v>4220</v>
      </c>
      <c r="B1933" t="s">
        <v>4221</v>
      </c>
      <c r="C1933">
        <v>10</v>
      </c>
      <c r="D1933" s="321">
        <v>46227</v>
      </c>
      <c r="E1933" s="321">
        <v>46245</v>
      </c>
      <c r="F1933">
        <v>67</v>
      </c>
      <c r="G1933" t="s">
        <v>390</v>
      </c>
    </row>
    <row r="1934" spans="1:7">
      <c r="A1934" t="s">
        <v>4222</v>
      </c>
      <c r="B1934" t="s">
        <v>4223</v>
      </c>
      <c r="C1934">
        <v>10</v>
      </c>
      <c r="D1934" s="321">
        <v>46261</v>
      </c>
      <c r="E1934" s="321">
        <v>46274</v>
      </c>
      <c r="F1934">
        <v>67</v>
      </c>
      <c r="G1934" t="s">
        <v>390</v>
      </c>
    </row>
    <row r="1935" spans="1:7">
      <c r="A1935" t="s">
        <v>4224</v>
      </c>
      <c r="B1935" t="s">
        <v>4225</v>
      </c>
      <c r="C1935">
        <v>15</v>
      </c>
      <c r="D1935" s="321">
        <v>46192</v>
      </c>
      <c r="E1935" s="321">
        <v>46212</v>
      </c>
      <c r="F1935">
        <v>7</v>
      </c>
      <c r="G1935" t="s">
        <v>390</v>
      </c>
    </row>
    <row r="1936" spans="1:7">
      <c r="A1936" t="s">
        <v>4226</v>
      </c>
      <c r="B1936" t="s">
        <v>4227</v>
      </c>
      <c r="C1936">
        <v>10</v>
      </c>
      <c r="D1936" s="321">
        <v>46227</v>
      </c>
      <c r="E1936" s="321">
        <v>46245</v>
      </c>
      <c r="F1936">
        <v>27</v>
      </c>
      <c r="G1936" t="s">
        <v>390</v>
      </c>
    </row>
    <row r="1937" spans="1:7">
      <c r="A1937" t="s">
        <v>4228</v>
      </c>
      <c r="B1937" t="s">
        <v>4229</v>
      </c>
      <c r="C1937">
        <v>10</v>
      </c>
      <c r="D1937" s="321">
        <v>46261</v>
      </c>
      <c r="E1937" s="321">
        <v>46274</v>
      </c>
      <c r="F1937">
        <v>32</v>
      </c>
      <c r="G1937" t="s">
        <v>390</v>
      </c>
    </row>
    <row r="1938" spans="1:7">
      <c r="A1938" t="s">
        <v>4230</v>
      </c>
      <c r="B1938" t="s">
        <v>4231</v>
      </c>
      <c r="C1938">
        <v>15</v>
      </c>
      <c r="D1938" s="321">
        <v>46199</v>
      </c>
      <c r="E1938" s="321">
        <v>46219</v>
      </c>
      <c r="F1938">
        <v>7</v>
      </c>
      <c r="G1938" t="s">
        <v>390</v>
      </c>
    </row>
    <row r="1939" spans="1:7">
      <c r="A1939" t="s">
        <v>4232</v>
      </c>
      <c r="B1939" t="s">
        <v>4233</v>
      </c>
      <c r="C1939">
        <v>10</v>
      </c>
      <c r="D1939" s="321">
        <v>46247</v>
      </c>
      <c r="E1939" s="321">
        <v>46260</v>
      </c>
      <c r="F1939">
        <v>27</v>
      </c>
      <c r="G1939" t="s">
        <v>390</v>
      </c>
    </row>
    <row r="1940" spans="1:7">
      <c r="A1940" t="s">
        <v>4234</v>
      </c>
      <c r="B1940" t="s">
        <v>4235</v>
      </c>
      <c r="C1940">
        <v>10</v>
      </c>
      <c r="D1940" s="321">
        <v>46275</v>
      </c>
      <c r="E1940" s="321">
        <v>46288</v>
      </c>
      <c r="F1940">
        <v>32</v>
      </c>
      <c r="G1940" t="s">
        <v>390</v>
      </c>
    </row>
    <row r="1941" spans="1:7">
      <c r="A1941" t="s">
        <v>4236</v>
      </c>
      <c r="B1941" t="s">
        <v>4237</v>
      </c>
      <c r="C1941">
        <v>15</v>
      </c>
      <c r="D1941" s="321">
        <v>46199</v>
      </c>
      <c r="E1941" s="321">
        <v>46219</v>
      </c>
      <c r="F1941">
        <v>7</v>
      </c>
      <c r="G1941" t="s">
        <v>390</v>
      </c>
    </row>
    <row r="1942" spans="1:7">
      <c r="A1942" t="s">
        <v>4238</v>
      </c>
      <c r="B1942" t="s">
        <v>4239</v>
      </c>
      <c r="C1942">
        <v>10</v>
      </c>
      <c r="D1942" s="321">
        <v>46261</v>
      </c>
      <c r="E1942" s="321">
        <v>46274</v>
      </c>
      <c r="F1942">
        <v>27</v>
      </c>
      <c r="G1942" t="s">
        <v>390</v>
      </c>
    </row>
    <row r="1943" spans="1:7">
      <c r="A1943" t="s">
        <v>4240</v>
      </c>
      <c r="B1943" t="s">
        <v>4241</v>
      </c>
      <c r="C1943">
        <v>10</v>
      </c>
      <c r="D1943" s="321">
        <v>46289</v>
      </c>
      <c r="E1943" s="321">
        <v>46302</v>
      </c>
      <c r="F1943">
        <v>32</v>
      </c>
      <c r="G1943" t="s">
        <v>390</v>
      </c>
    </row>
    <row r="1944" spans="1:7">
      <c r="A1944" t="s">
        <v>4242</v>
      </c>
      <c r="B1944" t="s">
        <v>4243</v>
      </c>
      <c r="C1944">
        <v>20</v>
      </c>
      <c r="D1944" s="321">
        <v>46220</v>
      </c>
      <c r="E1944" s="321">
        <v>46253</v>
      </c>
      <c r="F1944">
        <v>7</v>
      </c>
      <c r="G1944" t="s">
        <v>390</v>
      </c>
    </row>
    <row r="1945" spans="1:7">
      <c r="A1945" t="s">
        <v>4244</v>
      </c>
      <c r="B1945" t="s">
        <v>4245</v>
      </c>
      <c r="C1945">
        <v>15</v>
      </c>
      <c r="D1945" s="321">
        <v>46268</v>
      </c>
      <c r="E1945" s="321">
        <v>46288</v>
      </c>
      <c r="F1945">
        <v>22</v>
      </c>
      <c r="G1945" t="s">
        <v>390</v>
      </c>
    </row>
    <row r="1946" spans="1:7">
      <c r="A1946" t="s">
        <v>4246</v>
      </c>
      <c r="B1946" t="s">
        <v>4247</v>
      </c>
      <c r="C1946">
        <v>15</v>
      </c>
      <c r="D1946" s="321">
        <v>46303</v>
      </c>
      <c r="E1946" s="321">
        <v>46325</v>
      </c>
      <c r="F1946">
        <v>22</v>
      </c>
      <c r="G1946" t="s">
        <v>390</v>
      </c>
    </row>
    <row r="1947" spans="1:7">
      <c r="A1947" t="s">
        <v>4248</v>
      </c>
      <c r="B1947" t="s">
        <v>4249</v>
      </c>
      <c r="C1947">
        <v>15</v>
      </c>
      <c r="D1947" s="321">
        <v>46254</v>
      </c>
      <c r="E1947" s="321">
        <v>46274</v>
      </c>
      <c r="F1947">
        <v>7</v>
      </c>
      <c r="G1947" t="s">
        <v>390</v>
      </c>
    </row>
    <row r="1948" spans="1:7">
      <c r="A1948" t="s">
        <v>4250</v>
      </c>
      <c r="B1948" t="s">
        <v>4251</v>
      </c>
      <c r="C1948">
        <v>10</v>
      </c>
      <c r="D1948" s="321">
        <v>46289</v>
      </c>
      <c r="E1948" s="321">
        <v>46302</v>
      </c>
      <c r="F1948">
        <v>22</v>
      </c>
      <c r="G1948" t="s">
        <v>390</v>
      </c>
    </row>
    <row r="1949" spans="1:7">
      <c r="A1949" t="s">
        <v>4252</v>
      </c>
      <c r="B1949" t="s">
        <v>4253</v>
      </c>
      <c r="C1949">
        <v>10</v>
      </c>
      <c r="D1949" s="321">
        <v>46321</v>
      </c>
      <c r="E1949" s="321">
        <v>46332</v>
      </c>
      <c r="F1949">
        <v>22</v>
      </c>
      <c r="G1949" t="s">
        <v>390</v>
      </c>
    </row>
    <row r="1950" spans="1:7">
      <c r="A1950" t="s">
        <v>4254</v>
      </c>
      <c r="B1950" t="s">
        <v>4255</v>
      </c>
      <c r="C1950">
        <v>15</v>
      </c>
      <c r="D1950" s="321">
        <v>46192</v>
      </c>
      <c r="E1950" s="321">
        <v>46212</v>
      </c>
      <c r="F1950">
        <v>77</v>
      </c>
      <c r="G1950" t="s">
        <v>390</v>
      </c>
    </row>
    <row r="1951" spans="1:7">
      <c r="A1951" t="s">
        <v>4256</v>
      </c>
      <c r="B1951" t="s">
        <v>4257</v>
      </c>
      <c r="C1951">
        <v>10</v>
      </c>
      <c r="D1951" s="321">
        <v>46227</v>
      </c>
      <c r="E1951" s="321">
        <v>46245</v>
      </c>
      <c r="F1951">
        <v>77</v>
      </c>
      <c r="G1951" t="s">
        <v>390</v>
      </c>
    </row>
    <row r="1952" spans="1:7">
      <c r="A1952" t="s">
        <v>4258</v>
      </c>
      <c r="B1952" t="s">
        <v>4259</v>
      </c>
      <c r="C1952">
        <v>10</v>
      </c>
      <c r="D1952" s="321">
        <v>46261</v>
      </c>
      <c r="E1952" s="321">
        <v>46274</v>
      </c>
      <c r="F1952">
        <v>77</v>
      </c>
      <c r="G1952" t="s">
        <v>390</v>
      </c>
    </row>
    <row r="1953" spans="1:7">
      <c r="A1953" t="s">
        <v>4260</v>
      </c>
      <c r="B1953" t="s">
        <v>4261</v>
      </c>
      <c r="C1953">
        <v>15</v>
      </c>
      <c r="D1953" s="321">
        <v>46199</v>
      </c>
      <c r="E1953" s="321">
        <v>46219</v>
      </c>
      <c r="F1953">
        <v>72</v>
      </c>
      <c r="G1953" t="s">
        <v>390</v>
      </c>
    </row>
    <row r="1954" spans="1:7">
      <c r="A1954" t="s">
        <v>4262</v>
      </c>
      <c r="B1954" t="s">
        <v>4263</v>
      </c>
      <c r="C1954">
        <v>10</v>
      </c>
      <c r="D1954" s="321">
        <v>46239</v>
      </c>
      <c r="E1954" s="321">
        <v>46253</v>
      </c>
      <c r="F1954">
        <v>72</v>
      </c>
      <c r="G1954" t="s">
        <v>390</v>
      </c>
    </row>
    <row r="1955" spans="1:7">
      <c r="A1955" t="s">
        <v>4264</v>
      </c>
      <c r="B1955" t="s">
        <v>4265</v>
      </c>
      <c r="C1955">
        <v>10</v>
      </c>
      <c r="D1955" s="321">
        <v>46268</v>
      </c>
      <c r="E1955" s="321">
        <v>46281</v>
      </c>
      <c r="F1955">
        <v>72</v>
      </c>
      <c r="G1955" t="s">
        <v>390</v>
      </c>
    </row>
    <row r="1956" spans="1:7">
      <c r="A1956" t="s">
        <v>4266</v>
      </c>
      <c r="B1956" t="s">
        <v>4267</v>
      </c>
      <c r="C1956">
        <v>15</v>
      </c>
      <c r="D1956" s="321">
        <v>46199</v>
      </c>
      <c r="E1956" s="321">
        <v>46219</v>
      </c>
      <c r="F1956">
        <v>72</v>
      </c>
      <c r="G1956" t="s">
        <v>390</v>
      </c>
    </row>
    <row r="1957" spans="1:7">
      <c r="A1957" t="s">
        <v>4268</v>
      </c>
      <c r="B1957" t="s">
        <v>4269</v>
      </c>
      <c r="C1957">
        <v>10</v>
      </c>
      <c r="D1957" s="321">
        <v>46239</v>
      </c>
      <c r="E1957" s="321">
        <v>46253</v>
      </c>
      <c r="F1957">
        <v>72</v>
      </c>
      <c r="G1957" t="s">
        <v>390</v>
      </c>
    </row>
    <row r="1958" spans="1:7">
      <c r="A1958" t="s">
        <v>4270</v>
      </c>
      <c r="B1958" t="s">
        <v>4271</v>
      </c>
      <c r="C1958">
        <v>10</v>
      </c>
      <c r="D1958" s="321">
        <v>46268</v>
      </c>
      <c r="E1958" s="321">
        <v>46281</v>
      </c>
      <c r="F1958">
        <v>72</v>
      </c>
      <c r="G1958" t="s">
        <v>390</v>
      </c>
    </row>
    <row r="1959" spans="1:7">
      <c r="A1959" t="s">
        <v>4272</v>
      </c>
      <c r="B1959" t="s">
        <v>4273</v>
      </c>
      <c r="C1959">
        <v>20</v>
      </c>
      <c r="D1959" s="321">
        <v>46220</v>
      </c>
      <c r="E1959" s="321">
        <v>46253</v>
      </c>
      <c r="F1959">
        <v>22</v>
      </c>
      <c r="G1959" t="s">
        <v>390</v>
      </c>
    </row>
    <row r="1960" spans="1:7">
      <c r="A1960" t="s">
        <v>4274</v>
      </c>
      <c r="B1960" t="s">
        <v>4275</v>
      </c>
      <c r="C1960">
        <v>15</v>
      </c>
      <c r="D1960" s="321">
        <v>46268</v>
      </c>
      <c r="E1960" s="321">
        <v>46288</v>
      </c>
      <c r="F1960">
        <v>22</v>
      </c>
      <c r="G1960" t="s">
        <v>390</v>
      </c>
    </row>
    <row r="1961" spans="1:7">
      <c r="A1961" t="s">
        <v>4276</v>
      </c>
      <c r="B1961" t="s">
        <v>4277</v>
      </c>
      <c r="C1961">
        <v>15</v>
      </c>
      <c r="D1961" s="321">
        <v>46303</v>
      </c>
      <c r="E1961" s="321">
        <v>46325</v>
      </c>
      <c r="F1961">
        <v>22</v>
      </c>
      <c r="G1961" t="s">
        <v>390</v>
      </c>
    </row>
    <row r="1962" spans="1:7">
      <c r="A1962" t="s">
        <v>4278</v>
      </c>
      <c r="B1962" t="s">
        <v>4279</v>
      </c>
      <c r="C1962">
        <v>15</v>
      </c>
      <c r="D1962" s="321">
        <v>46254</v>
      </c>
      <c r="E1962" s="321">
        <v>46274</v>
      </c>
      <c r="F1962">
        <v>7</v>
      </c>
      <c r="G1962" t="s">
        <v>390</v>
      </c>
    </row>
    <row r="1963" spans="1:7">
      <c r="A1963" t="s">
        <v>4280</v>
      </c>
      <c r="B1963" t="s">
        <v>4281</v>
      </c>
      <c r="C1963">
        <v>10</v>
      </c>
      <c r="D1963" s="321">
        <v>46289</v>
      </c>
      <c r="E1963" s="321">
        <v>46302</v>
      </c>
      <c r="F1963">
        <v>22</v>
      </c>
      <c r="G1963" t="s">
        <v>390</v>
      </c>
    </row>
    <row r="1964" spans="1:7">
      <c r="A1964" t="s">
        <v>4282</v>
      </c>
      <c r="B1964" t="s">
        <v>4283</v>
      </c>
      <c r="C1964">
        <v>10</v>
      </c>
      <c r="D1964" s="321">
        <v>46321</v>
      </c>
      <c r="E1964" s="321">
        <v>46332</v>
      </c>
      <c r="F1964">
        <v>22</v>
      </c>
      <c r="G1964" t="s">
        <v>390</v>
      </c>
    </row>
    <row r="1965" spans="1:7">
      <c r="A1965" t="s">
        <v>4284</v>
      </c>
      <c r="B1965" t="s">
        <v>4285</v>
      </c>
      <c r="C1965">
        <v>15</v>
      </c>
      <c r="D1965" s="321">
        <v>46192</v>
      </c>
      <c r="E1965" s="321">
        <v>46212</v>
      </c>
      <c r="F1965">
        <v>77</v>
      </c>
      <c r="G1965" t="s">
        <v>390</v>
      </c>
    </row>
    <row r="1966" spans="1:7">
      <c r="A1966" t="s">
        <v>4286</v>
      </c>
      <c r="B1966" t="s">
        <v>4287</v>
      </c>
      <c r="C1966">
        <v>10</v>
      </c>
      <c r="D1966" s="321">
        <v>46227</v>
      </c>
      <c r="E1966" s="321">
        <v>46245</v>
      </c>
      <c r="F1966">
        <v>77</v>
      </c>
      <c r="G1966" t="s">
        <v>390</v>
      </c>
    </row>
    <row r="1967" spans="1:7">
      <c r="A1967" t="s">
        <v>4288</v>
      </c>
      <c r="B1967" t="s">
        <v>4289</v>
      </c>
      <c r="C1967">
        <v>10</v>
      </c>
      <c r="D1967" s="321">
        <v>46261</v>
      </c>
      <c r="E1967" s="321">
        <v>46274</v>
      </c>
      <c r="F1967">
        <v>77</v>
      </c>
      <c r="G1967" t="s">
        <v>390</v>
      </c>
    </row>
    <row r="1968" spans="1:7">
      <c r="A1968" t="s">
        <v>4290</v>
      </c>
      <c r="B1968" t="s">
        <v>4291</v>
      </c>
      <c r="C1968">
        <v>15</v>
      </c>
      <c r="D1968" s="321">
        <v>46213</v>
      </c>
      <c r="E1968" s="321">
        <v>46238</v>
      </c>
      <c r="F1968">
        <v>62</v>
      </c>
      <c r="G1968" t="s">
        <v>390</v>
      </c>
    </row>
    <row r="1969" spans="1:7">
      <c r="A1969" t="s">
        <v>4292</v>
      </c>
      <c r="B1969" t="s">
        <v>4293</v>
      </c>
      <c r="C1969">
        <v>10</v>
      </c>
      <c r="D1969" s="321">
        <v>46254</v>
      </c>
      <c r="E1969" s="321">
        <v>46267</v>
      </c>
      <c r="F1969">
        <v>62</v>
      </c>
      <c r="G1969" t="s">
        <v>390</v>
      </c>
    </row>
    <row r="1970" spans="1:7">
      <c r="A1970" t="s">
        <v>4294</v>
      </c>
      <c r="B1970" t="s">
        <v>4295</v>
      </c>
      <c r="C1970">
        <v>10</v>
      </c>
      <c r="D1970" s="321">
        <v>46275</v>
      </c>
      <c r="E1970" s="321">
        <v>46288</v>
      </c>
      <c r="F1970">
        <v>67</v>
      </c>
      <c r="G1970" t="s">
        <v>390</v>
      </c>
    </row>
    <row r="1971" spans="1:7">
      <c r="A1971" t="s">
        <v>4296</v>
      </c>
      <c r="B1971" t="s">
        <v>4297</v>
      </c>
      <c r="C1971">
        <v>15</v>
      </c>
      <c r="D1971" s="321">
        <v>46220</v>
      </c>
      <c r="E1971" s="321">
        <v>46245</v>
      </c>
      <c r="F1971">
        <v>37</v>
      </c>
      <c r="G1971" t="s">
        <v>390</v>
      </c>
    </row>
    <row r="1972" spans="1:7">
      <c r="A1972" t="s">
        <v>4298</v>
      </c>
      <c r="B1972" t="s">
        <v>4299</v>
      </c>
      <c r="C1972">
        <v>10</v>
      </c>
      <c r="D1972" s="321">
        <v>46261</v>
      </c>
      <c r="E1972" s="321">
        <v>46274</v>
      </c>
      <c r="F1972">
        <v>37</v>
      </c>
      <c r="G1972" t="s">
        <v>390</v>
      </c>
    </row>
    <row r="1973" spans="1:7">
      <c r="A1973" t="s">
        <v>4300</v>
      </c>
      <c r="B1973" t="s">
        <v>4301</v>
      </c>
      <c r="C1973">
        <v>10</v>
      </c>
      <c r="D1973" s="321">
        <v>46289</v>
      </c>
      <c r="E1973" s="321">
        <v>46302</v>
      </c>
      <c r="F1973">
        <v>37</v>
      </c>
      <c r="G1973" t="s">
        <v>390</v>
      </c>
    </row>
    <row r="1974" spans="1:7">
      <c r="A1974" t="s">
        <v>4302</v>
      </c>
      <c r="B1974" t="s">
        <v>4303</v>
      </c>
      <c r="C1974">
        <v>15</v>
      </c>
      <c r="D1974" s="321">
        <v>46239</v>
      </c>
      <c r="E1974" s="321">
        <v>46260</v>
      </c>
      <c r="F1974">
        <v>37</v>
      </c>
      <c r="G1974" t="s">
        <v>390</v>
      </c>
    </row>
    <row r="1975" spans="1:7">
      <c r="A1975" t="s">
        <v>4304</v>
      </c>
      <c r="B1975" t="s">
        <v>4305</v>
      </c>
      <c r="C1975">
        <v>10</v>
      </c>
      <c r="D1975" s="321">
        <v>46275</v>
      </c>
      <c r="E1975" s="321">
        <v>46288</v>
      </c>
      <c r="F1975">
        <v>37</v>
      </c>
      <c r="G1975" t="s">
        <v>390</v>
      </c>
    </row>
    <row r="1976" spans="1:7">
      <c r="A1976" t="s">
        <v>4306</v>
      </c>
      <c r="B1976" t="s">
        <v>4307</v>
      </c>
      <c r="C1976">
        <v>10</v>
      </c>
      <c r="D1976" s="321">
        <v>46303</v>
      </c>
      <c r="E1976" s="321">
        <v>46317</v>
      </c>
      <c r="F1976">
        <v>37</v>
      </c>
      <c r="G1976" t="s">
        <v>390</v>
      </c>
    </row>
    <row r="1977" spans="1:7">
      <c r="A1977" t="s">
        <v>4308</v>
      </c>
      <c r="B1977" t="s">
        <v>4309</v>
      </c>
      <c r="C1977">
        <v>15</v>
      </c>
      <c r="D1977" s="321">
        <v>46239</v>
      </c>
      <c r="E1977" s="321">
        <v>46260</v>
      </c>
      <c r="F1977">
        <v>37</v>
      </c>
      <c r="G1977" t="s">
        <v>390</v>
      </c>
    </row>
    <row r="1978" spans="1:7">
      <c r="A1978" t="s">
        <v>4310</v>
      </c>
      <c r="B1978" t="s">
        <v>4311</v>
      </c>
      <c r="C1978">
        <v>10</v>
      </c>
      <c r="D1978" s="321">
        <v>46289</v>
      </c>
      <c r="E1978" s="321">
        <v>46302</v>
      </c>
      <c r="F1978">
        <v>37</v>
      </c>
      <c r="G1978" t="s">
        <v>390</v>
      </c>
    </row>
    <row r="1979" spans="1:7">
      <c r="A1979" t="s">
        <v>4312</v>
      </c>
      <c r="B1979" t="s">
        <v>4313</v>
      </c>
      <c r="C1979">
        <v>10</v>
      </c>
      <c r="D1979" s="321">
        <v>46321</v>
      </c>
      <c r="E1979" s="321">
        <v>46332</v>
      </c>
      <c r="F1979">
        <v>37</v>
      </c>
      <c r="G1979" t="s">
        <v>390</v>
      </c>
    </row>
    <row r="1980" spans="1:7">
      <c r="A1980" t="s">
        <v>4314</v>
      </c>
      <c r="B1980" t="s">
        <v>4315</v>
      </c>
      <c r="C1980">
        <v>15</v>
      </c>
      <c r="D1980" s="321">
        <v>46254</v>
      </c>
      <c r="E1980" s="321">
        <v>46274</v>
      </c>
      <c r="F1980">
        <v>37</v>
      </c>
      <c r="G1980" t="s">
        <v>390</v>
      </c>
    </row>
    <row r="1981" spans="1:7">
      <c r="A1981" t="s">
        <v>4316</v>
      </c>
      <c r="B1981" t="s">
        <v>4317</v>
      </c>
      <c r="C1981">
        <v>10</v>
      </c>
      <c r="D1981" s="321">
        <v>46289</v>
      </c>
      <c r="E1981" s="321">
        <v>46302</v>
      </c>
      <c r="F1981">
        <v>37</v>
      </c>
      <c r="G1981" t="s">
        <v>390</v>
      </c>
    </row>
    <row r="1982" spans="1:7">
      <c r="A1982" t="s">
        <v>4318</v>
      </c>
      <c r="B1982" t="s">
        <v>4319</v>
      </c>
      <c r="C1982">
        <v>10</v>
      </c>
      <c r="D1982" s="321">
        <v>46321</v>
      </c>
      <c r="E1982" s="321">
        <v>46332</v>
      </c>
      <c r="F1982">
        <v>37</v>
      </c>
      <c r="G1982" t="s">
        <v>390</v>
      </c>
    </row>
    <row r="1983" spans="1:7">
      <c r="A1983" t="s">
        <v>4320</v>
      </c>
      <c r="B1983" t="s">
        <v>4321</v>
      </c>
      <c r="C1983">
        <v>15</v>
      </c>
      <c r="D1983" s="321">
        <v>46254</v>
      </c>
      <c r="E1983" s="321">
        <v>46274</v>
      </c>
      <c r="F1983">
        <v>37</v>
      </c>
      <c r="G1983" t="s">
        <v>390</v>
      </c>
    </row>
    <row r="1984" spans="1:7">
      <c r="A1984" t="s">
        <v>4322</v>
      </c>
      <c r="B1984" t="s">
        <v>4323</v>
      </c>
      <c r="C1984">
        <v>10</v>
      </c>
      <c r="D1984" s="321">
        <v>46289</v>
      </c>
      <c r="E1984" s="321">
        <v>46302</v>
      </c>
      <c r="F1984">
        <v>37</v>
      </c>
      <c r="G1984" t="s">
        <v>390</v>
      </c>
    </row>
    <row r="1985" spans="1:7">
      <c r="A1985" t="s">
        <v>4324</v>
      </c>
      <c r="B1985" t="s">
        <v>4325</v>
      </c>
      <c r="C1985">
        <v>10</v>
      </c>
      <c r="D1985" s="321">
        <v>46321</v>
      </c>
      <c r="E1985" s="321">
        <v>46332</v>
      </c>
      <c r="F1985">
        <v>37</v>
      </c>
      <c r="G1985" t="s">
        <v>390</v>
      </c>
    </row>
    <row r="1986" spans="1:7">
      <c r="A1986" t="s">
        <v>4326</v>
      </c>
      <c r="B1986" t="s">
        <v>4327</v>
      </c>
      <c r="C1986">
        <v>15</v>
      </c>
      <c r="D1986" s="321">
        <v>46192</v>
      </c>
      <c r="E1986" s="321">
        <v>46212</v>
      </c>
      <c r="F1986">
        <v>77</v>
      </c>
      <c r="G1986" t="s">
        <v>390</v>
      </c>
    </row>
    <row r="1987" spans="1:7">
      <c r="A1987" t="s">
        <v>4328</v>
      </c>
      <c r="B1987" t="s">
        <v>4329</v>
      </c>
      <c r="C1987">
        <v>10</v>
      </c>
      <c r="D1987" s="321">
        <v>46227</v>
      </c>
      <c r="E1987" s="321">
        <v>46245</v>
      </c>
      <c r="F1987">
        <v>77</v>
      </c>
      <c r="G1987" t="s">
        <v>390</v>
      </c>
    </row>
    <row r="1988" spans="1:7">
      <c r="A1988" t="s">
        <v>4330</v>
      </c>
      <c r="B1988" t="s">
        <v>4331</v>
      </c>
      <c r="C1988">
        <v>10</v>
      </c>
      <c r="D1988" s="321">
        <v>46261</v>
      </c>
      <c r="E1988" s="321">
        <v>46274</v>
      </c>
      <c r="F1988">
        <v>77</v>
      </c>
      <c r="G1988" t="s">
        <v>390</v>
      </c>
    </row>
    <row r="1989" spans="1:7">
      <c r="A1989" t="s">
        <v>4332</v>
      </c>
      <c r="B1989" t="s">
        <v>4333</v>
      </c>
      <c r="C1989">
        <v>15</v>
      </c>
      <c r="D1989" s="321">
        <v>46213</v>
      </c>
      <c r="E1989" s="321">
        <v>46238</v>
      </c>
      <c r="F1989">
        <v>62</v>
      </c>
      <c r="G1989" t="s">
        <v>390</v>
      </c>
    </row>
    <row r="1990" spans="1:7">
      <c r="A1990" t="s">
        <v>4334</v>
      </c>
      <c r="B1990" t="s">
        <v>4335</v>
      </c>
      <c r="C1990">
        <v>10</v>
      </c>
      <c r="D1990" s="321">
        <v>46254</v>
      </c>
      <c r="E1990" s="321">
        <v>46267</v>
      </c>
      <c r="F1990">
        <v>62</v>
      </c>
      <c r="G1990" t="s">
        <v>390</v>
      </c>
    </row>
    <row r="1991" spans="1:7">
      <c r="A1991" t="s">
        <v>4336</v>
      </c>
      <c r="B1991" t="s">
        <v>4337</v>
      </c>
      <c r="C1991">
        <v>10</v>
      </c>
      <c r="D1991" s="321">
        <v>46282</v>
      </c>
      <c r="E1991" s="321">
        <v>46295</v>
      </c>
      <c r="F1991">
        <v>62</v>
      </c>
      <c r="G1991" t="s">
        <v>390</v>
      </c>
    </row>
    <row r="1992" spans="1:7">
      <c r="A1992" t="s">
        <v>4338</v>
      </c>
      <c r="B1992" t="s">
        <v>4339</v>
      </c>
      <c r="C1992">
        <v>15</v>
      </c>
      <c r="D1992" s="321">
        <v>46220</v>
      </c>
      <c r="E1992" s="321">
        <v>46245</v>
      </c>
      <c r="F1992">
        <v>57</v>
      </c>
      <c r="G1992" t="s">
        <v>390</v>
      </c>
    </row>
    <row r="1993" spans="1:7">
      <c r="A1993" t="s">
        <v>4340</v>
      </c>
      <c r="B1993" t="s">
        <v>4341</v>
      </c>
      <c r="C1993">
        <v>10</v>
      </c>
      <c r="D1993" s="321">
        <v>46261</v>
      </c>
      <c r="E1993" s="321">
        <v>46274</v>
      </c>
      <c r="F1993">
        <v>57</v>
      </c>
      <c r="G1993" t="s">
        <v>390</v>
      </c>
    </row>
    <row r="1994" spans="1:7">
      <c r="A1994" t="s">
        <v>4342</v>
      </c>
      <c r="B1994" t="s">
        <v>4343</v>
      </c>
      <c r="C1994">
        <v>10</v>
      </c>
      <c r="D1994" s="321">
        <v>46289</v>
      </c>
      <c r="E1994" s="321">
        <v>46302</v>
      </c>
      <c r="F1994">
        <v>57</v>
      </c>
      <c r="G1994" t="s">
        <v>390</v>
      </c>
    </row>
    <row r="1995" spans="1:7">
      <c r="A1995" t="s">
        <v>4344</v>
      </c>
      <c r="B1995" t="s">
        <v>4345</v>
      </c>
      <c r="C1995">
        <v>15</v>
      </c>
      <c r="D1995" s="321">
        <v>46239</v>
      </c>
      <c r="E1995" s="321">
        <v>46260</v>
      </c>
      <c r="F1995">
        <v>47</v>
      </c>
      <c r="G1995" t="s">
        <v>390</v>
      </c>
    </row>
    <row r="1996" spans="1:7">
      <c r="A1996" t="s">
        <v>4346</v>
      </c>
      <c r="B1996" t="s">
        <v>4347</v>
      </c>
      <c r="C1996">
        <v>10</v>
      </c>
      <c r="D1996" s="321">
        <v>46275</v>
      </c>
      <c r="E1996" s="321">
        <v>46288</v>
      </c>
      <c r="F1996">
        <v>47</v>
      </c>
      <c r="G1996" t="s">
        <v>390</v>
      </c>
    </row>
    <row r="1997" spans="1:7">
      <c r="A1997" t="s">
        <v>4348</v>
      </c>
      <c r="B1997" t="s">
        <v>4349</v>
      </c>
      <c r="C1997">
        <v>10</v>
      </c>
      <c r="D1997" s="321">
        <v>46303</v>
      </c>
      <c r="E1997" s="321">
        <v>46317</v>
      </c>
      <c r="F1997">
        <v>47</v>
      </c>
      <c r="G1997" t="s">
        <v>390</v>
      </c>
    </row>
    <row r="1998" spans="1:7">
      <c r="A1998" t="s">
        <v>4350</v>
      </c>
      <c r="B1998" t="s">
        <v>4351</v>
      </c>
      <c r="C1998">
        <v>15</v>
      </c>
      <c r="D1998" s="321">
        <v>46239</v>
      </c>
      <c r="E1998" s="321">
        <v>46260</v>
      </c>
      <c r="F1998">
        <v>47</v>
      </c>
      <c r="G1998" t="s">
        <v>390</v>
      </c>
    </row>
    <row r="1999" spans="1:7">
      <c r="A1999" t="s">
        <v>4352</v>
      </c>
      <c r="B1999" t="s">
        <v>4353</v>
      </c>
      <c r="C1999">
        <v>10</v>
      </c>
      <c r="D1999" s="321">
        <v>46289</v>
      </c>
      <c r="E1999" s="321">
        <v>46302</v>
      </c>
      <c r="F1999">
        <v>37</v>
      </c>
      <c r="G1999" t="s">
        <v>390</v>
      </c>
    </row>
    <row r="2000" spans="1:7">
      <c r="A2000" t="s">
        <v>4354</v>
      </c>
      <c r="B2000" t="s">
        <v>4355</v>
      </c>
      <c r="C2000">
        <v>10</v>
      </c>
      <c r="D2000" s="321">
        <v>46321</v>
      </c>
      <c r="E2000" s="321">
        <v>46332</v>
      </c>
      <c r="F2000">
        <v>37</v>
      </c>
      <c r="G2000" t="s">
        <v>390</v>
      </c>
    </row>
    <row r="2001" spans="1:7">
      <c r="A2001" t="s">
        <v>4356</v>
      </c>
      <c r="B2001" t="s">
        <v>4357</v>
      </c>
      <c r="C2001">
        <v>15</v>
      </c>
      <c r="D2001" s="321">
        <v>46254</v>
      </c>
      <c r="E2001" s="321">
        <v>46274</v>
      </c>
      <c r="F2001">
        <v>37</v>
      </c>
      <c r="G2001" t="s">
        <v>390</v>
      </c>
    </row>
    <row r="2002" spans="1:7">
      <c r="A2002" t="s">
        <v>4358</v>
      </c>
      <c r="B2002" t="s">
        <v>4359</v>
      </c>
      <c r="C2002">
        <v>10</v>
      </c>
      <c r="D2002" s="321">
        <v>46289</v>
      </c>
      <c r="E2002" s="321">
        <v>46302</v>
      </c>
      <c r="F2002">
        <v>37</v>
      </c>
      <c r="G2002" t="s">
        <v>390</v>
      </c>
    </row>
    <row r="2003" spans="1:7">
      <c r="A2003" t="s">
        <v>4360</v>
      </c>
      <c r="B2003" t="s">
        <v>4361</v>
      </c>
      <c r="C2003">
        <v>10</v>
      </c>
      <c r="D2003" s="321">
        <v>46321</v>
      </c>
      <c r="E2003" s="321">
        <v>46332</v>
      </c>
      <c r="F2003">
        <v>37</v>
      </c>
      <c r="G2003" t="s">
        <v>390</v>
      </c>
    </row>
    <row r="2004" spans="1:7">
      <c r="A2004" t="s">
        <v>4362</v>
      </c>
      <c r="B2004" t="s">
        <v>4363</v>
      </c>
      <c r="C2004">
        <v>15</v>
      </c>
      <c r="D2004" s="321">
        <v>46254</v>
      </c>
      <c r="E2004" s="321">
        <v>46274</v>
      </c>
      <c r="F2004">
        <v>37</v>
      </c>
      <c r="G2004" t="s">
        <v>390</v>
      </c>
    </row>
    <row r="2005" spans="1:7">
      <c r="A2005" t="s">
        <v>4364</v>
      </c>
      <c r="B2005" t="s">
        <v>4365</v>
      </c>
      <c r="C2005">
        <v>10</v>
      </c>
      <c r="D2005" s="321">
        <v>46289</v>
      </c>
      <c r="E2005" s="321">
        <v>46302</v>
      </c>
      <c r="F2005">
        <v>37</v>
      </c>
      <c r="G2005" t="s">
        <v>390</v>
      </c>
    </row>
    <row r="2006" spans="1:7">
      <c r="A2006" t="s">
        <v>4366</v>
      </c>
      <c r="B2006" t="s">
        <v>4367</v>
      </c>
      <c r="C2006">
        <v>10</v>
      </c>
      <c r="D2006" s="321">
        <v>46321</v>
      </c>
      <c r="E2006" s="321">
        <v>46332</v>
      </c>
      <c r="F2006">
        <v>37</v>
      </c>
      <c r="G2006" t="s">
        <v>390</v>
      </c>
    </row>
    <row r="2007" spans="1:7">
      <c r="A2007" t="s">
        <v>4368</v>
      </c>
      <c r="B2007" t="s">
        <v>4369</v>
      </c>
      <c r="C2007">
        <v>15</v>
      </c>
      <c r="D2007" s="321">
        <v>46275</v>
      </c>
      <c r="E2007" s="321">
        <v>46295</v>
      </c>
      <c r="F2007">
        <v>42</v>
      </c>
      <c r="G2007" t="s">
        <v>390</v>
      </c>
    </row>
    <row r="2008" spans="1:7">
      <c r="A2008" t="s">
        <v>4370</v>
      </c>
      <c r="B2008" t="s">
        <v>4371</v>
      </c>
      <c r="C2008">
        <v>10</v>
      </c>
      <c r="D2008" s="321">
        <v>46321</v>
      </c>
      <c r="E2008" s="321">
        <v>46332</v>
      </c>
      <c r="F2008">
        <v>37</v>
      </c>
      <c r="G2008" t="s">
        <v>390</v>
      </c>
    </row>
    <row r="2009" spans="1:7">
      <c r="A2009" t="s">
        <v>4372</v>
      </c>
      <c r="B2009" t="s">
        <v>4373</v>
      </c>
      <c r="C2009">
        <v>15</v>
      </c>
      <c r="D2009" s="321">
        <v>46275</v>
      </c>
      <c r="E2009" s="321">
        <v>46295</v>
      </c>
      <c r="F2009">
        <v>42</v>
      </c>
      <c r="G2009" t="s">
        <v>390</v>
      </c>
    </row>
    <row r="2010" spans="1:7">
      <c r="A2010" t="s">
        <v>4374</v>
      </c>
      <c r="B2010" t="s">
        <v>4375</v>
      </c>
      <c r="C2010">
        <v>10</v>
      </c>
      <c r="D2010" s="321">
        <v>46321</v>
      </c>
      <c r="E2010" s="321">
        <v>46332</v>
      </c>
      <c r="F2010">
        <v>37</v>
      </c>
      <c r="G2010" t="s">
        <v>390</v>
      </c>
    </row>
    <row r="2011" spans="1:7">
      <c r="A2011" t="s">
        <v>4376</v>
      </c>
      <c r="C2011">
        <v>135</v>
      </c>
      <c r="D2011" s="321">
        <v>46148</v>
      </c>
      <c r="E2011" s="321">
        <v>46346</v>
      </c>
      <c r="F2011">
        <v>27</v>
      </c>
      <c r="G2011" t="s">
        <v>390</v>
      </c>
    </row>
    <row r="2012" spans="1:7">
      <c r="A2012" t="s">
        <v>4377</v>
      </c>
      <c r="B2012" t="s">
        <v>4378</v>
      </c>
      <c r="C2012">
        <v>15</v>
      </c>
      <c r="D2012" s="321">
        <v>46239</v>
      </c>
      <c r="E2012" s="321">
        <v>46260</v>
      </c>
      <c r="F2012">
        <v>7</v>
      </c>
      <c r="G2012" t="s">
        <v>390</v>
      </c>
    </row>
    <row r="2013" spans="1:7">
      <c r="A2013" t="s">
        <v>4379</v>
      </c>
      <c r="B2013" t="s">
        <v>4380</v>
      </c>
      <c r="C2013">
        <v>10</v>
      </c>
      <c r="D2013" s="321">
        <v>46275</v>
      </c>
      <c r="E2013" s="321">
        <v>46288</v>
      </c>
      <c r="F2013">
        <v>42</v>
      </c>
      <c r="G2013" t="s">
        <v>390</v>
      </c>
    </row>
    <row r="2014" spans="1:7">
      <c r="A2014" t="s">
        <v>4381</v>
      </c>
      <c r="B2014" t="s">
        <v>4382</v>
      </c>
      <c r="C2014">
        <v>10</v>
      </c>
      <c r="D2014" s="321">
        <v>46335</v>
      </c>
      <c r="E2014" s="321">
        <v>46346</v>
      </c>
      <c r="F2014">
        <v>22</v>
      </c>
      <c r="G2014" t="s">
        <v>390</v>
      </c>
    </row>
    <row r="2015" spans="1:7">
      <c r="A2015" t="s">
        <v>4383</v>
      </c>
      <c r="B2015" t="s">
        <v>4384</v>
      </c>
      <c r="C2015">
        <v>15</v>
      </c>
      <c r="D2015" s="321">
        <v>46239</v>
      </c>
      <c r="E2015" s="321">
        <v>46260</v>
      </c>
      <c r="F2015">
        <v>7</v>
      </c>
      <c r="G2015" t="s">
        <v>390</v>
      </c>
    </row>
    <row r="2016" spans="1:7">
      <c r="A2016" t="s">
        <v>4385</v>
      </c>
      <c r="B2016" t="s">
        <v>4386</v>
      </c>
      <c r="C2016">
        <v>10</v>
      </c>
      <c r="D2016" s="321">
        <v>46275</v>
      </c>
      <c r="E2016" s="321">
        <v>46288</v>
      </c>
      <c r="F2016">
        <v>42</v>
      </c>
      <c r="G2016" t="s">
        <v>390</v>
      </c>
    </row>
    <row r="2017" spans="1:7">
      <c r="A2017" t="s">
        <v>4387</v>
      </c>
      <c r="B2017" t="s">
        <v>4388</v>
      </c>
      <c r="C2017">
        <v>10</v>
      </c>
      <c r="D2017" s="321">
        <v>46335</v>
      </c>
      <c r="E2017" s="321">
        <v>46346</v>
      </c>
      <c r="F2017">
        <v>22</v>
      </c>
      <c r="G2017" t="s">
        <v>390</v>
      </c>
    </row>
    <row r="2018" spans="1:7">
      <c r="A2018" t="s">
        <v>4389</v>
      </c>
      <c r="B2018" t="s">
        <v>4390</v>
      </c>
      <c r="C2018">
        <v>15</v>
      </c>
      <c r="D2018" s="321">
        <v>46239</v>
      </c>
      <c r="E2018" s="321">
        <v>46260</v>
      </c>
      <c r="F2018">
        <v>7</v>
      </c>
      <c r="G2018" t="s">
        <v>390</v>
      </c>
    </row>
    <row r="2019" spans="1:7">
      <c r="A2019" t="s">
        <v>4391</v>
      </c>
      <c r="B2019" t="s">
        <v>4392</v>
      </c>
      <c r="C2019">
        <v>10</v>
      </c>
      <c r="D2019" s="321">
        <v>46275</v>
      </c>
      <c r="E2019" s="321">
        <v>46288</v>
      </c>
      <c r="F2019">
        <v>42</v>
      </c>
      <c r="G2019" t="s">
        <v>390</v>
      </c>
    </row>
    <row r="2020" spans="1:7">
      <c r="A2020" t="s">
        <v>4393</v>
      </c>
      <c r="B2020" t="s">
        <v>4394</v>
      </c>
      <c r="C2020">
        <v>10</v>
      </c>
      <c r="D2020" s="321">
        <v>46335</v>
      </c>
      <c r="E2020" s="321">
        <v>46346</v>
      </c>
      <c r="F2020">
        <v>22</v>
      </c>
      <c r="G2020" t="s">
        <v>390</v>
      </c>
    </row>
    <row r="2021" spans="1:7">
      <c r="A2021" t="s">
        <v>4395</v>
      </c>
      <c r="B2021" t="s">
        <v>4396</v>
      </c>
      <c r="C2021">
        <v>15</v>
      </c>
      <c r="D2021" s="321">
        <v>46239</v>
      </c>
      <c r="E2021" s="321">
        <v>46260</v>
      </c>
      <c r="F2021">
        <v>7</v>
      </c>
      <c r="G2021" t="s">
        <v>390</v>
      </c>
    </row>
    <row r="2022" spans="1:7">
      <c r="A2022" t="s">
        <v>4397</v>
      </c>
      <c r="B2022" t="s">
        <v>4398</v>
      </c>
      <c r="C2022">
        <v>10</v>
      </c>
      <c r="D2022" s="321">
        <v>46275</v>
      </c>
      <c r="E2022" s="321">
        <v>46288</v>
      </c>
      <c r="F2022">
        <v>42</v>
      </c>
      <c r="G2022" t="s">
        <v>390</v>
      </c>
    </row>
    <row r="2023" spans="1:7">
      <c r="A2023" t="s">
        <v>4399</v>
      </c>
      <c r="B2023" t="s">
        <v>4400</v>
      </c>
      <c r="C2023">
        <v>10</v>
      </c>
      <c r="D2023" s="321">
        <v>46335</v>
      </c>
      <c r="E2023" s="321">
        <v>46346</v>
      </c>
      <c r="F2023">
        <v>22</v>
      </c>
      <c r="G2023" t="s">
        <v>390</v>
      </c>
    </row>
    <row r="2024" spans="1:7">
      <c r="A2024" t="s">
        <v>4401</v>
      </c>
      <c r="B2024" t="s">
        <v>4402</v>
      </c>
      <c r="C2024">
        <v>15</v>
      </c>
      <c r="D2024" s="321">
        <v>46239</v>
      </c>
      <c r="E2024" s="321">
        <v>46260</v>
      </c>
      <c r="F2024">
        <v>7</v>
      </c>
      <c r="G2024" t="s">
        <v>390</v>
      </c>
    </row>
    <row r="2025" spans="1:7">
      <c r="A2025" t="s">
        <v>4403</v>
      </c>
      <c r="B2025" t="s">
        <v>4404</v>
      </c>
      <c r="C2025">
        <v>10</v>
      </c>
      <c r="D2025" s="321">
        <v>46275</v>
      </c>
      <c r="E2025" s="321">
        <v>46288</v>
      </c>
      <c r="F2025">
        <v>42</v>
      </c>
      <c r="G2025" t="s">
        <v>390</v>
      </c>
    </row>
    <row r="2026" spans="1:7">
      <c r="A2026" t="s">
        <v>4405</v>
      </c>
      <c r="B2026" t="s">
        <v>4406</v>
      </c>
      <c r="C2026">
        <v>10</v>
      </c>
      <c r="D2026" s="321">
        <v>46335</v>
      </c>
      <c r="E2026" s="321">
        <v>46346</v>
      </c>
      <c r="F2026">
        <v>22</v>
      </c>
      <c r="G2026" t="s">
        <v>390</v>
      </c>
    </row>
    <row r="2027" spans="1:7">
      <c r="A2027" t="s">
        <v>4407</v>
      </c>
      <c r="B2027" t="s">
        <v>4408</v>
      </c>
      <c r="C2027">
        <v>10</v>
      </c>
      <c r="D2027" s="321">
        <v>46148</v>
      </c>
      <c r="E2027" s="321">
        <v>46161</v>
      </c>
      <c r="F2027">
        <v>-10</v>
      </c>
      <c r="G2027" t="s">
        <v>390</v>
      </c>
    </row>
    <row r="2028" spans="1:7">
      <c r="A2028" t="s">
        <v>4409</v>
      </c>
      <c r="B2028" t="s">
        <v>4410</v>
      </c>
      <c r="C2028">
        <v>10</v>
      </c>
      <c r="D2028" s="321">
        <v>46178</v>
      </c>
      <c r="E2028" s="321">
        <v>46191</v>
      </c>
      <c r="F2028">
        <v>5</v>
      </c>
      <c r="G2028" t="s">
        <v>390</v>
      </c>
    </row>
    <row r="2029" spans="1:7">
      <c r="A2029" t="s">
        <v>4411</v>
      </c>
      <c r="B2029" t="s">
        <v>4412</v>
      </c>
      <c r="C2029">
        <v>10</v>
      </c>
      <c r="D2029" s="321">
        <v>46219</v>
      </c>
      <c r="E2029" s="321">
        <v>46237</v>
      </c>
      <c r="F2029">
        <v>-1</v>
      </c>
      <c r="G2029" t="s">
        <v>390</v>
      </c>
    </row>
    <row r="2030" spans="1:7">
      <c r="A2030" t="s">
        <v>4413</v>
      </c>
      <c r="B2030" t="s">
        <v>4414</v>
      </c>
      <c r="C2030">
        <v>10</v>
      </c>
      <c r="D2030" s="321">
        <v>46275</v>
      </c>
      <c r="E2030" s="321">
        <v>46288</v>
      </c>
      <c r="F2030">
        <v>7</v>
      </c>
      <c r="G2030" t="s">
        <v>390</v>
      </c>
    </row>
    <row r="2031" spans="1:7">
      <c r="A2031" t="s">
        <v>4415</v>
      </c>
      <c r="B2031" t="s">
        <v>4416</v>
      </c>
      <c r="C2031">
        <v>10</v>
      </c>
      <c r="D2031" s="321">
        <v>46303</v>
      </c>
      <c r="E2031" s="321">
        <v>46317</v>
      </c>
      <c r="F2031">
        <v>22</v>
      </c>
      <c r="G2031" t="s">
        <v>390</v>
      </c>
    </row>
    <row r="2032" spans="1:7">
      <c r="A2032" t="s">
        <v>4417</v>
      </c>
      <c r="B2032" t="s">
        <v>4418</v>
      </c>
      <c r="C2032">
        <v>10</v>
      </c>
      <c r="D2032" s="321">
        <v>46335</v>
      </c>
      <c r="E2032" s="321">
        <v>46346</v>
      </c>
      <c r="F2032">
        <v>22</v>
      </c>
      <c r="G2032" t="s">
        <v>390</v>
      </c>
    </row>
    <row r="2033" spans="1:7">
      <c r="A2033" t="s">
        <v>4419</v>
      </c>
      <c r="B2033" t="s">
        <v>4420</v>
      </c>
      <c r="C2033">
        <v>15</v>
      </c>
      <c r="D2033" s="321">
        <v>46239</v>
      </c>
      <c r="E2033" s="321">
        <v>46260</v>
      </c>
      <c r="F2033">
        <v>47</v>
      </c>
      <c r="G2033" t="s">
        <v>390</v>
      </c>
    </row>
    <row r="2034" spans="1:7">
      <c r="A2034" t="s">
        <v>4421</v>
      </c>
      <c r="B2034" t="s">
        <v>4422</v>
      </c>
      <c r="C2034">
        <v>10</v>
      </c>
      <c r="D2034" s="321">
        <v>46275</v>
      </c>
      <c r="E2034" s="321">
        <v>46288</v>
      </c>
      <c r="F2034">
        <v>47</v>
      </c>
      <c r="G2034" t="s">
        <v>390</v>
      </c>
    </row>
    <row r="2035" spans="1:7">
      <c r="A2035" t="s">
        <v>4423</v>
      </c>
      <c r="B2035" t="s">
        <v>4424</v>
      </c>
      <c r="C2035">
        <v>10</v>
      </c>
      <c r="D2035" s="321">
        <v>46335</v>
      </c>
      <c r="E2035" s="321">
        <v>46346</v>
      </c>
      <c r="F2035">
        <v>27</v>
      </c>
      <c r="G2035" t="s">
        <v>390</v>
      </c>
    </row>
    <row r="2036" spans="1:7">
      <c r="A2036" t="s">
        <v>4425</v>
      </c>
      <c r="B2036" t="s">
        <v>4426</v>
      </c>
      <c r="C2036">
        <v>15</v>
      </c>
      <c r="D2036" s="321">
        <v>46239</v>
      </c>
      <c r="E2036" s="321">
        <v>46260</v>
      </c>
      <c r="F2036">
        <v>47</v>
      </c>
      <c r="G2036" t="s">
        <v>390</v>
      </c>
    </row>
    <row r="2037" spans="1:7">
      <c r="A2037" t="s">
        <v>4427</v>
      </c>
      <c r="B2037" t="s">
        <v>4428</v>
      </c>
      <c r="C2037">
        <v>10</v>
      </c>
      <c r="D2037" s="321">
        <v>46275</v>
      </c>
      <c r="E2037" s="321">
        <v>46288</v>
      </c>
      <c r="F2037">
        <v>47</v>
      </c>
      <c r="G2037" t="s">
        <v>390</v>
      </c>
    </row>
    <row r="2038" spans="1:7">
      <c r="A2038" t="s">
        <v>4429</v>
      </c>
      <c r="B2038" t="s">
        <v>4430</v>
      </c>
      <c r="C2038">
        <v>10</v>
      </c>
      <c r="D2038" s="321">
        <v>46335</v>
      </c>
      <c r="E2038" s="321">
        <v>46346</v>
      </c>
      <c r="F2038">
        <v>27</v>
      </c>
      <c r="G2038" t="s">
        <v>390</v>
      </c>
    </row>
    <row r="2039" spans="1:7">
      <c r="A2039" t="s">
        <v>4431</v>
      </c>
      <c r="B2039" t="s">
        <v>4432</v>
      </c>
      <c r="C2039">
        <v>15</v>
      </c>
      <c r="D2039" s="321">
        <v>46239</v>
      </c>
      <c r="E2039" s="321">
        <v>46260</v>
      </c>
      <c r="F2039">
        <v>47</v>
      </c>
      <c r="G2039" t="s">
        <v>390</v>
      </c>
    </row>
    <row r="2040" spans="1:7">
      <c r="A2040" t="s">
        <v>4433</v>
      </c>
      <c r="B2040" t="s">
        <v>4434</v>
      </c>
      <c r="C2040">
        <v>10</v>
      </c>
      <c r="D2040" s="321">
        <v>46275</v>
      </c>
      <c r="E2040" s="321">
        <v>46288</v>
      </c>
      <c r="F2040">
        <v>47</v>
      </c>
      <c r="G2040" t="s">
        <v>390</v>
      </c>
    </row>
    <row r="2041" spans="1:7">
      <c r="A2041" t="s">
        <v>4435</v>
      </c>
      <c r="B2041" t="s">
        <v>4436</v>
      </c>
      <c r="C2041">
        <v>10</v>
      </c>
      <c r="D2041" s="321">
        <v>46335</v>
      </c>
      <c r="E2041" s="321">
        <v>46346</v>
      </c>
      <c r="F2041">
        <v>27</v>
      </c>
      <c r="G2041" t="s">
        <v>390</v>
      </c>
    </row>
    <row r="2042" spans="1:7">
      <c r="A2042" t="s">
        <v>4437</v>
      </c>
      <c r="B2042" t="s">
        <v>4438</v>
      </c>
      <c r="C2042">
        <v>15</v>
      </c>
      <c r="D2042" s="321">
        <v>46239</v>
      </c>
      <c r="E2042" s="321">
        <v>46260</v>
      </c>
      <c r="F2042">
        <v>47</v>
      </c>
      <c r="G2042" t="s">
        <v>390</v>
      </c>
    </row>
    <row r="2043" spans="1:7">
      <c r="A2043" t="s">
        <v>4439</v>
      </c>
      <c r="B2043" t="s">
        <v>4440</v>
      </c>
      <c r="C2043">
        <v>10</v>
      </c>
      <c r="D2043" s="321">
        <v>46275</v>
      </c>
      <c r="E2043" s="321">
        <v>46288</v>
      </c>
      <c r="F2043">
        <v>47</v>
      </c>
      <c r="G2043" t="s">
        <v>390</v>
      </c>
    </row>
    <row r="2044" spans="1:7">
      <c r="A2044" t="s">
        <v>4441</v>
      </c>
      <c r="B2044" t="s">
        <v>4442</v>
      </c>
      <c r="C2044">
        <v>10</v>
      </c>
      <c r="D2044" s="321">
        <v>46335</v>
      </c>
      <c r="E2044" s="321">
        <v>46346</v>
      </c>
      <c r="F2044">
        <v>27</v>
      </c>
      <c r="G2044" t="s">
        <v>390</v>
      </c>
    </row>
    <row r="2045" spans="1:7">
      <c r="A2045" t="s">
        <v>4443</v>
      </c>
      <c r="B2045" t="s">
        <v>4444</v>
      </c>
      <c r="C2045">
        <v>15</v>
      </c>
      <c r="D2045" s="321">
        <v>46239</v>
      </c>
      <c r="E2045" s="321">
        <v>46260</v>
      </c>
      <c r="F2045">
        <v>47</v>
      </c>
      <c r="G2045" t="s">
        <v>390</v>
      </c>
    </row>
    <row r="2046" spans="1:7">
      <c r="A2046" t="s">
        <v>4445</v>
      </c>
      <c r="B2046" t="s">
        <v>4446</v>
      </c>
      <c r="C2046">
        <v>10</v>
      </c>
      <c r="D2046" s="321">
        <v>46275</v>
      </c>
      <c r="E2046" s="321">
        <v>46288</v>
      </c>
      <c r="F2046">
        <v>47</v>
      </c>
      <c r="G2046" t="s">
        <v>390</v>
      </c>
    </row>
    <row r="2047" spans="1:7">
      <c r="A2047" t="s">
        <v>4447</v>
      </c>
      <c r="B2047" t="s">
        <v>4448</v>
      </c>
      <c r="C2047">
        <v>10</v>
      </c>
      <c r="D2047" s="321">
        <v>46335</v>
      </c>
      <c r="E2047" s="321">
        <v>46346</v>
      </c>
      <c r="F2047">
        <v>27</v>
      </c>
      <c r="G2047" t="s">
        <v>390</v>
      </c>
    </row>
    <row r="2048" spans="1:7">
      <c r="A2048" t="s">
        <v>4449</v>
      </c>
      <c r="B2048" t="s">
        <v>4450</v>
      </c>
      <c r="C2048">
        <v>10</v>
      </c>
      <c r="D2048" s="321">
        <v>46148</v>
      </c>
      <c r="E2048" s="321">
        <v>46161</v>
      </c>
      <c r="F2048">
        <v>-10</v>
      </c>
      <c r="G2048" t="s">
        <v>390</v>
      </c>
    </row>
    <row r="2049" spans="1:7">
      <c r="A2049" t="s">
        <v>4451</v>
      </c>
      <c r="B2049" t="s">
        <v>4452</v>
      </c>
      <c r="C2049">
        <v>10</v>
      </c>
      <c r="D2049" s="321">
        <v>46178</v>
      </c>
      <c r="E2049" s="321">
        <v>46191</v>
      </c>
      <c r="F2049">
        <v>5</v>
      </c>
      <c r="G2049" t="s">
        <v>390</v>
      </c>
    </row>
    <row r="2050" spans="1:7">
      <c r="A2050" t="s">
        <v>4453</v>
      </c>
      <c r="B2050" t="s">
        <v>4454</v>
      </c>
      <c r="C2050">
        <v>10</v>
      </c>
      <c r="D2050" s="321">
        <v>46219</v>
      </c>
      <c r="E2050" s="321">
        <v>46237</v>
      </c>
      <c r="F2050">
        <v>-1</v>
      </c>
      <c r="G2050" t="s">
        <v>390</v>
      </c>
    </row>
    <row r="2051" spans="1:7">
      <c r="A2051" t="s">
        <v>4455</v>
      </c>
      <c r="B2051" t="s">
        <v>4456</v>
      </c>
      <c r="C2051">
        <v>10</v>
      </c>
      <c r="D2051" s="321">
        <v>46275</v>
      </c>
      <c r="E2051" s="321">
        <v>46288</v>
      </c>
      <c r="F2051">
        <v>7</v>
      </c>
      <c r="G2051" t="s">
        <v>390</v>
      </c>
    </row>
    <row r="2052" spans="1:7">
      <c r="A2052" t="s">
        <v>4457</v>
      </c>
      <c r="B2052" t="s">
        <v>4458</v>
      </c>
      <c r="C2052">
        <v>10</v>
      </c>
      <c r="D2052" s="321">
        <v>46303</v>
      </c>
      <c r="E2052" s="321">
        <v>46317</v>
      </c>
      <c r="F2052">
        <v>22</v>
      </c>
      <c r="G2052" t="s">
        <v>390</v>
      </c>
    </row>
    <row r="2053" spans="1:7">
      <c r="A2053" t="s">
        <v>4459</v>
      </c>
      <c r="B2053" t="s">
        <v>4460</v>
      </c>
      <c r="C2053">
        <v>10</v>
      </c>
      <c r="D2053" s="321">
        <v>46335</v>
      </c>
      <c r="E2053" s="321">
        <v>46346</v>
      </c>
      <c r="F2053">
        <v>22</v>
      </c>
      <c r="G2053" t="s">
        <v>390</v>
      </c>
    </row>
    <row r="2054" spans="1:7">
      <c r="A2054" t="s">
        <v>4461</v>
      </c>
      <c r="C2054">
        <v>153</v>
      </c>
      <c r="D2054" s="321">
        <v>46150</v>
      </c>
      <c r="E2054" s="321">
        <v>46378</v>
      </c>
      <c r="F2054">
        <v>7</v>
      </c>
      <c r="G2054" t="s">
        <v>390</v>
      </c>
    </row>
    <row r="2055" spans="1:7">
      <c r="A2055" t="s">
        <v>4462</v>
      </c>
      <c r="B2055" t="s">
        <v>4463</v>
      </c>
      <c r="C2055">
        <v>10</v>
      </c>
      <c r="D2055" s="321">
        <v>46150</v>
      </c>
      <c r="E2055" s="321">
        <v>46163</v>
      </c>
      <c r="F2055">
        <v>-10</v>
      </c>
      <c r="G2055" t="s">
        <v>390</v>
      </c>
    </row>
    <row r="2056" spans="1:7">
      <c r="A2056" t="s">
        <v>4464</v>
      </c>
      <c r="B2056" t="s">
        <v>4465</v>
      </c>
      <c r="C2056">
        <v>10</v>
      </c>
      <c r="D2056" s="321">
        <v>46192</v>
      </c>
      <c r="E2056" s="321">
        <v>46205</v>
      </c>
      <c r="F2056">
        <v>5</v>
      </c>
      <c r="G2056" t="s">
        <v>390</v>
      </c>
    </row>
    <row r="2057" spans="1:7">
      <c r="A2057" t="s">
        <v>4466</v>
      </c>
      <c r="B2057" t="s">
        <v>4467</v>
      </c>
      <c r="C2057">
        <v>5</v>
      </c>
      <c r="D2057" s="321">
        <v>46245</v>
      </c>
      <c r="E2057" s="321">
        <v>46252</v>
      </c>
      <c r="F2057">
        <v>-10</v>
      </c>
      <c r="G2057" t="s">
        <v>390</v>
      </c>
    </row>
    <row r="2058" spans="1:7">
      <c r="A2058" t="s">
        <v>4468</v>
      </c>
      <c r="B2058" t="s">
        <v>4469</v>
      </c>
      <c r="C2058">
        <v>15</v>
      </c>
      <c r="D2058" s="321">
        <v>46261</v>
      </c>
      <c r="E2058" s="321">
        <v>46281</v>
      </c>
      <c r="F2058">
        <v>7</v>
      </c>
      <c r="G2058" t="s">
        <v>390</v>
      </c>
    </row>
    <row r="2059" spans="1:7">
      <c r="A2059" t="s">
        <v>4470</v>
      </c>
      <c r="B2059" t="s">
        <v>4471</v>
      </c>
      <c r="C2059">
        <v>5</v>
      </c>
      <c r="D2059" s="321">
        <v>46372</v>
      </c>
      <c r="E2059" s="321">
        <v>46378</v>
      </c>
      <c r="F2059">
        <v>7</v>
      </c>
      <c r="G2059" t="s">
        <v>390</v>
      </c>
    </row>
    <row r="2060" spans="1:7">
      <c r="A2060" t="s">
        <v>4472</v>
      </c>
      <c r="B2060" t="s">
        <v>4473</v>
      </c>
      <c r="C2060">
        <v>10</v>
      </c>
      <c r="D2060" s="321">
        <v>46275</v>
      </c>
      <c r="E2060" s="321">
        <v>46288</v>
      </c>
      <c r="F2060">
        <v>7</v>
      </c>
      <c r="G2060" t="s">
        <v>390</v>
      </c>
    </row>
    <row r="2061" spans="1:7">
      <c r="A2061" t="s">
        <v>4474</v>
      </c>
      <c r="B2061" t="s">
        <v>4475</v>
      </c>
      <c r="C2061">
        <v>5</v>
      </c>
      <c r="D2061" s="321">
        <v>46372</v>
      </c>
      <c r="E2061" s="321">
        <v>46378</v>
      </c>
      <c r="F2061">
        <v>7</v>
      </c>
      <c r="G2061" t="s">
        <v>390</v>
      </c>
    </row>
    <row r="2062" spans="1:7">
      <c r="A2062" t="s">
        <v>4476</v>
      </c>
      <c r="C2062">
        <v>111</v>
      </c>
      <c r="D2062" s="321">
        <v>46191</v>
      </c>
      <c r="E2062" s="321">
        <v>46353</v>
      </c>
      <c r="F2062">
        <v>7</v>
      </c>
      <c r="G2062" t="s">
        <v>390</v>
      </c>
    </row>
    <row r="2063" spans="1:7">
      <c r="A2063" t="s">
        <v>4477</v>
      </c>
      <c r="B2063" t="s">
        <v>4478</v>
      </c>
      <c r="C2063">
        <v>20</v>
      </c>
      <c r="D2063" s="321">
        <v>46191</v>
      </c>
      <c r="E2063" s="321">
        <v>46218</v>
      </c>
      <c r="F2063">
        <v>-10</v>
      </c>
      <c r="G2063" t="s">
        <v>390</v>
      </c>
    </row>
    <row r="2064" spans="1:7">
      <c r="A2064" t="s">
        <v>4479</v>
      </c>
      <c r="B2064" t="s">
        <v>4480</v>
      </c>
      <c r="C2064">
        <v>5</v>
      </c>
      <c r="D2064" s="321">
        <v>46238</v>
      </c>
      <c r="E2064" s="321">
        <v>46244</v>
      </c>
      <c r="F2064">
        <v>-10</v>
      </c>
      <c r="G2064" t="s">
        <v>390</v>
      </c>
    </row>
    <row r="2065" spans="1:7">
      <c r="A2065" t="s">
        <v>4481</v>
      </c>
      <c r="B2065" t="s">
        <v>4482</v>
      </c>
      <c r="C2065">
        <v>20</v>
      </c>
      <c r="D2065" s="321">
        <v>46303</v>
      </c>
      <c r="E2065" s="321">
        <v>46332</v>
      </c>
      <c r="F2065">
        <v>7</v>
      </c>
      <c r="G2065" t="s">
        <v>390</v>
      </c>
    </row>
    <row r="2066" spans="1:7">
      <c r="A2066" t="s">
        <v>4483</v>
      </c>
      <c r="B2066" t="s">
        <v>4484</v>
      </c>
      <c r="C2066">
        <v>5</v>
      </c>
      <c r="D2066" s="321">
        <v>46349</v>
      </c>
      <c r="E2066" s="321">
        <v>46353</v>
      </c>
      <c r="F2066">
        <v>7</v>
      </c>
      <c r="G2066" t="s">
        <v>390</v>
      </c>
    </row>
    <row r="2067" spans="1:7">
      <c r="A2067" t="s">
        <v>4485</v>
      </c>
      <c r="B2067" t="s">
        <v>4486</v>
      </c>
      <c r="C2067">
        <v>20</v>
      </c>
      <c r="D2067" s="321">
        <v>46303</v>
      </c>
      <c r="E2067" s="321">
        <v>46332</v>
      </c>
      <c r="F2067">
        <v>7</v>
      </c>
      <c r="G2067" t="s">
        <v>390</v>
      </c>
    </row>
    <row r="2068" spans="1:7">
      <c r="A2068" t="s">
        <v>4487</v>
      </c>
      <c r="B2068" t="s">
        <v>4488</v>
      </c>
      <c r="C2068">
        <v>5</v>
      </c>
      <c r="D2068" s="321">
        <v>46349</v>
      </c>
      <c r="E2068" s="321">
        <v>46353</v>
      </c>
      <c r="F2068">
        <v>7</v>
      </c>
      <c r="G2068" t="s">
        <v>390</v>
      </c>
    </row>
    <row r="2069" spans="1:7">
      <c r="A2069" t="s">
        <v>4489</v>
      </c>
      <c r="C2069">
        <v>180</v>
      </c>
      <c r="D2069" s="321">
        <v>46085</v>
      </c>
      <c r="E2069" s="321">
        <v>46353</v>
      </c>
      <c r="F2069">
        <v>22</v>
      </c>
      <c r="G2069" t="s">
        <v>390</v>
      </c>
    </row>
    <row r="2070" spans="1:7">
      <c r="A2070" t="s">
        <v>4490</v>
      </c>
      <c r="B2070" t="s">
        <v>4491</v>
      </c>
      <c r="C2070">
        <v>20</v>
      </c>
      <c r="D2070" s="321">
        <v>46085</v>
      </c>
      <c r="E2070" s="321">
        <v>46112</v>
      </c>
      <c r="F2070">
        <v>52</v>
      </c>
      <c r="G2070" t="s">
        <v>390</v>
      </c>
    </row>
    <row r="2071" spans="1:7">
      <c r="A2071" t="s">
        <v>4492</v>
      </c>
      <c r="B2071" t="s">
        <v>4493</v>
      </c>
      <c r="C2071">
        <v>10</v>
      </c>
      <c r="D2071" s="321">
        <v>46133</v>
      </c>
      <c r="E2071" s="321">
        <v>46147</v>
      </c>
      <c r="F2071">
        <v>142</v>
      </c>
      <c r="G2071" t="s">
        <v>390</v>
      </c>
    </row>
    <row r="2072" spans="1:7">
      <c r="A2072" t="s">
        <v>4494</v>
      </c>
      <c r="B2072" t="s">
        <v>4495</v>
      </c>
      <c r="C2072">
        <v>10</v>
      </c>
      <c r="D2072" s="321">
        <v>46162</v>
      </c>
      <c r="E2072" s="321">
        <v>46177</v>
      </c>
      <c r="F2072">
        <v>142</v>
      </c>
      <c r="G2072" t="s">
        <v>390</v>
      </c>
    </row>
    <row r="2073" spans="1:7">
      <c r="A2073" t="s">
        <v>4496</v>
      </c>
      <c r="B2073" t="s">
        <v>4497</v>
      </c>
      <c r="C2073">
        <v>20</v>
      </c>
      <c r="D2073" s="321">
        <v>46112</v>
      </c>
      <c r="E2073" s="321">
        <v>46146</v>
      </c>
      <c r="F2073">
        <v>143</v>
      </c>
      <c r="G2073" t="s">
        <v>390</v>
      </c>
    </row>
    <row r="2074" spans="1:7">
      <c r="A2074" t="s">
        <v>4498</v>
      </c>
      <c r="B2074" t="s">
        <v>4499</v>
      </c>
      <c r="C2074">
        <v>10</v>
      </c>
      <c r="D2074" s="321">
        <v>46161</v>
      </c>
      <c r="E2074" s="321">
        <v>46175</v>
      </c>
      <c r="F2074">
        <v>143</v>
      </c>
      <c r="G2074" t="s">
        <v>390</v>
      </c>
    </row>
    <row r="2075" spans="1:7">
      <c r="A2075" t="s">
        <v>4500</v>
      </c>
      <c r="B2075" t="s">
        <v>4501</v>
      </c>
      <c r="C2075">
        <v>20</v>
      </c>
      <c r="D2075" s="321">
        <v>46111</v>
      </c>
      <c r="E2075" s="321">
        <v>46142</v>
      </c>
      <c r="F2075">
        <v>101</v>
      </c>
      <c r="G2075" t="s">
        <v>390</v>
      </c>
    </row>
    <row r="2076" spans="1:7">
      <c r="A2076" t="s">
        <v>4502</v>
      </c>
      <c r="B2076" t="s">
        <v>4503</v>
      </c>
      <c r="C2076">
        <v>10</v>
      </c>
      <c r="D2076" s="321">
        <v>46160</v>
      </c>
      <c r="E2076" s="321">
        <v>46171</v>
      </c>
      <c r="F2076">
        <v>144</v>
      </c>
      <c r="G2076" t="s">
        <v>390</v>
      </c>
    </row>
    <row r="2077" spans="1:7">
      <c r="A2077" t="s">
        <v>4504</v>
      </c>
      <c r="B2077" t="s">
        <v>4505</v>
      </c>
      <c r="C2077">
        <v>30</v>
      </c>
      <c r="D2077" s="321">
        <v>46163</v>
      </c>
      <c r="E2077" s="321">
        <v>46206</v>
      </c>
      <c r="F2077">
        <v>101</v>
      </c>
      <c r="G2077" t="s">
        <v>390</v>
      </c>
    </row>
    <row r="2078" spans="1:7">
      <c r="A2078" t="s">
        <v>4506</v>
      </c>
      <c r="B2078" t="s">
        <v>4507</v>
      </c>
      <c r="C2078">
        <v>10</v>
      </c>
      <c r="D2078" s="321">
        <v>46223</v>
      </c>
      <c r="E2078" s="321">
        <v>46239</v>
      </c>
      <c r="F2078">
        <v>101</v>
      </c>
      <c r="G2078" t="s">
        <v>390</v>
      </c>
    </row>
    <row r="2079" spans="1:7">
      <c r="A2079" t="s">
        <v>4508</v>
      </c>
      <c r="B2079" t="s">
        <v>4509</v>
      </c>
      <c r="C2079">
        <v>10</v>
      </c>
      <c r="D2079" s="321">
        <v>46121</v>
      </c>
      <c r="E2079" s="321">
        <v>46139</v>
      </c>
      <c r="F2079">
        <v>152</v>
      </c>
      <c r="G2079" t="s">
        <v>390</v>
      </c>
    </row>
    <row r="2080" spans="1:7">
      <c r="A2080" t="s">
        <v>4510</v>
      </c>
      <c r="B2080" t="s">
        <v>4511</v>
      </c>
      <c r="C2080">
        <v>5</v>
      </c>
      <c r="D2080" s="321">
        <v>46155</v>
      </c>
      <c r="E2080" s="321">
        <v>46161</v>
      </c>
      <c r="F2080">
        <v>152</v>
      </c>
      <c r="G2080" t="s">
        <v>390</v>
      </c>
    </row>
    <row r="2081" spans="1:7">
      <c r="A2081" t="s">
        <v>4512</v>
      </c>
      <c r="B2081" t="s">
        <v>4513</v>
      </c>
      <c r="C2081">
        <v>10</v>
      </c>
      <c r="D2081" s="321">
        <v>46164</v>
      </c>
      <c r="E2081" s="321">
        <v>46181</v>
      </c>
      <c r="F2081">
        <v>105</v>
      </c>
      <c r="G2081" t="s">
        <v>390</v>
      </c>
    </row>
    <row r="2082" spans="1:7">
      <c r="A2082" t="s">
        <v>4514</v>
      </c>
      <c r="B2082" t="s">
        <v>4515</v>
      </c>
      <c r="C2082">
        <v>5</v>
      </c>
      <c r="D2082" s="321">
        <v>46196</v>
      </c>
      <c r="E2082" s="321">
        <v>46202</v>
      </c>
      <c r="F2082">
        <v>105</v>
      </c>
      <c r="G2082" t="s">
        <v>390</v>
      </c>
    </row>
    <row r="2083" spans="1:7">
      <c r="A2083" t="s">
        <v>4516</v>
      </c>
      <c r="B2083" t="s">
        <v>4517</v>
      </c>
      <c r="C2083">
        <v>5</v>
      </c>
      <c r="D2083" s="321">
        <v>46203</v>
      </c>
      <c r="E2083" s="321">
        <v>46209</v>
      </c>
      <c r="F2083">
        <v>105</v>
      </c>
      <c r="G2083" t="s">
        <v>390</v>
      </c>
    </row>
    <row r="2084" spans="1:7">
      <c r="A2084" t="s">
        <v>4518</v>
      </c>
      <c r="B2084" t="s">
        <v>4519</v>
      </c>
      <c r="C2084">
        <v>10</v>
      </c>
      <c r="D2084" s="321">
        <v>46121</v>
      </c>
      <c r="E2084" s="321">
        <v>46139</v>
      </c>
      <c r="F2084">
        <v>152</v>
      </c>
      <c r="G2084" t="s">
        <v>390</v>
      </c>
    </row>
    <row r="2085" spans="1:7">
      <c r="A2085" t="s">
        <v>4520</v>
      </c>
      <c r="B2085" t="s">
        <v>4521</v>
      </c>
      <c r="C2085">
        <v>5</v>
      </c>
      <c r="D2085" s="321">
        <v>46155</v>
      </c>
      <c r="E2085" s="321">
        <v>46161</v>
      </c>
      <c r="F2085">
        <v>152</v>
      </c>
      <c r="G2085" t="s">
        <v>390</v>
      </c>
    </row>
    <row r="2086" spans="1:7">
      <c r="A2086" t="s">
        <v>4522</v>
      </c>
      <c r="B2086" t="s">
        <v>4523</v>
      </c>
      <c r="C2086">
        <v>15</v>
      </c>
      <c r="D2086" s="321">
        <v>46185</v>
      </c>
      <c r="E2086" s="321">
        <v>46205</v>
      </c>
      <c r="F2086">
        <v>97</v>
      </c>
      <c r="G2086" t="s">
        <v>390</v>
      </c>
    </row>
    <row r="2087" spans="1:7">
      <c r="A2087" t="s">
        <v>4524</v>
      </c>
      <c r="B2087" t="s">
        <v>4525</v>
      </c>
      <c r="C2087">
        <v>10</v>
      </c>
      <c r="D2087" s="321">
        <v>46220</v>
      </c>
      <c r="E2087" s="321">
        <v>46238</v>
      </c>
      <c r="F2087">
        <v>97</v>
      </c>
      <c r="G2087" t="s">
        <v>390</v>
      </c>
    </row>
    <row r="2088" spans="1:7">
      <c r="A2088" t="s">
        <v>4526</v>
      </c>
      <c r="B2088" t="s">
        <v>4527</v>
      </c>
      <c r="C2088">
        <v>5</v>
      </c>
      <c r="D2088" s="321">
        <v>46239</v>
      </c>
      <c r="E2088" s="321">
        <v>46245</v>
      </c>
      <c r="F2088">
        <v>97</v>
      </c>
      <c r="G2088" t="s">
        <v>390</v>
      </c>
    </row>
    <row r="2089" spans="1:7">
      <c r="A2089" t="s">
        <v>4528</v>
      </c>
      <c r="B2089" t="s">
        <v>4529</v>
      </c>
      <c r="C2089">
        <v>10</v>
      </c>
      <c r="D2089" s="321">
        <v>46148</v>
      </c>
      <c r="E2089" s="321">
        <v>46161</v>
      </c>
      <c r="F2089">
        <v>67</v>
      </c>
      <c r="G2089" t="s">
        <v>390</v>
      </c>
    </row>
    <row r="2090" spans="1:7">
      <c r="A2090" t="s">
        <v>4530</v>
      </c>
      <c r="B2090" t="s">
        <v>4531</v>
      </c>
      <c r="C2090">
        <v>5</v>
      </c>
      <c r="D2090" s="321">
        <v>46178</v>
      </c>
      <c r="E2090" s="321">
        <v>46184</v>
      </c>
      <c r="F2090">
        <v>132</v>
      </c>
      <c r="G2090" t="s">
        <v>390</v>
      </c>
    </row>
    <row r="2091" spans="1:7">
      <c r="A2091" t="s">
        <v>4532</v>
      </c>
      <c r="B2091" t="s">
        <v>4533</v>
      </c>
      <c r="C2091">
        <v>10</v>
      </c>
      <c r="D2091" s="321">
        <v>46196</v>
      </c>
      <c r="E2091" s="321">
        <v>46209</v>
      </c>
      <c r="F2091">
        <v>75</v>
      </c>
      <c r="G2091" t="s">
        <v>390</v>
      </c>
    </row>
    <row r="2092" spans="1:7">
      <c r="A2092" t="s">
        <v>4534</v>
      </c>
      <c r="B2092" t="s">
        <v>4535</v>
      </c>
      <c r="C2092">
        <v>10</v>
      </c>
      <c r="D2092" s="321">
        <v>46224</v>
      </c>
      <c r="E2092" s="321">
        <v>46240</v>
      </c>
      <c r="F2092">
        <v>90</v>
      </c>
      <c r="G2092" t="s">
        <v>390</v>
      </c>
    </row>
    <row r="2093" spans="1:7">
      <c r="A2093" t="s">
        <v>4536</v>
      </c>
      <c r="B2093" t="s">
        <v>4537</v>
      </c>
      <c r="C2093">
        <v>10</v>
      </c>
      <c r="D2093" s="321">
        <v>46210</v>
      </c>
      <c r="E2093" s="321">
        <v>46223</v>
      </c>
      <c r="F2093">
        <v>75</v>
      </c>
      <c r="G2093" t="s">
        <v>390</v>
      </c>
    </row>
    <row r="2094" spans="1:7">
      <c r="A2094" t="s">
        <v>4538</v>
      </c>
      <c r="B2094" t="s">
        <v>4539</v>
      </c>
      <c r="C2094">
        <v>5</v>
      </c>
      <c r="D2094" s="321">
        <v>46241</v>
      </c>
      <c r="E2094" s="321">
        <v>46248</v>
      </c>
      <c r="F2094">
        <v>75</v>
      </c>
      <c r="G2094" t="s">
        <v>390</v>
      </c>
    </row>
    <row r="2095" spans="1:7">
      <c r="A2095" t="s">
        <v>4540</v>
      </c>
      <c r="B2095" t="s">
        <v>4541</v>
      </c>
      <c r="C2095">
        <v>5</v>
      </c>
      <c r="D2095" s="321">
        <v>46265</v>
      </c>
      <c r="E2095" s="321">
        <v>46269</v>
      </c>
      <c r="F2095">
        <v>75</v>
      </c>
      <c r="G2095" t="s">
        <v>390</v>
      </c>
    </row>
    <row r="2096" spans="1:7">
      <c r="A2096" t="s">
        <v>4542</v>
      </c>
      <c r="B2096" t="s">
        <v>4543</v>
      </c>
      <c r="C2096">
        <v>5</v>
      </c>
      <c r="D2096" s="321">
        <v>46272</v>
      </c>
      <c r="E2096" s="321">
        <v>46276</v>
      </c>
      <c r="F2096">
        <v>75</v>
      </c>
      <c r="G2096" t="s">
        <v>390</v>
      </c>
    </row>
    <row r="2097" spans="1:7">
      <c r="A2097" t="s">
        <v>4544</v>
      </c>
      <c r="B2097" t="s">
        <v>4545</v>
      </c>
      <c r="C2097">
        <v>10</v>
      </c>
      <c r="D2097" s="321">
        <v>46185</v>
      </c>
      <c r="E2097" s="321">
        <v>46198</v>
      </c>
      <c r="F2097">
        <v>52</v>
      </c>
      <c r="G2097" t="s">
        <v>390</v>
      </c>
    </row>
    <row r="2098" spans="1:7">
      <c r="A2098" t="s">
        <v>4546</v>
      </c>
      <c r="B2098" t="s">
        <v>4547</v>
      </c>
      <c r="C2098">
        <v>5</v>
      </c>
      <c r="D2098" s="321">
        <v>46213</v>
      </c>
      <c r="E2098" s="321">
        <v>46219</v>
      </c>
      <c r="F2098">
        <v>112</v>
      </c>
      <c r="G2098" t="s">
        <v>390</v>
      </c>
    </row>
    <row r="2099" spans="1:7">
      <c r="A2099" t="s">
        <v>4548</v>
      </c>
      <c r="B2099" t="s">
        <v>4549</v>
      </c>
      <c r="C2099">
        <v>15</v>
      </c>
      <c r="D2099" s="321">
        <v>46261</v>
      </c>
      <c r="E2099" s="321">
        <v>46281</v>
      </c>
      <c r="F2099">
        <v>52</v>
      </c>
      <c r="G2099" t="s">
        <v>390</v>
      </c>
    </row>
    <row r="2100" spans="1:7">
      <c r="A2100" t="s">
        <v>4550</v>
      </c>
      <c r="B2100" t="s">
        <v>4551</v>
      </c>
      <c r="C2100">
        <v>10</v>
      </c>
      <c r="D2100" s="321">
        <v>46296</v>
      </c>
      <c r="E2100" s="321">
        <v>46310</v>
      </c>
      <c r="F2100">
        <v>52</v>
      </c>
      <c r="G2100" t="s">
        <v>390</v>
      </c>
    </row>
    <row r="2101" spans="1:7">
      <c r="A2101" t="s">
        <v>4552</v>
      </c>
      <c r="B2101" t="s">
        <v>4553</v>
      </c>
      <c r="C2101">
        <v>15</v>
      </c>
      <c r="D2101" s="321">
        <v>46185</v>
      </c>
      <c r="E2101" s="321">
        <v>46205</v>
      </c>
      <c r="F2101">
        <v>82</v>
      </c>
      <c r="G2101" t="s">
        <v>390</v>
      </c>
    </row>
    <row r="2102" spans="1:7">
      <c r="A2102" t="s">
        <v>4554</v>
      </c>
      <c r="B2102" t="s">
        <v>4555</v>
      </c>
      <c r="C2102">
        <v>10</v>
      </c>
      <c r="D2102" s="321">
        <v>46220</v>
      </c>
      <c r="E2102" s="321">
        <v>46238</v>
      </c>
      <c r="F2102">
        <v>82</v>
      </c>
      <c r="G2102" t="s">
        <v>390</v>
      </c>
    </row>
    <row r="2103" spans="1:7">
      <c r="A2103" t="s">
        <v>4556</v>
      </c>
      <c r="B2103" t="s">
        <v>4557</v>
      </c>
      <c r="C2103">
        <v>10</v>
      </c>
      <c r="D2103" s="321">
        <v>46254</v>
      </c>
      <c r="E2103" s="321">
        <v>46267</v>
      </c>
      <c r="F2103">
        <v>82</v>
      </c>
      <c r="G2103" t="s">
        <v>390</v>
      </c>
    </row>
    <row r="2104" spans="1:7">
      <c r="A2104" t="s">
        <v>4558</v>
      </c>
      <c r="B2104" t="s">
        <v>4559</v>
      </c>
      <c r="C2104">
        <v>30</v>
      </c>
      <c r="D2104" s="321">
        <v>46160</v>
      </c>
      <c r="E2104" s="321">
        <v>46203</v>
      </c>
      <c r="F2104">
        <v>84</v>
      </c>
      <c r="G2104" t="s">
        <v>390</v>
      </c>
    </row>
    <row r="2105" spans="1:7">
      <c r="A2105" t="s">
        <v>4560</v>
      </c>
      <c r="B2105" t="s">
        <v>4561</v>
      </c>
      <c r="C2105">
        <v>10</v>
      </c>
      <c r="D2105" s="321">
        <v>46218</v>
      </c>
      <c r="E2105" s="321">
        <v>46234</v>
      </c>
      <c r="F2105">
        <v>84</v>
      </c>
      <c r="G2105" t="s">
        <v>390</v>
      </c>
    </row>
    <row r="2106" spans="1:7">
      <c r="A2106" t="s">
        <v>4562</v>
      </c>
      <c r="B2106" t="s">
        <v>4563</v>
      </c>
      <c r="C2106">
        <v>10</v>
      </c>
      <c r="D2106" s="321">
        <v>46275</v>
      </c>
      <c r="E2106" s="321">
        <v>46288</v>
      </c>
      <c r="F2106">
        <v>67</v>
      </c>
      <c r="G2106" t="s">
        <v>390</v>
      </c>
    </row>
    <row r="2107" spans="1:7">
      <c r="A2107" t="s">
        <v>4564</v>
      </c>
      <c r="B2107" t="s">
        <v>4565</v>
      </c>
      <c r="C2107">
        <v>40</v>
      </c>
      <c r="D2107" s="321">
        <v>46153</v>
      </c>
      <c r="E2107" s="321">
        <v>46210</v>
      </c>
      <c r="F2107">
        <v>79</v>
      </c>
      <c r="G2107" t="s">
        <v>390</v>
      </c>
    </row>
    <row r="2108" spans="1:7">
      <c r="A2108" t="s">
        <v>4566</v>
      </c>
      <c r="B2108" t="s">
        <v>4567</v>
      </c>
      <c r="C2108">
        <v>10</v>
      </c>
      <c r="D2108" s="321">
        <v>46225</v>
      </c>
      <c r="E2108" s="321">
        <v>46241</v>
      </c>
      <c r="F2108">
        <v>79</v>
      </c>
      <c r="G2108" t="s">
        <v>390</v>
      </c>
    </row>
    <row r="2109" spans="1:7">
      <c r="A2109" t="s">
        <v>4568</v>
      </c>
      <c r="B2109" t="s">
        <v>4569</v>
      </c>
      <c r="C2109">
        <v>10</v>
      </c>
      <c r="D2109" s="321">
        <v>46259</v>
      </c>
      <c r="E2109" s="321">
        <v>46272</v>
      </c>
      <c r="F2109">
        <v>79</v>
      </c>
      <c r="G2109" t="s">
        <v>390</v>
      </c>
    </row>
    <row r="2110" spans="1:7">
      <c r="A2110" t="s">
        <v>4570</v>
      </c>
      <c r="B2110" t="s">
        <v>4571</v>
      </c>
      <c r="C2110">
        <v>30</v>
      </c>
      <c r="D2110" s="321">
        <v>46218</v>
      </c>
      <c r="E2110" s="321">
        <v>46265</v>
      </c>
      <c r="F2110">
        <v>44</v>
      </c>
      <c r="G2110" t="s">
        <v>390</v>
      </c>
    </row>
    <row r="2111" spans="1:7">
      <c r="A2111" t="s">
        <v>4572</v>
      </c>
      <c r="B2111" t="s">
        <v>4573</v>
      </c>
      <c r="C2111">
        <v>10</v>
      </c>
      <c r="D2111" s="321">
        <v>46280</v>
      </c>
      <c r="E2111" s="321">
        <v>46293</v>
      </c>
      <c r="F2111">
        <v>44</v>
      </c>
      <c r="G2111" t="s">
        <v>390</v>
      </c>
    </row>
    <row r="2112" spans="1:7">
      <c r="A2112" t="s">
        <v>4574</v>
      </c>
      <c r="B2112" t="s">
        <v>4575</v>
      </c>
      <c r="C2112">
        <v>10</v>
      </c>
      <c r="D2112" s="321">
        <v>46309</v>
      </c>
      <c r="E2112" s="321">
        <v>46323</v>
      </c>
      <c r="F2112">
        <v>44</v>
      </c>
      <c r="G2112" t="s">
        <v>390</v>
      </c>
    </row>
    <row r="2113" spans="1:7">
      <c r="A2113" t="s">
        <v>4576</v>
      </c>
      <c r="B2113" t="s">
        <v>4577</v>
      </c>
      <c r="C2113">
        <v>30</v>
      </c>
      <c r="D2113" s="321">
        <v>46218</v>
      </c>
      <c r="E2113" s="321">
        <v>46265</v>
      </c>
      <c r="F2113">
        <v>44</v>
      </c>
      <c r="G2113" t="s">
        <v>390</v>
      </c>
    </row>
    <row r="2114" spans="1:7">
      <c r="A2114" t="s">
        <v>4578</v>
      </c>
      <c r="B2114" t="s">
        <v>4579</v>
      </c>
      <c r="C2114">
        <v>10</v>
      </c>
      <c r="D2114" s="321">
        <v>46280</v>
      </c>
      <c r="E2114" s="321">
        <v>46293</v>
      </c>
      <c r="F2114">
        <v>44</v>
      </c>
      <c r="G2114" t="s">
        <v>390</v>
      </c>
    </row>
    <row r="2115" spans="1:7">
      <c r="A2115" t="s">
        <v>4580</v>
      </c>
      <c r="B2115" t="s">
        <v>4581</v>
      </c>
      <c r="C2115">
        <v>10</v>
      </c>
      <c r="D2115" s="321">
        <v>46309</v>
      </c>
      <c r="E2115" s="321">
        <v>46323</v>
      </c>
      <c r="F2115">
        <v>44</v>
      </c>
      <c r="G2115" t="s">
        <v>390</v>
      </c>
    </row>
    <row r="2116" spans="1:7">
      <c r="A2116" t="s">
        <v>4582</v>
      </c>
      <c r="B2116" t="s">
        <v>4583</v>
      </c>
      <c r="C2116">
        <v>40</v>
      </c>
      <c r="D2116" s="321">
        <v>46182</v>
      </c>
      <c r="E2116" s="321">
        <v>46240</v>
      </c>
      <c r="F2116">
        <v>60</v>
      </c>
      <c r="G2116" t="s">
        <v>390</v>
      </c>
    </row>
    <row r="2117" spans="1:7">
      <c r="A2117" t="s">
        <v>4584</v>
      </c>
      <c r="B2117" t="s">
        <v>4585</v>
      </c>
      <c r="C2117">
        <v>10</v>
      </c>
      <c r="D2117" s="321">
        <v>46258</v>
      </c>
      <c r="E2117" s="321">
        <v>46269</v>
      </c>
      <c r="F2117">
        <v>60</v>
      </c>
      <c r="G2117" t="s">
        <v>390</v>
      </c>
    </row>
    <row r="2118" spans="1:7">
      <c r="A2118" t="s">
        <v>4586</v>
      </c>
      <c r="B2118" t="s">
        <v>4587</v>
      </c>
      <c r="C2118">
        <v>10</v>
      </c>
      <c r="D2118" s="321">
        <v>46286</v>
      </c>
      <c r="E2118" s="321">
        <v>46297</v>
      </c>
      <c r="F2118">
        <v>60</v>
      </c>
      <c r="G2118" t="s">
        <v>390</v>
      </c>
    </row>
    <row r="2119" spans="1:7">
      <c r="A2119" t="s">
        <v>4588</v>
      </c>
      <c r="B2119" t="s">
        <v>4589</v>
      </c>
      <c r="C2119">
        <v>15</v>
      </c>
      <c r="D2119" s="321">
        <v>46185</v>
      </c>
      <c r="E2119" s="321">
        <v>46205</v>
      </c>
      <c r="F2119">
        <v>82</v>
      </c>
      <c r="G2119" t="s">
        <v>390</v>
      </c>
    </row>
    <row r="2120" spans="1:7">
      <c r="A2120" t="s">
        <v>4590</v>
      </c>
      <c r="B2120" t="s">
        <v>4591</v>
      </c>
      <c r="C2120">
        <v>10</v>
      </c>
      <c r="D2120" s="321">
        <v>46220</v>
      </c>
      <c r="E2120" s="321">
        <v>46238</v>
      </c>
      <c r="F2120">
        <v>82</v>
      </c>
      <c r="G2120" t="s">
        <v>390</v>
      </c>
    </row>
    <row r="2121" spans="1:7">
      <c r="A2121" t="s">
        <v>4592</v>
      </c>
      <c r="B2121" t="s">
        <v>4593</v>
      </c>
      <c r="C2121">
        <v>10</v>
      </c>
      <c r="D2121" s="321">
        <v>46254</v>
      </c>
      <c r="E2121" s="321">
        <v>46267</v>
      </c>
      <c r="F2121">
        <v>82</v>
      </c>
      <c r="G2121" t="s">
        <v>390</v>
      </c>
    </row>
    <row r="2122" spans="1:7">
      <c r="A2122" t="s">
        <v>4594</v>
      </c>
      <c r="B2122" t="s">
        <v>4595</v>
      </c>
      <c r="C2122">
        <v>20</v>
      </c>
      <c r="D2122" s="321">
        <v>46182</v>
      </c>
      <c r="E2122" s="321">
        <v>46209</v>
      </c>
      <c r="F2122">
        <v>80</v>
      </c>
      <c r="G2122" t="s">
        <v>390</v>
      </c>
    </row>
    <row r="2123" spans="1:7">
      <c r="A2123" t="s">
        <v>4596</v>
      </c>
      <c r="B2123" t="s">
        <v>4597</v>
      </c>
      <c r="C2123">
        <v>10</v>
      </c>
      <c r="D2123" s="321">
        <v>46224</v>
      </c>
      <c r="E2123" s="321">
        <v>46240</v>
      </c>
      <c r="F2123">
        <v>80</v>
      </c>
      <c r="G2123" t="s">
        <v>390</v>
      </c>
    </row>
    <row r="2124" spans="1:7">
      <c r="A2124" t="s">
        <v>4598</v>
      </c>
      <c r="B2124" t="s">
        <v>4599</v>
      </c>
      <c r="C2124">
        <v>10</v>
      </c>
      <c r="D2124" s="321">
        <v>46258</v>
      </c>
      <c r="E2124" s="321">
        <v>46269</v>
      </c>
      <c r="F2124">
        <v>80</v>
      </c>
      <c r="G2124" t="s">
        <v>390</v>
      </c>
    </row>
    <row r="2125" spans="1:7">
      <c r="A2125" t="s">
        <v>4600</v>
      </c>
      <c r="B2125" t="s">
        <v>4601</v>
      </c>
      <c r="C2125">
        <v>30</v>
      </c>
      <c r="D2125" s="321">
        <v>46282</v>
      </c>
      <c r="E2125" s="321">
        <v>46325</v>
      </c>
      <c r="F2125">
        <v>22</v>
      </c>
      <c r="G2125" t="s">
        <v>390</v>
      </c>
    </row>
    <row r="2126" spans="1:7">
      <c r="A2126" t="s">
        <v>4602</v>
      </c>
      <c r="B2126" t="s">
        <v>4603</v>
      </c>
      <c r="C2126">
        <v>10</v>
      </c>
      <c r="D2126" s="321">
        <v>46342</v>
      </c>
      <c r="E2126" s="321">
        <v>46353</v>
      </c>
      <c r="F2126">
        <v>22</v>
      </c>
      <c r="G2126" t="s">
        <v>390</v>
      </c>
    </row>
    <row r="2127" spans="1:7">
      <c r="A2127" t="s">
        <v>4604</v>
      </c>
      <c r="B2127" t="s">
        <v>4605</v>
      </c>
      <c r="C2127">
        <v>15</v>
      </c>
      <c r="D2127" s="321">
        <v>46185</v>
      </c>
      <c r="E2127" s="321">
        <v>46205</v>
      </c>
      <c r="F2127">
        <v>102</v>
      </c>
      <c r="G2127" t="s">
        <v>390</v>
      </c>
    </row>
    <row r="2128" spans="1:7">
      <c r="A2128" t="s">
        <v>4606</v>
      </c>
      <c r="B2128" t="s">
        <v>4607</v>
      </c>
      <c r="C2128">
        <v>10</v>
      </c>
      <c r="D2128" s="321">
        <v>46220</v>
      </c>
      <c r="E2128" s="321">
        <v>46238</v>
      </c>
      <c r="F2128">
        <v>102</v>
      </c>
      <c r="G2128" t="s">
        <v>390</v>
      </c>
    </row>
    <row r="2129" spans="1:7">
      <c r="A2129" t="s">
        <v>4608</v>
      </c>
      <c r="B2129" t="s">
        <v>4609</v>
      </c>
      <c r="C2129">
        <v>20</v>
      </c>
      <c r="D2129" s="321">
        <v>46113</v>
      </c>
      <c r="E2129" s="321">
        <v>46147</v>
      </c>
      <c r="F2129">
        <v>52</v>
      </c>
      <c r="G2129" t="s">
        <v>390</v>
      </c>
    </row>
    <row r="2130" spans="1:7">
      <c r="A2130" t="s">
        <v>4610</v>
      </c>
      <c r="B2130" t="s">
        <v>4611</v>
      </c>
      <c r="C2130">
        <v>10</v>
      </c>
      <c r="D2130" s="321">
        <v>46162</v>
      </c>
      <c r="E2130" s="321">
        <v>46177</v>
      </c>
      <c r="F2130">
        <v>117</v>
      </c>
      <c r="G2130" t="s">
        <v>390</v>
      </c>
    </row>
    <row r="2131" spans="1:7">
      <c r="A2131" t="s">
        <v>4612</v>
      </c>
      <c r="B2131" t="s">
        <v>4613</v>
      </c>
      <c r="C2131">
        <v>5</v>
      </c>
      <c r="D2131" s="321">
        <v>46192</v>
      </c>
      <c r="E2131" s="321">
        <v>46198</v>
      </c>
      <c r="F2131">
        <v>117</v>
      </c>
      <c r="G2131" t="s">
        <v>390</v>
      </c>
    </row>
    <row r="2132" spans="1:7">
      <c r="A2132" t="s">
        <v>4614</v>
      </c>
      <c r="B2132" t="s">
        <v>4615</v>
      </c>
      <c r="C2132">
        <v>20</v>
      </c>
      <c r="D2132" s="321">
        <v>46113</v>
      </c>
      <c r="E2132" s="321">
        <v>46147</v>
      </c>
      <c r="F2132">
        <v>52</v>
      </c>
      <c r="G2132" t="s">
        <v>390</v>
      </c>
    </row>
    <row r="2133" spans="1:7">
      <c r="A2133" t="s">
        <v>4616</v>
      </c>
      <c r="B2133" t="s">
        <v>4617</v>
      </c>
      <c r="C2133">
        <v>10</v>
      </c>
      <c r="D2133" s="321">
        <v>46162</v>
      </c>
      <c r="E2133" s="321">
        <v>46177</v>
      </c>
      <c r="F2133">
        <v>132</v>
      </c>
      <c r="G2133" t="s">
        <v>390</v>
      </c>
    </row>
    <row r="2134" spans="1:7">
      <c r="A2134" t="s">
        <v>4618</v>
      </c>
      <c r="B2134" t="s">
        <v>4619</v>
      </c>
      <c r="C2134">
        <v>20</v>
      </c>
      <c r="D2134" s="321">
        <v>46113</v>
      </c>
      <c r="E2134" s="321">
        <v>46147</v>
      </c>
      <c r="F2134">
        <v>52</v>
      </c>
      <c r="G2134" t="s">
        <v>390</v>
      </c>
    </row>
    <row r="2135" spans="1:7">
      <c r="A2135" t="s">
        <v>4620</v>
      </c>
      <c r="B2135" t="s">
        <v>4621</v>
      </c>
      <c r="C2135">
        <v>10</v>
      </c>
      <c r="D2135" s="321">
        <v>46162</v>
      </c>
      <c r="E2135" s="321">
        <v>46177</v>
      </c>
      <c r="F2135">
        <v>132</v>
      </c>
      <c r="G2135" t="s">
        <v>390</v>
      </c>
    </row>
    <row r="2136" spans="1:7">
      <c r="A2136" t="s">
        <v>4622</v>
      </c>
      <c r="B2136" t="s">
        <v>4623</v>
      </c>
      <c r="C2136">
        <v>15</v>
      </c>
      <c r="D2136" s="321">
        <v>46162</v>
      </c>
      <c r="E2136" s="321">
        <v>46184</v>
      </c>
      <c r="F2136">
        <v>27</v>
      </c>
      <c r="G2136" t="s">
        <v>390</v>
      </c>
    </row>
    <row r="2137" spans="1:7">
      <c r="A2137" t="s">
        <v>4624</v>
      </c>
      <c r="B2137" t="s">
        <v>4625</v>
      </c>
      <c r="C2137">
        <v>10</v>
      </c>
      <c r="D2137" s="321">
        <v>46199</v>
      </c>
      <c r="E2137" s="321">
        <v>46212</v>
      </c>
      <c r="F2137">
        <v>97</v>
      </c>
      <c r="G2137" t="s">
        <v>390</v>
      </c>
    </row>
    <row r="2138" spans="1:7">
      <c r="A2138" t="s">
        <v>4626</v>
      </c>
      <c r="B2138" t="s">
        <v>4627</v>
      </c>
      <c r="C2138">
        <v>10</v>
      </c>
      <c r="D2138" s="321">
        <v>46227</v>
      </c>
      <c r="E2138" s="321">
        <v>46245</v>
      </c>
      <c r="F2138">
        <v>97</v>
      </c>
      <c r="G2138" t="s">
        <v>390</v>
      </c>
    </row>
    <row r="2139" spans="1:7">
      <c r="A2139" t="s">
        <v>4628</v>
      </c>
      <c r="B2139" t="s">
        <v>4629</v>
      </c>
      <c r="C2139">
        <v>10</v>
      </c>
      <c r="D2139" s="321">
        <v>46140</v>
      </c>
      <c r="E2139" s="321">
        <v>46154</v>
      </c>
      <c r="F2139">
        <v>102</v>
      </c>
      <c r="G2139" t="s">
        <v>390</v>
      </c>
    </row>
    <row r="2140" spans="1:7">
      <c r="A2140" t="s">
        <v>4630</v>
      </c>
      <c r="B2140" t="s">
        <v>4631</v>
      </c>
      <c r="C2140">
        <v>10</v>
      </c>
      <c r="D2140" s="321">
        <v>46171</v>
      </c>
      <c r="E2140" s="321">
        <v>46188</v>
      </c>
      <c r="F2140">
        <v>105</v>
      </c>
      <c r="G2140" t="s">
        <v>390</v>
      </c>
    </row>
    <row r="2141" spans="1:7">
      <c r="A2141" t="s">
        <v>4632</v>
      </c>
      <c r="B2141" t="s">
        <v>4633</v>
      </c>
      <c r="C2141">
        <v>5</v>
      </c>
      <c r="D2141" s="321">
        <v>46203</v>
      </c>
      <c r="E2141" s="321">
        <v>46209</v>
      </c>
      <c r="F2141">
        <v>110</v>
      </c>
      <c r="G2141" t="s">
        <v>390</v>
      </c>
    </row>
    <row r="2142" spans="1:7">
      <c r="A2142" t="s">
        <v>4634</v>
      </c>
      <c r="B2142" t="s">
        <v>4635</v>
      </c>
      <c r="C2142">
        <v>15</v>
      </c>
      <c r="D2142" s="321">
        <v>46155</v>
      </c>
      <c r="E2142" s="321">
        <v>46177</v>
      </c>
      <c r="F2142">
        <v>102</v>
      </c>
      <c r="G2142" t="s">
        <v>390</v>
      </c>
    </row>
    <row r="2143" spans="1:7">
      <c r="A2143" t="s">
        <v>4636</v>
      </c>
      <c r="B2143" t="s">
        <v>4637</v>
      </c>
      <c r="C2143">
        <v>10</v>
      </c>
      <c r="D2143" s="321">
        <v>46192</v>
      </c>
      <c r="E2143" s="321">
        <v>46205</v>
      </c>
      <c r="F2143">
        <v>102</v>
      </c>
      <c r="G2143" t="s">
        <v>390</v>
      </c>
    </row>
    <row r="2144" spans="1:7">
      <c r="A2144" t="s">
        <v>4638</v>
      </c>
      <c r="B2144" t="s">
        <v>4639</v>
      </c>
      <c r="C2144">
        <v>10</v>
      </c>
      <c r="D2144" s="321">
        <v>46220</v>
      </c>
      <c r="E2144" s="321">
        <v>46238</v>
      </c>
      <c r="F2144">
        <v>102</v>
      </c>
      <c r="G2144" t="s">
        <v>390</v>
      </c>
    </row>
    <row r="2145" spans="1:7">
      <c r="A2145" t="s">
        <v>4640</v>
      </c>
      <c r="B2145" t="s">
        <v>4641</v>
      </c>
      <c r="C2145">
        <v>15</v>
      </c>
      <c r="D2145" s="321">
        <v>46155</v>
      </c>
      <c r="E2145" s="321">
        <v>46177</v>
      </c>
      <c r="F2145">
        <v>102</v>
      </c>
      <c r="G2145" t="s">
        <v>390</v>
      </c>
    </row>
    <row r="2146" spans="1:7">
      <c r="A2146" t="s">
        <v>4642</v>
      </c>
      <c r="B2146" t="s">
        <v>4643</v>
      </c>
      <c r="C2146">
        <v>10</v>
      </c>
      <c r="D2146" s="321">
        <v>46192</v>
      </c>
      <c r="E2146" s="321">
        <v>46205</v>
      </c>
      <c r="F2146">
        <v>102</v>
      </c>
      <c r="G2146" t="s">
        <v>390</v>
      </c>
    </row>
    <row r="2147" spans="1:7">
      <c r="A2147" t="s">
        <v>4644</v>
      </c>
      <c r="B2147" t="s">
        <v>4645</v>
      </c>
      <c r="C2147">
        <v>10</v>
      </c>
      <c r="D2147" s="321">
        <v>46220</v>
      </c>
      <c r="E2147" s="321">
        <v>46238</v>
      </c>
      <c r="F2147">
        <v>102</v>
      </c>
      <c r="G2147" t="s">
        <v>390</v>
      </c>
    </row>
    <row r="2148" spans="1:7">
      <c r="A2148" t="s">
        <v>4646</v>
      </c>
      <c r="B2148" t="s">
        <v>4647</v>
      </c>
      <c r="C2148">
        <v>15</v>
      </c>
      <c r="D2148" s="321">
        <v>46155</v>
      </c>
      <c r="E2148" s="321">
        <v>46177</v>
      </c>
      <c r="F2148">
        <v>102</v>
      </c>
      <c r="G2148" t="s">
        <v>390</v>
      </c>
    </row>
    <row r="2149" spans="1:7">
      <c r="A2149" t="s">
        <v>4648</v>
      </c>
      <c r="B2149" t="s">
        <v>4649</v>
      </c>
      <c r="C2149">
        <v>10</v>
      </c>
      <c r="D2149" s="321">
        <v>46192</v>
      </c>
      <c r="E2149" s="321">
        <v>46205</v>
      </c>
      <c r="F2149">
        <v>102</v>
      </c>
      <c r="G2149" t="s">
        <v>390</v>
      </c>
    </row>
    <row r="2150" spans="1:7">
      <c r="A2150" t="s">
        <v>4650</v>
      </c>
      <c r="B2150" t="s">
        <v>4651</v>
      </c>
      <c r="C2150">
        <v>10</v>
      </c>
      <c r="D2150" s="321">
        <v>46220</v>
      </c>
      <c r="E2150" s="321">
        <v>46238</v>
      </c>
      <c r="F2150">
        <v>102</v>
      </c>
      <c r="G2150" t="s">
        <v>390</v>
      </c>
    </row>
    <row r="2151" spans="1:7">
      <c r="A2151" t="s">
        <v>4652</v>
      </c>
      <c r="B2151" t="s">
        <v>4653</v>
      </c>
      <c r="C2151">
        <v>15</v>
      </c>
      <c r="D2151" s="321">
        <v>46155</v>
      </c>
      <c r="E2151" s="321">
        <v>46177</v>
      </c>
      <c r="F2151">
        <v>102</v>
      </c>
      <c r="G2151" t="s">
        <v>390</v>
      </c>
    </row>
    <row r="2152" spans="1:7">
      <c r="A2152" t="s">
        <v>4654</v>
      </c>
      <c r="B2152" t="s">
        <v>4655</v>
      </c>
      <c r="C2152">
        <v>10</v>
      </c>
      <c r="D2152" s="321">
        <v>46192</v>
      </c>
      <c r="E2152" s="321">
        <v>46205</v>
      </c>
      <c r="F2152">
        <v>102</v>
      </c>
      <c r="G2152" t="s">
        <v>390</v>
      </c>
    </row>
    <row r="2153" spans="1:7">
      <c r="A2153" t="s">
        <v>4656</v>
      </c>
      <c r="B2153" t="s">
        <v>4657</v>
      </c>
      <c r="C2153">
        <v>10</v>
      </c>
      <c r="D2153" s="321">
        <v>46220</v>
      </c>
      <c r="E2153" s="321">
        <v>46238</v>
      </c>
      <c r="F2153">
        <v>102</v>
      </c>
      <c r="G2153" t="s">
        <v>390</v>
      </c>
    </row>
    <row r="2154" spans="1:7">
      <c r="A2154" t="s">
        <v>4658</v>
      </c>
      <c r="B2154" t="s">
        <v>4659</v>
      </c>
      <c r="C2154">
        <v>15</v>
      </c>
      <c r="D2154" s="321">
        <v>46169</v>
      </c>
      <c r="E2154" s="321">
        <v>46191</v>
      </c>
      <c r="F2154">
        <v>92</v>
      </c>
      <c r="G2154" t="s">
        <v>390</v>
      </c>
    </row>
    <row r="2155" spans="1:7">
      <c r="A2155" t="s">
        <v>4660</v>
      </c>
      <c r="B2155" t="s">
        <v>4661</v>
      </c>
      <c r="C2155">
        <v>10</v>
      </c>
      <c r="D2155" s="321">
        <v>46213</v>
      </c>
      <c r="E2155" s="321">
        <v>46226</v>
      </c>
      <c r="F2155">
        <v>87</v>
      </c>
      <c r="G2155" t="s">
        <v>390</v>
      </c>
    </row>
    <row r="2156" spans="1:7">
      <c r="A2156" t="s">
        <v>4662</v>
      </c>
      <c r="B2156" t="s">
        <v>4663</v>
      </c>
      <c r="C2156">
        <v>10</v>
      </c>
      <c r="D2156" s="321">
        <v>46275</v>
      </c>
      <c r="E2156" s="321">
        <v>46288</v>
      </c>
      <c r="F2156">
        <v>67</v>
      </c>
      <c r="G2156" t="s">
        <v>390</v>
      </c>
    </row>
    <row r="2157" spans="1:7">
      <c r="A2157" t="s">
        <v>4664</v>
      </c>
      <c r="B2157" t="s">
        <v>4665</v>
      </c>
      <c r="C2157">
        <v>15</v>
      </c>
      <c r="D2157" s="321">
        <v>46169</v>
      </c>
      <c r="E2157" s="321">
        <v>46191</v>
      </c>
      <c r="F2157">
        <v>92</v>
      </c>
      <c r="G2157" t="s">
        <v>390</v>
      </c>
    </row>
    <row r="2158" spans="1:7">
      <c r="A2158" t="s">
        <v>4666</v>
      </c>
      <c r="B2158" t="s">
        <v>4667</v>
      </c>
      <c r="C2158">
        <v>10</v>
      </c>
      <c r="D2158" s="321">
        <v>46213</v>
      </c>
      <c r="E2158" s="321">
        <v>46226</v>
      </c>
      <c r="F2158">
        <v>87</v>
      </c>
      <c r="G2158" t="s">
        <v>390</v>
      </c>
    </row>
    <row r="2159" spans="1:7">
      <c r="A2159" t="s">
        <v>4668</v>
      </c>
      <c r="B2159" t="s">
        <v>4669</v>
      </c>
      <c r="C2159">
        <v>10</v>
      </c>
      <c r="D2159" s="321">
        <v>46275</v>
      </c>
      <c r="E2159" s="321">
        <v>46288</v>
      </c>
      <c r="F2159">
        <v>67</v>
      </c>
      <c r="G2159" t="s">
        <v>390</v>
      </c>
    </row>
    <row r="2160" spans="1:7">
      <c r="A2160" t="s">
        <v>4670</v>
      </c>
      <c r="B2160" t="s">
        <v>4671</v>
      </c>
      <c r="C2160">
        <v>15</v>
      </c>
      <c r="D2160" s="321">
        <v>46169</v>
      </c>
      <c r="E2160" s="321">
        <v>46191</v>
      </c>
      <c r="F2160">
        <v>32</v>
      </c>
      <c r="G2160" t="s">
        <v>390</v>
      </c>
    </row>
    <row r="2161" spans="1:7">
      <c r="A2161" t="s">
        <v>4672</v>
      </c>
      <c r="B2161" t="s">
        <v>4673</v>
      </c>
      <c r="C2161">
        <v>10</v>
      </c>
      <c r="D2161" s="321">
        <v>46213</v>
      </c>
      <c r="E2161" s="321">
        <v>46226</v>
      </c>
      <c r="F2161">
        <v>77</v>
      </c>
      <c r="G2161" t="s">
        <v>390</v>
      </c>
    </row>
    <row r="2162" spans="1:7">
      <c r="A2162" t="s">
        <v>4674</v>
      </c>
      <c r="B2162" t="s">
        <v>4675</v>
      </c>
      <c r="C2162">
        <v>10</v>
      </c>
      <c r="D2162" s="321">
        <v>46275</v>
      </c>
      <c r="E2162" s="321">
        <v>46288</v>
      </c>
      <c r="F2162">
        <v>67</v>
      </c>
      <c r="G2162" t="s">
        <v>390</v>
      </c>
    </row>
    <row r="2163" spans="1:7">
      <c r="A2163" t="s">
        <v>4676</v>
      </c>
      <c r="B2163" t="s">
        <v>4677</v>
      </c>
      <c r="C2163">
        <v>15</v>
      </c>
      <c r="D2163" s="321">
        <v>46169</v>
      </c>
      <c r="E2163" s="321">
        <v>46191</v>
      </c>
      <c r="F2163">
        <v>77</v>
      </c>
      <c r="G2163" t="s">
        <v>390</v>
      </c>
    </row>
    <row r="2164" spans="1:7">
      <c r="A2164" t="s">
        <v>4678</v>
      </c>
      <c r="B2164" t="s">
        <v>4679</v>
      </c>
      <c r="C2164">
        <v>10</v>
      </c>
      <c r="D2164" s="321">
        <v>46213</v>
      </c>
      <c r="E2164" s="321">
        <v>46226</v>
      </c>
      <c r="F2164">
        <v>77</v>
      </c>
      <c r="G2164" t="s">
        <v>390</v>
      </c>
    </row>
    <row r="2165" spans="1:7">
      <c r="A2165" t="s">
        <v>4680</v>
      </c>
      <c r="B2165" t="s">
        <v>4681</v>
      </c>
      <c r="C2165">
        <v>10</v>
      </c>
      <c r="D2165" s="321">
        <v>46275</v>
      </c>
      <c r="E2165" s="321">
        <v>46288</v>
      </c>
      <c r="F2165">
        <v>67</v>
      </c>
      <c r="G2165" t="s">
        <v>390</v>
      </c>
    </row>
    <row r="2166" spans="1:7">
      <c r="A2166" t="s">
        <v>4682</v>
      </c>
      <c r="B2166" t="s">
        <v>4683</v>
      </c>
      <c r="C2166">
        <v>15</v>
      </c>
      <c r="D2166" s="321">
        <v>46192</v>
      </c>
      <c r="E2166" s="321">
        <v>46212</v>
      </c>
      <c r="F2166">
        <v>32</v>
      </c>
      <c r="G2166" t="s">
        <v>390</v>
      </c>
    </row>
    <row r="2167" spans="1:7">
      <c r="A2167" t="s">
        <v>4684</v>
      </c>
      <c r="B2167" t="s">
        <v>4685</v>
      </c>
      <c r="C2167">
        <v>10</v>
      </c>
      <c r="D2167" s="321">
        <v>46227</v>
      </c>
      <c r="E2167" s="321">
        <v>46245</v>
      </c>
      <c r="F2167">
        <v>77</v>
      </c>
      <c r="G2167" t="s">
        <v>390</v>
      </c>
    </row>
    <row r="2168" spans="1:7">
      <c r="A2168" t="s">
        <v>4686</v>
      </c>
      <c r="B2168" t="s">
        <v>4687</v>
      </c>
      <c r="C2168">
        <v>10</v>
      </c>
      <c r="D2168" s="321">
        <v>46261</v>
      </c>
      <c r="E2168" s="321">
        <v>46274</v>
      </c>
      <c r="F2168">
        <v>77</v>
      </c>
      <c r="G2168" t="s">
        <v>390</v>
      </c>
    </row>
    <row r="2169" spans="1:7">
      <c r="A2169" t="s">
        <v>4688</v>
      </c>
      <c r="B2169" t="s">
        <v>4689</v>
      </c>
      <c r="C2169">
        <v>15</v>
      </c>
      <c r="D2169" s="321">
        <v>46192</v>
      </c>
      <c r="E2169" s="321">
        <v>46212</v>
      </c>
      <c r="F2169">
        <v>77</v>
      </c>
      <c r="G2169" t="s">
        <v>390</v>
      </c>
    </row>
    <row r="2170" spans="1:7">
      <c r="A2170" t="s">
        <v>4690</v>
      </c>
      <c r="B2170" t="s">
        <v>4691</v>
      </c>
      <c r="C2170">
        <v>10</v>
      </c>
      <c r="D2170" s="321">
        <v>46227</v>
      </c>
      <c r="E2170" s="321">
        <v>46245</v>
      </c>
      <c r="F2170">
        <v>77</v>
      </c>
      <c r="G2170" t="s">
        <v>390</v>
      </c>
    </row>
    <row r="2171" spans="1:7">
      <c r="A2171" t="s">
        <v>4692</v>
      </c>
      <c r="B2171" t="s">
        <v>4693</v>
      </c>
      <c r="C2171">
        <v>10</v>
      </c>
      <c r="D2171" s="321">
        <v>46261</v>
      </c>
      <c r="E2171" s="321">
        <v>46274</v>
      </c>
      <c r="F2171">
        <v>77</v>
      </c>
      <c r="G2171" t="s">
        <v>390</v>
      </c>
    </row>
    <row r="2172" spans="1:7">
      <c r="A2172" t="s">
        <v>4694</v>
      </c>
      <c r="B2172" t="s">
        <v>4695</v>
      </c>
      <c r="C2172">
        <v>15</v>
      </c>
      <c r="D2172" s="321">
        <v>46192</v>
      </c>
      <c r="E2172" s="321">
        <v>46212</v>
      </c>
      <c r="F2172">
        <v>32</v>
      </c>
      <c r="G2172" t="s">
        <v>390</v>
      </c>
    </row>
    <row r="2173" spans="1:7">
      <c r="A2173" t="s">
        <v>4696</v>
      </c>
      <c r="B2173" t="s">
        <v>4697</v>
      </c>
      <c r="C2173">
        <v>10</v>
      </c>
      <c r="D2173" s="321">
        <v>46227</v>
      </c>
      <c r="E2173" s="321">
        <v>46245</v>
      </c>
      <c r="F2173">
        <v>62</v>
      </c>
      <c r="G2173" t="s">
        <v>390</v>
      </c>
    </row>
    <row r="2174" spans="1:7">
      <c r="A2174" t="s">
        <v>4698</v>
      </c>
      <c r="B2174" t="s">
        <v>4699</v>
      </c>
      <c r="C2174">
        <v>10</v>
      </c>
      <c r="D2174" s="321">
        <v>46261</v>
      </c>
      <c r="E2174" s="321">
        <v>46274</v>
      </c>
      <c r="F2174">
        <v>62</v>
      </c>
      <c r="G2174" t="s">
        <v>390</v>
      </c>
    </row>
    <row r="2175" spans="1:7">
      <c r="A2175" t="s">
        <v>4700</v>
      </c>
      <c r="B2175" t="s">
        <v>4701</v>
      </c>
      <c r="C2175">
        <v>15</v>
      </c>
      <c r="D2175" s="321">
        <v>46192</v>
      </c>
      <c r="E2175" s="321">
        <v>46212</v>
      </c>
      <c r="F2175">
        <v>32</v>
      </c>
      <c r="G2175" t="s">
        <v>390</v>
      </c>
    </row>
    <row r="2176" spans="1:7">
      <c r="A2176" t="s">
        <v>4702</v>
      </c>
      <c r="B2176" t="s">
        <v>4703</v>
      </c>
      <c r="C2176">
        <v>10</v>
      </c>
      <c r="D2176" s="321">
        <v>46227</v>
      </c>
      <c r="E2176" s="321">
        <v>46245</v>
      </c>
      <c r="F2176">
        <v>62</v>
      </c>
      <c r="G2176" t="s">
        <v>390</v>
      </c>
    </row>
    <row r="2177" spans="1:7">
      <c r="A2177" t="s">
        <v>4704</v>
      </c>
      <c r="B2177" t="s">
        <v>4705</v>
      </c>
      <c r="C2177">
        <v>10</v>
      </c>
      <c r="D2177" s="321">
        <v>46261</v>
      </c>
      <c r="E2177" s="321">
        <v>46274</v>
      </c>
      <c r="F2177">
        <v>62</v>
      </c>
      <c r="G2177" t="s">
        <v>390</v>
      </c>
    </row>
    <row r="2178" spans="1:7">
      <c r="A2178" t="s">
        <v>4706</v>
      </c>
      <c r="C2178">
        <v>85</v>
      </c>
      <c r="D2178" s="321">
        <v>46185</v>
      </c>
      <c r="E2178" s="321">
        <v>46310</v>
      </c>
      <c r="F2178">
        <v>52</v>
      </c>
      <c r="G2178" t="s">
        <v>390</v>
      </c>
    </row>
    <row r="2179" spans="1:7">
      <c r="A2179" t="s">
        <v>4707</v>
      </c>
      <c r="B2179" t="s">
        <v>4708</v>
      </c>
      <c r="C2179">
        <v>15</v>
      </c>
      <c r="D2179" s="321">
        <v>46185</v>
      </c>
      <c r="E2179" s="321">
        <v>46205</v>
      </c>
      <c r="F2179">
        <v>27</v>
      </c>
      <c r="G2179" t="s">
        <v>390</v>
      </c>
    </row>
    <row r="2180" spans="1:7">
      <c r="A2180" t="s">
        <v>4709</v>
      </c>
      <c r="B2180" t="s">
        <v>4710</v>
      </c>
      <c r="C2180">
        <v>10</v>
      </c>
      <c r="D2180" s="321">
        <v>46296</v>
      </c>
      <c r="E2180" s="321">
        <v>46310</v>
      </c>
      <c r="F2180">
        <v>52</v>
      </c>
      <c r="G2180" t="s">
        <v>390</v>
      </c>
    </row>
    <row r="2181" spans="1:7">
      <c r="A2181" t="s">
        <v>4711</v>
      </c>
      <c r="B2181" t="s">
        <v>4712</v>
      </c>
      <c r="C2181">
        <v>15</v>
      </c>
      <c r="D2181" s="321">
        <v>46185</v>
      </c>
      <c r="E2181" s="321">
        <v>46205</v>
      </c>
      <c r="F2181">
        <v>27</v>
      </c>
      <c r="G2181" t="s">
        <v>390</v>
      </c>
    </row>
    <row r="2182" spans="1:7">
      <c r="A2182" t="s">
        <v>4713</v>
      </c>
      <c r="B2182" t="s">
        <v>4714</v>
      </c>
      <c r="C2182">
        <v>10</v>
      </c>
      <c r="D2182" s="321">
        <v>46296</v>
      </c>
      <c r="E2182" s="321">
        <v>46310</v>
      </c>
      <c r="F2182">
        <v>52</v>
      </c>
      <c r="G2182" t="s">
        <v>390</v>
      </c>
    </row>
    <row r="2183" spans="1:7">
      <c r="A2183" t="s">
        <v>4715</v>
      </c>
      <c r="B2183" t="s">
        <v>4716</v>
      </c>
      <c r="C2183">
        <v>15</v>
      </c>
      <c r="D2183" s="321">
        <v>46185</v>
      </c>
      <c r="E2183" s="321">
        <v>46205</v>
      </c>
      <c r="F2183">
        <v>27</v>
      </c>
      <c r="G2183" t="s">
        <v>390</v>
      </c>
    </row>
    <row r="2184" spans="1:7">
      <c r="A2184" t="s">
        <v>4717</v>
      </c>
      <c r="B2184" t="s">
        <v>4718</v>
      </c>
      <c r="C2184">
        <v>10</v>
      </c>
      <c r="D2184" s="321">
        <v>46296</v>
      </c>
      <c r="E2184" s="321">
        <v>46310</v>
      </c>
      <c r="F2184">
        <v>52</v>
      </c>
      <c r="G2184" t="s">
        <v>390</v>
      </c>
    </row>
    <row r="2185" spans="1:7">
      <c r="A2185" t="s">
        <v>4719</v>
      </c>
      <c r="C2185">
        <v>95</v>
      </c>
      <c r="D2185" s="321">
        <v>46206</v>
      </c>
      <c r="E2185" s="321">
        <v>46346</v>
      </c>
      <c r="F2185">
        <v>27</v>
      </c>
      <c r="G2185" t="s">
        <v>390</v>
      </c>
    </row>
    <row r="2186" spans="1:7">
      <c r="A2186" t="s">
        <v>4720</v>
      </c>
      <c r="B2186" t="s">
        <v>4721</v>
      </c>
      <c r="C2186">
        <v>10</v>
      </c>
      <c r="D2186" s="321">
        <v>46206</v>
      </c>
      <c r="E2186" s="321">
        <v>46219</v>
      </c>
      <c r="F2186">
        <v>27</v>
      </c>
      <c r="G2186" t="s">
        <v>390</v>
      </c>
    </row>
    <row r="2187" spans="1:7">
      <c r="A2187" t="s">
        <v>4722</v>
      </c>
      <c r="B2187" t="s">
        <v>4723</v>
      </c>
      <c r="C2187">
        <v>5</v>
      </c>
      <c r="D2187" s="321">
        <v>46342</v>
      </c>
      <c r="E2187" s="321">
        <v>46346</v>
      </c>
      <c r="F2187">
        <v>27</v>
      </c>
      <c r="G2187" t="s">
        <v>390</v>
      </c>
    </row>
    <row r="2188" spans="1:7">
      <c r="A2188" t="s">
        <v>4724</v>
      </c>
      <c r="B2188" t="s">
        <v>4725</v>
      </c>
      <c r="C2188">
        <v>10</v>
      </c>
      <c r="D2188" s="321">
        <v>46206</v>
      </c>
      <c r="E2188" s="321">
        <v>46219</v>
      </c>
      <c r="F2188">
        <v>27</v>
      </c>
      <c r="G2188" t="s">
        <v>390</v>
      </c>
    </row>
    <row r="2189" spans="1:7">
      <c r="A2189" t="s">
        <v>4726</v>
      </c>
      <c r="B2189" t="s">
        <v>4727</v>
      </c>
      <c r="C2189">
        <v>5</v>
      </c>
      <c r="D2189" s="321">
        <v>46342</v>
      </c>
      <c r="E2189" s="321">
        <v>46346</v>
      </c>
      <c r="F2189">
        <v>27</v>
      </c>
      <c r="G2189" t="s">
        <v>390</v>
      </c>
    </row>
    <row r="2190" spans="1:7">
      <c r="A2190" t="s">
        <v>4728</v>
      </c>
      <c r="B2190" t="s">
        <v>4729</v>
      </c>
      <c r="C2190">
        <v>10</v>
      </c>
      <c r="D2190" s="321">
        <v>46206</v>
      </c>
      <c r="E2190" s="321">
        <v>46219</v>
      </c>
      <c r="F2190">
        <v>27</v>
      </c>
      <c r="G2190" t="s">
        <v>390</v>
      </c>
    </row>
    <row r="2191" spans="1:7">
      <c r="A2191" t="s">
        <v>4730</v>
      </c>
      <c r="B2191" t="s">
        <v>4731</v>
      </c>
      <c r="C2191">
        <v>5</v>
      </c>
      <c r="D2191" s="321">
        <v>46342</v>
      </c>
      <c r="E2191" s="321">
        <v>46346</v>
      </c>
      <c r="F2191">
        <v>27</v>
      </c>
      <c r="G2191" t="s">
        <v>390</v>
      </c>
    </row>
    <row r="2192" spans="1:7">
      <c r="A2192" t="s">
        <v>4732</v>
      </c>
      <c r="C2192">
        <v>60</v>
      </c>
      <c r="D2192" s="321">
        <v>46254</v>
      </c>
      <c r="E2192" s="321">
        <v>46339</v>
      </c>
      <c r="F2192">
        <v>27</v>
      </c>
      <c r="G2192" t="s">
        <v>390</v>
      </c>
    </row>
    <row r="2193" spans="1:7">
      <c r="A2193" t="s">
        <v>4733</v>
      </c>
      <c r="B2193" t="s">
        <v>4734</v>
      </c>
      <c r="C2193">
        <v>20</v>
      </c>
      <c r="D2193" s="321">
        <v>46254</v>
      </c>
      <c r="E2193" s="321">
        <v>46281</v>
      </c>
      <c r="F2193">
        <v>27</v>
      </c>
      <c r="G2193" t="s">
        <v>390</v>
      </c>
    </row>
    <row r="2194" spans="1:7">
      <c r="A2194" t="s">
        <v>4735</v>
      </c>
      <c r="B2194" t="s">
        <v>4736</v>
      </c>
      <c r="C2194">
        <v>10</v>
      </c>
      <c r="D2194" s="321">
        <v>46296</v>
      </c>
      <c r="E2194" s="321">
        <v>46310</v>
      </c>
      <c r="F2194">
        <v>27</v>
      </c>
      <c r="G2194" t="s">
        <v>390</v>
      </c>
    </row>
    <row r="2195" spans="1:7">
      <c r="A2195" t="s">
        <v>4737</v>
      </c>
      <c r="B2195" t="s">
        <v>4738</v>
      </c>
      <c r="C2195">
        <v>10</v>
      </c>
      <c r="D2195" s="321">
        <v>46328</v>
      </c>
      <c r="E2195" s="321">
        <v>46339</v>
      </c>
      <c r="F2195">
        <v>27</v>
      </c>
      <c r="G2195" t="s">
        <v>390</v>
      </c>
    </row>
    <row r="2196" spans="1:7">
      <c r="A2196" t="s">
        <v>4739</v>
      </c>
      <c r="B2196" t="s">
        <v>4740</v>
      </c>
      <c r="C2196">
        <v>20</v>
      </c>
      <c r="D2196" s="321">
        <v>46254</v>
      </c>
      <c r="E2196" s="321">
        <v>46281</v>
      </c>
      <c r="F2196">
        <v>27</v>
      </c>
      <c r="G2196" t="s">
        <v>390</v>
      </c>
    </row>
    <row r="2197" spans="1:7">
      <c r="A2197" t="s">
        <v>4741</v>
      </c>
      <c r="B2197" t="s">
        <v>4742</v>
      </c>
      <c r="C2197">
        <v>10</v>
      </c>
      <c r="D2197" s="321">
        <v>46296</v>
      </c>
      <c r="E2197" s="321">
        <v>46310</v>
      </c>
      <c r="F2197">
        <v>27</v>
      </c>
      <c r="G2197" t="s">
        <v>390</v>
      </c>
    </row>
    <row r="2198" spans="1:7">
      <c r="A2198" t="s">
        <v>4743</v>
      </c>
      <c r="B2198" t="s">
        <v>4744</v>
      </c>
      <c r="C2198">
        <v>10</v>
      </c>
      <c r="D2198" s="321">
        <v>46328</v>
      </c>
      <c r="E2198" s="321">
        <v>46339</v>
      </c>
      <c r="F2198">
        <v>27</v>
      </c>
      <c r="G2198" t="s">
        <v>390</v>
      </c>
    </row>
    <row r="2199" spans="1:7">
      <c r="A2199" t="s">
        <v>4745</v>
      </c>
      <c r="B2199" t="s">
        <v>4746</v>
      </c>
      <c r="C2199">
        <v>20</v>
      </c>
      <c r="D2199" s="321">
        <v>46254</v>
      </c>
      <c r="E2199" s="321">
        <v>46281</v>
      </c>
      <c r="F2199">
        <v>27</v>
      </c>
      <c r="G2199" t="s">
        <v>390</v>
      </c>
    </row>
    <row r="2200" spans="1:7">
      <c r="A2200" t="s">
        <v>4747</v>
      </c>
      <c r="B2200" t="s">
        <v>4748</v>
      </c>
      <c r="C2200">
        <v>10</v>
      </c>
      <c r="D2200" s="321">
        <v>46296</v>
      </c>
      <c r="E2200" s="321">
        <v>46310</v>
      </c>
      <c r="F2200">
        <v>27</v>
      </c>
      <c r="G2200" t="s">
        <v>390</v>
      </c>
    </row>
    <row r="2201" spans="1:7">
      <c r="A2201" t="s">
        <v>4749</v>
      </c>
      <c r="B2201" t="s">
        <v>4750</v>
      </c>
      <c r="C2201">
        <v>10</v>
      </c>
      <c r="D2201" s="321">
        <v>46328</v>
      </c>
      <c r="E2201" s="321">
        <v>46339</v>
      </c>
      <c r="F2201">
        <v>27</v>
      </c>
      <c r="G2201" t="s">
        <v>390</v>
      </c>
    </row>
    <row r="2202" spans="1:7">
      <c r="A2202" t="s">
        <v>714</v>
      </c>
      <c r="C2202">
        <v>10</v>
      </c>
      <c r="D2202" s="321">
        <v>46167</v>
      </c>
      <c r="E2202" s="321">
        <v>46182</v>
      </c>
      <c r="F2202">
        <v>99</v>
      </c>
      <c r="G2202" t="s">
        <v>390</v>
      </c>
    </row>
    <row r="2203" spans="1:7">
      <c r="A2203" t="s">
        <v>4751</v>
      </c>
      <c r="B2203" t="s">
        <v>4752</v>
      </c>
      <c r="C2203">
        <v>10</v>
      </c>
      <c r="D2203" s="321">
        <v>46167</v>
      </c>
      <c r="E2203" s="321">
        <v>46182</v>
      </c>
      <c r="F2203">
        <v>99</v>
      </c>
      <c r="G2203" t="s">
        <v>390</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W247"/>
  <sheetViews>
    <sheetView view="pageBreakPreview" zoomScale="85" zoomScaleNormal="55" workbookViewId="0">
      <pane xSplit="10" ySplit="16" topLeftCell="R23" activePane="bottomRight" state="frozen"/>
      <selection/>
      <selection pane="topRight"/>
      <selection pane="bottomLeft"/>
      <selection pane="bottomRight" activeCell="Y35" sqref="Y35:Y37"/>
    </sheetView>
  </sheetViews>
  <sheetFormatPr defaultColWidth="10.7964601769912" defaultRowHeight="17.6"/>
  <cols>
    <col min="1" max="1" width="3.86725663716814" style="199" customWidth="1"/>
    <col min="2" max="2" width="11.1327433628319" style="199" customWidth="1"/>
    <col min="3" max="3" width="10.7964601769912" style="24" customWidth="1"/>
    <col min="4" max="4" width="19.8672566371681" style="24" customWidth="1"/>
    <col min="5" max="5" width="17.8672566371681" style="24" customWidth="1"/>
    <col min="6" max="6" width="11.8672566371681" style="24" customWidth="1"/>
    <col min="7" max="7" width="10.8672566371681" style="200" customWidth="1"/>
    <col min="8" max="9" width="10.4690265486726" style="201" customWidth="1"/>
    <col min="10" max="10" width="8.46902654867257" style="201" customWidth="1"/>
    <col min="11" max="11" width="11" style="201" customWidth="1"/>
    <col min="12" max="15" width="11" style="202" customWidth="1"/>
    <col min="16" max="16" width="11" style="203" customWidth="1"/>
    <col min="17" max="17" width="11" style="204" customWidth="1"/>
    <col min="18" max="21" width="11" style="202" customWidth="1"/>
    <col min="22" max="22" width="10.4690265486726" style="202" customWidth="1"/>
    <col min="23" max="23" width="10.4690265486726" style="205" customWidth="1"/>
    <col min="24" max="25" width="10.4690265486726" style="202" customWidth="1"/>
    <col min="26" max="27" width="10.4690265486726" style="206" customWidth="1"/>
    <col min="28" max="28" width="10.4690265486726" style="207" customWidth="1"/>
    <col min="29" max="39" width="10.7964601769912" style="201" customWidth="1"/>
    <col min="40" max="40" width="10.7964601769912" style="201"/>
    <col min="41" max="41" width="10.7964601769912" style="201" customWidth="1"/>
    <col min="42" max="44" width="11" style="202" customWidth="1"/>
    <col min="45" max="45" width="10.4690265486726" style="208" customWidth="1"/>
    <col min="46" max="47" width="10.7964601769912" style="201" customWidth="1"/>
    <col min="48" max="48" width="10.7964601769912" style="201"/>
    <col min="49" max="49" width="10.7964601769912" style="209" customWidth="1"/>
    <col min="50" max="16384" width="10.7964601769912" style="201"/>
  </cols>
  <sheetData>
    <row r="1" ht="53.1" customHeight="1" spans="1:49">
      <c r="A1" s="35" t="s">
        <v>4753</v>
      </c>
      <c r="B1" s="35"/>
      <c r="G1" s="25"/>
      <c r="H1" s="25"/>
      <c r="I1" s="25" t="s">
        <v>4754</v>
      </c>
      <c r="J1" s="38"/>
      <c r="K1" s="38"/>
      <c r="L1" s="210"/>
      <c r="M1" s="210"/>
      <c r="N1" s="210"/>
      <c r="O1" s="210"/>
      <c r="P1" s="211"/>
      <c r="Q1" s="212"/>
      <c r="R1" s="210"/>
      <c r="S1" s="210"/>
      <c r="T1" s="210"/>
      <c r="U1" s="210"/>
      <c r="V1" s="210"/>
      <c r="W1" s="213"/>
      <c r="X1" s="214"/>
      <c r="Y1" s="215"/>
      <c r="Z1" s="216"/>
      <c r="AA1" s="216"/>
      <c r="AB1" s="217"/>
      <c r="AP1" s="210"/>
      <c r="AQ1" s="210"/>
      <c r="AR1" s="210"/>
      <c r="AS1" s="218"/>
    </row>
    <row r="2" ht="53.1" hidden="1" customHeight="1" spans="1:49">
      <c r="A2" s="35"/>
      <c r="B2" s="35"/>
      <c r="G2" s="25"/>
      <c r="H2" s="25"/>
      <c r="I2" s="25"/>
      <c r="J2" s="38"/>
      <c r="K2" s="38"/>
      <c r="L2" s="210"/>
      <c r="M2" s="210"/>
      <c r="N2" s="210"/>
      <c r="O2" s="210"/>
      <c r="P2" s="211"/>
      <c r="Q2" s="212"/>
      <c r="R2" s="210"/>
      <c r="S2" s="210"/>
      <c r="T2" s="210"/>
      <c r="U2" s="210"/>
      <c r="V2" s="210"/>
      <c r="W2" s="213"/>
      <c r="X2" s="214"/>
      <c r="Y2" s="215"/>
      <c r="Z2" s="216"/>
      <c r="AA2" s="216"/>
      <c r="AB2" s="217"/>
      <c r="AP2" s="210"/>
      <c r="AQ2" s="210"/>
      <c r="AR2" s="210"/>
      <c r="AS2" s="218"/>
    </row>
    <row r="3" ht="53.1" hidden="1" customHeight="1" spans="1:49">
      <c r="A3" s="35"/>
      <c r="B3" s="35"/>
      <c r="G3" s="25"/>
      <c r="H3" s="25"/>
      <c r="I3" s="25"/>
      <c r="J3" s="38"/>
      <c r="K3" s="38"/>
      <c r="L3" s="210"/>
      <c r="M3" s="210"/>
      <c r="N3" s="210"/>
      <c r="O3" s="210"/>
      <c r="P3" s="211"/>
      <c r="Q3" s="212"/>
      <c r="R3" s="210"/>
      <c r="S3" s="210"/>
      <c r="T3" s="210"/>
      <c r="U3" s="210"/>
      <c r="V3" s="210"/>
      <c r="W3" s="213"/>
      <c r="X3" s="214"/>
      <c r="Y3" s="215"/>
      <c r="Z3" s="216"/>
      <c r="AA3" s="216"/>
      <c r="AB3" s="217"/>
      <c r="AP3" s="210"/>
      <c r="AQ3" s="210"/>
      <c r="AR3" s="210"/>
      <c r="AS3" s="218"/>
    </row>
    <row r="4" ht="53.1" hidden="1" customHeight="1" spans="1:49">
      <c r="A4" s="35"/>
      <c r="B4" s="35"/>
      <c r="G4" s="25"/>
      <c r="H4" s="25"/>
      <c r="I4" s="25"/>
      <c r="J4" s="38"/>
      <c r="K4" s="38"/>
      <c r="L4" s="210"/>
      <c r="M4" s="210"/>
      <c r="N4" s="210"/>
      <c r="O4" s="210"/>
      <c r="P4" s="211"/>
      <c r="Q4" s="212"/>
      <c r="R4" s="210"/>
      <c r="S4" s="210"/>
      <c r="T4" s="210"/>
      <c r="U4" s="210"/>
      <c r="V4" s="210"/>
      <c r="W4" s="213"/>
      <c r="X4" s="214"/>
      <c r="Y4" s="215"/>
      <c r="Z4" s="216"/>
      <c r="AA4" s="216"/>
      <c r="AB4" s="217"/>
      <c r="AP4" s="210"/>
      <c r="AQ4" s="210"/>
      <c r="AR4" s="210"/>
      <c r="AS4" s="218"/>
    </row>
    <row r="5" ht="53.1" hidden="1" customHeight="1" spans="1:49">
      <c r="A5" s="35"/>
      <c r="B5" s="35"/>
      <c r="G5" s="25"/>
      <c r="H5" s="25"/>
      <c r="I5" s="25"/>
      <c r="J5" s="38"/>
      <c r="K5" s="38"/>
      <c r="L5" s="210"/>
      <c r="M5" s="210"/>
      <c r="N5" s="210"/>
      <c r="O5" s="210"/>
      <c r="P5" s="211"/>
      <c r="Q5" s="212"/>
      <c r="R5" s="210"/>
      <c r="S5" s="210"/>
      <c r="T5" s="210"/>
      <c r="U5" s="210"/>
      <c r="V5" s="210"/>
      <c r="W5" s="213"/>
      <c r="X5" s="214"/>
      <c r="Y5" s="215"/>
      <c r="Z5" s="216"/>
      <c r="AA5" s="216"/>
      <c r="AB5" s="217"/>
      <c r="AP5" s="210"/>
      <c r="AQ5" s="210"/>
      <c r="AR5" s="210"/>
      <c r="AS5" s="218"/>
    </row>
    <row r="6" ht="53.1" hidden="1" customHeight="1" spans="1:49">
      <c r="A6" s="35"/>
      <c r="B6" s="35"/>
      <c r="G6" s="25"/>
      <c r="H6" s="25"/>
      <c r="I6" s="25"/>
      <c r="J6" s="38"/>
      <c r="K6" s="38"/>
      <c r="L6" s="210"/>
      <c r="M6" s="210"/>
      <c r="N6" s="210"/>
      <c r="O6" s="210"/>
      <c r="P6" s="211"/>
      <c r="Q6" s="212"/>
      <c r="R6" s="210"/>
      <c r="S6" s="210"/>
      <c r="T6" s="210"/>
      <c r="U6" s="210"/>
      <c r="V6" s="210"/>
      <c r="W6" s="213"/>
      <c r="X6" s="214"/>
      <c r="Y6" s="215"/>
      <c r="Z6" s="216"/>
      <c r="AA6" s="216"/>
      <c r="AB6" s="217"/>
      <c r="AP6" s="210"/>
      <c r="AQ6" s="210"/>
      <c r="AR6" s="210"/>
      <c r="AS6" s="218"/>
    </row>
    <row r="7" ht="53.1" hidden="1" customHeight="1" spans="1:49">
      <c r="A7" s="35"/>
      <c r="B7" s="35"/>
      <c r="G7" s="25"/>
      <c r="H7" s="25"/>
      <c r="I7" s="25"/>
      <c r="J7" s="38"/>
      <c r="K7" s="38"/>
      <c r="L7" s="210"/>
      <c r="M7" s="210"/>
      <c r="N7" s="210"/>
      <c r="O7" s="210"/>
      <c r="P7" s="211"/>
      <c r="Q7" s="212"/>
      <c r="R7" s="210"/>
      <c r="S7" s="210"/>
      <c r="T7" s="210"/>
      <c r="U7" s="210"/>
      <c r="V7" s="210"/>
      <c r="W7" s="213"/>
      <c r="X7" s="214"/>
      <c r="Y7" s="215"/>
      <c r="Z7" s="216"/>
      <c r="AA7" s="216"/>
      <c r="AB7" s="217"/>
      <c r="AP7" s="210"/>
      <c r="AQ7" s="210"/>
      <c r="AR7" s="210"/>
      <c r="AS7" s="218"/>
    </row>
    <row r="8" ht="53.1" hidden="1" customHeight="1" spans="1:49">
      <c r="A8" s="35"/>
      <c r="B8" s="35"/>
      <c r="G8" s="25"/>
      <c r="H8" s="25"/>
      <c r="I8" s="25"/>
      <c r="J8" s="38"/>
      <c r="K8" s="38"/>
      <c r="L8" s="210"/>
      <c r="M8" s="210"/>
      <c r="N8" s="210"/>
      <c r="O8" s="210"/>
      <c r="P8" s="211"/>
      <c r="Q8" s="212"/>
      <c r="R8" s="210"/>
      <c r="S8" s="210"/>
      <c r="T8" s="210"/>
      <c r="U8" s="210"/>
      <c r="V8" s="210"/>
      <c r="W8" s="213"/>
      <c r="X8" s="214"/>
      <c r="Y8" s="215"/>
      <c r="Z8" s="216"/>
      <c r="AA8" s="216"/>
      <c r="AB8" s="217"/>
      <c r="AP8" s="210"/>
      <c r="AQ8" s="210"/>
      <c r="AR8" s="210"/>
      <c r="AS8" s="218"/>
    </row>
    <row r="9" ht="53.1" hidden="1" customHeight="1" spans="1:49">
      <c r="A9" s="35"/>
      <c r="B9" s="35"/>
      <c r="G9" s="25"/>
      <c r="H9" s="25"/>
      <c r="I9" s="25"/>
      <c r="J9" s="38"/>
      <c r="K9" s="38"/>
      <c r="L9" s="210"/>
      <c r="M9" s="210"/>
      <c r="N9" s="210"/>
      <c r="O9" s="210"/>
      <c r="P9" s="211"/>
      <c r="Q9" s="212"/>
      <c r="R9" s="210"/>
      <c r="S9" s="210"/>
      <c r="T9" s="210"/>
      <c r="U9" s="210"/>
      <c r="V9" s="210"/>
      <c r="W9" s="213"/>
      <c r="X9" s="214"/>
      <c r="Y9" s="215"/>
      <c r="Z9" s="216"/>
      <c r="AA9" s="216"/>
      <c r="AB9" s="217"/>
      <c r="AP9" s="210"/>
      <c r="AQ9" s="210"/>
      <c r="AR9" s="210"/>
      <c r="AS9" s="218"/>
    </row>
    <row r="10" ht="53.1" hidden="1" customHeight="1" spans="1:49">
      <c r="A10" s="35"/>
      <c r="B10" s="35"/>
      <c r="G10" s="25"/>
      <c r="H10" s="25"/>
      <c r="I10" s="25"/>
      <c r="J10" s="38"/>
      <c r="K10" s="38"/>
      <c r="L10" s="210"/>
      <c r="M10" s="210"/>
      <c r="N10" s="210"/>
      <c r="O10" s="210"/>
      <c r="P10" s="211"/>
      <c r="Q10" s="212"/>
      <c r="R10" s="210"/>
      <c r="S10" s="210"/>
      <c r="T10" s="210"/>
      <c r="U10" s="210"/>
      <c r="V10" s="210"/>
      <c r="W10" s="213"/>
      <c r="X10" s="214"/>
      <c r="Y10" s="215"/>
      <c r="Z10" s="216"/>
      <c r="AA10" s="216"/>
      <c r="AB10" s="217"/>
      <c r="AP10" s="210"/>
      <c r="AQ10" s="210"/>
      <c r="AR10" s="210"/>
      <c r="AS10" s="218"/>
    </row>
    <row r="11" ht="6" customHeight="1" spans="1:49">
      <c r="A11" s="35"/>
      <c r="B11" s="35"/>
      <c r="G11" s="25"/>
      <c r="H11" s="25"/>
      <c r="I11" s="25"/>
      <c r="J11" s="38"/>
      <c r="K11" s="38"/>
      <c r="L11" s="210"/>
      <c r="M11" s="210"/>
      <c r="N11" s="210"/>
      <c r="O11" s="210"/>
      <c r="P11" s="211"/>
      <c r="Q11" s="212"/>
      <c r="R11" s="210"/>
      <c r="S11" s="210"/>
      <c r="T11" s="210"/>
      <c r="U11" s="210"/>
      <c r="V11" s="210"/>
      <c r="W11" s="213"/>
      <c r="X11" s="214"/>
      <c r="Y11" s="215"/>
      <c r="Z11" s="216"/>
      <c r="AA11" s="216"/>
      <c r="AB11" s="217"/>
      <c r="AP11" s="210"/>
      <c r="AQ11" s="210"/>
      <c r="AR11" s="210"/>
      <c r="AS11" s="218"/>
    </row>
    <row r="12" ht="12" customHeight="1" spans="1:49">
      <c r="A12" s="44"/>
      <c r="B12" s="44"/>
      <c r="G12" s="25"/>
      <c r="H12" s="219"/>
      <c r="I12" s="219" t="s">
        <v>6</v>
      </c>
      <c r="J12" s="38"/>
      <c r="K12" s="38"/>
      <c r="L12" s="220">
        <v>1</v>
      </c>
      <c r="M12" s="220">
        <v>5</v>
      </c>
      <c r="N12" s="221">
        <v>1</v>
      </c>
      <c r="O12" s="220">
        <v>5</v>
      </c>
      <c r="P12" s="222"/>
      <c r="Q12" s="223"/>
      <c r="R12" s="221">
        <v>10</v>
      </c>
      <c r="S12" s="220">
        <v>20</v>
      </c>
      <c r="T12" s="220">
        <v>3</v>
      </c>
      <c r="U12" s="221">
        <v>10</v>
      </c>
      <c r="V12" s="221">
        <v>2</v>
      </c>
      <c r="W12" s="224">
        <f>SUM(L12:V12)</f>
        <v>57</v>
      </c>
      <c r="X12" s="215"/>
      <c r="Y12" s="215"/>
      <c r="Z12" s="216"/>
      <c r="AA12" s="216"/>
      <c r="AB12" s="217"/>
      <c r="AP12" s="221">
        <v>2</v>
      </c>
      <c r="AQ12" s="221">
        <v>4</v>
      </c>
      <c r="AR12" s="221">
        <v>5</v>
      </c>
      <c r="AS12" s="218"/>
    </row>
    <row r="13" ht="12" customHeight="1" spans="1:49">
      <c r="A13" s="46"/>
      <c r="B13" s="46"/>
      <c r="G13" s="25"/>
      <c r="H13" s="45"/>
      <c r="I13" s="45" t="s">
        <v>7</v>
      </c>
      <c r="J13" s="38"/>
      <c r="K13" s="38"/>
      <c r="L13" s="220">
        <v>1</v>
      </c>
      <c r="M13" s="220">
        <v>5</v>
      </c>
      <c r="N13" s="221">
        <v>1</v>
      </c>
      <c r="O13" s="220">
        <v>5</v>
      </c>
      <c r="P13" s="222"/>
      <c r="Q13" s="223"/>
      <c r="R13" s="221">
        <v>10</v>
      </c>
      <c r="S13" s="220">
        <v>20</v>
      </c>
      <c r="T13" s="220">
        <v>3</v>
      </c>
      <c r="U13" s="221">
        <v>10</v>
      </c>
      <c r="V13" s="221">
        <v>2</v>
      </c>
      <c r="W13" s="224">
        <f>SUM(L13:V13)</f>
        <v>57</v>
      </c>
      <c r="X13" s="215"/>
      <c r="Y13" s="215"/>
      <c r="Z13" s="216"/>
      <c r="AA13" s="216"/>
      <c r="AB13" s="217"/>
      <c r="AP13" s="221">
        <v>2</v>
      </c>
      <c r="AQ13" s="221">
        <v>4</v>
      </c>
      <c r="AR13" s="221">
        <v>5</v>
      </c>
      <c r="AS13" s="218"/>
    </row>
    <row r="14" ht="12" customHeight="1" spans="1:49">
      <c r="A14" s="46"/>
      <c r="B14" s="46"/>
      <c r="G14" s="25"/>
      <c r="H14" s="45"/>
      <c r="I14" s="45" t="s">
        <v>8</v>
      </c>
      <c r="J14" s="38"/>
      <c r="K14" s="38"/>
      <c r="L14" s="220">
        <v>3</v>
      </c>
      <c r="M14" s="220">
        <v>10</v>
      </c>
      <c r="N14" s="221">
        <v>1</v>
      </c>
      <c r="O14" s="220">
        <v>10</v>
      </c>
      <c r="P14" s="222"/>
      <c r="Q14" s="223"/>
      <c r="R14" s="221">
        <v>10</v>
      </c>
      <c r="S14" s="220">
        <v>15</v>
      </c>
      <c r="T14" s="220">
        <v>10</v>
      </c>
      <c r="U14" s="221">
        <v>10</v>
      </c>
      <c r="V14" s="221">
        <v>2</v>
      </c>
      <c r="W14" s="224">
        <f>SUM(L14:V14)</f>
        <v>71</v>
      </c>
      <c r="X14" s="215"/>
      <c r="Y14" s="215"/>
      <c r="Z14" s="216"/>
      <c r="AA14" s="216"/>
      <c r="AB14" s="217"/>
      <c r="AP14" s="221">
        <v>2</v>
      </c>
      <c r="AQ14" s="221">
        <v>2</v>
      </c>
      <c r="AR14" s="221">
        <v>5</v>
      </c>
      <c r="AS14" s="218"/>
    </row>
    <row r="15" s="193" customFormat="1" ht="21.75" customHeight="1" spans="1:49">
      <c r="A15" s="46"/>
      <c r="B15" s="46"/>
      <c r="C15" s="24"/>
      <c r="D15" s="24"/>
      <c r="E15" s="24"/>
      <c r="F15" s="24"/>
      <c r="G15" s="25"/>
      <c r="H15" s="45"/>
      <c r="I15" s="45" t="s">
        <v>9</v>
      </c>
      <c r="J15" s="225"/>
      <c r="K15" s="225"/>
      <c r="L15" s="220">
        <v>3</v>
      </c>
      <c r="M15" s="220">
        <v>5</v>
      </c>
      <c r="N15" s="221">
        <v>1</v>
      </c>
      <c r="O15" s="220">
        <v>3</v>
      </c>
      <c r="P15" s="222"/>
      <c r="Q15" s="223"/>
      <c r="R15" s="221">
        <v>5</v>
      </c>
      <c r="S15" s="220">
        <v>7</v>
      </c>
      <c r="T15" s="220">
        <v>2</v>
      </c>
      <c r="U15" s="221">
        <v>5</v>
      </c>
      <c r="V15" s="221">
        <v>2</v>
      </c>
      <c r="W15" s="224">
        <f>SUM(L15:V15)</f>
        <v>33</v>
      </c>
      <c r="X15" s="221"/>
      <c r="Y15" s="221"/>
      <c r="Z15" s="226"/>
      <c r="AA15" s="226"/>
      <c r="AB15" s="227"/>
      <c r="AP15" s="221">
        <v>2</v>
      </c>
      <c r="AQ15" s="221">
        <v>2</v>
      </c>
      <c r="AR15" s="221">
        <v>5</v>
      </c>
      <c r="AS15" s="228"/>
      <c r="AW15" s="229"/>
    </row>
    <row r="16" s="194" customFormat="1" ht="42" customHeight="1" spans="1:49">
      <c r="A16" s="230" t="s">
        <v>11</v>
      </c>
      <c r="B16" s="230" t="s">
        <v>4755</v>
      </c>
      <c r="C16" s="231" t="s">
        <v>12</v>
      </c>
      <c r="D16" s="231" t="s">
        <v>13</v>
      </c>
      <c r="E16" s="231" t="s">
        <v>4756</v>
      </c>
      <c r="F16" s="231" t="s">
        <v>17</v>
      </c>
      <c r="G16" s="231" t="s">
        <v>18</v>
      </c>
      <c r="H16" s="230" t="s">
        <v>19</v>
      </c>
      <c r="I16" s="230" t="s">
        <v>20</v>
      </c>
      <c r="J16" s="230"/>
      <c r="K16" s="231" t="s">
        <v>21</v>
      </c>
      <c r="L16" s="232" t="s">
        <v>4757</v>
      </c>
      <c r="M16" s="232" t="s">
        <v>23</v>
      </c>
      <c r="N16" s="232" t="s">
        <v>24</v>
      </c>
      <c r="O16" s="232" t="s">
        <v>25</v>
      </c>
      <c r="P16" s="233" t="s">
        <v>4758</v>
      </c>
      <c r="Q16" s="234" t="s">
        <v>26</v>
      </c>
      <c r="R16" s="232" t="s">
        <v>27</v>
      </c>
      <c r="S16" s="232" t="s">
        <v>28</v>
      </c>
      <c r="T16" s="232" t="s">
        <v>29</v>
      </c>
      <c r="U16" s="232" t="s">
        <v>31</v>
      </c>
      <c r="V16" s="232" t="s">
        <v>32</v>
      </c>
      <c r="W16" s="235" t="s">
        <v>44</v>
      </c>
      <c r="X16" s="232" t="s">
        <v>4759</v>
      </c>
      <c r="Y16" s="236" t="s">
        <v>4760</v>
      </c>
      <c r="Z16" s="236" t="s">
        <v>47</v>
      </c>
      <c r="AA16" s="236" t="s">
        <v>4761</v>
      </c>
      <c r="AB16" s="236" t="s">
        <v>4762</v>
      </c>
      <c r="AC16" s="237">
        <v>40329</v>
      </c>
      <c r="AD16" s="238">
        <v>40359</v>
      </c>
      <c r="AE16" s="238">
        <v>40390</v>
      </c>
      <c r="AF16" s="238">
        <v>40421</v>
      </c>
      <c r="AG16" s="238">
        <v>40451</v>
      </c>
      <c r="AH16" s="238">
        <v>40482</v>
      </c>
      <c r="AI16" s="238">
        <v>40512</v>
      </c>
      <c r="AJ16" s="238">
        <v>40543</v>
      </c>
      <c r="AK16" s="238">
        <v>40574</v>
      </c>
      <c r="AL16" s="238">
        <v>40602</v>
      </c>
      <c r="AM16" s="238">
        <f ca="1">TODAY()</f>
        <v>46302</v>
      </c>
      <c r="AP16" s="236" t="s">
        <v>4763</v>
      </c>
      <c r="AQ16" s="236" t="s">
        <v>4764</v>
      </c>
      <c r="AR16" s="236" t="s">
        <v>4765</v>
      </c>
      <c r="AS16" s="239" t="s">
        <v>4766</v>
      </c>
      <c r="AW16" s="240"/>
    </row>
    <row r="17" s="195" customFormat="1" ht="18" customHeight="1" spans="1:49">
      <c r="A17" s="241">
        <v>1</v>
      </c>
      <c r="B17" s="242"/>
      <c r="C17" s="243" t="s">
        <v>4767</v>
      </c>
      <c r="D17" s="243" t="s">
        <v>4768</v>
      </c>
      <c r="E17" s="244"/>
      <c r="F17" s="245" t="s">
        <v>58</v>
      </c>
      <c r="G17" s="243" t="str">
        <f>IF(_xlfn.XLOOKUP(C17,'[36]Before Award'!D:D,'[36]Before Award'!AV:AV,"N/A")="N/A","N","Y")</f>
        <v>N</v>
      </c>
      <c r="H17" s="244"/>
      <c r="I17" s="243" t="s">
        <v>6</v>
      </c>
      <c r="J17" s="246" t="s">
        <v>4769</v>
      </c>
      <c r="K17" s="247">
        <f>WORKDAY(L17,-INDEX(L$12:L$15,MATCH($I17,$I$12:$I$15,0)))</f>
        <v>46140</v>
      </c>
      <c r="L17" s="247">
        <f>WORKDAY(M17,-INDEX(M$12:M$15,MATCH($I17,$I$12:$I$15,0)))</f>
        <v>46141</v>
      </c>
      <c r="M17" s="247">
        <f>WORKDAY(N17,-INDEX(N$12:N$15,MATCH($I17,$I$12:$I$15,0)))</f>
        <v>46148</v>
      </c>
      <c r="N17" s="247">
        <f>WORKDAY(O17,-INDEX(O$12:O$15,MATCH($I17,$I$12:$I$15,0)))</f>
        <v>46149</v>
      </c>
      <c r="O17" s="247">
        <f>WORKDAY(R17,-INDEX(R$12:R$15,MATCH($I17,$I$12:$I$15,0)))</f>
        <v>46156</v>
      </c>
      <c r="P17" s="248">
        <f>U17-L17</f>
        <v>76</v>
      </c>
      <c r="Q17" s="249"/>
      <c r="R17" s="247">
        <f>WORKDAY(S17,-INDEX(S$12:S$15,MATCH($I17,$I$12:$I$15,0)))</f>
        <v>46170</v>
      </c>
      <c r="S17" s="247">
        <f>WORKDAY(T17,-INDEX(T$12:T$15,MATCH($I17,$I$12:$I$15,0)))</f>
        <v>46198</v>
      </c>
      <c r="T17" s="247">
        <f>WORKDAY(U17,-INDEX(U$12:U$15,MATCH($I17,$I$12:$I$15,0)))</f>
        <v>46203</v>
      </c>
      <c r="U17" s="247">
        <f>X17-Y17</f>
        <v>46217</v>
      </c>
      <c r="V17" s="247">
        <f>WORKDAY(U17,INDEX(V$12:V$15,MATCH($I17,$I$12:$I$15,0)))</f>
        <v>46219</v>
      </c>
      <c r="W17" s="250">
        <f>Y17/7</f>
        <v>50</v>
      </c>
      <c r="X17" s="247">
        <f>Z17</f>
        <v>46567</v>
      </c>
      <c r="Y17" s="251">
        <v>350</v>
      </c>
      <c r="Z17" s="252">
        <v>46567</v>
      </c>
      <c r="AA17" s="253">
        <v>46567</v>
      </c>
      <c r="AB17" s="254">
        <f>Z17-X18</f>
        <v>0</v>
      </c>
      <c r="AC17" s="255">
        <f>IF(ISERROR(LOOKUP(AC$16,$L17:$X17,#REF!)),0,(LOOKUP(AC$16,$L17:$X17,#REF!)))</f>
        <v>0</v>
      </c>
      <c r="AD17" s="256">
        <f>IF(ISERROR(LOOKUP(AD$16,$L17:$X17,#REF!)),0,(LOOKUP(AD$16,$L17:$X17,#REF!)))</f>
        <v>0</v>
      </c>
      <c r="AE17" s="256">
        <f>IF(ISERROR(LOOKUP(AE$16,$L17:$X17,#REF!)),0,(LOOKUP(AE$16,$L17:$X17,#REF!)))</f>
        <v>0</v>
      </c>
      <c r="AF17" s="256">
        <f>IF(ISERROR(LOOKUP(AF$16,$L17:$X17,#REF!)),0,(LOOKUP(AF$16,$L17:$X17,#REF!)))</f>
        <v>0</v>
      </c>
      <c r="AG17" s="256">
        <f>IF(ISERROR(LOOKUP(AG$16,$L17:$X17,#REF!)),0,(LOOKUP(AG$16,$L17:$X17,#REF!)))</f>
        <v>0</v>
      </c>
      <c r="AH17" s="256">
        <f>IF(ISERROR(LOOKUP(AH$16,$L17:$X17,#REF!)),0,(LOOKUP(AH$16,$L17:$X17,#REF!)))</f>
        <v>0</v>
      </c>
      <c r="AI17" s="256">
        <f>IF(ISERROR(LOOKUP(AI$16,$L17:$X17,#REF!)),0,(LOOKUP(AI$16,$L17:$X17,#REF!)))</f>
        <v>0</v>
      </c>
      <c r="AJ17" s="256">
        <f>IF(ISERROR(LOOKUP(AJ$16,$L17:$X17,#REF!)),0,(LOOKUP(AJ$16,$L17:$X17,#REF!)))</f>
        <v>0</v>
      </c>
      <c r="AK17" s="256">
        <f>IF(ISERROR(LOOKUP(AK$16,$L17:$X17,#REF!)),0,(LOOKUP(AK$16,$L17:$X17,#REF!)))</f>
        <v>0</v>
      </c>
      <c r="AL17" s="256">
        <f>IF(ISERROR(LOOKUP(AL$16,$L17:$X17,#REF!)),0,(LOOKUP(AL$16,$L17:$X17,#REF!)))</f>
        <v>0</v>
      </c>
      <c r="AM17" s="256">
        <f ca="1">IF(ISERROR(LOOKUP(AM$16,$L17:$X17,#REF!)),0,(LOOKUP(AM$16,$L17:$X17,#REF!)))</f>
        <v>0</v>
      </c>
      <c r="AO17" s="195">
        <f t="shared" ref="AO17:AO71" si="0">U17-T17</f>
        <v>14</v>
      </c>
      <c r="AP17" s="247" t="e">
        <f>WORKDAY(AQ17,-INDEX(AQ$12:AQ$15,MATCH($I17,$I$12:$I$15,0)),$AW$17:$AW$148)</f>
        <v>#REF!</v>
      </c>
      <c r="AQ17" s="247" t="e">
        <f>WORKDAY(U17,-INDEX(U$12:U$15,MATCH($I17,$I$12:$I$15,0)),$AW$17:$AW$148)</f>
        <v>#REF!</v>
      </c>
      <c r="AR17" s="247" t="e">
        <f>WORKDAY(U17,-INDEX(U$12:U$15,MATCH($I17,$I$12:$I$15,0)),$AW$17:$AW$148)</f>
        <v>#REF!</v>
      </c>
      <c r="AS17" s="257">
        <v>14</v>
      </c>
      <c r="AW17" s="258" t="e" cm="1">
        <f t="array" ref="AW17:AW95">'[36]Equipment List and MR List (3)'!$A$2:$A$80</f>
        <v>#REF!</v>
      </c>
    </row>
    <row r="18" s="195" customFormat="1" ht="18" customHeight="1" spans="1:49">
      <c r="A18" s="241"/>
      <c r="B18" s="259"/>
      <c r="C18" s="243" t="str">
        <f>C17</f>
        <v>RFQ-001</v>
      </c>
      <c r="D18" s="243" t="str">
        <f>D17</f>
        <v>Pedestal Crane</v>
      </c>
      <c r="E18" s="260"/>
      <c r="F18" s="261"/>
      <c r="G18" s="243"/>
      <c r="H18" s="260"/>
      <c r="I18" s="243" t="str">
        <f>I17</f>
        <v>LA</v>
      </c>
      <c r="J18" s="246" t="s">
        <v>64</v>
      </c>
      <c r="K18" s="247">
        <f>K17</f>
        <v>46140</v>
      </c>
      <c r="L18" s="247">
        <f>WORKDAY(IF(K19="",K18,K19),INDEX(L$12:L$15,MATCH($I17,$I$12:$I$15,0)))</f>
        <v>46141</v>
      </c>
      <c r="M18" s="247">
        <f>WORKDAY(IF(L19="",L18,L19),INDEX(M$12:M$15,MATCH($I17,$I$12:$I$15,0)))</f>
        <v>46148</v>
      </c>
      <c r="N18" s="247">
        <f>WORKDAY(IF(M19="",M18,M19),INDEX(N$12:N$15,MATCH($I17,$I$12:$I$15,0)))</f>
        <v>46149</v>
      </c>
      <c r="O18" s="247">
        <f>WORKDAY(IF(N19="",N18,N19),INDEX(O$12:O$15,MATCH($I17,$I$12:$I$15,0)))</f>
        <v>46156</v>
      </c>
      <c r="P18" s="248"/>
      <c r="Q18" s="249"/>
      <c r="R18" s="247">
        <f>WORKDAY(IF(O19="",O18,O19),INDEX(R$12:R$15,MATCH($I17,$I$12:$I$15,0)))</f>
        <v>46170</v>
      </c>
      <c r="S18" s="247">
        <f>WORKDAY(IF(R19="",R18,R19),INDEX(S$12:S$15,MATCH($I17,$I$12:$I$15,0)))</f>
        <v>46198</v>
      </c>
      <c r="T18" s="247">
        <f>WORKDAY(IF(S19="",S18,S19),INDEX(T$12:T$15,MATCH($I17,$I$12:$I$15,0)))</f>
        <v>46203</v>
      </c>
      <c r="U18" s="247">
        <f>WORKDAY(IF(T19="",T18,T19),INDEX(U$12:U$15,MATCH($I17,$I$12:$I$15,0)))</f>
        <v>46217</v>
      </c>
      <c r="V18" s="247">
        <f>WORKDAY(IF(U19="",U18,U19),INDEX(V$12:V$15,MATCH($I17,$I$12:$I$15,0)))</f>
        <v>46219</v>
      </c>
      <c r="W18" s="250"/>
      <c r="X18" s="247">
        <f>U18+Y17</f>
        <v>46567</v>
      </c>
      <c r="Y18" s="251"/>
      <c r="Z18" s="252"/>
      <c r="AA18" s="253"/>
      <c r="AB18" s="254"/>
      <c r="AC18" s="255">
        <f>IF(ISERROR(LOOKUP(AC$16,$L18:$X18,#REF!)),0,(LOOKUP(AC$16,$L18:$X18,#REF!)))</f>
        <v>0</v>
      </c>
      <c r="AD18" s="256">
        <f>IF(ISERROR(LOOKUP(AD$16,$L18:$X18,#REF!)),0,(LOOKUP(AD$16,$L18:$X18,#REF!)))</f>
        <v>0</v>
      </c>
      <c r="AE18" s="256">
        <f>IF(ISERROR(LOOKUP(AE$16,$L18:$X18,#REF!)),0,(LOOKUP(AE$16,$L18:$X18,#REF!)))</f>
        <v>0</v>
      </c>
      <c r="AF18" s="256">
        <f>IF(ISERROR(LOOKUP(AF$16,$L18:$X18,#REF!)),0,(LOOKUP(AF$16,$L18:$X18,#REF!)))</f>
        <v>0</v>
      </c>
      <c r="AG18" s="256">
        <f>IF(ISERROR(LOOKUP(AG$16,$L18:$X18,#REF!)),0,(LOOKUP(AG$16,$L18:$X18,#REF!)))</f>
        <v>0</v>
      </c>
      <c r="AH18" s="256">
        <f>IF(ISERROR(LOOKUP(AH$16,$L18:$X18,#REF!)),0,(LOOKUP(AH$16,$L18:$X18,#REF!)))</f>
        <v>0</v>
      </c>
      <c r="AI18" s="256">
        <f>IF(ISERROR(LOOKUP(AI$16,$L18:$X18,#REF!)),0,(LOOKUP(AI$16,$L18:$X18,#REF!)))</f>
        <v>0</v>
      </c>
      <c r="AJ18" s="256">
        <f>IF(ISERROR(LOOKUP(AJ$16,$L18:$X18,#REF!)),0,(LOOKUP(AJ$16,$L18:$X18,#REF!)))</f>
        <v>0</v>
      </c>
      <c r="AK18" s="256">
        <f>IF(ISERROR(LOOKUP(AK$16,$L18:$X18,#REF!)),0,(LOOKUP(AK$16,$L18:$X18,#REF!)))</f>
        <v>0</v>
      </c>
      <c r="AL18" s="256">
        <f>IF(ISERROR(LOOKUP(AL$16,$L18:$X18,#REF!)),0,(LOOKUP(AL$16,$L18:$X18,#REF!)))</f>
        <v>0</v>
      </c>
      <c r="AM18" s="256">
        <f ca="1">IF(ISERROR(LOOKUP(AM$16,$L18:$X18,#REF!)),0,(LOOKUP(AM$16,$L18:$X18,#REF!)))</f>
        <v>0</v>
      </c>
      <c r="AO18" s="195">
        <f t="shared" si="0"/>
        <v>14</v>
      </c>
      <c r="AP18" s="247" t="e">
        <f>WORKDAY(IF(T19="",T18,T19),INDEX(AP$12:AP$15,MATCH($I17,$I$12:$I$15,0)),$AW$17:$AW$148)</f>
        <v>#REF!</v>
      </c>
      <c r="AQ18" s="247" t="e">
        <f>WORKDAY(IF(AP19="",AP18,AP19),INDEX(AQ$12:AQ$15,MATCH($I17,$I$12:$I$15,0)),$AW$17:$AW$148)</f>
        <v>#REF!</v>
      </c>
      <c r="AR18" s="247" t="e">
        <f>WORKDAY(IF(AQ19="",AQ18,AQ19),INDEX(AR$12:AR$15,MATCH($I17,$I$12:$I$15,0)),$AW$17:$AW$148)</f>
        <v>#REF!</v>
      </c>
      <c r="AS18" s="257"/>
      <c r="AW18" s="258" t="e">
        <v>#REF!</v>
      </c>
    </row>
    <row r="19" s="195" customFormat="1" ht="18" customHeight="1" spans="1:49">
      <c r="A19" s="241"/>
      <c r="B19" s="262"/>
      <c r="C19" s="243" t="str">
        <f>C17</f>
        <v>RFQ-001</v>
      </c>
      <c r="D19" s="243" t="str">
        <f>D17</f>
        <v>Pedestal Crane</v>
      </c>
      <c r="E19" s="263"/>
      <c r="F19" s="264"/>
      <c r="G19" s="243"/>
      <c r="H19" s="263"/>
      <c r="I19" s="243" t="str">
        <f>I17</f>
        <v>LA</v>
      </c>
      <c r="J19" s="246" t="s">
        <v>66</v>
      </c>
      <c r="K19" s="243"/>
      <c r="L19" s="243"/>
      <c r="M19" s="243"/>
      <c r="N19" s="243"/>
      <c r="O19" s="243"/>
      <c r="P19" s="265"/>
      <c r="Q19" s="266"/>
      <c r="R19" s="243"/>
      <c r="S19" s="243"/>
      <c r="T19" s="243"/>
      <c r="U19" s="243"/>
      <c r="V19" s="243"/>
      <c r="W19" s="267"/>
      <c r="X19" s="243"/>
      <c r="Y19" s="251"/>
      <c r="Z19" s="252"/>
      <c r="AA19" s="253"/>
      <c r="AB19" s="254"/>
      <c r="AC19" s="268">
        <f>IF(ISERROR(LOOKUP(AC$16,$L19:$X19,#REF!)),0,(LOOKUP(AC$16,$L19:$X19,#REF!)))</f>
        <v>0</v>
      </c>
      <c r="AD19" s="269">
        <f>IF(ISERROR(LOOKUP(AD$16,$L19:$X19,#REF!)),0,(LOOKUP(AD$16,$L19:$X19,#REF!)))</f>
        <v>0</v>
      </c>
      <c r="AE19" s="269">
        <f>IF(ISERROR(LOOKUP(AE$16,$L19:$X19,#REF!)),0,(LOOKUP(AE$16,$L19:$X19,#REF!)))</f>
        <v>0</v>
      </c>
      <c r="AF19" s="269">
        <f>IF(ISERROR(LOOKUP(AF$16,$L19:$X19,#REF!)),0,(LOOKUP(AF$16,$L19:$X19,#REF!)))</f>
        <v>0</v>
      </c>
      <c r="AG19" s="269">
        <f>IF(ISERROR(LOOKUP(AG$16,$L19:$X19,#REF!)),0,(LOOKUP(AG$16,$L19:$X19,#REF!)))</f>
        <v>0</v>
      </c>
      <c r="AH19" s="269">
        <f>IF(ISERROR(LOOKUP(AH$16,$L19:$X19,#REF!)),0,(LOOKUP(AH$16,$L19:$X19,#REF!)))</f>
        <v>0</v>
      </c>
      <c r="AI19" s="269">
        <f>IF(ISERROR(LOOKUP(AI$16,$L19:$X19,#REF!)),0,(LOOKUP(AI$16,$L19:$X19,#REF!)))</f>
        <v>0</v>
      </c>
      <c r="AJ19" s="269">
        <f>IF(ISERROR(LOOKUP(AJ$16,$L19:$X19,#REF!)),0,(LOOKUP(AJ$16,$L19:$X19,#REF!)))</f>
        <v>0</v>
      </c>
      <c r="AK19" s="269">
        <f>IF(ISERROR(LOOKUP(AK$16,$L19:$X19,#REF!)),0,(LOOKUP(AK$16,$L19:$X19,#REF!)))</f>
        <v>0</v>
      </c>
      <c r="AL19" s="269">
        <f>IF(ISERROR(LOOKUP(AL$16,$L19:$X19,#REF!)),0,(LOOKUP(AL$16,$L19:$X19,#REF!)))</f>
        <v>0</v>
      </c>
      <c r="AM19" s="269">
        <f ca="1">IF(ISERROR(LOOKUP(AM$16,$L19:$X19,#REF!)),0,(LOOKUP(AM$16,$L19:$X19,#REF!)))</f>
        <v>0</v>
      </c>
      <c r="AO19" s="195">
        <f t="shared" si="0"/>
        <v>0</v>
      </c>
      <c r="AP19" s="243"/>
      <c r="AQ19" s="243"/>
      <c r="AR19" s="243"/>
      <c r="AS19" s="257"/>
      <c r="AW19" s="258" t="e">
        <v>#REF!</v>
      </c>
    </row>
    <row r="20" s="196" customFormat="1" ht="18" customHeight="1" spans="1:49">
      <c r="A20" s="270">
        <f>A17+1</f>
        <v>2</v>
      </c>
      <c r="B20" s="242"/>
      <c r="C20" s="271" t="s">
        <v>4770</v>
      </c>
      <c r="D20" s="271" t="s">
        <v>70</v>
      </c>
      <c r="E20" s="244"/>
      <c r="F20" s="272" t="s">
        <v>58</v>
      </c>
      <c r="G20" s="271" t="s">
        <v>72</v>
      </c>
      <c r="H20" s="273"/>
      <c r="I20" s="45" t="s">
        <v>8</v>
      </c>
      <c r="J20" s="274" t="s">
        <v>4769</v>
      </c>
      <c r="K20" s="247">
        <f>WORKDAY(L20,-INDEX(L$12:L$15,MATCH($I20,$I$12:$I$15,0)))</f>
        <v>46296</v>
      </c>
      <c r="L20" s="247">
        <f>WORKDAY(M20,-INDEX(M$12:M$15,MATCH($I20,$I$12:$I$15,0)))</f>
        <v>46301</v>
      </c>
      <c r="M20" s="247">
        <f>WORKDAY(N20,-INDEX(N$12:N$15,MATCH($I20,$I$12:$I$15,0)))</f>
        <v>46315</v>
      </c>
      <c r="N20" s="247">
        <f>WORKDAY(O20,-INDEX(O$12:O$15,MATCH($I20,$I$12:$I$15,0)))</f>
        <v>46316</v>
      </c>
      <c r="O20" s="247">
        <f>WORKDAY(R20,-INDEX(R$12:R$15,MATCH($I20,$I$12:$I$15,0)))</f>
        <v>46330</v>
      </c>
      <c r="P20" s="248">
        <f>U20-L20</f>
        <v>92</v>
      </c>
      <c r="Q20" s="249"/>
      <c r="R20" s="247">
        <f>WORKDAY(S20,-INDEX(S$12:S$15,MATCH($I20,$I$12:$I$15,0)))</f>
        <v>46344</v>
      </c>
      <c r="S20" s="247">
        <f>WORKDAY(T20,-INDEX(T$12:T$15,MATCH($I20,$I$12:$I$15,0)))</f>
        <v>46365</v>
      </c>
      <c r="T20" s="247">
        <f>WORKDAY(U20,-INDEX(U$12:U$15,MATCH($I20,$I$12:$I$15,0)))</f>
        <v>46379</v>
      </c>
      <c r="U20" s="247">
        <f>X20-Y20</f>
        <v>46393</v>
      </c>
      <c r="V20" s="247">
        <f>WORKDAY(U20,INDEX(V$12:V$15,MATCH($I20,$I$12:$I$15,0)))</f>
        <v>46395</v>
      </c>
      <c r="W20" s="250">
        <f>Y20/7</f>
        <v>25</v>
      </c>
      <c r="X20" s="247">
        <f>Z20</f>
        <v>46568</v>
      </c>
      <c r="Y20" s="251">
        <v>175</v>
      </c>
      <c r="Z20" s="252">
        <v>46568</v>
      </c>
      <c r="AA20" s="253">
        <v>46568</v>
      </c>
      <c r="AB20" s="254">
        <f>Z20-X21</f>
        <v>0</v>
      </c>
      <c r="AC20" s="275">
        <f>IF(ISERROR(LOOKUP(AC$16,$L20:$X20,#REF!)),0,(LOOKUP(AC$16,$L20:$X20,#REF!)))</f>
        <v>0</v>
      </c>
      <c r="AD20" s="276">
        <f>IF(ISERROR(LOOKUP(AD$16,$L20:$X20,#REF!)),0,(LOOKUP(AD$16,$L20:$X20,#REF!)))</f>
        <v>0</v>
      </c>
      <c r="AE20" s="276">
        <f>IF(ISERROR(LOOKUP(AE$16,$L20:$X20,#REF!)),0,(LOOKUP(AE$16,$L20:$X20,#REF!)))</f>
        <v>0</v>
      </c>
      <c r="AF20" s="276">
        <f>IF(ISERROR(LOOKUP(AF$16,$L20:$X20,#REF!)),0,(LOOKUP(AF$16,$L20:$X20,#REF!)))</f>
        <v>0</v>
      </c>
      <c r="AG20" s="276">
        <f>IF(ISERROR(LOOKUP(AG$16,$L20:$X20,#REF!)),0,(LOOKUP(AG$16,$L20:$X20,#REF!)))</f>
        <v>0</v>
      </c>
      <c r="AH20" s="276">
        <f>IF(ISERROR(LOOKUP(AH$16,$L20:$X20,#REF!)),0,(LOOKUP(AH$16,$L20:$X20,#REF!)))</f>
        <v>0</v>
      </c>
      <c r="AI20" s="276">
        <f>IF(ISERROR(LOOKUP(AI$16,$L20:$X20,#REF!)),0,(LOOKUP(AI$16,$L20:$X20,#REF!)))</f>
        <v>0</v>
      </c>
      <c r="AJ20" s="276">
        <f>IF(ISERROR(LOOKUP(AJ$16,$L20:$X20,#REF!)),0,(LOOKUP(AJ$16,$L20:$X20,#REF!)))</f>
        <v>0</v>
      </c>
      <c r="AK20" s="276">
        <f>IF(ISERROR(LOOKUP(AK$16,$L20:$X20,#REF!)),0,(LOOKUP(AK$16,$L20:$X20,#REF!)))</f>
        <v>0</v>
      </c>
      <c r="AL20" s="276">
        <f>IF(ISERROR(LOOKUP(AL$16,$L20:$X20,#REF!)),0,(LOOKUP(AL$16,$L20:$X20,#REF!)))</f>
        <v>0</v>
      </c>
      <c r="AM20" s="276">
        <f ca="1">IF(ISERROR(LOOKUP(AM$16,$L20:$X20,#REF!)),0,(LOOKUP(AM$16,$L20:$X20,#REF!)))</f>
        <v>0</v>
      </c>
      <c r="AO20" s="195">
        <f t="shared" si="0"/>
        <v>14</v>
      </c>
      <c r="AP20" s="247" t="e">
        <f>WORKDAY(AQ20,-INDEX(AQ$12:AQ$15,MATCH($I20,$I$12:$I$15,0)),$AW$17:$AW$148)</f>
        <v>#REF!</v>
      </c>
      <c r="AQ20" s="247" t="e">
        <f>WORKDAY(U20,-INDEX(U$12:U$15,MATCH($I20,$I$12:$I$15,0)),$AW$17:$AW$148)</f>
        <v>#REF!</v>
      </c>
      <c r="AR20" s="247" t="e">
        <f>WORKDAY(U20,-INDEX(U$12:U$15,MATCH($I20,$I$12:$I$15,0)),$AW$17:$AW$148)</f>
        <v>#REF!</v>
      </c>
      <c r="AS20" s="257">
        <v>14</v>
      </c>
      <c r="AW20" s="277" t="e">
        <v>#REF!</v>
      </c>
    </row>
    <row r="21" s="196" customFormat="1" ht="18" customHeight="1" spans="1:49">
      <c r="A21" s="270"/>
      <c r="B21" s="259"/>
      <c r="C21" s="271" t="str">
        <f>C20</f>
        <v>RFQ-002</v>
      </c>
      <c r="D21" s="271" t="str">
        <f>D20</f>
        <v>Material Handling Equipment</v>
      </c>
      <c r="E21" s="260"/>
      <c r="F21" s="278"/>
      <c r="G21" s="271" t="str">
        <f>G20</f>
        <v>N</v>
      </c>
      <c r="H21" s="279"/>
      <c r="I21" s="271" t="str">
        <f>I20</f>
        <v>LC</v>
      </c>
      <c r="J21" s="274" t="s">
        <v>64</v>
      </c>
      <c r="K21" s="247">
        <f>K20</f>
        <v>46296</v>
      </c>
      <c r="L21" s="247">
        <f>WORKDAY(IF(K22="",K21,K22),INDEX(L$12:L$15,MATCH($I20,$I$12:$I$15,0)))</f>
        <v>46301</v>
      </c>
      <c r="M21" s="247">
        <f>WORKDAY(IF(L22="",L21,L22),INDEX(M$12:M$15,MATCH($I20,$I$12:$I$15,0)))</f>
        <v>46315</v>
      </c>
      <c r="N21" s="247">
        <f>WORKDAY(IF(M22="",M21,M22),INDEX(N$12:N$15,MATCH($I20,$I$12:$I$15,0)))</f>
        <v>46316</v>
      </c>
      <c r="O21" s="247">
        <f>WORKDAY(IF(N22="",N21,N22),INDEX(O$12:O$15,MATCH($I20,$I$12:$I$15,0)))</f>
        <v>46330</v>
      </c>
      <c r="P21" s="248"/>
      <c r="Q21" s="249"/>
      <c r="R21" s="247">
        <f>WORKDAY(IF(O22="",O21,O22),INDEX(R$12:R$15,MATCH($I20,$I$12:$I$15,0)))</f>
        <v>46344</v>
      </c>
      <c r="S21" s="247">
        <f>WORKDAY(IF(R22="",R21,R22),INDEX(S$12:S$15,MATCH($I20,$I$12:$I$15,0)))</f>
        <v>46365</v>
      </c>
      <c r="T21" s="247">
        <f>WORKDAY(IF(S22="",S21,S22),INDEX(T$12:T$15,MATCH($I20,$I$12:$I$15,0)))</f>
        <v>46379</v>
      </c>
      <c r="U21" s="247">
        <f>WORKDAY(IF(T22="",T21,T22),INDEX(U$12:U$15,MATCH($I20,$I$12:$I$15,0)))</f>
        <v>46393</v>
      </c>
      <c r="V21" s="247">
        <f>WORKDAY(IF(U22="",U21,U22),INDEX(V$12:V$15,MATCH($I20,$I$12:$I$15,0)))</f>
        <v>46395</v>
      </c>
      <c r="W21" s="250"/>
      <c r="X21" s="247">
        <f>U21+Y20</f>
        <v>46568</v>
      </c>
      <c r="Y21" s="251"/>
      <c r="Z21" s="252"/>
      <c r="AA21" s="253"/>
      <c r="AB21" s="254"/>
      <c r="AC21" s="275">
        <f>IF(ISERROR(LOOKUP(AC$16,$L21:$X21,#REF!)),0,(LOOKUP(AC$16,$L21:$X21,#REF!)))</f>
        <v>0</v>
      </c>
      <c r="AD21" s="276">
        <f>IF(ISERROR(LOOKUP(AD$16,$L21:$X21,#REF!)),0,(LOOKUP(AD$16,$L21:$X21,#REF!)))</f>
        <v>0</v>
      </c>
      <c r="AE21" s="276">
        <f>IF(ISERROR(LOOKUP(AE$16,$L21:$X21,#REF!)),0,(LOOKUP(AE$16,$L21:$X21,#REF!)))</f>
        <v>0</v>
      </c>
      <c r="AF21" s="276">
        <f>IF(ISERROR(LOOKUP(AF$16,$L21:$X21,#REF!)),0,(LOOKUP(AF$16,$L21:$X21,#REF!)))</f>
        <v>0</v>
      </c>
      <c r="AG21" s="276">
        <f>IF(ISERROR(LOOKUP(AG$16,$L21:$X21,#REF!)),0,(LOOKUP(AG$16,$L21:$X21,#REF!)))</f>
        <v>0</v>
      </c>
      <c r="AH21" s="276">
        <f>IF(ISERROR(LOOKUP(AH$16,$L21:$X21,#REF!)),0,(LOOKUP(AH$16,$L21:$X21,#REF!)))</f>
        <v>0</v>
      </c>
      <c r="AI21" s="276">
        <f>IF(ISERROR(LOOKUP(AI$16,$L21:$X21,#REF!)),0,(LOOKUP(AI$16,$L21:$X21,#REF!)))</f>
        <v>0</v>
      </c>
      <c r="AJ21" s="276">
        <f>IF(ISERROR(LOOKUP(AJ$16,$L21:$X21,#REF!)),0,(LOOKUP(AJ$16,$L21:$X21,#REF!)))</f>
        <v>0</v>
      </c>
      <c r="AK21" s="276">
        <f>IF(ISERROR(LOOKUP(AK$16,$L21:$X21,#REF!)),0,(LOOKUP(AK$16,$L21:$X21,#REF!)))</f>
        <v>0</v>
      </c>
      <c r="AL21" s="276">
        <f>IF(ISERROR(LOOKUP(AL$16,$L21:$X21,#REF!)),0,(LOOKUP(AL$16,$L21:$X21,#REF!)))</f>
        <v>0</v>
      </c>
      <c r="AM21" s="276">
        <f ca="1">IF(ISERROR(LOOKUP(AM$16,$L21:$X21,#REF!)),0,(LOOKUP(AM$16,$L21:$X21,#REF!)))</f>
        <v>0</v>
      </c>
      <c r="AO21" s="195">
        <f t="shared" si="0"/>
        <v>14</v>
      </c>
      <c r="AP21" s="247" t="e">
        <f>WORKDAY(IF(T22="",T21,T22),INDEX(AP$12:AP$15,MATCH($I20,$I$12:$I$15,0)),$AW$17:$AW$148)</f>
        <v>#REF!</v>
      </c>
      <c r="AQ21" s="247" t="e">
        <f>WORKDAY(IF(AP22="",AP21,AP22),INDEX(AQ$12:AQ$15,MATCH($I20,$I$12:$I$15,0)),$AW$17:$AW$148)</f>
        <v>#REF!</v>
      </c>
      <c r="AR21" s="247" t="e">
        <f>WORKDAY(IF(AQ22="",AQ21,AQ22),INDEX(AR$12:AR$15,MATCH($I20,$I$12:$I$15,0)),$AW$17:$AW$148)</f>
        <v>#REF!</v>
      </c>
      <c r="AS21" s="257"/>
      <c r="AW21" s="277" t="e">
        <v>#REF!</v>
      </c>
    </row>
    <row r="22" s="196" customFormat="1" ht="18" customHeight="1" spans="1:49">
      <c r="A22" s="270"/>
      <c r="B22" s="262"/>
      <c r="C22" s="271" t="str">
        <f>C20</f>
        <v>RFQ-002</v>
      </c>
      <c r="D22" s="271" t="str">
        <f>D20</f>
        <v>Material Handling Equipment</v>
      </c>
      <c r="E22" s="263"/>
      <c r="F22" s="280"/>
      <c r="G22" s="271" t="str">
        <f>G20</f>
        <v>N</v>
      </c>
      <c r="H22" s="281"/>
      <c r="I22" s="271" t="str">
        <f>I20</f>
        <v>LC</v>
      </c>
      <c r="J22" s="274" t="s">
        <v>66</v>
      </c>
      <c r="K22" s="243"/>
      <c r="L22" s="243"/>
      <c r="M22" s="243"/>
      <c r="N22" s="243"/>
      <c r="O22" s="243"/>
      <c r="P22" s="265"/>
      <c r="Q22" s="266"/>
      <c r="R22" s="243"/>
      <c r="S22" s="243"/>
      <c r="T22" s="243"/>
      <c r="U22" s="243"/>
      <c r="V22" s="243"/>
      <c r="W22" s="267"/>
      <c r="X22" s="243"/>
      <c r="Y22" s="251"/>
      <c r="Z22" s="252"/>
      <c r="AA22" s="253"/>
      <c r="AB22" s="254"/>
      <c r="AC22" s="282">
        <f>IF(ISERROR(LOOKUP(AC$16,$L22:$X22,#REF!)),0,(LOOKUP(AC$16,$L22:$X22,#REF!)))</f>
        <v>0</v>
      </c>
      <c r="AD22" s="283">
        <f>IF(ISERROR(LOOKUP(AD$16,$L22:$X22,#REF!)),0,(LOOKUP(AD$16,$L22:$X22,#REF!)))</f>
        <v>0</v>
      </c>
      <c r="AE22" s="283">
        <f>IF(ISERROR(LOOKUP(AE$16,$L22:$X22,#REF!)),0,(LOOKUP(AE$16,$L22:$X22,#REF!)))</f>
        <v>0</v>
      </c>
      <c r="AF22" s="283">
        <f>IF(ISERROR(LOOKUP(AF$16,$L22:$X22,#REF!)),0,(LOOKUP(AF$16,$L22:$X22,#REF!)))</f>
        <v>0</v>
      </c>
      <c r="AG22" s="283">
        <f>IF(ISERROR(LOOKUP(AG$16,$L22:$X22,#REF!)),0,(LOOKUP(AG$16,$L22:$X22,#REF!)))</f>
        <v>0</v>
      </c>
      <c r="AH22" s="283">
        <f>IF(ISERROR(LOOKUP(AH$16,$L22:$X22,#REF!)),0,(LOOKUP(AH$16,$L22:$X22,#REF!)))</f>
        <v>0</v>
      </c>
      <c r="AI22" s="283">
        <f>IF(ISERROR(LOOKUP(AI$16,$L22:$X22,#REF!)),0,(LOOKUP(AI$16,$L22:$X22,#REF!)))</f>
        <v>0</v>
      </c>
      <c r="AJ22" s="283">
        <f>IF(ISERROR(LOOKUP(AJ$16,$L22:$X22,#REF!)),0,(LOOKUP(AJ$16,$L22:$X22,#REF!)))</f>
        <v>0</v>
      </c>
      <c r="AK22" s="283">
        <f>IF(ISERROR(LOOKUP(AK$16,$L22:$X22,#REF!)),0,(LOOKUP(AK$16,$L22:$X22,#REF!)))</f>
        <v>0</v>
      </c>
      <c r="AL22" s="283">
        <f>IF(ISERROR(LOOKUP(AL$16,$L22:$X22,#REF!)),0,(LOOKUP(AL$16,$L22:$X22,#REF!)))</f>
        <v>0</v>
      </c>
      <c r="AM22" s="283">
        <f ca="1">IF(ISERROR(LOOKUP(AM$16,$L22:$X22,#REF!)),0,(LOOKUP(AM$16,$L22:$X22,#REF!)))</f>
        <v>0</v>
      </c>
      <c r="AO22" s="195">
        <f t="shared" si="0"/>
        <v>0</v>
      </c>
      <c r="AP22" s="243"/>
      <c r="AQ22" s="243"/>
      <c r="AR22" s="243"/>
      <c r="AS22" s="257"/>
      <c r="AW22" s="277" t="e">
        <v>#REF!</v>
      </c>
    </row>
    <row r="23" s="196" customFormat="1" ht="18" customHeight="1" spans="1:49">
      <c r="A23" s="270">
        <f>A20+1</f>
        <v>3</v>
      </c>
      <c r="B23" s="242"/>
      <c r="C23" s="284" t="s">
        <v>4771</v>
      </c>
      <c r="D23" s="284" t="s">
        <v>76</v>
      </c>
      <c r="E23" s="244"/>
      <c r="F23" s="285" t="s">
        <v>58</v>
      </c>
      <c r="G23" s="271" t="s">
        <v>63</v>
      </c>
      <c r="H23" s="273"/>
      <c r="I23" s="271" t="s">
        <v>6</v>
      </c>
      <c r="J23" s="274" t="s">
        <v>4769</v>
      </c>
      <c r="K23" s="247">
        <f>WORKDAY(L23,-INDEX(L$12:L$15,MATCH($I23,$I$12:$I$15,0)))</f>
        <v>46209</v>
      </c>
      <c r="L23" s="247">
        <f>WORKDAY(M23,-INDEX(M$12:M$15,MATCH($I23,$I$12:$I$15,0)))</f>
        <v>46210</v>
      </c>
      <c r="M23" s="247">
        <f>WORKDAY(N23,-INDEX(N$12:N$15,MATCH($I23,$I$12:$I$15,0)))</f>
        <v>46217</v>
      </c>
      <c r="N23" s="247">
        <f>WORKDAY(O23,-INDEX(O$12:O$15,MATCH($I23,$I$12:$I$15,0)))</f>
        <v>46218</v>
      </c>
      <c r="O23" s="247">
        <f>WORKDAY(R23,-INDEX(R$12:R$15,MATCH($I23,$I$12:$I$15,0)))</f>
        <v>46225</v>
      </c>
      <c r="P23" s="248">
        <f>U23-L23</f>
        <v>76</v>
      </c>
      <c r="Q23" s="249"/>
      <c r="R23" s="247">
        <f>WORKDAY(S23,-INDEX(S$12:S$15,MATCH($I23,$I$12:$I$15,0)))</f>
        <v>46239</v>
      </c>
      <c r="S23" s="247">
        <f>WORKDAY(T23,-INDEX(T$12:T$15,MATCH($I23,$I$12:$I$15,0)))</f>
        <v>46267</v>
      </c>
      <c r="T23" s="247">
        <f>WORKDAY(U23,-INDEX(U$12:U$15,MATCH($I23,$I$12:$I$15,0)))</f>
        <v>46272</v>
      </c>
      <c r="U23" s="247">
        <f>X23-Y23</f>
        <v>46286</v>
      </c>
      <c r="V23" s="247">
        <f>WORKDAY(U23,INDEX(V$12:V$15,MATCH($I23,$I$12:$I$15,0)))</f>
        <v>46288</v>
      </c>
      <c r="W23" s="250">
        <f>Y23/7</f>
        <v>25.7142857142857</v>
      </c>
      <c r="X23" s="247">
        <f>Z23</f>
        <v>46466</v>
      </c>
      <c r="Y23" s="251">
        <v>180</v>
      </c>
      <c r="Z23" s="253">
        <v>46466</v>
      </c>
      <c r="AA23" s="253">
        <v>46466</v>
      </c>
      <c r="AB23" s="254">
        <f>Z23-X24</f>
        <v>0</v>
      </c>
      <c r="AC23" s="275">
        <f>IF(ISERROR(LOOKUP(AC$16,$L23:$X23,#REF!)),0,(LOOKUP(AC$16,$L23:$X23,#REF!)))</f>
        <v>0</v>
      </c>
      <c r="AD23" s="276">
        <f>IF(ISERROR(LOOKUP(AD$16,$L23:$X23,#REF!)),0,(LOOKUP(AD$16,$L23:$X23,#REF!)))</f>
        <v>0</v>
      </c>
      <c r="AE23" s="276">
        <f>IF(ISERROR(LOOKUP(AE$16,$L23:$X23,#REF!)),0,(LOOKUP(AE$16,$L23:$X23,#REF!)))</f>
        <v>0</v>
      </c>
      <c r="AF23" s="276">
        <f>IF(ISERROR(LOOKUP(AF$16,$L23:$X23,#REF!)),0,(LOOKUP(AF$16,$L23:$X23,#REF!)))</f>
        <v>0</v>
      </c>
      <c r="AG23" s="276">
        <f>IF(ISERROR(LOOKUP(AG$16,$L23:$X23,#REF!)),0,(LOOKUP(AG$16,$L23:$X23,#REF!)))</f>
        <v>0</v>
      </c>
      <c r="AH23" s="276">
        <f>IF(ISERROR(LOOKUP(AH$16,$L23:$X23,#REF!)),0,(LOOKUP(AH$16,$L23:$X23,#REF!)))</f>
        <v>0</v>
      </c>
      <c r="AI23" s="276">
        <f>IF(ISERROR(LOOKUP(AI$16,$L23:$X23,#REF!)),0,(LOOKUP(AI$16,$L23:$X23,#REF!)))</f>
        <v>0</v>
      </c>
      <c r="AJ23" s="276">
        <f>IF(ISERROR(LOOKUP(AJ$16,$L23:$X23,#REF!)),0,(LOOKUP(AJ$16,$L23:$X23,#REF!)))</f>
        <v>0</v>
      </c>
      <c r="AK23" s="276">
        <f>IF(ISERROR(LOOKUP(AK$16,$L23:$X23,#REF!)),0,(LOOKUP(AK$16,$L23:$X23,#REF!)))</f>
        <v>0</v>
      </c>
      <c r="AL23" s="276">
        <f>IF(ISERROR(LOOKUP(AL$16,$L23:$X23,#REF!)),0,(LOOKUP(AL$16,$L23:$X23,#REF!)))</f>
        <v>0</v>
      </c>
      <c r="AM23" s="276">
        <f ca="1">IF(ISERROR(LOOKUP(AM$16,$L23:$X23,#REF!)),0,(LOOKUP(AM$16,$L23:$X23,#REF!)))</f>
        <v>0</v>
      </c>
      <c r="AO23" s="195">
        <f t="shared" si="0"/>
        <v>14</v>
      </c>
      <c r="AP23" s="247" t="e">
        <f>WORKDAY(AQ23,-INDEX(AQ$12:AQ$15,MATCH($I23,$I$12:$I$15,0)),$AW$17:$AW$148)</f>
        <v>#REF!</v>
      </c>
      <c r="AQ23" s="247" t="e">
        <f>WORKDAY(U23,-INDEX(U$12:U$15,MATCH($I23,$I$12:$I$15,0)),$AW$17:$AW$148)</f>
        <v>#REF!</v>
      </c>
      <c r="AR23" s="247" t="e">
        <f>WORKDAY(U23,-INDEX(U$12:U$15,MATCH($I23,$I$12:$I$15,0)),$AW$17:$AW$148)</f>
        <v>#REF!</v>
      </c>
      <c r="AS23" s="257">
        <v>7</v>
      </c>
      <c r="AW23" s="277" t="e">
        <v>#REF!</v>
      </c>
    </row>
    <row r="24" s="196" customFormat="1" ht="18" customHeight="1" spans="1:49">
      <c r="A24" s="270"/>
      <c r="B24" s="259"/>
      <c r="C24" s="284" t="str">
        <f>C23</f>
        <v>RFQ-003</v>
      </c>
      <c r="D24" s="284" t="str">
        <f>D23</f>
        <v>Instrument Gas Filter Coalescer</v>
      </c>
      <c r="E24" s="260"/>
      <c r="F24" s="286"/>
      <c r="G24" s="271" t="str">
        <f>G23</f>
        <v>Y</v>
      </c>
      <c r="H24" s="279"/>
      <c r="I24" s="271" t="str">
        <f>I23</f>
        <v>LA</v>
      </c>
      <c r="J24" s="274" t="s">
        <v>64</v>
      </c>
      <c r="K24" s="247">
        <f>K23</f>
        <v>46209</v>
      </c>
      <c r="L24" s="247">
        <f>WORKDAY(IF(K25="",K24,K25),INDEX(L$12:L$15,MATCH($I23,$I$12:$I$15,0)))</f>
        <v>46210</v>
      </c>
      <c r="M24" s="247">
        <f>WORKDAY(IF(L25="",L24,L25),INDEX(M$12:M$15,MATCH($I23,$I$12:$I$15,0)))</f>
        <v>46217</v>
      </c>
      <c r="N24" s="247">
        <f>WORKDAY(IF(M25="",M24,M25),INDEX(N$12:N$15,MATCH($I23,$I$12:$I$15,0)))</f>
        <v>46218</v>
      </c>
      <c r="O24" s="247">
        <f>WORKDAY(IF(N25="",N24,N25),INDEX(O$12:O$15,MATCH($I23,$I$12:$I$15,0)))</f>
        <v>46225</v>
      </c>
      <c r="P24" s="248"/>
      <c r="Q24" s="249"/>
      <c r="R24" s="247">
        <f>WORKDAY(IF(O25="",O24,O25),INDEX(R$12:R$15,MATCH($I23,$I$12:$I$15,0)))</f>
        <v>46239</v>
      </c>
      <c r="S24" s="247">
        <f>WORKDAY(IF(R25="",R24,R25),INDEX(S$12:S$15,MATCH($I23,$I$12:$I$15,0)))</f>
        <v>46267</v>
      </c>
      <c r="T24" s="247">
        <f>WORKDAY(IF(S25="",S24,S25),INDEX(T$12:T$15,MATCH($I23,$I$12:$I$15,0)))</f>
        <v>46272</v>
      </c>
      <c r="U24" s="247">
        <f>WORKDAY(IF(T25="",T24,T25),INDEX(U$12:U$15,MATCH($I23,$I$12:$I$15,0)))</f>
        <v>46286</v>
      </c>
      <c r="V24" s="247">
        <f>WORKDAY(IF(U25="",U24,U25),INDEX(V$12:V$15,MATCH($I23,$I$12:$I$15,0)))</f>
        <v>46288</v>
      </c>
      <c r="W24" s="250"/>
      <c r="X24" s="247">
        <f>U24+Y23</f>
        <v>46466</v>
      </c>
      <c r="Y24" s="251"/>
      <c r="Z24" s="253"/>
      <c r="AA24" s="253"/>
      <c r="AB24" s="254"/>
      <c r="AC24" s="275">
        <f>IF(ISERROR(LOOKUP(AC$16,$L24:$X24,#REF!)),0,(LOOKUP(AC$16,$L24:$X24,#REF!)))</f>
        <v>0</v>
      </c>
      <c r="AD24" s="276">
        <f>IF(ISERROR(LOOKUP(AD$16,$L24:$X24,#REF!)),0,(LOOKUP(AD$16,$L24:$X24,#REF!)))</f>
        <v>0</v>
      </c>
      <c r="AE24" s="276">
        <f>IF(ISERROR(LOOKUP(AE$16,$L24:$X24,#REF!)),0,(LOOKUP(AE$16,$L24:$X24,#REF!)))</f>
        <v>0</v>
      </c>
      <c r="AF24" s="276">
        <f>IF(ISERROR(LOOKUP(AF$16,$L24:$X24,#REF!)),0,(LOOKUP(AF$16,$L24:$X24,#REF!)))</f>
        <v>0</v>
      </c>
      <c r="AG24" s="276">
        <f>IF(ISERROR(LOOKUP(AG$16,$L24:$X24,#REF!)),0,(LOOKUP(AG$16,$L24:$X24,#REF!)))</f>
        <v>0</v>
      </c>
      <c r="AH24" s="276">
        <f>IF(ISERROR(LOOKUP(AH$16,$L24:$X24,#REF!)),0,(LOOKUP(AH$16,$L24:$X24,#REF!)))</f>
        <v>0</v>
      </c>
      <c r="AI24" s="276">
        <f>IF(ISERROR(LOOKUP(AI$16,$L24:$X24,#REF!)),0,(LOOKUP(AI$16,$L24:$X24,#REF!)))</f>
        <v>0</v>
      </c>
      <c r="AJ24" s="276">
        <f>IF(ISERROR(LOOKUP(AJ$16,$L24:$X24,#REF!)),0,(LOOKUP(AJ$16,$L24:$X24,#REF!)))</f>
        <v>0</v>
      </c>
      <c r="AK24" s="276">
        <f>IF(ISERROR(LOOKUP(AK$16,$L24:$X24,#REF!)),0,(LOOKUP(AK$16,$L24:$X24,#REF!)))</f>
        <v>0</v>
      </c>
      <c r="AL24" s="276">
        <f>IF(ISERROR(LOOKUP(AL$16,$L24:$X24,#REF!)),0,(LOOKUP(AL$16,$L24:$X24,#REF!)))</f>
        <v>0</v>
      </c>
      <c r="AM24" s="276">
        <f ca="1">IF(ISERROR(LOOKUP(AM$16,$L24:$X24,#REF!)),0,(LOOKUP(AM$16,$L24:$X24,#REF!)))</f>
        <v>0</v>
      </c>
      <c r="AO24" s="195">
        <f t="shared" si="0"/>
        <v>14</v>
      </c>
      <c r="AP24" s="247" t="e">
        <f>WORKDAY(IF(T25="",T24,T25),INDEX(AP$12:AP$15,MATCH($I23,$I$12:$I$15,0)),$AW$17:$AW$148)</f>
        <v>#REF!</v>
      </c>
      <c r="AQ24" s="247" t="e">
        <f>WORKDAY(IF(AP25="",AP24,AP25),INDEX(AQ$12:AQ$15,MATCH($I23,$I$12:$I$15,0)),$AW$17:$AW$148)</f>
        <v>#REF!</v>
      </c>
      <c r="AR24" s="247" t="e">
        <f>WORKDAY(IF(AQ25="",AQ24,AQ25),INDEX(AR$12:AR$15,MATCH($I23,$I$12:$I$15,0)),$AW$17:$AW$148)</f>
        <v>#REF!</v>
      </c>
      <c r="AS24" s="257"/>
      <c r="AW24" s="277" t="e">
        <v>#REF!</v>
      </c>
    </row>
    <row r="25" s="196" customFormat="1" ht="18" customHeight="1" spans="1:49">
      <c r="A25" s="270"/>
      <c r="B25" s="262"/>
      <c r="C25" s="284" t="str">
        <f>C23</f>
        <v>RFQ-003</v>
      </c>
      <c r="D25" s="284" t="str">
        <f>D23</f>
        <v>Instrument Gas Filter Coalescer</v>
      </c>
      <c r="E25" s="263"/>
      <c r="F25" s="287"/>
      <c r="G25" s="271" t="str">
        <f>G23</f>
        <v>Y</v>
      </c>
      <c r="H25" s="281"/>
      <c r="I25" s="271" t="str">
        <f>I23</f>
        <v>LA</v>
      </c>
      <c r="J25" s="274" t="s">
        <v>66</v>
      </c>
      <c r="K25" s="243"/>
      <c r="L25" s="243"/>
      <c r="M25" s="243"/>
      <c r="N25" s="243"/>
      <c r="O25" s="243"/>
      <c r="P25" s="265"/>
      <c r="Q25" s="266"/>
      <c r="R25" s="243"/>
      <c r="S25" s="243"/>
      <c r="T25" s="243"/>
      <c r="U25" s="243"/>
      <c r="V25" s="243"/>
      <c r="W25" s="267"/>
      <c r="X25" s="243"/>
      <c r="Y25" s="251"/>
      <c r="Z25" s="253"/>
      <c r="AA25" s="253"/>
      <c r="AB25" s="254"/>
      <c r="AC25" s="282">
        <f>IF(ISERROR(LOOKUP(AC$16,$L25:$X25,#REF!)),0,(LOOKUP(AC$16,$L25:$X25,#REF!)))</f>
        <v>0</v>
      </c>
      <c r="AD25" s="283">
        <f>IF(ISERROR(LOOKUP(AD$16,$L25:$X25,#REF!)),0,(LOOKUP(AD$16,$L25:$X25,#REF!)))</f>
        <v>0</v>
      </c>
      <c r="AE25" s="283">
        <f>IF(ISERROR(LOOKUP(AE$16,$L25:$X25,#REF!)),0,(LOOKUP(AE$16,$L25:$X25,#REF!)))</f>
        <v>0</v>
      </c>
      <c r="AF25" s="283">
        <f>IF(ISERROR(LOOKUP(AF$16,$L25:$X25,#REF!)),0,(LOOKUP(AF$16,$L25:$X25,#REF!)))</f>
        <v>0</v>
      </c>
      <c r="AG25" s="283">
        <f>IF(ISERROR(LOOKUP(AG$16,$L25:$X25,#REF!)),0,(LOOKUP(AG$16,$L25:$X25,#REF!)))</f>
        <v>0</v>
      </c>
      <c r="AH25" s="283">
        <f>IF(ISERROR(LOOKUP(AH$16,$L25:$X25,#REF!)),0,(LOOKUP(AH$16,$L25:$X25,#REF!)))</f>
        <v>0</v>
      </c>
      <c r="AI25" s="283">
        <f>IF(ISERROR(LOOKUP(AI$16,$L25:$X25,#REF!)),0,(LOOKUP(AI$16,$L25:$X25,#REF!)))</f>
        <v>0</v>
      </c>
      <c r="AJ25" s="283">
        <f>IF(ISERROR(LOOKUP(AJ$16,$L25:$X25,#REF!)),0,(LOOKUP(AJ$16,$L25:$X25,#REF!)))</f>
        <v>0</v>
      </c>
      <c r="AK25" s="283">
        <f>IF(ISERROR(LOOKUP(AK$16,$L25:$X25,#REF!)),0,(LOOKUP(AK$16,$L25:$X25,#REF!)))</f>
        <v>0</v>
      </c>
      <c r="AL25" s="283">
        <f>IF(ISERROR(LOOKUP(AL$16,$L25:$X25,#REF!)),0,(LOOKUP(AL$16,$L25:$X25,#REF!)))</f>
        <v>0</v>
      </c>
      <c r="AM25" s="283">
        <f ca="1">IF(ISERROR(LOOKUP(AM$16,$L25:$X25,#REF!)),0,(LOOKUP(AM$16,$L25:$X25,#REF!)))</f>
        <v>0</v>
      </c>
      <c r="AO25" s="195">
        <f t="shared" si="0"/>
        <v>0</v>
      </c>
      <c r="AP25" s="243"/>
      <c r="AQ25" s="243"/>
      <c r="AR25" s="243"/>
      <c r="AS25" s="257"/>
      <c r="AW25" s="277" t="e">
        <v>#REF!</v>
      </c>
    </row>
    <row r="26" s="197" customFormat="1" ht="16.5" customHeight="1" spans="1:49">
      <c r="A26" s="270">
        <f>A23+1</f>
        <v>4</v>
      </c>
      <c r="B26" s="242"/>
      <c r="C26" s="288" t="s">
        <v>4772</v>
      </c>
      <c r="D26" s="288" t="s">
        <v>4773</v>
      </c>
      <c r="E26" s="244"/>
      <c r="F26" s="288" t="s">
        <v>58</v>
      </c>
      <c r="G26" s="243" t="str">
        <f>IF(_xlfn.XLOOKUP(C26,'[36]Before Award'!D:D,'[36]Before Award'!AV:AV,"N/A")="N/A","N","Y")</f>
        <v>N</v>
      </c>
      <c r="H26" s="244"/>
      <c r="I26" s="243" t="s">
        <v>6</v>
      </c>
      <c r="J26" s="246" t="s">
        <v>4769</v>
      </c>
      <c r="K26" s="247">
        <v>46211</v>
      </c>
      <c r="L26" s="247">
        <v>46212</v>
      </c>
      <c r="M26" s="247">
        <v>46217</v>
      </c>
      <c r="N26" s="247">
        <v>46218</v>
      </c>
      <c r="O26" s="247">
        <v>46223</v>
      </c>
      <c r="P26" s="248">
        <f>U26-L26</f>
        <v>71</v>
      </c>
      <c r="Q26" s="249"/>
      <c r="R26" s="247">
        <v>46237</v>
      </c>
      <c r="S26" s="247">
        <v>46265</v>
      </c>
      <c r="T26" s="247">
        <v>46268</v>
      </c>
      <c r="U26" s="247">
        <v>46283</v>
      </c>
      <c r="V26" s="247">
        <v>46290</v>
      </c>
      <c r="W26" s="250">
        <v>26</v>
      </c>
      <c r="X26" s="247">
        <v>46466</v>
      </c>
      <c r="Y26" s="251">
        <f>W26*7</f>
        <v>182</v>
      </c>
      <c r="Z26" s="253">
        <v>46466</v>
      </c>
      <c r="AA26" s="289">
        <v>46466</v>
      </c>
      <c r="AB26" s="254">
        <f>Z26-X27</f>
        <v>0</v>
      </c>
      <c r="AC26" s="290">
        <f>IF(ISERROR(LOOKUP(AC$16,$L26:$X26,#REF!)),0,(LOOKUP(AC$16,$L26:$X26,#REF!)))</f>
        <v>0</v>
      </c>
      <c r="AD26" s="291">
        <f>IF(ISERROR(LOOKUP(AD$16,$L26:$X26,#REF!)),0,(LOOKUP(AD$16,$L26:$X26,#REF!)))</f>
        <v>0</v>
      </c>
      <c r="AE26" s="291">
        <f>IF(ISERROR(LOOKUP(AE$16,$L26:$X26,#REF!)),0,(LOOKUP(AE$16,$L26:$X26,#REF!)))</f>
        <v>0</v>
      </c>
      <c r="AF26" s="291">
        <f>IF(ISERROR(LOOKUP(AF$16,$L26:$X26,#REF!)),0,(LOOKUP(AF$16,$L26:$X26,#REF!)))</f>
        <v>0</v>
      </c>
      <c r="AG26" s="291">
        <f>IF(ISERROR(LOOKUP(AG$16,$L26:$X26,#REF!)),0,(LOOKUP(AG$16,$L26:$X26,#REF!)))</f>
        <v>0</v>
      </c>
      <c r="AH26" s="291">
        <f>IF(ISERROR(LOOKUP(AH$16,$L26:$X26,#REF!)),0,(LOOKUP(AH$16,$L26:$X26,#REF!)))</f>
        <v>0</v>
      </c>
      <c r="AI26" s="291">
        <f>IF(ISERROR(LOOKUP(AI$16,$L26:$X26,#REF!)),0,(LOOKUP(AI$16,$L26:$X26,#REF!)))</f>
        <v>0</v>
      </c>
      <c r="AJ26" s="291">
        <f>IF(ISERROR(LOOKUP(AJ$16,$L26:$X26,#REF!)),0,(LOOKUP(AJ$16,$L26:$X26,#REF!)))</f>
        <v>0</v>
      </c>
      <c r="AK26" s="291">
        <f>IF(ISERROR(LOOKUP(AK$16,$L26:$X26,#REF!)),0,(LOOKUP(AK$16,$L26:$X26,#REF!)))</f>
        <v>0</v>
      </c>
      <c r="AL26" s="291">
        <f>IF(ISERROR(LOOKUP(AL$16,$L26:$X26,#REF!)),0,(LOOKUP(AL$16,$L26:$X26,#REF!)))</f>
        <v>0</v>
      </c>
      <c r="AM26" s="291">
        <f ca="1">IF(ISERROR(LOOKUP(AM$16,$L26:$X26,#REF!)),0,(LOOKUP(AM$16,$L26:$X26,#REF!)))</f>
        <v>0</v>
      </c>
      <c r="AO26" s="195">
        <f t="shared" si="0"/>
        <v>15</v>
      </c>
      <c r="AP26" s="247">
        <v>46272</v>
      </c>
      <c r="AQ26" s="247">
        <v>46276</v>
      </c>
      <c r="AR26" s="247">
        <v>46276</v>
      </c>
      <c r="AS26" s="257">
        <v>14</v>
      </c>
      <c r="AW26" s="292" t="e">
        <v>#REF!</v>
      </c>
    </row>
    <row r="27" s="197" customFormat="1" ht="16.5" customHeight="1" spans="1:49">
      <c r="A27" s="270"/>
      <c r="B27" s="259"/>
      <c r="C27" s="288" t="str">
        <f>C26</f>
        <v>RFQ-004</v>
      </c>
      <c r="D27" s="288" t="str">
        <f>D26</f>
        <v>Production &amp; Test Seperator</v>
      </c>
      <c r="E27" s="260"/>
      <c r="F27" s="288"/>
      <c r="G27" s="243" t="str">
        <f>G26</f>
        <v>N</v>
      </c>
      <c r="H27" s="260"/>
      <c r="I27" s="243" t="str">
        <f>I26</f>
        <v>LA</v>
      </c>
      <c r="J27" s="246" t="s">
        <v>64</v>
      </c>
      <c r="K27" s="247">
        <v>46211</v>
      </c>
      <c r="L27" s="247">
        <v>46212</v>
      </c>
      <c r="M27" s="247">
        <v>46217</v>
      </c>
      <c r="N27" s="247">
        <v>46218</v>
      </c>
      <c r="O27" s="247">
        <v>46223</v>
      </c>
      <c r="P27" s="248"/>
      <c r="Q27" s="249"/>
      <c r="R27" s="247">
        <v>46237</v>
      </c>
      <c r="S27" s="247">
        <v>46265</v>
      </c>
      <c r="T27" s="247">
        <v>46268</v>
      </c>
      <c r="U27" s="247">
        <v>46283</v>
      </c>
      <c r="V27" s="247">
        <v>46290</v>
      </c>
      <c r="W27" s="250"/>
      <c r="X27" s="247">
        <v>46466</v>
      </c>
      <c r="Y27" s="251"/>
      <c r="Z27" s="253"/>
      <c r="AA27" s="293"/>
      <c r="AB27" s="254"/>
      <c r="AC27" s="290">
        <f>IF(ISERROR(LOOKUP(AC$16,$L27:$X27,#REF!)),0,(LOOKUP(AC$16,$L27:$X27,#REF!)))</f>
        <v>0</v>
      </c>
      <c r="AD27" s="291">
        <f>IF(ISERROR(LOOKUP(AD$16,$L27:$X27,#REF!)),0,(LOOKUP(AD$16,$L27:$X27,#REF!)))</f>
        <v>0</v>
      </c>
      <c r="AE27" s="291">
        <f>IF(ISERROR(LOOKUP(AE$16,$L27:$X27,#REF!)),0,(LOOKUP(AE$16,$L27:$X27,#REF!)))</f>
        <v>0</v>
      </c>
      <c r="AF27" s="291">
        <f>IF(ISERROR(LOOKUP(AF$16,$L27:$X27,#REF!)),0,(LOOKUP(AF$16,$L27:$X27,#REF!)))</f>
        <v>0</v>
      </c>
      <c r="AG27" s="291">
        <f>IF(ISERROR(LOOKUP(AG$16,$L27:$X27,#REF!)),0,(LOOKUP(AG$16,$L27:$X27,#REF!)))</f>
        <v>0</v>
      </c>
      <c r="AH27" s="291">
        <f>IF(ISERROR(LOOKUP(AH$16,$L27:$X27,#REF!)),0,(LOOKUP(AH$16,$L27:$X27,#REF!)))</f>
        <v>0</v>
      </c>
      <c r="AI27" s="291">
        <f>IF(ISERROR(LOOKUP(AI$16,$L27:$X27,#REF!)),0,(LOOKUP(AI$16,$L27:$X27,#REF!)))</f>
        <v>0</v>
      </c>
      <c r="AJ27" s="291">
        <f>IF(ISERROR(LOOKUP(AJ$16,$L27:$X27,#REF!)),0,(LOOKUP(AJ$16,$L27:$X27,#REF!)))</f>
        <v>0</v>
      </c>
      <c r="AK27" s="291">
        <f>IF(ISERROR(LOOKUP(AK$16,$L27:$X27,#REF!)),0,(LOOKUP(AK$16,$L27:$X27,#REF!)))</f>
        <v>0</v>
      </c>
      <c r="AL27" s="291">
        <f>IF(ISERROR(LOOKUP(AL$16,$L27:$X27,#REF!)),0,(LOOKUP(AL$16,$L27:$X27,#REF!)))</f>
        <v>0</v>
      </c>
      <c r="AM27" s="291">
        <f ca="1">IF(ISERROR(LOOKUP(AM$16,$L27:$X27,#REF!)),0,(LOOKUP(AM$16,$L27:$X27,#REF!)))</f>
        <v>0</v>
      </c>
      <c r="AO27" s="195">
        <f t="shared" si="0"/>
        <v>15</v>
      </c>
      <c r="AP27" s="247">
        <v>46272</v>
      </c>
      <c r="AQ27" s="247">
        <v>46276</v>
      </c>
      <c r="AR27" s="247">
        <v>46283</v>
      </c>
      <c r="AS27" s="257"/>
      <c r="AW27" s="292" t="e">
        <v>#REF!</v>
      </c>
    </row>
    <row r="28" s="197" customFormat="1" ht="16.5" customHeight="1" spans="1:49">
      <c r="A28" s="270"/>
      <c r="B28" s="262"/>
      <c r="C28" s="294" t="str">
        <f>C26</f>
        <v>RFQ-004</v>
      </c>
      <c r="D28" s="294" t="str">
        <f>D26</f>
        <v>Production &amp; Test Seperator</v>
      </c>
      <c r="E28" s="263"/>
      <c r="F28" s="294"/>
      <c r="G28" s="243" t="str">
        <f>G26</f>
        <v>N</v>
      </c>
      <c r="H28" s="263"/>
      <c r="I28" s="243" t="str">
        <f>I26</f>
        <v>LA</v>
      </c>
      <c r="J28" s="246" t="s">
        <v>66</v>
      </c>
      <c r="K28" s="243"/>
      <c r="L28" s="243"/>
      <c r="M28" s="243"/>
      <c r="N28" s="243"/>
      <c r="O28" s="243"/>
      <c r="P28" s="265"/>
      <c r="Q28" s="266"/>
      <c r="R28" s="243"/>
      <c r="S28" s="243"/>
      <c r="T28" s="243"/>
      <c r="U28" s="253"/>
      <c r="V28" s="243"/>
      <c r="W28" s="267"/>
      <c r="X28" s="243"/>
      <c r="Y28" s="251"/>
      <c r="Z28" s="253"/>
      <c r="AA28" s="295"/>
      <c r="AB28" s="254"/>
      <c r="AC28" s="296">
        <f>IF(ISERROR(LOOKUP(AC$16,$L28:$X28,#REF!)),0,(LOOKUP(AC$16,$L28:$X28,#REF!)))</f>
        <v>0</v>
      </c>
      <c r="AD28" s="297">
        <f>IF(ISERROR(LOOKUP(AD$16,$L28:$X28,#REF!)),0,(LOOKUP(AD$16,$L28:$X28,#REF!)))</f>
        <v>0</v>
      </c>
      <c r="AE28" s="297">
        <f>IF(ISERROR(LOOKUP(AE$16,$L28:$X28,#REF!)),0,(LOOKUP(AE$16,$L28:$X28,#REF!)))</f>
        <v>0</v>
      </c>
      <c r="AF28" s="297">
        <f>IF(ISERROR(LOOKUP(AF$16,$L28:$X28,#REF!)),0,(LOOKUP(AF$16,$L28:$X28,#REF!)))</f>
        <v>0</v>
      </c>
      <c r="AG28" s="297">
        <f>IF(ISERROR(LOOKUP(AG$16,$L28:$X28,#REF!)),0,(LOOKUP(AG$16,$L28:$X28,#REF!)))</f>
        <v>0</v>
      </c>
      <c r="AH28" s="297">
        <f>IF(ISERROR(LOOKUP(AH$16,$L28:$X28,#REF!)),0,(LOOKUP(AH$16,$L28:$X28,#REF!)))</f>
        <v>0</v>
      </c>
      <c r="AI28" s="297">
        <f>IF(ISERROR(LOOKUP(AI$16,$L28:$X28,#REF!)),0,(LOOKUP(AI$16,$L28:$X28,#REF!)))</f>
        <v>0</v>
      </c>
      <c r="AJ28" s="297">
        <f>IF(ISERROR(LOOKUP(AJ$16,$L28:$X28,#REF!)),0,(LOOKUP(AJ$16,$L28:$X28,#REF!)))</f>
        <v>0</v>
      </c>
      <c r="AK28" s="297">
        <f>IF(ISERROR(LOOKUP(AK$16,$L28:$X28,#REF!)),0,(LOOKUP(AK$16,$L28:$X28,#REF!)))</f>
        <v>0</v>
      </c>
      <c r="AL28" s="297">
        <f>IF(ISERROR(LOOKUP(AL$16,$L28:$X28,#REF!)),0,(LOOKUP(AL$16,$L28:$X28,#REF!)))</f>
        <v>0</v>
      </c>
      <c r="AM28" s="297">
        <f ca="1">IF(ISERROR(LOOKUP(AM$16,$L28:$X28,#REF!)),0,(LOOKUP(AM$16,$L28:$X28,#REF!)))</f>
        <v>0</v>
      </c>
      <c r="AO28" s="195">
        <f t="shared" si="0"/>
        <v>0</v>
      </c>
      <c r="AP28" s="243"/>
      <c r="AQ28" s="243"/>
      <c r="AR28" s="243"/>
      <c r="AS28" s="257"/>
      <c r="AW28" s="292" t="e">
        <v>#REF!</v>
      </c>
    </row>
    <row r="29" s="197" customFormat="1" ht="16.5" customHeight="1" spans="1:49">
      <c r="A29" s="270">
        <f>A26+1</f>
        <v>5</v>
      </c>
      <c r="B29" s="242"/>
      <c r="C29" s="288" t="s">
        <v>4774</v>
      </c>
      <c r="D29" s="288" t="s">
        <v>4775</v>
      </c>
      <c r="E29" s="244"/>
      <c r="F29" s="288" t="s">
        <v>85</v>
      </c>
      <c r="G29" s="243" t="s">
        <v>63</v>
      </c>
      <c r="H29" s="244"/>
      <c r="I29" s="243" t="s">
        <v>6</v>
      </c>
      <c r="J29" s="246" t="s">
        <v>4769</v>
      </c>
      <c r="K29" s="247">
        <v>46176</v>
      </c>
      <c r="L29" s="247">
        <v>46177</v>
      </c>
      <c r="M29" s="247">
        <v>46182</v>
      </c>
      <c r="N29" s="247">
        <v>46183</v>
      </c>
      <c r="O29" s="247">
        <v>46188</v>
      </c>
      <c r="P29" s="248">
        <f>U29-L29</f>
        <v>71</v>
      </c>
      <c r="Q29" s="249"/>
      <c r="R29" s="247">
        <v>46202</v>
      </c>
      <c r="S29" s="247">
        <v>46230</v>
      </c>
      <c r="T29" s="247">
        <v>46233</v>
      </c>
      <c r="U29" s="247">
        <v>46248</v>
      </c>
      <c r="V29" s="247">
        <v>46255</v>
      </c>
      <c r="W29" s="250">
        <v>32</v>
      </c>
      <c r="X29" s="247">
        <v>46472</v>
      </c>
      <c r="Y29" s="251">
        <f>W29*7</f>
        <v>224</v>
      </c>
      <c r="Z29" s="253">
        <v>46472</v>
      </c>
      <c r="AA29" s="253">
        <v>46472</v>
      </c>
      <c r="AB29" s="254">
        <f>Z29-X30</f>
        <v>0</v>
      </c>
      <c r="AC29" s="290">
        <f>IF(ISERROR(LOOKUP(AC$16,$L29:$X29,#REF!)),0,(LOOKUP(AC$16,$L29:$X29,#REF!)))</f>
        <v>0</v>
      </c>
      <c r="AD29" s="291">
        <f>IF(ISERROR(LOOKUP(AD$16,$L29:$X29,#REF!)),0,(LOOKUP(AD$16,$L29:$X29,#REF!)))</f>
        <v>0</v>
      </c>
      <c r="AE29" s="291">
        <f>IF(ISERROR(LOOKUP(AE$16,$L29:$X29,#REF!)),0,(LOOKUP(AE$16,$L29:$X29,#REF!)))</f>
        <v>0</v>
      </c>
      <c r="AF29" s="291">
        <f>IF(ISERROR(LOOKUP(AF$16,$L29:$X29,#REF!)),0,(LOOKUP(AF$16,$L29:$X29,#REF!)))</f>
        <v>0</v>
      </c>
      <c r="AG29" s="291">
        <f>IF(ISERROR(LOOKUP(AG$16,$L29:$X29,#REF!)),0,(LOOKUP(AG$16,$L29:$X29,#REF!)))</f>
        <v>0</v>
      </c>
      <c r="AH29" s="291">
        <f>IF(ISERROR(LOOKUP(AH$16,$L29:$X29,#REF!)),0,(LOOKUP(AH$16,$L29:$X29,#REF!)))</f>
        <v>0</v>
      </c>
      <c r="AI29" s="291">
        <f>IF(ISERROR(LOOKUP(AI$16,$L29:$X29,#REF!)),0,(LOOKUP(AI$16,$L29:$X29,#REF!)))</f>
        <v>0</v>
      </c>
      <c r="AJ29" s="291">
        <f>IF(ISERROR(LOOKUP(AJ$16,$L29:$X29,#REF!)),0,(LOOKUP(AJ$16,$L29:$X29,#REF!)))</f>
        <v>0</v>
      </c>
      <c r="AK29" s="291">
        <f>IF(ISERROR(LOOKUP(AK$16,$L29:$X29,#REF!)),0,(LOOKUP(AK$16,$L29:$X29,#REF!)))</f>
        <v>0</v>
      </c>
      <c r="AL29" s="291">
        <f>IF(ISERROR(LOOKUP(AL$16,$L29:$X29,#REF!)),0,(LOOKUP(AL$16,$L29:$X29,#REF!)))</f>
        <v>0</v>
      </c>
      <c r="AM29" s="291">
        <f ca="1">IF(ISERROR(LOOKUP(AM$16,$L29:$X29,#REF!)),0,(LOOKUP(AM$16,$L29:$X29,#REF!)))</f>
        <v>0</v>
      </c>
      <c r="AO29" s="195">
        <f t="shared" si="0"/>
        <v>15</v>
      </c>
      <c r="AP29" s="247">
        <v>46237</v>
      </c>
      <c r="AQ29" s="247">
        <v>46241</v>
      </c>
      <c r="AR29" s="247">
        <v>46241</v>
      </c>
      <c r="AS29" s="257">
        <v>14</v>
      </c>
      <c r="AW29" s="292" t="e">
        <v>#REF!</v>
      </c>
    </row>
    <row r="30" s="197" customFormat="1" ht="16.5" customHeight="1" spans="1:49">
      <c r="A30" s="270"/>
      <c r="B30" s="259"/>
      <c r="C30" s="288" t="str">
        <f>C29</f>
        <v>RFQ-005</v>
      </c>
      <c r="D30" s="288" t="str">
        <f>D29</f>
        <v>Pig Launcher and Receiver</v>
      </c>
      <c r="E30" s="260"/>
      <c r="F30" s="288" t="str">
        <f>F29</f>
        <v>Piping</v>
      </c>
      <c r="G30" s="243" t="str">
        <f>G29</f>
        <v>Y</v>
      </c>
      <c r="H30" s="260"/>
      <c r="I30" s="243" t="str">
        <f>I29</f>
        <v>LA</v>
      </c>
      <c r="J30" s="246" t="s">
        <v>64</v>
      </c>
      <c r="K30" s="247">
        <v>46176</v>
      </c>
      <c r="L30" s="247">
        <v>46177</v>
      </c>
      <c r="M30" s="247">
        <v>46182</v>
      </c>
      <c r="N30" s="247">
        <v>46183</v>
      </c>
      <c r="O30" s="247">
        <v>46188</v>
      </c>
      <c r="P30" s="248"/>
      <c r="Q30" s="249"/>
      <c r="R30" s="247">
        <v>46202</v>
      </c>
      <c r="S30" s="247">
        <v>46230</v>
      </c>
      <c r="T30" s="247">
        <v>46233</v>
      </c>
      <c r="U30" s="247">
        <v>46248</v>
      </c>
      <c r="V30" s="247">
        <v>46255</v>
      </c>
      <c r="W30" s="250"/>
      <c r="X30" s="247">
        <v>46472</v>
      </c>
      <c r="Y30" s="251"/>
      <c r="Z30" s="253"/>
      <c r="AA30" s="253"/>
      <c r="AB30" s="254"/>
      <c r="AC30" s="290">
        <f>IF(ISERROR(LOOKUP(AC$16,$L30:$X30,#REF!)),0,(LOOKUP(AC$16,$L30:$X30,#REF!)))</f>
        <v>0</v>
      </c>
      <c r="AD30" s="291">
        <f>IF(ISERROR(LOOKUP(AD$16,$L30:$X30,#REF!)),0,(LOOKUP(AD$16,$L30:$X30,#REF!)))</f>
        <v>0</v>
      </c>
      <c r="AE30" s="291">
        <f>IF(ISERROR(LOOKUP(AE$16,$L30:$X30,#REF!)),0,(LOOKUP(AE$16,$L30:$X30,#REF!)))</f>
        <v>0</v>
      </c>
      <c r="AF30" s="291">
        <f>IF(ISERROR(LOOKUP(AF$16,$L30:$X30,#REF!)),0,(LOOKUP(AF$16,$L30:$X30,#REF!)))</f>
        <v>0</v>
      </c>
      <c r="AG30" s="291">
        <f>IF(ISERROR(LOOKUP(AG$16,$L30:$X30,#REF!)),0,(LOOKUP(AG$16,$L30:$X30,#REF!)))</f>
        <v>0</v>
      </c>
      <c r="AH30" s="291">
        <f>IF(ISERROR(LOOKUP(AH$16,$L30:$X30,#REF!)),0,(LOOKUP(AH$16,$L30:$X30,#REF!)))</f>
        <v>0</v>
      </c>
      <c r="AI30" s="291">
        <f>IF(ISERROR(LOOKUP(AI$16,$L30:$X30,#REF!)),0,(LOOKUP(AI$16,$L30:$X30,#REF!)))</f>
        <v>0</v>
      </c>
      <c r="AJ30" s="291">
        <f>IF(ISERROR(LOOKUP(AJ$16,$L30:$X30,#REF!)),0,(LOOKUP(AJ$16,$L30:$X30,#REF!)))</f>
        <v>0</v>
      </c>
      <c r="AK30" s="291">
        <f>IF(ISERROR(LOOKUP(AK$16,$L30:$X30,#REF!)),0,(LOOKUP(AK$16,$L30:$X30,#REF!)))</f>
        <v>0</v>
      </c>
      <c r="AL30" s="291">
        <f>IF(ISERROR(LOOKUP(AL$16,$L30:$X30,#REF!)),0,(LOOKUP(AL$16,$L30:$X30,#REF!)))</f>
        <v>0</v>
      </c>
      <c r="AM30" s="291">
        <f ca="1">IF(ISERROR(LOOKUP(AM$16,$L30:$X30,#REF!)),0,(LOOKUP(AM$16,$L30:$X30,#REF!)))</f>
        <v>0</v>
      </c>
      <c r="AO30" s="195">
        <f t="shared" si="0"/>
        <v>15</v>
      </c>
      <c r="AP30" s="247">
        <v>46237</v>
      </c>
      <c r="AQ30" s="247">
        <v>46241</v>
      </c>
      <c r="AR30" s="247">
        <v>46248</v>
      </c>
      <c r="AS30" s="257"/>
      <c r="AW30" s="292" t="e">
        <v>#REF!</v>
      </c>
    </row>
    <row r="31" s="197" customFormat="1" ht="16.5" customHeight="1" spans="1:49">
      <c r="A31" s="270"/>
      <c r="B31" s="262"/>
      <c r="C31" s="294" t="str">
        <f>C29</f>
        <v>RFQ-005</v>
      </c>
      <c r="D31" s="294" t="str">
        <f>D29</f>
        <v>Pig Launcher and Receiver</v>
      </c>
      <c r="E31" s="263"/>
      <c r="F31" s="294" t="str">
        <f>F29</f>
        <v>Piping</v>
      </c>
      <c r="G31" s="243" t="str">
        <f>G29</f>
        <v>Y</v>
      </c>
      <c r="H31" s="263"/>
      <c r="I31" s="243" t="str">
        <f>I29</f>
        <v>LA</v>
      </c>
      <c r="J31" s="246" t="s">
        <v>66</v>
      </c>
      <c r="K31" s="243"/>
      <c r="L31" s="243"/>
      <c r="M31" s="243"/>
      <c r="N31" s="243"/>
      <c r="O31" s="243"/>
      <c r="P31" s="265"/>
      <c r="Q31" s="266"/>
      <c r="R31" s="243"/>
      <c r="S31" s="243"/>
      <c r="T31" s="243"/>
      <c r="U31" s="243"/>
      <c r="V31" s="243"/>
      <c r="W31" s="267"/>
      <c r="X31" s="243"/>
      <c r="Y31" s="251"/>
      <c r="Z31" s="253"/>
      <c r="AA31" s="253"/>
      <c r="AB31" s="254"/>
      <c r="AC31" s="296">
        <f>IF(ISERROR(LOOKUP(AC$16,$L31:$X31,#REF!)),0,(LOOKUP(AC$16,$L31:$X31,#REF!)))</f>
        <v>0</v>
      </c>
      <c r="AD31" s="297">
        <f>IF(ISERROR(LOOKUP(AD$16,$L31:$X31,#REF!)),0,(LOOKUP(AD$16,$L31:$X31,#REF!)))</f>
        <v>0</v>
      </c>
      <c r="AE31" s="297">
        <f>IF(ISERROR(LOOKUP(AE$16,$L31:$X31,#REF!)),0,(LOOKUP(AE$16,$L31:$X31,#REF!)))</f>
        <v>0</v>
      </c>
      <c r="AF31" s="297">
        <f>IF(ISERROR(LOOKUP(AF$16,$L31:$X31,#REF!)),0,(LOOKUP(AF$16,$L31:$X31,#REF!)))</f>
        <v>0</v>
      </c>
      <c r="AG31" s="297">
        <f>IF(ISERROR(LOOKUP(AG$16,$L31:$X31,#REF!)),0,(LOOKUP(AG$16,$L31:$X31,#REF!)))</f>
        <v>0</v>
      </c>
      <c r="AH31" s="297">
        <f>IF(ISERROR(LOOKUP(AH$16,$L31:$X31,#REF!)),0,(LOOKUP(AH$16,$L31:$X31,#REF!)))</f>
        <v>0</v>
      </c>
      <c r="AI31" s="297">
        <f>IF(ISERROR(LOOKUP(AI$16,$L31:$X31,#REF!)),0,(LOOKUP(AI$16,$L31:$X31,#REF!)))</f>
        <v>0</v>
      </c>
      <c r="AJ31" s="297">
        <f>IF(ISERROR(LOOKUP(AJ$16,$L31:$X31,#REF!)),0,(LOOKUP(AJ$16,$L31:$X31,#REF!)))</f>
        <v>0</v>
      </c>
      <c r="AK31" s="297">
        <f>IF(ISERROR(LOOKUP(AK$16,$L31:$X31,#REF!)),0,(LOOKUP(AK$16,$L31:$X31,#REF!)))</f>
        <v>0</v>
      </c>
      <c r="AL31" s="297">
        <f>IF(ISERROR(LOOKUP(AL$16,$L31:$X31,#REF!)),0,(LOOKUP(AL$16,$L31:$X31,#REF!)))</f>
        <v>0</v>
      </c>
      <c r="AM31" s="297">
        <f ca="1">IF(ISERROR(LOOKUP(AM$16,$L31:$X31,#REF!)),0,(LOOKUP(AM$16,$L31:$X31,#REF!)))</f>
        <v>0</v>
      </c>
      <c r="AO31" s="195">
        <f t="shared" si="0"/>
        <v>0</v>
      </c>
      <c r="AP31" s="243"/>
      <c r="AQ31" s="243"/>
      <c r="AR31" s="243"/>
      <c r="AS31" s="257"/>
      <c r="AW31" s="292" t="e">
        <v>#REF!</v>
      </c>
    </row>
    <row r="32" s="195" customFormat="1" ht="18" customHeight="1" spans="1:49">
      <c r="A32" s="241">
        <f>A29+1</f>
        <v>6</v>
      </c>
      <c r="B32" s="242"/>
      <c r="C32" s="244" t="s">
        <v>4776</v>
      </c>
      <c r="D32" s="244" t="s">
        <v>4777</v>
      </c>
      <c r="E32" s="244"/>
      <c r="F32" s="245" t="s">
        <v>58</v>
      </c>
      <c r="G32" s="243" t="s">
        <v>72</v>
      </c>
      <c r="H32" s="244"/>
      <c r="I32" s="243" t="s">
        <v>6</v>
      </c>
      <c r="J32" s="246" t="s">
        <v>4769</v>
      </c>
      <c r="K32" s="247">
        <f>WORKDAY(L32,-INDEX(L$12:L$15,MATCH($I32,$I$12:$I$15,0)))</f>
        <v>46143</v>
      </c>
      <c r="L32" s="247">
        <f>WORKDAY(M32,-INDEX(M$12:M$15,MATCH($I32,$I$12:$I$15,0)))</f>
        <v>46146</v>
      </c>
      <c r="M32" s="247">
        <f>WORKDAY(N32,-INDEX(N$12:N$15,MATCH($I32,$I$12:$I$15,0)))</f>
        <v>46153</v>
      </c>
      <c r="N32" s="247">
        <f>WORKDAY(O32,-INDEX(O$12:O$15,MATCH($I32,$I$12:$I$15,0)))</f>
        <v>46154</v>
      </c>
      <c r="O32" s="247">
        <f>WORKDAY(R32,-INDEX(R$12:R$15,MATCH($I32,$I$12:$I$15,0)))</f>
        <v>46161</v>
      </c>
      <c r="P32" s="248">
        <f>U32-L32</f>
        <v>74</v>
      </c>
      <c r="Q32" s="249"/>
      <c r="R32" s="247">
        <f>WORKDAY(S32,-INDEX(S$12:S$15,MATCH($I32,$I$12:$I$15,0)))</f>
        <v>46175</v>
      </c>
      <c r="S32" s="247">
        <f>WORKDAY(T32,-INDEX(T$12:T$15,MATCH($I32,$I$12:$I$15,0)))</f>
        <v>46203</v>
      </c>
      <c r="T32" s="247">
        <f>WORKDAY(U32,-INDEX(U$12:U$15,MATCH($I32,$I$12:$I$15,0)))</f>
        <v>46206</v>
      </c>
      <c r="U32" s="247">
        <f>X32-Y32</f>
        <v>46220</v>
      </c>
      <c r="V32" s="247">
        <f>WORKDAY(U32,INDEX(V$12:V$15,MATCH($I32,$I$12:$I$15,0)))</f>
        <v>46224</v>
      </c>
      <c r="W32" s="250">
        <f>Y32/7</f>
        <v>32</v>
      </c>
      <c r="X32" s="247">
        <f>Z32</f>
        <v>46444</v>
      </c>
      <c r="Y32" s="298">
        <f>32*7</f>
        <v>224</v>
      </c>
      <c r="Z32" s="253">
        <v>46444</v>
      </c>
      <c r="AA32" s="253">
        <v>46444</v>
      </c>
      <c r="AB32" s="254">
        <f>Z32-X33</f>
        <v>0</v>
      </c>
      <c r="AC32" s="255">
        <f>IF(ISERROR(LOOKUP(AC$16,$L32:$X32,#REF!)),0,(LOOKUP(AC$16,$L32:$X32,#REF!)))</f>
        <v>0</v>
      </c>
      <c r="AD32" s="256">
        <f>IF(ISERROR(LOOKUP(AD$16,$L32:$X32,#REF!)),0,(LOOKUP(AD$16,$L32:$X32,#REF!)))</f>
        <v>0</v>
      </c>
      <c r="AE32" s="256">
        <f>IF(ISERROR(LOOKUP(AE$16,$L32:$X32,#REF!)),0,(LOOKUP(AE$16,$L32:$X32,#REF!)))</f>
        <v>0</v>
      </c>
      <c r="AF32" s="256">
        <f>IF(ISERROR(LOOKUP(AF$16,$L32:$X32,#REF!)),0,(LOOKUP(AF$16,$L32:$X32,#REF!)))</f>
        <v>0</v>
      </c>
      <c r="AG32" s="256">
        <f>IF(ISERROR(LOOKUP(AG$16,$L32:$X32,#REF!)),0,(LOOKUP(AG$16,$L32:$X32,#REF!)))</f>
        <v>0</v>
      </c>
      <c r="AH32" s="256">
        <f>IF(ISERROR(LOOKUP(AH$16,$L32:$X32,#REF!)),0,(LOOKUP(AH$16,$L32:$X32,#REF!)))</f>
        <v>0</v>
      </c>
      <c r="AI32" s="256">
        <f>IF(ISERROR(LOOKUP(AI$16,$L32:$X32,#REF!)),0,(LOOKUP(AI$16,$L32:$X32,#REF!)))</f>
        <v>0</v>
      </c>
      <c r="AJ32" s="256">
        <f>IF(ISERROR(LOOKUP(AJ$16,$L32:$X32,#REF!)),0,(LOOKUP(AJ$16,$L32:$X32,#REF!)))</f>
        <v>0</v>
      </c>
      <c r="AK32" s="256">
        <f>IF(ISERROR(LOOKUP(AK$16,$L32:$X32,#REF!)),0,(LOOKUP(AK$16,$L32:$X32,#REF!)))</f>
        <v>0</v>
      </c>
      <c r="AL32" s="256">
        <f>IF(ISERROR(LOOKUP(AL$16,$L32:$X32,#REF!)),0,(LOOKUP(AL$16,$L32:$X32,#REF!)))</f>
        <v>0</v>
      </c>
      <c r="AM32" s="256">
        <f ca="1">IF(ISERROR(LOOKUP(AM$16,$L32:$X32,#REF!)),0,(LOOKUP(AM$16,$L32:$X32,#REF!)))</f>
        <v>0</v>
      </c>
      <c r="AO32" s="195">
        <f t="shared" si="0"/>
        <v>14</v>
      </c>
      <c r="AP32" s="247" t="e">
        <f>WORKDAY(AQ32,-INDEX(AQ$12:AQ$15,MATCH($I32,$I$12:$I$15,0)),$AW$17:$AW$148)</f>
        <v>#REF!</v>
      </c>
      <c r="AQ32" s="247" t="e">
        <f>WORKDAY(U32,-INDEX(U$12:U$15,MATCH($I32,$I$12:$I$15,0)),$AW$17:$AW$148)</f>
        <v>#REF!</v>
      </c>
      <c r="AR32" s="247" t="e">
        <f>WORKDAY(U32,-INDEX(U$12:U$15,MATCH($I32,$I$12:$I$15,0)),$AW$17:$AW$148)</f>
        <v>#REF!</v>
      </c>
      <c r="AS32" s="257">
        <v>14</v>
      </c>
      <c r="AW32" s="258" t="e">
        <v>#REF!</v>
      </c>
    </row>
    <row r="33" s="195" customFormat="1" ht="18" customHeight="1" spans="1:49">
      <c r="A33" s="241"/>
      <c r="B33" s="259"/>
      <c r="C33" s="260" t="str">
        <f>C32</f>
        <v>RFQ-006</v>
      </c>
      <c r="D33" s="260"/>
      <c r="E33" s="260"/>
      <c r="F33" s="261"/>
      <c r="G33" s="243" t="str">
        <f>G32</f>
        <v>N</v>
      </c>
      <c r="H33" s="260"/>
      <c r="I33" s="243" t="str">
        <f>I32</f>
        <v>LA</v>
      </c>
      <c r="J33" s="246" t="s">
        <v>64</v>
      </c>
      <c r="K33" s="247">
        <f>K32</f>
        <v>46143</v>
      </c>
      <c r="L33" s="247">
        <f>WORKDAY(IF(K34="",K33,K34),INDEX(L$12:L$15,MATCH($I32,$I$12:$I$15,0)))</f>
        <v>46146</v>
      </c>
      <c r="M33" s="247">
        <f>WORKDAY(IF(L34="",L33,L34),INDEX(M$12:M$15,MATCH($I32,$I$12:$I$15,0)))</f>
        <v>46153</v>
      </c>
      <c r="N33" s="247">
        <f>WORKDAY(IF(M34="",M33,M34),INDEX(N$12:N$15,MATCH($I32,$I$12:$I$15,0)))</f>
        <v>46154</v>
      </c>
      <c r="O33" s="247">
        <f>WORKDAY(IF(N34="",N33,N34),INDEX(O$12:O$15,MATCH($I32,$I$12:$I$15,0)))</f>
        <v>46161</v>
      </c>
      <c r="P33" s="248"/>
      <c r="Q33" s="249"/>
      <c r="R33" s="247">
        <f>WORKDAY(IF(O34="",O33,O34),INDEX(R$12:R$15,MATCH($I32,$I$12:$I$15,0)))</f>
        <v>46175</v>
      </c>
      <c r="S33" s="247">
        <f>WORKDAY(IF(R34="",R33,R34),INDEX(S$12:S$15,MATCH($I32,$I$12:$I$15,0)))</f>
        <v>46203</v>
      </c>
      <c r="T33" s="247">
        <f>WORKDAY(IF(S34="",S33,S34),INDEX(T$12:T$15,MATCH($I32,$I$12:$I$15,0)))</f>
        <v>46206</v>
      </c>
      <c r="U33" s="247">
        <f>WORKDAY(IF(T34="",T33,T34),INDEX(U$12:U$15,MATCH($I32,$I$12:$I$15,0)))</f>
        <v>46220</v>
      </c>
      <c r="V33" s="247">
        <f>WORKDAY(IF(U34="",U33,U34),INDEX(V$12:V$15,MATCH($I32,$I$12:$I$15,0)))</f>
        <v>46224</v>
      </c>
      <c r="W33" s="250"/>
      <c r="X33" s="247">
        <f>U33+Y32</f>
        <v>46444</v>
      </c>
      <c r="Y33" s="299"/>
      <c r="Z33" s="253"/>
      <c r="AA33" s="253"/>
      <c r="AB33" s="254"/>
      <c r="AC33" s="255">
        <f>IF(ISERROR(LOOKUP(AC$16,$L33:$X33,#REF!)),0,(LOOKUP(AC$16,$L33:$X33,#REF!)))</f>
        <v>0</v>
      </c>
      <c r="AD33" s="256">
        <f>IF(ISERROR(LOOKUP(AD$16,$L33:$X33,#REF!)),0,(LOOKUP(AD$16,$L33:$X33,#REF!)))</f>
        <v>0</v>
      </c>
      <c r="AE33" s="256">
        <f>IF(ISERROR(LOOKUP(AE$16,$L33:$X33,#REF!)),0,(LOOKUP(AE$16,$L33:$X33,#REF!)))</f>
        <v>0</v>
      </c>
      <c r="AF33" s="256">
        <f>IF(ISERROR(LOOKUP(AF$16,$L33:$X33,#REF!)),0,(LOOKUP(AF$16,$L33:$X33,#REF!)))</f>
        <v>0</v>
      </c>
      <c r="AG33" s="256">
        <f>IF(ISERROR(LOOKUP(AG$16,$L33:$X33,#REF!)),0,(LOOKUP(AG$16,$L33:$X33,#REF!)))</f>
        <v>0</v>
      </c>
      <c r="AH33" s="256">
        <f>IF(ISERROR(LOOKUP(AH$16,$L33:$X33,#REF!)),0,(LOOKUP(AH$16,$L33:$X33,#REF!)))</f>
        <v>0</v>
      </c>
      <c r="AI33" s="256">
        <f>IF(ISERROR(LOOKUP(AI$16,$L33:$X33,#REF!)),0,(LOOKUP(AI$16,$L33:$X33,#REF!)))</f>
        <v>0</v>
      </c>
      <c r="AJ33" s="256">
        <f>IF(ISERROR(LOOKUP(AJ$16,$L33:$X33,#REF!)),0,(LOOKUP(AJ$16,$L33:$X33,#REF!)))</f>
        <v>0</v>
      </c>
      <c r="AK33" s="256">
        <f>IF(ISERROR(LOOKUP(AK$16,$L33:$X33,#REF!)),0,(LOOKUP(AK$16,$L33:$X33,#REF!)))</f>
        <v>0</v>
      </c>
      <c r="AL33" s="256">
        <f>IF(ISERROR(LOOKUP(AL$16,$L33:$X33,#REF!)),0,(LOOKUP(AL$16,$L33:$X33,#REF!)))</f>
        <v>0</v>
      </c>
      <c r="AM33" s="256">
        <f ca="1">IF(ISERROR(LOOKUP(AM$16,$L33:$X33,#REF!)),0,(LOOKUP(AM$16,$L33:$X33,#REF!)))</f>
        <v>0</v>
      </c>
      <c r="AO33" s="195">
        <f t="shared" si="0"/>
        <v>14</v>
      </c>
      <c r="AP33" s="247" t="e">
        <f>WORKDAY(IF(T34="",T33,T34),INDEX(AP$12:AP$15,MATCH($I32,$I$12:$I$15,0)),$AW$17:$AW$148)</f>
        <v>#REF!</v>
      </c>
      <c r="AQ33" s="247" t="e">
        <f>WORKDAY(IF(AP34="",AP33,AP34),INDEX(AQ$12:AQ$15,MATCH($I32,$I$12:$I$15,0)),$AW$17:$AW$148)</f>
        <v>#REF!</v>
      </c>
      <c r="AR33" s="247" t="e">
        <f>WORKDAY(IF(AQ34="",AQ33,AQ34),INDEX(AR$12:AR$15,MATCH($I32,$I$12:$I$15,0)),$AW$17:$AW$148)</f>
        <v>#REF!</v>
      </c>
      <c r="AS33" s="257"/>
      <c r="AW33" s="258" t="e">
        <v>#REF!</v>
      </c>
    </row>
    <row r="34" s="195" customFormat="1" ht="18" customHeight="1" spans="1:49">
      <c r="A34" s="241"/>
      <c r="B34" s="262"/>
      <c r="C34" s="263" t="str">
        <f>C32</f>
        <v>RFQ-006</v>
      </c>
      <c r="D34" s="263"/>
      <c r="E34" s="263"/>
      <c r="F34" s="264"/>
      <c r="G34" s="243" t="str">
        <f>G32</f>
        <v>N</v>
      </c>
      <c r="H34" s="263"/>
      <c r="I34" s="243" t="str">
        <f>I32</f>
        <v>LA</v>
      </c>
      <c r="J34" s="246" t="s">
        <v>66</v>
      </c>
      <c r="K34" s="243"/>
      <c r="L34" s="243"/>
      <c r="M34" s="243"/>
      <c r="N34" s="243"/>
      <c r="O34" s="243"/>
      <c r="P34" s="265"/>
      <c r="Q34" s="266"/>
      <c r="R34" s="243"/>
      <c r="S34" s="243"/>
      <c r="T34" s="243"/>
      <c r="U34" s="243"/>
      <c r="V34" s="243"/>
      <c r="W34" s="267"/>
      <c r="X34" s="243"/>
      <c r="Y34" s="300"/>
      <c r="Z34" s="253"/>
      <c r="AA34" s="253"/>
      <c r="AB34" s="254"/>
      <c r="AC34" s="268">
        <f>IF(ISERROR(LOOKUP(AC$16,$L34:$X34,#REF!)),0,(LOOKUP(AC$16,$L34:$X34,#REF!)))</f>
        <v>0</v>
      </c>
      <c r="AD34" s="269">
        <f>IF(ISERROR(LOOKUP(AD$16,$L34:$X34,#REF!)),0,(LOOKUP(AD$16,$L34:$X34,#REF!)))</f>
        <v>0</v>
      </c>
      <c r="AE34" s="269">
        <f>IF(ISERROR(LOOKUP(AE$16,$L34:$X34,#REF!)),0,(LOOKUP(AE$16,$L34:$X34,#REF!)))</f>
        <v>0</v>
      </c>
      <c r="AF34" s="269">
        <f>IF(ISERROR(LOOKUP(AF$16,$L34:$X34,#REF!)),0,(LOOKUP(AF$16,$L34:$X34,#REF!)))</f>
        <v>0</v>
      </c>
      <c r="AG34" s="269">
        <f>IF(ISERROR(LOOKUP(AG$16,$L34:$X34,#REF!)),0,(LOOKUP(AG$16,$L34:$X34,#REF!)))</f>
        <v>0</v>
      </c>
      <c r="AH34" s="269">
        <f>IF(ISERROR(LOOKUP(AH$16,$L34:$X34,#REF!)),0,(LOOKUP(AH$16,$L34:$X34,#REF!)))</f>
        <v>0</v>
      </c>
      <c r="AI34" s="269">
        <f>IF(ISERROR(LOOKUP(AI$16,$L34:$X34,#REF!)),0,(LOOKUP(AI$16,$L34:$X34,#REF!)))</f>
        <v>0</v>
      </c>
      <c r="AJ34" s="269">
        <f>IF(ISERROR(LOOKUP(AJ$16,$L34:$X34,#REF!)),0,(LOOKUP(AJ$16,$L34:$X34,#REF!)))</f>
        <v>0</v>
      </c>
      <c r="AK34" s="269">
        <f>IF(ISERROR(LOOKUP(AK$16,$L34:$X34,#REF!)),0,(LOOKUP(AK$16,$L34:$X34,#REF!)))</f>
        <v>0</v>
      </c>
      <c r="AL34" s="269">
        <f>IF(ISERROR(LOOKUP(AL$16,$L34:$X34,#REF!)),0,(LOOKUP(AL$16,$L34:$X34,#REF!)))</f>
        <v>0</v>
      </c>
      <c r="AM34" s="269">
        <f ca="1">IF(ISERROR(LOOKUP(AM$16,$L34:$X34,#REF!)),0,(LOOKUP(AM$16,$L34:$X34,#REF!)))</f>
        <v>0</v>
      </c>
      <c r="AO34" s="195">
        <f t="shared" si="0"/>
        <v>0</v>
      </c>
      <c r="AP34" s="243"/>
      <c r="AQ34" s="243"/>
      <c r="AR34" s="243"/>
      <c r="AS34" s="257"/>
      <c r="AW34" s="258" t="e">
        <v>#REF!</v>
      </c>
    </row>
    <row r="35" s="196" customFormat="1" ht="18" customHeight="1" spans="1:49">
      <c r="A35" s="270">
        <f>A32+1</f>
        <v>7</v>
      </c>
      <c r="B35" s="242"/>
      <c r="C35" s="271" t="s">
        <v>4778</v>
      </c>
      <c r="D35" s="271" t="s">
        <v>4779</v>
      </c>
      <c r="E35" s="244"/>
      <c r="F35" s="272" t="s">
        <v>58</v>
      </c>
      <c r="G35" s="243" t="s">
        <v>72</v>
      </c>
      <c r="H35" s="244"/>
      <c r="I35" s="243" t="s">
        <v>6</v>
      </c>
      <c r="J35" s="246" t="s">
        <v>4769</v>
      </c>
      <c r="K35" s="247">
        <f>WORKDAY(L35,-INDEX(L$12:L$15,MATCH($I35,$I$12:$I$15,0)))</f>
        <v>46176</v>
      </c>
      <c r="L35" s="247">
        <f>WORKDAY(M35,-INDEX(M$12:M$15,MATCH($I35,$I$12:$I$15,0)))</f>
        <v>46177</v>
      </c>
      <c r="M35" s="247">
        <f>WORKDAY(N35,-INDEX(N$12:N$15,MATCH($I35,$I$12:$I$15,0)))</f>
        <v>46184</v>
      </c>
      <c r="N35" s="247">
        <f>WORKDAY(O35,-INDEX(O$12:O$15,MATCH($I35,$I$12:$I$15,0)))</f>
        <v>46185</v>
      </c>
      <c r="O35" s="247">
        <f>WORKDAY(R35,-INDEX(R$12:R$15,MATCH($I35,$I$12:$I$15,0)))</f>
        <v>46192</v>
      </c>
      <c r="P35" s="248">
        <f>U35-L35</f>
        <v>76</v>
      </c>
      <c r="Q35" s="249"/>
      <c r="R35" s="247">
        <f>WORKDAY(S35,-INDEX(S$12:S$15,MATCH($I35,$I$12:$I$15,0)))</f>
        <v>46206</v>
      </c>
      <c r="S35" s="247">
        <f>WORKDAY(T35,-INDEX(T$12:T$15,MATCH($I35,$I$12:$I$15,0)))</f>
        <v>46234</v>
      </c>
      <c r="T35" s="247">
        <f>WORKDAY(U35,-INDEX(U$12:U$15,MATCH($I35,$I$12:$I$15,0)))</f>
        <v>46239</v>
      </c>
      <c r="U35" s="247">
        <f>X35-Y35</f>
        <v>46253</v>
      </c>
      <c r="V35" s="247">
        <f>WORKDAY(U35,INDEX(V$12:V$15,MATCH($I35,$I$12:$I$15,0)))</f>
        <v>46255</v>
      </c>
      <c r="W35" s="250">
        <f>Y35/7</f>
        <v>32</v>
      </c>
      <c r="X35" s="247">
        <f>Z35</f>
        <v>46477</v>
      </c>
      <c r="Y35" s="251">
        <f>32*7</f>
        <v>224</v>
      </c>
      <c r="Z35" s="253">
        <v>46477</v>
      </c>
      <c r="AA35" s="253">
        <v>46477</v>
      </c>
      <c r="AB35" s="254">
        <f>Z35-X36</f>
        <v>0</v>
      </c>
      <c r="AC35" s="275">
        <f>IF(ISERROR(LOOKUP(AC$16,$L35:$X35,#REF!)),0,(LOOKUP(AC$16,$L35:$X35,#REF!)))</f>
        <v>0</v>
      </c>
      <c r="AD35" s="276">
        <f>IF(ISERROR(LOOKUP(AD$16,$L35:$X35,#REF!)),0,(LOOKUP(AD$16,$L35:$X35,#REF!)))</f>
        <v>0</v>
      </c>
      <c r="AE35" s="276">
        <f>IF(ISERROR(LOOKUP(AE$16,$L35:$X35,#REF!)),0,(LOOKUP(AE$16,$L35:$X35,#REF!)))</f>
        <v>0</v>
      </c>
      <c r="AF35" s="276">
        <f>IF(ISERROR(LOOKUP(AF$16,$L35:$X35,#REF!)),0,(LOOKUP(AF$16,$L35:$X35,#REF!)))</f>
        <v>0</v>
      </c>
      <c r="AG35" s="276">
        <f>IF(ISERROR(LOOKUP(AG$16,$L35:$X35,#REF!)),0,(LOOKUP(AG$16,$L35:$X35,#REF!)))</f>
        <v>0</v>
      </c>
      <c r="AH35" s="276">
        <f>IF(ISERROR(LOOKUP(AH$16,$L35:$X35,#REF!)),0,(LOOKUP(AH$16,$L35:$X35,#REF!)))</f>
        <v>0</v>
      </c>
      <c r="AI35" s="276">
        <f>IF(ISERROR(LOOKUP(AI$16,$L35:$X35,#REF!)),0,(LOOKUP(AI$16,$L35:$X35,#REF!)))</f>
        <v>0</v>
      </c>
      <c r="AJ35" s="276">
        <f>IF(ISERROR(LOOKUP(AJ$16,$L35:$X35,#REF!)),0,(LOOKUP(AJ$16,$L35:$X35,#REF!)))</f>
        <v>0</v>
      </c>
      <c r="AK35" s="276">
        <f>IF(ISERROR(LOOKUP(AK$16,$L35:$X35,#REF!)),0,(LOOKUP(AK$16,$L35:$X35,#REF!)))</f>
        <v>0</v>
      </c>
      <c r="AL35" s="276">
        <f>IF(ISERROR(LOOKUP(AL$16,$L35:$X35,#REF!)),0,(LOOKUP(AL$16,$L35:$X35,#REF!)))</f>
        <v>0</v>
      </c>
      <c r="AM35" s="276">
        <f ca="1">IF(ISERROR(LOOKUP(AM$16,$L35:$X35,#REF!)),0,(LOOKUP(AM$16,$L35:$X35,#REF!)))</f>
        <v>0</v>
      </c>
      <c r="AO35" s="195">
        <f t="shared" si="0"/>
        <v>14</v>
      </c>
      <c r="AP35" s="247" t="e">
        <f>WORKDAY(AQ35,-INDEX(AQ$12:AQ$15,MATCH($I35,$I$12:$I$15,0)),$AW$17:$AW$148)</f>
        <v>#REF!</v>
      </c>
      <c r="AQ35" s="247" t="e">
        <f>WORKDAY(U35,-INDEX(U$12:U$15,MATCH($I35,$I$12:$I$15,0)),$AW$17:$AW$148)</f>
        <v>#REF!</v>
      </c>
      <c r="AR35" s="247" t="e">
        <f>WORKDAY(U35,-INDEX(U$12:U$15,MATCH($I35,$I$12:$I$15,0)),$AW$17:$AW$148)</f>
        <v>#REF!</v>
      </c>
      <c r="AS35" s="257">
        <v>14</v>
      </c>
      <c r="AW35" s="277" t="e">
        <v>#REF!</v>
      </c>
    </row>
    <row r="36" s="196" customFormat="1" ht="18" customHeight="1" spans="1:49">
      <c r="A36" s="270"/>
      <c r="B36" s="259"/>
      <c r="C36" s="271" t="str">
        <f>C35</f>
        <v>RFQ-007</v>
      </c>
      <c r="D36" s="271" t="str">
        <f>D35</f>
        <v>Demulsifier/Water Clarifier Injection Pump</v>
      </c>
      <c r="E36" s="260"/>
      <c r="F36" s="278"/>
      <c r="G36" s="243" t="str">
        <f>G35</f>
        <v>N</v>
      </c>
      <c r="H36" s="260"/>
      <c r="I36" s="243" t="str">
        <f>I35</f>
        <v>LA</v>
      </c>
      <c r="J36" s="246" t="s">
        <v>64</v>
      </c>
      <c r="K36" s="247">
        <f>K35</f>
        <v>46176</v>
      </c>
      <c r="L36" s="247">
        <f>WORKDAY(IF(K37="",K36,K37),INDEX(L$12:L$15,MATCH($I35,$I$12:$I$15,0)))</f>
        <v>46177</v>
      </c>
      <c r="M36" s="247">
        <f>WORKDAY(IF(L37="",L36,L37),INDEX(M$12:M$15,MATCH($I35,$I$12:$I$15,0)))</f>
        <v>46184</v>
      </c>
      <c r="N36" s="247">
        <f>WORKDAY(IF(M37="",M36,M37),INDEX(N$12:N$15,MATCH($I35,$I$12:$I$15,0)))</f>
        <v>46185</v>
      </c>
      <c r="O36" s="247">
        <f>WORKDAY(IF(N37="",N36,N37),INDEX(O$12:O$15,MATCH($I35,$I$12:$I$15,0)))</f>
        <v>46192</v>
      </c>
      <c r="P36" s="248"/>
      <c r="Q36" s="249"/>
      <c r="R36" s="247">
        <f>WORKDAY(IF(O37="",O36,O37),INDEX(R$12:R$15,MATCH($I35,$I$12:$I$15,0)))</f>
        <v>46206</v>
      </c>
      <c r="S36" s="247">
        <f>WORKDAY(IF(R37="",R36,R37),INDEX(S$12:S$15,MATCH($I35,$I$12:$I$15,0)))</f>
        <v>46234</v>
      </c>
      <c r="T36" s="247">
        <f>WORKDAY(IF(S37="",S36,S37),INDEX(T$12:T$15,MATCH($I35,$I$12:$I$15,0)))</f>
        <v>46239</v>
      </c>
      <c r="U36" s="247">
        <f>WORKDAY(IF(T37="",T36,T37),INDEX(U$12:U$15,MATCH($I35,$I$12:$I$15,0)))</f>
        <v>46253</v>
      </c>
      <c r="V36" s="247">
        <f>WORKDAY(IF(U37="",U36,U37),INDEX(V$12:V$15,MATCH($I35,$I$12:$I$15,0)))</f>
        <v>46255</v>
      </c>
      <c r="W36" s="250"/>
      <c r="X36" s="247">
        <f>U36+Y35</f>
        <v>46477</v>
      </c>
      <c r="Y36" s="251"/>
      <c r="Z36" s="253"/>
      <c r="AA36" s="253"/>
      <c r="AB36" s="254"/>
      <c r="AC36" s="275">
        <f>IF(ISERROR(LOOKUP(AC$16,$L36:$X36,#REF!)),0,(LOOKUP(AC$16,$L36:$X36,#REF!)))</f>
        <v>0</v>
      </c>
      <c r="AD36" s="276">
        <f>IF(ISERROR(LOOKUP(AD$16,$L36:$X36,#REF!)),0,(LOOKUP(AD$16,$L36:$X36,#REF!)))</f>
        <v>0</v>
      </c>
      <c r="AE36" s="276">
        <f>IF(ISERROR(LOOKUP(AE$16,$L36:$X36,#REF!)),0,(LOOKUP(AE$16,$L36:$X36,#REF!)))</f>
        <v>0</v>
      </c>
      <c r="AF36" s="276">
        <f>IF(ISERROR(LOOKUP(AF$16,$L36:$X36,#REF!)),0,(LOOKUP(AF$16,$L36:$X36,#REF!)))</f>
        <v>0</v>
      </c>
      <c r="AG36" s="276">
        <f>IF(ISERROR(LOOKUP(AG$16,$L36:$X36,#REF!)),0,(LOOKUP(AG$16,$L36:$X36,#REF!)))</f>
        <v>0</v>
      </c>
      <c r="AH36" s="276">
        <f>IF(ISERROR(LOOKUP(AH$16,$L36:$X36,#REF!)),0,(LOOKUP(AH$16,$L36:$X36,#REF!)))</f>
        <v>0</v>
      </c>
      <c r="AI36" s="276">
        <f>IF(ISERROR(LOOKUP(AI$16,$L36:$X36,#REF!)),0,(LOOKUP(AI$16,$L36:$X36,#REF!)))</f>
        <v>0</v>
      </c>
      <c r="AJ36" s="276">
        <f>IF(ISERROR(LOOKUP(AJ$16,$L36:$X36,#REF!)),0,(LOOKUP(AJ$16,$L36:$X36,#REF!)))</f>
        <v>0</v>
      </c>
      <c r="AK36" s="276">
        <f>IF(ISERROR(LOOKUP(AK$16,$L36:$X36,#REF!)),0,(LOOKUP(AK$16,$L36:$X36,#REF!)))</f>
        <v>0</v>
      </c>
      <c r="AL36" s="276">
        <f>IF(ISERROR(LOOKUP(AL$16,$L36:$X36,#REF!)),0,(LOOKUP(AL$16,$L36:$X36,#REF!)))</f>
        <v>0</v>
      </c>
      <c r="AM36" s="276">
        <f ca="1">IF(ISERROR(LOOKUP(AM$16,$L36:$X36,#REF!)),0,(LOOKUP(AM$16,$L36:$X36,#REF!)))</f>
        <v>0</v>
      </c>
      <c r="AO36" s="195">
        <f t="shared" si="0"/>
        <v>14</v>
      </c>
      <c r="AP36" s="247" t="e">
        <f>WORKDAY(IF(T37="",T36,T37),INDEX(AP$12:AP$15,MATCH($I35,$I$12:$I$15,0)),$AW$17:$AW$148)</f>
        <v>#REF!</v>
      </c>
      <c r="AQ36" s="247" t="e">
        <f>WORKDAY(IF(AP37="",AP36,AP37),INDEX(AQ$12:AQ$15,MATCH($I35,$I$12:$I$15,0)),$AW$17:$AW$148)</f>
        <v>#REF!</v>
      </c>
      <c r="AR36" s="247" t="e">
        <f>WORKDAY(IF(AQ37="",AQ36,AQ37),INDEX(AR$12:AR$15,MATCH($I35,$I$12:$I$15,0)),$AW$17:$AW$148)</f>
        <v>#REF!</v>
      </c>
      <c r="AS36" s="257"/>
      <c r="AW36" s="277" t="e">
        <v>#REF!</v>
      </c>
    </row>
    <row r="37" s="196" customFormat="1" ht="18" customHeight="1" spans="1:49">
      <c r="A37" s="270"/>
      <c r="B37" s="262"/>
      <c r="C37" s="271" t="str">
        <f>C35</f>
        <v>RFQ-007</v>
      </c>
      <c r="D37" s="271" t="str">
        <f>D35</f>
        <v>Demulsifier/Water Clarifier Injection Pump</v>
      </c>
      <c r="E37" s="263"/>
      <c r="F37" s="280"/>
      <c r="G37" s="243" t="str">
        <f>G35</f>
        <v>N</v>
      </c>
      <c r="H37" s="263"/>
      <c r="I37" s="243" t="str">
        <f>I35</f>
        <v>LA</v>
      </c>
      <c r="J37" s="246" t="s">
        <v>66</v>
      </c>
      <c r="K37" s="243"/>
      <c r="L37" s="243"/>
      <c r="M37" s="243"/>
      <c r="N37" s="243"/>
      <c r="O37" s="243"/>
      <c r="P37" s="265"/>
      <c r="Q37" s="266"/>
      <c r="R37" s="243"/>
      <c r="S37" s="243"/>
      <c r="T37" s="243"/>
      <c r="U37" s="243"/>
      <c r="V37" s="243"/>
      <c r="W37" s="267"/>
      <c r="X37" s="243"/>
      <c r="Y37" s="251"/>
      <c r="Z37" s="253"/>
      <c r="AA37" s="253"/>
      <c r="AB37" s="254"/>
      <c r="AC37" s="282">
        <f>IF(ISERROR(LOOKUP(AC$16,$L37:$X37,#REF!)),0,(LOOKUP(AC$16,$L37:$X37,#REF!)))</f>
        <v>0</v>
      </c>
      <c r="AD37" s="283">
        <f>IF(ISERROR(LOOKUP(AD$16,$L37:$X37,#REF!)),0,(LOOKUP(AD$16,$L37:$X37,#REF!)))</f>
        <v>0</v>
      </c>
      <c r="AE37" s="283">
        <f>IF(ISERROR(LOOKUP(AE$16,$L37:$X37,#REF!)),0,(LOOKUP(AE$16,$L37:$X37,#REF!)))</f>
        <v>0</v>
      </c>
      <c r="AF37" s="283">
        <f>IF(ISERROR(LOOKUP(AF$16,$L37:$X37,#REF!)),0,(LOOKUP(AF$16,$L37:$X37,#REF!)))</f>
        <v>0</v>
      </c>
      <c r="AG37" s="283">
        <f>IF(ISERROR(LOOKUP(AG$16,$L37:$X37,#REF!)),0,(LOOKUP(AG$16,$L37:$X37,#REF!)))</f>
        <v>0</v>
      </c>
      <c r="AH37" s="283">
        <f>IF(ISERROR(LOOKUP(AH$16,$L37:$X37,#REF!)),0,(LOOKUP(AH$16,$L37:$X37,#REF!)))</f>
        <v>0</v>
      </c>
      <c r="AI37" s="283">
        <f>IF(ISERROR(LOOKUP(AI$16,$L37:$X37,#REF!)),0,(LOOKUP(AI$16,$L37:$X37,#REF!)))</f>
        <v>0</v>
      </c>
      <c r="AJ37" s="283">
        <f>IF(ISERROR(LOOKUP(AJ$16,$L37:$X37,#REF!)),0,(LOOKUP(AJ$16,$L37:$X37,#REF!)))</f>
        <v>0</v>
      </c>
      <c r="AK37" s="283">
        <f>IF(ISERROR(LOOKUP(AK$16,$L37:$X37,#REF!)),0,(LOOKUP(AK$16,$L37:$X37,#REF!)))</f>
        <v>0</v>
      </c>
      <c r="AL37" s="283">
        <f>IF(ISERROR(LOOKUP(AL$16,$L37:$X37,#REF!)),0,(LOOKUP(AL$16,$L37:$X37,#REF!)))</f>
        <v>0</v>
      </c>
      <c r="AM37" s="283">
        <f ca="1">IF(ISERROR(LOOKUP(AM$16,$L37:$X37,#REF!)),0,(LOOKUP(AM$16,$L37:$X37,#REF!)))</f>
        <v>0</v>
      </c>
      <c r="AO37" s="195">
        <f t="shared" si="0"/>
        <v>0</v>
      </c>
      <c r="AP37" s="243"/>
      <c r="AQ37" s="243"/>
      <c r="AR37" s="243"/>
      <c r="AS37" s="257"/>
      <c r="AW37" s="277" t="e">
        <v>#REF!</v>
      </c>
    </row>
    <row r="38" s="197" customFormat="1" ht="18" customHeight="1" spans="1:49">
      <c r="A38" s="270">
        <f>A35+1</f>
        <v>8</v>
      </c>
      <c r="B38" s="242"/>
      <c r="C38" s="288" t="s">
        <v>4780</v>
      </c>
      <c r="D38" s="288" t="s">
        <v>4781</v>
      </c>
      <c r="E38" s="244"/>
      <c r="F38" s="288" t="s">
        <v>58</v>
      </c>
      <c r="G38" s="243" t="str">
        <f>IF(_xlfn.XLOOKUP(C38,'[36]Before Award'!D:D,'[36]Before Award'!AV:AV,"N/A")="N/A","N","Y")</f>
        <v>N</v>
      </c>
      <c r="H38" s="244"/>
      <c r="I38" s="243" t="s">
        <v>4782</v>
      </c>
      <c r="J38" s="246" t="s">
        <v>4769</v>
      </c>
      <c r="K38" s="247">
        <v>46162</v>
      </c>
      <c r="L38" s="247">
        <v>46163</v>
      </c>
      <c r="M38" s="247">
        <v>46168</v>
      </c>
      <c r="N38" s="247">
        <v>46169</v>
      </c>
      <c r="O38" s="247">
        <v>46174</v>
      </c>
      <c r="P38" s="248">
        <f>U38-L38</f>
        <v>71</v>
      </c>
      <c r="Q38" s="249"/>
      <c r="R38" s="247">
        <v>46188</v>
      </c>
      <c r="S38" s="247">
        <v>46216</v>
      </c>
      <c r="T38" s="247">
        <v>46219</v>
      </c>
      <c r="U38" s="247">
        <v>46234</v>
      </c>
      <c r="V38" s="247">
        <v>46241</v>
      </c>
      <c r="W38" s="250">
        <v>26</v>
      </c>
      <c r="X38" s="247">
        <v>46416</v>
      </c>
      <c r="Y38" s="251">
        <f>W38*7</f>
        <v>182</v>
      </c>
      <c r="Z38" s="253">
        <v>46416</v>
      </c>
      <c r="AA38" s="253">
        <v>46416</v>
      </c>
      <c r="AB38" s="254">
        <f>Z38-X39</f>
        <v>0</v>
      </c>
      <c r="AC38" s="290">
        <f>IF(ISERROR(LOOKUP(AC$16,$L38:$X38,#REF!)),0,(LOOKUP(AC$16,$L38:$X38,#REF!)))</f>
        <v>0</v>
      </c>
      <c r="AD38" s="291">
        <f>IF(ISERROR(LOOKUP(AD$16,$L38:$X38,#REF!)),0,(LOOKUP(AD$16,$L38:$X38,#REF!)))</f>
        <v>0</v>
      </c>
      <c r="AE38" s="291">
        <f>IF(ISERROR(LOOKUP(AE$16,$L38:$X38,#REF!)),0,(LOOKUP(AE$16,$L38:$X38,#REF!)))</f>
        <v>0</v>
      </c>
      <c r="AF38" s="291">
        <f>IF(ISERROR(LOOKUP(AF$16,$L38:$X38,#REF!)),0,(LOOKUP(AF$16,$L38:$X38,#REF!)))</f>
        <v>0</v>
      </c>
      <c r="AG38" s="291">
        <f>IF(ISERROR(LOOKUP(AG$16,$L38:$X38,#REF!)),0,(LOOKUP(AG$16,$L38:$X38,#REF!)))</f>
        <v>0</v>
      </c>
      <c r="AH38" s="291">
        <f>IF(ISERROR(LOOKUP(AH$16,$L38:$X38,#REF!)),0,(LOOKUP(AH$16,$L38:$X38,#REF!)))</f>
        <v>0</v>
      </c>
      <c r="AI38" s="291">
        <f>IF(ISERROR(LOOKUP(AI$16,$L38:$X38,#REF!)),0,(LOOKUP(AI$16,$L38:$X38,#REF!)))</f>
        <v>0</v>
      </c>
      <c r="AJ38" s="291">
        <f>IF(ISERROR(LOOKUP(AJ$16,$L38:$X38,#REF!)),0,(LOOKUP(AJ$16,$L38:$X38,#REF!)))</f>
        <v>0</v>
      </c>
      <c r="AK38" s="291">
        <f>IF(ISERROR(LOOKUP(AK$16,$L38:$X38,#REF!)),0,(LOOKUP(AK$16,$L38:$X38,#REF!)))</f>
        <v>0</v>
      </c>
      <c r="AL38" s="291">
        <f>IF(ISERROR(LOOKUP(AL$16,$L38:$X38,#REF!)),0,(LOOKUP(AL$16,$L38:$X38,#REF!)))</f>
        <v>0</v>
      </c>
      <c r="AM38" s="291">
        <f ca="1">IF(ISERROR(LOOKUP(AM$16,$L38:$X38,#REF!)),0,(LOOKUP(AM$16,$L38:$X38,#REF!)))</f>
        <v>0</v>
      </c>
      <c r="AO38" s="195">
        <f t="shared" si="0"/>
        <v>15</v>
      </c>
      <c r="AP38" s="247">
        <v>46223</v>
      </c>
      <c r="AQ38" s="247">
        <v>46227</v>
      </c>
      <c r="AR38" s="247">
        <v>46227</v>
      </c>
      <c r="AS38" s="257">
        <v>14</v>
      </c>
      <c r="AW38" s="292" t="e">
        <v>#REF!</v>
      </c>
    </row>
    <row r="39" s="197" customFormat="1" ht="18" customHeight="1" spans="1:49">
      <c r="A39" s="270"/>
      <c r="B39" s="259"/>
      <c r="C39" s="288" t="str">
        <f>C38</f>
        <v>RFQ-008</v>
      </c>
      <c r="D39" s="288" t="str">
        <f>D38</f>
        <v>De-Oiler Hydrocyclone</v>
      </c>
      <c r="E39" s="260"/>
      <c r="F39" s="288"/>
      <c r="G39" s="243" t="str">
        <f>G38</f>
        <v>N</v>
      </c>
      <c r="H39" s="260"/>
      <c r="I39" s="243" t="str">
        <f>I38</f>
        <v>  </v>
      </c>
      <c r="J39" s="246" t="s">
        <v>64</v>
      </c>
      <c r="K39" s="247">
        <v>46162</v>
      </c>
      <c r="L39" s="247">
        <v>46163</v>
      </c>
      <c r="M39" s="247">
        <v>46168</v>
      </c>
      <c r="N39" s="247">
        <v>46169</v>
      </c>
      <c r="O39" s="247">
        <v>46174</v>
      </c>
      <c r="P39" s="248"/>
      <c r="Q39" s="249"/>
      <c r="R39" s="247">
        <v>46188</v>
      </c>
      <c r="S39" s="247">
        <v>46216</v>
      </c>
      <c r="T39" s="247">
        <v>46219</v>
      </c>
      <c r="U39" s="247">
        <v>46234</v>
      </c>
      <c r="V39" s="247">
        <v>46241</v>
      </c>
      <c r="W39" s="250"/>
      <c r="X39" s="247">
        <v>46416</v>
      </c>
      <c r="Y39" s="251"/>
      <c r="Z39" s="253"/>
      <c r="AA39" s="253"/>
      <c r="AB39" s="254"/>
      <c r="AC39" s="290">
        <f>IF(ISERROR(LOOKUP(AC$16,$L39:$X39,#REF!)),0,(LOOKUP(AC$16,$L39:$X39,#REF!)))</f>
        <v>0</v>
      </c>
      <c r="AD39" s="291">
        <f>IF(ISERROR(LOOKUP(AD$16,$L39:$X39,#REF!)),0,(LOOKUP(AD$16,$L39:$X39,#REF!)))</f>
        <v>0</v>
      </c>
      <c r="AE39" s="291">
        <f>IF(ISERROR(LOOKUP(AE$16,$L39:$X39,#REF!)),0,(LOOKUP(AE$16,$L39:$X39,#REF!)))</f>
        <v>0</v>
      </c>
      <c r="AF39" s="291">
        <f>IF(ISERROR(LOOKUP(AF$16,$L39:$X39,#REF!)),0,(LOOKUP(AF$16,$L39:$X39,#REF!)))</f>
        <v>0</v>
      </c>
      <c r="AG39" s="291">
        <f>IF(ISERROR(LOOKUP(AG$16,$L39:$X39,#REF!)),0,(LOOKUP(AG$16,$L39:$X39,#REF!)))</f>
        <v>0</v>
      </c>
      <c r="AH39" s="291">
        <f>IF(ISERROR(LOOKUP(AH$16,$L39:$X39,#REF!)),0,(LOOKUP(AH$16,$L39:$X39,#REF!)))</f>
        <v>0</v>
      </c>
      <c r="AI39" s="291">
        <f>IF(ISERROR(LOOKUP(AI$16,$L39:$X39,#REF!)),0,(LOOKUP(AI$16,$L39:$X39,#REF!)))</f>
        <v>0</v>
      </c>
      <c r="AJ39" s="291">
        <f>IF(ISERROR(LOOKUP(AJ$16,$L39:$X39,#REF!)),0,(LOOKUP(AJ$16,$L39:$X39,#REF!)))</f>
        <v>0</v>
      </c>
      <c r="AK39" s="291">
        <f>IF(ISERROR(LOOKUP(AK$16,$L39:$X39,#REF!)),0,(LOOKUP(AK$16,$L39:$X39,#REF!)))</f>
        <v>0</v>
      </c>
      <c r="AL39" s="291">
        <f>IF(ISERROR(LOOKUP(AL$16,$L39:$X39,#REF!)),0,(LOOKUP(AL$16,$L39:$X39,#REF!)))</f>
        <v>0</v>
      </c>
      <c r="AM39" s="291">
        <f ca="1">IF(ISERROR(LOOKUP(AM$16,$L39:$X39,#REF!)),0,(LOOKUP(AM$16,$L39:$X39,#REF!)))</f>
        <v>0</v>
      </c>
      <c r="AO39" s="195">
        <f t="shared" si="0"/>
        <v>15</v>
      </c>
      <c r="AP39" s="247">
        <v>46223</v>
      </c>
      <c r="AQ39" s="247">
        <v>46227</v>
      </c>
      <c r="AR39" s="247">
        <v>46234</v>
      </c>
      <c r="AS39" s="257"/>
      <c r="AW39" s="292" t="e">
        <v>#REF!</v>
      </c>
    </row>
    <row r="40" s="197" customFormat="1" ht="18" customHeight="1" spans="1:49">
      <c r="A40" s="270"/>
      <c r="B40" s="262"/>
      <c r="C40" s="294" t="str">
        <f>C38</f>
        <v>RFQ-008</v>
      </c>
      <c r="D40" s="294" t="str">
        <f>D38</f>
        <v>De-Oiler Hydrocyclone</v>
      </c>
      <c r="E40" s="263"/>
      <c r="F40" s="294"/>
      <c r="G40" s="243" t="str">
        <f>G38</f>
        <v>N</v>
      </c>
      <c r="H40" s="263"/>
      <c r="I40" s="243" t="str">
        <f>I38</f>
        <v>  </v>
      </c>
      <c r="J40" s="246" t="s">
        <v>66</v>
      </c>
      <c r="K40" s="243"/>
      <c r="L40" s="243"/>
      <c r="M40" s="243"/>
      <c r="N40" s="243"/>
      <c r="O40" s="243"/>
      <c r="P40" s="265"/>
      <c r="Q40" s="266"/>
      <c r="R40" s="243"/>
      <c r="S40" s="243"/>
      <c r="T40" s="243"/>
      <c r="U40" s="243"/>
      <c r="V40" s="243"/>
      <c r="W40" s="267"/>
      <c r="X40" s="243"/>
      <c r="Y40" s="251"/>
      <c r="Z40" s="253"/>
      <c r="AA40" s="253"/>
      <c r="AB40" s="254"/>
      <c r="AC40" s="296">
        <f>IF(ISERROR(LOOKUP(AC$16,$L40:$X40,#REF!)),0,(LOOKUP(AC$16,$L40:$X40,#REF!)))</f>
        <v>0</v>
      </c>
      <c r="AD40" s="297">
        <f>IF(ISERROR(LOOKUP(AD$16,$L40:$X40,#REF!)),0,(LOOKUP(AD$16,$L40:$X40,#REF!)))</f>
        <v>0</v>
      </c>
      <c r="AE40" s="297">
        <f>IF(ISERROR(LOOKUP(AE$16,$L40:$X40,#REF!)),0,(LOOKUP(AE$16,$L40:$X40,#REF!)))</f>
        <v>0</v>
      </c>
      <c r="AF40" s="297">
        <f>IF(ISERROR(LOOKUP(AF$16,$L40:$X40,#REF!)),0,(LOOKUP(AF$16,$L40:$X40,#REF!)))</f>
        <v>0</v>
      </c>
      <c r="AG40" s="297">
        <f>IF(ISERROR(LOOKUP(AG$16,$L40:$X40,#REF!)),0,(LOOKUP(AG$16,$L40:$X40,#REF!)))</f>
        <v>0</v>
      </c>
      <c r="AH40" s="297">
        <f>IF(ISERROR(LOOKUP(AH$16,$L40:$X40,#REF!)),0,(LOOKUP(AH$16,$L40:$X40,#REF!)))</f>
        <v>0</v>
      </c>
      <c r="AI40" s="297">
        <f>IF(ISERROR(LOOKUP(AI$16,$L40:$X40,#REF!)),0,(LOOKUP(AI$16,$L40:$X40,#REF!)))</f>
        <v>0</v>
      </c>
      <c r="AJ40" s="297">
        <f>IF(ISERROR(LOOKUP(AJ$16,$L40:$X40,#REF!)),0,(LOOKUP(AJ$16,$L40:$X40,#REF!)))</f>
        <v>0</v>
      </c>
      <c r="AK40" s="297">
        <f>IF(ISERROR(LOOKUP(AK$16,$L40:$X40,#REF!)),0,(LOOKUP(AK$16,$L40:$X40,#REF!)))</f>
        <v>0</v>
      </c>
      <c r="AL40" s="297">
        <f>IF(ISERROR(LOOKUP(AL$16,$L40:$X40,#REF!)),0,(LOOKUP(AL$16,$L40:$X40,#REF!)))</f>
        <v>0</v>
      </c>
      <c r="AM40" s="297">
        <f ca="1">IF(ISERROR(LOOKUP(AM$16,$L40:$X40,#REF!)),0,(LOOKUP(AM$16,$L40:$X40,#REF!)))</f>
        <v>0</v>
      </c>
      <c r="AO40" s="195">
        <f t="shared" si="0"/>
        <v>0</v>
      </c>
      <c r="AP40" s="243"/>
      <c r="AQ40" s="243"/>
      <c r="AR40" s="243"/>
      <c r="AS40" s="257"/>
      <c r="AW40" s="292" t="e">
        <v>#REF!</v>
      </c>
    </row>
    <row r="41" s="197" customFormat="1" ht="18" customHeight="1" spans="1:49">
      <c r="A41" s="270">
        <f>A38+1</f>
        <v>9</v>
      </c>
      <c r="B41" s="242"/>
      <c r="C41" s="288" t="s">
        <v>4783</v>
      </c>
      <c r="D41" s="288" t="s">
        <v>4784</v>
      </c>
      <c r="E41" s="244"/>
      <c r="F41" s="288" t="s">
        <v>58</v>
      </c>
      <c r="G41" s="243" t="str">
        <f>IF(_xlfn.XLOOKUP(C41,'[36]Before Award'!D:D,'[36]Before Award'!AV:AV,"N/A")="N/A","N","Y")</f>
        <v>N</v>
      </c>
      <c r="H41" s="244"/>
      <c r="I41" s="243" t="s">
        <v>6</v>
      </c>
      <c r="J41" s="246" t="s">
        <v>4769</v>
      </c>
      <c r="K41" s="247">
        <v>46162</v>
      </c>
      <c r="L41" s="247">
        <v>46163</v>
      </c>
      <c r="M41" s="247">
        <v>46168</v>
      </c>
      <c r="N41" s="247">
        <v>46169</v>
      </c>
      <c r="O41" s="247">
        <v>46174</v>
      </c>
      <c r="P41" s="248">
        <f>U41-L41</f>
        <v>71</v>
      </c>
      <c r="Q41" s="249"/>
      <c r="R41" s="247">
        <v>46188</v>
      </c>
      <c r="S41" s="247">
        <v>46216</v>
      </c>
      <c r="T41" s="247">
        <v>46219</v>
      </c>
      <c r="U41" s="247">
        <v>46234</v>
      </c>
      <c r="V41" s="247">
        <v>46241</v>
      </c>
      <c r="W41" s="250">
        <v>26</v>
      </c>
      <c r="X41" s="247">
        <v>46416</v>
      </c>
      <c r="Y41" s="251">
        <f>W41*7</f>
        <v>182</v>
      </c>
      <c r="Z41" s="253">
        <v>46416</v>
      </c>
      <c r="AA41" s="253">
        <v>46416</v>
      </c>
      <c r="AB41" s="254">
        <f>Z41-X42</f>
        <v>0</v>
      </c>
      <c r="AC41" s="290">
        <f>IF(ISERROR(LOOKUP(AC$16,$L41:$X41,#REF!)),0,(LOOKUP(AC$16,$L41:$X41,#REF!)))</f>
        <v>0</v>
      </c>
      <c r="AD41" s="291">
        <f>IF(ISERROR(LOOKUP(AD$16,$L41:$X41,#REF!)),0,(LOOKUP(AD$16,$L41:$X41,#REF!)))</f>
        <v>0</v>
      </c>
      <c r="AE41" s="291">
        <f>IF(ISERROR(LOOKUP(AE$16,$L41:$X41,#REF!)),0,(LOOKUP(AE$16,$L41:$X41,#REF!)))</f>
        <v>0</v>
      </c>
      <c r="AF41" s="291">
        <f>IF(ISERROR(LOOKUP(AF$16,$L41:$X41,#REF!)),0,(LOOKUP(AF$16,$L41:$X41,#REF!)))</f>
        <v>0</v>
      </c>
      <c r="AG41" s="291">
        <f>IF(ISERROR(LOOKUP(AG$16,$L41:$X41,#REF!)),0,(LOOKUP(AG$16,$L41:$X41,#REF!)))</f>
        <v>0</v>
      </c>
      <c r="AH41" s="291">
        <f>IF(ISERROR(LOOKUP(AH$16,$L41:$X41,#REF!)),0,(LOOKUP(AH$16,$L41:$X41,#REF!)))</f>
        <v>0</v>
      </c>
      <c r="AI41" s="291">
        <f>IF(ISERROR(LOOKUP(AI$16,$L41:$X41,#REF!)),0,(LOOKUP(AI$16,$L41:$X41,#REF!)))</f>
        <v>0</v>
      </c>
      <c r="AJ41" s="291">
        <f>IF(ISERROR(LOOKUP(AJ$16,$L41:$X41,#REF!)),0,(LOOKUP(AJ$16,$L41:$X41,#REF!)))</f>
        <v>0</v>
      </c>
      <c r="AK41" s="291">
        <f>IF(ISERROR(LOOKUP(AK$16,$L41:$X41,#REF!)),0,(LOOKUP(AK$16,$L41:$X41,#REF!)))</f>
        <v>0</v>
      </c>
      <c r="AL41" s="291">
        <f>IF(ISERROR(LOOKUP(AL$16,$L41:$X41,#REF!)),0,(LOOKUP(AL$16,$L41:$X41,#REF!)))</f>
        <v>0</v>
      </c>
      <c r="AM41" s="291">
        <f ca="1">IF(ISERROR(LOOKUP(AM$16,$L41:$X41,#REF!)),0,(LOOKUP(AM$16,$L41:$X41,#REF!)))</f>
        <v>0</v>
      </c>
      <c r="AO41" s="195">
        <f t="shared" si="0"/>
        <v>15</v>
      </c>
      <c r="AP41" s="247">
        <v>46223</v>
      </c>
      <c r="AQ41" s="247">
        <v>46227</v>
      </c>
      <c r="AR41" s="247">
        <v>46227</v>
      </c>
      <c r="AS41" s="257">
        <v>14</v>
      </c>
      <c r="AW41" s="292" t="e">
        <v>#REF!</v>
      </c>
    </row>
    <row r="42" s="197" customFormat="1" ht="18" customHeight="1" spans="1:49">
      <c r="A42" s="270"/>
      <c r="B42" s="259"/>
      <c r="C42" s="288" t="str">
        <f>C41</f>
        <v>RFQ-009</v>
      </c>
      <c r="D42" s="288" t="str">
        <f>D41</f>
        <v>Degasser</v>
      </c>
      <c r="E42" s="260"/>
      <c r="F42" s="288"/>
      <c r="G42" s="243" t="str">
        <f>G41</f>
        <v>N</v>
      </c>
      <c r="H42" s="260"/>
      <c r="I42" s="243" t="str">
        <f>I41</f>
        <v>LA</v>
      </c>
      <c r="J42" s="246" t="s">
        <v>64</v>
      </c>
      <c r="K42" s="247">
        <v>46162</v>
      </c>
      <c r="L42" s="247">
        <v>46163</v>
      </c>
      <c r="M42" s="247">
        <v>46168</v>
      </c>
      <c r="N42" s="247">
        <v>46169</v>
      </c>
      <c r="O42" s="247">
        <v>46174</v>
      </c>
      <c r="P42" s="248"/>
      <c r="Q42" s="249"/>
      <c r="R42" s="247">
        <v>46188</v>
      </c>
      <c r="S42" s="247">
        <v>46216</v>
      </c>
      <c r="T42" s="247">
        <v>46219</v>
      </c>
      <c r="U42" s="247">
        <v>46234</v>
      </c>
      <c r="V42" s="247">
        <v>46241</v>
      </c>
      <c r="W42" s="250"/>
      <c r="X42" s="247">
        <v>46416</v>
      </c>
      <c r="Y42" s="251"/>
      <c r="Z42" s="253"/>
      <c r="AA42" s="253"/>
      <c r="AB42" s="254"/>
      <c r="AC42" s="290">
        <f>IF(ISERROR(LOOKUP(AC$16,$L42:$X42,#REF!)),0,(LOOKUP(AC$16,$L42:$X42,#REF!)))</f>
        <v>0</v>
      </c>
      <c r="AD42" s="291">
        <f>IF(ISERROR(LOOKUP(AD$16,$L42:$X42,#REF!)),0,(LOOKUP(AD$16,$L42:$X42,#REF!)))</f>
        <v>0</v>
      </c>
      <c r="AE42" s="291">
        <f>IF(ISERROR(LOOKUP(AE$16,$L42:$X42,#REF!)),0,(LOOKUP(AE$16,$L42:$X42,#REF!)))</f>
        <v>0</v>
      </c>
      <c r="AF42" s="291">
        <f>IF(ISERROR(LOOKUP(AF$16,$L42:$X42,#REF!)),0,(LOOKUP(AF$16,$L42:$X42,#REF!)))</f>
        <v>0</v>
      </c>
      <c r="AG42" s="291">
        <f>IF(ISERROR(LOOKUP(AG$16,$L42:$X42,#REF!)),0,(LOOKUP(AG$16,$L42:$X42,#REF!)))</f>
        <v>0</v>
      </c>
      <c r="AH42" s="291">
        <f>IF(ISERROR(LOOKUP(AH$16,$L42:$X42,#REF!)),0,(LOOKUP(AH$16,$L42:$X42,#REF!)))</f>
        <v>0</v>
      </c>
      <c r="AI42" s="291">
        <f>IF(ISERROR(LOOKUP(AI$16,$L42:$X42,#REF!)),0,(LOOKUP(AI$16,$L42:$X42,#REF!)))</f>
        <v>0</v>
      </c>
      <c r="AJ42" s="291">
        <f>IF(ISERROR(LOOKUP(AJ$16,$L42:$X42,#REF!)),0,(LOOKUP(AJ$16,$L42:$X42,#REF!)))</f>
        <v>0</v>
      </c>
      <c r="AK42" s="291">
        <f>IF(ISERROR(LOOKUP(AK$16,$L42:$X42,#REF!)),0,(LOOKUP(AK$16,$L42:$X42,#REF!)))</f>
        <v>0</v>
      </c>
      <c r="AL42" s="291">
        <f>IF(ISERROR(LOOKUP(AL$16,$L42:$X42,#REF!)),0,(LOOKUP(AL$16,$L42:$X42,#REF!)))</f>
        <v>0</v>
      </c>
      <c r="AM42" s="291">
        <f ca="1">IF(ISERROR(LOOKUP(AM$16,$L42:$X42,#REF!)),0,(LOOKUP(AM$16,$L42:$X42,#REF!)))</f>
        <v>0</v>
      </c>
      <c r="AO42" s="195">
        <f t="shared" si="0"/>
        <v>15</v>
      </c>
      <c r="AP42" s="247">
        <v>46223</v>
      </c>
      <c r="AQ42" s="247">
        <v>46227</v>
      </c>
      <c r="AR42" s="247">
        <v>46234</v>
      </c>
      <c r="AS42" s="257"/>
      <c r="AW42" s="292" t="e">
        <v>#REF!</v>
      </c>
    </row>
    <row r="43" s="197" customFormat="1" ht="18" customHeight="1" spans="1:49">
      <c r="A43" s="270"/>
      <c r="B43" s="262"/>
      <c r="C43" s="294" t="str">
        <f>C41</f>
        <v>RFQ-009</v>
      </c>
      <c r="D43" s="294" t="str">
        <f>D41</f>
        <v>Degasser</v>
      </c>
      <c r="E43" s="263"/>
      <c r="F43" s="294"/>
      <c r="G43" s="243" t="str">
        <f>G41</f>
        <v>N</v>
      </c>
      <c r="H43" s="263"/>
      <c r="I43" s="243" t="str">
        <f>I41</f>
        <v>LA</v>
      </c>
      <c r="J43" s="246" t="s">
        <v>66</v>
      </c>
      <c r="K43" s="243"/>
      <c r="L43" s="243"/>
      <c r="M43" s="243"/>
      <c r="N43" s="243"/>
      <c r="O43" s="243"/>
      <c r="P43" s="265"/>
      <c r="Q43" s="266"/>
      <c r="R43" s="243"/>
      <c r="S43" s="243"/>
      <c r="T43" s="243"/>
      <c r="U43" s="243"/>
      <c r="V43" s="243"/>
      <c r="W43" s="267"/>
      <c r="X43" s="243"/>
      <c r="Y43" s="251"/>
      <c r="Z43" s="253"/>
      <c r="AA43" s="253"/>
      <c r="AB43" s="254"/>
      <c r="AC43" s="296">
        <f>IF(ISERROR(LOOKUP(AC$16,$L43:$X43,#REF!)),0,(LOOKUP(AC$16,$L43:$X43,#REF!)))</f>
        <v>0</v>
      </c>
      <c r="AD43" s="297">
        <f>IF(ISERROR(LOOKUP(AD$16,$L43:$X43,#REF!)),0,(LOOKUP(AD$16,$L43:$X43,#REF!)))</f>
        <v>0</v>
      </c>
      <c r="AE43" s="297">
        <f>IF(ISERROR(LOOKUP(AE$16,$L43:$X43,#REF!)),0,(LOOKUP(AE$16,$L43:$X43,#REF!)))</f>
        <v>0</v>
      </c>
      <c r="AF43" s="297">
        <f>IF(ISERROR(LOOKUP(AF$16,$L43:$X43,#REF!)),0,(LOOKUP(AF$16,$L43:$X43,#REF!)))</f>
        <v>0</v>
      </c>
      <c r="AG43" s="297">
        <f>IF(ISERROR(LOOKUP(AG$16,$L43:$X43,#REF!)),0,(LOOKUP(AG$16,$L43:$X43,#REF!)))</f>
        <v>0</v>
      </c>
      <c r="AH43" s="297">
        <f>IF(ISERROR(LOOKUP(AH$16,$L43:$X43,#REF!)),0,(LOOKUP(AH$16,$L43:$X43,#REF!)))</f>
        <v>0</v>
      </c>
      <c r="AI43" s="297">
        <f>IF(ISERROR(LOOKUP(AI$16,$L43:$X43,#REF!)),0,(LOOKUP(AI$16,$L43:$X43,#REF!)))</f>
        <v>0</v>
      </c>
      <c r="AJ43" s="297">
        <f>IF(ISERROR(LOOKUP(AJ$16,$L43:$X43,#REF!)),0,(LOOKUP(AJ$16,$L43:$X43,#REF!)))</f>
        <v>0</v>
      </c>
      <c r="AK43" s="297">
        <f>IF(ISERROR(LOOKUP(AK$16,$L43:$X43,#REF!)),0,(LOOKUP(AK$16,$L43:$X43,#REF!)))</f>
        <v>0</v>
      </c>
      <c r="AL43" s="297">
        <f>IF(ISERROR(LOOKUP(AL$16,$L43:$X43,#REF!)),0,(LOOKUP(AL$16,$L43:$X43,#REF!)))</f>
        <v>0</v>
      </c>
      <c r="AM43" s="297">
        <f ca="1">IF(ISERROR(LOOKUP(AM$16,$L43:$X43,#REF!)),0,(LOOKUP(AM$16,$L43:$X43,#REF!)))</f>
        <v>0</v>
      </c>
      <c r="AO43" s="195">
        <f t="shared" si="0"/>
        <v>0</v>
      </c>
      <c r="AP43" s="243"/>
      <c r="AQ43" s="243"/>
      <c r="AR43" s="243"/>
      <c r="AS43" s="257"/>
      <c r="AW43" s="292" t="e">
        <v>#REF!</v>
      </c>
    </row>
    <row r="44" s="197" customFormat="1" ht="18.6" customHeight="1" spans="1:49">
      <c r="A44" s="270">
        <f>A41+1</f>
        <v>10</v>
      </c>
      <c r="B44" s="242"/>
      <c r="C44" s="288" t="s">
        <v>4785</v>
      </c>
      <c r="D44" s="288" t="s">
        <v>101</v>
      </c>
      <c r="E44" s="244"/>
      <c r="F44" s="288" t="s">
        <v>58</v>
      </c>
      <c r="G44" s="243" t="str">
        <f>IF(_xlfn.XLOOKUP(C44,'[36]Before Award'!D:D,'[36]Before Award'!AV:AV,"N/A")="N/A","N","Y")</f>
        <v>N</v>
      </c>
      <c r="H44" s="244"/>
      <c r="I44" s="243" t="s">
        <v>6</v>
      </c>
      <c r="J44" s="246" t="s">
        <v>4769</v>
      </c>
      <c r="K44" s="247">
        <v>46162</v>
      </c>
      <c r="L44" s="247">
        <v>46163</v>
      </c>
      <c r="M44" s="247">
        <v>46168</v>
      </c>
      <c r="N44" s="247">
        <v>46169</v>
      </c>
      <c r="O44" s="247">
        <v>46174</v>
      </c>
      <c r="P44" s="248">
        <f>U44-L44</f>
        <v>71</v>
      </c>
      <c r="Q44" s="249"/>
      <c r="R44" s="247">
        <v>46188</v>
      </c>
      <c r="S44" s="247">
        <v>46216</v>
      </c>
      <c r="T44" s="247">
        <v>46219</v>
      </c>
      <c r="U44" s="247">
        <v>46234</v>
      </c>
      <c r="V44" s="247">
        <v>46241</v>
      </c>
      <c r="W44" s="250">
        <v>26</v>
      </c>
      <c r="X44" s="247">
        <v>46416</v>
      </c>
      <c r="Y44" s="251">
        <f>W44*7</f>
        <v>182</v>
      </c>
      <c r="Z44" s="253">
        <v>46416</v>
      </c>
      <c r="AA44" s="253">
        <v>46416</v>
      </c>
      <c r="AB44" s="254">
        <f>Z44-X45</f>
        <v>0</v>
      </c>
      <c r="AC44" s="290">
        <f>IF(ISERROR(LOOKUP(AC$16,$L44:$X44,#REF!)),0,(LOOKUP(AC$16,$L44:$X44,#REF!)))</f>
        <v>0</v>
      </c>
      <c r="AD44" s="291">
        <f>IF(ISERROR(LOOKUP(AD$16,$L44:$X44,#REF!)),0,(LOOKUP(AD$16,$L44:$X44,#REF!)))</f>
        <v>0</v>
      </c>
      <c r="AE44" s="291">
        <f>IF(ISERROR(LOOKUP(AE$16,$L44:$X44,#REF!)),0,(LOOKUP(AE$16,$L44:$X44,#REF!)))</f>
        <v>0</v>
      </c>
      <c r="AF44" s="291">
        <f>IF(ISERROR(LOOKUP(AF$16,$L44:$X44,#REF!)),0,(LOOKUP(AF$16,$L44:$X44,#REF!)))</f>
        <v>0</v>
      </c>
      <c r="AG44" s="291">
        <f>IF(ISERROR(LOOKUP(AG$16,$L44:$X44,#REF!)),0,(LOOKUP(AG$16,$L44:$X44,#REF!)))</f>
        <v>0</v>
      </c>
      <c r="AH44" s="291">
        <f>IF(ISERROR(LOOKUP(AH$16,$L44:$X44,#REF!)),0,(LOOKUP(AH$16,$L44:$X44,#REF!)))</f>
        <v>0</v>
      </c>
      <c r="AI44" s="291">
        <f>IF(ISERROR(LOOKUP(AI$16,$L44:$X44,#REF!)),0,(LOOKUP(AI$16,$L44:$X44,#REF!)))</f>
        <v>0</v>
      </c>
      <c r="AJ44" s="291">
        <f>IF(ISERROR(LOOKUP(AJ$16,$L44:$X44,#REF!)),0,(LOOKUP(AJ$16,$L44:$X44,#REF!)))</f>
        <v>0</v>
      </c>
      <c r="AK44" s="291">
        <f>IF(ISERROR(LOOKUP(AK$16,$L44:$X44,#REF!)),0,(LOOKUP(AK$16,$L44:$X44,#REF!)))</f>
        <v>0</v>
      </c>
      <c r="AL44" s="291">
        <f>IF(ISERROR(LOOKUP(AL$16,$L44:$X44,#REF!)),0,(LOOKUP(AL$16,$L44:$X44,#REF!)))</f>
        <v>0</v>
      </c>
      <c r="AM44" s="291">
        <f ca="1">IF(ISERROR(LOOKUP(AM$16,$L44:$X44,#REF!)),0,(LOOKUP(AM$16,$L44:$X44,#REF!)))</f>
        <v>0</v>
      </c>
      <c r="AO44" s="195">
        <f t="shared" si="0"/>
        <v>15</v>
      </c>
      <c r="AP44" s="247">
        <v>46223</v>
      </c>
      <c r="AQ44" s="247">
        <v>46227</v>
      </c>
      <c r="AR44" s="247">
        <v>46227</v>
      </c>
      <c r="AS44" s="257">
        <v>14</v>
      </c>
      <c r="AW44" s="292" t="e">
        <v>#REF!</v>
      </c>
    </row>
    <row r="45" s="197" customFormat="1" ht="18.6" customHeight="1" spans="1:49">
      <c r="A45" s="270"/>
      <c r="B45" s="259"/>
      <c r="C45" s="288" t="str">
        <f>C44</f>
        <v>RFQ-010</v>
      </c>
      <c r="D45" s="288" t="str">
        <f>D44</f>
        <v>Skim Tank Vessel</v>
      </c>
      <c r="E45" s="260"/>
      <c r="F45" s="288"/>
      <c r="G45" s="243" t="str">
        <f>G44</f>
        <v>N</v>
      </c>
      <c r="H45" s="260"/>
      <c r="I45" s="243" t="str">
        <f>I44</f>
        <v>LA</v>
      </c>
      <c r="J45" s="246" t="s">
        <v>64</v>
      </c>
      <c r="K45" s="247">
        <v>46162</v>
      </c>
      <c r="L45" s="247">
        <v>46163</v>
      </c>
      <c r="M45" s="247">
        <v>46168</v>
      </c>
      <c r="N45" s="247">
        <v>46169</v>
      </c>
      <c r="O45" s="247">
        <v>46174</v>
      </c>
      <c r="P45" s="248"/>
      <c r="Q45" s="249"/>
      <c r="R45" s="247">
        <v>46188</v>
      </c>
      <c r="S45" s="247">
        <v>46216</v>
      </c>
      <c r="T45" s="247">
        <v>46219</v>
      </c>
      <c r="U45" s="247">
        <v>46234</v>
      </c>
      <c r="V45" s="247">
        <v>46241</v>
      </c>
      <c r="W45" s="250"/>
      <c r="X45" s="247">
        <v>46416</v>
      </c>
      <c r="Y45" s="251"/>
      <c r="Z45" s="253"/>
      <c r="AA45" s="253"/>
      <c r="AB45" s="254"/>
      <c r="AC45" s="290">
        <f>IF(ISERROR(LOOKUP(AC$16,$L45:$X45,#REF!)),0,(LOOKUP(AC$16,$L45:$X45,#REF!)))</f>
        <v>0</v>
      </c>
      <c r="AD45" s="291">
        <f>IF(ISERROR(LOOKUP(AD$16,$L45:$X45,#REF!)),0,(LOOKUP(AD$16,$L45:$X45,#REF!)))</f>
        <v>0</v>
      </c>
      <c r="AE45" s="291">
        <f>IF(ISERROR(LOOKUP(AE$16,$L45:$X45,#REF!)),0,(LOOKUP(AE$16,$L45:$X45,#REF!)))</f>
        <v>0</v>
      </c>
      <c r="AF45" s="291">
        <f>IF(ISERROR(LOOKUP(AF$16,$L45:$X45,#REF!)),0,(LOOKUP(AF$16,$L45:$X45,#REF!)))</f>
        <v>0</v>
      </c>
      <c r="AG45" s="291">
        <f>IF(ISERROR(LOOKUP(AG$16,$L45:$X45,#REF!)),0,(LOOKUP(AG$16,$L45:$X45,#REF!)))</f>
        <v>0</v>
      </c>
      <c r="AH45" s="291">
        <f>IF(ISERROR(LOOKUP(AH$16,$L45:$X45,#REF!)),0,(LOOKUP(AH$16,$L45:$X45,#REF!)))</f>
        <v>0</v>
      </c>
      <c r="AI45" s="291">
        <f>IF(ISERROR(LOOKUP(AI$16,$L45:$X45,#REF!)),0,(LOOKUP(AI$16,$L45:$X45,#REF!)))</f>
        <v>0</v>
      </c>
      <c r="AJ45" s="291">
        <f>IF(ISERROR(LOOKUP(AJ$16,$L45:$X45,#REF!)),0,(LOOKUP(AJ$16,$L45:$X45,#REF!)))</f>
        <v>0</v>
      </c>
      <c r="AK45" s="291">
        <f>IF(ISERROR(LOOKUP(AK$16,$L45:$X45,#REF!)),0,(LOOKUP(AK$16,$L45:$X45,#REF!)))</f>
        <v>0</v>
      </c>
      <c r="AL45" s="291">
        <f>IF(ISERROR(LOOKUP(AL$16,$L45:$X45,#REF!)),0,(LOOKUP(AL$16,$L45:$X45,#REF!)))</f>
        <v>0</v>
      </c>
      <c r="AM45" s="291">
        <f ca="1">IF(ISERROR(LOOKUP(AM$16,$L45:$X45,#REF!)),0,(LOOKUP(AM$16,$L45:$X45,#REF!)))</f>
        <v>0</v>
      </c>
      <c r="AO45" s="195">
        <f t="shared" si="0"/>
        <v>15</v>
      </c>
      <c r="AP45" s="247">
        <v>46223</v>
      </c>
      <c r="AQ45" s="247">
        <v>46227</v>
      </c>
      <c r="AR45" s="247">
        <v>46234</v>
      </c>
      <c r="AS45" s="257"/>
      <c r="AW45" s="292" t="e">
        <v>#REF!</v>
      </c>
    </row>
    <row r="46" s="197" customFormat="1" ht="18.6" customHeight="1" spans="1:49">
      <c r="A46" s="270"/>
      <c r="B46" s="262"/>
      <c r="C46" s="294" t="str">
        <f>C44</f>
        <v>RFQ-010</v>
      </c>
      <c r="D46" s="294" t="str">
        <f>D44</f>
        <v>Skim Tank Vessel</v>
      </c>
      <c r="E46" s="263"/>
      <c r="F46" s="294"/>
      <c r="G46" s="243" t="str">
        <f>G44</f>
        <v>N</v>
      </c>
      <c r="H46" s="263"/>
      <c r="I46" s="243" t="str">
        <f>I44</f>
        <v>LA</v>
      </c>
      <c r="J46" s="246" t="s">
        <v>66</v>
      </c>
      <c r="K46" s="243"/>
      <c r="L46" s="243"/>
      <c r="M46" s="243"/>
      <c r="N46" s="243"/>
      <c r="O46" s="243"/>
      <c r="P46" s="265"/>
      <c r="Q46" s="266"/>
      <c r="R46" s="243"/>
      <c r="S46" s="243"/>
      <c r="T46" s="243"/>
      <c r="U46" s="243"/>
      <c r="V46" s="243"/>
      <c r="W46" s="267"/>
      <c r="X46" s="243"/>
      <c r="Y46" s="251"/>
      <c r="Z46" s="253"/>
      <c r="AA46" s="253"/>
      <c r="AB46" s="254"/>
      <c r="AC46" s="296">
        <f>IF(ISERROR(LOOKUP(AC$16,$L46:$X46,#REF!)),0,(LOOKUP(AC$16,$L46:$X46,#REF!)))</f>
        <v>0</v>
      </c>
      <c r="AD46" s="297">
        <f>IF(ISERROR(LOOKUP(AD$16,$L46:$X46,#REF!)),0,(LOOKUP(AD$16,$L46:$X46,#REF!)))</f>
        <v>0</v>
      </c>
      <c r="AE46" s="297">
        <f>IF(ISERROR(LOOKUP(AE$16,$L46:$X46,#REF!)),0,(LOOKUP(AE$16,$L46:$X46,#REF!)))</f>
        <v>0</v>
      </c>
      <c r="AF46" s="297">
        <f>IF(ISERROR(LOOKUP(AF$16,$L46:$X46,#REF!)),0,(LOOKUP(AF$16,$L46:$X46,#REF!)))</f>
        <v>0</v>
      </c>
      <c r="AG46" s="297">
        <f>IF(ISERROR(LOOKUP(AG$16,$L46:$X46,#REF!)),0,(LOOKUP(AG$16,$L46:$X46,#REF!)))</f>
        <v>0</v>
      </c>
      <c r="AH46" s="297">
        <f>IF(ISERROR(LOOKUP(AH$16,$L46:$X46,#REF!)),0,(LOOKUP(AH$16,$L46:$X46,#REF!)))</f>
        <v>0</v>
      </c>
      <c r="AI46" s="297">
        <f>IF(ISERROR(LOOKUP(AI$16,$L46:$X46,#REF!)),0,(LOOKUP(AI$16,$L46:$X46,#REF!)))</f>
        <v>0</v>
      </c>
      <c r="AJ46" s="297">
        <f>IF(ISERROR(LOOKUP(AJ$16,$L46:$X46,#REF!)),0,(LOOKUP(AJ$16,$L46:$X46,#REF!)))</f>
        <v>0</v>
      </c>
      <c r="AK46" s="297">
        <f>IF(ISERROR(LOOKUP(AK$16,$L46:$X46,#REF!)),0,(LOOKUP(AK$16,$L46:$X46,#REF!)))</f>
        <v>0</v>
      </c>
      <c r="AL46" s="297">
        <f>IF(ISERROR(LOOKUP(AL$16,$L46:$X46,#REF!)),0,(LOOKUP(AL$16,$L46:$X46,#REF!)))</f>
        <v>0</v>
      </c>
      <c r="AM46" s="297">
        <f ca="1">IF(ISERROR(LOOKUP(AM$16,$L46:$X46,#REF!)),0,(LOOKUP(AM$16,$L46:$X46,#REF!)))</f>
        <v>0</v>
      </c>
      <c r="AO46" s="195">
        <f t="shared" si="0"/>
        <v>0</v>
      </c>
      <c r="AP46" s="243"/>
      <c r="AQ46" s="243"/>
      <c r="AR46" s="243"/>
      <c r="AS46" s="257"/>
      <c r="AW46" s="292" t="e">
        <v>#REF!</v>
      </c>
    </row>
    <row r="47" s="197" customFormat="1" ht="18.6" customHeight="1" spans="1:49">
      <c r="A47" s="270">
        <f>A44+1</f>
        <v>11</v>
      </c>
      <c r="B47" s="242"/>
      <c r="C47" s="288" t="s">
        <v>4786</v>
      </c>
      <c r="D47" s="288" t="s">
        <v>104</v>
      </c>
      <c r="E47" s="244"/>
      <c r="F47" s="288" t="s">
        <v>58</v>
      </c>
      <c r="G47" s="243" t="s">
        <v>63</v>
      </c>
      <c r="H47" s="244"/>
      <c r="I47" s="243" t="s">
        <v>6</v>
      </c>
      <c r="J47" s="246" t="s">
        <v>4769</v>
      </c>
      <c r="K47" s="247">
        <v>46183</v>
      </c>
      <c r="L47" s="247">
        <v>46184</v>
      </c>
      <c r="M47" s="247">
        <v>46189</v>
      </c>
      <c r="N47" s="247">
        <v>46190</v>
      </c>
      <c r="O47" s="247">
        <v>46195</v>
      </c>
      <c r="P47" s="248">
        <f>U47-L47</f>
        <v>71</v>
      </c>
      <c r="Q47" s="249"/>
      <c r="R47" s="247">
        <v>46209</v>
      </c>
      <c r="S47" s="247">
        <v>46237</v>
      </c>
      <c r="T47" s="247">
        <v>46240</v>
      </c>
      <c r="U47" s="247">
        <v>46255</v>
      </c>
      <c r="V47" s="247">
        <v>46262</v>
      </c>
      <c r="W47" s="250">
        <v>26</v>
      </c>
      <c r="X47" s="247">
        <v>46437</v>
      </c>
      <c r="Y47" s="251">
        <f>W47*7</f>
        <v>182</v>
      </c>
      <c r="Z47" s="253">
        <v>46437</v>
      </c>
      <c r="AA47" s="253">
        <v>46386</v>
      </c>
      <c r="AB47" s="254">
        <f>Z47-X48</f>
        <v>0</v>
      </c>
      <c r="AC47" s="290">
        <f>IF(ISERROR(LOOKUP(AC$16,$L47:$X47,#REF!)),0,(LOOKUP(AC$16,$L47:$X47,#REF!)))</f>
        <v>0</v>
      </c>
      <c r="AD47" s="291">
        <f>IF(ISERROR(LOOKUP(AD$16,$L47:$X47,#REF!)),0,(LOOKUP(AD$16,$L47:$X47,#REF!)))</f>
        <v>0</v>
      </c>
      <c r="AE47" s="291">
        <f>IF(ISERROR(LOOKUP(AE$16,$L47:$X47,#REF!)),0,(LOOKUP(AE$16,$L47:$X47,#REF!)))</f>
        <v>0</v>
      </c>
      <c r="AF47" s="291">
        <f>IF(ISERROR(LOOKUP(AF$16,$L47:$X47,#REF!)),0,(LOOKUP(AF$16,$L47:$X47,#REF!)))</f>
        <v>0</v>
      </c>
      <c r="AG47" s="291">
        <f>IF(ISERROR(LOOKUP(AG$16,$L47:$X47,#REF!)),0,(LOOKUP(AG$16,$L47:$X47,#REF!)))</f>
        <v>0</v>
      </c>
      <c r="AH47" s="291">
        <f>IF(ISERROR(LOOKUP(AH$16,$L47:$X47,#REF!)),0,(LOOKUP(AH$16,$L47:$X47,#REF!)))</f>
        <v>0</v>
      </c>
      <c r="AI47" s="291">
        <f>IF(ISERROR(LOOKUP(AI$16,$L47:$X47,#REF!)),0,(LOOKUP(AI$16,$L47:$X47,#REF!)))</f>
        <v>0</v>
      </c>
      <c r="AJ47" s="291">
        <f>IF(ISERROR(LOOKUP(AJ$16,$L47:$X47,#REF!)),0,(LOOKUP(AJ$16,$L47:$X47,#REF!)))</f>
        <v>0</v>
      </c>
      <c r="AK47" s="291">
        <f>IF(ISERROR(LOOKUP(AK$16,$L47:$X47,#REF!)),0,(LOOKUP(AK$16,$L47:$X47,#REF!)))</f>
        <v>0</v>
      </c>
      <c r="AL47" s="291">
        <f>IF(ISERROR(LOOKUP(AL$16,$L47:$X47,#REF!)),0,(LOOKUP(AL$16,$L47:$X47,#REF!)))</f>
        <v>0</v>
      </c>
      <c r="AM47" s="291">
        <f ca="1">IF(ISERROR(LOOKUP(AM$16,$L47:$X47,#REF!)),0,(LOOKUP(AM$16,$L47:$X47,#REF!)))</f>
        <v>0</v>
      </c>
      <c r="AO47" s="195">
        <f t="shared" si="0"/>
        <v>15</v>
      </c>
      <c r="AP47" s="247">
        <v>46244</v>
      </c>
      <c r="AQ47" s="247">
        <v>46248</v>
      </c>
      <c r="AR47" s="247">
        <v>46248</v>
      </c>
      <c r="AS47" s="257">
        <v>14</v>
      </c>
      <c r="AW47" s="292" t="e">
        <v>#REF!</v>
      </c>
    </row>
    <row r="48" s="197" customFormat="1" ht="18.6" customHeight="1" spans="1:49">
      <c r="A48" s="270"/>
      <c r="B48" s="259"/>
      <c r="C48" s="288" t="str">
        <f>C47</f>
        <v>RFQ-011</v>
      </c>
      <c r="D48" s="288" t="str">
        <f>D47</f>
        <v>Closed Drain Sump Vessel</v>
      </c>
      <c r="E48" s="260"/>
      <c r="F48" s="288"/>
      <c r="G48" s="243" t="str">
        <f>G47</f>
        <v>Y</v>
      </c>
      <c r="H48" s="260"/>
      <c r="I48" s="243" t="str">
        <f>I47</f>
        <v>LA</v>
      </c>
      <c r="J48" s="246" t="s">
        <v>64</v>
      </c>
      <c r="K48" s="247">
        <v>46183</v>
      </c>
      <c r="L48" s="247">
        <v>46184</v>
      </c>
      <c r="M48" s="247">
        <v>46189</v>
      </c>
      <c r="N48" s="247">
        <v>46190</v>
      </c>
      <c r="O48" s="247">
        <v>46195</v>
      </c>
      <c r="P48" s="248"/>
      <c r="Q48" s="249"/>
      <c r="R48" s="247">
        <v>46209</v>
      </c>
      <c r="S48" s="247">
        <v>46237</v>
      </c>
      <c r="T48" s="247">
        <v>46240</v>
      </c>
      <c r="U48" s="247">
        <v>46255</v>
      </c>
      <c r="V48" s="247">
        <v>46262</v>
      </c>
      <c r="W48" s="250"/>
      <c r="X48" s="247">
        <v>46437</v>
      </c>
      <c r="Y48" s="251"/>
      <c r="Z48" s="253"/>
      <c r="AA48" s="253"/>
      <c r="AB48" s="254"/>
      <c r="AC48" s="290">
        <f>IF(ISERROR(LOOKUP(AC$16,$L48:$X48,#REF!)),0,(LOOKUP(AC$16,$L48:$X48,#REF!)))</f>
        <v>0</v>
      </c>
      <c r="AD48" s="291">
        <f>IF(ISERROR(LOOKUP(AD$16,$L48:$X48,#REF!)),0,(LOOKUP(AD$16,$L48:$X48,#REF!)))</f>
        <v>0</v>
      </c>
      <c r="AE48" s="291">
        <f>IF(ISERROR(LOOKUP(AE$16,$L48:$X48,#REF!)),0,(LOOKUP(AE$16,$L48:$X48,#REF!)))</f>
        <v>0</v>
      </c>
      <c r="AF48" s="291">
        <f>IF(ISERROR(LOOKUP(AF$16,$L48:$X48,#REF!)),0,(LOOKUP(AF$16,$L48:$X48,#REF!)))</f>
        <v>0</v>
      </c>
      <c r="AG48" s="291">
        <f>IF(ISERROR(LOOKUP(AG$16,$L48:$X48,#REF!)),0,(LOOKUP(AG$16,$L48:$X48,#REF!)))</f>
        <v>0</v>
      </c>
      <c r="AH48" s="291">
        <f>IF(ISERROR(LOOKUP(AH$16,$L48:$X48,#REF!)),0,(LOOKUP(AH$16,$L48:$X48,#REF!)))</f>
        <v>0</v>
      </c>
      <c r="AI48" s="291">
        <f>IF(ISERROR(LOOKUP(AI$16,$L48:$X48,#REF!)),0,(LOOKUP(AI$16,$L48:$X48,#REF!)))</f>
        <v>0</v>
      </c>
      <c r="AJ48" s="291">
        <f>IF(ISERROR(LOOKUP(AJ$16,$L48:$X48,#REF!)),0,(LOOKUP(AJ$16,$L48:$X48,#REF!)))</f>
        <v>0</v>
      </c>
      <c r="AK48" s="291">
        <f>IF(ISERROR(LOOKUP(AK$16,$L48:$X48,#REF!)),0,(LOOKUP(AK$16,$L48:$X48,#REF!)))</f>
        <v>0</v>
      </c>
      <c r="AL48" s="291">
        <f>IF(ISERROR(LOOKUP(AL$16,$L48:$X48,#REF!)),0,(LOOKUP(AL$16,$L48:$X48,#REF!)))</f>
        <v>0</v>
      </c>
      <c r="AM48" s="291">
        <f ca="1">IF(ISERROR(LOOKUP(AM$16,$L48:$X48,#REF!)),0,(LOOKUP(AM$16,$L48:$X48,#REF!)))</f>
        <v>0</v>
      </c>
      <c r="AO48" s="195">
        <f t="shared" si="0"/>
        <v>15</v>
      </c>
      <c r="AP48" s="247">
        <v>46244</v>
      </c>
      <c r="AQ48" s="247">
        <v>46248</v>
      </c>
      <c r="AR48" s="247">
        <v>46255</v>
      </c>
      <c r="AS48" s="257"/>
      <c r="AW48" s="292" t="e">
        <v>#REF!</v>
      </c>
    </row>
    <row r="49" s="197" customFormat="1" ht="18.6" customHeight="1" spans="1:49">
      <c r="A49" s="270"/>
      <c r="B49" s="262"/>
      <c r="C49" s="294" t="str">
        <f>C47</f>
        <v>RFQ-011</v>
      </c>
      <c r="D49" s="294" t="str">
        <f>D47</f>
        <v>Closed Drain Sump Vessel</v>
      </c>
      <c r="E49" s="263"/>
      <c r="F49" s="294"/>
      <c r="G49" s="243" t="str">
        <f>G47</f>
        <v>Y</v>
      </c>
      <c r="H49" s="263"/>
      <c r="I49" s="243" t="str">
        <f>I47</f>
        <v>LA</v>
      </c>
      <c r="J49" s="246" t="s">
        <v>66</v>
      </c>
      <c r="K49" s="243"/>
      <c r="L49" s="243"/>
      <c r="M49" s="243"/>
      <c r="N49" s="243"/>
      <c r="O49" s="243"/>
      <c r="P49" s="265"/>
      <c r="Q49" s="266"/>
      <c r="R49" s="243"/>
      <c r="S49" s="243"/>
      <c r="T49" s="243"/>
      <c r="U49" s="243"/>
      <c r="V49" s="243"/>
      <c r="W49" s="267"/>
      <c r="X49" s="243"/>
      <c r="Y49" s="251"/>
      <c r="Z49" s="253"/>
      <c r="AA49" s="253"/>
      <c r="AB49" s="254"/>
      <c r="AC49" s="296">
        <f>IF(ISERROR(LOOKUP(AC$16,$L49:$X49,#REF!)),0,(LOOKUP(AC$16,$L49:$X49,#REF!)))</f>
        <v>0</v>
      </c>
      <c r="AD49" s="297">
        <f>IF(ISERROR(LOOKUP(AD$16,$L49:$X49,#REF!)),0,(LOOKUP(AD$16,$L49:$X49,#REF!)))</f>
        <v>0</v>
      </c>
      <c r="AE49" s="297">
        <f>IF(ISERROR(LOOKUP(AE$16,$L49:$X49,#REF!)),0,(LOOKUP(AE$16,$L49:$X49,#REF!)))</f>
        <v>0</v>
      </c>
      <c r="AF49" s="297">
        <f>IF(ISERROR(LOOKUP(AF$16,$L49:$X49,#REF!)),0,(LOOKUP(AF$16,$L49:$X49,#REF!)))</f>
        <v>0</v>
      </c>
      <c r="AG49" s="297">
        <f>IF(ISERROR(LOOKUP(AG$16,$L49:$X49,#REF!)),0,(LOOKUP(AG$16,$L49:$X49,#REF!)))</f>
        <v>0</v>
      </c>
      <c r="AH49" s="297">
        <f>IF(ISERROR(LOOKUP(AH$16,$L49:$X49,#REF!)),0,(LOOKUP(AH$16,$L49:$X49,#REF!)))</f>
        <v>0</v>
      </c>
      <c r="AI49" s="297">
        <f>IF(ISERROR(LOOKUP(AI$16,$L49:$X49,#REF!)),0,(LOOKUP(AI$16,$L49:$X49,#REF!)))</f>
        <v>0</v>
      </c>
      <c r="AJ49" s="297">
        <f>IF(ISERROR(LOOKUP(AJ$16,$L49:$X49,#REF!)),0,(LOOKUP(AJ$16,$L49:$X49,#REF!)))</f>
        <v>0</v>
      </c>
      <c r="AK49" s="297">
        <f>IF(ISERROR(LOOKUP(AK$16,$L49:$X49,#REF!)),0,(LOOKUP(AK$16,$L49:$X49,#REF!)))</f>
        <v>0</v>
      </c>
      <c r="AL49" s="297">
        <f>IF(ISERROR(LOOKUP(AL$16,$L49:$X49,#REF!)),0,(LOOKUP(AL$16,$L49:$X49,#REF!)))</f>
        <v>0</v>
      </c>
      <c r="AM49" s="297">
        <f ca="1">IF(ISERROR(LOOKUP(AM$16,$L49:$X49,#REF!)),0,(LOOKUP(AM$16,$L49:$X49,#REF!)))</f>
        <v>0</v>
      </c>
      <c r="AO49" s="195">
        <f t="shared" si="0"/>
        <v>0</v>
      </c>
      <c r="AP49" s="243"/>
      <c r="AQ49" s="243"/>
      <c r="AR49" s="243"/>
      <c r="AS49" s="257"/>
      <c r="AW49" s="292" t="e">
        <v>#REF!</v>
      </c>
    </row>
    <row r="50" s="197" customFormat="1" ht="18.6" customHeight="1" spans="1:49">
      <c r="A50" s="270">
        <f>A47+1</f>
        <v>12</v>
      </c>
      <c r="B50" s="242"/>
      <c r="C50" s="288" t="s">
        <v>4787</v>
      </c>
      <c r="D50" s="288" t="s">
        <v>4788</v>
      </c>
      <c r="E50" s="288"/>
      <c r="F50" s="288" t="s">
        <v>58</v>
      </c>
      <c r="G50" s="243" t="str">
        <f>IF(_xlfn.XLOOKUP(C50,'[36]Before Award'!D:D,'[36]Before Award'!AV:AV,"N/A")="N/A","N","Y")</f>
        <v>N</v>
      </c>
      <c r="H50" s="244"/>
      <c r="I50" s="243" t="s">
        <v>6</v>
      </c>
      <c r="J50" s="246" t="s">
        <v>4769</v>
      </c>
      <c r="K50" s="247">
        <v>46204</v>
      </c>
      <c r="L50" s="247">
        <v>46205</v>
      </c>
      <c r="M50" s="247">
        <v>46210</v>
      </c>
      <c r="N50" s="247">
        <v>46211</v>
      </c>
      <c r="O50" s="247">
        <v>46216</v>
      </c>
      <c r="P50" s="248">
        <f>U50-L50</f>
        <v>71</v>
      </c>
      <c r="Q50" s="249"/>
      <c r="R50" s="247">
        <v>46230</v>
      </c>
      <c r="S50" s="247">
        <v>46258</v>
      </c>
      <c r="T50" s="247">
        <v>46261</v>
      </c>
      <c r="U50" s="247">
        <v>46276</v>
      </c>
      <c r="V50" s="247">
        <v>46283</v>
      </c>
      <c r="W50" s="250">
        <v>20</v>
      </c>
      <c r="X50" s="247">
        <v>46416</v>
      </c>
      <c r="Y50" s="251">
        <f>W50*7</f>
        <v>140</v>
      </c>
      <c r="Z50" s="253">
        <v>46416</v>
      </c>
      <c r="AA50" s="253">
        <v>46416</v>
      </c>
      <c r="AB50" s="254">
        <f>Z50-X51</f>
        <v>0</v>
      </c>
      <c r="AC50" s="290">
        <f>IF(ISERROR(LOOKUP(AC$16,$L50:$X50,#REF!)),0,(LOOKUP(AC$16,$L50:$X50,#REF!)))</f>
        <v>0</v>
      </c>
      <c r="AD50" s="291">
        <f>IF(ISERROR(LOOKUP(AD$16,$L50:$X50,#REF!)),0,(LOOKUP(AD$16,$L50:$X50,#REF!)))</f>
        <v>0</v>
      </c>
      <c r="AE50" s="291">
        <f>IF(ISERROR(LOOKUP(AE$16,$L50:$X50,#REF!)),0,(LOOKUP(AE$16,$L50:$X50,#REF!)))</f>
        <v>0</v>
      </c>
      <c r="AF50" s="291">
        <f>IF(ISERROR(LOOKUP(AF$16,$L50:$X50,#REF!)),0,(LOOKUP(AF$16,$L50:$X50,#REF!)))</f>
        <v>0</v>
      </c>
      <c r="AG50" s="291">
        <f>IF(ISERROR(LOOKUP(AG$16,$L50:$X50,#REF!)),0,(LOOKUP(AG$16,$L50:$X50,#REF!)))</f>
        <v>0</v>
      </c>
      <c r="AH50" s="291">
        <f>IF(ISERROR(LOOKUP(AH$16,$L50:$X50,#REF!)),0,(LOOKUP(AH$16,$L50:$X50,#REF!)))</f>
        <v>0</v>
      </c>
      <c r="AI50" s="291">
        <f>IF(ISERROR(LOOKUP(AI$16,$L50:$X50,#REF!)),0,(LOOKUP(AI$16,$L50:$X50,#REF!)))</f>
        <v>0</v>
      </c>
      <c r="AJ50" s="291">
        <f>IF(ISERROR(LOOKUP(AJ$16,$L50:$X50,#REF!)),0,(LOOKUP(AJ$16,$L50:$X50,#REF!)))</f>
        <v>0</v>
      </c>
      <c r="AK50" s="291">
        <f>IF(ISERROR(LOOKUP(AK$16,$L50:$X50,#REF!)),0,(LOOKUP(AK$16,$L50:$X50,#REF!)))</f>
        <v>0</v>
      </c>
      <c r="AL50" s="291">
        <f>IF(ISERROR(LOOKUP(AL$16,$L50:$X50,#REF!)),0,(LOOKUP(AL$16,$L50:$X50,#REF!)))</f>
        <v>0</v>
      </c>
      <c r="AM50" s="291">
        <f ca="1">IF(ISERROR(LOOKUP(AM$16,$L50:$X50,#REF!)),0,(LOOKUP(AM$16,$L50:$X50,#REF!)))</f>
        <v>0</v>
      </c>
      <c r="AO50" s="195">
        <f t="shared" si="0"/>
        <v>15</v>
      </c>
      <c r="AP50" s="247">
        <v>46265</v>
      </c>
      <c r="AQ50" s="247">
        <v>46269</v>
      </c>
      <c r="AR50" s="247">
        <v>46269</v>
      </c>
      <c r="AS50" s="257">
        <v>14</v>
      </c>
      <c r="AW50" s="292" t="e">
        <v>#REF!</v>
      </c>
    </row>
    <row r="51" s="197" customFormat="1" ht="18.6" customHeight="1" spans="1:49">
      <c r="A51" s="270"/>
      <c r="B51" s="259"/>
      <c r="C51" s="288" t="str">
        <f>C50</f>
        <v>RFQ-012</v>
      </c>
      <c r="D51" s="288" t="str">
        <f>D50</f>
        <v> Storage Tote Tank</v>
      </c>
      <c r="E51" s="288"/>
      <c r="F51" s="288"/>
      <c r="G51" s="243" t="str">
        <f>G50</f>
        <v>N</v>
      </c>
      <c r="H51" s="260"/>
      <c r="I51" s="243" t="str">
        <f>I50</f>
        <v>LA</v>
      </c>
      <c r="J51" s="246" t="s">
        <v>64</v>
      </c>
      <c r="K51" s="247">
        <v>46204</v>
      </c>
      <c r="L51" s="247">
        <v>46205</v>
      </c>
      <c r="M51" s="247">
        <v>46210</v>
      </c>
      <c r="N51" s="247">
        <v>46211</v>
      </c>
      <c r="O51" s="247">
        <v>46216</v>
      </c>
      <c r="P51" s="248"/>
      <c r="Q51" s="249"/>
      <c r="R51" s="247">
        <v>46230</v>
      </c>
      <c r="S51" s="247">
        <v>46258</v>
      </c>
      <c r="T51" s="247">
        <v>46261</v>
      </c>
      <c r="U51" s="247">
        <v>46276</v>
      </c>
      <c r="V51" s="247">
        <v>46283</v>
      </c>
      <c r="W51" s="250"/>
      <c r="X51" s="247">
        <v>46416</v>
      </c>
      <c r="Y51" s="251"/>
      <c r="Z51" s="253"/>
      <c r="AA51" s="253"/>
      <c r="AB51" s="254"/>
      <c r="AC51" s="290">
        <f>IF(ISERROR(LOOKUP(AC$16,$L51:$X51,#REF!)),0,(LOOKUP(AC$16,$L51:$X51,#REF!)))</f>
        <v>0</v>
      </c>
      <c r="AD51" s="291">
        <f>IF(ISERROR(LOOKUP(AD$16,$L51:$X51,#REF!)),0,(LOOKUP(AD$16,$L51:$X51,#REF!)))</f>
        <v>0</v>
      </c>
      <c r="AE51" s="291">
        <f>IF(ISERROR(LOOKUP(AE$16,$L51:$X51,#REF!)),0,(LOOKUP(AE$16,$L51:$X51,#REF!)))</f>
        <v>0</v>
      </c>
      <c r="AF51" s="291">
        <f>IF(ISERROR(LOOKUP(AF$16,$L51:$X51,#REF!)),0,(LOOKUP(AF$16,$L51:$X51,#REF!)))</f>
        <v>0</v>
      </c>
      <c r="AG51" s="291">
        <f>IF(ISERROR(LOOKUP(AG$16,$L51:$X51,#REF!)),0,(LOOKUP(AG$16,$L51:$X51,#REF!)))</f>
        <v>0</v>
      </c>
      <c r="AH51" s="291">
        <f>IF(ISERROR(LOOKUP(AH$16,$L51:$X51,#REF!)),0,(LOOKUP(AH$16,$L51:$X51,#REF!)))</f>
        <v>0</v>
      </c>
      <c r="AI51" s="291">
        <f>IF(ISERROR(LOOKUP(AI$16,$L51:$X51,#REF!)),0,(LOOKUP(AI$16,$L51:$X51,#REF!)))</f>
        <v>0</v>
      </c>
      <c r="AJ51" s="291">
        <f>IF(ISERROR(LOOKUP(AJ$16,$L51:$X51,#REF!)),0,(LOOKUP(AJ$16,$L51:$X51,#REF!)))</f>
        <v>0</v>
      </c>
      <c r="AK51" s="291">
        <f>IF(ISERROR(LOOKUP(AK$16,$L51:$X51,#REF!)),0,(LOOKUP(AK$16,$L51:$X51,#REF!)))</f>
        <v>0</v>
      </c>
      <c r="AL51" s="291">
        <f>IF(ISERROR(LOOKUP(AL$16,$L51:$X51,#REF!)),0,(LOOKUP(AL$16,$L51:$X51,#REF!)))</f>
        <v>0</v>
      </c>
      <c r="AM51" s="291">
        <f ca="1">IF(ISERROR(LOOKUP(AM$16,$L51:$X51,#REF!)),0,(LOOKUP(AM$16,$L51:$X51,#REF!)))</f>
        <v>0</v>
      </c>
      <c r="AO51" s="195">
        <f t="shared" si="0"/>
        <v>15</v>
      </c>
      <c r="AP51" s="247">
        <v>46265</v>
      </c>
      <c r="AQ51" s="247">
        <v>46269</v>
      </c>
      <c r="AR51" s="247">
        <v>46276</v>
      </c>
      <c r="AS51" s="257"/>
      <c r="AW51" s="292" t="e">
        <v>#REF!</v>
      </c>
    </row>
    <row r="52" s="197" customFormat="1" ht="18.6" customHeight="1" spans="1:49">
      <c r="A52" s="270"/>
      <c r="B52" s="262"/>
      <c r="C52" s="294" t="str">
        <f>C50</f>
        <v>RFQ-012</v>
      </c>
      <c r="D52" s="294" t="str">
        <f>D50</f>
        <v> Storage Tote Tank</v>
      </c>
      <c r="E52" s="294"/>
      <c r="F52" s="294"/>
      <c r="G52" s="243" t="str">
        <f>G50</f>
        <v>N</v>
      </c>
      <c r="H52" s="263"/>
      <c r="I52" s="243" t="str">
        <f>I50</f>
        <v>LA</v>
      </c>
      <c r="J52" s="246" t="s">
        <v>66</v>
      </c>
      <c r="K52" s="243"/>
      <c r="L52" s="243"/>
      <c r="M52" s="243"/>
      <c r="N52" s="243"/>
      <c r="O52" s="243"/>
      <c r="P52" s="265"/>
      <c r="Q52" s="266"/>
      <c r="R52" s="243"/>
      <c r="S52" s="243"/>
      <c r="T52" s="243"/>
      <c r="U52" s="243"/>
      <c r="V52" s="243"/>
      <c r="W52" s="267"/>
      <c r="X52" s="243"/>
      <c r="Y52" s="251"/>
      <c r="Z52" s="253"/>
      <c r="AA52" s="253"/>
      <c r="AB52" s="254"/>
      <c r="AC52" s="296">
        <f>IF(ISERROR(LOOKUP(AC$16,$L52:$X52,#REF!)),0,(LOOKUP(AC$16,$L52:$X52,#REF!)))</f>
        <v>0</v>
      </c>
      <c r="AD52" s="297">
        <f>IF(ISERROR(LOOKUP(AD$16,$L52:$X52,#REF!)),0,(LOOKUP(AD$16,$L52:$X52,#REF!)))</f>
        <v>0</v>
      </c>
      <c r="AE52" s="297">
        <f>IF(ISERROR(LOOKUP(AE$16,$L52:$X52,#REF!)),0,(LOOKUP(AE$16,$L52:$X52,#REF!)))</f>
        <v>0</v>
      </c>
      <c r="AF52" s="297">
        <f>IF(ISERROR(LOOKUP(AF$16,$L52:$X52,#REF!)),0,(LOOKUP(AF$16,$L52:$X52,#REF!)))</f>
        <v>0</v>
      </c>
      <c r="AG52" s="297">
        <f>IF(ISERROR(LOOKUP(AG$16,$L52:$X52,#REF!)),0,(LOOKUP(AG$16,$L52:$X52,#REF!)))</f>
        <v>0</v>
      </c>
      <c r="AH52" s="297">
        <f>IF(ISERROR(LOOKUP(AH$16,$L52:$X52,#REF!)),0,(LOOKUP(AH$16,$L52:$X52,#REF!)))</f>
        <v>0</v>
      </c>
      <c r="AI52" s="297">
        <f>IF(ISERROR(LOOKUP(AI$16,$L52:$X52,#REF!)),0,(LOOKUP(AI$16,$L52:$X52,#REF!)))</f>
        <v>0</v>
      </c>
      <c r="AJ52" s="297">
        <f>IF(ISERROR(LOOKUP(AJ$16,$L52:$X52,#REF!)),0,(LOOKUP(AJ$16,$L52:$X52,#REF!)))</f>
        <v>0</v>
      </c>
      <c r="AK52" s="297">
        <f>IF(ISERROR(LOOKUP(AK$16,$L52:$X52,#REF!)),0,(LOOKUP(AK$16,$L52:$X52,#REF!)))</f>
        <v>0</v>
      </c>
      <c r="AL52" s="297">
        <f>IF(ISERROR(LOOKUP(AL$16,$L52:$X52,#REF!)),0,(LOOKUP(AL$16,$L52:$X52,#REF!)))</f>
        <v>0</v>
      </c>
      <c r="AM52" s="297">
        <f ca="1">IF(ISERROR(LOOKUP(AM$16,$L52:$X52,#REF!)),0,(LOOKUP(AM$16,$L52:$X52,#REF!)))</f>
        <v>0</v>
      </c>
      <c r="AO52" s="195">
        <f t="shared" si="0"/>
        <v>0</v>
      </c>
      <c r="AP52" s="243"/>
      <c r="AQ52" s="243"/>
      <c r="AR52" s="243"/>
      <c r="AS52" s="257"/>
      <c r="AW52" s="292" t="e">
        <v>#REF!</v>
      </c>
    </row>
    <row r="53" s="197" customFormat="1" ht="18.6" customHeight="1" spans="1:49">
      <c r="A53" s="270">
        <f>A50+1</f>
        <v>13</v>
      </c>
      <c r="B53" s="242"/>
      <c r="C53" s="288" t="s">
        <v>4789</v>
      </c>
      <c r="D53" s="288" t="s">
        <v>108</v>
      </c>
      <c r="E53" s="288"/>
      <c r="F53" s="288" t="s">
        <v>58</v>
      </c>
      <c r="G53" s="243" t="str">
        <f>IF(_xlfn.XLOOKUP(C53,'[36]Before Award'!D:D,'[36]Before Award'!AV:AV,"N/A")="N/A","N","Y")</f>
        <v>N</v>
      </c>
      <c r="H53" s="244"/>
      <c r="I53" s="243" t="s">
        <v>6</v>
      </c>
      <c r="J53" s="246" t="s">
        <v>4769</v>
      </c>
      <c r="K53" s="247">
        <v>46240</v>
      </c>
      <c r="L53" s="247">
        <v>46241</v>
      </c>
      <c r="M53" s="247">
        <v>46246</v>
      </c>
      <c r="N53" s="247">
        <v>46247</v>
      </c>
      <c r="O53" s="247">
        <v>46252</v>
      </c>
      <c r="P53" s="248">
        <f>U53-L53</f>
        <v>73</v>
      </c>
      <c r="Q53" s="249"/>
      <c r="R53" s="247">
        <v>46266</v>
      </c>
      <c r="S53" s="247">
        <v>46294</v>
      </c>
      <c r="T53" s="247">
        <v>46297</v>
      </c>
      <c r="U53" s="247">
        <v>46314</v>
      </c>
      <c r="V53" s="247">
        <v>46321</v>
      </c>
      <c r="W53" s="250">
        <v>20</v>
      </c>
      <c r="X53" s="247">
        <v>46454</v>
      </c>
      <c r="Y53" s="251">
        <f>W53*7</f>
        <v>140</v>
      </c>
      <c r="Z53" s="253">
        <v>46454</v>
      </c>
      <c r="AA53" s="253">
        <v>46416</v>
      </c>
      <c r="AB53" s="254">
        <f>Z53-X54</f>
        <v>0</v>
      </c>
      <c r="AC53" s="290">
        <f>IF(ISERROR(LOOKUP(AC$16,$L53:$X53,#REF!)),0,(LOOKUP(AC$16,$L53:$X53,#REF!)))</f>
        <v>0</v>
      </c>
      <c r="AD53" s="291">
        <f>IF(ISERROR(LOOKUP(AD$16,$L53:$X53,#REF!)),0,(LOOKUP(AD$16,$L53:$X53,#REF!)))</f>
        <v>0</v>
      </c>
      <c r="AE53" s="291">
        <f>IF(ISERROR(LOOKUP(AE$16,$L53:$X53,#REF!)),0,(LOOKUP(AE$16,$L53:$X53,#REF!)))</f>
        <v>0</v>
      </c>
      <c r="AF53" s="291">
        <f>IF(ISERROR(LOOKUP(AF$16,$L53:$X53,#REF!)),0,(LOOKUP(AF$16,$L53:$X53,#REF!)))</f>
        <v>0</v>
      </c>
      <c r="AG53" s="291">
        <f>IF(ISERROR(LOOKUP(AG$16,$L53:$X53,#REF!)),0,(LOOKUP(AG$16,$L53:$X53,#REF!)))</f>
        <v>0</v>
      </c>
      <c r="AH53" s="291">
        <f>IF(ISERROR(LOOKUP(AH$16,$L53:$X53,#REF!)),0,(LOOKUP(AH$16,$L53:$X53,#REF!)))</f>
        <v>0</v>
      </c>
      <c r="AI53" s="291">
        <f>IF(ISERROR(LOOKUP(AI$16,$L53:$X53,#REF!)),0,(LOOKUP(AI$16,$L53:$X53,#REF!)))</f>
        <v>0</v>
      </c>
      <c r="AJ53" s="291">
        <f>IF(ISERROR(LOOKUP(AJ$16,$L53:$X53,#REF!)),0,(LOOKUP(AJ$16,$L53:$X53,#REF!)))</f>
        <v>0</v>
      </c>
      <c r="AK53" s="291">
        <f>IF(ISERROR(LOOKUP(AK$16,$L53:$X53,#REF!)),0,(LOOKUP(AK$16,$L53:$X53,#REF!)))</f>
        <v>0</v>
      </c>
      <c r="AL53" s="291">
        <f>IF(ISERROR(LOOKUP(AL$16,$L53:$X53,#REF!)),0,(LOOKUP(AL$16,$L53:$X53,#REF!)))</f>
        <v>0</v>
      </c>
      <c r="AM53" s="291">
        <f ca="1">IF(ISERROR(LOOKUP(AM$16,$L53:$X53,#REF!)),0,(LOOKUP(AM$16,$L53:$X53,#REF!)))</f>
        <v>0</v>
      </c>
      <c r="AO53" s="195">
        <f t="shared" si="0"/>
        <v>17</v>
      </c>
      <c r="AP53" s="247">
        <v>46301</v>
      </c>
      <c r="AQ53" s="247">
        <v>46307</v>
      </c>
      <c r="AR53" s="247">
        <v>46307</v>
      </c>
      <c r="AS53" s="257">
        <v>14</v>
      </c>
      <c r="AW53" s="292" t="e">
        <v>#REF!</v>
      </c>
    </row>
    <row r="54" s="197" customFormat="1" ht="18.6" customHeight="1" spans="1:49">
      <c r="A54" s="270"/>
      <c r="B54" s="259"/>
      <c r="C54" s="288" t="str">
        <f>C53</f>
        <v>RFQ-013</v>
      </c>
      <c r="D54" s="288" t="str">
        <f>D53</f>
        <v>Storage Tank</v>
      </c>
      <c r="E54" s="288"/>
      <c r="F54" s="288"/>
      <c r="G54" s="243" t="str">
        <f>G53</f>
        <v>N</v>
      </c>
      <c r="H54" s="260"/>
      <c r="I54" s="243" t="str">
        <f>I53</f>
        <v>LA</v>
      </c>
      <c r="J54" s="246" t="s">
        <v>64</v>
      </c>
      <c r="K54" s="247">
        <v>46240</v>
      </c>
      <c r="L54" s="247">
        <v>46241</v>
      </c>
      <c r="M54" s="247">
        <v>46246</v>
      </c>
      <c r="N54" s="247">
        <v>46247</v>
      </c>
      <c r="O54" s="247">
        <v>46252</v>
      </c>
      <c r="P54" s="248"/>
      <c r="Q54" s="249"/>
      <c r="R54" s="247">
        <v>46266</v>
      </c>
      <c r="S54" s="247">
        <v>46294</v>
      </c>
      <c r="T54" s="247">
        <v>46297</v>
      </c>
      <c r="U54" s="247">
        <v>46314</v>
      </c>
      <c r="V54" s="247">
        <v>46321</v>
      </c>
      <c r="W54" s="250"/>
      <c r="X54" s="247">
        <v>46454</v>
      </c>
      <c r="Y54" s="251"/>
      <c r="Z54" s="253"/>
      <c r="AA54" s="253"/>
      <c r="AB54" s="254"/>
      <c r="AC54" s="290">
        <f>IF(ISERROR(LOOKUP(AC$16,$L54:$X54,#REF!)),0,(LOOKUP(AC$16,$L54:$X54,#REF!)))</f>
        <v>0</v>
      </c>
      <c r="AD54" s="291">
        <f>IF(ISERROR(LOOKUP(AD$16,$L54:$X54,#REF!)),0,(LOOKUP(AD$16,$L54:$X54,#REF!)))</f>
        <v>0</v>
      </c>
      <c r="AE54" s="291">
        <f>IF(ISERROR(LOOKUP(AE$16,$L54:$X54,#REF!)),0,(LOOKUP(AE$16,$L54:$X54,#REF!)))</f>
        <v>0</v>
      </c>
      <c r="AF54" s="291">
        <f>IF(ISERROR(LOOKUP(AF$16,$L54:$X54,#REF!)),0,(LOOKUP(AF$16,$L54:$X54,#REF!)))</f>
        <v>0</v>
      </c>
      <c r="AG54" s="291">
        <f>IF(ISERROR(LOOKUP(AG$16,$L54:$X54,#REF!)),0,(LOOKUP(AG$16,$L54:$X54,#REF!)))</f>
        <v>0</v>
      </c>
      <c r="AH54" s="291">
        <f>IF(ISERROR(LOOKUP(AH$16,$L54:$X54,#REF!)),0,(LOOKUP(AH$16,$L54:$X54,#REF!)))</f>
        <v>0</v>
      </c>
      <c r="AI54" s="291">
        <f>IF(ISERROR(LOOKUP(AI$16,$L54:$X54,#REF!)),0,(LOOKUP(AI$16,$L54:$X54,#REF!)))</f>
        <v>0</v>
      </c>
      <c r="AJ54" s="291">
        <f>IF(ISERROR(LOOKUP(AJ$16,$L54:$X54,#REF!)),0,(LOOKUP(AJ$16,$L54:$X54,#REF!)))</f>
        <v>0</v>
      </c>
      <c r="AK54" s="291">
        <f>IF(ISERROR(LOOKUP(AK$16,$L54:$X54,#REF!)),0,(LOOKUP(AK$16,$L54:$X54,#REF!)))</f>
        <v>0</v>
      </c>
      <c r="AL54" s="291">
        <f>IF(ISERROR(LOOKUP(AL$16,$L54:$X54,#REF!)),0,(LOOKUP(AL$16,$L54:$X54,#REF!)))</f>
        <v>0</v>
      </c>
      <c r="AM54" s="291">
        <f ca="1">IF(ISERROR(LOOKUP(AM$16,$L54:$X54,#REF!)),0,(LOOKUP(AM$16,$L54:$X54,#REF!)))</f>
        <v>0</v>
      </c>
      <c r="AO54" s="195">
        <f t="shared" si="0"/>
        <v>17</v>
      </c>
      <c r="AP54" s="247">
        <v>46301</v>
      </c>
      <c r="AQ54" s="247">
        <v>46307</v>
      </c>
      <c r="AR54" s="247">
        <v>46314</v>
      </c>
      <c r="AS54" s="257"/>
      <c r="AW54" s="292" t="e">
        <v>#REF!</v>
      </c>
    </row>
    <row r="55" s="197" customFormat="1" ht="18.6" customHeight="1" spans="1:49">
      <c r="A55" s="270"/>
      <c r="B55" s="262"/>
      <c r="C55" s="294" t="str">
        <f>C53</f>
        <v>RFQ-013</v>
      </c>
      <c r="D55" s="294" t="str">
        <f>D53</f>
        <v>Storage Tank</v>
      </c>
      <c r="E55" s="294"/>
      <c r="F55" s="294"/>
      <c r="G55" s="243" t="str">
        <f>G53</f>
        <v>N</v>
      </c>
      <c r="H55" s="263"/>
      <c r="I55" s="243" t="str">
        <f>I53</f>
        <v>LA</v>
      </c>
      <c r="J55" s="246" t="s">
        <v>66</v>
      </c>
      <c r="K55" s="243"/>
      <c r="L55" s="243"/>
      <c r="M55" s="243"/>
      <c r="N55" s="243"/>
      <c r="O55" s="243"/>
      <c r="P55" s="265"/>
      <c r="Q55" s="266"/>
      <c r="R55" s="243"/>
      <c r="S55" s="243"/>
      <c r="T55" s="243"/>
      <c r="U55" s="301"/>
      <c r="V55" s="301"/>
      <c r="W55" s="267"/>
      <c r="X55" s="301"/>
      <c r="Y55" s="251"/>
      <c r="Z55" s="253"/>
      <c r="AA55" s="253"/>
      <c r="AB55" s="254"/>
      <c r="AC55" s="296">
        <f>IF(ISERROR(LOOKUP(AC$16,$L55:$X55,#REF!)),0,(LOOKUP(AC$16,$L55:$X55,#REF!)))</f>
        <v>0</v>
      </c>
      <c r="AD55" s="297">
        <f>IF(ISERROR(LOOKUP(AD$16,$L55:$X55,#REF!)),0,(LOOKUP(AD$16,$L55:$X55,#REF!)))</f>
        <v>0</v>
      </c>
      <c r="AE55" s="297">
        <f>IF(ISERROR(LOOKUP(AE$16,$L55:$X55,#REF!)),0,(LOOKUP(AE$16,$L55:$X55,#REF!)))</f>
        <v>0</v>
      </c>
      <c r="AF55" s="297">
        <f>IF(ISERROR(LOOKUP(AF$16,$L55:$X55,#REF!)),0,(LOOKUP(AF$16,$L55:$X55,#REF!)))</f>
        <v>0</v>
      </c>
      <c r="AG55" s="297">
        <f>IF(ISERROR(LOOKUP(AG$16,$L55:$X55,#REF!)),0,(LOOKUP(AG$16,$L55:$X55,#REF!)))</f>
        <v>0</v>
      </c>
      <c r="AH55" s="297">
        <f>IF(ISERROR(LOOKUP(AH$16,$L55:$X55,#REF!)),0,(LOOKUP(AH$16,$L55:$X55,#REF!)))</f>
        <v>0</v>
      </c>
      <c r="AI55" s="297">
        <f>IF(ISERROR(LOOKUP(AI$16,$L55:$X55,#REF!)),0,(LOOKUP(AI$16,$L55:$X55,#REF!)))</f>
        <v>0</v>
      </c>
      <c r="AJ55" s="297">
        <f>IF(ISERROR(LOOKUP(AJ$16,$L55:$X55,#REF!)),0,(LOOKUP(AJ$16,$L55:$X55,#REF!)))</f>
        <v>0</v>
      </c>
      <c r="AK55" s="297">
        <f>IF(ISERROR(LOOKUP(AK$16,$L55:$X55,#REF!)),0,(LOOKUP(AK$16,$L55:$X55,#REF!)))</f>
        <v>0</v>
      </c>
      <c r="AL55" s="297">
        <f>IF(ISERROR(LOOKUP(AL$16,$L55:$X55,#REF!)),0,(LOOKUP(AL$16,$L55:$X55,#REF!)))</f>
        <v>0</v>
      </c>
      <c r="AM55" s="297">
        <f ca="1">IF(ISERROR(LOOKUP(AM$16,$L55:$X55,#REF!)),0,(LOOKUP(AM$16,$L55:$X55,#REF!)))</f>
        <v>0</v>
      </c>
      <c r="AO55" s="195">
        <f t="shared" si="0"/>
        <v>0</v>
      </c>
      <c r="AP55" s="301"/>
      <c r="AQ55" s="301"/>
      <c r="AR55" s="301"/>
      <c r="AS55" s="257"/>
      <c r="AW55" s="292" t="e">
        <v>#REF!</v>
      </c>
    </row>
    <row r="56" s="195" customFormat="1" ht="18" customHeight="1" spans="1:49">
      <c r="A56" s="241">
        <f>A53+1</f>
        <v>14</v>
      </c>
      <c r="B56" s="242"/>
      <c r="C56" s="243" t="s">
        <v>4790</v>
      </c>
      <c r="D56" s="243" t="s">
        <v>4791</v>
      </c>
      <c r="E56" s="244"/>
      <c r="F56" s="245" t="s">
        <v>58</v>
      </c>
      <c r="G56" s="243" t="str">
        <f>IF(_xlfn.XLOOKUP(C56,'[36]Before Award'!D:D,'[36]Before Award'!AV:AV,"N/A")="N/A","N","Y")</f>
        <v>N</v>
      </c>
      <c r="H56" s="244"/>
      <c r="I56" s="243" t="s">
        <v>6</v>
      </c>
      <c r="J56" s="246" t="s">
        <v>4769</v>
      </c>
      <c r="K56" s="247">
        <f>WORKDAY(L56,-INDEX(L$12:L$15,MATCH($I56,$I$12:$I$15,0)))</f>
        <v>46133</v>
      </c>
      <c r="L56" s="247">
        <f>WORKDAY(M56,-INDEX(M$12:M$15,MATCH($I56,$I$12:$I$15,0)))</f>
        <v>46134</v>
      </c>
      <c r="M56" s="247">
        <f>WORKDAY(N56,-INDEX(N$12:N$15,MATCH($I56,$I$12:$I$15,0)))</f>
        <v>46141</v>
      </c>
      <c r="N56" s="247">
        <f>WORKDAY(O56,-INDEX(O$12:O$15,MATCH($I56,$I$12:$I$15,0)))</f>
        <v>46142</v>
      </c>
      <c r="O56" s="247">
        <f>WORKDAY(R56,-INDEX(R$12:R$15,MATCH($I56,$I$12:$I$15,0)))</f>
        <v>46149</v>
      </c>
      <c r="P56" s="248">
        <f>U56-L56</f>
        <v>76</v>
      </c>
      <c r="Q56" s="249"/>
      <c r="R56" s="247">
        <f>WORKDAY(S56,-INDEX(S$12:S$15,MATCH($I56,$I$12:$I$15,0)))</f>
        <v>46163</v>
      </c>
      <c r="S56" s="247">
        <f>WORKDAY(T56,-INDEX(T$12:T$15,MATCH($I56,$I$12:$I$15,0)))</f>
        <v>46191</v>
      </c>
      <c r="T56" s="247">
        <f>WORKDAY(U56,-INDEX(U$12:U$15,MATCH($I56,$I$12:$I$15,0)))</f>
        <v>46196</v>
      </c>
      <c r="U56" s="247">
        <f>X56-Y56</f>
        <v>46210</v>
      </c>
      <c r="V56" s="247">
        <f>WORKDAY(U56,INDEX(V$12:V$15,MATCH($I56,$I$12:$I$15,0)))</f>
        <v>46212</v>
      </c>
      <c r="W56" s="250">
        <f>Y56/7</f>
        <v>32</v>
      </c>
      <c r="X56" s="247">
        <f>Z56</f>
        <v>46434</v>
      </c>
      <c r="Y56" s="251">
        <f>32*7</f>
        <v>224</v>
      </c>
      <c r="Z56" s="253">
        <v>46434</v>
      </c>
      <c r="AA56" s="253">
        <v>46386</v>
      </c>
      <c r="AB56" s="254">
        <f>Z56-X57</f>
        <v>0</v>
      </c>
      <c r="AC56" s="255">
        <f>IF(ISERROR(LOOKUP(AC$16,$L56:$X56,#REF!)),0,(LOOKUP(AC$16,$L56:$X56,#REF!)))</f>
        <v>0</v>
      </c>
      <c r="AD56" s="256">
        <f>IF(ISERROR(LOOKUP(AD$16,$L56:$X56,#REF!)),0,(LOOKUP(AD$16,$L56:$X56,#REF!)))</f>
        <v>0</v>
      </c>
      <c r="AE56" s="256">
        <f>IF(ISERROR(LOOKUP(AE$16,$L56:$X56,#REF!)),0,(LOOKUP(AE$16,$L56:$X56,#REF!)))</f>
        <v>0</v>
      </c>
      <c r="AF56" s="256">
        <f>IF(ISERROR(LOOKUP(AF$16,$L56:$X56,#REF!)),0,(LOOKUP(AF$16,$L56:$X56,#REF!)))</f>
        <v>0</v>
      </c>
      <c r="AG56" s="256">
        <f>IF(ISERROR(LOOKUP(AG$16,$L56:$X56,#REF!)),0,(LOOKUP(AG$16,$L56:$X56,#REF!)))</f>
        <v>0</v>
      </c>
      <c r="AH56" s="256">
        <f>IF(ISERROR(LOOKUP(AH$16,$L56:$X56,#REF!)),0,(LOOKUP(AH$16,$L56:$X56,#REF!)))</f>
        <v>0</v>
      </c>
      <c r="AI56" s="256">
        <f>IF(ISERROR(LOOKUP(AI$16,$L56:$X56,#REF!)),0,(LOOKUP(AI$16,$L56:$X56,#REF!)))</f>
        <v>0</v>
      </c>
      <c r="AJ56" s="256">
        <f>IF(ISERROR(LOOKUP(AJ$16,$L56:$X56,#REF!)),0,(LOOKUP(AJ$16,$L56:$X56,#REF!)))</f>
        <v>0</v>
      </c>
      <c r="AK56" s="256">
        <f>IF(ISERROR(LOOKUP(AK$16,$L56:$X56,#REF!)),0,(LOOKUP(AK$16,$L56:$X56,#REF!)))</f>
        <v>0</v>
      </c>
      <c r="AL56" s="256">
        <f>IF(ISERROR(LOOKUP(AL$16,$L56:$X56,#REF!)),0,(LOOKUP(AL$16,$L56:$X56,#REF!)))</f>
        <v>0</v>
      </c>
      <c r="AM56" s="256">
        <f ca="1">IF(ISERROR(LOOKUP(AM$16,$L56:$X56,#REF!)),0,(LOOKUP(AM$16,$L56:$X56,#REF!)))</f>
        <v>0</v>
      </c>
      <c r="AO56" s="195">
        <f t="shared" si="0"/>
        <v>14</v>
      </c>
      <c r="AP56" s="247" t="e">
        <f>WORKDAY(AQ56,-INDEX(AQ$12:AQ$15,MATCH($I56,$I$12:$I$15,0)),$AW$17:$AW$148)</f>
        <v>#REF!</v>
      </c>
      <c r="AQ56" s="247" t="e">
        <f>WORKDAY(U56,-INDEX(U$12:U$15,MATCH($I56,$I$12:$I$15,0)),$AW$17:$AW$148)</f>
        <v>#REF!</v>
      </c>
      <c r="AR56" s="247" t="e">
        <f>WORKDAY(U56,-INDEX(U$12:U$15,MATCH($I56,$I$12:$I$15,0)),$AW$17:$AW$148)</f>
        <v>#REF!</v>
      </c>
      <c r="AS56" s="257">
        <v>14</v>
      </c>
      <c r="AW56" s="258" t="e">
        <v>#REF!</v>
      </c>
    </row>
    <row r="57" s="195" customFormat="1" ht="18" customHeight="1" spans="1:49">
      <c r="A57" s="241"/>
      <c r="B57" s="259"/>
      <c r="C57" s="243" t="str">
        <f>C56</f>
        <v>RFQ-014</v>
      </c>
      <c r="D57" s="243" t="str">
        <f>D56</f>
        <v>Closed Drain Sump Pump</v>
      </c>
      <c r="E57" s="260"/>
      <c r="F57" s="261"/>
      <c r="G57" s="243" t="str">
        <f>G56</f>
        <v>N</v>
      </c>
      <c r="H57" s="260"/>
      <c r="I57" s="243" t="str">
        <f>I56</f>
        <v>LA</v>
      </c>
      <c r="J57" s="246" t="s">
        <v>64</v>
      </c>
      <c r="K57" s="247">
        <f>K56</f>
        <v>46133</v>
      </c>
      <c r="L57" s="247">
        <f>WORKDAY(IF(K58="",K57,K58),INDEX(L$12:L$15,MATCH($I56,$I$12:$I$15,0)))</f>
        <v>46134</v>
      </c>
      <c r="M57" s="247">
        <f>WORKDAY(IF(L58="",L57,L58),INDEX(M$12:M$15,MATCH($I56,$I$12:$I$15,0)))</f>
        <v>46141</v>
      </c>
      <c r="N57" s="247">
        <f>WORKDAY(IF(M58="",M57,M58),INDEX(N$12:N$15,MATCH($I56,$I$12:$I$15,0)))</f>
        <v>46142</v>
      </c>
      <c r="O57" s="247">
        <f>WORKDAY(IF(N58="",N57,N58),INDEX(O$12:O$15,MATCH($I56,$I$12:$I$15,0)))</f>
        <v>46149</v>
      </c>
      <c r="P57" s="248"/>
      <c r="Q57" s="249"/>
      <c r="R57" s="247">
        <f>WORKDAY(IF(O58="",O57,O58),INDEX(R$12:R$15,MATCH($I56,$I$12:$I$15,0)))</f>
        <v>46163</v>
      </c>
      <c r="S57" s="247">
        <f>WORKDAY(IF(R58="",R57,R58),INDEX(S$12:S$15,MATCH($I56,$I$12:$I$15,0)))</f>
        <v>46191</v>
      </c>
      <c r="T57" s="247">
        <f>WORKDAY(IF(S58="",S57,S58),INDEX(T$12:T$15,MATCH($I56,$I$12:$I$15,0)))</f>
        <v>46196</v>
      </c>
      <c r="U57" s="247">
        <f>WORKDAY(IF(T58="",T57,T58),INDEX(U$12:U$15,MATCH($I56,$I$12:$I$15,0)))</f>
        <v>46210</v>
      </c>
      <c r="V57" s="247">
        <f>WORKDAY(IF(U58="",U57,U58),INDEX(V$12:V$15,MATCH($I56,$I$12:$I$15,0)))</f>
        <v>46212</v>
      </c>
      <c r="W57" s="250"/>
      <c r="X57" s="247">
        <f>U57+Y56</f>
        <v>46434</v>
      </c>
      <c r="Y57" s="251"/>
      <c r="Z57" s="253"/>
      <c r="AA57" s="253"/>
      <c r="AB57" s="254"/>
      <c r="AC57" s="255">
        <f>IF(ISERROR(LOOKUP(AC$16,$L57:$X57,#REF!)),0,(LOOKUP(AC$16,$L57:$X57,#REF!)))</f>
        <v>0</v>
      </c>
      <c r="AD57" s="256">
        <f>IF(ISERROR(LOOKUP(AD$16,$L57:$X57,#REF!)),0,(LOOKUP(AD$16,$L57:$X57,#REF!)))</f>
        <v>0</v>
      </c>
      <c r="AE57" s="256">
        <f>IF(ISERROR(LOOKUP(AE$16,$L57:$X57,#REF!)),0,(LOOKUP(AE$16,$L57:$X57,#REF!)))</f>
        <v>0</v>
      </c>
      <c r="AF57" s="256">
        <f>IF(ISERROR(LOOKUP(AF$16,$L57:$X57,#REF!)),0,(LOOKUP(AF$16,$L57:$X57,#REF!)))</f>
        <v>0</v>
      </c>
      <c r="AG57" s="256">
        <f>IF(ISERROR(LOOKUP(AG$16,$L57:$X57,#REF!)),0,(LOOKUP(AG$16,$L57:$X57,#REF!)))</f>
        <v>0</v>
      </c>
      <c r="AH57" s="256">
        <f>IF(ISERROR(LOOKUP(AH$16,$L57:$X57,#REF!)),0,(LOOKUP(AH$16,$L57:$X57,#REF!)))</f>
        <v>0</v>
      </c>
      <c r="AI57" s="256">
        <f>IF(ISERROR(LOOKUP(AI$16,$L57:$X57,#REF!)),0,(LOOKUP(AI$16,$L57:$X57,#REF!)))</f>
        <v>0</v>
      </c>
      <c r="AJ57" s="256">
        <f>IF(ISERROR(LOOKUP(AJ$16,$L57:$X57,#REF!)),0,(LOOKUP(AJ$16,$L57:$X57,#REF!)))</f>
        <v>0</v>
      </c>
      <c r="AK57" s="256">
        <f>IF(ISERROR(LOOKUP(AK$16,$L57:$X57,#REF!)),0,(LOOKUP(AK$16,$L57:$X57,#REF!)))</f>
        <v>0</v>
      </c>
      <c r="AL57" s="256">
        <f>IF(ISERROR(LOOKUP(AL$16,$L57:$X57,#REF!)),0,(LOOKUP(AL$16,$L57:$X57,#REF!)))</f>
        <v>0</v>
      </c>
      <c r="AM57" s="256">
        <f ca="1">IF(ISERROR(LOOKUP(AM$16,$L57:$X57,#REF!)),0,(LOOKUP(AM$16,$L57:$X57,#REF!)))</f>
        <v>0</v>
      </c>
      <c r="AO57" s="195">
        <f t="shared" si="0"/>
        <v>14</v>
      </c>
      <c r="AP57" s="247" t="e">
        <f>WORKDAY(IF(T58="",T57,T58),INDEX(AP$12:AP$15,MATCH($I56,$I$12:$I$15,0)),$AW$17:$AW$148)</f>
        <v>#REF!</v>
      </c>
      <c r="AQ57" s="247" t="e">
        <f>WORKDAY(IF(AP58="",AP57,AP58),INDEX(AQ$12:AQ$15,MATCH($I56,$I$12:$I$15,0)),$AW$17:$AW$148)</f>
        <v>#REF!</v>
      </c>
      <c r="AR57" s="247" t="e">
        <f>WORKDAY(IF(AQ58="",AQ57,AQ58),INDEX(AR$12:AR$15,MATCH($I56,$I$12:$I$15,0)),$AW$17:$AW$148)</f>
        <v>#REF!</v>
      </c>
      <c r="AS57" s="257"/>
      <c r="AW57" s="258" t="e">
        <v>#REF!</v>
      </c>
    </row>
    <row r="58" s="195" customFormat="1" ht="18" customHeight="1" spans="1:49">
      <c r="A58" s="241"/>
      <c r="B58" s="262"/>
      <c r="C58" s="243" t="str">
        <f>C56</f>
        <v>RFQ-014</v>
      </c>
      <c r="D58" s="243" t="str">
        <f>D56</f>
        <v>Closed Drain Sump Pump</v>
      </c>
      <c r="E58" s="263"/>
      <c r="F58" s="264"/>
      <c r="G58" s="243" t="str">
        <f>G56</f>
        <v>N</v>
      </c>
      <c r="H58" s="263"/>
      <c r="I58" s="243" t="str">
        <f>I56</f>
        <v>LA</v>
      </c>
      <c r="J58" s="246" t="s">
        <v>66</v>
      </c>
      <c r="K58" s="243"/>
      <c r="L58" s="243"/>
      <c r="M58" s="243"/>
      <c r="N58" s="243"/>
      <c r="O58" s="243"/>
      <c r="P58" s="265"/>
      <c r="Q58" s="266"/>
      <c r="R58" s="243"/>
      <c r="S58" s="243"/>
      <c r="T58" s="243"/>
      <c r="U58" s="243"/>
      <c r="V58" s="243"/>
      <c r="W58" s="267"/>
      <c r="X58" s="243"/>
      <c r="Y58" s="251"/>
      <c r="Z58" s="253"/>
      <c r="AA58" s="253"/>
      <c r="AB58" s="254"/>
      <c r="AC58" s="268">
        <f>IF(ISERROR(LOOKUP(AC$16,$L58:$X58,#REF!)),0,(LOOKUP(AC$16,$L58:$X58,#REF!)))</f>
        <v>0</v>
      </c>
      <c r="AD58" s="269">
        <f>IF(ISERROR(LOOKUP(AD$16,$L58:$X58,#REF!)),0,(LOOKUP(AD$16,$L58:$X58,#REF!)))</f>
        <v>0</v>
      </c>
      <c r="AE58" s="269">
        <f>IF(ISERROR(LOOKUP(AE$16,$L58:$X58,#REF!)),0,(LOOKUP(AE$16,$L58:$X58,#REF!)))</f>
        <v>0</v>
      </c>
      <c r="AF58" s="269">
        <f>IF(ISERROR(LOOKUP(AF$16,$L58:$X58,#REF!)),0,(LOOKUP(AF$16,$L58:$X58,#REF!)))</f>
        <v>0</v>
      </c>
      <c r="AG58" s="269">
        <f>IF(ISERROR(LOOKUP(AG$16,$L58:$X58,#REF!)),0,(LOOKUP(AG$16,$L58:$X58,#REF!)))</f>
        <v>0</v>
      </c>
      <c r="AH58" s="269">
        <f>IF(ISERROR(LOOKUP(AH$16,$L58:$X58,#REF!)),0,(LOOKUP(AH$16,$L58:$X58,#REF!)))</f>
        <v>0</v>
      </c>
      <c r="AI58" s="269">
        <f>IF(ISERROR(LOOKUP(AI$16,$L58:$X58,#REF!)),0,(LOOKUP(AI$16,$L58:$X58,#REF!)))</f>
        <v>0</v>
      </c>
      <c r="AJ58" s="269">
        <f>IF(ISERROR(LOOKUP(AJ$16,$L58:$X58,#REF!)),0,(LOOKUP(AJ$16,$L58:$X58,#REF!)))</f>
        <v>0</v>
      </c>
      <c r="AK58" s="269">
        <f>IF(ISERROR(LOOKUP(AK$16,$L58:$X58,#REF!)),0,(LOOKUP(AK$16,$L58:$X58,#REF!)))</f>
        <v>0</v>
      </c>
      <c r="AL58" s="269">
        <f>IF(ISERROR(LOOKUP(AL$16,$L58:$X58,#REF!)),0,(LOOKUP(AL$16,$L58:$X58,#REF!)))</f>
        <v>0</v>
      </c>
      <c r="AM58" s="269">
        <f ca="1">IF(ISERROR(LOOKUP(AM$16,$L58:$X58,#REF!)),0,(LOOKUP(AM$16,$L58:$X58,#REF!)))</f>
        <v>0</v>
      </c>
      <c r="AO58" s="195">
        <f t="shared" si="0"/>
        <v>0</v>
      </c>
      <c r="AP58" s="243"/>
      <c r="AQ58" s="243"/>
      <c r="AR58" s="243"/>
      <c r="AS58" s="257"/>
      <c r="AW58" s="258" t="e">
        <v>#REF!</v>
      </c>
    </row>
    <row r="59" s="195" customFormat="1" ht="18" customHeight="1" spans="1:49">
      <c r="A59" s="241">
        <f>A56+1</f>
        <v>15</v>
      </c>
      <c r="B59" s="242"/>
      <c r="C59" s="243" t="s">
        <v>4792</v>
      </c>
      <c r="D59" s="243" t="s">
        <v>4793</v>
      </c>
      <c r="E59" s="244"/>
      <c r="F59" s="245" t="s">
        <v>58</v>
      </c>
      <c r="G59" s="243" t="s">
        <v>72</v>
      </c>
      <c r="H59" s="244"/>
      <c r="I59" s="243" t="s">
        <v>6</v>
      </c>
      <c r="J59" s="246" t="s">
        <v>4769</v>
      </c>
      <c r="K59" s="247">
        <f>WORKDAY(L59,-INDEX(L$12:L$15,MATCH($I59,$I$12:$I$15,0)))</f>
        <v>46220</v>
      </c>
      <c r="L59" s="247">
        <f>WORKDAY(M59,-INDEX(M$12:M$15,MATCH($I59,$I$12:$I$15,0)))</f>
        <v>46223</v>
      </c>
      <c r="M59" s="247">
        <f>WORKDAY(N59,-INDEX(N$12:N$15,MATCH($I59,$I$12:$I$15,0)))</f>
        <v>46230</v>
      </c>
      <c r="N59" s="247">
        <f>WORKDAY(O59,-INDEX(O$12:O$15,MATCH($I59,$I$12:$I$15,0)))</f>
        <v>46231</v>
      </c>
      <c r="O59" s="247">
        <f>WORKDAY(R59,-INDEX(R$12:R$15,MATCH($I59,$I$12:$I$15,0)))</f>
        <v>46238</v>
      </c>
      <c r="P59" s="248">
        <f>U59-L59</f>
        <v>74</v>
      </c>
      <c r="Q59" s="249"/>
      <c r="R59" s="247">
        <f>WORKDAY(S59,-INDEX(S$12:S$15,MATCH($I59,$I$12:$I$15,0)))</f>
        <v>46252</v>
      </c>
      <c r="S59" s="247">
        <f>WORKDAY(T59,-INDEX(T$12:T$15,MATCH($I59,$I$12:$I$15,0)))</f>
        <v>46280</v>
      </c>
      <c r="T59" s="247">
        <f>WORKDAY(U59,-INDEX(U$12:U$15,MATCH($I59,$I$12:$I$15,0)))</f>
        <v>46283</v>
      </c>
      <c r="U59" s="247">
        <f>X59-Y59</f>
        <v>46297</v>
      </c>
      <c r="V59" s="247">
        <f>WORKDAY(U59,INDEX(V$12:V$15,MATCH($I59,$I$12:$I$15,0)))</f>
        <v>46301</v>
      </c>
      <c r="W59" s="250">
        <f>Y59/7</f>
        <v>32</v>
      </c>
      <c r="X59" s="247">
        <f>Z59</f>
        <v>46521</v>
      </c>
      <c r="Y59" s="251">
        <f>32*7</f>
        <v>224</v>
      </c>
      <c r="Z59" s="253">
        <v>46521</v>
      </c>
      <c r="AA59" s="253">
        <v>46521</v>
      </c>
      <c r="AB59" s="254">
        <f>Z59-X60</f>
        <v>0</v>
      </c>
      <c r="AC59" s="255">
        <f>IF(ISERROR(LOOKUP(AC$16,$L59:$X59,#REF!)),0,(LOOKUP(AC$16,$L59:$X59,#REF!)))</f>
        <v>0</v>
      </c>
      <c r="AD59" s="256">
        <f>IF(ISERROR(LOOKUP(AD$16,$L59:$X59,#REF!)),0,(LOOKUP(AD$16,$L59:$X59,#REF!)))</f>
        <v>0</v>
      </c>
      <c r="AE59" s="256">
        <f>IF(ISERROR(LOOKUP(AE$16,$L59:$X59,#REF!)),0,(LOOKUP(AE$16,$L59:$X59,#REF!)))</f>
        <v>0</v>
      </c>
      <c r="AF59" s="256">
        <f>IF(ISERROR(LOOKUP(AF$16,$L59:$X59,#REF!)),0,(LOOKUP(AF$16,$L59:$X59,#REF!)))</f>
        <v>0</v>
      </c>
      <c r="AG59" s="256">
        <f>IF(ISERROR(LOOKUP(AG$16,$L59:$X59,#REF!)),0,(LOOKUP(AG$16,$L59:$X59,#REF!)))</f>
        <v>0</v>
      </c>
      <c r="AH59" s="256">
        <f>IF(ISERROR(LOOKUP(AH$16,$L59:$X59,#REF!)),0,(LOOKUP(AH$16,$L59:$X59,#REF!)))</f>
        <v>0</v>
      </c>
      <c r="AI59" s="256">
        <f>IF(ISERROR(LOOKUP(AI$16,$L59:$X59,#REF!)),0,(LOOKUP(AI$16,$L59:$X59,#REF!)))</f>
        <v>0</v>
      </c>
      <c r="AJ59" s="256">
        <f>IF(ISERROR(LOOKUP(AJ$16,$L59:$X59,#REF!)),0,(LOOKUP(AJ$16,$L59:$X59,#REF!)))</f>
        <v>0</v>
      </c>
      <c r="AK59" s="256">
        <f>IF(ISERROR(LOOKUP(AK$16,$L59:$X59,#REF!)),0,(LOOKUP(AK$16,$L59:$X59,#REF!)))</f>
        <v>0</v>
      </c>
      <c r="AL59" s="256">
        <f>IF(ISERROR(LOOKUP(AL$16,$L59:$X59,#REF!)),0,(LOOKUP(AL$16,$L59:$X59,#REF!)))</f>
        <v>0</v>
      </c>
      <c r="AM59" s="256">
        <f ca="1">IF(ISERROR(LOOKUP(AM$16,$L59:$X59,#REF!)),0,(LOOKUP(AM$16,$L59:$X59,#REF!)))</f>
        <v>0</v>
      </c>
      <c r="AO59" s="195">
        <f t="shared" si="0"/>
        <v>14</v>
      </c>
      <c r="AP59" s="247" t="e">
        <f>WORKDAY(AQ59,-INDEX(AQ$12:AQ$15,MATCH($I59,$I$12:$I$15,0)),$AW$17:$AW$148)</f>
        <v>#REF!</v>
      </c>
      <c r="AQ59" s="247" t="e">
        <f>WORKDAY(U59,-INDEX(U$12:U$15,MATCH($I59,$I$12:$I$15,0)),$AW$17:$AW$148)</f>
        <v>#REF!</v>
      </c>
      <c r="AR59" s="247" t="e">
        <f>WORKDAY(U59,-INDEX(U$12:U$15,MATCH($I59,$I$12:$I$15,0)),$AW$17:$AW$148)</f>
        <v>#REF!</v>
      </c>
      <c r="AS59" s="257">
        <v>14</v>
      </c>
      <c r="AW59" s="258" t="e">
        <v>#REF!</v>
      </c>
    </row>
    <row r="60" s="195" customFormat="1" ht="18" customHeight="1" spans="1:49">
      <c r="A60" s="241"/>
      <c r="B60" s="259"/>
      <c r="C60" s="243" t="str">
        <f>C59</f>
        <v>RFQ-015</v>
      </c>
      <c r="D60" s="243" t="str">
        <f>D59</f>
        <v>Diesel Transfer Pump</v>
      </c>
      <c r="E60" s="260"/>
      <c r="F60" s="261"/>
      <c r="G60" s="243" t="str">
        <f>G59</f>
        <v>N</v>
      </c>
      <c r="H60" s="260"/>
      <c r="I60" s="243" t="str">
        <f>I59</f>
        <v>LA</v>
      </c>
      <c r="J60" s="246" t="s">
        <v>64</v>
      </c>
      <c r="K60" s="247">
        <f>K59</f>
        <v>46220</v>
      </c>
      <c r="L60" s="247">
        <f>WORKDAY(IF(K61="",K60,K61),INDEX(L$12:L$15,MATCH($I59,$I$12:$I$15,0)))</f>
        <v>46223</v>
      </c>
      <c r="M60" s="247">
        <f>WORKDAY(IF(L61="",L60,L61),INDEX(M$12:M$15,MATCH($I59,$I$12:$I$15,0)))</f>
        <v>46230</v>
      </c>
      <c r="N60" s="247">
        <f>WORKDAY(IF(M61="",M60,M61),INDEX(N$12:N$15,MATCH($I59,$I$12:$I$15,0)))</f>
        <v>46231</v>
      </c>
      <c r="O60" s="247">
        <f>WORKDAY(IF(N61="",N60,N61),INDEX(O$12:O$15,MATCH($I59,$I$12:$I$15,0)))</f>
        <v>46238</v>
      </c>
      <c r="P60" s="248"/>
      <c r="Q60" s="249"/>
      <c r="R60" s="247">
        <f>WORKDAY(IF(O61="",O60,O61),INDEX(R$12:R$15,MATCH($I59,$I$12:$I$15,0)))</f>
        <v>46252</v>
      </c>
      <c r="S60" s="247">
        <f>WORKDAY(IF(R61="",R60,R61),INDEX(S$12:S$15,MATCH($I59,$I$12:$I$15,0)))</f>
        <v>46280</v>
      </c>
      <c r="T60" s="247">
        <f>WORKDAY(IF(S61="",S60,S61),INDEX(T$12:T$15,MATCH($I59,$I$12:$I$15,0)))</f>
        <v>46283</v>
      </c>
      <c r="U60" s="247">
        <f>WORKDAY(IF(T61="",T60,T61),INDEX(U$12:U$15,MATCH($I59,$I$12:$I$15,0)))</f>
        <v>46297</v>
      </c>
      <c r="V60" s="247">
        <f>WORKDAY(IF(U61="",U60,U61),INDEX(V$12:V$15,MATCH($I59,$I$12:$I$15,0)))</f>
        <v>46301</v>
      </c>
      <c r="W60" s="250"/>
      <c r="X60" s="247">
        <f>U60+Y59</f>
        <v>46521</v>
      </c>
      <c r="Y60" s="251"/>
      <c r="Z60" s="253"/>
      <c r="AA60" s="253"/>
      <c r="AB60" s="254"/>
      <c r="AC60" s="255">
        <f>IF(ISERROR(LOOKUP(AC$16,$L60:$X60,#REF!)),0,(LOOKUP(AC$16,$L60:$X60,#REF!)))</f>
        <v>0</v>
      </c>
      <c r="AD60" s="256">
        <f>IF(ISERROR(LOOKUP(AD$16,$L60:$X60,#REF!)),0,(LOOKUP(AD$16,$L60:$X60,#REF!)))</f>
        <v>0</v>
      </c>
      <c r="AE60" s="256">
        <f>IF(ISERROR(LOOKUP(AE$16,$L60:$X60,#REF!)),0,(LOOKUP(AE$16,$L60:$X60,#REF!)))</f>
        <v>0</v>
      </c>
      <c r="AF60" s="256">
        <f>IF(ISERROR(LOOKUP(AF$16,$L60:$X60,#REF!)),0,(LOOKUP(AF$16,$L60:$X60,#REF!)))</f>
        <v>0</v>
      </c>
      <c r="AG60" s="256">
        <f>IF(ISERROR(LOOKUP(AG$16,$L60:$X60,#REF!)),0,(LOOKUP(AG$16,$L60:$X60,#REF!)))</f>
        <v>0</v>
      </c>
      <c r="AH60" s="256">
        <f>IF(ISERROR(LOOKUP(AH$16,$L60:$X60,#REF!)),0,(LOOKUP(AH$16,$L60:$X60,#REF!)))</f>
        <v>0</v>
      </c>
      <c r="AI60" s="256">
        <f>IF(ISERROR(LOOKUP(AI$16,$L60:$X60,#REF!)),0,(LOOKUP(AI$16,$L60:$X60,#REF!)))</f>
        <v>0</v>
      </c>
      <c r="AJ60" s="256">
        <f>IF(ISERROR(LOOKUP(AJ$16,$L60:$X60,#REF!)),0,(LOOKUP(AJ$16,$L60:$X60,#REF!)))</f>
        <v>0</v>
      </c>
      <c r="AK60" s="256">
        <f>IF(ISERROR(LOOKUP(AK$16,$L60:$X60,#REF!)),0,(LOOKUP(AK$16,$L60:$X60,#REF!)))</f>
        <v>0</v>
      </c>
      <c r="AL60" s="256">
        <f>IF(ISERROR(LOOKUP(AL$16,$L60:$X60,#REF!)),0,(LOOKUP(AL$16,$L60:$X60,#REF!)))</f>
        <v>0</v>
      </c>
      <c r="AM60" s="256">
        <f ca="1">IF(ISERROR(LOOKUP(AM$16,$L60:$X60,#REF!)),0,(LOOKUP(AM$16,$L60:$X60,#REF!)))</f>
        <v>0</v>
      </c>
      <c r="AO60" s="195">
        <f t="shared" si="0"/>
        <v>14</v>
      </c>
      <c r="AP60" s="247" t="e">
        <f>WORKDAY(IF(T61="",T60,T61),INDEX(AP$12:AP$15,MATCH($I59,$I$12:$I$15,0)),$AW$17:$AW$148)</f>
        <v>#REF!</v>
      </c>
      <c r="AQ60" s="247" t="e">
        <f>WORKDAY(IF(AP61="",AP60,AP61),INDEX(AQ$12:AQ$15,MATCH($I59,$I$12:$I$15,0)),$AW$17:$AW$148)</f>
        <v>#REF!</v>
      </c>
      <c r="AR60" s="247" t="e">
        <f>WORKDAY(IF(AQ61="",AQ60,AQ61),INDEX(AR$12:AR$15,MATCH($I59,$I$12:$I$15,0)),$AW$17:$AW$148)</f>
        <v>#REF!</v>
      </c>
      <c r="AS60" s="257"/>
      <c r="AW60" s="258" t="e">
        <v>#REF!</v>
      </c>
    </row>
    <row r="61" s="195" customFormat="1" ht="18" customHeight="1" spans="1:49">
      <c r="A61" s="241"/>
      <c r="B61" s="262"/>
      <c r="C61" s="243" t="str">
        <f>C59</f>
        <v>RFQ-015</v>
      </c>
      <c r="D61" s="243" t="str">
        <f>D59</f>
        <v>Diesel Transfer Pump</v>
      </c>
      <c r="E61" s="263"/>
      <c r="F61" s="264"/>
      <c r="G61" s="243" t="str">
        <f>G59</f>
        <v>N</v>
      </c>
      <c r="H61" s="263"/>
      <c r="I61" s="243" t="str">
        <f>I59</f>
        <v>LA</v>
      </c>
      <c r="J61" s="246" t="s">
        <v>66</v>
      </c>
      <c r="K61" s="243"/>
      <c r="L61" s="243"/>
      <c r="M61" s="243"/>
      <c r="N61" s="243"/>
      <c r="O61" s="243"/>
      <c r="P61" s="265"/>
      <c r="Q61" s="266"/>
      <c r="R61" s="243"/>
      <c r="S61" s="243"/>
      <c r="T61" s="243"/>
      <c r="U61" s="243"/>
      <c r="V61" s="243"/>
      <c r="W61" s="267"/>
      <c r="X61" s="243"/>
      <c r="Y61" s="251"/>
      <c r="Z61" s="253"/>
      <c r="AA61" s="253"/>
      <c r="AB61" s="254"/>
      <c r="AC61" s="268">
        <f>IF(ISERROR(LOOKUP(AC$16,$L61:$X61,#REF!)),0,(LOOKUP(AC$16,$L61:$X61,#REF!)))</f>
        <v>0</v>
      </c>
      <c r="AD61" s="269">
        <f>IF(ISERROR(LOOKUP(AD$16,$L61:$X61,#REF!)),0,(LOOKUP(AD$16,$L61:$X61,#REF!)))</f>
        <v>0</v>
      </c>
      <c r="AE61" s="269">
        <f>IF(ISERROR(LOOKUP(AE$16,$L61:$X61,#REF!)),0,(LOOKUP(AE$16,$L61:$X61,#REF!)))</f>
        <v>0</v>
      </c>
      <c r="AF61" s="269">
        <f>IF(ISERROR(LOOKUP(AF$16,$L61:$X61,#REF!)),0,(LOOKUP(AF$16,$L61:$X61,#REF!)))</f>
        <v>0</v>
      </c>
      <c r="AG61" s="269">
        <f>IF(ISERROR(LOOKUP(AG$16,$L61:$X61,#REF!)),0,(LOOKUP(AG$16,$L61:$X61,#REF!)))</f>
        <v>0</v>
      </c>
      <c r="AH61" s="269">
        <f>IF(ISERROR(LOOKUP(AH$16,$L61:$X61,#REF!)),0,(LOOKUP(AH$16,$L61:$X61,#REF!)))</f>
        <v>0</v>
      </c>
      <c r="AI61" s="269">
        <f>IF(ISERROR(LOOKUP(AI$16,$L61:$X61,#REF!)),0,(LOOKUP(AI$16,$L61:$X61,#REF!)))</f>
        <v>0</v>
      </c>
      <c r="AJ61" s="269">
        <f>IF(ISERROR(LOOKUP(AJ$16,$L61:$X61,#REF!)),0,(LOOKUP(AJ$16,$L61:$X61,#REF!)))</f>
        <v>0</v>
      </c>
      <c r="AK61" s="269">
        <f>IF(ISERROR(LOOKUP(AK$16,$L61:$X61,#REF!)),0,(LOOKUP(AK$16,$L61:$X61,#REF!)))</f>
        <v>0</v>
      </c>
      <c r="AL61" s="269">
        <f>IF(ISERROR(LOOKUP(AL$16,$L61:$X61,#REF!)),0,(LOOKUP(AL$16,$L61:$X61,#REF!)))</f>
        <v>0</v>
      </c>
      <c r="AM61" s="269">
        <f ca="1">IF(ISERROR(LOOKUP(AM$16,$L61:$X61,#REF!)),0,(LOOKUP(AM$16,$L61:$X61,#REF!)))</f>
        <v>0</v>
      </c>
      <c r="AO61" s="195">
        <f t="shared" si="0"/>
        <v>0</v>
      </c>
      <c r="AP61" s="243"/>
      <c r="AQ61" s="243"/>
      <c r="AR61" s="243"/>
      <c r="AS61" s="257"/>
      <c r="AW61" s="258" t="e">
        <v>#REF!</v>
      </c>
    </row>
    <row r="62" s="195" customFormat="1" ht="18" customHeight="1" spans="1:49">
      <c r="A62" s="241">
        <f>A59+1</f>
        <v>16</v>
      </c>
      <c r="B62" s="242"/>
      <c r="C62" s="243" t="s">
        <v>4794</v>
      </c>
      <c r="D62" s="243" t="s">
        <v>4795</v>
      </c>
      <c r="E62" s="244"/>
      <c r="F62" s="245" t="s">
        <v>58</v>
      </c>
      <c r="G62" s="243" t="s">
        <v>72</v>
      </c>
      <c r="H62" s="244"/>
      <c r="I62" s="243" t="s">
        <v>6</v>
      </c>
      <c r="J62" s="246" t="s">
        <v>4769</v>
      </c>
      <c r="K62" s="247">
        <f>WORKDAY(L62,-INDEX(L$12:L$15,MATCH($I62,$I$12:$I$15,0)))</f>
        <v>46176</v>
      </c>
      <c r="L62" s="247">
        <f>WORKDAY(M62,-INDEX(M$12:M$15,MATCH($I62,$I$12:$I$15,0)))</f>
        <v>46177</v>
      </c>
      <c r="M62" s="247">
        <f>WORKDAY(N62,-INDEX(N$12:N$15,MATCH($I62,$I$12:$I$15,0)))</f>
        <v>46184</v>
      </c>
      <c r="N62" s="247">
        <f>WORKDAY(O62,-INDEX(O$12:O$15,MATCH($I62,$I$12:$I$15,0)))</f>
        <v>46185</v>
      </c>
      <c r="O62" s="247">
        <f>WORKDAY(R62,-INDEX(R$12:R$15,MATCH($I62,$I$12:$I$15,0)))</f>
        <v>46192</v>
      </c>
      <c r="P62" s="248">
        <f>U62-L62</f>
        <v>76</v>
      </c>
      <c r="Q62" s="249"/>
      <c r="R62" s="247">
        <f>WORKDAY(S62,-INDEX(S$12:S$15,MATCH($I62,$I$12:$I$15,0)))</f>
        <v>46206</v>
      </c>
      <c r="S62" s="247">
        <f>WORKDAY(T62,-INDEX(T$12:T$15,MATCH($I62,$I$12:$I$15,0)))</f>
        <v>46234</v>
      </c>
      <c r="T62" s="247">
        <f>WORKDAY(U62,-INDEX(U$12:U$15,MATCH($I62,$I$12:$I$15,0)))</f>
        <v>46239</v>
      </c>
      <c r="U62" s="247">
        <f>X62-Y62</f>
        <v>46253</v>
      </c>
      <c r="V62" s="247">
        <f>WORKDAY(U62,INDEX(V$12:V$15,MATCH($I62,$I$12:$I$15,0)))</f>
        <v>46255</v>
      </c>
      <c r="W62" s="250">
        <f>Y62/7</f>
        <v>32</v>
      </c>
      <c r="X62" s="247">
        <f>Z62</f>
        <v>46477</v>
      </c>
      <c r="Y62" s="251">
        <f>32*7</f>
        <v>224</v>
      </c>
      <c r="Z62" s="253">
        <v>46477</v>
      </c>
      <c r="AA62" s="253">
        <v>46477</v>
      </c>
      <c r="AB62" s="254">
        <f>Z62-X63</f>
        <v>0</v>
      </c>
      <c r="AC62" s="255">
        <f>IF(ISERROR(LOOKUP(AC$16,$L62:$X62,#REF!)),0,(LOOKUP(AC$16,$L62:$X62,#REF!)))</f>
        <v>0</v>
      </c>
      <c r="AD62" s="256">
        <f>IF(ISERROR(LOOKUP(AD$16,$L62:$X62,#REF!)),0,(LOOKUP(AD$16,$L62:$X62,#REF!)))</f>
        <v>0</v>
      </c>
      <c r="AE62" s="256">
        <f>IF(ISERROR(LOOKUP(AE$16,$L62:$X62,#REF!)),0,(LOOKUP(AE$16,$L62:$X62,#REF!)))</f>
        <v>0</v>
      </c>
      <c r="AF62" s="256">
        <f>IF(ISERROR(LOOKUP(AF$16,$L62:$X62,#REF!)),0,(LOOKUP(AF$16,$L62:$X62,#REF!)))</f>
        <v>0</v>
      </c>
      <c r="AG62" s="256">
        <f>IF(ISERROR(LOOKUP(AG$16,$L62:$X62,#REF!)),0,(LOOKUP(AG$16,$L62:$X62,#REF!)))</f>
        <v>0</v>
      </c>
      <c r="AH62" s="256">
        <f>IF(ISERROR(LOOKUP(AH$16,$L62:$X62,#REF!)),0,(LOOKUP(AH$16,$L62:$X62,#REF!)))</f>
        <v>0</v>
      </c>
      <c r="AI62" s="256">
        <f>IF(ISERROR(LOOKUP(AI$16,$L62:$X62,#REF!)),0,(LOOKUP(AI$16,$L62:$X62,#REF!)))</f>
        <v>0</v>
      </c>
      <c r="AJ62" s="256">
        <f>IF(ISERROR(LOOKUP(AJ$16,$L62:$X62,#REF!)),0,(LOOKUP(AJ$16,$L62:$X62,#REF!)))</f>
        <v>0</v>
      </c>
      <c r="AK62" s="256">
        <f>IF(ISERROR(LOOKUP(AK$16,$L62:$X62,#REF!)),0,(LOOKUP(AK$16,$L62:$X62,#REF!)))</f>
        <v>0</v>
      </c>
      <c r="AL62" s="256">
        <f>IF(ISERROR(LOOKUP(AL$16,$L62:$X62,#REF!)),0,(LOOKUP(AL$16,$L62:$X62,#REF!)))</f>
        <v>0</v>
      </c>
      <c r="AM62" s="256">
        <f ca="1">IF(ISERROR(LOOKUP(AM$16,$L62:$X62,#REF!)),0,(LOOKUP(AM$16,$L62:$X62,#REF!)))</f>
        <v>0</v>
      </c>
      <c r="AO62" s="195">
        <f t="shared" si="0"/>
        <v>14</v>
      </c>
      <c r="AP62" s="247" t="e">
        <f>WORKDAY(AQ62,-INDEX(AQ$12:AQ$15,MATCH($I62,$I$12:$I$15,0)),$AW$17:$AW$148)</f>
        <v>#REF!</v>
      </c>
      <c r="AQ62" s="247" t="e">
        <f>WORKDAY(U62,-INDEX(U$12:U$15,MATCH($I62,$I$12:$I$15,0)),$AW$17:$AW$148)</f>
        <v>#REF!</v>
      </c>
      <c r="AR62" s="247" t="e">
        <f>WORKDAY(U62,-INDEX(U$12:U$15,MATCH($I62,$I$12:$I$15,0)),$AW$17:$AW$148)</f>
        <v>#REF!</v>
      </c>
      <c r="AS62" s="257">
        <v>14</v>
      </c>
      <c r="AW62" s="258" t="e">
        <v>#REF!</v>
      </c>
    </row>
    <row r="63" s="195" customFormat="1" ht="18" customHeight="1" spans="1:49">
      <c r="A63" s="241"/>
      <c r="B63" s="259"/>
      <c r="C63" s="243" t="str">
        <f>C62</f>
        <v>RFQ-016</v>
      </c>
      <c r="D63" s="243" t="str">
        <f>D62</f>
        <v>Open Drain Caisson Pump</v>
      </c>
      <c r="E63" s="260"/>
      <c r="F63" s="261"/>
      <c r="G63" s="243" t="str">
        <f>G62</f>
        <v>N</v>
      </c>
      <c r="H63" s="260"/>
      <c r="I63" s="243" t="str">
        <f>I62</f>
        <v>LA</v>
      </c>
      <c r="J63" s="246" t="s">
        <v>64</v>
      </c>
      <c r="K63" s="247">
        <f>K62</f>
        <v>46176</v>
      </c>
      <c r="L63" s="247">
        <f>WORKDAY(IF(K64="",K63,K64),INDEX(L$12:L$15,MATCH($I62,$I$12:$I$15,0)))</f>
        <v>46177</v>
      </c>
      <c r="M63" s="247">
        <f>WORKDAY(IF(L64="",L63,L64),INDEX(M$12:M$15,MATCH($I62,$I$12:$I$15,0)))</f>
        <v>46184</v>
      </c>
      <c r="N63" s="247">
        <f>WORKDAY(IF(M64="",M63,M64),INDEX(N$12:N$15,MATCH($I62,$I$12:$I$15,0)))</f>
        <v>46185</v>
      </c>
      <c r="O63" s="247">
        <f>WORKDAY(IF(N64="",N63,N64),INDEX(O$12:O$15,MATCH($I62,$I$12:$I$15,0)))</f>
        <v>46192</v>
      </c>
      <c r="P63" s="248"/>
      <c r="Q63" s="249"/>
      <c r="R63" s="247">
        <f>WORKDAY(IF(O64="",O63,O64),INDEX(R$12:R$15,MATCH($I62,$I$12:$I$15,0)))</f>
        <v>46206</v>
      </c>
      <c r="S63" s="247">
        <f>WORKDAY(IF(R64="",R63,R64),INDEX(S$12:S$15,MATCH($I62,$I$12:$I$15,0)))</f>
        <v>46234</v>
      </c>
      <c r="T63" s="247">
        <f>WORKDAY(IF(S64="",S63,S64),INDEX(T$12:T$15,MATCH($I62,$I$12:$I$15,0)))</f>
        <v>46239</v>
      </c>
      <c r="U63" s="247">
        <f>WORKDAY(IF(T64="",T63,T64),INDEX(U$12:U$15,MATCH($I62,$I$12:$I$15,0)))</f>
        <v>46253</v>
      </c>
      <c r="V63" s="247">
        <f>WORKDAY(IF(U64="",U63,U64),INDEX(V$12:V$15,MATCH($I62,$I$12:$I$15,0)))</f>
        <v>46255</v>
      </c>
      <c r="W63" s="250"/>
      <c r="X63" s="247">
        <f>U63+Y62</f>
        <v>46477</v>
      </c>
      <c r="Y63" s="251"/>
      <c r="Z63" s="253"/>
      <c r="AA63" s="253"/>
      <c r="AB63" s="254"/>
      <c r="AC63" s="255">
        <f>IF(ISERROR(LOOKUP(AC$16,$L63:$X63,#REF!)),0,(LOOKUP(AC$16,$L63:$X63,#REF!)))</f>
        <v>0</v>
      </c>
      <c r="AD63" s="256">
        <f>IF(ISERROR(LOOKUP(AD$16,$L63:$X63,#REF!)),0,(LOOKUP(AD$16,$L63:$X63,#REF!)))</f>
        <v>0</v>
      </c>
      <c r="AE63" s="256">
        <f>IF(ISERROR(LOOKUP(AE$16,$L63:$X63,#REF!)),0,(LOOKUP(AE$16,$L63:$X63,#REF!)))</f>
        <v>0</v>
      </c>
      <c r="AF63" s="256">
        <f>IF(ISERROR(LOOKUP(AF$16,$L63:$X63,#REF!)),0,(LOOKUP(AF$16,$L63:$X63,#REF!)))</f>
        <v>0</v>
      </c>
      <c r="AG63" s="256">
        <f>IF(ISERROR(LOOKUP(AG$16,$L63:$X63,#REF!)),0,(LOOKUP(AG$16,$L63:$X63,#REF!)))</f>
        <v>0</v>
      </c>
      <c r="AH63" s="256">
        <f>IF(ISERROR(LOOKUP(AH$16,$L63:$X63,#REF!)),0,(LOOKUP(AH$16,$L63:$X63,#REF!)))</f>
        <v>0</v>
      </c>
      <c r="AI63" s="256">
        <f>IF(ISERROR(LOOKUP(AI$16,$L63:$X63,#REF!)),0,(LOOKUP(AI$16,$L63:$X63,#REF!)))</f>
        <v>0</v>
      </c>
      <c r="AJ63" s="256">
        <f>IF(ISERROR(LOOKUP(AJ$16,$L63:$X63,#REF!)),0,(LOOKUP(AJ$16,$L63:$X63,#REF!)))</f>
        <v>0</v>
      </c>
      <c r="AK63" s="256">
        <f>IF(ISERROR(LOOKUP(AK$16,$L63:$X63,#REF!)),0,(LOOKUP(AK$16,$L63:$X63,#REF!)))</f>
        <v>0</v>
      </c>
      <c r="AL63" s="256">
        <f>IF(ISERROR(LOOKUP(AL$16,$L63:$X63,#REF!)),0,(LOOKUP(AL$16,$L63:$X63,#REF!)))</f>
        <v>0</v>
      </c>
      <c r="AM63" s="256">
        <f ca="1">IF(ISERROR(LOOKUP(AM$16,$L63:$X63,#REF!)),0,(LOOKUP(AM$16,$L63:$X63,#REF!)))</f>
        <v>0</v>
      </c>
      <c r="AO63" s="195">
        <f t="shared" si="0"/>
        <v>14</v>
      </c>
      <c r="AP63" s="247" t="e">
        <f>WORKDAY(IF(T64="",T63,T64),INDEX(AP$12:AP$15,MATCH($I62,$I$12:$I$15,0)),$AW$17:$AW$148)</f>
        <v>#REF!</v>
      </c>
      <c r="AQ63" s="247" t="e">
        <f>WORKDAY(IF(AP64="",AP63,AP64),INDEX(AQ$12:AQ$15,MATCH($I62,$I$12:$I$15,0)),$AW$17:$AW$148)</f>
        <v>#REF!</v>
      </c>
      <c r="AR63" s="247" t="e">
        <f>WORKDAY(IF(AQ64="",AQ63,AQ64),INDEX(AR$12:AR$15,MATCH($I62,$I$12:$I$15,0)),$AW$17:$AW$148)</f>
        <v>#REF!</v>
      </c>
      <c r="AS63" s="257"/>
      <c r="AW63" s="258" t="e">
        <v>#REF!</v>
      </c>
    </row>
    <row r="64" s="195" customFormat="1" ht="18" customHeight="1" spans="1:49">
      <c r="A64" s="241"/>
      <c r="B64" s="262"/>
      <c r="C64" s="243" t="str">
        <f>C62</f>
        <v>RFQ-016</v>
      </c>
      <c r="D64" s="243" t="str">
        <f>D62</f>
        <v>Open Drain Caisson Pump</v>
      </c>
      <c r="E64" s="263"/>
      <c r="F64" s="264"/>
      <c r="G64" s="243" t="str">
        <f>G62</f>
        <v>N</v>
      </c>
      <c r="H64" s="263"/>
      <c r="I64" s="243" t="str">
        <f>I62</f>
        <v>LA</v>
      </c>
      <c r="J64" s="246" t="s">
        <v>66</v>
      </c>
      <c r="K64" s="243"/>
      <c r="L64" s="243"/>
      <c r="M64" s="243"/>
      <c r="N64" s="243"/>
      <c r="O64" s="243"/>
      <c r="P64" s="265"/>
      <c r="Q64" s="266"/>
      <c r="R64" s="243"/>
      <c r="S64" s="243"/>
      <c r="T64" s="243"/>
      <c r="U64" s="243"/>
      <c r="V64" s="243"/>
      <c r="W64" s="267"/>
      <c r="X64" s="243"/>
      <c r="Y64" s="251"/>
      <c r="Z64" s="253"/>
      <c r="AA64" s="253"/>
      <c r="AB64" s="254"/>
      <c r="AC64" s="268">
        <f>IF(ISERROR(LOOKUP(AC$16,$L64:$X64,#REF!)),0,(LOOKUP(AC$16,$L64:$X64,#REF!)))</f>
        <v>0</v>
      </c>
      <c r="AD64" s="269">
        <f>IF(ISERROR(LOOKUP(AD$16,$L64:$X64,#REF!)),0,(LOOKUP(AD$16,$L64:$X64,#REF!)))</f>
        <v>0</v>
      </c>
      <c r="AE64" s="269">
        <f>IF(ISERROR(LOOKUP(AE$16,$L64:$X64,#REF!)),0,(LOOKUP(AE$16,$L64:$X64,#REF!)))</f>
        <v>0</v>
      </c>
      <c r="AF64" s="269">
        <f>IF(ISERROR(LOOKUP(AF$16,$L64:$X64,#REF!)),0,(LOOKUP(AF$16,$L64:$X64,#REF!)))</f>
        <v>0</v>
      </c>
      <c r="AG64" s="269">
        <f>IF(ISERROR(LOOKUP(AG$16,$L64:$X64,#REF!)),0,(LOOKUP(AG$16,$L64:$X64,#REF!)))</f>
        <v>0</v>
      </c>
      <c r="AH64" s="269">
        <f>IF(ISERROR(LOOKUP(AH$16,$L64:$X64,#REF!)),0,(LOOKUP(AH$16,$L64:$X64,#REF!)))</f>
        <v>0</v>
      </c>
      <c r="AI64" s="269">
        <f>IF(ISERROR(LOOKUP(AI$16,$L64:$X64,#REF!)),0,(LOOKUP(AI$16,$L64:$X64,#REF!)))</f>
        <v>0</v>
      </c>
      <c r="AJ64" s="269">
        <f>IF(ISERROR(LOOKUP(AJ$16,$L64:$X64,#REF!)),0,(LOOKUP(AJ$16,$L64:$X64,#REF!)))</f>
        <v>0</v>
      </c>
      <c r="AK64" s="269">
        <f>IF(ISERROR(LOOKUP(AK$16,$L64:$X64,#REF!)),0,(LOOKUP(AK$16,$L64:$X64,#REF!)))</f>
        <v>0</v>
      </c>
      <c r="AL64" s="269">
        <f>IF(ISERROR(LOOKUP(AL$16,$L64:$X64,#REF!)),0,(LOOKUP(AL$16,$L64:$X64,#REF!)))</f>
        <v>0</v>
      </c>
      <c r="AM64" s="269">
        <f ca="1">IF(ISERROR(LOOKUP(AM$16,$L64:$X64,#REF!)),0,(LOOKUP(AM$16,$L64:$X64,#REF!)))</f>
        <v>0</v>
      </c>
      <c r="AO64" s="195">
        <f t="shared" si="0"/>
        <v>0</v>
      </c>
      <c r="AP64" s="243"/>
      <c r="AQ64" s="243"/>
      <c r="AR64" s="243"/>
      <c r="AS64" s="257"/>
      <c r="AW64" s="258" t="e">
        <v>#REF!</v>
      </c>
    </row>
    <row r="65" s="195" customFormat="1" ht="20.25" customHeight="1" spans="1:49">
      <c r="A65" s="241">
        <f>A62+1</f>
        <v>17</v>
      </c>
      <c r="B65" s="242"/>
      <c r="C65" s="243" t="s">
        <v>4796</v>
      </c>
      <c r="D65" s="243" t="s">
        <v>4797</v>
      </c>
      <c r="E65" s="244"/>
      <c r="F65" s="245" t="s">
        <v>123</v>
      </c>
      <c r="G65" s="243" t="s">
        <v>72</v>
      </c>
      <c r="H65" s="244"/>
      <c r="I65" s="243" t="s">
        <v>7</v>
      </c>
      <c r="J65" s="246" t="s">
        <v>4769</v>
      </c>
      <c r="K65" s="247">
        <f>WORKDAY(L65,-INDEX(L$12:L$15,MATCH($I65,$I$12:$I$15,0)))</f>
        <v>46190</v>
      </c>
      <c r="L65" s="247">
        <f>WORKDAY(M65,-INDEX(M$12:M$15,MATCH($I65,$I$12:$I$15,0)))</f>
        <v>46191</v>
      </c>
      <c r="M65" s="247">
        <f>WORKDAY(N65,-INDEX(N$12:N$15,MATCH($I65,$I$12:$I$15,0)))</f>
        <v>46198</v>
      </c>
      <c r="N65" s="247">
        <f>WORKDAY(O65,-INDEX(O$12:O$15,MATCH($I65,$I$12:$I$15,0)))</f>
        <v>46199</v>
      </c>
      <c r="O65" s="247">
        <f>WORKDAY(R65,-INDEX(R$12:R$15,MATCH($I65,$I$12:$I$15,0)))</f>
        <v>46206</v>
      </c>
      <c r="P65" s="248">
        <f>U65-L65</f>
        <v>76</v>
      </c>
      <c r="Q65" s="249"/>
      <c r="R65" s="247">
        <f>WORKDAY(S65,-INDEX(S$12:S$15,MATCH($I65,$I$12:$I$15,0)))</f>
        <v>46220</v>
      </c>
      <c r="S65" s="247">
        <f>WORKDAY(T65,-INDEX(T$12:T$15,MATCH($I65,$I$12:$I$15,0)))</f>
        <v>46248</v>
      </c>
      <c r="T65" s="247">
        <f>WORKDAY(U65,-INDEX(U$12:U$15,MATCH($I65,$I$12:$I$15,0)))</f>
        <v>46253</v>
      </c>
      <c r="U65" s="247">
        <f>X65-Y65</f>
        <v>46267</v>
      </c>
      <c r="V65" s="247">
        <f>WORKDAY(U65,INDEX(V$12:V$15,MATCH($I65,$I$12:$I$15,0)))</f>
        <v>46269</v>
      </c>
      <c r="W65" s="250">
        <f>Y65/7</f>
        <v>34</v>
      </c>
      <c r="X65" s="247">
        <f>Z65</f>
        <v>46505</v>
      </c>
      <c r="Y65" s="251">
        <f>34*7</f>
        <v>238</v>
      </c>
      <c r="Z65" s="253">
        <v>46505</v>
      </c>
      <c r="AA65" s="253">
        <v>46505</v>
      </c>
      <c r="AB65" s="254">
        <f>Z65-X66</f>
        <v>0</v>
      </c>
      <c r="AC65" s="255">
        <f>IF(ISERROR(LOOKUP(AC$16,$L65:$X65,#REF!)),0,(LOOKUP(AC$16,$L65:$X65,#REF!)))</f>
        <v>0</v>
      </c>
      <c r="AD65" s="256">
        <f>IF(ISERROR(LOOKUP(AD$16,$L65:$X65,#REF!)),0,(LOOKUP(AD$16,$L65:$X65,#REF!)))</f>
        <v>0</v>
      </c>
      <c r="AE65" s="256">
        <f>IF(ISERROR(LOOKUP(AE$16,$L65:$X65,#REF!)),0,(LOOKUP(AE$16,$L65:$X65,#REF!)))</f>
        <v>0</v>
      </c>
      <c r="AF65" s="256">
        <f>IF(ISERROR(LOOKUP(AF$16,$L65:$X65,#REF!)),0,(LOOKUP(AF$16,$L65:$X65,#REF!)))</f>
        <v>0</v>
      </c>
      <c r="AG65" s="256">
        <f>IF(ISERROR(LOOKUP(AG$16,$L65:$X65,#REF!)),0,(LOOKUP(AG$16,$L65:$X65,#REF!)))</f>
        <v>0</v>
      </c>
      <c r="AH65" s="256">
        <f>IF(ISERROR(LOOKUP(AH$16,$L65:$X65,#REF!)),0,(LOOKUP(AH$16,$L65:$X65,#REF!)))</f>
        <v>0</v>
      </c>
      <c r="AI65" s="256">
        <f>IF(ISERROR(LOOKUP(AI$16,$L65:$X65,#REF!)),0,(LOOKUP(AI$16,$L65:$X65,#REF!)))</f>
        <v>0</v>
      </c>
      <c r="AJ65" s="256">
        <f>IF(ISERROR(LOOKUP(AJ$16,$L65:$X65,#REF!)),0,(LOOKUP(AJ$16,$L65:$X65,#REF!)))</f>
        <v>0</v>
      </c>
      <c r="AK65" s="256">
        <f>IF(ISERROR(LOOKUP(AK$16,$L65:$X65,#REF!)),0,(LOOKUP(AK$16,$L65:$X65,#REF!)))</f>
        <v>0</v>
      </c>
      <c r="AL65" s="256">
        <f>IF(ISERROR(LOOKUP(AL$16,$L65:$X65,#REF!)),0,(LOOKUP(AL$16,$L65:$X65,#REF!)))</f>
        <v>0</v>
      </c>
      <c r="AM65" s="256">
        <f ca="1">IF(ISERROR(LOOKUP(AM$16,$L65:$X65,#REF!)),0,(LOOKUP(AM$16,$L65:$X65,#REF!)))</f>
        <v>0</v>
      </c>
      <c r="AO65" s="195">
        <f t="shared" si="0"/>
        <v>14</v>
      </c>
      <c r="AP65" s="247" t="e">
        <f>WORKDAY(AQ65,-INDEX(AQ$12:AQ$15,MATCH($I65,$I$12:$I$15,0)),$AW$17:$AW$148)</f>
        <v>#REF!</v>
      </c>
      <c r="AQ65" s="247" t="e">
        <f>WORKDAY(U65,-INDEX(U$12:U$15,MATCH($I65,$I$12:$I$15,0)),$AW$17:$AW$148)</f>
        <v>#REF!</v>
      </c>
      <c r="AR65" s="247" t="e">
        <f>WORKDAY(U65,-INDEX(U$12:U$15,MATCH($I65,$I$12:$I$15,0)),$AW$17:$AW$148)</f>
        <v>#REF!</v>
      </c>
      <c r="AS65" s="257">
        <v>14</v>
      </c>
      <c r="AW65" s="258" t="e">
        <v>#REF!</v>
      </c>
    </row>
    <row r="66" s="195" customFormat="1" ht="20.25" customHeight="1" spans="1:49">
      <c r="A66" s="241"/>
      <c r="B66" s="259"/>
      <c r="C66" s="243" t="str">
        <f>C65</f>
        <v>RFQ-017</v>
      </c>
      <c r="D66" s="243" t="str">
        <f>D65</f>
        <v>DC Distribution Board</v>
      </c>
      <c r="E66" s="260"/>
      <c r="F66" s="261"/>
      <c r="G66" s="243" t="str">
        <f>G65</f>
        <v>N</v>
      </c>
      <c r="H66" s="260"/>
      <c r="I66" s="243" t="str">
        <f>I65</f>
        <v>LB</v>
      </c>
      <c r="J66" s="246" t="s">
        <v>64</v>
      </c>
      <c r="K66" s="247">
        <f>K65</f>
        <v>46190</v>
      </c>
      <c r="L66" s="247">
        <f>WORKDAY(IF(K67="",K66,K67),INDEX(L$12:L$15,MATCH($I65,$I$12:$I$15,0)))</f>
        <v>46191</v>
      </c>
      <c r="M66" s="247">
        <f>WORKDAY(IF(L67="",L66,L67),INDEX(M$12:M$15,MATCH($I65,$I$12:$I$15,0)))</f>
        <v>46198</v>
      </c>
      <c r="N66" s="247">
        <f>WORKDAY(IF(M67="",M66,M67),INDEX(N$12:N$15,MATCH($I65,$I$12:$I$15,0)))</f>
        <v>46199</v>
      </c>
      <c r="O66" s="247">
        <f>WORKDAY(IF(N67="",N66,N67),INDEX(O$12:O$15,MATCH($I65,$I$12:$I$15,0)))</f>
        <v>46206</v>
      </c>
      <c r="P66" s="248"/>
      <c r="Q66" s="249"/>
      <c r="R66" s="247">
        <f>WORKDAY(IF(O67="",O66,O67),INDEX(R$12:R$15,MATCH($I65,$I$12:$I$15,0)))</f>
        <v>46220</v>
      </c>
      <c r="S66" s="247">
        <f>WORKDAY(IF(R67="",R66,R67),INDEX(S$12:S$15,MATCH($I65,$I$12:$I$15,0)))</f>
        <v>46248</v>
      </c>
      <c r="T66" s="247">
        <f>WORKDAY(IF(S67="",S66,S67),INDEX(T$12:T$15,MATCH($I65,$I$12:$I$15,0)))</f>
        <v>46253</v>
      </c>
      <c r="U66" s="247">
        <f>WORKDAY(IF(T67="",T66,T67),INDEX(U$12:U$15,MATCH($I65,$I$12:$I$15,0)))</f>
        <v>46267</v>
      </c>
      <c r="V66" s="247">
        <f>WORKDAY(IF(U67="",U66,U67),INDEX(V$12:V$15,MATCH($I65,$I$12:$I$15,0)))</f>
        <v>46269</v>
      </c>
      <c r="W66" s="250"/>
      <c r="X66" s="247">
        <f>U66+Y65</f>
        <v>46505</v>
      </c>
      <c r="Y66" s="251"/>
      <c r="Z66" s="253"/>
      <c r="AA66" s="253"/>
      <c r="AB66" s="254"/>
      <c r="AC66" s="255">
        <f>IF(ISERROR(LOOKUP(AC$16,$L66:$X66,#REF!)),0,(LOOKUP(AC$16,$L66:$X66,#REF!)))</f>
        <v>0</v>
      </c>
      <c r="AD66" s="256">
        <f>IF(ISERROR(LOOKUP(AD$16,$L66:$X66,#REF!)),0,(LOOKUP(AD$16,$L66:$X66,#REF!)))</f>
        <v>0</v>
      </c>
      <c r="AE66" s="256">
        <f>IF(ISERROR(LOOKUP(AE$16,$L66:$X66,#REF!)),0,(LOOKUP(AE$16,$L66:$X66,#REF!)))</f>
        <v>0</v>
      </c>
      <c r="AF66" s="256">
        <f>IF(ISERROR(LOOKUP(AF$16,$L66:$X66,#REF!)),0,(LOOKUP(AF$16,$L66:$X66,#REF!)))</f>
        <v>0</v>
      </c>
      <c r="AG66" s="256">
        <f>IF(ISERROR(LOOKUP(AG$16,$L66:$X66,#REF!)),0,(LOOKUP(AG$16,$L66:$X66,#REF!)))</f>
        <v>0</v>
      </c>
      <c r="AH66" s="256">
        <f>IF(ISERROR(LOOKUP(AH$16,$L66:$X66,#REF!)),0,(LOOKUP(AH$16,$L66:$X66,#REF!)))</f>
        <v>0</v>
      </c>
      <c r="AI66" s="256">
        <f>IF(ISERROR(LOOKUP(AI$16,$L66:$X66,#REF!)),0,(LOOKUP(AI$16,$L66:$X66,#REF!)))</f>
        <v>0</v>
      </c>
      <c r="AJ66" s="256">
        <f>IF(ISERROR(LOOKUP(AJ$16,$L66:$X66,#REF!)),0,(LOOKUP(AJ$16,$L66:$X66,#REF!)))</f>
        <v>0</v>
      </c>
      <c r="AK66" s="256">
        <f>IF(ISERROR(LOOKUP(AK$16,$L66:$X66,#REF!)),0,(LOOKUP(AK$16,$L66:$X66,#REF!)))</f>
        <v>0</v>
      </c>
      <c r="AL66" s="256">
        <f>IF(ISERROR(LOOKUP(AL$16,$L66:$X66,#REF!)),0,(LOOKUP(AL$16,$L66:$X66,#REF!)))</f>
        <v>0</v>
      </c>
      <c r="AM66" s="256">
        <f ca="1">IF(ISERROR(LOOKUP(AM$16,$L66:$X66,#REF!)),0,(LOOKUP(AM$16,$L66:$X66,#REF!)))</f>
        <v>0</v>
      </c>
      <c r="AO66" s="195">
        <f t="shared" si="0"/>
        <v>14</v>
      </c>
      <c r="AP66" s="247" t="e">
        <f>WORKDAY(IF(T67="",T66,T67),INDEX(AP$12:AP$15,MATCH($I65,$I$12:$I$15,0)),$AW$17:$AW$148)</f>
        <v>#REF!</v>
      </c>
      <c r="AQ66" s="247" t="e">
        <f>WORKDAY(IF(AP67="",AP66,AP67),INDEX(AQ$12:AQ$15,MATCH($I65,$I$12:$I$15,0)),$AW$17:$AW$148)</f>
        <v>#REF!</v>
      </c>
      <c r="AR66" s="247" t="e">
        <f>WORKDAY(IF(AQ67="",AQ66,AQ67),INDEX(AR$12:AR$15,MATCH($I65,$I$12:$I$15,0)),$AW$17:$AW$148)</f>
        <v>#REF!</v>
      </c>
      <c r="AS66" s="257"/>
      <c r="AW66" s="258" t="e">
        <v>#REF!</v>
      </c>
    </row>
    <row r="67" s="195" customFormat="1" ht="20.25" customHeight="1" spans="1:49">
      <c r="A67" s="241"/>
      <c r="B67" s="262"/>
      <c r="C67" s="243" t="str">
        <f>C65</f>
        <v>RFQ-017</v>
      </c>
      <c r="D67" s="243" t="str">
        <f>D65</f>
        <v>DC Distribution Board</v>
      </c>
      <c r="E67" s="263"/>
      <c r="F67" s="264"/>
      <c r="G67" s="243" t="str">
        <f>G65</f>
        <v>N</v>
      </c>
      <c r="H67" s="263"/>
      <c r="I67" s="243" t="str">
        <f>I65</f>
        <v>LB</v>
      </c>
      <c r="J67" s="246" t="s">
        <v>66</v>
      </c>
      <c r="K67" s="243"/>
      <c r="L67" s="243"/>
      <c r="M67" s="243"/>
      <c r="N67" s="243"/>
      <c r="O67" s="243"/>
      <c r="P67" s="265"/>
      <c r="Q67" s="266"/>
      <c r="R67" s="243"/>
      <c r="S67" s="243"/>
      <c r="T67" s="243"/>
      <c r="U67" s="243"/>
      <c r="V67" s="243"/>
      <c r="W67" s="267"/>
      <c r="X67" s="243"/>
      <c r="Y67" s="251"/>
      <c r="Z67" s="253"/>
      <c r="AA67" s="253"/>
      <c r="AB67" s="254"/>
      <c r="AC67" s="268">
        <f>IF(ISERROR(LOOKUP(AC$16,$L67:$X67,#REF!)),0,(LOOKUP(AC$16,$L67:$X67,#REF!)))</f>
        <v>0</v>
      </c>
      <c r="AD67" s="269">
        <f>IF(ISERROR(LOOKUP(AD$16,$L67:$X67,#REF!)),0,(LOOKUP(AD$16,$L67:$X67,#REF!)))</f>
        <v>0</v>
      </c>
      <c r="AE67" s="269">
        <f>IF(ISERROR(LOOKUP(AE$16,$L67:$X67,#REF!)),0,(LOOKUP(AE$16,$L67:$X67,#REF!)))</f>
        <v>0</v>
      </c>
      <c r="AF67" s="269">
        <f>IF(ISERROR(LOOKUP(AF$16,$L67:$X67,#REF!)),0,(LOOKUP(AF$16,$L67:$X67,#REF!)))</f>
        <v>0</v>
      </c>
      <c r="AG67" s="269">
        <f>IF(ISERROR(LOOKUP(AG$16,$L67:$X67,#REF!)),0,(LOOKUP(AG$16,$L67:$X67,#REF!)))</f>
        <v>0</v>
      </c>
      <c r="AH67" s="269">
        <f>IF(ISERROR(LOOKUP(AH$16,$L67:$X67,#REF!)),0,(LOOKUP(AH$16,$L67:$X67,#REF!)))</f>
        <v>0</v>
      </c>
      <c r="AI67" s="269">
        <f>IF(ISERROR(LOOKUP(AI$16,$L67:$X67,#REF!)),0,(LOOKUP(AI$16,$L67:$X67,#REF!)))</f>
        <v>0</v>
      </c>
      <c r="AJ67" s="269">
        <f>IF(ISERROR(LOOKUP(AJ$16,$L67:$X67,#REF!)),0,(LOOKUP(AJ$16,$L67:$X67,#REF!)))</f>
        <v>0</v>
      </c>
      <c r="AK67" s="269">
        <f>IF(ISERROR(LOOKUP(AK$16,$L67:$X67,#REF!)),0,(LOOKUP(AK$16,$L67:$X67,#REF!)))</f>
        <v>0</v>
      </c>
      <c r="AL67" s="269">
        <f>IF(ISERROR(LOOKUP(AL$16,$L67:$X67,#REF!)),0,(LOOKUP(AL$16,$L67:$X67,#REF!)))</f>
        <v>0</v>
      </c>
      <c r="AM67" s="269">
        <f ca="1">IF(ISERROR(LOOKUP(AM$16,$L67:$X67,#REF!)),0,(LOOKUP(AM$16,$L67:$X67,#REF!)))</f>
        <v>0</v>
      </c>
      <c r="AO67" s="195">
        <f t="shared" si="0"/>
        <v>0</v>
      </c>
      <c r="AP67" s="243"/>
      <c r="AQ67" s="243"/>
      <c r="AR67" s="243"/>
      <c r="AS67" s="257"/>
      <c r="AW67" s="258" t="e">
        <v>#REF!</v>
      </c>
    </row>
    <row r="68" s="195" customFormat="1" ht="22.5" customHeight="1" spans="1:49">
      <c r="A68" s="241">
        <f>A65+1</f>
        <v>18</v>
      </c>
      <c r="B68" s="242"/>
      <c r="C68" s="243" t="s">
        <v>4798</v>
      </c>
      <c r="D68" s="243" t="s">
        <v>127</v>
      </c>
      <c r="E68" s="244"/>
      <c r="F68" s="245" t="s">
        <v>123</v>
      </c>
      <c r="G68" s="243" t="str">
        <f>IF(_xlfn.XLOOKUP(C68,'[36]Before Award'!D:D,'[36]Before Award'!AV:AV,"N/A")="N/A","N","Y")</f>
        <v>N</v>
      </c>
      <c r="H68" s="244"/>
      <c r="I68" s="243" t="s">
        <v>6</v>
      </c>
      <c r="J68" s="246" t="s">
        <v>4769</v>
      </c>
      <c r="K68" s="247">
        <f>WORKDAY(L68,-INDEX(L$12:L$15,MATCH($I68,$I$12:$I$15,0)))</f>
        <v>46148</v>
      </c>
      <c r="L68" s="247">
        <f>WORKDAY(M68,-INDEX(M$12:M$15,MATCH($I68,$I$12:$I$15,0)))</f>
        <v>46149</v>
      </c>
      <c r="M68" s="247">
        <f>WORKDAY(N68,-INDEX(N$12:N$15,MATCH($I68,$I$12:$I$15,0)))</f>
        <v>46156</v>
      </c>
      <c r="N68" s="247">
        <f>WORKDAY(O68,-INDEX(O$12:O$15,MATCH($I68,$I$12:$I$15,0)))</f>
        <v>46157</v>
      </c>
      <c r="O68" s="247">
        <f>WORKDAY(R68,-INDEX(R$12:R$15,MATCH($I68,$I$12:$I$15,0)))</f>
        <v>46164</v>
      </c>
      <c r="P68" s="248">
        <f>U68-L68</f>
        <v>76</v>
      </c>
      <c r="Q68" s="249"/>
      <c r="R68" s="247">
        <f>WORKDAY(S68,-INDEX(S$12:S$15,MATCH($I68,$I$12:$I$15,0)))</f>
        <v>46178</v>
      </c>
      <c r="S68" s="247">
        <f>WORKDAY(T68,-INDEX(T$12:T$15,MATCH($I68,$I$12:$I$15,0)))</f>
        <v>46206</v>
      </c>
      <c r="T68" s="247">
        <f>WORKDAY(U68,-INDEX(U$12:U$15,MATCH($I68,$I$12:$I$15,0)))</f>
        <v>46211</v>
      </c>
      <c r="U68" s="247">
        <f>X68-Y68</f>
        <v>46225</v>
      </c>
      <c r="V68" s="247">
        <f>WORKDAY(U68,INDEX(V$12:V$15,MATCH($I68,$I$12:$I$15,0)))</f>
        <v>46227</v>
      </c>
      <c r="W68" s="250">
        <f>Y68/7</f>
        <v>36</v>
      </c>
      <c r="X68" s="247">
        <f>Z68</f>
        <v>46477</v>
      </c>
      <c r="Y68" s="251">
        <f>36*7</f>
        <v>252</v>
      </c>
      <c r="Z68" s="253">
        <v>46477</v>
      </c>
      <c r="AA68" s="253">
        <v>46477</v>
      </c>
      <c r="AB68" s="254">
        <f>Z68-X69</f>
        <v>0</v>
      </c>
      <c r="AC68" s="255">
        <f>IF(ISERROR(LOOKUP(AC$16,$L68:$X68,#REF!)),0,(LOOKUP(AC$16,$L68:$X68,#REF!)))</f>
        <v>0</v>
      </c>
      <c r="AD68" s="256">
        <f>IF(ISERROR(LOOKUP(AD$16,$L68:$X68,#REF!)),0,(LOOKUP(AD$16,$L68:$X68,#REF!)))</f>
        <v>0</v>
      </c>
      <c r="AE68" s="256">
        <f>IF(ISERROR(LOOKUP(AE$16,$L68:$X68,#REF!)),0,(LOOKUP(AE$16,$L68:$X68,#REF!)))</f>
        <v>0</v>
      </c>
      <c r="AF68" s="256">
        <f>IF(ISERROR(LOOKUP(AF$16,$L68:$X68,#REF!)),0,(LOOKUP(AF$16,$L68:$X68,#REF!)))</f>
        <v>0</v>
      </c>
      <c r="AG68" s="256">
        <f>IF(ISERROR(LOOKUP(AG$16,$L68:$X68,#REF!)),0,(LOOKUP(AG$16,$L68:$X68,#REF!)))</f>
        <v>0</v>
      </c>
      <c r="AH68" s="256">
        <f>IF(ISERROR(LOOKUP(AH$16,$L68:$X68,#REF!)),0,(LOOKUP(AH$16,$L68:$X68,#REF!)))</f>
        <v>0</v>
      </c>
      <c r="AI68" s="256">
        <f>IF(ISERROR(LOOKUP(AI$16,$L68:$X68,#REF!)),0,(LOOKUP(AI$16,$L68:$X68,#REF!)))</f>
        <v>0</v>
      </c>
      <c r="AJ68" s="256">
        <f>IF(ISERROR(LOOKUP(AJ$16,$L68:$X68,#REF!)),0,(LOOKUP(AJ$16,$L68:$X68,#REF!)))</f>
        <v>0</v>
      </c>
      <c r="AK68" s="256">
        <f>IF(ISERROR(LOOKUP(AK$16,$L68:$X68,#REF!)),0,(LOOKUP(AK$16,$L68:$X68,#REF!)))</f>
        <v>0</v>
      </c>
      <c r="AL68" s="256">
        <f>IF(ISERROR(LOOKUP(AL$16,$L68:$X68,#REF!)),0,(LOOKUP(AL$16,$L68:$X68,#REF!)))</f>
        <v>0</v>
      </c>
      <c r="AM68" s="256">
        <f ca="1">IF(ISERROR(LOOKUP(AM$16,$L68:$X68,#REF!)),0,(LOOKUP(AM$16,$L68:$X68,#REF!)))</f>
        <v>0</v>
      </c>
      <c r="AO68" s="195">
        <f t="shared" si="0"/>
        <v>14</v>
      </c>
      <c r="AP68" s="247" t="e">
        <f>WORKDAY(AQ68,-INDEX(AQ$12:AQ$15,MATCH($I68,$I$12:$I$15,0)),$AW$17:$AW$148)</f>
        <v>#REF!</v>
      </c>
      <c r="AQ68" s="247" t="e">
        <f>WORKDAY(U68,-INDEX(U$12:U$15,MATCH($I68,$I$12:$I$15,0)),$AW$17:$AW$148)</f>
        <v>#REF!</v>
      </c>
      <c r="AR68" s="247" t="e">
        <f>WORKDAY(U68,-INDEX(U$12:U$15,MATCH($I68,$I$12:$I$15,0)),$AW$17:$AW$148)</f>
        <v>#REF!</v>
      </c>
      <c r="AS68" s="257">
        <v>14</v>
      </c>
      <c r="AW68" s="258" t="e">
        <v>#REF!</v>
      </c>
    </row>
    <row r="69" s="195" customFormat="1" ht="22.5" customHeight="1" spans="1:49">
      <c r="A69" s="241"/>
      <c r="B69" s="259"/>
      <c r="C69" s="243" t="str">
        <f>C68</f>
        <v>RFQ-018</v>
      </c>
      <c r="D69" s="243" t="str">
        <f>D68</f>
        <v>Solar Power System</v>
      </c>
      <c r="E69" s="260"/>
      <c r="F69" s="261"/>
      <c r="G69" s="243" t="str">
        <f>G68</f>
        <v>N</v>
      </c>
      <c r="H69" s="260"/>
      <c r="I69" s="243" t="str">
        <f>I68</f>
        <v>LA</v>
      </c>
      <c r="J69" s="246" t="s">
        <v>64</v>
      </c>
      <c r="K69" s="247">
        <f>K68</f>
        <v>46148</v>
      </c>
      <c r="L69" s="247">
        <f>WORKDAY(IF(K70="",K69,K70),INDEX(L$12:L$15,MATCH($I68,$I$12:$I$15,0)))</f>
        <v>46149</v>
      </c>
      <c r="M69" s="247">
        <f>WORKDAY(IF(L70="",L69,L70),INDEX(M$12:M$15,MATCH($I68,$I$12:$I$15,0)))</f>
        <v>46156</v>
      </c>
      <c r="N69" s="247">
        <f>WORKDAY(IF(M70="",M69,M70),INDEX(N$12:N$15,MATCH($I68,$I$12:$I$15,0)))</f>
        <v>46157</v>
      </c>
      <c r="O69" s="247">
        <f>WORKDAY(IF(N70="",N69,N70),INDEX(O$12:O$15,MATCH($I68,$I$12:$I$15,0)))</f>
        <v>46164</v>
      </c>
      <c r="P69" s="248"/>
      <c r="Q69" s="249"/>
      <c r="R69" s="247">
        <f>WORKDAY(IF(O70="",O69,O70),INDEX(R$12:R$15,MATCH($I68,$I$12:$I$15,0)))</f>
        <v>46178</v>
      </c>
      <c r="S69" s="247">
        <f>WORKDAY(IF(R70="",R69,R70),INDEX(S$12:S$15,MATCH($I68,$I$12:$I$15,0)))</f>
        <v>46206</v>
      </c>
      <c r="T69" s="247">
        <f>WORKDAY(IF(S70="",S69,S70),INDEX(T$12:T$15,MATCH($I68,$I$12:$I$15,0)))</f>
        <v>46211</v>
      </c>
      <c r="U69" s="247">
        <f>WORKDAY(IF(T70="",T69,T70),INDEX(U$12:U$15,MATCH($I68,$I$12:$I$15,0)))</f>
        <v>46225</v>
      </c>
      <c r="V69" s="247">
        <f>WORKDAY(IF(U70="",U69,U70),INDEX(V$12:V$15,MATCH($I68,$I$12:$I$15,0)))</f>
        <v>46227</v>
      </c>
      <c r="W69" s="250"/>
      <c r="X69" s="247">
        <f>U69+Y68</f>
        <v>46477</v>
      </c>
      <c r="Y69" s="251"/>
      <c r="Z69" s="253"/>
      <c r="AA69" s="253"/>
      <c r="AB69" s="254"/>
      <c r="AC69" s="255">
        <f>IF(ISERROR(LOOKUP(AC$16,$L69:$X69,#REF!)),0,(LOOKUP(AC$16,$L69:$X69,#REF!)))</f>
        <v>0</v>
      </c>
      <c r="AD69" s="256">
        <f>IF(ISERROR(LOOKUP(AD$16,$L69:$X69,#REF!)),0,(LOOKUP(AD$16,$L69:$X69,#REF!)))</f>
        <v>0</v>
      </c>
      <c r="AE69" s="256">
        <f>IF(ISERROR(LOOKUP(AE$16,$L69:$X69,#REF!)),0,(LOOKUP(AE$16,$L69:$X69,#REF!)))</f>
        <v>0</v>
      </c>
      <c r="AF69" s="256">
        <f>IF(ISERROR(LOOKUP(AF$16,$L69:$X69,#REF!)),0,(LOOKUP(AF$16,$L69:$X69,#REF!)))</f>
        <v>0</v>
      </c>
      <c r="AG69" s="256">
        <f>IF(ISERROR(LOOKUP(AG$16,$L69:$X69,#REF!)),0,(LOOKUP(AG$16,$L69:$X69,#REF!)))</f>
        <v>0</v>
      </c>
      <c r="AH69" s="256">
        <f>IF(ISERROR(LOOKUP(AH$16,$L69:$X69,#REF!)),0,(LOOKUP(AH$16,$L69:$X69,#REF!)))</f>
        <v>0</v>
      </c>
      <c r="AI69" s="256">
        <f>IF(ISERROR(LOOKUP(AI$16,$L69:$X69,#REF!)),0,(LOOKUP(AI$16,$L69:$X69,#REF!)))</f>
        <v>0</v>
      </c>
      <c r="AJ69" s="256">
        <f>IF(ISERROR(LOOKUP(AJ$16,$L69:$X69,#REF!)),0,(LOOKUP(AJ$16,$L69:$X69,#REF!)))</f>
        <v>0</v>
      </c>
      <c r="AK69" s="256">
        <f>IF(ISERROR(LOOKUP(AK$16,$L69:$X69,#REF!)),0,(LOOKUP(AK$16,$L69:$X69,#REF!)))</f>
        <v>0</v>
      </c>
      <c r="AL69" s="256">
        <f>IF(ISERROR(LOOKUP(AL$16,$L69:$X69,#REF!)),0,(LOOKUP(AL$16,$L69:$X69,#REF!)))</f>
        <v>0</v>
      </c>
      <c r="AM69" s="256">
        <f ca="1">IF(ISERROR(LOOKUP(AM$16,$L69:$X69,#REF!)),0,(LOOKUP(AM$16,$L69:$X69,#REF!)))</f>
        <v>0</v>
      </c>
      <c r="AO69" s="195">
        <f t="shared" si="0"/>
        <v>14</v>
      </c>
      <c r="AP69" s="247" t="e">
        <f>WORKDAY(IF(T70="",T69,T70),INDEX(AP$12:AP$15,MATCH($I68,$I$12:$I$15,0)),$AW$17:$AW$148)</f>
        <v>#REF!</v>
      </c>
      <c r="AQ69" s="247" t="e">
        <f>WORKDAY(IF(AP70="",AP69,AP70),INDEX(AQ$12:AQ$15,MATCH($I68,$I$12:$I$15,0)),$AW$17:$AW$148)</f>
        <v>#REF!</v>
      </c>
      <c r="AR69" s="247" t="e">
        <f>WORKDAY(IF(AQ70="",AQ69,AQ70),INDEX(AR$12:AR$15,MATCH($I68,$I$12:$I$15,0)),$AW$17:$AW$148)</f>
        <v>#REF!</v>
      </c>
      <c r="AS69" s="257"/>
      <c r="AW69" s="258" t="e">
        <v>#REF!</v>
      </c>
    </row>
    <row r="70" s="195" customFormat="1" ht="15" customHeight="1" spans="1:49">
      <c r="A70" s="241"/>
      <c r="B70" s="262"/>
      <c r="C70" s="243" t="str">
        <f>C68</f>
        <v>RFQ-018</v>
      </c>
      <c r="D70" s="243" t="str">
        <f>D68</f>
        <v>Solar Power System</v>
      </c>
      <c r="E70" s="263"/>
      <c r="F70" s="264"/>
      <c r="G70" s="243" t="str">
        <f>G68</f>
        <v>N</v>
      </c>
      <c r="H70" s="263"/>
      <c r="I70" s="243" t="str">
        <f>I68</f>
        <v>LA</v>
      </c>
      <c r="J70" s="246" t="s">
        <v>66</v>
      </c>
      <c r="K70" s="243"/>
      <c r="L70" s="243"/>
      <c r="M70" s="243"/>
      <c r="N70" s="243"/>
      <c r="O70" s="243"/>
      <c r="P70" s="265"/>
      <c r="Q70" s="266"/>
      <c r="R70" s="243"/>
      <c r="S70" s="243"/>
      <c r="T70" s="243"/>
      <c r="U70" s="243"/>
      <c r="V70" s="243"/>
      <c r="W70" s="267"/>
      <c r="X70" s="243"/>
      <c r="Y70" s="251"/>
      <c r="Z70" s="253"/>
      <c r="AA70" s="253"/>
      <c r="AB70" s="254"/>
      <c r="AC70" s="268">
        <f>IF(ISERROR(LOOKUP(AC$16,$L70:$X70,#REF!)),0,(LOOKUP(AC$16,$L70:$X70,#REF!)))</f>
        <v>0</v>
      </c>
      <c r="AD70" s="269">
        <f>IF(ISERROR(LOOKUP(AD$16,$L70:$X70,#REF!)),0,(LOOKUP(AD$16,$L70:$X70,#REF!)))</f>
        <v>0</v>
      </c>
      <c r="AE70" s="269">
        <f>IF(ISERROR(LOOKUP(AE$16,$L70:$X70,#REF!)),0,(LOOKUP(AE$16,$L70:$X70,#REF!)))</f>
        <v>0</v>
      </c>
      <c r="AF70" s="269">
        <f>IF(ISERROR(LOOKUP(AF$16,$L70:$X70,#REF!)),0,(LOOKUP(AF$16,$L70:$X70,#REF!)))</f>
        <v>0</v>
      </c>
      <c r="AG70" s="269">
        <f>IF(ISERROR(LOOKUP(AG$16,$L70:$X70,#REF!)),0,(LOOKUP(AG$16,$L70:$X70,#REF!)))</f>
        <v>0</v>
      </c>
      <c r="AH70" s="269">
        <f>IF(ISERROR(LOOKUP(AH$16,$L70:$X70,#REF!)),0,(LOOKUP(AH$16,$L70:$X70,#REF!)))</f>
        <v>0</v>
      </c>
      <c r="AI70" s="269">
        <f>IF(ISERROR(LOOKUP(AI$16,$L70:$X70,#REF!)),0,(LOOKUP(AI$16,$L70:$X70,#REF!)))</f>
        <v>0</v>
      </c>
      <c r="AJ70" s="269">
        <f>IF(ISERROR(LOOKUP(AJ$16,$L70:$X70,#REF!)),0,(LOOKUP(AJ$16,$L70:$X70,#REF!)))</f>
        <v>0</v>
      </c>
      <c r="AK70" s="269">
        <f>IF(ISERROR(LOOKUP(AK$16,$L70:$X70,#REF!)),0,(LOOKUP(AK$16,$L70:$X70,#REF!)))</f>
        <v>0</v>
      </c>
      <c r="AL70" s="269">
        <f>IF(ISERROR(LOOKUP(AL$16,$L70:$X70,#REF!)),0,(LOOKUP(AL$16,$L70:$X70,#REF!)))</f>
        <v>0</v>
      </c>
      <c r="AM70" s="269">
        <f ca="1">IF(ISERROR(LOOKUP(AM$16,$L70:$X70,#REF!)),0,(LOOKUP(AM$16,$L70:$X70,#REF!)))</f>
        <v>0</v>
      </c>
      <c r="AO70" s="195">
        <f t="shared" si="0"/>
        <v>0</v>
      </c>
      <c r="AP70" s="243"/>
      <c r="AQ70" s="243"/>
      <c r="AR70" s="243"/>
      <c r="AS70" s="257"/>
      <c r="AW70" s="258" t="e">
        <v>#REF!</v>
      </c>
    </row>
    <row r="71" s="195" customFormat="1" ht="18" customHeight="1" spans="1:49">
      <c r="A71" s="241">
        <f>A68+1</f>
        <v>19</v>
      </c>
      <c r="B71" s="242"/>
      <c r="C71" s="243" t="s">
        <v>4799</v>
      </c>
      <c r="D71" s="243" t="s">
        <v>130</v>
      </c>
      <c r="E71" s="244"/>
      <c r="F71" s="245" t="s">
        <v>123</v>
      </c>
      <c r="G71" s="271" t="s">
        <v>63</v>
      </c>
      <c r="H71" s="244"/>
      <c r="I71" s="243" t="s">
        <v>7</v>
      </c>
      <c r="J71" s="246" t="s">
        <v>4769</v>
      </c>
      <c r="K71" s="247">
        <f>WORKDAY(L71,-INDEX(L$12:L$15,MATCH($I71,$I$12:$I$15,0)))</f>
        <v>46197</v>
      </c>
      <c r="L71" s="247">
        <f>WORKDAY(M71,-INDEX(M$12:M$15,MATCH($I71,$I$12:$I$15,0)))</f>
        <v>46198</v>
      </c>
      <c r="M71" s="247">
        <f>WORKDAY(N71,-INDEX(N$12:N$15,MATCH($I71,$I$12:$I$15,0)))</f>
        <v>46205</v>
      </c>
      <c r="N71" s="247">
        <f>WORKDAY(O71,-INDEX(O$12:O$15,MATCH($I71,$I$12:$I$15,0)))</f>
        <v>46206</v>
      </c>
      <c r="O71" s="247">
        <f>WORKDAY(R71,-INDEX(R$12:R$15,MATCH($I71,$I$12:$I$15,0)))</f>
        <v>46213</v>
      </c>
      <c r="P71" s="248">
        <f>U71-L71</f>
        <v>76</v>
      </c>
      <c r="Q71" s="249"/>
      <c r="R71" s="247">
        <f>WORKDAY(S71,-INDEX(S$12:S$15,MATCH($I71,$I$12:$I$15,0)))</f>
        <v>46227</v>
      </c>
      <c r="S71" s="247">
        <f>WORKDAY(T71,-INDEX(T$12:T$15,MATCH($I71,$I$12:$I$15,0)))</f>
        <v>46255</v>
      </c>
      <c r="T71" s="247">
        <f>WORKDAY(U71,-INDEX(U$12:U$15,MATCH($I71,$I$12:$I$15,0)))</f>
        <v>46260</v>
      </c>
      <c r="U71" s="247">
        <f>X71-Y71</f>
        <v>46274</v>
      </c>
      <c r="V71" s="247">
        <f>WORKDAY(U71,INDEX(V$12:V$15,MATCH($I71,$I$12:$I$15,0)))</f>
        <v>46276</v>
      </c>
      <c r="W71" s="250">
        <f>Y71/7</f>
        <v>42</v>
      </c>
      <c r="X71" s="247">
        <f>Z71</f>
        <v>46568</v>
      </c>
      <c r="Y71" s="251">
        <v>294</v>
      </c>
      <c r="Z71" s="252">
        <v>46568</v>
      </c>
      <c r="AA71" s="253">
        <v>46598</v>
      </c>
      <c r="AB71" s="254">
        <f>Z71-X72</f>
        <v>0</v>
      </c>
      <c r="AC71" s="255">
        <f>IF(ISERROR(LOOKUP(AC$16,$L71:$X71,#REF!)),0,(LOOKUP(AC$16,$L71:$X71,#REF!)))</f>
        <v>0</v>
      </c>
      <c r="AD71" s="256">
        <f>IF(ISERROR(LOOKUP(AD$16,$L71:$X71,#REF!)),0,(LOOKUP(AD$16,$L71:$X71,#REF!)))</f>
        <v>0</v>
      </c>
      <c r="AE71" s="256">
        <f>IF(ISERROR(LOOKUP(AE$16,$L71:$X71,#REF!)),0,(LOOKUP(AE$16,$L71:$X71,#REF!)))</f>
        <v>0</v>
      </c>
      <c r="AF71" s="256">
        <f>IF(ISERROR(LOOKUP(AF$16,$L71:$X71,#REF!)),0,(LOOKUP(AF$16,$L71:$X71,#REF!)))</f>
        <v>0</v>
      </c>
      <c r="AG71" s="256">
        <f>IF(ISERROR(LOOKUP(AG$16,$L71:$X71,#REF!)),0,(LOOKUP(AG$16,$L71:$X71,#REF!)))</f>
        <v>0</v>
      </c>
      <c r="AH71" s="256">
        <f>IF(ISERROR(LOOKUP(AH$16,$L71:$X71,#REF!)),0,(LOOKUP(AH$16,$L71:$X71,#REF!)))</f>
        <v>0</v>
      </c>
      <c r="AI71" s="256">
        <f>IF(ISERROR(LOOKUP(AI$16,$L71:$X71,#REF!)),0,(LOOKUP(AI$16,$L71:$X71,#REF!)))</f>
        <v>0</v>
      </c>
      <c r="AJ71" s="256">
        <f>IF(ISERROR(LOOKUP(AJ$16,$L71:$X71,#REF!)),0,(LOOKUP(AJ$16,$L71:$X71,#REF!)))</f>
        <v>0</v>
      </c>
      <c r="AK71" s="256">
        <f>IF(ISERROR(LOOKUP(AK$16,$L71:$X71,#REF!)),0,(LOOKUP(AK$16,$L71:$X71,#REF!)))</f>
        <v>0</v>
      </c>
      <c r="AL71" s="256">
        <f>IF(ISERROR(LOOKUP(AL$16,$L71:$X71,#REF!)),0,(LOOKUP(AL$16,$L71:$X71,#REF!)))</f>
        <v>0</v>
      </c>
      <c r="AM71" s="256">
        <f ca="1">IF(ISERROR(LOOKUP(AM$16,$L71:$X71,#REF!)),0,(LOOKUP(AM$16,$L71:$X71,#REF!)))</f>
        <v>0</v>
      </c>
      <c r="AO71" s="195">
        <f t="shared" si="0"/>
        <v>14</v>
      </c>
      <c r="AP71" s="247" t="e">
        <f>WORKDAY(AQ71,-INDEX(AQ$12:AQ$15,MATCH($I71,$I$12:$I$15,0)),$AW$17:$AW$148)</f>
        <v>#REF!</v>
      </c>
      <c r="AQ71" s="247" t="e">
        <f>WORKDAY(U71,-INDEX(U$12:U$15,MATCH($I71,$I$12:$I$15,0)),$AW$17:$AW$148)</f>
        <v>#REF!</v>
      </c>
      <c r="AR71" s="247" t="e">
        <f>WORKDAY(U71,-INDEX(U$12:U$15,MATCH($I71,$I$12:$I$15,0)),$AW$17:$AW$148)</f>
        <v>#REF!</v>
      </c>
      <c r="AS71" s="257">
        <v>14</v>
      </c>
      <c r="AW71" s="258" t="e">
        <v>#REF!</v>
      </c>
    </row>
    <row r="72" s="195" customFormat="1" ht="18" customHeight="1" spans="1:49">
      <c r="A72" s="241"/>
      <c r="B72" s="259"/>
      <c r="C72" s="243" t="str">
        <f>C71</f>
        <v>RFQ-019</v>
      </c>
      <c r="D72" s="243" t="str">
        <f>D71</f>
        <v>Navigation Aid System</v>
      </c>
      <c r="E72" s="260"/>
      <c r="F72" s="261"/>
      <c r="G72" s="271" t="str">
        <f>G71</f>
        <v>Y</v>
      </c>
      <c r="H72" s="260"/>
      <c r="I72" s="243" t="str">
        <f>I71</f>
        <v>LB</v>
      </c>
      <c r="J72" s="246" t="s">
        <v>64</v>
      </c>
      <c r="K72" s="247">
        <f>K71</f>
        <v>46197</v>
      </c>
      <c r="L72" s="247">
        <f>WORKDAY(IF(K73="",K72,K73),INDEX(L$12:L$15,MATCH($I71,$I$12:$I$15,0)))</f>
        <v>46198</v>
      </c>
      <c r="M72" s="247">
        <f>WORKDAY(IF(L73="",L72,L73),INDEX(M$12:M$15,MATCH($I71,$I$12:$I$15,0)))</f>
        <v>46205</v>
      </c>
      <c r="N72" s="247">
        <f>WORKDAY(IF(M73="",M72,M73),INDEX(N$12:N$15,MATCH($I71,$I$12:$I$15,0)))</f>
        <v>46206</v>
      </c>
      <c r="O72" s="247">
        <f>WORKDAY(IF(N73="",N72,N73),INDEX(O$12:O$15,MATCH($I71,$I$12:$I$15,0)))</f>
        <v>46213</v>
      </c>
      <c r="P72" s="248"/>
      <c r="Q72" s="249"/>
      <c r="R72" s="247">
        <f>WORKDAY(IF(O73="",O72,O73),INDEX(R$12:R$15,MATCH($I71,$I$12:$I$15,0)))</f>
        <v>46227</v>
      </c>
      <c r="S72" s="247">
        <f>WORKDAY(IF(R73="",R72,R73),INDEX(S$12:S$15,MATCH($I71,$I$12:$I$15,0)))</f>
        <v>46255</v>
      </c>
      <c r="T72" s="247">
        <f>WORKDAY(IF(S73="",S72,S73),INDEX(T$12:T$15,MATCH($I71,$I$12:$I$15,0)))</f>
        <v>46260</v>
      </c>
      <c r="U72" s="247">
        <f>WORKDAY(IF(T73="",T72,T73),INDEX(U$12:U$15,MATCH($I71,$I$12:$I$15,0)))</f>
        <v>46274</v>
      </c>
      <c r="V72" s="247">
        <f>WORKDAY(IF(U73="",U72,U73),INDEX(V$12:V$15,MATCH($I71,$I$12:$I$15,0)))</f>
        <v>46276</v>
      </c>
      <c r="W72" s="250"/>
      <c r="X72" s="247">
        <f>U72+Y71</f>
        <v>46568</v>
      </c>
      <c r="Y72" s="251"/>
      <c r="Z72" s="252"/>
      <c r="AA72" s="253"/>
      <c r="AB72" s="254"/>
      <c r="AC72" s="255">
        <f>IF(ISERROR(LOOKUP(AC$16,$L72:$X72,#REF!)),0,(LOOKUP(AC$16,$L72:$X72,#REF!)))</f>
        <v>0</v>
      </c>
      <c r="AD72" s="256">
        <f>IF(ISERROR(LOOKUP(AD$16,$L72:$X72,#REF!)),0,(LOOKUP(AD$16,$L72:$X72,#REF!)))</f>
        <v>0</v>
      </c>
      <c r="AE72" s="256">
        <f>IF(ISERROR(LOOKUP(AE$16,$L72:$X72,#REF!)),0,(LOOKUP(AE$16,$L72:$X72,#REF!)))</f>
        <v>0</v>
      </c>
      <c r="AF72" s="256">
        <f>IF(ISERROR(LOOKUP(AF$16,$L72:$X72,#REF!)),0,(LOOKUP(AF$16,$L72:$X72,#REF!)))</f>
        <v>0</v>
      </c>
      <c r="AG72" s="256">
        <f>IF(ISERROR(LOOKUP(AG$16,$L72:$X72,#REF!)),0,(LOOKUP(AG$16,$L72:$X72,#REF!)))</f>
        <v>0</v>
      </c>
      <c r="AH72" s="256">
        <f>IF(ISERROR(LOOKUP(AH$16,$L72:$X72,#REF!)),0,(LOOKUP(AH$16,$L72:$X72,#REF!)))</f>
        <v>0</v>
      </c>
      <c r="AI72" s="256">
        <f>IF(ISERROR(LOOKUP(AI$16,$L72:$X72,#REF!)),0,(LOOKUP(AI$16,$L72:$X72,#REF!)))</f>
        <v>0</v>
      </c>
      <c r="AJ72" s="256">
        <f>IF(ISERROR(LOOKUP(AJ$16,$L72:$X72,#REF!)),0,(LOOKUP(AJ$16,$L72:$X72,#REF!)))</f>
        <v>0</v>
      </c>
      <c r="AK72" s="256">
        <f>IF(ISERROR(LOOKUP(AK$16,$L72:$X72,#REF!)),0,(LOOKUP(AK$16,$L72:$X72,#REF!)))</f>
        <v>0</v>
      </c>
      <c r="AL72" s="256">
        <f>IF(ISERROR(LOOKUP(AL$16,$L72:$X72,#REF!)),0,(LOOKUP(AL$16,$L72:$X72,#REF!)))</f>
        <v>0</v>
      </c>
      <c r="AM72" s="256">
        <f ca="1">IF(ISERROR(LOOKUP(AM$16,$L72:$X72,#REF!)),0,(LOOKUP(AM$16,$L72:$X72,#REF!)))</f>
        <v>0</v>
      </c>
      <c r="AP72" s="247" t="e">
        <f>WORKDAY(IF(T73="",T72,T73),INDEX(AP$12:AP$15,MATCH($I71,$I$12:$I$15,0)),$AW$17:$AW$148)</f>
        <v>#REF!</v>
      </c>
      <c r="AQ72" s="247" t="e">
        <f>WORKDAY(IF(AP73="",AP72,AP73),INDEX(AQ$12:AQ$15,MATCH($I71,$I$12:$I$15,0)),$AW$17:$AW$148)</f>
        <v>#REF!</v>
      </c>
      <c r="AR72" s="247" t="e">
        <f>WORKDAY(IF(AQ73="",AQ72,AQ73),INDEX(AR$12:AR$15,MATCH($I71,$I$12:$I$15,0)),$AW$17:$AW$148)</f>
        <v>#REF!</v>
      </c>
      <c r="AS72" s="257"/>
      <c r="AW72" s="258" t="e">
        <v>#REF!</v>
      </c>
    </row>
    <row r="73" s="195" customFormat="1" ht="18" customHeight="1" spans="1:49">
      <c r="A73" s="241"/>
      <c r="B73" s="262"/>
      <c r="C73" s="243" t="str">
        <f>C71</f>
        <v>RFQ-019</v>
      </c>
      <c r="D73" s="243" t="str">
        <f>D71</f>
        <v>Navigation Aid System</v>
      </c>
      <c r="E73" s="263"/>
      <c r="F73" s="264"/>
      <c r="G73" s="271" t="str">
        <f>G71</f>
        <v>Y</v>
      </c>
      <c r="H73" s="263"/>
      <c r="I73" s="243" t="str">
        <f>I71</f>
        <v>LB</v>
      </c>
      <c r="J73" s="246" t="s">
        <v>66</v>
      </c>
      <c r="K73" s="243"/>
      <c r="L73" s="243"/>
      <c r="M73" s="243"/>
      <c r="N73" s="243"/>
      <c r="O73" s="243"/>
      <c r="P73" s="265"/>
      <c r="Q73" s="266"/>
      <c r="R73" s="243"/>
      <c r="S73" s="243"/>
      <c r="T73" s="243"/>
      <c r="U73" s="243"/>
      <c r="V73" s="243"/>
      <c r="W73" s="267"/>
      <c r="X73" s="243"/>
      <c r="Y73" s="251"/>
      <c r="Z73" s="252"/>
      <c r="AA73" s="253"/>
      <c r="AB73" s="254"/>
      <c r="AC73" s="268">
        <f>IF(ISERROR(LOOKUP(AC$16,$L73:$X73,#REF!)),0,(LOOKUP(AC$16,$L73:$X73,#REF!)))</f>
        <v>0</v>
      </c>
      <c r="AD73" s="269">
        <f>IF(ISERROR(LOOKUP(AD$16,$L73:$X73,#REF!)),0,(LOOKUP(AD$16,$L73:$X73,#REF!)))</f>
        <v>0</v>
      </c>
      <c r="AE73" s="269">
        <f>IF(ISERROR(LOOKUP(AE$16,$L73:$X73,#REF!)),0,(LOOKUP(AE$16,$L73:$X73,#REF!)))</f>
        <v>0</v>
      </c>
      <c r="AF73" s="269">
        <f>IF(ISERROR(LOOKUP(AF$16,$L73:$X73,#REF!)),0,(LOOKUP(AF$16,$L73:$X73,#REF!)))</f>
        <v>0</v>
      </c>
      <c r="AG73" s="269">
        <f>IF(ISERROR(LOOKUP(AG$16,$L73:$X73,#REF!)),0,(LOOKUP(AG$16,$L73:$X73,#REF!)))</f>
        <v>0</v>
      </c>
      <c r="AH73" s="269">
        <f>IF(ISERROR(LOOKUP(AH$16,$L73:$X73,#REF!)),0,(LOOKUP(AH$16,$L73:$X73,#REF!)))</f>
        <v>0</v>
      </c>
      <c r="AI73" s="269">
        <f>IF(ISERROR(LOOKUP(AI$16,$L73:$X73,#REF!)),0,(LOOKUP(AI$16,$L73:$X73,#REF!)))</f>
        <v>0</v>
      </c>
      <c r="AJ73" s="269">
        <f>IF(ISERROR(LOOKUP(AJ$16,$L73:$X73,#REF!)),0,(LOOKUP(AJ$16,$L73:$X73,#REF!)))</f>
        <v>0</v>
      </c>
      <c r="AK73" s="269">
        <f>IF(ISERROR(LOOKUP(AK$16,$L73:$X73,#REF!)),0,(LOOKUP(AK$16,$L73:$X73,#REF!)))</f>
        <v>0</v>
      </c>
      <c r="AL73" s="269">
        <f>IF(ISERROR(LOOKUP(AL$16,$L73:$X73,#REF!)),0,(LOOKUP(AL$16,$L73:$X73,#REF!)))</f>
        <v>0</v>
      </c>
      <c r="AM73" s="269">
        <f ca="1">IF(ISERROR(LOOKUP(AM$16,$L73:$X73,#REF!)),0,(LOOKUP(AM$16,$L73:$X73,#REF!)))</f>
        <v>0</v>
      </c>
      <c r="AP73" s="243"/>
      <c r="AQ73" s="243"/>
      <c r="AR73" s="243"/>
      <c r="AS73" s="257"/>
      <c r="AW73" s="258" t="e">
        <v>#REF!</v>
      </c>
    </row>
    <row r="74" s="195" customFormat="1" ht="18" customHeight="1" spans="1:49">
      <c r="A74" s="270">
        <f>A71+1</f>
        <v>20</v>
      </c>
      <c r="B74" s="242"/>
      <c r="C74" s="271" t="s">
        <v>4800</v>
      </c>
      <c r="D74" s="271" t="s">
        <v>133</v>
      </c>
      <c r="E74" s="273"/>
      <c r="F74" s="272" t="s">
        <v>123</v>
      </c>
      <c r="G74" s="271" t="s">
        <v>63</v>
      </c>
      <c r="H74" s="273"/>
      <c r="I74" s="243" t="s">
        <v>8</v>
      </c>
      <c r="J74" s="246" t="s">
        <v>4769</v>
      </c>
      <c r="K74" s="247">
        <f>WORKDAY(L74,-INDEX(L$12:L$15,MATCH($I74,$I$12:$I$15,0)))</f>
        <v>46174</v>
      </c>
      <c r="L74" s="247">
        <f>WORKDAY(M74,-INDEX(M$12:M$15,MATCH($I74,$I$12:$I$15,0)))</f>
        <v>46177</v>
      </c>
      <c r="M74" s="247">
        <f>WORKDAY(N74,-INDEX(N$12:N$15,MATCH($I74,$I$12:$I$15,0)))</f>
        <v>46191</v>
      </c>
      <c r="N74" s="247">
        <f>WORKDAY(O74,-INDEX(O$12:O$15,MATCH($I74,$I$12:$I$15,0)))</f>
        <v>46192</v>
      </c>
      <c r="O74" s="247">
        <f>WORKDAY(R74,-INDEX(R$12:R$15,MATCH($I74,$I$12:$I$15,0)))</f>
        <v>46206</v>
      </c>
      <c r="P74" s="248">
        <f>U74-L74</f>
        <v>92</v>
      </c>
      <c r="Q74" s="249"/>
      <c r="R74" s="247">
        <f>WORKDAY(S74,-INDEX(S$12:S$15,MATCH($I74,$I$12:$I$15,0)))</f>
        <v>46220</v>
      </c>
      <c r="S74" s="247">
        <f>WORKDAY(T74,-INDEX(T$12:T$15,MATCH($I74,$I$12:$I$15,0)))</f>
        <v>46241</v>
      </c>
      <c r="T74" s="247">
        <f>WORKDAY(U74,-INDEX(U$12:U$15,MATCH($I74,$I$12:$I$15,0)))</f>
        <v>46255</v>
      </c>
      <c r="U74" s="247">
        <f>X74-Y74</f>
        <v>46269</v>
      </c>
      <c r="V74" s="247">
        <f>WORKDAY(U74,INDEX(V$12:V$15,MATCH($I74,$I$12:$I$15,0)))</f>
        <v>46273</v>
      </c>
      <c r="W74" s="250">
        <f>Y74/7</f>
        <v>36</v>
      </c>
      <c r="X74" s="247">
        <f>Z74</f>
        <v>46521</v>
      </c>
      <c r="Y74" s="251">
        <f>36*7</f>
        <v>252</v>
      </c>
      <c r="Z74" s="253">
        <v>46521</v>
      </c>
      <c r="AA74" s="253">
        <v>46521</v>
      </c>
      <c r="AB74" s="254">
        <f>Z74-X75</f>
        <v>0</v>
      </c>
      <c r="AC74" s="255">
        <f>IF(ISERROR(LOOKUP(AC$16,$L74:$X74,#REF!)),0,(LOOKUP(AC$16,$L74:$X74,#REF!)))</f>
        <v>0</v>
      </c>
      <c r="AD74" s="256">
        <f>IF(ISERROR(LOOKUP(AD$16,$L74:$X74,#REF!)),0,(LOOKUP(AD$16,$L74:$X74,#REF!)))</f>
        <v>0</v>
      </c>
      <c r="AE74" s="256">
        <f>IF(ISERROR(LOOKUP(AE$16,$L74:$X74,#REF!)),0,(LOOKUP(AE$16,$L74:$X74,#REF!)))</f>
        <v>0</v>
      </c>
      <c r="AF74" s="256">
        <f>IF(ISERROR(LOOKUP(AF$16,$L74:$X74,#REF!)),0,(LOOKUP(AF$16,$L74:$X74,#REF!)))</f>
        <v>0</v>
      </c>
      <c r="AG74" s="256">
        <f>IF(ISERROR(LOOKUP(AG$16,$L74:$X74,#REF!)),0,(LOOKUP(AG$16,$L74:$X74,#REF!)))</f>
        <v>0</v>
      </c>
      <c r="AH74" s="256">
        <f>IF(ISERROR(LOOKUP(AH$16,$L74:$X74,#REF!)),0,(LOOKUP(AH$16,$L74:$X74,#REF!)))</f>
        <v>0</v>
      </c>
      <c r="AI74" s="256">
        <f>IF(ISERROR(LOOKUP(AI$16,$L74:$X74,#REF!)),0,(LOOKUP(AI$16,$L74:$X74,#REF!)))</f>
        <v>0</v>
      </c>
      <c r="AJ74" s="256">
        <f>IF(ISERROR(LOOKUP(AJ$16,$L74:$X74,#REF!)),0,(LOOKUP(AJ$16,$L74:$X74,#REF!)))</f>
        <v>0</v>
      </c>
      <c r="AK74" s="256">
        <f>IF(ISERROR(LOOKUP(AK$16,$L74:$X74,#REF!)),0,(LOOKUP(AK$16,$L74:$X74,#REF!)))</f>
        <v>0</v>
      </c>
      <c r="AL74" s="256">
        <f>IF(ISERROR(LOOKUP(AL$16,$L74:$X74,#REF!)),0,(LOOKUP(AL$16,$L74:$X74,#REF!)))</f>
        <v>0</v>
      </c>
      <c r="AM74" s="256">
        <f ca="1">IF(ISERROR(LOOKUP(AM$16,$L74:$X74,#REF!)),0,(LOOKUP(AM$16,$L74:$X74,#REF!)))</f>
        <v>0</v>
      </c>
      <c r="AP74" s="247" t="e">
        <f>WORKDAY(AQ74,-INDEX(AQ$12:AQ$15,MATCH($I74,$I$12:$I$15,0)),$AW$17:$AW$148)</f>
        <v>#REF!</v>
      </c>
      <c r="AQ74" s="247" t="e">
        <f>WORKDAY(U74,-INDEX(U$12:U$15,MATCH($I74,$I$12:$I$15,0)),$AW$17:$AW$148)</f>
        <v>#REF!</v>
      </c>
      <c r="AR74" s="247" t="e">
        <f>WORKDAY(U74,-INDEX(U$12:U$15,MATCH($I74,$I$12:$I$15,0)),$AW$17:$AW$148)</f>
        <v>#REF!</v>
      </c>
      <c r="AS74" s="257">
        <v>14</v>
      </c>
      <c r="AW74" s="258" t="e">
        <v>#REF!</v>
      </c>
    </row>
    <row r="75" s="195" customFormat="1" ht="18" customHeight="1" spans="1:49">
      <c r="A75" s="270"/>
      <c r="B75" s="259"/>
      <c r="C75" s="271" t="str">
        <f>C74</f>
        <v>RFQ-020</v>
      </c>
      <c r="D75" s="271" t="str">
        <f>D74</f>
        <v>External Battery Charger</v>
      </c>
      <c r="E75" s="279"/>
      <c r="F75" s="278"/>
      <c r="G75" s="271" t="str">
        <f>G74</f>
        <v>Y</v>
      </c>
      <c r="H75" s="279"/>
      <c r="I75" s="243" t="str">
        <f>I74</f>
        <v>LC</v>
      </c>
      <c r="J75" s="246" t="s">
        <v>64</v>
      </c>
      <c r="K75" s="247">
        <f>K74</f>
        <v>46174</v>
      </c>
      <c r="L75" s="247">
        <f>WORKDAY(IF(K76="",K75,K76),INDEX(L$12:L$15,MATCH($I74,$I$12:$I$15,0)))</f>
        <v>46177</v>
      </c>
      <c r="M75" s="247">
        <f>WORKDAY(IF(L76="",L75,L76),INDEX(M$12:M$15,MATCH($I74,$I$12:$I$15,0)))</f>
        <v>46191</v>
      </c>
      <c r="N75" s="247">
        <f>WORKDAY(IF(M76="",M75,M76),INDEX(N$12:N$15,MATCH($I74,$I$12:$I$15,0)))</f>
        <v>46192</v>
      </c>
      <c r="O75" s="247">
        <f>WORKDAY(IF(N76="",N75,N76),INDEX(O$12:O$15,MATCH($I74,$I$12:$I$15,0)))</f>
        <v>46206</v>
      </c>
      <c r="P75" s="248"/>
      <c r="Q75" s="249"/>
      <c r="R75" s="247">
        <f>WORKDAY(IF(O76="",O75,O76),INDEX(R$12:R$15,MATCH($I74,$I$12:$I$15,0)))</f>
        <v>46220</v>
      </c>
      <c r="S75" s="247">
        <f>WORKDAY(IF(R76="",R75,R76),INDEX(S$12:S$15,MATCH($I74,$I$12:$I$15,0)))</f>
        <v>46241</v>
      </c>
      <c r="T75" s="247">
        <f>WORKDAY(IF(S76="",S75,S76),INDEX(T$12:T$15,MATCH($I74,$I$12:$I$15,0)))</f>
        <v>46255</v>
      </c>
      <c r="U75" s="247">
        <f>WORKDAY(IF(T76="",T75,T76),INDEX(U$12:U$15,MATCH($I74,$I$12:$I$15,0)))</f>
        <v>46269</v>
      </c>
      <c r="V75" s="247">
        <f>WORKDAY(IF(U76="",U75,U76),INDEX(V$12:V$15,MATCH($I74,$I$12:$I$15,0)))</f>
        <v>46273</v>
      </c>
      <c r="W75" s="250"/>
      <c r="X75" s="247">
        <f>U75+Y74</f>
        <v>46521</v>
      </c>
      <c r="Y75" s="251"/>
      <c r="Z75" s="253"/>
      <c r="AA75" s="253"/>
      <c r="AB75" s="254"/>
      <c r="AC75" s="255">
        <f>IF(ISERROR(LOOKUP(AC$16,$L75:$X75,#REF!)),0,(LOOKUP(AC$16,$L75:$X75,#REF!)))</f>
        <v>0</v>
      </c>
      <c r="AD75" s="256">
        <f>IF(ISERROR(LOOKUP(AD$16,$L75:$X75,#REF!)),0,(LOOKUP(AD$16,$L75:$X75,#REF!)))</f>
        <v>0</v>
      </c>
      <c r="AE75" s="256">
        <f>IF(ISERROR(LOOKUP(AE$16,$L75:$X75,#REF!)),0,(LOOKUP(AE$16,$L75:$X75,#REF!)))</f>
        <v>0</v>
      </c>
      <c r="AF75" s="256">
        <f>IF(ISERROR(LOOKUP(AF$16,$L75:$X75,#REF!)),0,(LOOKUP(AF$16,$L75:$X75,#REF!)))</f>
        <v>0</v>
      </c>
      <c r="AG75" s="256">
        <f>IF(ISERROR(LOOKUP(AG$16,$L75:$X75,#REF!)),0,(LOOKUP(AG$16,$L75:$X75,#REF!)))</f>
        <v>0</v>
      </c>
      <c r="AH75" s="256">
        <f>IF(ISERROR(LOOKUP(AH$16,$L75:$X75,#REF!)),0,(LOOKUP(AH$16,$L75:$X75,#REF!)))</f>
        <v>0</v>
      </c>
      <c r="AI75" s="256">
        <f>IF(ISERROR(LOOKUP(AI$16,$L75:$X75,#REF!)),0,(LOOKUP(AI$16,$L75:$X75,#REF!)))</f>
        <v>0</v>
      </c>
      <c r="AJ75" s="256">
        <f>IF(ISERROR(LOOKUP(AJ$16,$L75:$X75,#REF!)),0,(LOOKUP(AJ$16,$L75:$X75,#REF!)))</f>
        <v>0</v>
      </c>
      <c r="AK75" s="256">
        <f>IF(ISERROR(LOOKUP(AK$16,$L75:$X75,#REF!)),0,(LOOKUP(AK$16,$L75:$X75,#REF!)))</f>
        <v>0</v>
      </c>
      <c r="AL75" s="256">
        <f>IF(ISERROR(LOOKUP(AL$16,$L75:$X75,#REF!)),0,(LOOKUP(AL$16,$L75:$X75,#REF!)))</f>
        <v>0</v>
      </c>
      <c r="AM75" s="256">
        <f ca="1">IF(ISERROR(LOOKUP(AM$16,$L75:$X75,#REF!)),0,(LOOKUP(AM$16,$L75:$X75,#REF!)))</f>
        <v>0</v>
      </c>
      <c r="AP75" s="247" t="e">
        <f>WORKDAY(IF(T76="",T75,T76),INDEX(AP$12:AP$15,MATCH($I74,$I$12:$I$15,0)),$AW$17:$AW$148)</f>
        <v>#REF!</v>
      </c>
      <c r="AQ75" s="247" t="e">
        <f>WORKDAY(IF(AP76="",AP75,AP76),INDEX(AQ$12:AQ$15,MATCH($I74,$I$12:$I$15,0)),$AW$17:$AW$148)</f>
        <v>#REF!</v>
      </c>
      <c r="AR75" s="247" t="e">
        <f>WORKDAY(IF(AQ76="",AQ75,AQ76),INDEX(AR$12:AR$15,MATCH($I74,$I$12:$I$15,0)),$AW$17:$AW$148)</f>
        <v>#REF!</v>
      </c>
      <c r="AS75" s="257"/>
      <c r="AW75" s="258" t="e">
        <v>#REF!</v>
      </c>
    </row>
    <row r="76" s="196" customFormat="1" ht="18" customHeight="1" spans="1:49">
      <c r="A76" s="270"/>
      <c r="B76" s="262"/>
      <c r="C76" s="271" t="str">
        <f>C74</f>
        <v>RFQ-020</v>
      </c>
      <c r="D76" s="271" t="str">
        <f>D74</f>
        <v>External Battery Charger</v>
      </c>
      <c r="E76" s="281"/>
      <c r="F76" s="280"/>
      <c r="G76" s="271" t="str">
        <f>G74</f>
        <v>Y</v>
      </c>
      <c r="H76" s="281"/>
      <c r="I76" s="271" t="str">
        <f>I74</f>
        <v>LC</v>
      </c>
      <c r="J76" s="274" t="s">
        <v>66</v>
      </c>
      <c r="K76" s="243"/>
      <c r="L76" s="243"/>
      <c r="M76" s="243"/>
      <c r="N76" s="243"/>
      <c r="O76" s="243"/>
      <c r="P76" s="265"/>
      <c r="Q76" s="266"/>
      <c r="R76" s="243"/>
      <c r="S76" s="243"/>
      <c r="T76" s="243"/>
      <c r="U76" s="243"/>
      <c r="V76" s="243"/>
      <c r="W76" s="267"/>
      <c r="X76" s="243"/>
      <c r="Y76" s="251"/>
      <c r="Z76" s="253"/>
      <c r="AA76" s="253"/>
      <c r="AB76" s="254"/>
      <c r="AC76" s="282">
        <f>IF(ISERROR(LOOKUP(AC$16,$L76:$X76,#REF!)),0,(LOOKUP(AC$16,$L76:$X76,#REF!)))</f>
        <v>0</v>
      </c>
      <c r="AD76" s="283">
        <f>IF(ISERROR(LOOKUP(AD$16,$L76:$X76,#REF!)),0,(LOOKUP(AD$16,$L76:$X76,#REF!)))</f>
        <v>0</v>
      </c>
      <c r="AE76" s="283">
        <f>IF(ISERROR(LOOKUP(AE$16,$L76:$X76,#REF!)),0,(LOOKUP(AE$16,$L76:$X76,#REF!)))</f>
        <v>0</v>
      </c>
      <c r="AF76" s="283">
        <f>IF(ISERROR(LOOKUP(AF$16,$L76:$X76,#REF!)),0,(LOOKUP(AF$16,$L76:$X76,#REF!)))</f>
        <v>0</v>
      </c>
      <c r="AG76" s="283">
        <f>IF(ISERROR(LOOKUP(AG$16,$L76:$X76,#REF!)),0,(LOOKUP(AG$16,$L76:$X76,#REF!)))</f>
        <v>0</v>
      </c>
      <c r="AH76" s="283">
        <f>IF(ISERROR(LOOKUP(AH$16,$L76:$X76,#REF!)),0,(LOOKUP(AH$16,$L76:$X76,#REF!)))</f>
        <v>0</v>
      </c>
      <c r="AI76" s="283">
        <f>IF(ISERROR(LOOKUP(AI$16,$L76:$X76,#REF!)),0,(LOOKUP(AI$16,$L76:$X76,#REF!)))</f>
        <v>0</v>
      </c>
      <c r="AJ76" s="283">
        <f>IF(ISERROR(LOOKUP(AJ$16,$L76:$X76,#REF!)),0,(LOOKUP(AJ$16,$L76:$X76,#REF!)))</f>
        <v>0</v>
      </c>
      <c r="AK76" s="283">
        <f>IF(ISERROR(LOOKUP(AK$16,$L76:$X76,#REF!)),0,(LOOKUP(AK$16,$L76:$X76,#REF!)))</f>
        <v>0</v>
      </c>
      <c r="AL76" s="283">
        <f>IF(ISERROR(LOOKUP(AL$16,$L76:$X76,#REF!)),0,(LOOKUP(AL$16,$L76:$X76,#REF!)))</f>
        <v>0</v>
      </c>
      <c r="AM76" s="283">
        <f ca="1">IF(ISERROR(LOOKUP(AM$16,$L76:$X76,#REF!)),0,(LOOKUP(AM$16,$L76:$X76,#REF!)))</f>
        <v>0</v>
      </c>
      <c r="AP76" s="243"/>
      <c r="AQ76" s="243"/>
      <c r="AR76" s="243"/>
      <c r="AS76" s="257"/>
      <c r="AW76" s="277" t="e">
        <v>#REF!</v>
      </c>
    </row>
    <row r="77" s="196" customFormat="1" ht="18" customHeight="1" spans="1:49">
      <c r="A77" s="270">
        <f>A74+1</f>
        <v>21</v>
      </c>
      <c r="B77" s="242"/>
      <c r="C77" s="271" t="s">
        <v>4801</v>
      </c>
      <c r="D77" s="271" t="s">
        <v>135</v>
      </c>
      <c r="E77" s="273"/>
      <c r="F77" s="272" t="s">
        <v>136</v>
      </c>
      <c r="G77" s="271" t="s">
        <v>72</v>
      </c>
      <c r="H77" s="273"/>
      <c r="I77" s="271" t="s">
        <v>7</v>
      </c>
      <c r="J77" s="274" t="s">
        <v>4769</v>
      </c>
      <c r="K77" s="247">
        <f>WORKDAY(L77,-INDEX(L$12:L$15,MATCH($I77,$I$12:$I$15,0)))</f>
        <v>46258</v>
      </c>
      <c r="L77" s="247">
        <f>WORKDAY(M77,-INDEX(M$12:M$15,MATCH($I77,$I$12:$I$15,0)))</f>
        <v>46259</v>
      </c>
      <c r="M77" s="247">
        <f>WORKDAY(N77,-INDEX(N$12:N$15,MATCH($I77,$I$12:$I$15,0)))</f>
        <v>46266</v>
      </c>
      <c r="N77" s="247">
        <f>WORKDAY(O77,-INDEX(O$12:O$15,MATCH($I77,$I$12:$I$15,0)))</f>
        <v>46267</v>
      </c>
      <c r="O77" s="247">
        <f>WORKDAY(R77,-INDEX(R$12:R$15,MATCH($I77,$I$12:$I$15,0)))</f>
        <v>46274</v>
      </c>
      <c r="P77" s="248">
        <f>U77-L77</f>
        <v>76</v>
      </c>
      <c r="Q77" s="249"/>
      <c r="R77" s="247">
        <f>WORKDAY(S77,-INDEX(S$12:S$15,MATCH($I77,$I$12:$I$15,0)))</f>
        <v>46288</v>
      </c>
      <c r="S77" s="247">
        <f>WORKDAY(T77,-INDEX(T$12:T$15,MATCH($I77,$I$12:$I$15,0)))</f>
        <v>46316</v>
      </c>
      <c r="T77" s="247">
        <f>WORKDAY(U77,-INDEX(U$12:U$15,MATCH($I77,$I$12:$I$15,0)))</f>
        <v>46321</v>
      </c>
      <c r="U77" s="247">
        <f>X77-Y77</f>
        <v>46335</v>
      </c>
      <c r="V77" s="247">
        <f>WORKDAY(U77,INDEX(V$12:V$15,MATCH($I77,$I$12:$I$15,0)))</f>
        <v>46337</v>
      </c>
      <c r="W77" s="250">
        <f>Y77/7</f>
        <v>28.5714285714286</v>
      </c>
      <c r="X77" s="247">
        <f>Z77</f>
        <v>46535</v>
      </c>
      <c r="Y77" s="251">
        <v>200</v>
      </c>
      <c r="Z77" s="253">
        <v>46535</v>
      </c>
      <c r="AA77" s="253">
        <v>46535</v>
      </c>
      <c r="AB77" s="254">
        <f>Z77-X78</f>
        <v>0</v>
      </c>
      <c r="AC77" s="275">
        <f>IF(ISERROR(LOOKUP(AC$16,$L77:$X77,#REF!)),0,(LOOKUP(AC$16,$L77:$X77,#REF!)))</f>
        <v>0</v>
      </c>
      <c r="AD77" s="276">
        <f>IF(ISERROR(LOOKUP(AD$16,$L77:$X77,#REF!)),0,(LOOKUP(AD$16,$L77:$X77,#REF!)))</f>
        <v>0</v>
      </c>
      <c r="AE77" s="276">
        <f>IF(ISERROR(LOOKUP(AE$16,$L77:$X77,#REF!)),0,(LOOKUP(AE$16,$L77:$X77,#REF!)))</f>
        <v>0</v>
      </c>
      <c r="AF77" s="276">
        <f>IF(ISERROR(LOOKUP(AF$16,$L77:$X77,#REF!)),0,(LOOKUP(AF$16,$L77:$X77,#REF!)))</f>
        <v>0</v>
      </c>
      <c r="AG77" s="276">
        <f>IF(ISERROR(LOOKUP(AG$16,$L77:$X77,#REF!)),0,(LOOKUP(AG$16,$L77:$X77,#REF!)))</f>
        <v>0</v>
      </c>
      <c r="AH77" s="276">
        <f>IF(ISERROR(LOOKUP(AH$16,$L77:$X77,#REF!)),0,(LOOKUP(AH$16,$L77:$X77,#REF!)))</f>
        <v>0</v>
      </c>
      <c r="AI77" s="276">
        <f>IF(ISERROR(LOOKUP(AI$16,$L77:$X77,#REF!)),0,(LOOKUP(AI$16,$L77:$X77,#REF!)))</f>
        <v>0</v>
      </c>
      <c r="AJ77" s="276">
        <f>IF(ISERROR(LOOKUP(AJ$16,$L77:$X77,#REF!)),0,(LOOKUP(AJ$16,$L77:$X77,#REF!)))</f>
        <v>0</v>
      </c>
      <c r="AK77" s="276">
        <f>IF(ISERROR(LOOKUP(AK$16,$L77:$X77,#REF!)),0,(LOOKUP(AK$16,$L77:$X77,#REF!)))</f>
        <v>0</v>
      </c>
      <c r="AL77" s="276">
        <f>IF(ISERROR(LOOKUP(AL$16,$L77:$X77,#REF!)),0,(LOOKUP(AL$16,$L77:$X77,#REF!)))</f>
        <v>0</v>
      </c>
      <c r="AM77" s="276">
        <f ca="1">IF(ISERROR(LOOKUP(AM$16,$L77:$X77,#REF!)),0,(LOOKUP(AM$16,$L77:$X77,#REF!)))</f>
        <v>0</v>
      </c>
      <c r="AP77" s="247" t="e">
        <f>WORKDAY(AQ77,-INDEX(AQ$12:AQ$15,MATCH($I77,$I$12:$I$15,0)),$AW$17:$AW$148)</f>
        <v>#REF!</v>
      </c>
      <c r="AQ77" s="247" t="e">
        <f>WORKDAY(U77,-INDEX(U$12:U$15,MATCH($I77,$I$12:$I$15,0)),$AW$17:$AW$148)</f>
        <v>#REF!</v>
      </c>
      <c r="AR77" s="247" t="e">
        <f>WORKDAY(U77,-INDEX(U$12:U$15,MATCH($I77,$I$12:$I$15,0)),$AW$17:$AW$148)</f>
        <v>#REF!</v>
      </c>
      <c r="AS77" s="257">
        <v>7</v>
      </c>
      <c r="AW77" s="277" t="e">
        <v>#REF!</v>
      </c>
    </row>
    <row r="78" s="196" customFormat="1" ht="18" customHeight="1" spans="1:49">
      <c r="A78" s="270"/>
      <c r="B78" s="259"/>
      <c r="C78" s="271" t="str">
        <f>C77</f>
        <v>RFQ-021</v>
      </c>
      <c r="D78" s="271" t="str">
        <f>D77</f>
        <v>Control Valve</v>
      </c>
      <c r="E78" s="279"/>
      <c r="F78" s="278" t="str">
        <f>F77</f>
        <v>Instrument</v>
      </c>
      <c r="G78" s="271" t="str">
        <f>G77</f>
        <v>N</v>
      </c>
      <c r="H78" s="279"/>
      <c r="I78" s="271" t="str">
        <f>I77</f>
        <v>LB</v>
      </c>
      <c r="J78" s="274" t="s">
        <v>64</v>
      </c>
      <c r="K78" s="247">
        <f>K77</f>
        <v>46258</v>
      </c>
      <c r="L78" s="247">
        <f>WORKDAY(IF(K79="",K78,K79),INDEX(L$12:L$15,MATCH($I77,$I$12:$I$15,0)))</f>
        <v>46259</v>
      </c>
      <c r="M78" s="247">
        <f>WORKDAY(IF(L79="",L78,L79),INDEX(M$12:M$15,MATCH($I77,$I$12:$I$15,0)))</f>
        <v>46266</v>
      </c>
      <c r="N78" s="247">
        <f>WORKDAY(IF(M79="",M78,M79),INDEX(N$12:N$15,MATCH($I77,$I$12:$I$15,0)))</f>
        <v>46267</v>
      </c>
      <c r="O78" s="247">
        <f>WORKDAY(IF(N79="",N78,N79),INDEX(O$12:O$15,MATCH($I77,$I$12:$I$15,0)))</f>
        <v>46274</v>
      </c>
      <c r="P78" s="248"/>
      <c r="Q78" s="249"/>
      <c r="R78" s="247">
        <f>WORKDAY(IF(O79="",O78,O79),INDEX(R$12:R$15,MATCH($I77,$I$12:$I$15,0)))</f>
        <v>46288</v>
      </c>
      <c r="S78" s="247">
        <f>WORKDAY(IF(R79="",R78,R79),INDEX(S$12:S$15,MATCH($I77,$I$12:$I$15,0)))</f>
        <v>46316</v>
      </c>
      <c r="T78" s="247">
        <f>WORKDAY(IF(S79="",S78,S79),INDEX(T$12:T$15,MATCH($I77,$I$12:$I$15,0)))</f>
        <v>46321</v>
      </c>
      <c r="U78" s="247">
        <f>WORKDAY(IF(T79="",T78,T79),INDEX(U$12:U$15,MATCH($I77,$I$12:$I$15,0)))</f>
        <v>46335</v>
      </c>
      <c r="V78" s="247">
        <f>WORKDAY(IF(U79="",U78,U79),INDEX(V$12:V$15,MATCH($I77,$I$12:$I$15,0)))</f>
        <v>46337</v>
      </c>
      <c r="W78" s="250"/>
      <c r="X78" s="247">
        <f>U78+Y77</f>
        <v>46535</v>
      </c>
      <c r="Y78" s="251"/>
      <c r="Z78" s="253"/>
      <c r="AA78" s="253"/>
      <c r="AB78" s="254"/>
      <c r="AC78" s="275">
        <f>IF(ISERROR(LOOKUP(AC$16,$L78:$X78,#REF!)),0,(LOOKUP(AC$16,$L78:$X78,#REF!)))</f>
        <v>0</v>
      </c>
      <c r="AD78" s="276">
        <f>IF(ISERROR(LOOKUP(AD$16,$L78:$X78,#REF!)),0,(LOOKUP(AD$16,$L78:$X78,#REF!)))</f>
        <v>0</v>
      </c>
      <c r="AE78" s="276">
        <f>IF(ISERROR(LOOKUP(AE$16,$L78:$X78,#REF!)),0,(LOOKUP(AE$16,$L78:$X78,#REF!)))</f>
        <v>0</v>
      </c>
      <c r="AF78" s="276">
        <f>IF(ISERROR(LOOKUP(AF$16,$L78:$X78,#REF!)),0,(LOOKUP(AF$16,$L78:$X78,#REF!)))</f>
        <v>0</v>
      </c>
      <c r="AG78" s="276">
        <f>IF(ISERROR(LOOKUP(AG$16,$L78:$X78,#REF!)),0,(LOOKUP(AG$16,$L78:$X78,#REF!)))</f>
        <v>0</v>
      </c>
      <c r="AH78" s="276">
        <f>IF(ISERROR(LOOKUP(AH$16,$L78:$X78,#REF!)),0,(LOOKUP(AH$16,$L78:$X78,#REF!)))</f>
        <v>0</v>
      </c>
      <c r="AI78" s="276">
        <f>IF(ISERROR(LOOKUP(AI$16,$L78:$X78,#REF!)),0,(LOOKUP(AI$16,$L78:$X78,#REF!)))</f>
        <v>0</v>
      </c>
      <c r="AJ78" s="276">
        <f>IF(ISERROR(LOOKUP(AJ$16,$L78:$X78,#REF!)),0,(LOOKUP(AJ$16,$L78:$X78,#REF!)))</f>
        <v>0</v>
      </c>
      <c r="AK78" s="276">
        <f>IF(ISERROR(LOOKUP(AK$16,$L78:$X78,#REF!)),0,(LOOKUP(AK$16,$L78:$X78,#REF!)))</f>
        <v>0</v>
      </c>
      <c r="AL78" s="276">
        <f>IF(ISERROR(LOOKUP(AL$16,$L78:$X78,#REF!)),0,(LOOKUP(AL$16,$L78:$X78,#REF!)))</f>
        <v>0</v>
      </c>
      <c r="AM78" s="276">
        <f ca="1">IF(ISERROR(LOOKUP(AM$16,$L78:$X78,#REF!)),0,(LOOKUP(AM$16,$L78:$X78,#REF!)))</f>
        <v>0</v>
      </c>
      <c r="AP78" s="247" t="e">
        <f>WORKDAY(IF(T79="",T78,T79),INDEX(AP$12:AP$15,MATCH($I77,$I$12:$I$15,0)),$AW$17:$AW$148)</f>
        <v>#REF!</v>
      </c>
      <c r="AQ78" s="247" t="e">
        <f>WORKDAY(IF(AP79="",AP78,AP79),INDEX(AQ$12:AQ$15,MATCH($I77,$I$12:$I$15,0)),$AW$17:$AW$148)</f>
        <v>#REF!</v>
      </c>
      <c r="AR78" s="247" t="e">
        <f>WORKDAY(IF(AQ79="",AQ78,AQ79),INDEX(AR$12:AR$15,MATCH($I77,$I$12:$I$15,0)),$AW$17:$AW$148)</f>
        <v>#REF!</v>
      </c>
      <c r="AS78" s="257"/>
      <c r="AW78" s="277" t="e">
        <v>#REF!</v>
      </c>
    </row>
    <row r="79" s="196" customFormat="1" ht="18" customHeight="1" spans="1:49">
      <c r="A79" s="270"/>
      <c r="B79" s="262"/>
      <c r="C79" s="271" t="str">
        <f>C77</f>
        <v>RFQ-021</v>
      </c>
      <c r="D79" s="271" t="str">
        <f>D77</f>
        <v>Control Valve</v>
      </c>
      <c r="E79" s="281"/>
      <c r="F79" s="280" t="str">
        <f>F77</f>
        <v>Instrument</v>
      </c>
      <c r="G79" s="271" t="str">
        <f>G77</f>
        <v>N</v>
      </c>
      <c r="H79" s="281"/>
      <c r="I79" s="271" t="str">
        <f>I77</f>
        <v>LB</v>
      </c>
      <c r="J79" s="274" t="s">
        <v>66</v>
      </c>
      <c r="K79" s="243"/>
      <c r="L79" s="243"/>
      <c r="M79" s="243"/>
      <c r="N79" s="243"/>
      <c r="O79" s="243"/>
      <c r="P79" s="265"/>
      <c r="Q79" s="266"/>
      <c r="R79" s="243"/>
      <c r="S79" s="243"/>
      <c r="T79" s="243"/>
      <c r="U79" s="243"/>
      <c r="V79" s="243"/>
      <c r="W79" s="267"/>
      <c r="X79" s="243"/>
      <c r="Y79" s="251"/>
      <c r="Z79" s="253"/>
      <c r="AA79" s="253"/>
      <c r="AB79" s="254"/>
      <c r="AC79" s="282">
        <f>IF(ISERROR(LOOKUP(AC$16,$L79:$X79,#REF!)),0,(LOOKUP(AC$16,$L79:$X79,#REF!)))</f>
        <v>0</v>
      </c>
      <c r="AD79" s="283">
        <f>IF(ISERROR(LOOKUP(AD$16,$L79:$X79,#REF!)),0,(LOOKUP(AD$16,$L79:$X79,#REF!)))</f>
        <v>0</v>
      </c>
      <c r="AE79" s="283">
        <f>IF(ISERROR(LOOKUP(AE$16,$L79:$X79,#REF!)),0,(LOOKUP(AE$16,$L79:$X79,#REF!)))</f>
        <v>0</v>
      </c>
      <c r="AF79" s="283">
        <f>IF(ISERROR(LOOKUP(AF$16,$L79:$X79,#REF!)),0,(LOOKUP(AF$16,$L79:$X79,#REF!)))</f>
        <v>0</v>
      </c>
      <c r="AG79" s="283">
        <f>IF(ISERROR(LOOKUP(AG$16,$L79:$X79,#REF!)),0,(LOOKUP(AG$16,$L79:$X79,#REF!)))</f>
        <v>0</v>
      </c>
      <c r="AH79" s="283">
        <f>IF(ISERROR(LOOKUP(AH$16,$L79:$X79,#REF!)),0,(LOOKUP(AH$16,$L79:$X79,#REF!)))</f>
        <v>0</v>
      </c>
      <c r="AI79" s="283">
        <f>IF(ISERROR(LOOKUP(AI$16,$L79:$X79,#REF!)),0,(LOOKUP(AI$16,$L79:$X79,#REF!)))</f>
        <v>0</v>
      </c>
      <c r="AJ79" s="283">
        <f>IF(ISERROR(LOOKUP(AJ$16,$L79:$X79,#REF!)),0,(LOOKUP(AJ$16,$L79:$X79,#REF!)))</f>
        <v>0</v>
      </c>
      <c r="AK79" s="283">
        <f>IF(ISERROR(LOOKUP(AK$16,$L79:$X79,#REF!)),0,(LOOKUP(AK$16,$L79:$X79,#REF!)))</f>
        <v>0</v>
      </c>
      <c r="AL79" s="283">
        <f>IF(ISERROR(LOOKUP(AL$16,$L79:$X79,#REF!)),0,(LOOKUP(AL$16,$L79:$X79,#REF!)))</f>
        <v>0</v>
      </c>
      <c r="AM79" s="283">
        <f ca="1">IF(ISERROR(LOOKUP(AM$16,$L79:$X79,#REF!)),0,(LOOKUP(AM$16,$L79:$X79,#REF!)))</f>
        <v>0</v>
      </c>
      <c r="AP79" s="243"/>
      <c r="AQ79" s="243"/>
      <c r="AR79" s="243"/>
      <c r="AS79" s="257"/>
      <c r="AW79" s="277" t="e">
        <v>#REF!</v>
      </c>
    </row>
    <row r="80" s="195" customFormat="1" ht="18" customHeight="1" spans="1:49">
      <c r="A80" s="241">
        <f>A77+1</f>
        <v>22</v>
      </c>
      <c r="B80" s="242"/>
      <c r="C80" s="243" t="s">
        <v>4802</v>
      </c>
      <c r="D80" s="243" t="s">
        <v>141</v>
      </c>
      <c r="E80" s="244"/>
      <c r="F80" s="302" t="s">
        <v>136</v>
      </c>
      <c r="G80" s="243" t="s">
        <v>72</v>
      </c>
      <c r="H80" s="244"/>
      <c r="I80" s="243" t="s">
        <v>7</v>
      </c>
      <c r="J80" s="303" t="s">
        <v>4769</v>
      </c>
      <c r="K80" s="247">
        <f>WORKDAY(L80,-INDEX(L$12:L$15,MATCH($I80,$I$12:$I$15,0)))</f>
        <v>46261</v>
      </c>
      <c r="L80" s="247">
        <f>WORKDAY(M80,-INDEX(M$12:M$15,MATCH($I80,$I$12:$I$15,0)))</f>
        <v>46262</v>
      </c>
      <c r="M80" s="247">
        <f>WORKDAY(N80,-INDEX(N$12:N$15,MATCH($I80,$I$12:$I$15,0)))</f>
        <v>46269</v>
      </c>
      <c r="N80" s="247">
        <f>WORKDAY(O80,-INDEX(O$12:O$15,MATCH($I80,$I$12:$I$15,0)))</f>
        <v>46272</v>
      </c>
      <c r="O80" s="247">
        <f>WORKDAY(R80,-INDEX(R$12:R$15,MATCH($I80,$I$12:$I$15,0)))</f>
        <v>46279</v>
      </c>
      <c r="P80" s="248">
        <f>U80-L80</f>
        <v>76</v>
      </c>
      <c r="Q80" s="249"/>
      <c r="R80" s="247">
        <f>WORKDAY(S80,-INDEX(S$12:S$15,MATCH($I80,$I$12:$I$15,0)))</f>
        <v>46293</v>
      </c>
      <c r="S80" s="247">
        <f>WORKDAY(T80,-INDEX(T$12:T$15,MATCH($I80,$I$12:$I$15,0)))</f>
        <v>46321</v>
      </c>
      <c r="T80" s="247">
        <f>WORKDAY(U80,-INDEX(U$12:U$15,MATCH($I80,$I$12:$I$15,0)))</f>
        <v>46324</v>
      </c>
      <c r="U80" s="247">
        <f>X80-Y80</f>
        <v>46338</v>
      </c>
      <c r="V80" s="247">
        <f>WORKDAY(U80,INDEX(V$12:V$15,MATCH($I80,$I$12:$I$15,0)))</f>
        <v>46342</v>
      </c>
      <c r="W80" s="250">
        <f>Y80/7</f>
        <v>28.5714285714286</v>
      </c>
      <c r="X80" s="247">
        <f>Z80</f>
        <v>46538</v>
      </c>
      <c r="Y80" s="251">
        <v>200</v>
      </c>
      <c r="Z80" s="253">
        <v>46538</v>
      </c>
      <c r="AA80" s="253">
        <v>46538</v>
      </c>
      <c r="AB80" s="254">
        <f>Z80-X81</f>
        <v>0</v>
      </c>
      <c r="AC80" s="255">
        <f>IF(ISERROR(LOOKUP(AC$16,$L80:$X80,#REF!)),0,(LOOKUP(AC$16,$L80:$X80,#REF!)))</f>
        <v>0</v>
      </c>
      <c r="AD80" s="256">
        <f>IF(ISERROR(LOOKUP(AD$16,$L80:$X80,#REF!)),0,(LOOKUP(AD$16,$L80:$X80,#REF!)))</f>
        <v>0</v>
      </c>
      <c r="AE80" s="256">
        <f>IF(ISERROR(LOOKUP(AE$16,$L80:$X80,#REF!)),0,(LOOKUP(AE$16,$L80:$X80,#REF!)))</f>
        <v>0</v>
      </c>
      <c r="AF80" s="256">
        <f>IF(ISERROR(LOOKUP(AF$16,$L80:$X80,#REF!)),0,(LOOKUP(AF$16,$L80:$X80,#REF!)))</f>
        <v>0</v>
      </c>
      <c r="AG80" s="256">
        <f>IF(ISERROR(LOOKUP(AG$16,$L80:$X80,#REF!)),0,(LOOKUP(AG$16,$L80:$X80,#REF!)))</f>
        <v>0</v>
      </c>
      <c r="AH80" s="256">
        <f>IF(ISERROR(LOOKUP(AH$16,$L80:$X80,#REF!)),0,(LOOKUP(AH$16,$L80:$X80,#REF!)))</f>
        <v>0</v>
      </c>
      <c r="AI80" s="256">
        <f>IF(ISERROR(LOOKUP(AI$16,$L80:$X80,#REF!)),0,(LOOKUP(AI$16,$L80:$X80,#REF!)))</f>
        <v>0</v>
      </c>
      <c r="AJ80" s="256">
        <f>IF(ISERROR(LOOKUP(AJ$16,$L80:$X80,#REF!)),0,(LOOKUP(AJ$16,$L80:$X80,#REF!)))</f>
        <v>0</v>
      </c>
      <c r="AK80" s="256">
        <f>IF(ISERROR(LOOKUP(AK$16,$L80:$X80,#REF!)),0,(LOOKUP(AK$16,$L80:$X80,#REF!)))</f>
        <v>0</v>
      </c>
      <c r="AL80" s="256">
        <f>IF(ISERROR(LOOKUP(AL$16,$L80:$X80,#REF!)),0,(LOOKUP(AL$16,$L80:$X80,#REF!)))</f>
        <v>0</v>
      </c>
      <c r="AM80" s="256">
        <f ca="1">IF(ISERROR(LOOKUP(AM$16,$L80:$X80,#REF!)),0,(LOOKUP(AM$16,$L80:$X80,#REF!)))</f>
        <v>0</v>
      </c>
      <c r="AP80" s="247" t="e">
        <f>WORKDAY(AQ80,-INDEX(AQ$12:AQ$15,MATCH($I80,$I$12:$I$15,0)),$AW$17:$AW$148)</f>
        <v>#REF!</v>
      </c>
      <c r="AQ80" s="247" t="e">
        <f>WORKDAY(U80,-INDEX(U$12:U$15,MATCH($I80,$I$12:$I$15,0)),$AW$17:$AW$148)</f>
        <v>#REF!</v>
      </c>
      <c r="AR80" s="247" t="e">
        <f>WORKDAY(U80,-INDEX(U$12:U$15,MATCH($I80,$I$12:$I$15,0)),$AW$17:$AW$148)</f>
        <v>#REF!</v>
      </c>
      <c r="AS80" s="257">
        <v>7</v>
      </c>
      <c r="AW80" s="258" t="e">
        <v>#REF!</v>
      </c>
    </row>
    <row r="81" s="195" customFormat="1" ht="18" customHeight="1" spans="1:49">
      <c r="A81" s="241"/>
      <c r="B81" s="259"/>
      <c r="C81" s="243" t="str">
        <f>C80</f>
        <v>RFQ-022</v>
      </c>
      <c r="D81" s="243" t="str">
        <f>D80</f>
        <v>Self Regulator Valve</v>
      </c>
      <c r="E81" s="260"/>
      <c r="F81" s="304" t="str">
        <f>F80</f>
        <v>Instrument</v>
      </c>
      <c r="G81" s="243" t="str">
        <f>G80</f>
        <v>N</v>
      </c>
      <c r="H81" s="260"/>
      <c r="I81" s="243" t="str">
        <f>I80</f>
        <v>LB</v>
      </c>
      <c r="J81" s="303" t="s">
        <v>64</v>
      </c>
      <c r="K81" s="247">
        <f>K80</f>
        <v>46261</v>
      </c>
      <c r="L81" s="247">
        <f>WORKDAY(IF(K82="",K81,K82),INDEX(L$12:L$15,MATCH($I80,$I$12:$I$15,0)))</f>
        <v>46262</v>
      </c>
      <c r="M81" s="247">
        <f>WORKDAY(IF(L82="",L81,L82),INDEX(M$12:M$15,MATCH($I80,$I$12:$I$15,0)))</f>
        <v>46269</v>
      </c>
      <c r="N81" s="247">
        <f>WORKDAY(IF(M82="",M81,M82),INDEX(N$12:N$15,MATCH($I80,$I$12:$I$15,0)))</f>
        <v>46272</v>
      </c>
      <c r="O81" s="247">
        <f>WORKDAY(IF(N82="",N81,N82),INDEX(O$12:O$15,MATCH($I80,$I$12:$I$15,0)))</f>
        <v>46279</v>
      </c>
      <c r="P81" s="248"/>
      <c r="Q81" s="249"/>
      <c r="R81" s="247">
        <f>WORKDAY(IF(O82="",O81,O82),INDEX(R$12:R$15,MATCH($I80,$I$12:$I$15,0)))</f>
        <v>46293</v>
      </c>
      <c r="S81" s="247">
        <f>WORKDAY(IF(R82="",R81,R82),INDEX(S$12:S$15,MATCH($I80,$I$12:$I$15,0)))</f>
        <v>46321</v>
      </c>
      <c r="T81" s="247">
        <f>WORKDAY(IF(S82="",S81,S82),INDEX(T$12:T$15,MATCH($I80,$I$12:$I$15,0)))</f>
        <v>46324</v>
      </c>
      <c r="U81" s="247">
        <f>WORKDAY(IF(T82="",T81,T82),INDEX(U$12:U$15,MATCH($I80,$I$12:$I$15,0)))</f>
        <v>46338</v>
      </c>
      <c r="V81" s="247">
        <f>WORKDAY(IF(U82="",U81,U82),INDEX(V$12:V$15,MATCH($I80,$I$12:$I$15,0)))</f>
        <v>46342</v>
      </c>
      <c r="W81" s="250"/>
      <c r="X81" s="247">
        <f>U81+Y80</f>
        <v>46538</v>
      </c>
      <c r="Y81" s="251"/>
      <c r="Z81" s="253"/>
      <c r="AA81" s="253"/>
      <c r="AB81" s="254"/>
      <c r="AC81" s="255">
        <f>IF(ISERROR(LOOKUP(AC$16,$L81:$X81,#REF!)),0,(LOOKUP(AC$16,$L81:$X81,#REF!)))</f>
        <v>0</v>
      </c>
      <c r="AD81" s="256">
        <f>IF(ISERROR(LOOKUP(AD$16,$L81:$X81,#REF!)),0,(LOOKUP(AD$16,$L81:$X81,#REF!)))</f>
        <v>0</v>
      </c>
      <c r="AE81" s="256">
        <f>IF(ISERROR(LOOKUP(AE$16,$L81:$X81,#REF!)),0,(LOOKUP(AE$16,$L81:$X81,#REF!)))</f>
        <v>0</v>
      </c>
      <c r="AF81" s="256">
        <f>IF(ISERROR(LOOKUP(AF$16,$L81:$X81,#REF!)),0,(LOOKUP(AF$16,$L81:$X81,#REF!)))</f>
        <v>0</v>
      </c>
      <c r="AG81" s="256">
        <f>IF(ISERROR(LOOKUP(AG$16,$L81:$X81,#REF!)),0,(LOOKUP(AG$16,$L81:$X81,#REF!)))</f>
        <v>0</v>
      </c>
      <c r="AH81" s="256">
        <f>IF(ISERROR(LOOKUP(AH$16,$L81:$X81,#REF!)),0,(LOOKUP(AH$16,$L81:$X81,#REF!)))</f>
        <v>0</v>
      </c>
      <c r="AI81" s="256">
        <f>IF(ISERROR(LOOKUP(AI$16,$L81:$X81,#REF!)),0,(LOOKUP(AI$16,$L81:$X81,#REF!)))</f>
        <v>0</v>
      </c>
      <c r="AJ81" s="256">
        <f>IF(ISERROR(LOOKUP(AJ$16,$L81:$X81,#REF!)),0,(LOOKUP(AJ$16,$L81:$X81,#REF!)))</f>
        <v>0</v>
      </c>
      <c r="AK81" s="256">
        <f>IF(ISERROR(LOOKUP(AK$16,$L81:$X81,#REF!)),0,(LOOKUP(AK$16,$L81:$X81,#REF!)))</f>
        <v>0</v>
      </c>
      <c r="AL81" s="256">
        <f>IF(ISERROR(LOOKUP(AL$16,$L81:$X81,#REF!)),0,(LOOKUP(AL$16,$L81:$X81,#REF!)))</f>
        <v>0</v>
      </c>
      <c r="AM81" s="256">
        <f ca="1">IF(ISERROR(LOOKUP(AM$16,$L81:$X81,#REF!)),0,(LOOKUP(AM$16,$L81:$X81,#REF!)))</f>
        <v>0</v>
      </c>
      <c r="AP81" s="247" t="e">
        <f>WORKDAY(IF(T82="",T81,T82),INDEX(AP$12:AP$15,MATCH($I80,$I$12:$I$15,0)),$AW$17:$AW$148)</f>
        <v>#REF!</v>
      </c>
      <c r="AQ81" s="247" t="e">
        <f>WORKDAY(IF(AP82="",AP81,AP82),INDEX(AQ$12:AQ$15,MATCH($I80,$I$12:$I$15,0)),$AW$17:$AW$148)</f>
        <v>#REF!</v>
      </c>
      <c r="AR81" s="247" t="e">
        <f>WORKDAY(IF(AQ82="",AQ81,AQ82),INDEX(AR$12:AR$15,MATCH($I80,$I$12:$I$15,0)),$AW$17:$AW$148)</f>
        <v>#REF!</v>
      </c>
      <c r="AS81" s="257"/>
      <c r="AW81" s="258" t="e">
        <v>#REF!</v>
      </c>
    </row>
    <row r="82" s="195" customFormat="1" ht="22.35" customHeight="1" spans="1:49">
      <c r="A82" s="241"/>
      <c r="B82" s="262"/>
      <c r="C82" s="243" t="str">
        <f>C80</f>
        <v>RFQ-022</v>
      </c>
      <c r="D82" s="243" t="str">
        <f>D80</f>
        <v>Self Regulator Valve</v>
      </c>
      <c r="E82" s="263"/>
      <c r="F82" s="305" t="str">
        <f>F80</f>
        <v>Instrument</v>
      </c>
      <c r="G82" s="243" t="str">
        <f>G80</f>
        <v>N</v>
      </c>
      <c r="H82" s="263"/>
      <c r="I82" s="243" t="str">
        <f>I80</f>
        <v>LB</v>
      </c>
      <c r="J82" s="303" t="s">
        <v>66</v>
      </c>
      <c r="K82" s="243"/>
      <c r="L82" s="243"/>
      <c r="M82" s="243"/>
      <c r="N82" s="243"/>
      <c r="O82" s="243"/>
      <c r="P82" s="265"/>
      <c r="Q82" s="266"/>
      <c r="R82" s="243"/>
      <c r="S82" s="243"/>
      <c r="T82" s="243"/>
      <c r="U82" s="243"/>
      <c r="V82" s="243"/>
      <c r="W82" s="267"/>
      <c r="X82" s="243"/>
      <c r="Y82" s="251"/>
      <c r="Z82" s="253"/>
      <c r="AA82" s="253"/>
      <c r="AB82" s="254"/>
      <c r="AC82" s="268">
        <f>IF(ISERROR(LOOKUP(AC$16,$L82:$X82,#REF!)),0,(LOOKUP(AC$16,$L82:$X82,#REF!)))</f>
        <v>0</v>
      </c>
      <c r="AD82" s="269">
        <f>IF(ISERROR(LOOKUP(AD$16,$L82:$X82,#REF!)),0,(LOOKUP(AD$16,$L82:$X82,#REF!)))</f>
        <v>0</v>
      </c>
      <c r="AE82" s="269">
        <f>IF(ISERROR(LOOKUP(AE$16,$L82:$X82,#REF!)),0,(LOOKUP(AE$16,$L82:$X82,#REF!)))</f>
        <v>0</v>
      </c>
      <c r="AF82" s="269">
        <f>IF(ISERROR(LOOKUP(AF$16,$L82:$X82,#REF!)),0,(LOOKUP(AF$16,$L82:$X82,#REF!)))</f>
        <v>0</v>
      </c>
      <c r="AG82" s="269">
        <f>IF(ISERROR(LOOKUP(AG$16,$L82:$X82,#REF!)),0,(LOOKUP(AG$16,$L82:$X82,#REF!)))</f>
        <v>0</v>
      </c>
      <c r="AH82" s="269">
        <f>IF(ISERROR(LOOKUP(AH$16,$L82:$X82,#REF!)),0,(LOOKUP(AH$16,$L82:$X82,#REF!)))</f>
        <v>0</v>
      </c>
      <c r="AI82" s="269">
        <f>IF(ISERROR(LOOKUP(AI$16,$L82:$X82,#REF!)),0,(LOOKUP(AI$16,$L82:$X82,#REF!)))</f>
        <v>0</v>
      </c>
      <c r="AJ82" s="269">
        <f>IF(ISERROR(LOOKUP(AJ$16,$L82:$X82,#REF!)),0,(LOOKUP(AJ$16,$L82:$X82,#REF!)))</f>
        <v>0</v>
      </c>
      <c r="AK82" s="269">
        <f>IF(ISERROR(LOOKUP(AK$16,$L82:$X82,#REF!)),0,(LOOKUP(AK$16,$L82:$X82,#REF!)))</f>
        <v>0</v>
      </c>
      <c r="AL82" s="269">
        <f>IF(ISERROR(LOOKUP(AL$16,$L82:$X82,#REF!)),0,(LOOKUP(AL$16,$L82:$X82,#REF!)))</f>
        <v>0</v>
      </c>
      <c r="AM82" s="269">
        <f ca="1">IF(ISERROR(LOOKUP(AM$16,$L82:$X82,#REF!)),0,(LOOKUP(AM$16,$L82:$X82,#REF!)))</f>
        <v>0</v>
      </c>
      <c r="AP82" s="243"/>
      <c r="AQ82" s="243"/>
      <c r="AR82" s="243"/>
      <c r="AS82" s="257"/>
      <c r="AW82" s="258" t="e">
        <v>#REF!</v>
      </c>
    </row>
    <row r="83" s="198" customFormat="1" ht="22.5" customHeight="1" spans="1:49">
      <c r="A83" s="241">
        <f>A80+1</f>
        <v>23</v>
      </c>
      <c r="B83" s="242"/>
      <c r="C83" s="243" t="s">
        <v>4803</v>
      </c>
      <c r="D83" s="243" t="s">
        <v>144</v>
      </c>
      <c r="E83" s="244"/>
      <c r="F83" s="245" t="s">
        <v>136</v>
      </c>
      <c r="G83" s="243" t="s">
        <v>72</v>
      </c>
      <c r="H83" s="244"/>
      <c r="I83" s="219" t="s">
        <v>6</v>
      </c>
      <c r="J83" s="303" t="s">
        <v>4769</v>
      </c>
      <c r="K83" s="247">
        <f>WORKDAY(L83,-INDEX(L$12:L$15,MATCH($I83,$I$12:$I$15,0)))</f>
        <v>46153</v>
      </c>
      <c r="L83" s="247">
        <f>WORKDAY(M83,-INDEX(M$12:M$15,MATCH($I83,$I$12:$I$15,0)))</f>
        <v>46154</v>
      </c>
      <c r="M83" s="247">
        <f>WORKDAY(N83,-INDEX(N$12:N$15,MATCH($I83,$I$12:$I$15,0)))</f>
        <v>46161</v>
      </c>
      <c r="N83" s="247">
        <f>WORKDAY(O83,-INDEX(O$12:O$15,MATCH($I83,$I$12:$I$15,0)))</f>
        <v>46162</v>
      </c>
      <c r="O83" s="247">
        <f>WORKDAY(R83,-INDEX(R$12:R$15,MATCH($I83,$I$12:$I$15,0)))</f>
        <v>46169</v>
      </c>
      <c r="P83" s="248">
        <f>U83-L83</f>
        <v>76</v>
      </c>
      <c r="Q83" s="249"/>
      <c r="R83" s="247">
        <f>WORKDAY(S83,-INDEX(S$12:S$15,MATCH($I83,$I$12:$I$15,0)))</f>
        <v>46183</v>
      </c>
      <c r="S83" s="247">
        <f>WORKDAY(T83,-INDEX(T$12:T$15,MATCH($I83,$I$12:$I$15,0)))</f>
        <v>46211</v>
      </c>
      <c r="T83" s="247">
        <f>WORKDAY(U83,-INDEX(U$12:U$15,MATCH($I83,$I$12:$I$15,0)))</f>
        <v>46216</v>
      </c>
      <c r="U83" s="247">
        <f>X83-Y83</f>
        <v>46230</v>
      </c>
      <c r="V83" s="247">
        <f>WORKDAY(U83,INDEX(V$12:V$15,MATCH($I83,$I$12:$I$15,0)))</f>
        <v>46232</v>
      </c>
      <c r="W83" s="250">
        <f>Y83/7</f>
        <v>44</v>
      </c>
      <c r="X83" s="247">
        <f>Z83</f>
        <v>46538</v>
      </c>
      <c r="Y83" s="251">
        <f>44*7</f>
        <v>308</v>
      </c>
      <c r="Z83" s="253">
        <v>46538</v>
      </c>
      <c r="AA83" s="253">
        <v>46538</v>
      </c>
      <c r="AB83" s="254">
        <f>Z83-X84</f>
        <v>0</v>
      </c>
      <c r="AC83" s="306">
        <f>IF(ISERROR(LOOKUP(AC$16,$L83:$X83,#REF!)),0,(LOOKUP(AC$16,$L83:$X83,#REF!)))</f>
        <v>0</v>
      </c>
      <c r="AD83" s="307">
        <f>IF(ISERROR(LOOKUP(AD$16,$L83:$X83,#REF!)),0,(LOOKUP(AD$16,$L83:$X83,#REF!)))</f>
        <v>0</v>
      </c>
      <c r="AE83" s="307">
        <f>IF(ISERROR(LOOKUP(AE$16,$L83:$X83,#REF!)),0,(LOOKUP(AE$16,$L83:$X83,#REF!)))</f>
        <v>0</v>
      </c>
      <c r="AF83" s="307">
        <f>IF(ISERROR(LOOKUP(AF$16,$L83:$X83,#REF!)),0,(LOOKUP(AF$16,$L83:$X83,#REF!)))</f>
        <v>0</v>
      </c>
      <c r="AG83" s="307">
        <f>IF(ISERROR(LOOKUP(AG$16,$L83:$X83,#REF!)),0,(LOOKUP(AG$16,$L83:$X83,#REF!)))</f>
        <v>0</v>
      </c>
      <c r="AH83" s="307">
        <f>IF(ISERROR(LOOKUP(AH$16,$L83:$X83,#REF!)),0,(LOOKUP(AH$16,$L83:$X83,#REF!)))</f>
        <v>0</v>
      </c>
      <c r="AI83" s="307">
        <f>IF(ISERROR(LOOKUP(AI$16,$L83:$X83,#REF!)),0,(LOOKUP(AI$16,$L83:$X83,#REF!)))</f>
        <v>0</v>
      </c>
      <c r="AJ83" s="307">
        <f>IF(ISERROR(LOOKUP(AJ$16,$L83:$X83,#REF!)),0,(LOOKUP(AJ$16,$L83:$X83,#REF!)))</f>
        <v>0</v>
      </c>
      <c r="AK83" s="307">
        <f>IF(ISERROR(LOOKUP(AK$16,$L83:$X83,#REF!)),0,(LOOKUP(AK$16,$L83:$X83,#REF!)))</f>
        <v>0</v>
      </c>
      <c r="AL83" s="307">
        <f>IF(ISERROR(LOOKUP(AL$16,$L83:$X83,#REF!)),0,(LOOKUP(AL$16,$L83:$X83,#REF!)))</f>
        <v>0</v>
      </c>
      <c r="AM83" s="307">
        <f ca="1">IF(ISERROR(LOOKUP(AM$16,$L83:$X83,#REF!)),0,(LOOKUP(AM$16,$L83:$X83,#REF!)))</f>
        <v>0</v>
      </c>
      <c r="AP83" s="247" t="e">
        <f>WORKDAY(AQ83,-INDEX(AQ$12:AQ$15,MATCH($I83,$I$12:$I$15,0)),$AW$17:$AW$148)</f>
        <v>#REF!</v>
      </c>
      <c r="AQ83" s="247" t="e">
        <f>WORKDAY(U83,-INDEX(U$12:U$15,MATCH($I83,$I$12:$I$15,0)),$AW$17:$AW$148)</f>
        <v>#REF!</v>
      </c>
      <c r="AR83" s="247" t="e">
        <f>WORKDAY(U83,-INDEX(U$12:U$15,MATCH($I83,$I$12:$I$15,0)),$AW$17:$AW$148)</f>
        <v>#REF!</v>
      </c>
      <c r="AS83" s="257">
        <v>7</v>
      </c>
      <c r="AW83" s="308" t="e">
        <v>#REF!</v>
      </c>
    </row>
    <row r="84" s="198" customFormat="1" ht="22.5" customHeight="1" spans="1:49">
      <c r="A84" s="241"/>
      <c r="B84" s="259"/>
      <c r="C84" s="243" t="str">
        <f>C83</f>
        <v>RFQ-023</v>
      </c>
      <c r="D84" s="243" t="str">
        <f>D83</f>
        <v>Actuated Choke Valve</v>
      </c>
      <c r="E84" s="260"/>
      <c r="F84" s="261" t="str">
        <f>F83</f>
        <v>Instrument</v>
      </c>
      <c r="G84" s="243" t="str">
        <f>G83</f>
        <v>N</v>
      </c>
      <c r="H84" s="260"/>
      <c r="I84" s="243" t="str">
        <f>I83</f>
        <v>LA</v>
      </c>
      <c r="J84" s="309" t="s">
        <v>64</v>
      </c>
      <c r="K84" s="247">
        <f>K83</f>
        <v>46153</v>
      </c>
      <c r="L84" s="247">
        <f>WORKDAY(IF(K85="",K84,K85),INDEX(L$12:L$15,MATCH($I83,$I$12:$I$15,0)))</f>
        <v>46154</v>
      </c>
      <c r="M84" s="247">
        <f>WORKDAY(IF(L85="",L84,L85),INDEX(M$12:M$15,MATCH($I83,$I$12:$I$15,0)))</f>
        <v>46161</v>
      </c>
      <c r="N84" s="247">
        <f>WORKDAY(IF(M85="",M84,M85),INDEX(N$12:N$15,MATCH($I83,$I$12:$I$15,0)))</f>
        <v>46162</v>
      </c>
      <c r="O84" s="247">
        <f>WORKDAY(IF(N85="",N84,N85),INDEX(O$12:O$15,MATCH($I83,$I$12:$I$15,0)))</f>
        <v>46169</v>
      </c>
      <c r="P84" s="248"/>
      <c r="Q84" s="249"/>
      <c r="R84" s="247">
        <f>WORKDAY(IF(O85="",O84,O85),INDEX(R$12:R$15,MATCH($I83,$I$12:$I$15,0)))</f>
        <v>46183</v>
      </c>
      <c r="S84" s="247">
        <f>WORKDAY(IF(R85="",R84,R85),INDEX(S$12:S$15,MATCH($I83,$I$12:$I$15,0)))</f>
        <v>46211</v>
      </c>
      <c r="T84" s="247">
        <f>WORKDAY(IF(S85="",S84,S85),INDEX(T$12:T$15,MATCH($I83,$I$12:$I$15,0)))</f>
        <v>46216</v>
      </c>
      <c r="U84" s="247">
        <f>WORKDAY(IF(T85="",T84,T85),INDEX(U$12:U$15,MATCH($I83,$I$12:$I$15,0)))</f>
        <v>46230</v>
      </c>
      <c r="V84" s="247">
        <f>WORKDAY(IF(U85="",U84,U85),INDEX(V$12:V$15,MATCH($I83,$I$12:$I$15,0)))</f>
        <v>46232</v>
      </c>
      <c r="W84" s="250"/>
      <c r="X84" s="247">
        <f>U84+Y83</f>
        <v>46538</v>
      </c>
      <c r="Y84" s="251"/>
      <c r="Z84" s="253"/>
      <c r="AA84" s="253"/>
      <c r="AB84" s="254"/>
      <c r="AC84" s="306">
        <f>IF(ISERROR(LOOKUP(AC$16,$L84:$X84,#REF!)),0,(LOOKUP(AC$16,$L84:$X84,#REF!)))</f>
        <v>0</v>
      </c>
      <c r="AD84" s="307">
        <f>IF(ISERROR(LOOKUP(AD$16,$L84:$X84,#REF!)),0,(LOOKUP(AD$16,$L84:$X84,#REF!)))</f>
        <v>0</v>
      </c>
      <c r="AE84" s="307">
        <f>IF(ISERROR(LOOKUP(AE$16,$L84:$X84,#REF!)),0,(LOOKUP(AE$16,$L84:$X84,#REF!)))</f>
        <v>0</v>
      </c>
      <c r="AF84" s="307">
        <f>IF(ISERROR(LOOKUP(AF$16,$L84:$X84,#REF!)),0,(LOOKUP(AF$16,$L84:$X84,#REF!)))</f>
        <v>0</v>
      </c>
      <c r="AG84" s="307">
        <f>IF(ISERROR(LOOKUP(AG$16,$L84:$X84,#REF!)),0,(LOOKUP(AG$16,$L84:$X84,#REF!)))</f>
        <v>0</v>
      </c>
      <c r="AH84" s="307">
        <f>IF(ISERROR(LOOKUP(AH$16,$L84:$X84,#REF!)),0,(LOOKUP(AH$16,$L84:$X84,#REF!)))</f>
        <v>0</v>
      </c>
      <c r="AI84" s="307">
        <f>IF(ISERROR(LOOKUP(AI$16,$L84:$X84,#REF!)),0,(LOOKUP(AI$16,$L84:$X84,#REF!)))</f>
        <v>0</v>
      </c>
      <c r="AJ84" s="307">
        <f>IF(ISERROR(LOOKUP(AJ$16,$L84:$X84,#REF!)),0,(LOOKUP(AJ$16,$L84:$X84,#REF!)))</f>
        <v>0</v>
      </c>
      <c r="AK84" s="307">
        <f>IF(ISERROR(LOOKUP(AK$16,$L84:$X84,#REF!)),0,(LOOKUP(AK$16,$L84:$X84,#REF!)))</f>
        <v>0</v>
      </c>
      <c r="AL84" s="307">
        <f>IF(ISERROR(LOOKUP(AL$16,$L84:$X84,#REF!)),0,(LOOKUP(AL$16,$L84:$X84,#REF!)))</f>
        <v>0</v>
      </c>
      <c r="AM84" s="307">
        <f ca="1">IF(ISERROR(LOOKUP(AM$16,$L84:$X84,#REF!)),0,(LOOKUP(AM$16,$L84:$X84,#REF!)))</f>
        <v>0</v>
      </c>
      <c r="AP84" s="247" t="e">
        <f>WORKDAY(IF(T85="",T84,T85),INDEX(AP$12:AP$15,MATCH($I83,$I$12:$I$15,0)),$AW$17:$AW$148)</f>
        <v>#REF!</v>
      </c>
      <c r="AQ84" s="247" t="e">
        <f>WORKDAY(IF(AP85="",AP84,AP85),INDEX(AQ$12:AQ$15,MATCH($I83,$I$12:$I$15,0)),$AW$17:$AW$148)</f>
        <v>#REF!</v>
      </c>
      <c r="AR84" s="247" t="e">
        <f>WORKDAY(IF(AQ85="",AQ84,AQ85),INDEX(AR$12:AR$15,MATCH($I83,$I$12:$I$15,0)),$AW$17:$AW$148)</f>
        <v>#REF!</v>
      </c>
      <c r="AS84" s="257"/>
      <c r="AW84" s="308" t="e">
        <v>#REF!</v>
      </c>
    </row>
    <row r="85" s="198" customFormat="1" ht="15" customHeight="1" spans="1:49">
      <c r="A85" s="241"/>
      <c r="B85" s="262"/>
      <c r="C85" s="243" t="str">
        <f>C83</f>
        <v>RFQ-023</v>
      </c>
      <c r="D85" s="243" t="str">
        <f>D83</f>
        <v>Actuated Choke Valve</v>
      </c>
      <c r="E85" s="263"/>
      <c r="F85" s="264" t="str">
        <f>F83</f>
        <v>Instrument</v>
      </c>
      <c r="G85" s="243" t="str">
        <f>G83</f>
        <v>N</v>
      </c>
      <c r="H85" s="263"/>
      <c r="I85" s="243" t="str">
        <f>I83</f>
        <v>LA</v>
      </c>
      <c r="J85" s="303" t="s">
        <v>66</v>
      </c>
      <c r="K85" s="243"/>
      <c r="L85" s="243"/>
      <c r="M85" s="243"/>
      <c r="N85" s="243"/>
      <c r="O85" s="243"/>
      <c r="P85" s="265"/>
      <c r="Q85" s="266"/>
      <c r="R85" s="243"/>
      <c r="S85" s="243"/>
      <c r="T85" s="243"/>
      <c r="U85" s="243"/>
      <c r="V85" s="243"/>
      <c r="W85" s="267"/>
      <c r="X85" s="243"/>
      <c r="Y85" s="251"/>
      <c r="Z85" s="253"/>
      <c r="AA85" s="253"/>
      <c r="AB85" s="254"/>
      <c r="AC85" s="310">
        <f>IF(ISERROR(LOOKUP(AC$16,$L85:$X85,#REF!)),0,(LOOKUP(AC$16,$L85:$X85,#REF!)))</f>
        <v>0</v>
      </c>
      <c r="AD85" s="311">
        <f>IF(ISERROR(LOOKUP(AD$16,$L85:$X85,#REF!)),0,(LOOKUP(AD$16,$L85:$X85,#REF!)))</f>
        <v>0</v>
      </c>
      <c r="AE85" s="311">
        <f>IF(ISERROR(LOOKUP(AE$16,$L85:$X85,#REF!)),0,(LOOKUP(AE$16,$L85:$X85,#REF!)))</f>
        <v>0</v>
      </c>
      <c r="AF85" s="311">
        <f>IF(ISERROR(LOOKUP(AF$16,$L85:$X85,#REF!)),0,(LOOKUP(AF$16,$L85:$X85,#REF!)))</f>
        <v>0</v>
      </c>
      <c r="AG85" s="311">
        <f>IF(ISERROR(LOOKUP(AG$16,$L85:$X85,#REF!)),0,(LOOKUP(AG$16,$L85:$X85,#REF!)))</f>
        <v>0</v>
      </c>
      <c r="AH85" s="311">
        <f>IF(ISERROR(LOOKUP(AH$16,$L85:$X85,#REF!)),0,(LOOKUP(AH$16,$L85:$X85,#REF!)))</f>
        <v>0</v>
      </c>
      <c r="AI85" s="311">
        <f>IF(ISERROR(LOOKUP(AI$16,$L85:$X85,#REF!)),0,(LOOKUP(AI$16,$L85:$X85,#REF!)))</f>
        <v>0</v>
      </c>
      <c r="AJ85" s="311">
        <f>IF(ISERROR(LOOKUP(AJ$16,$L85:$X85,#REF!)),0,(LOOKUP(AJ$16,$L85:$X85,#REF!)))</f>
        <v>0</v>
      </c>
      <c r="AK85" s="311">
        <f>IF(ISERROR(LOOKUP(AK$16,$L85:$X85,#REF!)),0,(LOOKUP(AK$16,$L85:$X85,#REF!)))</f>
        <v>0</v>
      </c>
      <c r="AL85" s="311">
        <f>IF(ISERROR(LOOKUP(AL$16,$L85:$X85,#REF!)),0,(LOOKUP(AL$16,$L85:$X85,#REF!)))</f>
        <v>0</v>
      </c>
      <c r="AM85" s="311">
        <f ca="1">IF(ISERROR(LOOKUP(AM$16,$L85:$X85,#REF!)),0,(LOOKUP(AM$16,$L85:$X85,#REF!)))</f>
        <v>0</v>
      </c>
      <c r="AP85" s="243"/>
      <c r="AQ85" s="243"/>
      <c r="AR85" s="243"/>
      <c r="AS85" s="257"/>
      <c r="AW85" s="308" t="e">
        <v>#REF!</v>
      </c>
    </row>
    <row r="86" s="195" customFormat="1" ht="18" customHeight="1" spans="1:49">
      <c r="A86" s="241">
        <f>A83+1</f>
        <v>24</v>
      </c>
      <c r="B86" s="242"/>
      <c r="C86" s="243" t="s">
        <v>4804</v>
      </c>
      <c r="D86" s="243" t="s">
        <v>148</v>
      </c>
      <c r="E86" s="244"/>
      <c r="F86" s="302" t="s">
        <v>136</v>
      </c>
      <c r="G86" s="243" t="s">
        <v>72</v>
      </c>
      <c r="H86" s="244"/>
      <c r="I86" s="243" t="s">
        <v>7</v>
      </c>
      <c r="J86" s="303" t="s">
        <v>4769</v>
      </c>
      <c r="K86" s="247">
        <f>WORKDAY(L86,-INDEX(L$12:L$15,MATCH($I86,$I$12:$I$15,0)))</f>
        <v>46209</v>
      </c>
      <c r="L86" s="247">
        <f>WORKDAY(M86,-INDEX(M$12:M$15,MATCH($I86,$I$12:$I$15,0)))</f>
        <v>46210</v>
      </c>
      <c r="M86" s="247">
        <f>WORKDAY(N86,-INDEX(N$12:N$15,MATCH($I86,$I$12:$I$15,0)))</f>
        <v>46217</v>
      </c>
      <c r="N86" s="247">
        <f>WORKDAY(O86,-INDEX(O$12:O$15,MATCH($I86,$I$12:$I$15,0)))</f>
        <v>46218</v>
      </c>
      <c r="O86" s="247">
        <f>WORKDAY(R86,-INDEX(R$12:R$15,MATCH($I86,$I$12:$I$15,0)))</f>
        <v>46225</v>
      </c>
      <c r="P86" s="248">
        <f>U86-L86</f>
        <v>76</v>
      </c>
      <c r="Q86" s="249"/>
      <c r="R86" s="247">
        <f>WORKDAY(S86,-INDEX(S$12:S$15,MATCH($I86,$I$12:$I$15,0)))</f>
        <v>46239</v>
      </c>
      <c r="S86" s="247">
        <f>WORKDAY(T86,-INDEX(T$12:T$15,MATCH($I86,$I$12:$I$15,0)))</f>
        <v>46267</v>
      </c>
      <c r="T86" s="247">
        <f>WORKDAY(U86,-INDEX(U$12:U$15,MATCH($I86,$I$12:$I$15,0)))</f>
        <v>46272</v>
      </c>
      <c r="U86" s="247">
        <f>X86-Y86</f>
        <v>46286</v>
      </c>
      <c r="V86" s="247">
        <f>WORKDAY(U86,INDEX(V$12:V$15,MATCH($I86,$I$12:$I$15,0)))</f>
        <v>46288</v>
      </c>
      <c r="W86" s="250">
        <f>Y86/7</f>
        <v>36</v>
      </c>
      <c r="X86" s="247">
        <f>Z86</f>
        <v>46538</v>
      </c>
      <c r="Y86" s="251">
        <f>36*7</f>
        <v>252</v>
      </c>
      <c r="Z86" s="253">
        <v>46538</v>
      </c>
      <c r="AA86" s="253">
        <v>46538</v>
      </c>
      <c r="AB86" s="254">
        <f>Z86-X87</f>
        <v>0</v>
      </c>
      <c r="AC86" s="255">
        <f>IF(ISERROR(LOOKUP(AC$16,$L86:$X86,#REF!)),0,(LOOKUP(AC$16,$L86:$X86,#REF!)))</f>
        <v>0</v>
      </c>
      <c r="AD86" s="256">
        <f>IF(ISERROR(LOOKUP(AD$16,$L86:$X86,#REF!)),0,(LOOKUP(AD$16,$L86:$X86,#REF!)))</f>
        <v>0</v>
      </c>
      <c r="AE86" s="256">
        <f>IF(ISERROR(LOOKUP(AE$16,$L86:$X86,#REF!)),0,(LOOKUP(AE$16,$L86:$X86,#REF!)))</f>
        <v>0</v>
      </c>
      <c r="AF86" s="256">
        <f>IF(ISERROR(LOOKUP(AF$16,$L86:$X86,#REF!)),0,(LOOKUP(AF$16,$L86:$X86,#REF!)))</f>
        <v>0</v>
      </c>
      <c r="AG86" s="256">
        <f>IF(ISERROR(LOOKUP(AG$16,$L86:$X86,#REF!)),0,(LOOKUP(AG$16,$L86:$X86,#REF!)))</f>
        <v>0</v>
      </c>
      <c r="AH86" s="256">
        <f>IF(ISERROR(LOOKUP(AH$16,$L86:$X86,#REF!)),0,(LOOKUP(AH$16,$L86:$X86,#REF!)))</f>
        <v>0</v>
      </c>
      <c r="AI86" s="256">
        <f>IF(ISERROR(LOOKUP(AI$16,$L86:$X86,#REF!)),0,(LOOKUP(AI$16,$L86:$X86,#REF!)))</f>
        <v>0</v>
      </c>
      <c r="AJ86" s="256">
        <f>IF(ISERROR(LOOKUP(AJ$16,$L86:$X86,#REF!)),0,(LOOKUP(AJ$16,$L86:$X86,#REF!)))</f>
        <v>0</v>
      </c>
      <c r="AK86" s="256">
        <f>IF(ISERROR(LOOKUP(AK$16,$L86:$X86,#REF!)),0,(LOOKUP(AK$16,$L86:$X86,#REF!)))</f>
        <v>0</v>
      </c>
      <c r="AL86" s="256">
        <f>IF(ISERROR(LOOKUP(AL$16,$L86:$X86,#REF!)),0,(LOOKUP(AL$16,$L86:$X86,#REF!)))</f>
        <v>0</v>
      </c>
      <c r="AM86" s="256">
        <f ca="1">IF(ISERROR(LOOKUP(AM$16,$L86:$X86,#REF!)),0,(LOOKUP(AM$16,$L86:$X86,#REF!)))</f>
        <v>0</v>
      </c>
      <c r="AP86" s="247" t="e">
        <f>WORKDAY(AQ86,-INDEX(AQ$12:AQ$15,MATCH($I86,$I$12:$I$15,0)),$AW$17:$AW$148)</f>
        <v>#REF!</v>
      </c>
      <c r="AQ86" s="247" t="e">
        <f>WORKDAY(U86,-INDEX(U$12:U$15,MATCH($I86,$I$12:$I$15,0)),$AW$17:$AW$148)</f>
        <v>#REF!</v>
      </c>
      <c r="AR86" s="247" t="e">
        <f>WORKDAY(U86,-INDEX(U$12:U$15,MATCH($I86,$I$12:$I$15,0)),$AW$17:$AW$148)</f>
        <v>#REF!</v>
      </c>
      <c r="AS86" s="257">
        <v>7</v>
      </c>
      <c r="AW86" s="258" t="e">
        <v>#REF!</v>
      </c>
    </row>
    <row r="87" s="195" customFormat="1" ht="18" customHeight="1" spans="1:49">
      <c r="A87" s="241"/>
      <c r="B87" s="259"/>
      <c r="C87" s="243" t="str">
        <f>C86</f>
        <v>RFQ-024</v>
      </c>
      <c r="D87" s="243" t="str">
        <f>D86</f>
        <v>Actuated Ball Valve</v>
      </c>
      <c r="E87" s="260"/>
      <c r="F87" s="304" t="str">
        <f>F86</f>
        <v>Instrument</v>
      </c>
      <c r="G87" s="243" t="str">
        <f>G86</f>
        <v>N</v>
      </c>
      <c r="H87" s="260"/>
      <c r="I87" s="243" t="str">
        <f>I86</f>
        <v>LB</v>
      </c>
      <c r="J87" s="303" t="s">
        <v>64</v>
      </c>
      <c r="K87" s="247">
        <f>K86</f>
        <v>46209</v>
      </c>
      <c r="L87" s="247">
        <f>WORKDAY(IF(K88="",K87,K88),INDEX(L$12:L$15,MATCH($I86,$I$12:$I$15,0)))</f>
        <v>46210</v>
      </c>
      <c r="M87" s="247">
        <f>WORKDAY(IF(L88="",L87,L88),INDEX(M$12:M$15,MATCH($I86,$I$12:$I$15,0)))</f>
        <v>46217</v>
      </c>
      <c r="N87" s="247">
        <f>WORKDAY(IF(M88="",M87,M88),INDEX(N$12:N$15,MATCH($I86,$I$12:$I$15,0)))</f>
        <v>46218</v>
      </c>
      <c r="O87" s="247">
        <f>WORKDAY(IF(N88="",N87,N88),INDEX(O$12:O$15,MATCH($I86,$I$12:$I$15,0)))</f>
        <v>46225</v>
      </c>
      <c r="P87" s="248"/>
      <c r="Q87" s="249"/>
      <c r="R87" s="247">
        <f>WORKDAY(IF(O88="",O87,O88),INDEX(R$12:R$15,MATCH($I86,$I$12:$I$15,0)))</f>
        <v>46239</v>
      </c>
      <c r="S87" s="247">
        <f>WORKDAY(IF(R88="",R87,R88),INDEX(S$12:S$15,MATCH($I86,$I$12:$I$15,0)))</f>
        <v>46267</v>
      </c>
      <c r="T87" s="247">
        <f>WORKDAY(IF(S88="",S87,S88),INDEX(T$12:T$15,MATCH($I86,$I$12:$I$15,0)))</f>
        <v>46272</v>
      </c>
      <c r="U87" s="247">
        <f>WORKDAY(IF(T88="",T87,T88),INDEX(U$12:U$15,MATCH($I86,$I$12:$I$15,0)))</f>
        <v>46286</v>
      </c>
      <c r="V87" s="247">
        <f>WORKDAY(IF(U88="",U87,U88),INDEX(V$12:V$15,MATCH($I86,$I$12:$I$15,0)))</f>
        <v>46288</v>
      </c>
      <c r="W87" s="250"/>
      <c r="X87" s="247">
        <f>U87+Y86</f>
        <v>46538</v>
      </c>
      <c r="Y87" s="251"/>
      <c r="Z87" s="253"/>
      <c r="AA87" s="253"/>
      <c r="AB87" s="254"/>
      <c r="AC87" s="255">
        <f>IF(ISERROR(LOOKUP(AC$16,$L87:$X87,#REF!)),0,(LOOKUP(AC$16,$L87:$X87,#REF!)))</f>
        <v>0</v>
      </c>
      <c r="AD87" s="256">
        <f>IF(ISERROR(LOOKUP(AD$16,$L87:$X87,#REF!)),0,(LOOKUP(AD$16,$L87:$X87,#REF!)))</f>
        <v>0</v>
      </c>
      <c r="AE87" s="256">
        <f>IF(ISERROR(LOOKUP(AE$16,$L87:$X87,#REF!)),0,(LOOKUP(AE$16,$L87:$X87,#REF!)))</f>
        <v>0</v>
      </c>
      <c r="AF87" s="256">
        <f>IF(ISERROR(LOOKUP(AF$16,$L87:$X87,#REF!)),0,(LOOKUP(AF$16,$L87:$X87,#REF!)))</f>
        <v>0</v>
      </c>
      <c r="AG87" s="256">
        <f>IF(ISERROR(LOOKUP(AG$16,$L87:$X87,#REF!)),0,(LOOKUP(AG$16,$L87:$X87,#REF!)))</f>
        <v>0</v>
      </c>
      <c r="AH87" s="256">
        <f>IF(ISERROR(LOOKUP(AH$16,$L87:$X87,#REF!)),0,(LOOKUP(AH$16,$L87:$X87,#REF!)))</f>
        <v>0</v>
      </c>
      <c r="AI87" s="256">
        <f>IF(ISERROR(LOOKUP(AI$16,$L87:$X87,#REF!)),0,(LOOKUP(AI$16,$L87:$X87,#REF!)))</f>
        <v>0</v>
      </c>
      <c r="AJ87" s="256">
        <f>IF(ISERROR(LOOKUP(AJ$16,$L87:$X87,#REF!)),0,(LOOKUP(AJ$16,$L87:$X87,#REF!)))</f>
        <v>0</v>
      </c>
      <c r="AK87" s="256">
        <f>IF(ISERROR(LOOKUP(AK$16,$L87:$X87,#REF!)),0,(LOOKUP(AK$16,$L87:$X87,#REF!)))</f>
        <v>0</v>
      </c>
      <c r="AL87" s="256">
        <f>IF(ISERROR(LOOKUP(AL$16,$L87:$X87,#REF!)),0,(LOOKUP(AL$16,$L87:$X87,#REF!)))</f>
        <v>0</v>
      </c>
      <c r="AM87" s="256">
        <f ca="1">IF(ISERROR(LOOKUP(AM$16,$L87:$X87,#REF!)),0,(LOOKUP(AM$16,$L87:$X87,#REF!)))</f>
        <v>0</v>
      </c>
      <c r="AP87" s="247" t="e">
        <f>WORKDAY(IF(T88="",T87,T88),INDEX(AP$12:AP$15,MATCH($I86,$I$12:$I$15,0)),$AW$17:$AW$148)</f>
        <v>#REF!</v>
      </c>
      <c r="AQ87" s="247" t="e">
        <f>WORKDAY(IF(AP88="",AP87,AP88),INDEX(AQ$12:AQ$15,MATCH($I86,$I$12:$I$15,0)),$AW$17:$AW$148)</f>
        <v>#REF!</v>
      </c>
      <c r="AR87" s="247" t="e">
        <f>WORKDAY(IF(AQ88="",AQ87,AQ88),INDEX(AR$12:AR$15,MATCH($I86,$I$12:$I$15,0)),$AW$17:$AW$148)</f>
        <v>#REF!</v>
      </c>
      <c r="AS87" s="257"/>
      <c r="AW87" s="258" t="e">
        <v>#REF!</v>
      </c>
    </row>
    <row r="88" s="195" customFormat="1" ht="18" customHeight="1" spans="1:49">
      <c r="A88" s="241"/>
      <c r="B88" s="262"/>
      <c r="C88" s="243" t="str">
        <f>C86</f>
        <v>RFQ-024</v>
      </c>
      <c r="D88" s="243" t="str">
        <f>D86</f>
        <v>Actuated Ball Valve</v>
      </c>
      <c r="E88" s="263"/>
      <c r="F88" s="305" t="str">
        <f>F86</f>
        <v>Instrument</v>
      </c>
      <c r="G88" s="243" t="str">
        <f>G86</f>
        <v>N</v>
      </c>
      <c r="H88" s="263"/>
      <c r="I88" s="243" t="str">
        <f>I86</f>
        <v>LB</v>
      </c>
      <c r="J88" s="303" t="s">
        <v>66</v>
      </c>
      <c r="K88" s="243"/>
      <c r="L88" s="243"/>
      <c r="M88" s="243"/>
      <c r="N88" s="243"/>
      <c r="O88" s="243"/>
      <c r="P88" s="265"/>
      <c r="Q88" s="266"/>
      <c r="R88" s="243"/>
      <c r="S88" s="243"/>
      <c r="T88" s="243"/>
      <c r="U88" s="243"/>
      <c r="V88" s="243"/>
      <c r="W88" s="267"/>
      <c r="X88" s="243"/>
      <c r="Y88" s="251"/>
      <c r="Z88" s="253"/>
      <c r="AA88" s="253"/>
      <c r="AB88" s="254"/>
      <c r="AC88" s="268">
        <f>IF(ISERROR(LOOKUP(AC$16,$L88:$X88,#REF!)),0,(LOOKUP(AC$16,$L88:$X88,#REF!)))</f>
        <v>0</v>
      </c>
      <c r="AD88" s="269">
        <f>IF(ISERROR(LOOKUP(AD$16,$L88:$X88,#REF!)),0,(LOOKUP(AD$16,$L88:$X88,#REF!)))</f>
        <v>0</v>
      </c>
      <c r="AE88" s="269">
        <f>IF(ISERROR(LOOKUP(AE$16,$L88:$X88,#REF!)),0,(LOOKUP(AE$16,$L88:$X88,#REF!)))</f>
        <v>0</v>
      </c>
      <c r="AF88" s="269">
        <f>IF(ISERROR(LOOKUP(AF$16,$L88:$X88,#REF!)),0,(LOOKUP(AF$16,$L88:$X88,#REF!)))</f>
        <v>0</v>
      </c>
      <c r="AG88" s="269">
        <f>IF(ISERROR(LOOKUP(AG$16,$L88:$X88,#REF!)),0,(LOOKUP(AG$16,$L88:$X88,#REF!)))</f>
        <v>0</v>
      </c>
      <c r="AH88" s="269">
        <f>IF(ISERROR(LOOKUP(AH$16,$L88:$X88,#REF!)),0,(LOOKUP(AH$16,$L88:$X88,#REF!)))</f>
        <v>0</v>
      </c>
      <c r="AI88" s="269">
        <f>IF(ISERROR(LOOKUP(AI$16,$L88:$X88,#REF!)),0,(LOOKUP(AI$16,$L88:$X88,#REF!)))</f>
        <v>0</v>
      </c>
      <c r="AJ88" s="269">
        <f>IF(ISERROR(LOOKUP(AJ$16,$L88:$X88,#REF!)),0,(LOOKUP(AJ$16,$L88:$X88,#REF!)))</f>
        <v>0</v>
      </c>
      <c r="AK88" s="269">
        <f>IF(ISERROR(LOOKUP(AK$16,$L88:$X88,#REF!)),0,(LOOKUP(AK$16,$L88:$X88,#REF!)))</f>
        <v>0</v>
      </c>
      <c r="AL88" s="269">
        <f>IF(ISERROR(LOOKUP(AL$16,$L88:$X88,#REF!)),0,(LOOKUP(AL$16,$L88:$X88,#REF!)))</f>
        <v>0</v>
      </c>
      <c r="AM88" s="269">
        <f ca="1">IF(ISERROR(LOOKUP(AM$16,$L88:$X88,#REF!)),0,(LOOKUP(AM$16,$L88:$X88,#REF!)))</f>
        <v>0</v>
      </c>
      <c r="AP88" s="243"/>
      <c r="AQ88" s="243"/>
      <c r="AR88" s="243"/>
      <c r="AS88" s="257"/>
      <c r="AW88" s="258" t="e">
        <v>#REF!</v>
      </c>
    </row>
    <row r="89" s="195" customFormat="1" ht="18" customHeight="1" spans="1:49">
      <c r="A89" s="241">
        <f>A86+1</f>
        <v>25</v>
      </c>
      <c r="B89" s="242"/>
      <c r="C89" s="243" t="s">
        <v>4805</v>
      </c>
      <c r="D89" s="243" t="s">
        <v>152</v>
      </c>
      <c r="E89" s="244"/>
      <c r="F89" s="302" t="s">
        <v>136</v>
      </c>
      <c r="G89" s="243" t="str">
        <f>IF(_xlfn.XLOOKUP(C89,'[36]Before Award'!D:D,'[36]Before Award'!AV:AV,"N/A")="N/A","N","Y")</f>
        <v>N</v>
      </c>
      <c r="H89" s="244"/>
      <c r="I89" s="243" t="s">
        <v>7</v>
      </c>
      <c r="J89" s="303" t="s">
        <v>4769</v>
      </c>
      <c r="K89" s="247">
        <f>WORKDAY(L89,-INDEX(L$12:L$15,MATCH($I89,$I$12:$I$15,0)))</f>
        <v>46181</v>
      </c>
      <c r="L89" s="247">
        <f>WORKDAY(M89,-INDEX(M$12:M$15,MATCH($I89,$I$12:$I$15,0)))</f>
        <v>46182</v>
      </c>
      <c r="M89" s="247">
        <f>WORKDAY(N89,-INDEX(N$12:N$15,MATCH($I89,$I$12:$I$15,0)))</f>
        <v>46189</v>
      </c>
      <c r="N89" s="247">
        <f>WORKDAY(O89,-INDEX(O$12:O$15,MATCH($I89,$I$12:$I$15,0)))</f>
        <v>46190</v>
      </c>
      <c r="O89" s="247">
        <f>WORKDAY(R89,-INDEX(R$12:R$15,MATCH($I89,$I$12:$I$15,0)))</f>
        <v>46197</v>
      </c>
      <c r="P89" s="248">
        <f>U89-L89</f>
        <v>76</v>
      </c>
      <c r="Q89" s="249"/>
      <c r="R89" s="247">
        <f>WORKDAY(S89,-INDEX(S$12:S$15,MATCH($I89,$I$12:$I$15,0)))</f>
        <v>46211</v>
      </c>
      <c r="S89" s="247">
        <f>WORKDAY(T89,-INDEX(T$12:T$15,MATCH($I89,$I$12:$I$15,0)))</f>
        <v>46239</v>
      </c>
      <c r="T89" s="247">
        <f>WORKDAY(U89,-INDEX(U$12:U$15,MATCH($I89,$I$12:$I$15,0)))</f>
        <v>46244</v>
      </c>
      <c r="U89" s="247">
        <f>X89-Y89</f>
        <v>46258</v>
      </c>
      <c r="V89" s="247">
        <f>WORKDAY(U89,INDEX(V$12:V$15,MATCH($I89,$I$12:$I$15,0)))</f>
        <v>46260</v>
      </c>
      <c r="W89" s="250">
        <f>Y89/7</f>
        <v>40</v>
      </c>
      <c r="X89" s="247">
        <f>Z89</f>
        <v>46538</v>
      </c>
      <c r="Y89" s="251">
        <v>280</v>
      </c>
      <c r="Z89" s="253">
        <v>46538</v>
      </c>
      <c r="AA89" s="253">
        <v>46538</v>
      </c>
      <c r="AB89" s="254">
        <f>Z89-X90</f>
        <v>0</v>
      </c>
      <c r="AC89" s="255">
        <f>IF(ISERROR(LOOKUP(AC$16,$L89:$X89,#REF!)),0,(LOOKUP(AC$16,$L89:$X89,#REF!)))</f>
        <v>0</v>
      </c>
      <c r="AD89" s="256">
        <f>IF(ISERROR(LOOKUP(AD$16,$L89:$X89,#REF!)),0,(LOOKUP(AD$16,$L89:$X89,#REF!)))</f>
        <v>0</v>
      </c>
      <c r="AE89" s="256">
        <f>IF(ISERROR(LOOKUP(AE$16,$L89:$X89,#REF!)),0,(LOOKUP(AE$16,$L89:$X89,#REF!)))</f>
        <v>0</v>
      </c>
      <c r="AF89" s="256">
        <f>IF(ISERROR(LOOKUP(AF$16,$L89:$X89,#REF!)),0,(LOOKUP(AF$16,$L89:$X89,#REF!)))</f>
        <v>0</v>
      </c>
      <c r="AG89" s="256">
        <f>IF(ISERROR(LOOKUP(AG$16,$L89:$X89,#REF!)),0,(LOOKUP(AG$16,$L89:$X89,#REF!)))</f>
        <v>0</v>
      </c>
      <c r="AH89" s="256">
        <f>IF(ISERROR(LOOKUP(AH$16,$L89:$X89,#REF!)),0,(LOOKUP(AH$16,$L89:$X89,#REF!)))</f>
        <v>0</v>
      </c>
      <c r="AI89" s="256">
        <f>IF(ISERROR(LOOKUP(AI$16,$L89:$X89,#REF!)),0,(LOOKUP(AI$16,$L89:$X89,#REF!)))</f>
        <v>0</v>
      </c>
      <c r="AJ89" s="256">
        <f>IF(ISERROR(LOOKUP(AJ$16,$L89:$X89,#REF!)),0,(LOOKUP(AJ$16,$L89:$X89,#REF!)))</f>
        <v>0</v>
      </c>
      <c r="AK89" s="256">
        <f>IF(ISERROR(LOOKUP(AK$16,$L89:$X89,#REF!)),0,(LOOKUP(AK$16,$L89:$X89,#REF!)))</f>
        <v>0</v>
      </c>
      <c r="AL89" s="256">
        <f>IF(ISERROR(LOOKUP(AL$16,$L89:$X89,#REF!)),0,(LOOKUP(AL$16,$L89:$X89,#REF!)))</f>
        <v>0</v>
      </c>
      <c r="AM89" s="256">
        <f ca="1">IF(ISERROR(LOOKUP(AM$16,$L89:$X89,#REF!)),0,(LOOKUP(AM$16,$L89:$X89,#REF!)))</f>
        <v>0</v>
      </c>
      <c r="AP89" s="247" t="e">
        <f>WORKDAY(AQ89,-INDEX(AQ$12:AQ$15,MATCH($I89,$I$12:$I$15,0)),$AW$17:$AW$148)</f>
        <v>#REF!</v>
      </c>
      <c r="AQ89" s="247" t="e">
        <f>WORKDAY(U89,-INDEX(U$12:U$15,MATCH($I89,$I$12:$I$15,0)),$AW$17:$AW$148)</f>
        <v>#REF!</v>
      </c>
      <c r="AR89" s="247" t="e">
        <f>WORKDAY(U89,-INDEX(U$12:U$15,MATCH($I89,$I$12:$I$15,0)),$AW$17:$AW$148)</f>
        <v>#REF!</v>
      </c>
      <c r="AS89" s="257">
        <v>7</v>
      </c>
      <c r="AW89" s="258" t="e">
        <v>#REF!</v>
      </c>
    </row>
    <row r="90" s="195" customFormat="1" ht="18" customHeight="1" spans="1:49">
      <c r="A90" s="241"/>
      <c r="B90" s="259"/>
      <c r="C90" s="243" t="str">
        <f>C89</f>
        <v>RFQ-025</v>
      </c>
      <c r="D90" s="243" t="str">
        <f>D89</f>
        <v>Actuated Compact Ball Valve</v>
      </c>
      <c r="E90" s="260"/>
      <c r="F90" s="304" t="str">
        <f>F89</f>
        <v>Instrument</v>
      </c>
      <c r="G90" s="243" t="str">
        <f>G89</f>
        <v>N</v>
      </c>
      <c r="H90" s="260"/>
      <c r="I90" s="243" t="str">
        <f>I89</f>
        <v>LB</v>
      </c>
      <c r="J90" s="303" t="s">
        <v>64</v>
      </c>
      <c r="K90" s="247">
        <f>K89</f>
        <v>46181</v>
      </c>
      <c r="L90" s="247">
        <f>WORKDAY(IF(K91="",K90,K91),INDEX(L$12:L$15,MATCH($I89,$I$12:$I$15,0)))</f>
        <v>46182</v>
      </c>
      <c r="M90" s="247">
        <f>WORKDAY(IF(L91="",L90,L91),INDEX(M$12:M$15,MATCH($I89,$I$12:$I$15,0)))</f>
        <v>46189</v>
      </c>
      <c r="N90" s="247">
        <f>WORKDAY(IF(M91="",M90,M91),INDEX(N$12:N$15,MATCH($I89,$I$12:$I$15,0)))</f>
        <v>46190</v>
      </c>
      <c r="O90" s="247">
        <f>WORKDAY(IF(N91="",N90,N91),INDEX(O$12:O$15,MATCH($I89,$I$12:$I$15,0)))</f>
        <v>46197</v>
      </c>
      <c r="P90" s="248"/>
      <c r="Q90" s="249"/>
      <c r="R90" s="247">
        <f>WORKDAY(IF(O91="",O90,O91),INDEX(R$12:R$15,MATCH($I89,$I$12:$I$15,0)))</f>
        <v>46211</v>
      </c>
      <c r="S90" s="247">
        <f>WORKDAY(IF(R91="",R90,R91),INDEX(S$12:S$15,MATCH($I89,$I$12:$I$15,0)))</f>
        <v>46239</v>
      </c>
      <c r="T90" s="247">
        <f>WORKDAY(IF(S91="",S90,S91),INDEX(T$12:T$15,MATCH($I89,$I$12:$I$15,0)))</f>
        <v>46244</v>
      </c>
      <c r="U90" s="247">
        <f>WORKDAY(IF(T91="",T90,T91),INDEX(U$12:U$15,MATCH($I89,$I$12:$I$15,0)))</f>
        <v>46258</v>
      </c>
      <c r="V90" s="247">
        <f>WORKDAY(IF(U91="",U90,U91),INDEX(V$12:V$15,MATCH($I89,$I$12:$I$15,0)))</f>
        <v>46260</v>
      </c>
      <c r="W90" s="250"/>
      <c r="X90" s="247">
        <f>U90+Y89</f>
        <v>46538</v>
      </c>
      <c r="Y90" s="251"/>
      <c r="Z90" s="253"/>
      <c r="AA90" s="253"/>
      <c r="AB90" s="254"/>
      <c r="AC90" s="255">
        <f>IF(ISERROR(LOOKUP(AC$16,$L90:$X90,#REF!)),0,(LOOKUP(AC$16,$L90:$X90,#REF!)))</f>
        <v>0</v>
      </c>
      <c r="AD90" s="256">
        <f>IF(ISERROR(LOOKUP(AD$16,$L90:$X90,#REF!)),0,(LOOKUP(AD$16,$L90:$X90,#REF!)))</f>
        <v>0</v>
      </c>
      <c r="AE90" s="256">
        <f>IF(ISERROR(LOOKUP(AE$16,$L90:$X90,#REF!)),0,(LOOKUP(AE$16,$L90:$X90,#REF!)))</f>
        <v>0</v>
      </c>
      <c r="AF90" s="256">
        <f>IF(ISERROR(LOOKUP(AF$16,$L90:$X90,#REF!)),0,(LOOKUP(AF$16,$L90:$X90,#REF!)))</f>
        <v>0</v>
      </c>
      <c r="AG90" s="256">
        <f>IF(ISERROR(LOOKUP(AG$16,$L90:$X90,#REF!)),0,(LOOKUP(AG$16,$L90:$X90,#REF!)))</f>
        <v>0</v>
      </c>
      <c r="AH90" s="256">
        <f>IF(ISERROR(LOOKUP(AH$16,$L90:$X90,#REF!)),0,(LOOKUP(AH$16,$L90:$X90,#REF!)))</f>
        <v>0</v>
      </c>
      <c r="AI90" s="256">
        <f>IF(ISERROR(LOOKUP(AI$16,$L90:$X90,#REF!)),0,(LOOKUP(AI$16,$L90:$X90,#REF!)))</f>
        <v>0</v>
      </c>
      <c r="AJ90" s="256">
        <f>IF(ISERROR(LOOKUP(AJ$16,$L90:$X90,#REF!)),0,(LOOKUP(AJ$16,$L90:$X90,#REF!)))</f>
        <v>0</v>
      </c>
      <c r="AK90" s="256">
        <f>IF(ISERROR(LOOKUP(AK$16,$L90:$X90,#REF!)),0,(LOOKUP(AK$16,$L90:$X90,#REF!)))</f>
        <v>0</v>
      </c>
      <c r="AL90" s="256">
        <f>IF(ISERROR(LOOKUP(AL$16,$L90:$X90,#REF!)),0,(LOOKUP(AL$16,$L90:$X90,#REF!)))</f>
        <v>0</v>
      </c>
      <c r="AM90" s="256">
        <f ca="1">IF(ISERROR(LOOKUP(AM$16,$L90:$X90,#REF!)),0,(LOOKUP(AM$16,$L90:$X90,#REF!)))</f>
        <v>0</v>
      </c>
      <c r="AP90" s="247" t="e">
        <f>WORKDAY(IF(T91="",T90,T91),INDEX(AP$12:AP$15,MATCH($I89,$I$12:$I$15,0)),$AW$17:$AW$148)</f>
        <v>#REF!</v>
      </c>
      <c r="AQ90" s="247" t="e">
        <f>WORKDAY(IF(AP91="",AP90,AP91),INDEX(AQ$12:AQ$15,MATCH($I89,$I$12:$I$15,0)),$AW$17:$AW$148)</f>
        <v>#REF!</v>
      </c>
      <c r="AR90" s="247" t="e">
        <f>WORKDAY(IF(AQ91="",AQ90,AQ91),INDEX(AR$12:AR$15,MATCH($I89,$I$12:$I$15,0)),$AW$17:$AW$148)</f>
        <v>#REF!</v>
      </c>
      <c r="AS90" s="257"/>
      <c r="AW90" s="258" t="e">
        <v>#REF!</v>
      </c>
    </row>
    <row r="91" s="195" customFormat="1" ht="18" customHeight="1" spans="1:49">
      <c r="A91" s="241"/>
      <c r="B91" s="262"/>
      <c r="C91" s="243" t="str">
        <f>C89</f>
        <v>RFQ-025</v>
      </c>
      <c r="D91" s="243" t="str">
        <f>D89</f>
        <v>Actuated Compact Ball Valve</v>
      </c>
      <c r="E91" s="263"/>
      <c r="F91" s="305" t="str">
        <f>F89</f>
        <v>Instrument</v>
      </c>
      <c r="G91" s="243" t="str">
        <f>G89</f>
        <v>N</v>
      </c>
      <c r="H91" s="263"/>
      <c r="I91" s="243" t="str">
        <f>I89</f>
        <v>LB</v>
      </c>
      <c r="J91" s="303" t="s">
        <v>66</v>
      </c>
      <c r="K91" s="243"/>
      <c r="L91" s="243"/>
      <c r="M91" s="243"/>
      <c r="N91" s="243"/>
      <c r="O91" s="243"/>
      <c r="P91" s="265"/>
      <c r="Q91" s="266"/>
      <c r="R91" s="243"/>
      <c r="S91" s="243"/>
      <c r="T91" s="243"/>
      <c r="U91" s="243"/>
      <c r="V91" s="243"/>
      <c r="W91" s="267"/>
      <c r="X91" s="243"/>
      <c r="Y91" s="251"/>
      <c r="Z91" s="253"/>
      <c r="AA91" s="253"/>
      <c r="AB91" s="254"/>
      <c r="AC91" s="268">
        <f>IF(ISERROR(LOOKUP(AC$16,$L91:$X91,#REF!)),0,(LOOKUP(AC$16,$L91:$X91,#REF!)))</f>
        <v>0</v>
      </c>
      <c r="AD91" s="269">
        <f>IF(ISERROR(LOOKUP(AD$16,$L91:$X91,#REF!)),0,(LOOKUP(AD$16,$L91:$X91,#REF!)))</f>
        <v>0</v>
      </c>
      <c r="AE91" s="269">
        <f>IF(ISERROR(LOOKUP(AE$16,$L91:$X91,#REF!)),0,(LOOKUP(AE$16,$L91:$X91,#REF!)))</f>
        <v>0</v>
      </c>
      <c r="AF91" s="269">
        <f>IF(ISERROR(LOOKUP(AF$16,$L91:$X91,#REF!)),0,(LOOKUP(AF$16,$L91:$X91,#REF!)))</f>
        <v>0</v>
      </c>
      <c r="AG91" s="269">
        <f>IF(ISERROR(LOOKUP(AG$16,$L91:$X91,#REF!)),0,(LOOKUP(AG$16,$L91:$X91,#REF!)))</f>
        <v>0</v>
      </c>
      <c r="AH91" s="269">
        <f>IF(ISERROR(LOOKUP(AH$16,$L91:$X91,#REF!)),0,(LOOKUP(AH$16,$L91:$X91,#REF!)))</f>
        <v>0</v>
      </c>
      <c r="AI91" s="269">
        <f>IF(ISERROR(LOOKUP(AI$16,$L91:$X91,#REF!)),0,(LOOKUP(AI$16,$L91:$X91,#REF!)))</f>
        <v>0</v>
      </c>
      <c r="AJ91" s="269">
        <f>IF(ISERROR(LOOKUP(AJ$16,$L91:$X91,#REF!)),0,(LOOKUP(AJ$16,$L91:$X91,#REF!)))</f>
        <v>0</v>
      </c>
      <c r="AK91" s="269">
        <f>IF(ISERROR(LOOKUP(AK$16,$L91:$X91,#REF!)),0,(LOOKUP(AK$16,$L91:$X91,#REF!)))</f>
        <v>0</v>
      </c>
      <c r="AL91" s="269">
        <f>IF(ISERROR(LOOKUP(AL$16,$L91:$X91,#REF!)),0,(LOOKUP(AL$16,$L91:$X91,#REF!)))</f>
        <v>0</v>
      </c>
      <c r="AM91" s="269">
        <f ca="1">IF(ISERROR(LOOKUP(AM$16,$L91:$X91,#REF!)),0,(LOOKUP(AM$16,$L91:$X91,#REF!)))</f>
        <v>0</v>
      </c>
      <c r="AP91" s="243"/>
      <c r="AQ91" s="243"/>
      <c r="AR91" s="243"/>
      <c r="AS91" s="257"/>
      <c r="AW91" s="258" t="e">
        <v>#REF!</v>
      </c>
    </row>
    <row r="92" s="195" customFormat="1" ht="18" customHeight="1" spans="1:49">
      <c r="A92" s="241">
        <f>A89+1</f>
        <v>26</v>
      </c>
      <c r="B92" s="242"/>
      <c r="C92" s="243" t="s">
        <v>4806</v>
      </c>
      <c r="D92" s="243" t="s">
        <v>154</v>
      </c>
      <c r="E92" s="244"/>
      <c r="F92" s="302" t="s">
        <v>136</v>
      </c>
      <c r="G92" s="243" t="s">
        <v>72</v>
      </c>
      <c r="H92" s="244"/>
      <c r="I92" s="243" t="s">
        <v>7</v>
      </c>
      <c r="J92" s="303" t="s">
        <v>4769</v>
      </c>
      <c r="K92" s="247">
        <f>WORKDAY(L92,-INDEX(L$12:L$15,MATCH($I92,$I$12:$I$15,0)))</f>
        <v>46279</v>
      </c>
      <c r="L92" s="247">
        <f>WORKDAY(M92,-INDEX(M$12:M$15,MATCH($I92,$I$12:$I$15,0)))</f>
        <v>46280</v>
      </c>
      <c r="M92" s="247">
        <f>WORKDAY(N92,-INDEX(N$12:N$15,MATCH($I92,$I$12:$I$15,0)))</f>
        <v>46287</v>
      </c>
      <c r="N92" s="247">
        <f>WORKDAY(O92,-INDEX(O$12:O$15,MATCH($I92,$I$12:$I$15,0)))</f>
        <v>46288</v>
      </c>
      <c r="O92" s="247">
        <f>WORKDAY(R92,-INDEX(R$12:R$15,MATCH($I92,$I$12:$I$15,0)))</f>
        <v>46295</v>
      </c>
      <c r="P92" s="248">
        <f>U92-L92</f>
        <v>76</v>
      </c>
      <c r="Q92" s="249"/>
      <c r="R92" s="247">
        <f>WORKDAY(S92,-INDEX(S$12:S$15,MATCH($I92,$I$12:$I$15,0)))</f>
        <v>46309</v>
      </c>
      <c r="S92" s="247">
        <f>WORKDAY(T92,-INDEX(T$12:T$15,MATCH($I92,$I$12:$I$15,0)))</f>
        <v>46337</v>
      </c>
      <c r="T92" s="247">
        <f>WORKDAY(U92,-INDEX(U$12:U$15,MATCH($I92,$I$12:$I$15,0)))</f>
        <v>46342</v>
      </c>
      <c r="U92" s="247">
        <f>X92-Y92+2</f>
        <v>46356</v>
      </c>
      <c r="V92" s="247">
        <f>WORKDAY(U92,INDEX(V$12:V$15,MATCH($I92,$I$12:$I$15,0)))</f>
        <v>46358</v>
      </c>
      <c r="W92" s="250">
        <f>Y92/7</f>
        <v>26.2857142857143</v>
      </c>
      <c r="X92" s="247">
        <f>Z92</f>
        <v>46538</v>
      </c>
      <c r="Y92" s="251">
        <v>184</v>
      </c>
      <c r="Z92" s="253">
        <v>46538</v>
      </c>
      <c r="AA92" s="253">
        <v>46538</v>
      </c>
      <c r="AB92" s="254">
        <f>Z92-X93</f>
        <v>0</v>
      </c>
      <c r="AC92" s="255">
        <f>IF(ISERROR(LOOKUP(AC$16,$L92:$X92,#REF!)),0,(LOOKUP(AC$16,$L92:$X92,#REF!)))</f>
        <v>0</v>
      </c>
      <c r="AD92" s="256">
        <f>IF(ISERROR(LOOKUP(AD$16,$L92:$X92,#REF!)),0,(LOOKUP(AD$16,$L92:$X92,#REF!)))</f>
        <v>0</v>
      </c>
      <c r="AE92" s="256">
        <f>IF(ISERROR(LOOKUP(AE$16,$L92:$X92,#REF!)),0,(LOOKUP(AE$16,$L92:$X92,#REF!)))</f>
        <v>0</v>
      </c>
      <c r="AF92" s="256">
        <f>IF(ISERROR(LOOKUP(AF$16,$L92:$X92,#REF!)),0,(LOOKUP(AF$16,$L92:$X92,#REF!)))</f>
        <v>0</v>
      </c>
      <c r="AG92" s="256">
        <f>IF(ISERROR(LOOKUP(AG$16,$L92:$X92,#REF!)),0,(LOOKUP(AG$16,$L92:$X92,#REF!)))</f>
        <v>0</v>
      </c>
      <c r="AH92" s="256">
        <f>IF(ISERROR(LOOKUP(AH$16,$L92:$X92,#REF!)),0,(LOOKUP(AH$16,$L92:$X92,#REF!)))</f>
        <v>0</v>
      </c>
      <c r="AI92" s="256">
        <f>IF(ISERROR(LOOKUP(AI$16,$L92:$X92,#REF!)),0,(LOOKUP(AI$16,$L92:$X92,#REF!)))</f>
        <v>0</v>
      </c>
      <c r="AJ92" s="256">
        <f>IF(ISERROR(LOOKUP(AJ$16,$L92:$X92,#REF!)),0,(LOOKUP(AJ$16,$L92:$X92,#REF!)))</f>
        <v>0</v>
      </c>
      <c r="AK92" s="256">
        <f>IF(ISERROR(LOOKUP(AK$16,$L92:$X92,#REF!)),0,(LOOKUP(AK$16,$L92:$X92,#REF!)))</f>
        <v>0</v>
      </c>
      <c r="AL92" s="256">
        <f>IF(ISERROR(LOOKUP(AL$16,$L92:$X92,#REF!)),0,(LOOKUP(AL$16,$L92:$X92,#REF!)))</f>
        <v>0</v>
      </c>
      <c r="AM92" s="256">
        <f ca="1">IF(ISERROR(LOOKUP(AM$16,$L92:$X92,#REF!)),0,(LOOKUP(AM$16,$L92:$X92,#REF!)))</f>
        <v>0</v>
      </c>
      <c r="AP92" s="247" t="e">
        <f>WORKDAY(AQ92,-INDEX(AQ$12:AQ$15,MATCH($I92,$I$12:$I$15,0)),$AW$17:$AW$148)</f>
        <v>#REF!</v>
      </c>
      <c r="AQ92" s="247" t="e">
        <f>WORKDAY(U92,-INDEX(U$12:U$15,MATCH($I92,$I$12:$I$15,0)),$AW$17:$AW$148)</f>
        <v>#REF!</v>
      </c>
      <c r="AR92" s="247" t="e">
        <f>WORKDAY(U92,-INDEX(U$12:U$15,MATCH($I92,$I$12:$I$15,0)),$AW$17:$AW$148)</f>
        <v>#REF!</v>
      </c>
      <c r="AS92" s="257">
        <v>7</v>
      </c>
      <c r="AW92" s="258" t="e">
        <v>#REF!</v>
      </c>
    </row>
    <row r="93" s="195" customFormat="1" ht="18" customHeight="1" spans="1:49">
      <c r="A93" s="241"/>
      <c r="B93" s="259"/>
      <c r="C93" s="243" t="str">
        <f>C92</f>
        <v>RFQ-026</v>
      </c>
      <c r="D93" s="243" t="str">
        <f>D92</f>
        <v>Safety Relief Valves</v>
      </c>
      <c r="E93" s="260"/>
      <c r="F93" s="304" t="str">
        <f>F92</f>
        <v>Instrument</v>
      </c>
      <c r="G93" s="243" t="str">
        <f>G92</f>
        <v>N</v>
      </c>
      <c r="H93" s="260"/>
      <c r="I93" s="243" t="str">
        <f>I92</f>
        <v>LB</v>
      </c>
      <c r="J93" s="303" t="s">
        <v>64</v>
      </c>
      <c r="K93" s="247">
        <f>K92</f>
        <v>46279</v>
      </c>
      <c r="L93" s="247">
        <f>WORKDAY(IF(K94="",K93,K94),INDEX(L$12:L$15,MATCH($I92,$I$12:$I$15,0)))</f>
        <v>46280</v>
      </c>
      <c r="M93" s="247">
        <f>WORKDAY(IF(L94="",L93,L94),INDEX(M$12:M$15,MATCH($I92,$I$12:$I$15,0)))</f>
        <v>46287</v>
      </c>
      <c r="N93" s="247">
        <f>WORKDAY(IF(M94="",M93,M94),INDEX(N$12:N$15,MATCH($I92,$I$12:$I$15,0)))</f>
        <v>46288</v>
      </c>
      <c r="O93" s="247">
        <f>WORKDAY(IF(N94="",N93,N94),INDEX(O$12:O$15,MATCH($I92,$I$12:$I$15,0)))</f>
        <v>46295</v>
      </c>
      <c r="P93" s="248"/>
      <c r="Q93" s="249"/>
      <c r="R93" s="247">
        <f>WORKDAY(IF(O94="",O93,O94),INDEX(R$12:R$15,MATCH($I92,$I$12:$I$15,0)))</f>
        <v>46309</v>
      </c>
      <c r="S93" s="247">
        <f>WORKDAY(IF(R94="",R93,R94),INDEX(S$12:S$15,MATCH($I92,$I$12:$I$15,0)))</f>
        <v>46337</v>
      </c>
      <c r="T93" s="247">
        <f>WORKDAY(IF(S94="",S93,S94),INDEX(T$12:T$15,MATCH($I92,$I$12:$I$15,0)))</f>
        <v>46342</v>
      </c>
      <c r="U93" s="247">
        <f>WORKDAY(IF(T94="",T93,T94),INDEX(U$12:U$15,MATCH($I92,$I$12:$I$15,0)))</f>
        <v>46356</v>
      </c>
      <c r="V93" s="247">
        <f>WORKDAY(IF(U94="",U93,U94),INDEX(V$12:V$15,MATCH($I92,$I$12:$I$15,0)))</f>
        <v>46358</v>
      </c>
      <c r="W93" s="250"/>
      <c r="X93" s="247">
        <f>U93+Y92-2</f>
        <v>46538</v>
      </c>
      <c r="Y93" s="251"/>
      <c r="Z93" s="253"/>
      <c r="AA93" s="253"/>
      <c r="AB93" s="254"/>
      <c r="AC93" s="255">
        <f>IF(ISERROR(LOOKUP(AC$16,$L93:$X93,#REF!)),0,(LOOKUP(AC$16,$L93:$X93,#REF!)))</f>
        <v>0</v>
      </c>
      <c r="AD93" s="256">
        <f>IF(ISERROR(LOOKUP(AD$16,$L93:$X93,#REF!)),0,(LOOKUP(AD$16,$L93:$X93,#REF!)))</f>
        <v>0</v>
      </c>
      <c r="AE93" s="256">
        <f>IF(ISERROR(LOOKUP(AE$16,$L93:$X93,#REF!)),0,(LOOKUP(AE$16,$L93:$X93,#REF!)))</f>
        <v>0</v>
      </c>
      <c r="AF93" s="256">
        <f>IF(ISERROR(LOOKUP(AF$16,$L93:$X93,#REF!)),0,(LOOKUP(AF$16,$L93:$X93,#REF!)))</f>
        <v>0</v>
      </c>
      <c r="AG93" s="256">
        <f>IF(ISERROR(LOOKUP(AG$16,$L93:$X93,#REF!)),0,(LOOKUP(AG$16,$L93:$X93,#REF!)))</f>
        <v>0</v>
      </c>
      <c r="AH93" s="256">
        <f>IF(ISERROR(LOOKUP(AH$16,$L93:$X93,#REF!)),0,(LOOKUP(AH$16,$L93:$X93,#REF!)))</f>
        <v>0</v>
      </c>
      <c r="AI93" s="256">
        <f>IF(ISERROR(LOOKUP(AI$16,$L93:$X93,#REF!)),0,(LOOKUP(AI$16,$L93:$X93,#REF!)))</f>
        <v>0</v>
      </c>
      <c r="AJ93" s="256">
        <f>IF(ISERROR(LOOKUP(AJ$16,$L93:$X93,#REF!)),0,(LOOKUP(AJ$16,$L93:$X93,#REF!)))</f>
        <v>0</v>
      </c>
      <c r="AK93" s="256">
        <f>IF(ISERROR(LOOKUP(AK$16,$L93:$X93,#REF!)),0,(LOOKUP(AK$16,$L93:$X93,#REF!)))</f>
        <v>0</v>
      </c>
      <c r="AL93" s="256">
        <f>IF(ISERROR(LOOKUP(AL$16,$L93:$X93,#REF!)),0,(LOOKUP(AL$16,$L93:$X93,#REF!)))</f>
        <v>0</v>
      </c>
      <c r="AM93" s="256">
        <f ca="1">IF(ISERROR(LOOKUP(AM$16,$L93:$X93,#REF!)),0,(LOOKUP(AM$16,$L93:$X93,#REF!)))</f>
        <v>0</v>
      </c>
      <c r="AP93" s="247" t="e">
        <f>WORKDAY(IF(T94="",T93,T94),INDEX(AP$12:AP$15,MATCH($I92,$I$12:$I$15,0)),$AW$17:$AW$148)</f>
        <v>#REF!</v>
      </c>
      <c r="AQ93" s="247" t="e">
        <f>WORKDAY(IF(AP94="",AP93,AP94),INDEX(AQ$12:AQ$15,MATCH($I92,$I$12:$I$15,0)),$AW$17:$AW$148)</f>
        <v>#REF!</v>
      </c>
      <c r="AR93" s="247" t="e">
        <f>WORKDAY(IF(AQ94="",AQ93,AQ94),INDEX(AR$12:AR$15,MATCH($I92,$I$12:$I$15,0)),$AW$17:$AW$148)</f>
        <v>#REF!</v>
      </c>
      <c r="AS93" s="257"/>
      <c r="AW93" s="258" t="e">
        <v>#REF!</v>
      </c>
    </row>
    <row r="94" s="195" customFormat="1" ht="18" customHeight="1" spans="1:49">
      <c r="A94" s="241"/>
      <c r="B94" s="262"/>
      <c r="C94" s="243" t="str">
        <f>C92</f>
        <v>RFQ-026</v>
      </c>
      <c r="D94" s="243" t="str">
        <f>D92</f>
        <v>Safety Relief Valves</v>
      </c>
      <c r="E94" s="263"/>
      <c r="F94" s="305" t="str">
        <f>F92</f>
        <v>Instrument</v>
      </c>
      <c r="G94" s="243" t="str">
        <f>G92</f>
        <v>N</v>
      </c>
      <c r="H94" s="263"/>
      <c r="I94" s="243" t="str">
        <f>I92</f>
        <v>LB</v>
      </c>
      <c r="J94" s="303" t="s">
        <v>66</v>
      </c>
      <c r="K94" s="243"/>
      <c r="L94" s="243"/>
      <c r="M94" s="243"/>
      <c r="N94" s="243"/>
      <c r="O94" s="243"/>
      <c r="P94" s="265"/>
      <c r="Q94" s="266"/>
      <c r="R94" s="243"/>
      <c r="S94" s="243"/>
      <c r="T94" s="243"/>
      <c r="U94" s="243"/>
      <c r="V94" s="243"/>
      <c r="W94" s="267"/>
      <c r="X94" s="243"/>
      <c r="Y94" s="251"/>
      <c r="Z94" s="253"/>
      <c r="AA94" s="253"/>
      <c r="AB94" s="254"/>
      <c r="AC94" s="268">
        <f>IF(ISERROR(LOOKUP(AC$16,$L94:$X94,#REF!)),0,(LOOKUP(AC$16,$L94:$X94,#REF!)))</f>
        <v>0</v>
      </c>
      <c r="AD94" s="269">
        <f>IF(ISERROR(LOOKUP(AD$16,$L94:$X94,#REF!)),0,(LOOKUP(AD$16,$L94:$X94,#REF!)))</f>
        <v>0</v>
      </c>
      <c r="AE94" s="269">
        <f>IF(ISERROR(LOOKUP(AE$16,$L94:$X94,#REF!)),0,(LOOKUP(AE$16,$L94:$X94,#REF!)))</f>
        <v>0</v>
      </c>
      <c r="AF94" s="269">
        <f>IF(ISERROR(LOOKUP(AF$16,$L94:$X94,#REF!)),0,(LOOKUP(AF$16,$L94:$X94,#REF!)))</f>
        <v>0</v>
      </c>
      <c r="AG94" s="269">
        <f>IF(ISERROR(LOOKUP(AG$16,$L94:$X94,#REF!)),0,(LOOKUP(AG$16,$L94:$X94,#REF!)))</f>
        <v>0</v>
      </c>
      <c r="AH94" s="269">
        <f>IF(ISERROR(LOOKUP(AH$16,$L94:$X94,#REF!)),0,(LOOKUP(AH$16,$L94:$X94,#REF!)))</f>
        <v>0</v>
      </c>
      <c r="AI94" s="269">
        <f>IF(ISERROR(LOOKUP(AI$16,$L94:$X94,#REF!)),0,(LOOKUP(AI$16,$L94:$X94,#REF!)))</f>
        <v>0</v>
      </c>
      <c r="AJ94" s="269">
        <f>IF(ISERROR(LOOKUP(AJ$16,$L94:$X94,#REF!)),0,(LOOKUP(AJ$16,$L94:$X94,#REF!)))</f>
        <v>0</v>
      </c>
      <c r="AK94" s="269">
        <f>IF(ISERROR(LOOKUP(AK$16,$L94:$X94,#REF!)),0,(LOOKUP(AK$16,$L94:$X94,#REF!)))</f>
        <v>0</v>
      </c>
      <c r="AL94" s="269">
        <f>IF(ISERROR(LOOKUP(AL$16,$L94:$X94,#REF!)),0,(LOOKUP(AL$16,$L94:$X94,#REF!)))</f>
        <v>0</v>
      </c>
      <c r="AM94" s="269">
        <f ca="1">IF(ISERROR(LOOKUP(AM$16,$L94:$X94,#REF!)),0,(LOOKUP(AM$16,$L94:$X94,#REF!)))</f>
        <v>0</v>
      </c>
      <c r="AP94" s="243"/>
      <c r="AQ94" s="243"/>
      <c r="AR94" s="243"/>
      <c r="AS94" s="257"/>
      <c r="AW94" s="258" t="e">
        <v>#REF!</v>
      </c>
    </row>
    <row r="95" s="195" customFormat="1" ht="18" customHeight="1" spans="1:49">
      <c r="A95" s="241">
        <f>A92+1</f>
        <v>27</v>
      </c>
      <c r="B95" s="242"/>
      <c r="C95" s="243" t="s">
        <v>4807</v>
      </c>
      <c r="D95" s="243" t="s">
        <v>158</v>
      </c>
      <c r="E95" s="244"/>
      <c r="F95" s="302" t="s">
        <v>136</v>
      </c>
      <c r="G95" s="243" t="s">
        <v>72</v>
      </c>
      <c r="H95" s="244"/>
      <c r="I95" s="243" t="s">
        <v>8</v>
      </c>
      <c r="J95" s="303" t="s">
        <v>4769</v>
      </c>
      <c r="K95" s="247">
        <f>WORKDAY(L95,-INDEX(L$12:L$15,MATCH($I95,$I$12:$I$15,0)))</f>
        <v>46296</v>
      </c>
      <c r="L95" s="247">
        <f>WORKDAY(M95,-INDEX(M$12:M$15,MATCH($I95,$I$12:$I$15,0)))</f>
        <v>46301</v>
      </c>
      <c r="M95" s="247">
        <f>WORKDAY(N95,-INDEX(N$12:N$15,MATCH($I95,$I$12:$I$15,0)))</f>
        <v>46315</v>
      </c>
      <c r="N95" s="247">
        <f>WORKDAY(O95,-INDEX(O$12:O$15,MATCH($I95,$I$12:$I$15,0)))</f>
        <v>46316</v>
      </c>
      <c r="O95" s="247">
        <f>WORKDAY(R95,-INDEX(R$12:R$15,MATCH($I95,$I$12:$I$15,0)))</f>
        <v>46330</v>
      </c>
      <c r="P95" s="248">
        <f>U95-L95</f>
        <v>92</v>
      </c>
      <c r="Q95" s="249"/>
      <c r="R95" s="247">
        <f>WORKDAY(S95,-INDEX(S$12:S$15,MATCH($I95,$I$12:$I$15,0)))</f>
        <v>46344</v>
      </c>
      <c r="S95" s="247">
        <f>WORKDAY(T95,-INDEX(T$12:T$15,MATCH($I95,$I$12:$I$15,0)))</f>
        <v>46365</v>
      </c>
      <c r="T95" s="247">
        <f>WORKDAY(U95,-INDEX(U$12:U$15,MATCH($I95,$I$12:$I$15,0)))</f>
        <v>46379</v>
      </c>
      <c r="U95" s="247">
        <f>X95-Y95</f>
        <v>46393</v>
      </c>
      <c r="V95" s="247">
        <f>WORKDAY(U95,INDEX(V$12:V$15,MATCH($I95,$I$12:$I$15,0)))</f>
        <v>46395</v>
      </c>
      <c r="W95" s="250">
        <f>Y95/7</f>
        <v>20.7142857142857</v>
      </c>
      <c r="X95" s="247">
        <f>Z95</f>
        <v>46538</v>
      </c>
      <c r="Y95" s="251">
        <v>145</v>
      </c>
      <c r="Z95" s="253">
        <v>46538</v>
      </c>
      <c r="AA95" s="253">
        <v>46538</v>
      </c>
      <c r="AB95" s="254">
        <f>Z95-X96</f>
        <v>0</v>
      </c>
      <c r="AC95" s="255">
        <f>IF(ISERROR(LOOKUP(AC$16,$L95:$X95,#REF!)),0,(LOOKUP(AC$16,$L95:$X95,#REF!)))</f>
        <v>0</v>
      </c>
      <c r="AD95" s="256">
        <f>IF(ISERROR(LOOKUP(AD$16,$L95:$X95,#REF!)),0,(LOOKUP(AD$16,$L95:$X95,#REF!)))</f>
        <v>0</v>
      </c>
      <c r="AE95" s="256">
        <f>IF(ISERROR(LOOKUP(AE$16,$L95:$X95,#REF!)),0,(LOOKUP(AE$16,$L95:$X95,#REF!)))</f>
        <v>0</v>
      </c>
      <c r="AF95" s="256">
        <f>IF(ISERROR(LOOKUP(AF$16,$L95:$X95,#REF!)),0,(LOOKUP(AF$16,$L95:$X95,#REF!)))</f>
        <v>0</v>
      </c>
      <c r="AG95" s="256">
        <f>IF(ISERROR(LOOKUP(AG$16,$L95:$X95,#REF!)),0,(LOOKUP(AG$16,$L95:$X95,#REF!)))</f>
        <v>0</v>
      </c>
      <c r="AH95" s="256">
        <f>IF(ISERROR(LOOKUP(AH$16,$L95:$X95,#REF!)),0,(LOOKUP(AH$16,$L95:$X95,#REF!)))</f>
        <v>0</v>
      </c>
      <c r="AI95" s="256">
        <f>IF(ISERROR(LOOKUP(AI$16,$L95:$X95,#REF!)),0,(LOOKUP(AI$16,$L95:$X95,#REF!)))</f>
        <v>0</v>
      </c>
      <c r="AJ95" s="256">
        <f>IF(ISERROR(LOOKUP(AJ$16,$L95:$X95,#REF!)),0,(LOOKUP(AJ$16,$L95:$X95,#REF!)))</f>
        <v>0</v>
      </c>
      <c r="AK95" s="256">
        <f>IF(ISERROR(LOOKUP(AK$16,$L95:$X95,#REF!)),0,(LOOKUP(AK$16,$L95:$X95,#REF!)))</f>
        <v>0</v>
      </c>
      <c r="AL95" s="256">
        <f>IF(ISERROR(LOOKUP(AL$16,$L95:$X95,#REF!)),0,(LOOKUP(AL$16,$L95:$X95,#REF!)))</f>
        <v>0</v>
      </c>
      <c r="AM95" s="256">
        <f ca="1">IF(ISERROR(LOOKUP(AM$16,$L95:$X95,#REF!)),0,(LOOKUP(AM$16,$L95:$X95,#REF!)))</f>
        <v>0</v>
      </c>
      <c r="AP95" s="247" t="e">
        <f>WORKDAY(AQ95,-INDEX(AQ$12:AQ$15,MATCH($I95,$I$12:$I$15,0)),$AW$17:$AW$148)</f>
        <v>#REF!</v>
      </c>
      <c r="AQ95" s="247" t="e">
        <f>WORKDAY(U95,-INDEX(U$12:U$15,MATCH($I95,$I$12:$I$15,0)),$AW$17:$AW$148)</f>
        <v>#REF!</v>
      </c>
      <c r="AR95" s="247" t="e">
        <f>WORKDAY(U95,-INDEX(U$12:U$15,MATCH($I95,$I$12:$I$15,0)),$AW$17:$AW$148)</f>
        <v>#REF!</v>
      </c>
      <c r="AS95" s="257">
        <v>7</v>
      </c>
      <c r="AW95" s="258" t="e">
        <v>#REF!</v>
      </c>
    </row>
    <row r="96" s="195" customFormat="1" ht="18" customHeight="1" spans="1:49">
      <c r="A96" s="241"/>
      <c r="B96" s="259"/>
      <c r="C96" s="243" t="str">
        <f>C95</f>
        <v>RFQ-027</v>
      </c>
      <c r="D96" s="243" t="str">
        <f>D95</f>
        <v>Coriolis Flow Meters </v>
      </c>
      <c r="E96" s="260"/>
      <c r="F96" s="304" t="str">
        <f>F95</f>
        <v>Instrument</v>
      </c>
      <c r="G96" s="243" t="str">
        <f>G95</f>
        <v>N</v>
      </c>
      <c r="H96" s="260"/>
      <c r="I96" s="243" t="str">
        <f>I95</f>
        <v>LC</v>
      </c>
      <c r="J96" s="303" t="s">
        <v>64</v>
      </c>
      <c r="K96" s="247">
        <f>K95</f>
        <v>46296</v>
      </c>
      <c r="L96" s="247">
        <f>WORKDAY(IF(K97="",K96,K97),INDEX(L$12:L$15,MATCH($I95,$I$12:$I$15,0)))</f>
        <v>46301</v>
      </c>
      <c r="M96" s="247">
        <f>WORKDAY(IF(L97="",L96,L97),INDEX(M$12:M$15,MATCH($I95,$I$12:$I$15,0)))</f>
        <v>46315</v>
      </c>
      <c r="N96" s="247">
        <f>WORKDAY(IF(M97="",M96,M97),INDEX(N$12:N$15,MATCH($I95,$I$12:$I$15,0)))</f>
        <v>46316</v>
      </c>
      <c r="O96" s="247">
        <f>WORKDAY(IF(N97="",N96,N97),INDEX(O$12:O$15,MATCH($I95,$I$12:$I$15,0)))</f>
        <v>46330</v>
      </c>
      <c r="P96" s="248"/>
      <c r="Q96" s="249"/>
      <c r="R96" s="247">
        <f>WORKDAY(IF(O97="",O96,O97),INDEX(R$12:R$15,MATCH($I95,$I$12:$I$15,0)))</f>
        <v>46344</v>
      </c>
      <c r="S96" s="247">
        <f>WORKDAY(IF(R97="",R96,R97),INDEX(S$12:S$15,MATCH($I95,$I$12:$I$15,0)))</f>
        <v>46365</v>
      </c>
      <c r="T96" s="247">
        <f>WORKDAY(IF(S97="",S96,S97),INDEX(T$12:T$15,MATCH($I95,$I$12:$I$15,0)))</f>
        <v>46379</v>
      </c>
      <c r="U96" s="247">
        <f>WORKDAY(IF(T97="",T96,T97),INDEX(U$12:U$15,MATCH($I95,$I$12:$I$15,0)))</f>
        <v>46393</v>
      </c>
      <c r="V96" s="247">
        <f>WORKDAY(IF(U97="",U96,U97),INDEX(V$12:V$15,MATCH($I95,$I$12:$I$15,0)))</f>
        <v>46395</v>
      </c>
      <c r="W96" s="250"/>
      <c r="X96" s="247">
        <f>U96+Y95</f>
        <v>46538</v>
      </c>
      <c r="Y96" s="251"/>
      <c r="Z96" s="253"/>
      <c r="AA96" s="253"/>
      <c r="AB96" s="254"/>
      <c r="AC96" s="255">
        <f>IF(ISERROR(LOOKUP(AC$16,$L96:$X96,#REF!)),0,(LOOKUP(AC$16,$L96:$X96,#REF!)))</f>
        <v>0</v>
      </c>
      <c r="AD96" s="256">
        <f>IF(ISERROR(LOOKUP(AD$16,$L96:$X96,#REF!)),0,(LOOKUP(AD$16,$L96:$X96,#REF!)))</f>
        <v>0</v>
      </c>
      <c r="AE96" s="256">
        <f>IF(ISERROR(LOOKUP(AE$16,$L96:$X96,#REF!)),0,(LOOKUP(AE$16,$L96:$X96,#REF!)))</f>
        <v>0</v>
      </c>
      <c r="AF96" s="256">
        <f>IF(ISERROR(LOOKUP(AF$16,$L96:$X96,#REF!)),0,(LOOKUP(AF$16,$L96:$X96,#REF!)))</f>
        <v>0</v>
      </c>
      <c r="AG96" s="256">
        <f>IF(ISERROR(LOOKUP(AG$16,$L96:$X96,#REF!)),0,(LOOKUP(AG$16,$L96:$X96,#REF!)))</f>
        <v>0</v>
      </c>
      <c r="AH96" s="256">
        <f>IF(ISERROR(LOOKUP(AH$16,$L96:$X96,#REF!)),0,(LOOKUP(AH$16,$L96:$X96,#REF!)))</f>
        <v>0</v>
      </c>
      <c r="AI96" s="256">
        <f>IF(ISERROR(LOOKUP(AI$16,$L96:$X96,#REF!)),0,(LOOKUP(AI$16,$L96:$X96,#REF!)))</f>
        <v>0</v>
      </c>
      <c r="AJ96" s="256">
        <f>IF(ISERROR(LOOKUP(AJ$16,$L96:$X96,#REF!)),0,(LOOKUP(AJ$16,$L96:$X96,#REF!)))</f>
        <v>0</v>
      </c>
      <c r="AK96" s="256">
        <f>IF(ISERROR(LOOKUP(AK$16,$L96:$X96,#REF!)),0,(LOOKUP(AK$16,$L96:$X96,#REF!)))</f>
        <v>0</v>
      </c>
      <c r="AL96" s="256">
        <f>IF(ISERROR(LOOKUP(AL$16,$L96:$X96,#REF!)),0,(LOOKUP(AL$16,$L96:$X96,#REF!)))</f>
        <v>0</v>
      </c>
      <c r="AM96" s="256">
        <f ca="1">IF(ISERROR(LOOKUP(AM$16,$L96:$X96,#REF!)),0,(LOOKUP(AM$16,$L96:$X96,#REF!)))</f>
        <v>0</v>
      </c>
      <c r="AP96" s="247" t="e">
        <f>WORKDAY(IF(T97="",T96,T97),INDEX(AP$12:AP$15,MATCH($I95,$I$12:$I$15,0)),$AW$17:$AW$148)</f>
        <v>#REF!</v>
      </c>
      <c r="AQ96" s="247" t="e">
        <f>WORKDAY(IF(AP97="",AP96,AP97),INDEX(AQ$12:AQ$15,MATCH($I95,$I$12:$I$15,0)),$AW$17:$AW$148)</f>
        <v>#REF!</v>
      </c>
      <c r="AR96" s="247" t="e">
        <f>WORKDAY(IF(AQ97="",AQ96,AQ97),INDEX(AR$12:AR$15,MATCH($I95,$I$12:$I$15,0)),$AW$17:$AW$148)</f>
        <v>#REF!</v>
      </c>
      <c r="AS96" s="257"/>
      <c r="AW96" s="258" t="e" cm="1">
        <f t="array" ref="AW96:AW174">'[36]Procurement progress '!$A$2:$A$80</f>
        <v>#REF!</v>
      </c>
    </row>
    <row r="97" s="195" customFormat="1" ht="18" customHeight="1" spans="1:49">
      <c r="A97" s="241"/>
      <c r="B97" s="262"/>
      <c r="C97" s="243" t="str">
        <f>C95</f>
        <v>RFQ-027</v>
      </c>
      <c r="D97" s="243" t="str">
        <f>D95</f>
        <v>Coriolis Flow Meters </v>
      </c>
      <c r="E97" s="263"/>
      <c r="F97" s="305" t="str">
        <f>F95</f>
        <v>Instrument</v>
      </c>
      <c r="G97" s="243" t="str">
        <f>G95</f>
        <v>N</v>
      </c>
      <c r="H97" s="263"/>
      <c r="I97" s="243" t="str">
        <f>I95</f>
        <v>LC</v>
      </c>
      <c r="J97" s="303" t="s">
        <v>66</v>
      </c>
      <c r="K97" s="243"/>
      <c r="L97" s="243"/>
      <c r="M97" s="243"/>
      <c r="N97" s="243"/>
      <c r="O97" s="243"/>
      <c r="P97" s="265"/>
      <c r="Q97" s="266"/>
      <c r="R97" s="243"/>
      <c r="S97" s="243"/>
      <c r="T97" s="243"/>
      <c r="U97" s="243"/>
      <c r="V97" s="243"/>
      <c r="W97" s="267"/>
      <c r="X97" s="243"/>
      <c r="Y97" s="251"/>
      <c r="Z97" s="253"/>
      <c r="AA97" s="253"/>
      <c r="AB97" s="254"/>
      <c r="AC97" s="268">
        <f>IF(ISERROR(LOOKUP(AC$16,$L97:$X97,#REF!)),0,(LOOKUP(AC$16,$L97:$X97,#REF!)))</f>
        <v>0</v>
      </c>
      <c r="AD97" s="269">
        <f>IF(ISERROR(LOOKUP(AD$16,$L97:$X97,#REF!)),0,(LOOKUP(AD$16,$L97:$X97,#REF!)))</f>
        <v>0</v>
      </c>
      <c r="AE97" s="269">
        <f>IF(ISERROR(LOOKUP(AE$16,$L97:$X97,#REF!)),0,(LOOKUP(AE$16,$L97:$X97,#REF!)))</f>
        <v>0</v>
      </c>
      <c r="AF97" s="269">
        <f>IF(ISERROR(LOOKUP(AF$16,$L97:$X97,#REF!)),0,(LOOKUP(AF$16,$L97:$X97,#REF!)))</f>
        <v>0</v>
      </c>
      <c r="AG97" s="269">
        <f>IF(ISERROR(LOOKUP(AG$16,$L97:$X97,#REF!)),0,(LOOKUP(AG$16,$L97:$X97,#REF!)))</f>
        <v>0</v>
      </c>
      <c r="AH97" s="269">
        <f>IF(ISERROR(LOOKUP(AH$16,$L97:$X97,#REF!)),0,(LOOKUP(AH$16,$L97:$X97,#REF!)))</f>
        <v>0</v>
      </c>
      <c r="AI97" s="269">
        <f>IF(ISERROR(LOOKUP(AI$16,$L97:$X97,#REF!)),0,(LOOKUP(AI$16,$L97:$X97,#REF!)))</f>
        <v>0</v>
      </c>
      <c r="AJ97" s="269">
        <f>IF(ISERROR(LOOKUP(AJ$16,$L97:$X97,#REF!)),0,(LOOKUP(AJ$16,$L97:$X97,#REF!)))</f>
        <v>0</v>
      </c>
      <c r="AK97" s="269">
        <f>IF(ISERROR(LOOKUP(AK$16,$L97:$X97,#REF!)),0,(LOOKUP(AK$16,$L97:$X97,#REF!)))</f>
        <v>0</v>
      </c>
      <c r="AL97" s="269">
        <f>IF(ISERROR(LOOKUP(AL$16,$L97:$X97,#REF!)),0,(LOOKUP(AL$16,$L97:$X97,#REF!)))</f>
        <v>0</v>
      </c>
      <c r="AM97" s="269">
        <f ca="1">IF(ISERROR(LOOKUP(AM$16,$L97:$X97,#REF!)),0,(LOOKUP(AM$16,$L97:$X97,#REF!)))</f>
        <v>0</v>
      </c>
      <c r="AP97" s="301"/>
      <c r="AQ97" s="301"/>
      <c r="AR97" s="301"/>
      <c r="AS97" s="257"/>
      <c r="AW97" s="258" t="e">
        <v>#REF!</v>
      </c>
    </row>
    <row r="98" s="198" customFormat="1" ht="22.5" customHeight="1" spans="1:49">
      <c r="A98" s="241">
        <f>A95+1</f>
        <v>28</v>
      </c>
      <c r="B98" s="242"/>
      <c r="C98" s="243" t="s">
        <v>4808</v>
      </c>
      <c r="D98" s="243" t="s">
        <v>161</v>
      </c>
      <c r="E98" s="244"/>
      <c r="F98" s="245" t="s">
        <v>136</v>
      </c>
      <c r="G98" s="243" t="s">
        <v>63</v>
      </c>
      <c r="H98" s="244"/>
      <c r="I98" s="243" t="s">
        <v>6</v>
      </c>
      <c r="J98" s="246" t="s">
        <v>4769</v>
      </c>
      <c r="K98" s="247">
        <f>WORKDAY(L98,-INDEX(L$12:L$15,MATCH($I98,$I$12:$I$15,0)))</f>
        <v>46147</v>
      </c>
      <c r="L98" s="247">
        <f>WORKDAY(M98,-INDEX(M$12:M$15,MATCH($I98,$I$12:$I$15,0)))</f>
        <v>46148</v>
      </c>
      <c r="M98" s="247">
        <f>WORKDAY(N98,-INDEX(N$12:N$15,MATCH($I98,$I$12:$I$15,0)))</f>
        <v>46155</v>
      </c>
      <c r="N98" s="247">
        <f>WORKDAY(O98,-INDEX(O$12:O$15,MATCH($I98,$I$12:$I$15,0)))</f>
        <v>46156</v>
      </c>
      <c r="O98" s="247">
        <f>WORKDAY(R98,-INDEX(R$12:R$15,MATCH($I98,$I$12:$I$15,0)))</f>
        <v>46163</v>
      </c>
      <c r="P98" s="248">
        <f>U98-L98</f>
        <v>76</v>
      </c>
      <c r="Q98" s="249"/>
      <c r="R98" s="247">
        <f>WORKDAY(S98,-INDEX(S$12:S$15,MATCH($I98,$I$12:$I$15,0)))</f>
        <v>46177</v>
      </c>
      <c r="S98" s="247">
        <f>WORKDAY(T98,-INDEX(T$12:T$15,MATCH($I98,$I$12:$I$15,0)))</f>
        <v>46205</v>
      </c>
      <c r="T98" s="247">
        <f>WORKDAY(U98,-INDEX(U$12:U$15,MATCH($I98,$I$12:$I$15,0)))</f>
        <v>46210</v>
      </c>
      <c r="U98" s="247">
        <f>X98-Y98</f>
        <v>46224</v>
      </c>
      <c r="V98" s="247">
        <f>WORKDAY(U98,INDEX(V$12:V$15,MATCH($I98,$I$12:$I$15,0)))</f>
        <v>46226</v>
      </c>
      <c r="W98" s="250">
        <f>Y98/7</f>
        <v>36</v>
      </c>
      <c r="X98" s="247">
        <f>Z98</f>
        <v>46476</v>
      </c>
      <c r="Y98" s="251">
        <v>252</v>
      </c>
      <c r="Z98" s="253">
        <v>46476</v>
      </c>
      <c r="AA98" s="253">
        <v>46416</v>
      </c>
      <c r="AB98" s="254">
        <f>Z98-X99</f>
        <v>0</v>
      </c>
      <c r="AC98" s="306">
        <f>IF(ISERROR(LOOKUP(AC$16,$L98:$X98,#REF!)),0,(LOOKUP(AC$16,$L98:$X98,#REF!)))</f>
        <v>0</v>
      </c>
      <c r="AD98" s="307">
        <f>IF(ISERROR(LOOKUP(AD$16,$L98:$X98,#REF!)),0,(LOOKUP(AD$16,$L98:$X98,#REF!)))</f>
        <v>0</v>
      </c>
      <c r="AE98" s="307">
        <f>IF(ISERROR(LOOKUP(AE$16,$L98:$X98,#REF!)),0,(LOOKUP(AE$16,$L98:$X98,#REF!)))</f>
        <v>0</v>
      </c>
      <c r="AF98" s="307">
        <f>IF(ISERROR(LOOKUP(AF$16,$L98:$X98,#REF!)),0,(LOOKUP(AF$16,$L98:$X98,#REF!)))</f>
        <v>0</v>
      </c>
      <c r="AG98" s="307">
        <f>IF(ISERROR(LOOKUP(AG$16,$L98:$X98,#REF!)),0,(LOOKUP(AG$16,$L98:$X98,#REF!)))</f>
        <v>0</v>
      </c>
      <c r="AH98" s="307">
        <f>IF(ISERROR(LOOKUP(AH$16,$L98:$X98,#REF!)),0,(LOOKUP(AH$16,$L98:$X98,#REF!)))</f>
        <v>0</v>
      </c>
      <c r="AI98" s="307">
        <f>IF(ISERROR(LOOKUP(AI$16,$L98:$X98,#REF!)),0,(LOOKUP(AI$16,$L98:$X98,#REF!)))</f>
        <v>0</v>
      </c>
      <c r="AJ98" s="307">
        <f>IF(ISERROR(LOOKUP(AJ$16,$L98:$X98,#REF!)),0,(LOOKUP(AJ$16,$L98:$X98,#REF!)))</f>
        <v>0</v>
      </c>
      <c r="AK98" s="307">
        <f>IF(ISERROR(LOOKUP(AK$16,$L98:$X98,#REF!)),0,(LOOKUP(AK$16,$L98:$X98,#REF!)))</f>
        <v>0</v>
      </c>
      <c r="AL98" s="307">
        <f>IF(ISERROR(LOOKUP(AL$16,$L98:$X98,#REF!)),0,(LOOKUP(AL$16,$L98:$X98,#REF!)))</f>
        <v>0</v>
      </c>
      <c r="AM98" s="307">
        <f ca="1">IF(ISERROR(LOOKUP(AM$16,$L98:$X98,#REF!)),0,(LOOKUP(AM$16,$L98:$X98,#REF!)))</f>
        <v>0</v>
      </c>
      <c r="AP98" s="247" t="e">
        <f>WORKDAY(AQ98,-INDEX(AQ$12:AQ$15,MATCH($I98,$I$12:$I$15,0)),$AW$17:$AW$148)</f>
        <v>#REF!</v>
      </c>
      <c r="AQ98" s="247" t="e">
        <f>WORKDAY(U98,-INDEX(U$12:U$15,MATCH($I98,$I$12:$I$15,0)),$AW$17:$AW$148)</f>
        <v>#REF!</v>
      </c>
      <c r="AR98" s="247" t="e">
        <f>WORKDAY(U98,-INDEX(U$12:U$15,MATCH($I98,$I$12:$I$15,0)),$AW$17:$AW$148)</f>
        <v>#REF!</v>
      </c>
      <c r="AS98" s="257">
        <v>7</v>
      </c>
      <c r="AW98" s="308" t="e">
        <v>#REF!</v>
      </c>
    </row>
    <row r="99" s="198" customFormat="1" ht="22.5" customHeight="1" spans="1:49">
      <c r="A99" s="241"/>
      <c r="B99" s="259"/>
      <c r="C99" s="243" t="str">
        <f>C98</f>
        <v>RFQ-028</v>
      </c>
      <c r="D99" s="243" t="str">
        <f>D98</f>
        <v>Wellhead Control Panel (WHCP)</v>
      </c>
      <c r="E99" s="260"/>
      <c r="F99" s="261" t="str">
        <f>F98</f>
        <v>Instrument</v>
      </c>
      <c r="G99" s="243" t="str">
        <f>G98</f>
        <v>Y</v>
      </c>
      <c r="H99" s="260"/>
      <c r="I99" s="243" t="str">
        <f>I98</f>
        <v>LA</v>
      </c>
      <c r="J99" s="246" t="s">
        <v>64</v>
      </c>
      <c r="K99" s="247">
        <f>K98</f>
        <v>46147</v>
      </c>
      <c r="L99" s="247">
        <f>WORKDAY(IF(K100="",K99,K100),INDEX(L$12:L$15,MATCH($I98,$I$12:$I$15,0)))</f>
        <v>46148</v>
      </c>
      <c r="M99" s="247">
        <f>WORKDAY(IF(L100="",L99,L100),INDEX(M$12:M$15,MATCH($I98,$I$12:$I$15,0)))</f>
        <v>46155</v>
      </c>
      <c r="N99" s="247">
        <f>WORKDAY(IF(M100="",M99,M100),INDEX(N$12:N$15,MATCH($I98,$I$12:$I$15,0)))</f>
        <v>46156</v>
      </c>
      <c r="O99" s="247">
        <f>WORKDAY(IF(N100="",N99,N100),INDEX(O$12:O$15,MATCH($I98,$I$12:$I$15,0)))</f>
        <v>46163</v>
      </c>
      <c r="P99" s="248"/>
      <c r="Q99" s="249"/>
      <c r="R99" s="247">
        <f>WORKDAY(IF(O100="",O99,O100),INDEX(R$12:R$15,MATCH($I98,$I$12:$I$15,0)))</f>
        <v>46177</v>
      </c>
      <c r="S99" s="247">
        <f>WORKDAY(IF(R100="",R99,R100),INDEX(S$12:S$15,MATCH($I98,$I$12:$I$15,0)))</f>
        <v>46205</v>
      </c>
      <c r="T99" s="247">
        <f>WORKDAY(IF(S100="",S99,S100),INDEX(T$12:T$15,MATCH($I98,$I$12:$I$15,0)))</f>
        <v>46210</v>
      </c>
      <c r="U99" s="247">
        <f>WORKDAY(IF(T100="",T99,T100),INDEX(U$12:U$15,MATCH($I98,$I$12:$I$15,0)))</f>
        <v>46224</v>
      </c>
      <c r="V99" s="247">
        <f>WORKDAY(IF(U100="",U99,U100),INDEX(V$12:V$15,MATCH($I98,$I$12:$I$15,0)))</f>
        <v>46226</v>
      </c>
      <c r="W99" s="250"/>
      <c r="X99" s="247">
        <f>U99+Y98</f>
        <v>46476</v>
      </c>
      <c r="Y99" s="251"/>
      <c r="Z99" s="253"/>
      <c r="AA99" s="253"/>
      <c r="AB99" s="254"/>
      <c r="AC99" s="306">
        <f>IF(ISERROR(LOOKUP(AC$16,$L99:$X99,#REF!)),0,(LOOKUP(AC$16,$L99:$X99,#REF!)))</f>
        <v>0</v>
      </c>
      <c r="AD99" s="307">
        <f>IF(ISERROR(LOOKUP(AD$16,$L99:$X99,#REF!)),0,(LOOKUP(AD$16,$L99:$X99,#REF!)))</f>
        <v>0</v>
      </c>
      <c r="AE99" s="307">
        <f>IF(ISERROR(LOOKUP(AE$16,$L99:$X99,#REF!)),0,(LOOKUP(AE$16,$L99:$X99,#REF!)))</f>
        <v>0</v>
      </c>
      <c r="AF99" s="307">
        <f>IF(ISERROR(LOOKUP(AF$16,$L99:$X99,#REF!)),0,(LOOKUP(AF$16,$L99:$X99,#REF!)))</f>
        <v>0</v>
      </c>
      <c r="AG99" s="307">
        <f>IF(ISERROR(LOOKUP(AG$16,$L99:$X99,#REF!)),0,(LOOKUP(AG$16,$L99:$X99,#REF!)))</f>
        <v>0</v>
      </c>
      <c r="AH99" s="307">
        <f>IF(ISERROR(LOOKUP(AH$16,$L99:$X99,#REF!)),0,(LOOKUP(AH$16,$L99:$X99,#REF!)))</f>
        <v>0</v>
      </c>
      <c r="AI99" s="307">
        <f>IF(ISERROR(LOOKUP(AI$16,$L99:$X99,#REF!)),0,(LOOKUP(AI$16,$L99:$X99,#REF!)))</f>
        <v>0</v>
      </c>
      <c r="AJ99" s="307">
        <f>IF(ISERROR(LOOKUP(AJ$16,$L99:$X99,#REF!)),0,(LOOKUP(AJ$16,$L99:$X99,#REF!)))</f>
        <v>0</v>
      </c>
      <c r="AK99" s="307">
        <f>IF(ISERROR(LOOKUP(AK$16,$L99:$X99,#REF!)),0,(LOOKUP(AK$16,$L99:$X99,#REF!)))</f>
        <v>0</v>
      </c>
      <c r="AL99" s="307">
        <f>IF(ISERROR(LOOKUP(AL$16,$L99:$X99,#REF!)),0,(LOOKUP(AL$16,$L99:$X99,#REF!)))</f>
        <v>0</v>
      </c>
      <c r="AM99" s="307">
        <f ca="1">IF(ISERROR(LOOKUP(AM$16,$L99:$X99,#REF!)),0,(LOOKUP(AM$16,$L99:$X99,#REF!)))</f>
        <v>0</v>
      </c>
      <c r="AP99" s="247" t="e">
        <f>WORKDAY(IF(T100="",T99,T100),INDEX(AP$12:AP$15,MATCH($I98,$I$12:$I$15,0)),$AW$17:$AW$148)</f>
        <v>#REF!</v>
      </c>
      <c r="AQ99" s="247" t="e">
        <f>WORKDAY(IF(AP100="",AP99,AP100),INDEX(AQ$12:AQ$15,MATCH($I98,$I$12:$I$15,0)),$AW$17:$AW$148)</f>
        <v>#REF!</v>
      </c>
      <c r="AR99" s="247" t="e">
        <f>WORKDAY(IF(AQ100="",AQ99,AQ100),INDEX(AR$12:AR$15,MATCH($I98,$I$12:$I$15,0)),$AW$17:$AW$148)</f>
        <v>#REF!</v>
      </c>
      <c r="AS99" s="257"/>
      <c r="AW99" s="308" t="e">
        <v>#REF!</v>
      </c>
    </row>
    <row r="100" s="198" customFormat="1" ht="15" customHeight="1" spans="1:49">
      <c r="A100" s="241"/>
      <c r="B100" s="262"/>
      <c r="C100" s="243" t="str">
        <f>C98</f>
        <v>RFQ-028</v>
      </c>
      <c r="D100" s="243" t="str">
        <f>D98</f>
        <v>Wellhead Control Panel (WHCP)</v>
      </c>
      <c r="E100" s="263"/>
      <c r="F100" s="264" t="str">
        <f>F98</f>
        <v>Instrument</v>
      </c>
      <c r="G100" s="243" t="str">
        <f>G98</f>
        <v>Y</v>
      </c>
      <c r="H100" s="263"/>
      <c r="I100" s="243" t="str">
        <f>I98</f>
        <v>LA</v>
      </c>
      <c r="J100" s="246" t="s">
        <v>66</v>
      </c>
      <c r="K100" s="243"/>
      <c r="L100" s="243"/>
      <c r="M100" s="243"/>
      <c r="N100" s="243"/>
      <c r="O100" s="243"/>
      <c r="P100" s="265"/>
      <c r="Q100" s="266"/>
      <c r="R100" s="243"/>
      <c r="S100" s="243"/>
      <c r="T100" s="243"/>
      <c r="U100" s="243"/>
      <c r="V100" s="243"/>
      <c r="W100" s="267"/>
      <c r="X100" s="243"/>
      <c r="Y100" s="251"/>
      <c r="Z100" s="253"/>
      <c r="AA100" s="253"/>
      <c r="AB100" s="254"/>
      <c r="AC100" s="310">
        <f>IF(ISERROR(LOOKUP(AC$16,$L100:$X100,#REF!)),0,(LOOKUP(AC$16,$L100:$X100,#REF!)))</f>
        <v>0</v>
      </c>
      <c r="AD100" s="311">
        <f>IF(ISERROR(LOOKUP(AD$16,$L100:$X100,#REF!)),0,(LOOKUP(AD$16,$L100:$X100,#REF!)))</f>
        <v>0</v>
      </c>
      <c r="AE100" s="311">
        <f>IF(ISERROR(LOOKUP(AE$16,$L100:$X100,#REF!)),0,(LOOKUP(AE$16,$L100:$X100,#REF!)))</f>
        <v>0</v>
      </c>
      <c r="AF100" s="311">
        <f>IF(ISERROR(LOOKUP(AF$16,$L100:$X100,#REF!)),0,(LOOKUP(AF$16,$L100:$X100,#REF!)))</f>
        <v>0</v>
      </c>
      <c r="AG100" s="311">
        <f>IF(ISERROR(LOOKUP(AG$16,$L100:$X100,#REF!)),0,(LOOKUP(AG$16,$L100:$X100,#REF!)))</f>
        <v>0</v>
      </c>
      <c r="AH100" s="311">
        <f>IF(ISERROR(LOOKUP(AH$16,$L100:$X100,#REF!)),0,(LOOKUP(AH$16,$L100:$X100,#REF!)))</f>
        <v>0</v>
      </c>
      <c r="AI100" s="311">
        <f>IF(ISERROR(LOOKUP(AI$16,$L100:$X100,#REF!)),0,(LOOKUP(AI$16,$L100:$X100,#REF!)))</f>
        <v>0</v>
      </c>
      <c r="AJ100" s="311">
        <f>IF(ISERROR(LOOKUP(AJ$16,$L100:$X100,#REF!)),0,(LOOKUP(AJ$16,$L100:$X100,#REF!)))</f>
        <v>0</v>
      </c>
      <c r="AK100" s="311">
        <f>IF(ISERROR(LOOKUP(AK$16,$L100:$X100,#REF!)),0,(LOOKUP(AK$16,$L100:$X100,#REF!)))</f>
        <v>0</v>
      </c>
      <c r="AL100" s="311">
        <f>IF(ISERROR(LOOKUP(AL$16,$L100:$X100,#REF!)),0,(LOOKUP(AL$16,$L100:$X100,#REF!)))</f>
        <v>0</v>
      </c>
      <c r="AM100" s="311">
        <f ca="1">IF(ISERROR(LOOKUP(AM$16,$L100:$X100,#REF!)),0,(LOOKUP(AM$16,$L100:$X100,#REF!)))</f>
        <v>0</v>
      </c>
      <c r="AP100" s="243"/>
      <c r="AQ100" s="243"/>
      <c r="AR100" s="243"/>
      <c r="AS100" s="257"/>
      <c r="AW100" s="308" t="e">
        <v>#REF!</v>
      </c>
    </row>
    <row r="101" s="195" customFormat="1" ht="18" customHeight="1" spans="1:49">
      <c r="A101" s="241">
        <f>A98+1</f>
        <v>29</v>
      </c>
      <c r="B101" s="242"/>
      <c r="C101" s="243" t="s">
        <v>4809</v>
      </c>
      <c r="D101" s="243" t="s">
        <v>165</v>
      </c>
      <c r="E101" s="244"/>
      <c r="F101" s="302" t="s">
        <v>136</v>
      </c>
      <c r="G101" s="243" t="s">
        <v>72</v>
      </c>
      <c r="H101" s="244"/>
      <c r="I101" s="243" t="s">
        <v>8</v>
      </c>
      <c r="J101" s="303" t="s">
        <v>4769</v>
      </c>
      <c r="K101" s="247">
        <f>WORKDAY(L101,-INDEX(L$12:L$15,MATCH($I101,$I$12:$I$15,0)))</f>
        <v>46315</v>
      </c>
      <c r="L101" s="247">
        <f>WORKDAY(M101,-INDEX(M$12:M$15,MATCH($I101,$I$12:$I$15,0)))</f>
        <v>46318</v>
      </c>
      <c r="M101" s="247">
        <f>WORKDAY(N101,-INDEX(N$12:N$15,MATCH($I101,$I$12:$I$15,0)))</f>
        <v>46332</v>
      </c>
      <c r="N101" s="247">
        <f>WORKDAY(O101,-INDEX(O$12:O$15,MATCH($I101,$I$12:$I$15,0)))</f>
        <v>46335</v>
      </c>
      <c r="O101" s="247">
        <f>WORKDAY(R101,-INDEX(R$12:R$15,MATCH($I101,$I$12:$I$15,0)))</f>
        <v>46349</v>
      </c>
      <c r="P101" s="248">
        <f>U101-L101</f>
        <v>94</v>
      </c>
      <c r="Q101" s="249"/>
      <c r="R101" s="247">
        <f>WORKDAY(S101,-INDEX(S$12:S$15,MATCH($I101,$I$12:$I$15,0)))</f>
        <v>46363</v>
      </c>
      <c r="S101" s="247">
        <f>WORKDAY(T101,-INDEX(T$12:T$15,MATCH($I101,$I$12:$I$15,0)))</f>
        <v>46384</v>
      </c>
      <c r="T101" s="247">
        <f>WORKDAY(U101,-INDEX(U$12:U$15,MATCH($I101,$I$12:$I$15,0)))</f>
        <v>46398</v>
      </c>
      <c r="U101" s="247">
        <f>X101-Y101</f>
        <v>46412</v>
      </c>
      <c r="V101" s="247">
        <f>WORKDAY(U101,INDEX(V$12:V$15,MATCH($I101,$I$12:$I$15,0)))</f>
        <v>46414</v>
      </c>
      <c r="W101" s="250">
        <f>Y101/7</f>
        <v>18</v>
      </c>
      <c r="X101" s="247">
        <f>Z101</f>
        <v>46538</v>
      </c>
      <c r="Y101" s="251">
        <f>18*7</f>
        <v>126</v>
      </c>
      <c r="Z101" s="253">
        <v>46538</v>
      </c>
      <c r="AA101" s="253">
        <v>46538</v>
      </c>
      <c r="AB101" s="254">
        <f>Z101-X102</f>
        <v>0</v>
      </c>
      <c r="AC101" s="255">
        <f>IF(ISERROR(LOOKUP(AC$16,$L101:$X101,#REF!)),0,(LOOKUP(AC$16,$L101:$X101,#REF!)))</f>
        <v>0</v>
      </c>
      <c r="AD101" s="256">
        <f>IF(ISERROR(LOOKUP(AD$16,$L101:$X101,#REF!)),0,(LOOKUP(AD$16,$L101:$X101,#REF!)))</f>
        <v>0</v>
      </c>
      <c r="AE101" s="256">
        <f>IF(ISERROR(LOOKUP(AE$16,$L101:$X101,#REF!)),0,(LOOKUP(AE$16,$L101:$X101,#REF!)))</f>
        <v>0</v>
      </c>
      <c r="AF101" s="256">
        <f>IF(ISERROR(LOOKUP(AF$16,$L101:$X101,#REF!)),0,(LOOKUP(AF$16,$L101:$X101,#REF!)))</f>
        <v>0</v>
      </c>
      <c r="AG101" s="256">
        <f>IF(ISERROR(LOOKUP(AG$16,$L101:$X101,#REF!)),0,(LOOKUP(AG$16,$L101:$X101,#REF!)))</f>
        <v>0</v>
      </c>
      <c r="AH101" s="256">
        <f>IF(ISERROR(LOOKUP(AH$16,$L101:$X101,#REF!)),0,(LOOKUP(AH$16,$L101:$X101,#REF!)))</f>
        <v>0</v>
      </c>
      <c r="AI101" s="256">
        <f>IF(ISERROR(LOOKUP(AI$16,$L101:$X101,#REF!)),0,(LOOKUP(AI$16,$L101:$X101,#REF!)))</f>
        <v>0</v>
      </c>
      <c r="AJ101" s="256">
        <f>IF(ISERROR(LOOKUP(AJ$16,$L101:$X101,#REF!)),0,(LOOKUP(AJ$16,$L101:$X101,#REF!)))</f>
        <v>0</v>
      </c>
      <c r="AK101" s="256">
        <f>IF(ISERROR(LOOKUP(AK$16,$L101:$X101,#REF!)),0,(LOOKUP(AK$16,$L101:$X101,#REF!)))</f>
        <v>0</v>
      </c>
      <c r="AL101" s="256">
        <f>IF(ISERROR(LOOKUP(AL$16,$L101:$X101,#REF!)),0,(LOOKUP(AL$16,$L101:$X101,#REF!)))</f>
        <v>0</v>
      </c>
      <c r="AM101" s="256">
        <f ca="1">IF(ISERROR(LOOKUP(AM$16,$L101:$X101,#REF!)),0,(LOOKUP(AM$16,$L101:$X101,#REF!)))</f>
        <v>0</v>
      </c>
      <c r="AP101" s="247" t="e">
        <f>WORKDAY(AQ101,-INDEX(AQ$12:AQ$15,MATCH($I101,$I$12:$I$15,0)),$AW$17:$AW$148)</f>
        <v>#REF!</v>
      </c>
      <c r="AQ101" s="247" t="e">
        <f>WORKDAY(U101,-INDEX(U$12:U$15,MATCH($I101,$I$12:$I$15,0)),$AW$17:$AW$148)</f>
        <v>#REF!</v>
      </c>
      <c r="AR101" s="247" t="e">
        <f>WORKDAY(U101,-INDEX(U$12:U$15,MATCH($I101,$I$12:$I$15,0)),$AW$17:$AW$148)</f>
        <v>#REF!</v>
      </c>
      <c r="AS101" s="257">
        <v>7</v>
      </c>
      <c r="AW101" s="258" t="e">
        <v>#REF!</v>
      </c>
    </row>
    <row r="102" s="195" customFormat="1" ht="18" customHeight="1" spans="1:49">
      <c r="A102" s="241"/>
      <c r="B102" s="259"/>
      <c r="C102" s="243" t="str">
        <f>C101</f>
        <v>RFQ-029</v>
      </c>
      <c r="D102" s="243" t="str">
        <f>D101</f>
        <v>Pressure Gauge</v>
      </c>
      <c r="E102" s="260"/>
      <c r="F102" s="304" t="str">
        <f>F101</f>
        <v>Instrument</v>
      </c>
      <c r="G102" s="243" t="str">
        <f>G101</f>
        <v>N</v>
      </c>
      <c r="H102" s="260"/>
      <c r="I102" s="243" t="str">
        <f>I101</f>
        <v>LC</v>
      </c>
      <c r="J102" s="303" t="s">
        <v>64</v>
      </c>
      <c r="K102" s="247">
        <f>K101</f>
        <v>46315</v>
      </c>
      <c r="L102" s="247">
        <f>WORKDAY(IF(K103="",K102,K103),INDEX(L$12:L$15,MATCH($I101,$I$12:$I$15,0)))</f>
        <v>46318</v>
      </c>
      <c r="M102" s="247">
        <f>WORKDAY(IF(L103="",L102,L103),INDEX(M$12:M$15,MATCH($I101,$I$12:$I$15,0)))</f>
        <v>46332</v>
      </c>
      <c r="N102" s="247">
        <f>WORKDAY(IF(M103="",M102,M103),INDEX(N$12:N$15,MATCH($I101,$I$12:$I$15,0)))</f>
        <v>46335</v>
      </c>
      <c r="O102" s="247">
        <f>WORKDAY(IF(N103="",N102,N103),INDEX(O$12:O$15,MATCH($I101,$I$12:$I$15,0)))</f>
        <v>46349</v>
      </c>
      <c r="P102" s="248"/>
      <c r="Q102" s="249"/>
      <c r="R102" s="247">
        <f>WORKDAY(IF(O103="",O102,O103),INDEX(R$12:R$15,MATCH($I101,$I$12:$I$15,0)))</f>
        <v>46363</v>
      </c>
      <c r="S102" s="247">
        <f>WORKDAY(IF(R103="",R102,R103),INDEX(S$12:S$15,MATCH($I101,$I$12:$I$15,0)))</f>
        <v>46384</v>
      </c>
      <c r="T102" s="247">
        <f>WORKDAY(IF(S103="",S102,S103),INDEX(T$12:T$15,MATCH($I101,$I$12:$I$15,0)))</f>
        <v>46398</v>
      </c>
      <c r="U102" s="247">
        <f>WORKDAY(IF(T103="",T102,T103),INDEX(U$12:U$15,MATCH($I101,$I$12:$I$15,0)))</f>
        <v>46412</v>
      </c>
      <c r="V102" s="247">
        <f>WORKDAY(IF(U103="",U102,U103),INDEX(V$12:V$15,MATCH($I101,$I$12:$I$15,0)))</f>
        <v>46414</v>
      </c>
      <c r="W102" s="250"/>
      <c r="X102" s="247">
        <f>U102+Y101</f>
        <v>46538</v>
      </c>
      <c r="Y102" s="251"/>
      <c r="Z102" s="253"/>
      <c r="AA102" s="253"/>
      <c r="AB102" s="254"/>
      <c r="AC102" s="255">
        <f>IF(ISERROR(LOOKUP(AC$16,$L102:$X102,#REF!)),0,(LOOKUP(AC$16,$L102:$X102,#REF!)))</f>
        <v>0</v>
      </c>
      <c r="AD102" s="256">
        <f>IF(ISERROR(LOOKUP(AD$16,$L102:$X102,#REF!)),0,(LOOKUP(AD$16,$L102:$X102,#REF!)))</f>
        <v>0</v>
      </c>
      <c r="AE102" s="256">
        <f>IF(ISERROR(LOOKUP(AE$16,$L102:$X102,#REF!)),0,(LOOKUP(AE$16,$L102:$X102,#REF!)))</f>
        <v>0</v>
      </c>
      <c r="AF102" s="256">
        <f>IF(ISERROR(LOOKUP(AF$16,$L102:$X102,#REF!)),0,(LOOKUP(AF$16,$L102:$X102,#REF!)))</f>
        <v>0</v>
      </c>
      <c r="AG102" s="256">
        <f>IF(ISERROR(LOOKUP(AG$16,$L102:$X102,#REF!)),0,(LOOKUP(AG$16,$L102:$X102,#REF!)))</f>
        <v>0</v>
      </c>
      <c r="AH102" s="256">
        <f>IF(ISERROR(LOOKUP(AH$16,$L102:$X102,#REF!)),0,(LOOKUP(AH$16,$L102:$X102,#REF!)))</f>
        <v>0</v>
      </c>
      <c r="AI102" s="256">
        <f>IF(ISERROR(LOOKUP(AI$16,$L102:$X102,#REF!)),0,(LOOKUP(AI$16,$L102:$X102,#REF!)))</f>
        <v>0</v>
      </c>
      <c r="AJ102" s="256">
        <f>IF(ISERROR(LOOKUP(AJ$16,$L102:$X102,#REF!)),0,(LOOKUP(AJ$16,$L102:$X102,#REF!)))</f>
        <v>0</v>
      </c>
      <c r="AK102" s="256">
        <f>IF(ISERROR(LOOKUP(AK$16,$L102:$X102,#REF!)),0,(LOOKUP(AK$16,$L102:$X102,#REF!)))</f>
        <v>0</v>
      </c>
      <c r="AL102" s="256">
        <f>IF(ISERROR(LOOKUP(AL$16,$L102:$X102,#REF!)),0,(LOOKUP(AL$16,$L102:$X102,#REF!)))</f>
        <v>0</v>
      </c>
      <c r="AM102" s="256">
        <f ca="1">IF(ISERROR(LOOKUP(AM$16,$L102:$X102,#REF!)),0,(LOOKUP(AM$16,$L102:$X102,#REF!)))</f>
        <v>0</v>
      </c>
      <c r="AP102" s="247" t="e">
        <f>WORKDAY(IF(T103="",T102,T103),INDEX(AP$12:AP$15,MATCH($I101,$I$12:$I$15,0)),$AW$17:$AW$148)</f>
        <v>#REF!</v>
      </c>
      <c r="AQ102" s="247" t="e">
        <f>WORKDAY(IF(AP103="",AP102,AP103),INDEX(AQ$12:AQ$15,MATCH($I101,$I$12:$I$15,0)),$AW$17:$AW$148)</f>
        <v>#REF!</v>
      </c>
      <c r="AR102" s="247" t="e">
        <f>WORKDAY(IF(AQ103="",AQ102,AQ103),INDEX(AR$12:AR$15,MATCH($I101,$I$12:$I$15,0)),$AW$17:$AW$148)</f>
        <v>#REF!</v>
      </c>
      <c r="AS102" s="257"/>
      <c r="AW102" s="258" t="e">
        <v>#REF!</v>
      </c>
    </row>
    <row r="103" s="195" customFormat="1" ht="18" customHeight="1" spans="1:49">
      <c r="A103" s="241"/>
      <c r="B103" s="262"/>
      <c r="C103" s="243" t="str">
        <f>C101</f>
        <v>RFQ-029</v>
      </c>
      <c r="D103" s="243" t="str">
        <f>D101</f>
        <v>Pressure Gauge</v>
      </c>
      <c r="E103" s="263"/>
      <c r="F103" s="305" t="str">
        <f>F101</f>
        <v>Instrument</v>
      </c>
      <c r="G103" s="243" t="str">
        <f>G101</f>
        <v>N</v>
      </c>
      <c r="H103" s="263"/>
      <c r="I103" s="243" t="str">
        <f>I101</f>
        <v>LC</v>
      </c>
      <c r="J103" s="303" t="s">
        <v>66</v>
      </c>
      <c r="K103" s="243"/>
      <c r="L103" s="243"/>
      <c r="M103" s="243"/>
      <c r="N103" s="243"/>
      <c r="O103" s="243"/>
      <c r="P103" s="265"/>
      <c r="Q103" s="266"/>
      <c r="R103" s="243"/>
      <c r="S103" s="243"/>
      <c r="T103" s="243"/>
      <c r="U103" s="243"/>
      <c r="V103" s="243"/>
      <c r="W103" s="267"/>
      <c r="X103" s="243"/>
      <c r="Y103" s="251"/>
      <c r="Z103" s="253"/>
      <c r="AA103" s="253"/>
      <c r="AB103" s="254"/>
      <c r="AC103" s="268">
        <f>IF(ISERROR(LOOKUP(AC$16,$L103:$X103,#REF!)),0,(LOOKUP(AC$16,$L103:$X103,#REF!)))</f>
        <v>0</v>
      </c>
      <c r="AD103" s="269">
        <f>IF(ISERROR(LOOKUP(AD$16,$L103:$X103,#REF!)),0,(LOOKUP(AD$16,$L103:$X103,#REF!)))</f>
        <v>0</v>
      </c>
      <c r="AE103" s="269">
        <f>IF(ISERROR(LOOKUP(AE$16,$L103:$X103,#REF!)),0,(LOOKUP(AE$16,$L103:$X103,#REF!)))</f>
        <v>0</v>
      </c>
      <c r="AF103" s="269">
        <f>IF(ISERROR(LOOKUP(AF$16,$L103:$X103,#REF!)),0,(LOOKUP(AF$16,$L103:$X103,#REF!)))</f>
        <v>0</v>
      </c>
      <c r="AG103" s="269">
        <f>IF(ISERROR(LOOKUP(AG$16,$L103:$X103,#REF!)),0,(LOOKUP(AG$16,$L103:$X103,#REF!)))</f>
        <v>0</v>
      </c>
      <c r="AH103" s="269">
        <f>IF(ISERROR(LOOKUP(AH$16,$L103:$X103,#REF!)),0,(LOOKUP(AH$16,$L103:$X103,#REF!)))</f>
        <v>0</v>
      </c>
      <c r="AI103" s="269">
        <f>IF(ISERROR(LOOKUP(AI$16,$L103:$X103,#REF!)),0,(LOOKUP(AI$16,$L103:$X103,#REF!)))</f>
        <v>0</v>
      </c>
      <c r="AJ103" s="269">
        <f>IF(ISERROR(LOOKUP(AJ$16,$L103:$X103,#REF!)),0,(LOOKUP(AJ$16,$L103:$X103,#REF!)))</f>
        <v>0</v>
      </c>
      <c r="AK103" s="269">
        <f>IF(ISERROR(LOOKUP(AK$16,$L103:$X103,#REF!)),0,(LOOKUP(AK$16,$L103:$X103,#REF!)))</f>
        <v>0</v>
      </c>
      <c r="AL103" s="269">
        <f>IF(ISERROR(LOOKUP(AL$16,$L103:$X103,#REF!)),0,(LOOKUP(AL$16,$L103:$X103,#REF!)))</f>
        <v>0</v>
      </c>
      <c r="AM103" s="269">
        <f ca="1">IF(ISERROR(LOOKUP(AM$16,$L103:$X103,#REF!)),0,(LOOKUP(AM$16,$L103:$X103,#REF!)))</f>
        <v>0</v>
      </c>
      <c r="AP103" s="243"/>
      <c r="AQ103" s="243"/>
      <c r="AR103" s="243"/>
      <c r="AS103" s="257"/>
      <c r="AW103" s="258" t="e">
        <v>#REF!</v>
      </c>
    </row>
    <row r="104" s="195" customFormat="1" ht="18" customHeight="1" spans="1:49">
      <c r="A104" s="241">
        <f>A101+1</f>
        <v>30</v>
      </c>
      <c r="B104" s="242"/>
      <c r="C104" s="243" t="s">
        <v>4810</v>
      </c>
      <c r="D104" s="243" t="s">
        <v>168</v>
      </c>
      <c r="E104" s="244"/>
      <c r="F104" s="302" t="s">
        <v>136</v>
      </c>
      <c r="G104" s="243" t="s">
        <v>72</v>
      </c>
      <c r="H104" s="244"/>
      <c r="I104" s="243" t="s">
        <v>8</v>
      </c>
      <c r="J104" s="303" t="s">
        <v>4769</v>
      </c>
      <c r="K104" s="247">
        <f>WORKDAY(L104,-INDEX(L$12:L$15,MATCH($I104,$I$12:$I$15,0)))</f>
        <v>46315</v>
      </c>
      <c r="L104" s="247">
        <f>WORKDAY(M104,-INDEX(M$12:M$15,MATCH($I104,$I$12:$I$15,0)))</f>
        <v>46318</v>
      </c>
      <c r="M104" s="247">
        <f>WORKDAY(N104,-INDEX(N$12:N$15,MATCH($I104,$I$12:$I$15,0)))</f>
        <v>46332</v>
      </c>
      <c r="N104" s="247">
        <f>WORKDAY(O104,-INDEX(O$12:O$15,MATCH($I104,$I$12:$I$15,0)))</f>
        <v>46335</v>
      </c>
      <c r="O104" s="247">
        <f>WORKDAY(R104,-INDEX(R$12:R$15,MATCH($I104,$I$12:$I$15,0)))</f>
        <v>46349</v>
      </c>
      <c r="P104" s="248">
        <f>U104-L104</f>
        <v>94</v>
      </c>
      <c r="Q104" s="249"/>
      <c r="R104" s="247">
        <f>WORKDAY(S104,-INDEX(S$12:S$15,MATCH($I104,$I$12:$I$15,0)))</f>
        <v>46363</v>
      </c>
      <c r="S104" s="247">
        <f>WORKDAY(T104,-INDEX(T$12:T$15,MATCH($I104,$I$12:$I$15,0)))</f>
        <v>46384</v>
      </c>
      <c r="T104" s="247">
        <f>WORKDAY(U104,-INDEX(U$12:U$15,MATCH($I104,$I$12:$I$15,0)))</f>
        <v>46398</v>
      </c>
      <c r="U104" s="247">
        <f>X104-Y104</f>
        <v>46412</v>
      </c>
      <c r="V104" s="247">
        <f>WORKDAY(U104,INDEX(V$12:V$15,MATCH($I104,$I$12:$I$15,0)))</f>
        <v>46414</v>
      </c>
      <c r="W104" s="250">
        <f>Y104/7</f>
        <v>18</v>
      </c>
      <c r="X104" s="247">
        <f>Z104</f>
        <v>46538</v>
      </c>
      <c r="Y104" s="251">
        <f>18*7</f>
        <v>126</v>
      </c>
      <c r="Z104" s="253">
        <v>46538</v>
      </c>
      <c r="AA104" s="253">
        <v>46538</v>
      </c>
      <c r="AB104" s="254">
        <f>Z104-X105</f>
        <v>0</v>
      </c>
      <c r="AC104" s="255">
        <f>IF(ISERROR(LOOKUP(AC$16,$L104:$X104,#REF!)),0,(LOOKUP(AC$16,$L104:$X104,#REF!)))</f>
        <v>0</v>
      </c>
      <c r="AD104" s="256">
        <f>IF(ISERROR(LOOKUP(AD$16,$L104:$X104,#REF!)),0,(LOOKUP(AD$16,$L104:$X104,#REF!)))</f>
        <v>0</v>
      </c>
      <c r="AE104" s="256">
        <f>IF(ISERROR(LOOKUP(AE$16,$L104:$X104,#REF!)),0,(LOOKUP(AE$16,$L104:$X104,#REF!)))</f>
        <v>0</v>
      </c>
      <c r="AF104" s="256">
        <f>IF(ISERROR(LOOKUP(AF$16,$L104:$X104,#REF!)),0,(LOOKUP(AF$16,$L104:$X104,#REF!)))</f>
        <v>0</v>
      </c>
      <c r="AG104" s="256">
        <f>IF(ISERROR(LOOKUP(AG$16,$L104:$X104,#REF!)),0,(LOOKUP(AG$16,$L104:$X104,#REF!)))</f>
        <v>0</v>
      </c>
      <c r="AH104" s="256">
        <f>IF(ISERROR(LOOKUP(AH$16,$L104:$X104,#REF!)),0,(LOOKUP(AH$16,$L104:$X104,#REF!)))</f>
        <v>0</v>
      </c>
      <c r="AI104" s="256">
        <f>IF(ISERROR(LOOKUP(AI$16,$L104:$X104,#REF!)),0,(LOOKUP(AI$16,$L104:$X104,#REF!)))</f>
        <v>0</v>
      </c>
      <c r="AJ104" s="256">
        <f>IF(ISERROR(LOOKUP(AJ$16,$L104:$X104,#REF!)),0,(LOOKUP(AJ$16,$L104:$X104,#REF!)))</f>
        <v>0</v>
      </c>
      <c r="AK104" s="256">
        <f>IF(ISERROR(LOOKUP(AK$16,$L104:$X104,#REF!)),0,(LOOKUP(AK$16,$L104:$X104,#REF!)))</f>
        <v>0</v>
      </c>
      <c r="AL104" s="256">
        <f>IF(ISERROR(LOOKUP(AL$16,$L104:$X104,#REF!)),0,(LOOKUP(AL$16,$L104:$X104,#REF!)))</f>
        <v>0</v>
      </c>
      <c r="AM104" s="256">
        <f ca="1">IF(ISERROR(LOOKUP(AM$16,$L104:$X104,#REF!)),0,(LOOKUP(AM$16,$L104:$X104,#REF!)))</f>
        <v>0</v>
      </c>
      <c r="AP104" s="247" t="e">
        <f>WORKDAY(AQ104,-INDEX(AQ$12:AQ$15,MATCH($I104,$I$12:$I$15,0)),$AW$17:$AW$148)</f>
        <v>#REF!</v>
      </c>
      <c r="AQ104" s="247" t="e">
        <f>WORKDAY(U104,-INDEX(U$12:U$15,MATCH($I104,$I$12:$I$15,0)),$AW$17:$AW$148)</f>
        <v>#REF!</v>
      </c>
      <c r="AR104" s="247" t="e">
        <f>WORKDAY(U104,-INDEX(U$12:U$15,MATCH($I104,$I$12:$I$15,0)),$AW$17:$AW$148)</f>
        <v>#REF!</v>
      </c>
      <c r="AS104" s="257">
        <v>7</v>
      </c>
      <c r="AW104" s="258" t="e">
        <v>#REF!</v>
      </c>
    </row>
    <row r="105" s="195" customFormat="1" ht="18" customHeight="1" spans="1:49">
      <c r="A105" s="241"/>
      <c r="B105" s="259"/>
      <c r="C105" s="243" t="str">
        <f>C104</f>
        <v>RFQ-030</v>
      </c>
      <c r="D105" s="243" t="str">
        <f>D104</f>
        <v>Pressure Transmitter</v>
      </c>
      <c r="E105" s="260"/>
      <c r="F105" s="304" t="str">
        <f>F104</f>
        <v>Instrument</v>
      </c>
      <c r="G105" s="243" t="str">
        <f>G104</f>
        <v>N</v>
      </c>
      <c r="H105" s="260"/>
      <c r="I105" s="243" t="str">
        <f>I104</f>
        <v>LC</v>
      </c>
      <c r="J105" s="303" t="s">
        <v>64</v>
      </c>
      <c r="K105" s="247">
        <f>K104</f>
        <v>46315</v>
      </c>
      <c r="L105" s="247">
        <f>WORKDAY(IF(K106="",K105,K106),INDEX(L$12:L$15,MATCH($I104,$I$12:$I$15,0)))</f>
        <v>46318</v>
      </c>
      <c r="M105" s="247">
        <f>WORKDAY(IF(L106="",L105,L106),INDEX(M$12:M$15,MATCH($I104,$I$12:$I$15,0)))</f>
        <v>46332</v>
      </c>
      <c r="N105" s="247">
        <f>WORKDAY(IF(M106="",M105,M106),INDEX(N$12:N$15,MATCH($I104,$I$12:$I$15,0)))</f>
        <v>46335</v>
      </c>
      <c r="O105" s="247">
        <f>WORKDAY(IF(N106="",N105,N106),INDEX(O$12:O$15,MATCH($I104,$I$12:$I$15,0)))</f>
        <v>46349</v>
      </c>
      <c r="P105" s="248"/>
      <c r="Q105" s="249"/>
      <c r="R105" s="247">
        <f>WORKDAY(IF(O106="",O105,O106),INDEX(R$12:R$15,MATCH($I104,$I$12:$I$15,0)))</f>
        <v>46363</v>
      </c>
      <c r="S105" s="247">
        <f>WORKDAY(IF(R106="",R105,R106),INDEX(S$12:S$15,MATCH($I104,$I$12:$I$15,0)))</f>
        <v>46384</v>
      </c>
      <c r="T105" s="247">
        <f>WORKDAY(IF(S106="",S105,S106),INDEX(T$12:T$15,MATCH($I104,$I$12:$I$15,0)))</f>
        <v>46398</v>
      </c>
      <c r="U105" s="247">
        <f>WORKDAY(IF(T106="",T105,T106),INDEX(U$12:U$15,MATCH($I104,$I$12:$I$15,0)))</f>
        <v>46412</v>
      </c>
      <c r="V105" s="247">
        <f>WORKDAY(IF(U106="",U105,U106),INDEX(V$12:V$15,MATCH($I104,$I$12:$I$15,0)))</f>
        <v>46414</v>
      </c>
      <c r="W105" s="250"/>
      <c r="X105" s="247">
        <f>U105+Y104</f>
        <v>46538</v>
      </c>
      <c r="Y105" s="251"/>
      <c r="Z105" s="253"/>
      <c r="AA105" s="253"/>
      <c r="AB105" s="254"/>
      <c r="AC105" s="255">
        <f>IF(ISERROR(LOOKUP(AC$16,$L105:$X105,#REF!)),0,(LOOKUP(AC$16,$L105:$X105,#REF!)))</f>
        <v>0</v>
      </c>
      <c r="AD105" s="256">
        <f>IF(ISERROR(LOOKUP(AD$16,$L105:$X105,#REF!)),0,(LOOKUP(AD$16,$L105:$X105,#REF!)))</f>
        <v>0</v>
      </c>
      <c r="AE105" s="256">
        <f>IF(ISERROR(LOOKUP(AE$16,$L105:$X105,#REF!)),0,(LOOKUP(AE$16,$L105:$X105,#REF!)))</f>
        <v>0</v>
      </c>
      <c r="AF105" s="256">
        <f>IF(ISERROR(LOOKUP(AF$16,$L105:$X105,#REF!)),0,(LOOKUP(AF$16,$L105:$X105,#REF!)))</f>
        <v>0</v>
      </c>
      <c r="AG105" s="256">
        <f>IF(ISERROR(LOOKUP(AG$16,$L105:$X105,#REF!)),0,(LOOKUP(AG$16,$L105:$X105,#REF!)))</f>
        <v>0</v>
      </c>
      <c r="AH105" s="256">
        <f>IF(ISERROR(LOOKUP(AH$16,$L105:$X105,#REF!)),0,(LOOKUP(AH$16,$L105:$X105,#REF!)))</f>
        <v>0</v>
      </c>
      <c r="AI105" s="256">
        <f>IF(ISERROR(LOOKUP(AI$16,$L105:$X105,#REF!)),0,(LOOKUP(AI$16,$L105:$X105,#REF!)))</f>
        <v>0</v>
      </c>
      <c r="AJ105" s="256">
        <f>IF(ISERROR(LOOKUP(AJ$16,$L105:$X105,#REF!)),0,(LOOKUP(AJ$16,$L105:$X105,#REF!)))</f>
        <v>0</v>
      </c>
      <c r="AK105" s="256">
        <f>IF(ISERROR(LOOKUP(AK$16,$L105:$X105,#REF!)),0,(LOOKUP(AK$16,$L105:$X105,#REF!)))</f>
        <v>0</v>
      </c>
      <c r="AL105" s="256">
        <f>IF(ISERROR(LOOKUP(AL$16,$L105:$X105,#REF!)),0,(LOOKUP(AL$16,$L105:$X105,#REF!)))</f>
        <v>0</v>
      </c>
      <c r="AM105" s="256">
        <f ca="1">IF(ISERROR(LOOKUP(AM$16,$L105:$X105,#REF!)),0,(LOOKUP(AM$16,$L105:$X105,#REF!)))</f>
        <v>0</v>
      </c>
      <c r="AP105" s="247" t="e">
        <f>WORKDAY(IF(T106="",T105,T106),INDEX(AP$12:AP$15,MATCH($I104,$I$12:$I$15,0)),$AW$17:$AW$148)</f>
        <v>#REF!</v>
      </c>
      <c r="AQ105" s="247" t="e">
        <f>WORKDAY(IF(AP106="",AP105,AP106),INDEX(AQ$12:AQ$15,MATCH($I104,$I$12:$I$15,0)),$AW$17:$AW$148)</f>
        <v>#REF!</v>
      </c>
      <c r="AR105" s="247" t="e">
        <f>WORKDAY(IF(AQ106="",AQ105,AQ106),INDEX(AR$12:AR$15,MATCH($I104,$I$12:$I$15,0)),$AW$17:$AW$148)</f>
        <v>#REF!</v>
      </c>
      <c r="AS105" s="257"/>
      <c r="AW105" s="258" t="e">
        <v>#REF!</v>
      </c>
    </row>
    <row r="106" s="195" customFormat="1" ht="18" customHeight="1" spans="1:49">
      <c r="A106" s="241"/>
      <c r="B106" s="262"/>
      <c r="C106" s="243" t="str">
        <f>C104</f>
        <v>RFQ-030</v>
      </c>
      <c r="D106" s="243" t="str">
        <f>D104</f>
        <v>Pressure Transmitter</v>
      </c>
      <c r="E106" s="263"/>
      <c r="F106" s="305" t="str">
        <f>F104</f>
        <v>Instrument</v>
      </c>
      <c r="G106" s="243" t="str">
        <f>G104</f>
        <v>N</v>
      </c>
      <c r="H106" s="263"/>
      <c r="I106" s="243" t="str">
        <f>I104</f>
        <v>LC</v>
      </c>
      <c r="J106" s="303" t="s">
        <v>66</v>
      </c>
      <c r="K106" s="243"/>
      <c r="L106" s="243"/>
      <c r="M106" s="243"/>
      <c r="N106" s="243"/>
      <c r="O106" s="243"/>
      <c r="P106" s="265"/>
      <c r="Q106" s="266"/>
      <c r="R106" s="243"/>
      <c r="S106" s="243"/>
      <c r="T106" s="243"/>
      <c r="U106" s="243"/>
      <c r="V106" s="243"/>
      <c r="W106" s="267"/>
      <c r="X106" s="243"/>
      <c r="Y106" s="251"/>
      <c r="Z106" s="253"/>
      <c r="AA106" s="253"/>
      <c r="AB106" s="254"/>
      <c r="AC106" s="268">
        <f>IF(ISERROR(LOOKUP(AC$16,$L106:$X106,#REF!)),0,(LOOKUP(AC$16,$L106:$X106,#REF!)))</f>
        <v>0</v>
      </c>
      <c r="AD106" s="269">
        <f>IF(ISERROR(LOOKUP(AD$16,$L106:$X106,#REF!)),0,(LOOKUP(AD$16,$L106:$X106,#REF!)))</f>
        <v>0</v>
      </c>
      <c r="AE106" s="269">
        <f>IF(ISERROR(LOOKUP(AE$16,$L106:$X106,#REF!)),0,(LOOKUP(AE$16,$L106:$X106,#REF!)))</f>
        <v>0</v>
      </c>
      <c r="AF106" s="269">
        <f>IF(ISERROR(LOOKUP(AF$16,$L106:$X106,#REF!)),0,(LOOKUP(AF$16,$L106:$X106,#REF!)))</f>
        <v>0</v>
      </c>
      <c r="AG106" s="269">
        <f>IF(ISERROR(LOOKUP(AG$16,$L106:$X106,#REF!)),0,(LOOKUP(AG$16,$L106:$X106,#REF!)))</f>
        <v>0</v>
      </c>
      <c r="AH106" s="269">
        <f>IF(ISERROR(LOOKUP(AH$16,$L106:$X106,#REF!)),0,(LOOKUP(AH$16,$L106:$X106,#REF!)))</f>
        <v>0</v>
      </c>
      <c r="AI106" s="269">
        <f>IF(ISERROR(LOOKUP(AI$16,$L106:$X106,#REF!)),0,(LOOKUP(AI$16,$L106:$X106,#REF!)))</f>
        <v>0</v>
      </c>
      <c r="AJ106" s="269">
        <f>IF(ISERROR(LOOKUP(AJ$16,$L106:$X106,#REF!)),0,(LOOKUP(AJ$16,$L106:$X106,#REF!)))</f>
        <v>0</v>
      </c>
      <c r="AK106" s="269">
        <f>IF(ISERROR(LOOKUP(AK$16,$L106:$X106,#REF!)),0,(LOOKUP(AK$16,$L106:$X106,#REF!)))</f>
        <v>0</v>
      </c>
      <c r="AL106" s="269">
        <f>IF(ISERROR(LOOKUP(AL$16,$L106:$X106,#REF!)),0,(LOOKUP(AL$16,$L106:$X106,#REF!)))</f>
        <v>0</v>
      </c>
      <c r="AM106" s="269">
        <f ca="1">IF(ISERROR(LOOKUP(AM$16,$L106:$X106,#REF!)),0,(LOOKUP(AM$16,$L106:$X106,#REF!)))</f>
        <v>0</v>
      </c>
      <c r="AP106" s="243"/>
      <c r="AQ106" s="243"/>
      <c r="AR106" s="243"/>
      <c r="AS106" s="257"/>
      <c r="AW106" s="258" t="e">
        <v>#REF!</v>
      </c>
    </row>
    <row r="107" s="195" customFormat="1" ht="18" customHeight="1" spans="1:49">
      <c r="A107" s="241">
        <f>A104+1</f>
        <v>31</v>
      </c>
      <c r="B107" s="242"/>
      <c r="C107" s="243" t="s">
        <v>4811</v>
      </c>
      <c r="D107" s="243" t="s">
        <v>170</v>
      </c>
      <c r="E107" s="244"/>
      <c r="F107" s="302" t="s">
        <v>136</v>
      </c>
      <c r="G107" s="243" t="s">
        <v>72</v>
      </c>
      <c r="H107" s="244"/>
      <c r="I107" s="243" t="s">
        <v>8</v>
      </c>
      <c r="J107" s="303" t="s">
        <v>4769</v>
      </c>
      <c r="K107" s="247">
        <f>WORKDAY(L107,-INDEX(L$12:L$15,MATCH($I107,$I$12:$I$15,0)))</f>
        <v>46315</v>
      </c>
      <c r="L107" s="247">
        <f>WORKDAY(M107,-INDEX(M$12:M$15,MATCH($I107,$I$12:$I$15,0)))</f>
        <v>46318</v>
      </c>
      <c r="M107" s="247">
        <f>WORKDAY(N107,-INDEX(N$12:N$15,MATCH($I107,$I$12:$I$15,0)))</f>
        <v>46332</v>
      </c>
      <c r="N107" s="247">
        <f>WORKDAY(O107,-INDEX(O$12:O$15,MATCH($I107,$I$12:$I$15,0)))</f>
        <v>46335</v>
      </c>
      <c r="O107" s="247">
        <f>WORKDAY(R107,-INDEX(R$12:R$15,MATCH($I107,$I$12:$I$15,0)))</f>
        <v>46349</v>
      </c>
      <c r="P107" s="248">
        <f>U107-L107</f>
        <v>94</v>
      </c>
      <c r="Q107" s="249"/>
      <c r="R107" s="247">
        <f>WORKDAY(S107,-INDEX(S$12:S$15,MATCH($I107,$I$12:$I$15,0)))</f>
        <v>46363</v>
      </c>
      <c r="S107" s="247">
        <f>WORKDAY(T107,-INDEX(T$12:T$15,MATCH($I107,$I$12:$I$15,0)))</f>
        <v>46384</v>
      </c>
      <c r="T107" s="247">
        <f>WORKDAY(U107,-INDEX(U$12:U$15,MATCH($I107,$I$12:$I$15,0)))</f>
        <v>46398</v>
      </c>
      <c r="U107" s="247">
        <f>X107-Y107</f>
        <v>46412</v>
      </c>
      <c r="V107" s="247">
        <f>WORKDAY(U107,INDEX(V$12:V$15,MATCH($I107,$I$12:$I$15,0)))</f>
        <v>46414</v>
      </c>
      <c r="W107" s="250">
        <f>Y107/7</f>
        <v>18</v>
      </c>
      <c r="X107" s="247">
        <f>Z107</f>
        <v>46538</v>
      </c>
      <c r="Y107" s="251">
        <f>18*7</f>
        <v>126</v>
      </c>
      <c r="Z107" s="253">
        <v>46538</v>
      </c>
      <c r="AA107" s="253">
        <v>46538</v>
      </c>
      <c r="AB107" s="254">
        <f>Z107-X108</f>
        <v>0</v>
      </c>
      <c r="AC107" s="255">
        <f>IF(ISERROR(LOOKUP(AC$16,$L107:$X107,#REF!)),0,(LOOKUP(AC$16,$L107:$X107,#REF!)))</f>
        <v>0</v>
      </c>
      <c r="AD107" s="256">
        <f>IF(ISERROR(LOOKUP(AD$16,$L107:$X107,#REF!)),0,(LOOKUP(AD$16,$L107:$X107,#REF!)))</f>
        <v>0</v>
      </c>
      <c r="AE107" s="256">
        <f>IF(ISERROR(LOOKUP(AE$16,$L107:$X107,#REF!)),0,(LOOKUP(AE$16,$L107:$X107,#REF!)))</f>
        <v>0</v>
      </c>
      <c r="AF107" s="256">
        <f>IF(ISERROR(LOOKUP(AF$16,$L107:$X107,#REF!)),0,(LOOKUP(AF$16,$L107:$X107,#REF!)))</f>
        <v>0</v>
      </c>
      <c r="AG107" s="256">
        <f>IF(ISERROR(LOOKUP(AG$16,$L107:$X107,#REF!)),0,(LOOKUP(AG$16,$L107:$X107,#REF!)))</f>
        <v>0</v>
      </c>
      <c r="AH107" s="256">
        <f>IF(ISERROR(LOOKUP(AH$16,$L107:$X107,#REF!)),0,(LOOKUP(AH$16,$L107:$X107,#REF!)))</f>
        <v>0</v>
      </c>
      <c r="AI107" s="256">
        <f>IF(ISERROR(LOOKUP(AI$16,$L107:$X107,#REF!)),0,(LOOKUP(AI$16,$L107:$X107,#REF!)))</f>
        <v>0</v>
      </c>
      <c r="AJ107" s="256">
        <f>IF(ISERROR(LOOKUP(AJ$16,$L107:$X107,#REF!)),0,(LOOKUP(AJ$16,$L107:$X107,#REF!)))</f>
        <v>0</v>
      </c>
      <c r="AK107" s="256">
        <f>IF(ISERROR(LOOKUP(AK$16,$L107:$X107,#REF!)),0,(LOOKUP(AK$16,$L107:$X107,#REF!)))</f>
        <v>0</v>
      </c>
      <c r="AL107" s="256">
        <f>IF(ISERROR(LOOKUP(AL$16,$L107:$X107,#REF!)),0,(LOOKUP(AL$16,$L107:$X107,#REF!)))</f>
        <v>0</v>
      </c>
      <c r="AM107" s="256">
        <f ca="1">IF(ISERROR(LOOKUP(AM$16,$L107:$X107,#REF!)),0,(LOOKUP(AM$16,$L107:$X107,#REF!)))</f>
        <v>0</v>
      </c>
      <c r="AP107" s="247" t="e">
        <f>WORKDAY(AQ107,-INDEX(AQ$12:AQ$15,MATCH($I107,$I$12:$I$15,0)),$AW$17:$AW$148)</f>
        <v>#REF!</v>
      </c>
      <c r="AQ107" s="247" t="e">
        <f>WORKDAY(U107,-INDEX(U$12:U$15,MATCH($I107,$I$12:$I$15,0)),$AW$17:$AW$148)</f>
        <v>#REF!</v>
      </c>
      <c r="AR107" s="247" t="e">
        <f>WORKDAY(U107,-INDEX(U$12:U$15,MATCH($I107,$I$12:$I$15,0)),$AW$17:$AW$148)</f>
        <v>#REF!</v>
      </c>
      <c r="AS107" s="257">
        <v>7</v>
      </c>
      <c r="AW107" s="258" t="e">
        <v>#REF!</v>
      </c>
    </row>
    <row r="108" s="195" customFormat="1" ht="18" customHeight="1" spans="1:49">
      <c r="A108" s="241"/>
      <c r="B108" s="259"/>
      <c r="C108" s="243" t="str">
        <f>C107</f>
        <v>RFQ-031</v>
      </c>
      <c r="D108" s="243" t="str">
        <f>D107</f>
        <v>Temperature Gauge</v>
      </c>
      <c r="E108" s="260"/>
      <c r="F108" s="304" t="str">
        <f>F107</f>
        <v>Instrument</v>
      </c>
      <c r="G108" s="243" t="str">
        <f>G107</f>
        <v>N</v>
      </c>
      <c r="H108" s="260"/>
      <c r="I108" s="243" t="str">
        <f>I107</f>
        <v>LC</v>
      </c>
      <c r="J108" s="303" t="s">
        <v>64</v>
      </c>
      <c r="K108" s="247">
        <f>K107</f>
        <v>46315</v>
      </c>
      <c r="L108" s="247">
        <f>WORKDAY(IF(K109="",K108,K109),INDEX(L$12:L$15,MATCH($I107,$I$12:$I$15,0)))</f>
        <v>46318</v>
      </c>
      <c r="M108" s="247">
        <f>WORKDAY(IF(L109="",L108,L109),INDEX(M$12:M$15,MATCH($I107,$I$12:$I$15,0)))</f>
        <v>46332</v>
      </c>
      <c r="N108" s="247">
        <f>WORKDAY(IF(M109="",M108,M109),INDEX(N$12:N$15,MATCH($I107,$I$12:$I$15,0)))</f>
        <v>46335</v>
      </c>
      <c r="O108" s="247">
        <f>WORKDAY(IF(N109="",N108,N109),INDEX(O$12:O$15,MATCH($I107,$I$12:$I$15,0)))</f>
        <v>46349</v>
      </c>
      <c r="P108" s="248"/>
      <c r="Q108" s="249"/>
      <c r="R108" s="247">
        <f>WORKDAY(IF(O109="",O108,O109),INDEX(R$12:R$15,MATCH($I107,$I$12:$I$15,0)))</f>
        <v>46363</v>
      </c>
      <c r="S108" s="247">
        <f>WORKDAY(IF(R109="",R108,R109),INDEX(S$12:S$15,MATCH($I107,$I$12:$I$15,0)))</f>
        <v>46384</v>
      </c>
      <c r="T108" s="247">
        <f>WORKDAY(IF(S109="",S108,S109),INDEX(T$12:T$15,MATCH($I107,$I$12:$I$15,0)))</f>
        <v>46398</v>
      </c>
      <c r="U108" s="247">
        <f>WORKDAY(IF(T109="",T108,T109),INDEX(U$12:U$15,MATCH($I107,$I$12:$I$15,0)))</f>
        <v>46412</v>
      </c>
      <c r="V108" s="247">
        <f>WORKDAY(IF(U109="",U108,U109),INDEX(V$12:V$15,MATCH($I107,$I$12:$I$15,0)))</f>
        <v>46414</v>
      </c>
      <c r="W108" s="250"/>
      <c r="X108" s="247">
        <f>U108+Y107</f>
        <v>46538</v>
      </c>
      <c r="Y108" s="251"/>
      <c r="Z108" s="253"/>
      <c r="AA108" s="253"/>
      <c r="AB108" s="254"/>
      <c r="AC108" s="255">
        <f>IF(ISERROR(LOOKUP(AC$16,$L108:$X108,#REF!)),0,(LOOKUP(AC$16,$L108:$X108,#REF!)))</f>
        <v>0</v>
      </c>
      <c r="AD108" s="256">
        <f>IF(ISERROR(LOOKUP(AD$16,$L108:$X108,#REF!)),0,(LOOKUP(AD$16,$L108:$X108,#REF!)))</f>
        <v>0</v>
      </c>
      <c r="AE108" s="256">
        <f>IF(ISERROR(LOOKUP(AE$16,$L108:$X108,#REF!)),0,(LOOKUP(AE$16,$L108:$X108,#REF!)))</f>
        <v>0</v>
      </c>
      <c r="AF108" s="256">
        <f>IF(ISERROR(LOOKUP(AF$16,$L108:$X108,#REF!)),0,(LOOKUP(AF$16,$L108:$X108,#REF!)))</f>
        <v>0</v>
      </c>
      <c r="AG108" s="256">
        <f>IF(ISERROR(LOOKUP(AG$16,$L108:$X108,#REF!)),0,(LOOKUP(AG$16,$L108:$X108,#REF!)))</f>
        <v>0</v>
      </c>
      <c r="AH108" s="256">
        <f>IF(ISERROR(LOOKUP(AH$16,$L108:$X108,#REF!)),0,(LOOKUP(AH$16,$L108:$X108,#REF!)))</f>
        <v>0</v>
      </c>
      <c r="AI108" s="256">
        <f>IF(ISERROR(LOOKUP(AI$16,$L108:$X108,#REF!)),0,(LOOKUP(AI$16,$L108:$X108,#REF!)))</f>
        <v>0</v>
      </c>
      <c r="AJ108" s="256">
        <f>IF(ISERROR(LOOKUP(AJ$16,$L108:$X108,#REF!)),0,(LOOKUP(AJ$16,$L108:$X108,#REF!)))</f>
        <v>0</v>
      </c>
      <c r="AK108" s="256">
        <f>IF(ISERROR(LOOKUP(AK$16,$L108:$X108,#REF!)),0,(LOOKUP(AK$16,$L108:$X108,#REF!)))</f>
        <v>0</v>
      </c>
      <c r="AL108" s="256">
        <f>IF(ISERROR(LOOKUP(AL$16,$L108:$X108,#REF!)),0,(LOOKUP(AL$16,$L108:$X108,#REF!)))</f>
        <v>0</v>
      </c>
      <c r="AM108" s="256">
        <f ca="1">IF(ISERROR(LOOKUP(AM$16,$L108:$X108,#REF!)),0,(LOOKUP(AM$16,$L108:$X108,#REF!)))</f>
        <v>0</v>
      </c>
      <c r="AP108" s="247" t="e">
        <f>WORKDAY(IF(T109="",T108,T109),INDEX(AP$12:AP$15,MATCH($I107,$I$12:$I$15,0)),$AW$17:$AW$148)</f>
        <v>#REF!</v>
      </c>
      <c r="AQ108" s="247" t="e">
        <f>WORKDAY(IF(AP109="",AP108,AP109),INDEX(AQ$12:AQ$15,MATCH($I107,$I$12:$I$15,0)),$AW$17:$AW$148)</f>
        <v>#REF!</v>
      </c>
      <c r="AR108" s="247" t="e">
        <f>WORKDAY(IF(AQ109="",AQ108,AQ109),INDEX(AR$12:AR$15,MATCH($I107,$I$12:$I$15,0)),$AW$17:$AW$148)</f>
        <v>#REF!</v>
      </c>
      <c r="AS108" s="257"/>
      <c r="AW108" s="258" t="e">
        <v>#REF!</v>
      </c>
    </row>
    <row r="109" s="195" customFormat="1" ht="18" customHeight="1" spans="1:49">
      <c r="A109" s="241"/>
      <c r="B109" s="262"/>
      <c r="C109" s="243" t="str">
        <f>C107</f>
        <v>RFQ-031</v>
      </c>
      <c r="D109" s="243" t="str">
        <f>D107</f>
        <v>Temperature Gauge</v>
      </c>
      <c r="E109" s="263"/>
      <c r="F109" s="305" t="str">
        <f>F107</f>
        <v>Instrument</v>
      </c>
      <c r="G109" s="243" t="str">
        <f>G107</f>
        <v>N</v>
      </c>
      <c r="H109" s="263"/>
      <c r="I109" s="243" t="str">
        <f>I107</f>
        <v>LC</v>
      </c>
      <c r="J109" s="303" t="s">
        <v>66</v>
      </c>
      <c r="K109" s="243"/>
      <c r="L109" s="243"/>
      <c r="M109" s="243"/>
      <c r="N109" s="243"/>
      <c r="O109" s="243"/>
      <c r="P109" s="265"/>
      <c r="Q109" s="266"/>
      <c r="R109" s="243"/>
      <c r="S109" s="243"/>
      <c r="T109" s="243"/>
      <c r="U109" s="243"/>
      <c r="V109" s="243"/>
      <c r="W109" s="267"/>
      <c r="X109" s="243"/>
      <c r="Y109" s="251"/>
      <c r="Z109" s="253"/>
      <c r="AA109" s="253"/>
      <c r="AB109" s="254"/>
      <c r="AC109" s="268">
        <f>IF(ISERROR(LOOKUP(AC$16,$L109:$X109,#REF!)),0,(LOOKUP(AC$16,$L109:$X109,#REF!)))</f>
        <v>0</v>
      </c>
      <c r="AD109" s="269">
        <f>IF(ISERROR(LOOKUP(AD$16,$L109:$X109,#REF!)),0,(LOOKUP(AD$16,$L109:$X109,#REF!)))</f>
        <v>0</v>
      </c>
      <c r="AE109" s="269">
        <f>IF(ISERROR(LOOKUP(AE$16,$L109:$X109,#REF!)),0,(LOOKUP(AE$16,$L109:$X109,#REF!)))</f>
        <v>0</v>
      </c>
      <c r="AF109" s="269">
        <f>IF(ISERROR(LOOKUP(AF$16,$L109:$X109,#REF!)),0,(LOOKUP(AF$16,$L109:$X109,#REF!)))</f>
        <v>0</v>
      </c>
      <c r="AG109" s="269">
        <f>IF(ISERROR(LOOKUP(AG$16,$L109:$X109,#REF!)),0,(LOOKUP(AG$16,$L109:$X109,#REF!)))</f>
        <v>0</v>
      </c>
      <c r="AH109" s="269">
        <f>IF(ISERROR(LOOKUP(AH$16,$L109:$X109,#REF!)),0,(LOOKUP(AH$16,$L109:$X109,#REF!)))</f>
        <v>0</v>
      </c>
      <c r="AI109" s="269">
        <f>IF(ISERROR(LOOKUP(AI$16,$L109:$X109,#REF!)),0,(LOOKUP(AI$16,$L109:$X109,#REF!)))</f>
        <v>0</v>
      </c>
      <c r="AJ109" s="269">
        <f>IF(ISERROR(LOOKUP(AJ$16,$L109:$X109,#REF!)),0,(LOOKUP(AJ$16,$L109:$X109,#REF!)))</f>
        <v>0</v>
      </c>
      <c r="AK109" s="269">
        <f>IF(ISERROR(LOOKUP(AK$16,$L109:$X109,#REF!)),0,(LOOKUP(AK$16,$L109:$X109,#REF!)))</f>
        <v>0</v>
      </c>
      <c r="AL109" s="269">
        <f>IF(ISERROR(LOOKUP(AL$16,$L109:$X109,#REF!)),0,(LOOKUP(AL$16,$L109:$X109,#REF!)))</f>
        <v>0</v>
      </c>
      <c r="AM109" s="269">
        <f ca="1">IF(ISERROR(LOOKUP(AM$16,$L109:$X109,#REF!)),0,(LOOKUP(AM$16,$L109:$X109,#REF!)))</f>
        <v>0</v>
      </c>
      <c r="AP109" s="243"/>
      <c r="AQ109" s="243"/>
      <c r="AR109" s="243"/>
      <c r="AS109" s="257"/>
      <c r="AW109" s="258" t="e">
        <v>#REF!</v>
      </c>
    </row>
    <row r="110" s="195" customFormat="1" ht="18" customHeight="1" spans="1:49">
      <c r="A110" s="241">
        <f>A107+1</f>
        <v>32</v>
      </c>
      <c r="B110" s="242"/>
      <c r="C110" s="243" t="s">
        <v>4812</v>
      </c>
      <c r="D110" s="243" t="s">
        <v>172</v>
      </c>
      <c r="E110" s="244"/>
      <c r="F110" s="302" t="s">
        <v>136</v>
      </c>
      <c r="G110" s="243" t="s">
        <v>72</v>
      </c>
      <c r="H110" s="244"/>
      <c r="I110" s="243" t="s">
        <v>8</v>
      </c>
      <c r="J110" s="303" t="s">
        <v>4769</v>
      </c>
      <c r="K110" s="247">
        <f>WORKDAY(L110,-INDEX(L$12:L$15,MATCH($I110,$I$12:$I$15,0)))</f>
        <v>46315</v>
      </c>
      <c r="L110" s="247">
        <f>WORKDAY(M110,-INDEX(M$12:M$15,MATCH($I110,$I$12:$I$15,0)))</f>
        <v>46318</v>
      </c>
      <c r="M110" s="247">
        <f>WORKDAY(N110,-INDEX(N$12:N$15,MATCH($I110,$I$12:$I$15,0)))</f>
        <v>46332</v>
      </c>
      <c r="N110" s="247">
        <f>WORKDAY(O110,-INDEX(O$12:O$15,MATCH($I110,$I$12:$I$15,0)))</f>
        <v>46335</v>
      </c>
      <c r="O110" s="247">
        <f>WORKDAY(R110,-INDEX(R$12:R$15,MATCH($I110,$I$12:$I$15,0)))</f>
        <v>46349</v>
      </c>
      <c r="P110" s="248">
        <f>U110-L110</f>
        <v>94</v>
      </c>
      <c r="Q110" s="249"/>
      <c r="R110" s="247">
        <f>WORKDAY(S110,-INDEX(S$12:S$15,MATCH($I110,$I$12:$I$15,0)))</f>
        <v>46363</v>
      </c>
      <c r="S110" s="247">
        <f>WORKDAY(T110,-INDEX(T$12:T$15,MATCH($I110,$I$12:$I$15,0)))</f>
        <v>46384</v>
      </c>
      <c r="T110" s="247">
        <f>WORKDAY(U110,-INDEX(U$12:U$15,MATCH($I110,$I$12:$I$15,0)))</f>
        <v>46398</v>
      </c>
      <c r="U110" s="247">
        <f>X110-Y110</f>
        <v>46412</v>
      </c>
      <c r="V110" s="247">
        <f>WORKDAY(U110,INDEX(V$12:V$15,MATCH($I110,$I$12:$I$15,0)))</f>
        <v>46414</v>
      </c>
      <c r="W110" s="250">
        <f>Y110/7</f>
        <v>18</v>
      </c>
      <c r="X110" s="247">
        <f>Z110</f>
        <v>46538</v>
      </c>
      <c r="Y110" s="251">
        <f>18*7</f>
        <v>126</v>
      </c>
      <c r="Z110" s="253">
        <v>46538</v>
      </c>
      <c r="AA110" s="253">
        <v>46538</v>
      </c>
      <c r="AB110" s="254">
        <f>Z110-X111</f>
        <v>0</v>
      </c>
      <c r="AC110" s="255">
        <f>IF(ISERROR(LOOKUP(AC$16,$L110:$X110,#REF!)),0,(LOOKUP(AC$16,$L110:$X110,#REF!)))</f>
        <v>0</v>
      </c>
      <c r="AD110" s="256">
        <f>IF(ISERROR(LOOKUP(AD$16,$L110:$X110,#REF!)),0,(LOOKUP(AD$16,$L110:$X110,#REF!)))</f>
        <v>0</v>
      </c>
      <c r="AE110" s="256">
        <f>IF(ISERROR(LOOKUP(AE$16,$L110:$X110,#REF!)),0,(LOOKUP(AE$16,$L110:$X110,#REF!)))</f>
        <v>0</v>
      </c>
      <c r="AF110" s="256">
        <f>IF(ISERROR(LOOKUP(AF$16,$L110:$X110,#REF!)),0,(LOOKUP(AF$16,$L110:$X110,#REF!)))</f>
        <v>0</v>
      </c>
      <c r="AG110" s="256">
        <f>IF(ISERROR(LOOKUP(AG$16,$L110:$X110,#REF!)),0,(LOOKUP(AG$16,$L110:$X110,#REF!)))</f>
        <v>0</v>
      </c>
      <c r="AH110" s="256">
        <f>IF(ISERROR(LOOKUP(AH$16,$L110:$X110,#REF!)),0,(LOOKUP(AH$16,$L110:$X110,#REF!)))</f>
        <v>0</v>
      </c>
      <c r="AI110" s="256">
        <f>IF(ISERROR(LOOKUP(AI$16,$L110:$X110,#REF!)),0,(LOOKUP(AI$16,$L110:$X110,#REF!)))</f>
        <v>0</v>
      </c>
      <c r="AJ110" s="256">
        <f>IF(ISERROR(LOOKUP(AJ$16,$L110:$X110,#REF!)),0,(LOOKUP(AJ$16,$L110:$X110,#REF!)))</f>
        <v>0</v>
      </c>
      <c r="AK110" s="256">
        <f>IF(ISERROR(LOOKUP(AK$16,$L110:$X110,#REF!)),0,(LOOKUP(AK$16,$L110:$X110,#REF!)))</f>
        <v>0</v>
      </c>
      <c r="AL110" s="256">
        <f>IF(ISERROR(LOOKUP(AL$16,$L110:$X110,#REF!)),0,(LOOKUP(AL$16,$L110:$X110,#REF!)))</f>
        <v>0</v>
      </c>
      <c r="AM110" s="256">
        <f ca="1">IF(ISERROR(LOOKUP(AM$16,$L110:$X110,#REF!)),0,(LOOKUP(AM$16,$L110:$X110,#REF!)))</f>
        <v>0</v>
      </c>
      <c r="AP110" s="247" t="e">
        <f>WORKDAY(AQ110,-INDEX(AQ$12:AQ$15,MATCH($I110,$I$12:$I$15,0)),$AW$17:$AW$148)</f>
        <v>#REF!</v>
      </c>
      <c r="AQ110" s="247" t="e">
        <f>WORKDAY(U110,-INDEX(U$12:U$15,MATCH($I110,$I$12:$I$15,0)),$AW$17:$AW$148)</f>
        <v>#REF!</v>
      </c>
      <c r="AR110" s="247" t="e">
        <f>WORKDAY(U110,-INDEX(U$12:U$15,MATCH($I110,$I$12:$I$15,0)),$AW$17:$AW$148)</f>
        <v>#REF!</v>
      </c>
      <c r="AS110" s="257">
        <v>7</v>
      </c>
      <c r="AW110" s="258" t="e">
        <v>#REF!</v>
      </c>
    </row>
    <row r="111" s="195" customFormat="1" ht="18" customHeight="1" spans="1:49">
      <c r="A111" s="241"/>
      <c r="B111" s="259"/>
      <c r="C111" s="243" t="str">
        <f>C110</f>
        <v>RFQ-032</v>
      </c>
      <c r="D111" s="243" t="str">
        <f>D110</f>
        <v>Temperature Transmitter</v>
      </c>
      <c r="E111" s="260"/>
      <c r="F111" s="304" t="str">
        <f>F110</f>
        <v>Instrument</v>
      </c>
      <c r="G111" s="243" t="str">
        <f>G110</f>
        <v>N</v>
      </c>
      <c r="H111" s="260"/>
      <c r="I111" s="243" t="str">
        <f>I110</f>
        <v>LC</v>
      </c>
      <c r="J111" s="303" t="s">
        <v>64</v>
      </c>
      <c r="K111" s="247">
        <f>K110</f>
        <v>46315</v>
      </c>
      <c r="L111" s="247">
        <f>WORKDAY(IF(K112="",K111,K112),INDEX(L$12:L$15,MATCH($I110,$I$12:$I$15,0)))</f>
        <v>46318</v>
      </c>
      <c r="M111" s="247">
        <f>WORKDAY(IF(L112="",L111,L112),INDEX(M$12:M$15,MATCH($I110,$I$12:$I$15,0)))</f>
        <v>46332</v>
      </c>
      <c r="N111" s="247">
        <f>WORKDAY(IF(M112="",M111,M112),INDEX(N$12:N$15,MATCH($I110,$I$12:$I$15,0)))</f>
        <v>46335</v>
      </c>
      <c r="O111" s="247">
        <f>WORKDAY(IF(N112="",N111,N112),INDEX(O$12:O$15,MATCH($I110,$I$12:$I$15,0)))</f>
        <v>46349</v>
      </c>
      <c r="P111" s="248"/>
      <c r="Q111" s="249"/>
      <c r="R111" s="247">
        <f>WORKDAY(IF(O112="",O111,O112),INDEX(R$12:R$15,MATCH($I110,$I$12:$I$15,0)))</f>
        <v>46363</v>
      </c>
      <c r="S111" s="247">
        <f>WORKDAY(IF(R112="",R111,R112),INDEX(S$12:S$15,MATCH($I110,$I$12:$I$15,0)))</f>
        <v>46384</v>
      </c>
      <c r="T111" s="247">
        <f>WORKDAY(IF(S112="",S111,S112),INDEX(T$12:T$15,MATCH($I110,$I$12:$I$15,0)))</f>
        <v>46398</v>
      </c>
      <c r="U111" s="247">
        <f>WORKDAY(IF(T112="",T111,T112),INDEX(U$12:U$15,MATCH($I110,$I$12:$I$15,0)))</f>
        <v>46412</v>
      </c>
      <c r="V111" s="247">
        <f>WORKDAY(IF(U112="",U111,U112),INDEX(V$12:V$15,MATCH($I110,$I$12:$I$15,0)))</f>
        <v>46414</v>
      </c>
      <c r="W111" s="250"/>
      <c r="X111" s="247">
        <f>U111+Y110</f>
        <v>46538</v>
      </c>
      <c r="Y111" s="251"/>
      <c r="Z111" s="253"/>
      <c r="AA111" s="253"/>
      <c r="AB111" s="254"/>
      <c r="AC111" s="255">
        <f>IF(ISERROR(LOOKUP(AC$16,$L111:$X111,#REF!)),0,(LOOKUP(AC$16,$L111:$X111,#REF!)))</f>
        <v>0</v>
      </c>
      <c r="AD111" s="256">
        <f>IF(ISERROR(LOOKUP(AD$16,$L111:$X111,#REF!)),0,(LOOKUP(AD$16,$L111:$X111,#REF!)))</f>
        <v>0</v>
      </c>
      <c r="AE111" s="256">
        <f>IF(ISERROR(LOOKUP(AE$16,$L111:$X111,#REF!)),0,(LOOKUP(AE$16,$L111:$X111,#REF!)))</f>
        <v>0</v>
      </c>
      <c r="AF111" s="256">
        <f>IF(ISERROR(LOOKUP(AF$16,$L111:$X111,#REF!)),0,(LOOKUP(AF$16,$L111:$X111,#REF!)))</f>
        <v>0</v>
      </c>
      <c r="AG111" s="256">
        <f>IF(ISERROR(LOOKUP(AG$16,$L111:$X111,#REF!)),0,(LOOKUP(AG$16,$L111:$X111,#REF!)))</f>
        <v>0</v>
      </c>
      <c r="AH111" s="256">
        <f>IF(ISERROR(LOOKUP(AH$16,$L111:$X111,#REF!)),0,(LOOKUP(AH$16,$L111:$X111,#REF!)))</f>
        <v>0</v>
      </c>
      <c r="AI111" s="256">
        <f>IF(ISERROR(LOOKUP(AI$16,$L111:$X111,#REF!)),0,(LOOKUP(AI$16,$L111:$X111,#REF!)))</f>
        <v>0</v>
      </c>
      <c r="AJ111" s="256">
        <f>IF(ISERROR(LOOKUP(AJ$16,$L111:$X111,#REF!)),0,(LOOKUP(AJ$16,$L111:$X111,#REF!)))</f>
        <v>0</v>
      </c>
      <c r="AK111" s="256">
        <f>IF(ISERROR(LOOKUP(AK$16,$L111:$X111,#REF!)),0,(LOOKUP(AK$16,$L111:$X111,#REF!)))</f>
        <v>0</v>
      </c>
      <c r="AL111" s="256">
        <f>IF(ISERROR(LOOKUP(AL$16,$L111:$X111,#REF!)),0,(LOOKUP(AL$16,$L111:$X111,#REF!)))</f>
        <v>0</v>
      </c>
      <c r="AM111" s="256">
        <f ca="1">IF(ISERROR(LOOKUP(AM$16,$L111:$X111,#REF!)),0,(LOOKUP(AM$16,$L111:$X111,#REF!)))</f>
        <v>0</v>
      </c>
      <c r="AP111" s="247" t="e">
        <f>WORKDAY(IF(T112="",T111,T112),INDEX(AP$12:AP$15,MATCH($I110,$I$12:$I$15,0)),$AW$17:$AW$148)</f>
        <v>#REF!</v>
      </c>
      <c r="AQ111" s="247" t="e">
        <f>WORKDAY(IF(AP112="",AP111,AP112),INDEX(AQ$12:AQ$15,MATCH($I110,$I$12:$I$15,0)),$AW$17:$AW$148)</f>
        <v>#REF!</v>
      </c>
      <c r="AR111" s="247" t="e">
        <f>WORKDAY(IF(AQ112="",AQ111,AQ112),INDEX(AR$12:AR$15,MATCH($I110,$I$12:$I$15,0)),$AW$17:$AW$148)</f>
        <v>#REF!</v>
      </c>
      <c r="AS111" s="257"/>
      <c r="AW111" s="258" t="e">
        <v>#REF!</v>
      </c>
    </row>
    <row r="112" s="195" customFormat="1" ht="18" customHeight="1" spans="1:49">
      <c r="A112" s="241"/>
      <c r="B112" s="262"/>
      <c r="C112" s="243" t="str">
        <f>C110</f>
        <v>RFQ-032</v>
      </c>
      <c r="D112" s="243" t="str">
        <f>D110</f>
        <v>Temperature Transmitter</v>
      </c>
      <c r="E112" s="263"/>
      <c r="F112" s="305" t="str">
        <f>F110</f>
        <v>Instrument</v>
      </c>
      <c r="G112" s="243" t="str">
        <f>G110</f>
        <v>N</v>
      </c>
      <c r="H112" s="263"/>
      <c r="I112" s="243" t="str">
        <f>I110</f>
        <v>LC</v>
      </c>
      <c r="J112" s="303" t="s">
        <v>66</v>
      </c>
      <c r="K112" s="243"/>
      <c r="L112" s="243"/>
      <c r="M112" s="243"/>
      <c r="N112" s="243"/>
      <c r="O112" s="243"/>
      <c r="P112" s="265"/>
      <c r="Q112" s="266"/>
      <c r="R112" s="243"/>
      <c r="S112" s="243"/>
      <c r="T112" s="243"/>
      <c r="U112" s="243"/>
      <c r="V112" s="243"/>
      <c r="W112" s="267"/>
      <c r="X112" s="243"/>
      <c r="Y112" s="251"/>
      <c r="Z112" s="253"/>
      <c r="AA112" s="253"/>
      <c r="AB112" s="254"/>
      <c r="AC112" s="268">
        <f>IF(ISERROR(LOOKUP(AC$16,$L112:$X112,#REF!)),0,(LOOKUP(AC$16,$L112:$X112,#REF!)))</f>
        <v>0</v>
      </c>
      <c r="AD112" s="269">
        <f>IF(ISERROR(LOOKUP(AD$16,$L112:$X112,#REF!)),0,(LOOKUP(AD$16,$L112:$X112,#REF!)))</f>
        <v>0</v>
      </c>
      <c r="AE112" s="269">
        <f>IF(ISERROR(LOOKUP(AE$16,$L112:$X112,#REF!)),0,(LOOKUP(AE$16,$L112:$X112,#REF!)))</f>
        <v>0</v>
      </c>
      <c r="AF112" s="269">
        <f>IF(ISERROR(LOOKUP(AF$16,$L112:$X112,#REF!)),0,(LOOKUP(AF$16,$L112:$X112,#REF!)))</f>
        <v>0</v>
      </c>
      <c r="AG112" s="269">
        <f>IF(ISERROR(LOOKUP(AG$16,$L112:$X112,#REF!)),0,(LOOKUP(AG$16,$L112:$X112,#REF!)))</f>
        <v>0</v>
      </c>
      <c r="AH112" s="269">
        <f>IF(ISERROR(LOOKUP(AH$16,$L112:$X112,#REF!)),0,(LOOKUP(AH$16,$L112:$X112,#REF!)))</f>
        <v>0</v>
      </c>
      <c r="AI112" s="269">
        <f>IF(ISERROR(LOOKUP(AI$16,$L112:$X112,#REF!)),0,(LOOKUP(AI$16,$L112:$X112,#REF!)))</f>
        <v>0</v>
      </c>
      <c r="AJ112" s="269">
        <f>IF(ISERROR(LOOKUP(AJ$16,$L112:$X112,#REF!)),0,(LOOKUP(AJ$16,$L112:$X112,#REF!)))</f>
        <v>0</v>
      </c>
      <c r="AK112" s="269">
        <f>IF(ISERROR(LOOKUP(AK$16,$L112:$X112,#REF!)),0,(LOOKUP(AK$16,$L112:$X112,#REF!)))</f>
        <v>0</v>
      </c>
      <c r="AL112" s="269">
        <f>IF(ISERROR(LOOKUP(AL$16,$L112:$X112,#REF!)),0,(LOOKUP(AL$16,$L112:$X112,#REF!)))</f>
        <v>0</v>
      </c>
      <c r="AM112" s="269">
        <f ca="1">IF(ISERROR(LOOKUP(AM$16,$L112:$X112,#REF!)),0,(LOOKUP(AM$16,$L112:$X112,#REF!)))</f>
        <v>0</v>
      </c>
      <c r="AP112" s="243"/>
      <c r="AQ112" s="243"/>
      <c r="AR112" s="243"/>
      <c r="AS112" s="257"/>
      <c r="AW112" s="258" t="e">
        <v>#REF!</v>
      </c>
    </row>
    <row r="113" s="195" customFormat="1" ht="18" customHeight="1" spans="1:49">
      <c r="A113" s="241">
        <f>A110+1</f>
        <v>33</v>
      </c>
      <c r="B113" s="242"/>
      <c r="C113" s="243" t="s">
        <v>4813</v>
      </c>
      <c r="D113" s="243" t="s">
        <v>174</v>
      </c>
      <c r="E113" s="244"/>
      <c r="F113" s="302" t="s">
        <v>136</v>
      </c>
      <c r="G113" s="243" t="s">
        <v>72</v>
      </c>
      <c r="H113" s="244"/>
      <c r="I113" s="243" t="s">
        <v>8</v>
      </c>
      <c r="J113" s="303" t="s">
        <v>4769</v>
      </c>
      <c r="K113" s="247">
        <f>WORKDAY(L113,-INDEX(L$12:L$15,MATCH($I113,$I$12:$I$15,0)))</f>
        <v>46315</v>
      </c>
      <c r="L113" s="247">
        <f>WORKDAY(M113,-INDEX(M$12:M$15,MATCH($I113,$I$12:$I$15,0)))</f>
        <v>46318</v>
      </c>
      <c r="M113" s="247">
        <f>WORKDAY(N113,-INDEX(N$12:N$15,MATCH($I113,$I$12:$I$15,0)))</f>
        <v>46332</v>
      </c>
      <c r="N113" s="247">
        <f>WORKDAY(O113,-INDEX(O$12:O$15,MATCH($I113,$I$12:$I$15,0)))</f>
        <v>46335</v>
      </c>
      <c r="O113" s="247">
        <f>WORKDAY(R113,-INDEX(R$12:R$15,MATCH($I113,$I$12:$I$15,0)))</f>
        <v>46349</v>
      </c>
      <c r="P113" s="248">
        <f>U113-L113</f>
        <v>94</v>
      </c>
      <c r="Q113" s="249"/>
      <c r="R113" s="247">
        <f>WORKDAY(S113,-INDEX(S$12:S$15,MATCH($I113,$I$12:$I$15,0)))</f>
        <v>46363</v>
      </c>
      <c r="S113" s="247">
        <f>WORKDAY(T113,-INDEX(T$12:T$15,MATCH($I113,$I$12:$I$15,0)))</f>
        <v>46384</v>
      </c>
      <c r="T113" s="247">
        <f>WORKDAY(U113,-INDEX(U$12:U$15,MATCH($I113,$I$12:$I$15,0)))</f>
        <v>46398</v>
      </c>
      <c r="U113" s="247">
        <f>X113-Y113</f>
        <v>46412</v>
      </c>
      <c r="V113" s="247">
        <f>WORKDAY(U113,INDEX(V$12:V$15,MATCH($I113,$I$12:$I$15,0)))</f>
        <v>46414</v>
      </c>
      <c r="W113" s="250">
        <f>Y113/7</f>
        <v>18</v>
      </c>
      <c r="X113" s="247">
        <f>Z113</f>
        <v>46538</v>
      </c>
      <c r="Y113" s="251">
        <f t="shared" ref="Y113" si="1">18*7</f>
        <v>126</v>
      </c>
      <c r="Z113" s="253">
        <v>46538</v>
      </c>
      <c r="AA113" s="253">
        <v>46538</v>
      </c>
      <c r="AB113" s="254">
        <f>Z113-X114</f>
        <v>0</v>
      </c>
      <c r="AC113" s="255">
        <f>IF(ISERROR(LOOKUP(AC$16,$L113:$X113,#REF!)),0,(LOOKUP(AC$16,$L113:$X113,#REF!)))</f>
        <v>0</v>
      </c>
      <c r="AD113" s="256">
        <f>IF(ISERROR(LOOKUP(AD$16,$L113:$X113,#REF!)),0,(LOOKUP(AD$16,$L113:$X113,#REF!)))</f>
        <v>0</v>
      </c>
      <c r="AE113" s="256">
        <f>IF(ISERROR(LOOKUP(AE$16,$L113:$X113,#REF!)),0,(LOOKUP(AE$16,$L113:$X113,#REF!)))</f>
        <v>0</v>
      </c>
      <c r="AF113" s="256">
        <f>IF(ISERROR(LOOKUP(AF$16,$L113:$X113,#REF!)),0,(LOOKUP(AF$16,$L113:$X113,#REF!)))</f>
        <v>0</v>
      </c>
      <c r="AG113" s="256">
        <f>IF(ISERROR(LOOKUP(AG$16,$L113:$X113,#REF!)),0,(LOOKUP(AG$16,$L113:$X113,#REF!)))</f>
        <v>0</v>
      </c>
      <c r="AH113" s="256">
        <f>IF(ISERROR(LOOKUP(AH$16,$L113:$X113,#REF!)),0,(LOOKUP(AH$16,$L113:$X113,#REF!)))</f>
        <v>0</v>
      </c>
      <c r="AI113" s="256">
        <f>IF(ISERROR(LOOKUP(AI$16,$L113:$X113,#REF!)),0,(LOOKUP(AI$16,$L113:$X113,#REF!)))</f>
        <v>0</v>
      </c>
      <c r="AJ113" s="256">
        <f>IF(ISERROR(LOOKUP(AJ$16,$L113:$X113,#REF!)),0,(LOOKUP(AJ$16,$L113:$X113,#REF!)))</f>
        <v>0</v>
      </c>
      <c r="AK113" s="256">
        <f>IF(ISERROR(LOOKUP(AK$16,$L113:$X113,#REF!)),0,(LOOKUP(AK$16,$L113:$X113,#REF!)))</f>
        <v>0</v>
      </c>
      <c r="AL113" s="256">
        <f>IF(ISERROR(LOOKUP(AL$16,$L113:$X113,#REF!)),0,(LOOKUP(AL$16,$L113:$X113,#REF!)))</f>
        <v>0</v>
      </c>
      <c r="AM113" s="256">
        <f ca="1">IF(ISERROR(LOOKUP(AM$16,$L113:$X113,#REF!)),0,(LOOKUP(AM$16,$L113:$X113,#REF!)))</f>
        <v>0</v>
      </c>
      <c r="AP113" s="247" t="e">
        <f>WORKDAY(AQ113,-INDEX(AQ$12:AQ$15,MATCH($I113,$I$12:$I$15,0)),$AW$17:$AW$148)</f>
        <v>#REF!</v>
      </c>
      <c r="AQ113" s="247" t="e">
        <f>WORKDAY(U113,-INDEX(U$12:U$15,MATCH($I113,$I$12:$I$15,0)),$AW$17:$AW$148)</f>
        <v>#REF!</v>
      </c>
      <c r="AR113" s="247" t="e">
        <f>WORKDAY(U113,-INDEX(U$12:U$15,MATCH($I113,$I$12:$I$15,0)),$AW$17:$AW$148)</f>
        <v>#REF!</v>
      </c>
      <c r="AS113" s="257">
        <v>7</v>
      </c>
      <c r="AW113" s="258" t="e">
        <v>#REF!</v>
      </c>
    </row>
    <row r="114" s="195" customFormat="1" ht="18" customHeight="1" spans="1:49">
      <c r="A114" s="241"/>
      <c r="B114" s="259"/>
      <c r="C114" s="243" t="str">
        <f>C113</f>
        <v>RFQ-033</v>
      </c>
      <c r="D114" s="243" t="str">
        <f>D113</f>
        <v>Vortex Flow Meter</v>
      </c>
      <c r="E114" s="260"/>
      <c r="F114" s="304" t="str">
        <f>F113</f>
        <v>Instrument</v>
      </c>
      <c r="G114" s="243" t="str">
        <f>G113</f>
        <v>N</v>
      </c>
      <c r="H114" s="260"/>
      <c r="I114" s="243" t="str">
        <f>I113</f>
        <v>LC</v>
      </c>
      <c r="J114" s="303" t="s">
        <v>64</v>
      </c>
      <c r="K114" s="247">
        <f>K113</f>
        <v>46315</v>
      </c>
      <c r="L114" s="247">
        <f>WORKDAY(IF(K115="",K114,K115),INDEX(L$12:L$15,MATCH($I113,$I$12:$I$15,0)))</f>
        <v>46318</v>
      </c>
      <c r="M114" s="247">
        <f>WORKDAY(IF(L115="",L114,L115),INDEX(M$12:M$15,MATCH($I113,$I$12:$I$15,0)))</f>
        <v>46332</v>
      </c>
      <c r="N114" s="247">
        <f>WORKDAY(IF(M115="",M114,M115),INDEX(N$12:N$15,MATCH($I113,$I$12:$I$15,0)))</f>
        <v>46335</v>
      </c>
      <c r="O114" s="247">
        <f>WORKDAY(IF(N115="",N114,N115),INDEX(O$12:O$15,MATCH($I113,$I$12:$I$15,0)))</f>
        <v>46349</v>
      </c>
      <c r="P114" s="248"/>
      <c r="Q114" s="249"/>
      <c r="R114" s="247">
        <f>WORKDAY(IF(O115="",O114,O115),INDEX(R$12:R$15,MATCH($I113,$I$12:$I$15,0)))</f>
        <v>46363</v>
      </c>
      <c r="S114" s="247">
        <f>WORKDAY(IF(R115="",R114,R115),INDEX(S$12:S$15,MATCH($I113,$I$12:$I$15,0)))</f>
        <v>46384</v>
      </c>
      <c r="T114" s="247">
        <f>WORKDAY(IF(S115="",S114,S115),INDEX(T$12:T$15,MATCH($I113,$I$12:$I$15,0)))</f>
        <v>46398</v>
      </c>
      <c r="U114" s="247">
        <f>WORKDAY(IF(T115="",T114,T115),INDEX(U$12:U$15,MATCH($I113,$I$12:$I$15,0)))</f>
        <v>46412</v>
      </c>
      <c r="V114" s="247">
        <f>WORKDAY(IF(U115="",U114,U115),INDEX(V$12:V$15,MATCH($I113,$I$12:$I$15,0)))</f>
        <v>46414</v>
      </c>
      <c r="W114" s="250"/>
      <c r="X114" s="247">
        <f>U114+Y113</f>
        <v>46538</v>
      </c>
      <c r="Y114" s="251"/>
      <c r="Z114" s="253"/>
      <c r="AA114" s="253"/>
      <c r="AB114" s="254"/>
      <c r="AC114" s="255">
        <f>IF(ISERROR(LOOKUP(AC$16,$L114:$X114,#REF!)),0,(LOOKUP(AC$16,$L114:$X114,#REF!)))</f>
        <v>0</v>
      </c>
      <c r="AD114" s="256">
        <f>IF(ISERROR(LOOKUP(AD$16,$L114:$X114,#REF!)),0,(LOOKUP(AD$16,$L114:$X114,#REF!)))</f>
        <v>0</v>
      </c>
      <c r="AE114" s="256">
        <f>IF(ISERROR(LOOKUP(AE$16,$L114:$X114,#REF!)),0,(LOOKUP(AE$16,$L114:$X114,#REF!)))</f>
        <v>0</v>
      </c>
      <c r="AF114" s="256">
        <f>IF(ISERROR(LOOKUP(AF$16,$L114:$X114,#REF!)),0,(LOOKUP(AF$16,$L114:$X114,#REF!)))</f>
        <v>0</v>
      </c>
      <c r="AG114" s="256">
        <f>IF(ISERROR(LOOKUP(AG$16,$L114:$X114,#REF!)),0,(LOOKUP(AG$16,$L114:$X114,#REF!)))</f>
        <v>0</v>
      </c>
      <c r="AH114" s="256">
        <f>IF(ISERROR(LOOKUP(AH$16,$L114:$X114,#REF!)),0,(LOOKUP(AH$16,$L114:$X114,#REF!)))</f>
        <v>0</v>
      </c>
      <c r="AI114" s="256">
        <f>IF(ISERROR(LOOKUP(AI$16,$L114:$X114,#REF!)),0,(LOOKUP(AI$16,$L114:$X114,#REF!)))</f>
        <v>0</v>
      </c>
      <c r="AJ114" s="256">
        <f>IF(ISERROR(LOOKUP(AJ$16,$L114:$X114,#REF!)),0,(LOOKUP(AJ$16,$L114:$X114,#REF!)))</f>
        <v>0</v>
      </c>
      <c r="AK114" s="256">
        <f>IF(ISERROR(LOOKUP(AK$16,$L114:$X114,#REF!)),0,(LOOKUP(AK$16,$L114:$X114,#REF!)))</f>
        <v>0</v>
      </c>
      <c r="AL114" s="256">
        <f>IF(ISERROR(LOOKUP(AL$16,$L114:$X114,#REF!)),0,(LOOKUP(AL$16,$L114:$X114,#REF!)))</f>
        <v>0</v>
      </c>
      <c r="AM114" s="256">
        <f ca="1">IF(ISERROR(LOOKUP(AM$16,$L114:$X114,#REF!)),0,(LOOKUP(AM$16,$L114:$X114,#REF!)))</f>
        <v>0</v>
      </c>
      <c r="AP114" s="247" t="e">
        <f>WORKDAY(IF(T115="",T114,T115),INDEX(AP$12:AP$15,MATCH($I113,$I$12:$I$15,0)),$AW$17:$AW$148)</f>
        <v>#REF!</v>
      </c>
      <c r="AQ114" s="247" t="e">
        <f>WORKDAY(IF(AP115="",AP114,AP115),INDEX(AQ$12:AQ$15,MATCH($I113,$I$12:$I$15,0)),$AW$17:$AW$148)</f>
        <v>#REF!</v>
      </c>
      <c r="AR114" s="247" t="e">
        <f>WORKDAY(IF(AQ115="",AQ114,AQ115),INDEX(AR$12:AR$15,MATCH($I113,$I$12:$I$15,0)),$AW$17:$AW$148)</f>
        <v>#REF!</v>
      </c>
      <c r="AS114" s="257"/>
      <c r="AW114" s="258" t="e">
        <v>#REF!</v>
      </c>
    </row>
    <row r="115" s="195" customFormat="1" ht="18" customHeight="1" spans="1:49">
      <c r="A115" s="241"/>
      <c r="B115" s="262"/>
      <c r="C115" s="243" t="str">
        <f>C113</f>
        <v>RFQ-033</v>
      </c>
      <c r="D115" s="243" t="str">
        <f>D113</f>
        <v>Vortex Flow Meter</v>
      </c>
      <c r="E115" s="263"/>
      <c r="F115" s="305" t="str">
        <f>F113</f>
        <v>Instrument</v>
      </c>
      <c r="G115" s="243" t="str">
        <f>G113</f>
        <v>N</v>
      </c>
      <c r="H115" s="263"/>
      <c r="I115" s="243" t="str">
        <f>I113</f>
        <v>LC</v>
      </c>
      <c r="J115" s="303" t="s">
        <v>66</v>
      </c>
      <c r="K115" s="243"/>
      <c r="L115" s="243"/>
      <c r="M115" s="243"/>
      <c r="N115" s="243"/>
      <c r="O115" s="243"/>
      <c r="P115" s="265"/>
      <c r="Q115" s="266"/>
      <c r="R115" s="243"/>
      <c r="S115" s="243"/>
      <c r="T115" s="243"/>
      <c r="U115" s="243"/>
      <c r="V115" s="243"/>
      <c r="W115" s="267"/>
      <c r="X115" s="243"/>
      <c r="Y115" s="251"/>
      <c r="Z115" s="253"/>
      <c r="AA115" s="253"/>
      <c r="AB115" s="254"/>
      <c r="AC115" s="268">
        <f>IF(ISERROR(LOOKUP(AC$16,$L115:$X115,#REF!)),0,(LOOKUP(AC$16,$L115:$X115,#REF!)))</f>
        <v>0</v>
      </c>
      <c r="AD115" s="269">
        <f>IF(ISERROR(LOOKUP(AD$16,$L115:$X115,#REF!)),0,(LOOKUP(AD$16,$L115:$X115,#REF!)))</f>
        <v>0</v>
      </c>
      <c r="AE115" s="269">
        <f>IF(ISERROR(LOOKUP(AE$16,$L115:$X115,#REF!)),0,(LOOKUP(AE$16,$L115:$X115,#REF!)))</f>
        <v>0</v>
      </c>
      <c r="AF115" s="269">
        <f>IF(ISERROR(LOOKUP(AF$16,$L115:$X115,#REF!)),0,(LOOKUP(AF$16,$L115:$X115,#REF!)))</f>
        <v>0</v>
      </c>
      <c r="AG115" s="269">
        <f>IF(ISERROR(LOOKUP(AG$16,$L115:$X115,#REF!)),0,(LOOKUP(AG$16,$L115:$X115,#REF!)))</f>
        <v>0</v>
      </c>
      <c r="AH115" s="269">
        <f>IF(ISERROR(LOOKUP(AH$16,$L115:$X115,#REF!)),0,(LOOKUP(AH$16,$L115:$X115,#REF!)))</f>
        <v>0</v>
      </c>
      <c r="AI115" s="269">
        <f>IF(ISERROR(LOOKUP(AI$16,$L115:$X115,#REF!)),0,(LOOKUP(AI$16,$L115:$X115,#REF!)))</f>
        <v>0</v>
      </c>
      <c r="AJ115" s="269">
        <f>IF(ISERROR(LOOKUP(AJ$16,$L115:$X115,#REF!)),0,(LOOKUP(AJ$16,$L115:$X115,#REF!)))</f>
        <v>0</v>
      </c>
      <c r="AK115" s="269">
        <f>IF(ISERROR(LOOKUP(AK$16,$L115:$X115,#REF!)),0,(LOOKUP(AK$16,$L115:$X115,#REF!)))</f>
        <v>0</v>
      </c>
      <c r="AL115" s="269">
        <f>IF(ISERROR(LOOKUP(AL$16,$L115:$X115,#REF!)),0,(LOOKUP(AL$16,$L115:$X115,#REF!)))</f>
        <v>0</v>
      </c>
      <c r="AM115" s="269">
        <f ca="1">IF(ISERROR(LOOKUP(AM$16,$L115:$X115,#REF!)),0,(LOOKUP(AM$16,$L115:$X115,#REF!)))</f>
        <v>0</v>
      </c>
      <c r="AP115" s="243"/>
      <c r="AQ115" s="243"/>
      <c r="AR115" s="243"/>
      <c r="AS115" s="257"/>
      <c r="AW115" s="258" t="e">
        <v>#REF!</v>
      </c>
    </row>
    <row r="116" s="195" customFormat="1" ht="18" customHeight="1" spans="1:49">
      <c r="A116" s="241">
        <f>A113+1</f>
        <v>34</v>
      </c>
      <c r="B116" s="242"/>
      <c r="C116" s="243" t="s">
        <v>4814</v>
      </c>
      <c r="D116" s="243" t="s">
        <v>4815</v>
      </c>
      <c r="E116" s="244"/>
      <c r="F116" s="302" t="s">
        <v>136</v>
      </c>
      <c r="G116" s="243" t="s">
        <v>72</v>
      </c>
      <c r="H116" s="244"/>
      <c r="I116" s="243" t="s">
        <v>8</v>
      </c>
      <c r="J116" s="303" t="s">
        <v>4769</v>
      </c>
      <c r="K116" s="247">
        <f>WORKDAY(L116,-INDEX(L$12:L$15,MATCH($I116,$I$12:$I$15,0)))</f>
        <v>46315</v>
      </c>
      <c r="L116" s="247">
        <f>WORKDAY(M116,-INDEX(M$12:M$15,MATCH($I116,$I$12:$I$15,0)))</f>
        <v>46318</v>
      </c>
      <c r="M116" s="247">
        <f>WORKDAY(N116,-INDEX(N$12:N$15,MATCH($I116,$I$12:$I$15,0)))</f>
        <v>46332</v>
      </c>
      <c r="N116" s="247">
        <f>WORKDAY(O116,-INDEX(O$12:O$15,MATCH($I116,$I$12:$I$15,0)))</f>
        <v>46335</v>
      </c>
      <c r="O116" s="247">
        <f>WORKDAY(R116,-INDEX(R$12:R$15,MATCH($I116,$I$12:$I$15,0)))</f>
        <v>46349</v>
      </c>
      <c r="P116" s="248">
        <f>U116-L116</f>
        <v>94</v>
      </c>
      <c r="Q116" s="249"/>
      <c r="R116" s="247">
        <f>WORKDAY(S116,-INDEX(S$12:S$15,MATCH($I116,$I$12:$I$15,0)))</f>
        <v>46363</v>
      </c>
      <c r="S116" s="247">
        <f>WORKDAY(T116,-INDEX(T$12:T$15,MATCH($I116,$I$12:$I$15,0)))</f>
        <v>46384</v>
      </c>
      <c r="T116" s="247">
        <f>WORKDAY(U116,-INDEX(U$12:U$15,MATCH($I116,$I$12:$I$15,0)))</f>
        <v>46398</v>
      </c>
      <c r="U116" s="247">
        <f>X116-Y116</f>
        <v>46412</v>
      </c>
      <c r="V116" s="247">
        <f>WORKDAY(U116,INDEX(V$12:V$15,MATCH($I116,$I$12:$I$15,0)))</f>
        <v>46414</v>
      </c>
      <c r="W116" s="250">
        <f>Y116/7</f>
        <v>18</v>
      </c>
      <c r="X116" s="247">
        <f>Z116</f>
        <v>46538</v>
      </c>
      <c r="Y116" s="251">
        <f t="shared" ref="Y116" si="2">18*7</f>
        <v>126</v>
      </c>
      <c r="Z116" s="253">
        <v>46538</v>
      </c>
      <c r="AA116" s="253">
        <v>46538</v>
      </c>
      <c r="AB116" s="254">
        <f>Z116-X117</f>
        <v>0</v>
      </c>
      <c r="AC116" s="255">
        <f>IF(ISERROR(LOOKUP(AC$16,$L116:$X116,#REF!)),0,(LOOKUP(AC$16,$L116:$X116,#REF!)))</f>
        <v>0</v>
      </c>
      <c r="AD116" s="256">
        <f>IF(ISERROR(LOOKUP(AD$16,$L116:$X116,#REF!)),0,(LOOKUP(AD$16,$L116:$X116,#REF!)))</f>
        <v>0</v>
      </c>
      <c r="AE116" s="256">
        <f>IF(ISERROR(LOOKUP(AE$16,$L116:$X116,#REF!)),0,(LOOKUP(AE$16,$L116:$X116,#REF!)))</f>
        <v>0</v>
      </c>
      <c r="AF116" s="256">
        <f>IF(ISERROR(LOOKUP(AF$16,$L116:$X116,#REF!)),0,(LOOKUP(AF$16,$L116:$X116,#REF!)))</f>
        <v>0</v>
      </c>
      <c r="AG116" s="256">
        <f>IF(ISERROR(LOOKUP(AG$16,$L116:$X116,#REF!)),0,(LOOKUP(AG$16,$L116:$X116,#REF!)))</f>
        <v>0</v>
      </c>
      <c r="AH116" s="256">
        <f>IF(ISERROR(LOOKUP(AH$16,$L116:$X116,#REF!)),0,(LOOKUP(AH$16,$L116:$X116,#REF!)))</f>
        <v>0</v>
      </c>
      <c r="AI116" s="256">
        <f>IF(ISERROR(LOOKUP(AI$16,$L116:$X116,#REF!)),0,(LOOKUP(AI$16,$L116:$X116,#REF!)))</f>
        <v>0</v>
      </c>
      <c r="AJ116" s="256">
        <f>IF(ISERROR(LOOKUP(AJ$16,$L116:$X116,#REF!)),0,(LOOKUP(AJ$16,$L116:$X116,#REF!)))</f>
        <v>0</v>
      </c>
      <c r="AK116" s="256">
        <f>IF(ISERROR(LOOKUP(AK$16,$L116:$X116,#REF!)),0,(LOOKUP(AK$16,$L116:$X116,#REF!)))</f>
        <v>0</v>
      </c>
      <c r="AL116" s="256">
        <f>IF(ISERROR(LOOKUP(AL$16,$L116:$X116,#REF!)),0,(LOOKUP(AL$16,$L116:$X116,#REF!)))</f>
        <v>0</v>
      </c>
      <c r="AM116" s="256">
        <f ca="1">IF(ISERROR(LOOKUP(AM$16,$L116:$X116,#REF!)),0,(LOOKUP(AM$16,$L116:$X116,#REF!)))</f>
        <v>0</v>
      </c>
      <c r="AP116" s="247" t="e">
        <f>WORKDAY(AQ116,-INDEX(AQ$12:AQ$15,MATCH($I116,$I$12:$I$15,0)),$AW$17:$AW$148)</f>
        <v>#REF!</v>
      </c>
      <c r="AQ116" s="247" t="e">
        <f>WORKDAY(U116,-INDEX(U$12:U$15,MATCH($I116,$I$12:$I$15,0)),$AW$17:$AW$148)</f>
        <v>#REF!</v>
      </c>
      <c r="AR116" s="247" t="e">
        <f>WORKDAY(U116,-INDEX(U$12:U$15,MATCH($I116,$I$12:$I$15,0)),$AW$17:$AW$148)</f>
        <v>#REF!</v>
      </c>
      <c r="AS116" s="257">
        <v>7</v>
      </c>
      <c r="AW116" s="258" t="e">
        <v>#REF!</v>
      </c>
    </row>
    <row r="117" s="195" customFormat="1" ht="18" customHeight="1" spans="1:49">
      <c r="A117" s="241"/>
      <c r="B117" s="259"/>
      <c r="C117" s="243" t="str">
        <f>C116</f>
        <v>RFQ-034</v>
      </c>
      <c r="D117" s="243" t="str">
        <f>D116</f>
        <v>Level Transmitter and Gauge</v>
      </c>
      <c r="E117" s="260"/>
      <c r="F117" s="304" t="str">
        <f>F116</f>
        <v>Instrument</v>
      </c>
      <c r="G117" s="243" t="str">
        <f>G116</f>
        <v>N</v>
      </c>
      <c r="H117" s="260"/>
      <c r="I117" s="243" t="str">
        <f>I116</f>
        <v>LC</v>
      </c>
      <c r="J117" s="303" t="s">
        <v>64</v>
      </c>
      <c r="K117" s="247">
        <f>K116</f>
        <v>46315</v>
      </c>
      <c r="L117" s="247">
        <f>WORKDAY(IF(K118="",K117,K118),INDEX(L$12:L$15,MATCH($I116,$I$12:$I$15,0)))</f>
        <v>46318</v>
      </c>
      <c r="M117" s="247">
        <f>WORKDAY(IF(L118="",L117,L118),INDEX(M$12:M$15,MATCH($I116,$I$12:$I$15,0)))</f>
        <v>46332</v>
      </c>
      <c r="N117" s="247">
        <f>WORKDAY(IF(M118="",M117,M118),INDEX(N$12:N$15,MATCH($I116,$I$12:$I$15,0)))</f>
        <v>46335</v>
      </c>
      <c r="O117" s="247">
        <f>WORKDAY(IF(N118="",N117,N118),INDEX(O$12:O$15,MATCH($I116,$I$12:$I$15,0)))</f>
        <v>46349</v>
      </c>
      <c r="P117" s="248"/>
      <c r="Q117" s="249"/>
      <c r="R117" s="247">
        <f>WORKDAY(IF(O118="",O117,O118),INDEX(R$12:R$15,MATCH($I116,$I$12:$I$15,0)))</f>
        <v>46363</v>
      </c>
      <c r="S117" s="247">
        <f>WORKDAY(IF(R118="",R117,R118),INDEX(S$12:S$15,MATCH($I116,$I$12:$I$15,0)))</f>
        <v>46384</v>
      </c>
      <c r="T117" s="247">
        <f>WORKDAY(IF(S118="",S117,S118),INDEX(T$12:T$15,MATCH($I116,$I$12:$I$15,0)))</f>
        <v>46398</v>
      </c>
      <c r="U117" s="247">
        <f>WORKDAY(IF(T118="",T117,T118),INDEX(U$12:U$15,MATCH($I116,$I$12:$I$15,0)))</f>
        <v>46412</v>
      </c>
      <c r="V117" s="247">
        <f>WORKDAY(IF(U118="",U117,U118),INDEX(V$12:V$15,MATCH($I116,$I$12:$I$15,0)))</f>
        <v>46414</v>
      </c>
      <c r="W117" s="250"/>
      <c r="X117" s="247">
        <f>U117+Y116</f>
        <v>46538</v>
      </c>
      <c r="Y117" s="251"/>
      <c r="Z117" s="253"/>
      <c r="AA117" s="253"/>
      <c r="AB117" s="254"/>
      <c r="AC117" s="255">
        <f>IF(ISERROR(LOOKUP(AC$16,$L117:$X117,#REF!)),0,(LOOKUP(AC$16,$L117:$X117,#REF!)))</f>
        <v>0</v>
      </c>
      <c r="AD117" s="256">
        <f>IF(ISERROR(LOOKUP(AD$16,$L117:$X117,#REF!)),0,(LOOKUP(AD$16,$L117:$X117,#REF!)))</f>
        <v>0</v>
      </c>
      <c r="AE117" s="256">
        <f>IF(ISERROR(LOOKUP(AE$16,$L117:$X117,#REF!)),0,(LOOKUP(AE$16,$L117:$X117,#REF!)))</f>
        <v>0</v>
      </c>
      <c r="AF117" s="256">
        <f>IF(ISERROR(LOOKUP(AF$16,$L117:$X117,#REF!)),0,(LOOKUP(AF$16,$L117:$X117,#REF!)))</f>
        <v>0</v>
      </c>
      <c r="AG117" s="256">
        <f>IF(ISERROR(LOOKUP(AG$16,$L117:$X117,#REF!)),0,(LOOKUP(AG$16,$L117:$X117,#REF!)))</f>
        <v>0</v>
      </c>
      <c r="AH117" s="256">
        <f>IF(ISERROR(LOOKUP(AH$16,$L117:$X117,#REF!)),0,(LOOKUP(AH$16,$L117:$X117,#REF!)))</f>
        <v>0</v>
      </c>
      <c r="AI117" s="256">
        <f>IF(ISERROR(LOOKUP(AI$16,$L117:$X117,#REF!)),0,(LOOKUP(AI$16,$L117:$X117,#REF!)))</f>
        <v>0</v>
      </c>
      <c r="AJ117" s="256">
        <f>IF(ISERROR(LOOKUP(AJ$16,$L117:$X117,#REF!)),0,(LOOKUP(AJ$16,$L117:$X117,#REF!)))</f>
        <v>0</v>
      </c>
      <c r="AK117" s="256">
        <f>IF(ISERROR(LOOKUP(AK$16,$L117:$X117,#REF!)),0,(LOOKUP(AK$16,$L117:$X117,#REF!)))</f>
        <v>0</v>
      </c>
      <c r="AL117" s="256">
        <f>IF(ISERROR(LOOKUP(AL$16,$L117:$X117,#REF!)),0,(LOOKUP(AL$16,$L117:$X117,#REF!)))</f>
        <v>0</v>
      </c>
      <c r="AM117" s="256">
        <f ca="1">IF(ISERROR(LOOKUP(AM$16,$L117:$X117,#REF!)),0,(LOOKUP(AM$16,$L117:$X117,#REF!)))</f>
        <v>0</v>
      </c>
      <c r="AP117" s="247" t="e">
        <f>WORKDAY(IF(T118="",T117,T118),INDEX(AP$12:AP$15,MATCH($I116,$I$12:$I$15,0)),$AW$17:$AW$148)</f>
        <v>#REF!</v>
      </c>
      <c r="AQ117" s="247" t="e">
        <f>WORKDAY(IF(AP118="",AP117,AP118),INDEX(AQ$12:AQ$15,MATCH($I116,$I$12:$I$15,0)),$AW$17:$AW$148)</f>
        <v>#REF!</v>
      </c>
      <c r="AR117" s="247" t="e">
        <f>WORKDAY(IF(AQ118="",AQ117,AQ118),INDEX(AR$12:AR$15,MATCH($I116,$I$12:$I$15,0)),$AW$17:$AW$148)</f>
        <v>#REF!</v>
      </c>
      <c r="AS117" s="257"/>
      <c r="AW117" s="258" t="e">
        <v>#REF!</v>
      </c>
    </row>
    <row r="118" s="195" customFormat="1" ht="18" customHeight="1" spans="1:49">
      <c r="A118" s="241"/>
      <c r="B118" s="262"/>
      <c r="C118" s="243" t="str">
        <f>C116</f>
        <v>RFQ-034</v>
      </c>
      <c r="D118" s="243" t="str">
        <f>D116</f>
        <v>Level Transmitter and Gauge</v>
      </c>
      <c r="E118" s="263"/>
      <c r="F118" s="305" t="str">
        <f>F116</f>
        <v>Instrument</v>
      </c>
      <c r="G118" s="243" t="str">
        <f>G116</f>
        <v>N</v>
      </c>
      <c r="H118" s="263"/>
      <c r="I118" s="243" t="str">
        <f>I116</f>
        <v>LC</v>
      </c>
      <c r="J118" s="303" t="s">
        <v>66</v>
      </c>
      <c r="K118" s="243"/>
      <c r="L118" s="243"/>
      <c r="M118" s="243"/>
      <c r="N118" s="243"/>
      <c r="O118" s="243"/>
      <c r="P118" s="265"/>
      <c r="Q118" s="266"/>
      <c r="R118" s="243"/>
      <c r="S118" s="243"/>
      <c r="T118" s="243"/>
      <c r="U118" s="243"/>
      <c r="V118" s="243"/>
      <c r="W118" s="267"/>
      <c r="X118" s="243"/>
      <c r="Y118" s="251"/>
      <c r="Z118" s="253"/>
      <c r="AA118" s="253"/>
      <c r="AB118" s="254"/>
      <c r="AC118" s="268">
        <f>IF(ISERROR(LOOKUP(AC$16,$L118:$X118,#REF!)),0,(LOOKUP(AC$16,$L118:$X118,#REF!)))</f>
        <v>0</v>
      </c>
      <c r="AD118" s="269">
        <f>IF(ISERROR(LOOKUP(AD$16,$L118:$X118,#REF!)),0,(LOOKUP(AD$16,$L118:$X118,#REF!)))</f>
        <v>0</v>
      </c>
      <c r="AE118" s="269">
        <f>IF(ISERROR(LOOKUP(AE$16,$L118:$X118,#REF!)),0,(LOOKUP(AE$16,$L118:$X118,#REF!)))</f>
        <v>0</v>
      </c>
      <c r="AF118" s="269">
        <f>IF(ISERROR(LOOKUP(AF$16,$L118:$X118,#REF!)),0,(LOOKUP(AF$16,$L118:$X118,#REF!)))</f>
        <v>0</v>
      </c>
      <c r="AG118" s="269">
        <f>IF(ISERROR(LOOKUP(AG$16,$L118:$X118,#REF!)),0,(LOOKUP(AG$16,$L118:$X118,#REF!)))</f>
        <v>0</v>
      </c>
      <c r="AH118" s="269">
        <f>IF(ISERROR(LOOKUP(AH$16,$L118:$X118,#REF!)),0,(LOOKUP(AH$16,$L118:$X118,#REF!)))</f>
        <v>0</v>
      </c>
      <c r="AI118" s="269">
        <f>IF(ISERROR(LOOKUP(AI$16,$L118:$X118,#REF!)),0,(LOOKUP(AI$16,$L118:$X118,#REF!)))</f>
        <v>0</v>
      </c>
      <c r="AJ118" s="269">
        <f>IF(ISERROR(LOOKUP(AJ$16,$L118:$X118,#REF!)),0,(LOOKUP(AJ$16,$L118:$X118,#REF!)))</f>
        <v>0</v>
      </c>
      <c r="AK118" s="269">
        <f>IF(ISERROR(LOOKUP(AK$16,$L118:$X118,#REF!)),0,(LOOKUP(AK$16,$L118:$X118,#REF!)))</f>
        <v>0</v>
      </c>
      <c r="AL118" s="269">
        <f>IF(ISERROR(LOOKUP(AL$16,$L118:$X118,#REF!)),0,(LOOKUP(AL$16,$L118:$X118,#REF!)))</f>
        <v>0</v>
      </c>
      <c r="AM118" s="269">
        <f ca="1">IF(ISERROR(LOOKUP(AM$16,$L118:$X118,#REF!)),0,(LOOKUP(AM$16,$L118:$X118,#REF!)))</f>
        <v>0</v>
      </c>
      <c r="AP118" s="243"/>
      <c r="AQ118" s="243"/>
      <c r="AR118" s="243"/>
      <c r="AS118" s="257"/>
      <c r="AW118" s="258" t="e">
        <v>#REF!</v>
      </c>
    </row>
    <row r="119" s="195" customFormat="1" ht="18" customHeight="1" spans="1:49">
      <c r="A119" s="241">
        <f>A116+1</f>
        <v>35</v>
      </c>
      <c r="B119" s="242"/>
      <c r="C119" s="243" t="s">
        <v>4816</v>
      </c>
      <c r="D119" s="243" t="s">
        <v>179</v>
      </c>
      <c r="E119" s="244"/>
      <c r="F119" s="302" t="s">
        <v>136</v>
      </c>
      <c r="G119" s="243" t="s">
        <v>72</v>
      </c>
      <c r="H119" s="244"/>
      <c r="I119" s="243" t="s">
        <v>8</v>
      </c>
      <c r="J119" s="303" t="s">
        <v>4769</v>
      </c>
      <c r="K119" s="247">
        <f>WORKDAY(L119,-INDEX(L$12:L$15,MATCH($I119,$I$12:$I$15,0)))</f>
        <v>46315</v>
      </c>
      <c r="L119" s="247">
        <f>WORKDAY(M119,-INDEX(M$12:M$15,MATCH($I119,$I$12:$I$15,0)))</f>
        <v>46318</v>
      </c>
      <c r="M119" s="247">
        <f>WORKDAY(N119,-INDEX(N$12:N$15,MATCH($I119,$I$12:$I$15,0)))</f>
        <v>46332</v>
      </c>
      <c r="N119" s="247">
        <f>WORKDAY(O119,-INDEX(O$12:O$15,MATCH($I119,$I$12:$I$15,0)))</f>
        <v>46335</v>
      </c>
      <c r="O119" s="247">
        <f>WORKDAY(R119,-INDEX(R$12:R$15,MATCH($I119,$I$12:$I$15,0)))</f>
        <v>46349</v>
      </c>
      <c r="P119" s="248">
        <f>U119-L119</f>
        <v>94</v>
      </c>
      <c r="Q119" s="249"/>
      <c r="R119" s="247">
        <f>WORKDAY(S119,-INDEX(S$12:S$15,MATCH($I119,$I$12:$I$15,0)))</f>
        <v>46363</v>
      </c>
      <c r="S119" s="247">
        <f>WORKDAY(T119,-INDEX(T$12:T$15,MATCH($I119,$I$12:$I$15,0)))</f>
        <v>46384</v>
      </c>
      <c r="T119" s="247">
        <f>WORKDAY(U119,-INDEX(U$12:U$15,MATCH($I119,$I$12:$I$15,0)))</f>
        <v>46398</v>
      </c>
      <c r="U119" s="247">
        <f>X119-Y119</f>
        <v>46412</v>
      </c>
      <c r="V119" s="247">
        <f>WORKDAY(U119,INDEX(V$12:V$15,MATCH($I119,$I$12:$I$15,0)))</f>
        <v>46414</v>
      </c>
      <c r="W119" s="250">
        <f>Y119/7</f>
        <v>18</v>
      </c>
      <c r="X119" s="247">
        <f>Z119</f>
        <v>46538</v>
      </c>
      <c r="Y119" s="251">
        <f>18*7</f>
        <v>126</v>
      </c>
      <c r="Z119" s="253">
        <v>46538</v>
      </c>
      <c r="AA119" s="253">
        <v>46538</v>
      </c>
      <c r="AB119" s="254">
        <f>Z119-X120</f>
        <v>0</v>
      </c>
      <c r="AC119" s="255">
        <f>IF(ISERROR(LOOKUP(AC$16,$L119:$X119,#REF!)),0,(LOOKUP(AC$16,$L119:$X119,#REF!)))</f>
        <v>0</v>
      </c>
      <c r="AD119" s="256">
        <f>IF(ISERROR(LOOKUP(AD$16,$L119:$X119,#REF!)),0,(LOOKUP(AD$16,$L119:$X119,#REF!)))</f>
        <v>0</v>
      </c>
      <c r="AE119" s="256">
        <f>IF(ISERROR(LOOKUP(AE$16,$L119:$X119,#REF!)),0,(LOOKUP(AE$16,$L119:$X119,#REF!)))</f>
        <v>0</v>
      </c>
      <c r="AF119" s="256">
        <f>IF(ISERROR(LOOKUP(AF$16,$L119:$X119,#REF!)),0,(LOOKUP(AF$16,$L119:$X119,#REF!)))</f>
        <v>0</v>
      </c>
      <c r="AG119" s="256">
        <f>IF(ISERROR(LOOKUP(AG$16,$L119:$X119,#REF!)),0,(LOOKUP(AG$16,$L119:$X119,#REF!)))</f>
        <v>0</v>
      </c>
      <c r="AH119" s="256">
        <f>IF(ISERROR(LOOKUP(AH$16,$L119:$X119,#REF!)),0,(LOOKUP(AH$16,$L119:$X119,#REF!)))</f>
        <v>0</v>
      </c>
      <c r="AI119" s="256">
        <f>IF(ISERROR(LOOKUP(AI$16,$L119:$X119,#REF!)),0,(LOOKUP(AI$16,$L119:$X119,#REF!)))</f>
        <v>0</v>
      </c>
      <c r="AJ119" s="256">
        <f>IF(ISERROR(LOOKUP(AJ$16,$L119:$X119,#REF!)),0,(LOOKUP(AJ$16,$L119:$X119,#REF!)))</f>
        <v>0</v>
      </c>
      <c r="AK119" s="256">
        <f>IF(ISERROR(LOOKUP(AK$16,$L119:$X119,#REF!)),0,(LOOKUP(AK$16,$L119:$X119,#REF!)))</f>
        <v>0</v>
      </c>
      <c r="AL119" s="256">
        <f>IF(ISERROR(LOOKUP(AL$16,$L119:$X119,#REF!)),0,(LOOKUP(AL$16,$L119:$X119,#REF!)))</f>
        <v>0</v>
      </c>
      <c r="AM119" s="256">
        <f ca="1">IF(ISERROR(LOOKUP(AM$16,$L119:$X119,#REF!)),0,(LOOKUP(AM$16,$L119:$X119,#REF!)))</f>
        <v>0</v>
      </c>
      <c r="AP119" s="247" t="e">
        <f>WORKDAY(AQ119,-INDEX(AQ$12:AQ$15,MATCH($I119,$I$12:$I$15,0)),$AW$17:$AW$148)</f>
        <v>#REF!</v>
      </c>
      <c r="AQ119" s="247" t="e">
        <f>WORKDAY(U119,-INDEX(U$12:U$15,MATCH($I119,$I$12:$I$15,0)),$AW$17:$AW$148)</f>
        <v>#REF!</v>
      </c>
      <c r="AR119" s="247" t="e">
        <f>WORKDAY(U119,-INDEX(U$12:U$15,MATCH($I119,$I$12:$I$15,0)),$AW$17:$AW$148)</f>
        <v>#REF!</v>
      </c>
      <c r="AS119" s="257">
        <v>7</v>
      </c>
      <c r="AW119" s="258" t="e">
        <v>#REF!</v>
      </c>
    </row>
    <row r="120" s="195" customFormat="1" ht="18" customHeight="1" spans="1:49">
      <c r="A120" s="241"/>
      <c r="B120" s="259"/>
      <c r="C120" s="243" t="str">
        <f>C119</f>
        <v>RFQ-035</v>
      </c>
      <c r="D120" s="243" t="str">
        <f>D119</f>
        <v>Pig Signaller</v>
      </c>
      <c r="E120" s="260"/>
      <c r="F120" s="304" t="str">
        <f>F119</f>
        <v>Instrument</v>
      </c>
      <c r="G120" s="243" t="str">
        <f>G119</f>
        <v>N</v>
      </c>
      <c r="H120" s="260"/>
      <c r="I120" s="243" t="str">
        <f>I119</f>
        <v>LC</v>
      </c>
      <c r="J120" s="303" t="s">
        <v>64</v>
      </c>
      <c r="K120" s="247">
        <f>K119</f>
        <v>46315</v>
      </c>
      <c r="L120" s="247">
        <f>WORKDAY(IF(K121="",K120,K121),INDEX(L$12:L$15,MATCH($I119,$I$12:$I$15,0)))</f>
        <v>46318</v>
      </c>
      <c r="M120" s="247">
        <f>WORKDAY(IF(L121="",L120,L121),INDEX(M$12:M$15,MATCH($I119,$I$12:$I$15,0)))</f>
        <v>46332</v>
      </c>
      <c r="N120" s="247">
        <f>WORKDAY(IF(M121="",M120,M121),INDEX(N$12:N$15,MATCH($I119,$I$12:$I$15,0)))</f>
        <v>46335</v>
      </c>
      <c r="O120" s="247">
        <f>WORKDAY(IF(N121="",N120,N121),INDEX(O$12:O$15,MATCH($I119,$I$12:$I$15,0)))</f>
        <v>46349</v>
      </c>
      <c r="P120" s="248"/>
      <c r="Q120" s="249"/>
      <c r="R120" s="247">
        <f>WORKDAY(IF(O121="",O120,O121),INDEX(R$12:R$15,MATCH($I119,$I$12:$I$15,0)))</f>
        <v>46363</v>
      </c>
      <c r="S120" s="247">
        <f>WORKDAY(IF(R121="",R120,R121),INDEX(S$12:S$15,MATCH($I119,$I$12:$I$15,0)))</f>
        <v>46384</v>
      </c>
      <c r="T120" s="247">
        <f>WORKDAY(IF(S121="",S120,S121),INDEX(T$12:T$15,MATCH($I119,$I$12:$I$15,0)))</f>
        <v>46398</v>
      </c>
      <c r="U120" s="247">
        <f>WORKDAY(IF(T121="",T120,T121),INDEX(U$12:U$15,MATCH($I119,$I$12:$I$15,0)))</f>
        <v>46412</v>
      </c>
      <c r="V120" s="247">
        <f>WORKDAY(IF(U121="",U120,U121),INDEX(V$12:V$15,MATCH($I119,$I$12:$I$15,0)))</f>
        <v>46414</v>
      </c>
      <c r="W120" s="250"/>
      <c r="X120" s="247">
        <f>U120+Y119</f>
        <v>46538</v>
      </c>
      <c r="Y120" s="251"/>
      <c r="Z120" s="253"/>
      <c r="AA120" s="253"/>
      <c r="AB120" s="254"/>
      <c r="AC120" s="255">
        <f>IF(ISERROR(LOOKUP(AC$16,$L120:$X120,#REF!)),0,(LOOKUP(AC$16,$L120:$X120,#REF!)))</f>
        <v>0</v>
      </c>
      <c r="AD120" s="256">
        <f>IF(ISERROR(LOOKUP(AD$16,$L120:$X120,#REF!)),0,(LOOKUP(AD$16,$L120:$X120,#REF!)))</f>
        <v>0</v>
      </c>
      <c r="AE120" s="256">
        <f>IF(ISERROR(LOOKUP(AE$16,$L120:$X120,#REF!)),0,(LOOKUP(AE$16,$L120:$X120,#REF!)))</f>
        <v>0</v>
      </c>
      <c r="AF120" s="256">
        <f>IF(ISERROR(LOOKUP(AF$16,$L120:$X120,#REF!)),0,(LOOKUP(AF$16,$L120:$X120,#REF!)))</f>
        <v>0</v>
      </c>
      <c r="AG120" s="256">
        <f>IF(ISERROR(LOOKUP(AG$16,$L120:$X120,#REF!)),0,(LOOKUP(AG$16,$L120:$X120,#REF!)))</f>
        <v>0</v>
      </c>
      <c r="AH120" s="256">
        <f>IF(ISERROR(LOOKUP(AH$16,$L120:$X120,#REF!)),0,(LOOKUP(AH$16,$L120:$X120,#REF!)))</f>
        <v>0</v>
      </c>
      <c r="AI120" s="256">
        <f>IF(ISERROR(LOOKUP(AI$16,$L120:$X120,#REF!)),0,(LOOKUP(AI$16,$L120:$X120,#REF!)))</f>
        <v>0</v>
      </c>
      <c r="AJ120" s="256">
        <f>IF(ISERROR(LOOKUP(AJ$16,$L120:$X120,#REF!)),0,(LOOKUP(AJ$16,$L120:$X120,#REF!)))</f>
        <v>0</v>
      </c>
      <c r="AK120" s="256">
        <f>IF(ISERROR(LOOKUP(AK$16,$L120:$X120,#REF!)),0,(LOOKUP(AK$16,$L120:$X120,#REF!)))</f>
        <v>0</v>
      </c>
      <c r="AL120" s="256">
        <f>IF(ISERROR(LOOKUP(AL$16,$L120:$X120,#REF!)),0,(LOOKUP(AL$16,$L120:$X120,#REF!)))</f>
        <v>0</v>
      </c>
      <c r="AM120" s="256">
        <f ca="1">IF(ISERROR(LOOKUP(AM$16,$L120:$X120,#REF!)),0,(LOOKUP(AM$16,$L120:$X120,#REF!)))</f>
        <v>0</v>
      </c>
      <c r="AP120" s="247" t="e">
        <f>WORKDAY(IF(T121="",T120,T121),INDEX(AP$12:AP$15,MATCH($I119,$I$12:$I$15,0)),$AW$17:$AW$148)</f>
        <v>#REF!</v>
      </c>
      <c r="AQ120" s="247" t="e">
        <f>WORKDAY(IF(AP121="",AP120,AP121),INDEX(AQ$12:AQ$15,MATCH($I119,$I$12:$I$15,0)),$AW$17:$AW$148)</f>
        <v>#REF!</v>
      </c>
      <c r="AR120" s="247" t="e">
        <f>WORKDAY(IF(AQ121="",AQ120,AQ121),INDEX(AR$12:AR$15,MATCH($I119,$I$12:$I$15,0)),$AW$17:$AW$148)</f>
        <v>#REF!</v>
      </c>
      <c r="AS120" s="257"/>
      <c r="AW120" s="258" t="e">
        <v>#REF!</v>
      </c>
    </row>
    <row r="121" s="195" customFormat="1" ht="18" customHeight="1" spans="1:49">
      <c r="A121" s="241"/>
      <c r="B121" s="262"/>
      <c r="C121" s="243" t="str">
        <f>C119</f>
        <v>RFQ-035</v>
      </c>
      <c r="D121" s="243" t="str">
        <f>D119</f>
        <v>Pig Signaller</v>
      </c>
      <c r="E121" s="263"/>
      <c r="F121" s="305" t="str">
        <f>F119</f>
        <v>Instrument</v>
      </c>
      <c r="G121" s="243" t="str">
        <f>G119</f>
        <v>N</v>
      </c>
      <c r="H121" s="263"/>
      <c r="I121" s="243" t="str">
        <f>I119</f>
        <v>LC</v>
      </c>
      <c r="J121" s="303" t="s">
        <v>66</v>
      </c>
      <c r="K121" s="243"/>
      <c r="L121" s="243"/>
      <c r="M121" s="243"/>
      <c r="N121" s="243"/>
      <c r="O121" s="243"/>
      <c r="P121" s="265"/>
      <c r="Q121" s="266"/>
      <c r="R121" s="243"/>
      <c r="S121" s="243"/>
      <c r="T121" s="243"/>
      <c r="U121" s="243"/>
      <c r="V121" s="243"/>
      <c r="W121" s="267"/>
      <c r="X121" s="243"/>
      <c r="Y121" s="251"/>
      <c r="Z121" s="253"/>
      <c r="AA121" s="253"/>
      <c r="AB121" s="254"/>
      <c r="AC121" s="268">
        <f>IF(ISERROR(LOOKUP(AC$16,$L121:$X121,#REF!)),0,(LOOKUP(AC$16,$L121:$X121,#REF!)))</f>
        <v>0</v>
      </c>
      <c r="AD121" s="269">
        <f>IF(ISERROR(LOOKUP(AD$16,$L121:$X121,#REF!)),0,(LOOKUP(AD$16,$L121:$X121,#REF!)))</f>
        <v>0</v>
      </c>
      <c r="AE121" s="269">
        <f>IF(ISERROR(LOOKUP(AE$16,$L121:$X121,#REF!)),0,(LOOKUP(AE$16,$L121:$X121,#REF!)))</f>
        <v>0</v>
      </c>
      <c r="AF121" s="269">
        <f>IF(ISERROR(LOOKUP(AF$16,$L121:$X121,#REF!)),0,(LOOKUP(AF$16,$L121:$X121,#REF!)))</f>
        <v>0</v>
      </c>
      <c r="AG121" s="269">
        <f>IF(ISERROR(LOOKUP(AG$16,$L121:$X121,#REF!)),0,(LOOKUP(AG$16,$L121:$X121,#REF!)))</f>
        <v>0</v>
      </c>
      <c r="AH121" s="269">
        <f>IF(ISERROR(LOOKUP(AH$16,$L121:$X121,#REF!)),0,(LOOKUP(AH$16,$L121:$X121,#REF!)))</f>
        <v>0</v>
      </c>
      <c r="AI121" s="269">
        <f>IF(ISERROR(LOOKUP(AI$16,$L121:$X121,#REF!)),0,(LOOKUP(AI$16,$L121:$X121,#REF!)))</f>
        <v>0</v>
      </c>
      <c r="AJ121" s="269">
        <f>IF(ISERROR(LOOKUP(AJ$16,$L121:$X121,#REF!)),0,(LOOKUP(AJ$16,$L121:$X121,#REF!)))</f>
        <v>0</v>
      </c>
      <c r="AK121" s="269">
        <f>IF(ISERROR(LOOKUP(AK$16,$L121:$X121,#REF!)),0,(LOOKUP(AK$16,$L121:$X121,#REF!)))</f>
        <v>0</v>
      </c>
      <c r="AL121" s="269">
        <f>IF(ISERROR(LOOKUP(AL$16,$L121:$X121,#REF!)),0,(LOOKUP(AL$16,$L121:$X121,#REF!)))</f>
        <v>0</v>
      </c>
      <c r="AM121" s="269">
        <f ca="1">IF(ISERROR(LOOKUP(AM$16,$L121:$X121,#REF!)),0,(LOOKUP(AM$16,$L121:$X121,#REF!)))</f>
        <v>0</v>
      </c>
      <c r="AP121" s="243"/>
      <c r="AQ121" s="243"/>
      <c r="AR121" s="243"/>
      <c r="AS121" s="257"/>
      <c r="AW121" s="258" t="e">
        <v>#REF!</v>
      </c>
    </row>
    <row r="122" s="195" customFormat="1" ht="18" customHeight="1" spans="1:49">
      <c r="A122" s="241">
        <f>A119+1</f>
        <v>36</v>
      </c>
      <c r="B122" s="242"/>
      <c r="C122" s="243" t="s">
        <v>4817</v>
      </c>
      <c r="D122" s="243" t="s">
        <v>183</v>
      </c>
      <c r="E122" s="244"/>
      <c r="F122" s="302" t="s">
        <v>136</v>
      </c>
      <c r="G122" s="243" t="s">
        <v>72</v>
      </c>
      <c r="H122" s="244"/>
      <c r="I122" s="243" t="s">
        <v>8</v>
      </c>
      <c r="J122" s="303" t="s">
        <v>4769</v>
      </c>
      <c r="K122" s="247">
        <f>WORKDAY(L122,-INDEX(L$12:L$15,MATCH($I122,$I$12:$I$15,0)))</f>
        <v>46287</v>
      </c>
      <c r="L122" s="247">
        <f>WORKDAY(M122,-INDEX(M$12:M$15,MATCH($I122,$I$12:$I$15,0)))</f>
        <v>46290</v>
      </c>
      <c r="M122" s="247">
        <f>WORKDAY(N122,-INDEX(N$12:N$15,MATCH($I122,$I$12:$I$15,0)))</f>
        <v>46304</v>
      </c>
      <c r="N122" s="247">
        <f>WORKDAY(O122,-INDEX(O$12:O$15,MATCH($I122,$I$12:$I$15,0)))</f>
        <v>46307</v>
      </c>
      <c r="O122" s="247">
        <f>WORKDAY(R122,-INDEX(R$12:R$15,MATCH($I122,$I$12:$I$15,0)))</f>
        <v>46321</v>
      </c>
      <c r="P122" s="248">
        <f>U122-L122</f>
        <v>94</v>
      </c>
      <c r="Q122" s="249"/>
      <c r="R122" s="247">
        <f>WORKDAY(S122,-INDEX(S$12:S$15,MATCH($I122,$I$12:$I$15,0)))</f>
        <v>46335</v>
      </c>
      <c r="S122" s="247">
        <f>WORKDAY(T122,-INDEX(T$12:T$15,MATCH($I122,$I$12:$I$15,0)))</f>
        <v>46356</v>
      </c>
      <c r="T122" s="247">
        <f>WORKDAY(U122,-INDEX(U$12:U$15,MATCH($I122,$I$12:$I$15,0)))</f>
        <v>46370</v>
      </c>
      <c r="U122" s="247">
        <f>X122-Y122</f>
        <v>46384</v>
      </c>
      <c r="V122" s="247">
        <f>WORKDAY(U122,INDEX(V$12:V$15,MATCH($I122,$I$12:$I$15,0)))</f>
        <v>46386</v>
      </c>
      <c r="W122" s="250">
        <f>Y122/7</f>
        <v>22</v>
      </c>
      <c r="X122" s="247">
        <f>Z122</f>
        <v>46538</v>
      </c>
      <c r="Y122" s="251">
        <v>154</v>
      </c>
      <c r="Z122" s="253">
        <v>46538</v>
      </c>
      <c r="AA122" s="253">
        <v>46538</v>
      </c>
      <c r="AB122" s="254">
        <f>Z122-X123</f>
        <v>0</v>
      </c>
      <c r="AC122" s="255">
        <f>IF(ISERROR(LOOKUP(AC$16,$L122:$X122,#REF!)),0,(LOOKUP(AC$16,$L122:$X122,#REF!)))</f>
        <v>0</v>
      </c>
      <c r="AD122" s="256">
        <f>IF(ISERROR(LOOKUP(AD$16,$L122:$X122,#REF!)),0,(LOOKUP(AD$16,$L122:$X122,#REF!)))</f>
        <v>0</v>
      </c>
      <c r="AE122" s="256">
        <f>IF(ISERROR(LOOKUP(AE$16,$L122:$X122,#REF!)),0,(LOOKUP(AE$16,$L122:$X122,#REF!)))</f>
        <v>0</v>
      </c>
      <c r="AF122" s="256">
        <f>IF(ISERROR(LOOKUP(AF$16,$L122:$X122,#REF!)),0,(LOOKUP(AF$16,$L122:$X122,#REF!)))</f>
        <v>0</v>
      </c>
      <c r="AG122" s="256">
        <f>IF(ISERROR(LOOKUP(AG$16,$L122:$X122,#REF!)),0,(LOOKUP(AG$16,$L122:$X122,#REF!)))</f>
        <v>0</v>
      </c>
      <c r="AH122" s="256">
        <f>IF(ISERROR(LOOKUP(AH$16,$L122:$X122,#REF!)),0,(LOOKUP(AH$16,$L122:$X122,#REF!)))</f>
        <v>0</v>
      </c>
      <c r="AI122" s="256">
        <f>IF(ISERROR(LOOKUP(AI$16,$L122:$X122,#REF!)),0,(LOOKUP(AI$16,$L122:$X122,#REF!)))</f>
        <v>0</v>
      </c>
      <c r="AJ122" s="256">
        <f>IF(ISERROR(LOOKUP(AJ$16,$L122:$X122,#REF!)),0,(LOOKUP(AJ$16,$L122:$X122,#REF!)))</f>
        <v>0</v>
      </c>
      <c r="AK122" s="256">
        <f>IF(ISERROR(LOOKUP(AK$16,$L122:$X122,#REF!)),0,(LOOKUP(AK$16,$L122:$X122,#REF!)))</f>
        <v>0</v>
      </c>
      <c r="AL122" s="256">
        <f>IF(ISERROR(LOOKUP(AL$16,$L122:$X122,#REF!)),0,(LOOKUP(AL$16,$L122:$X122,#REF!)))</f>
        <v>0</v>
      </c>
      <c r="AM122" s="256">
        <f ca="1">IF(ISERROR(LOOKUP(AM$16,$L122:$X122,#REF!)),0,(LOOKUP(AM$16,$L122:$X122,#REF!)))</f>
        <v>0</v>
      </c>
      <c r="AP122" s="247" t="e">
        <f>WORKDAY(AQ122,-INDEX(AQ$12:AQ$15,MATCH($I122,$I$12:$I$15,0)),$AW$17:$AW$148)</f>
        <v>#REF!</v>
      </c>
      <c r="AQ122" s="247" t="e">
        <f>WORKDAY(U122,-INDEX(U$12:U$15,MATCH($I122,$I$12:$I$15,0)),$AW$17:$AW$148)</f>
        <v>#REF!</v>
      </c>
      <c r="AR122" s="247" t="e">
        <f>WORKDAY(U122,-INDEX(U$12:U$15,MATCH($I122,$I$12:$I$15,0)),$AW$17:$AW$148)</f>
        <v>#REF!</v>
      </c>
      <c r="AS122" s="257">
        <v>7</v>
      </c>
      <c r="AW122" s="258" t="e">
        <v>#REF!</v>
      </c>
    </row>
    <row r="123" s="195" customFormat="1" ht="18" customHeight="1" spans="1:49">
      <c r="A123" s="241"/>
      <c r="B123" s="259"/>
      <c r="C123" s="243" t="str">
        <f>C122</f>
        <v>RFQ-036</v>
      </c>
      <c r="D123" s="243" t="str">
        <f>D122</f>
        <v>Rrestriction Orifice</v>
      </c>
      <c r="E123" s="260"/>
      <c r="F123" s="304" t="str">
        <f>F122</f>
        <v>Instrument</v>
      </c>
      <c r="G123" s="243" t="str">
        <f>G122</f>
        <v>N</v>
      </c>
      <c r="H123" s="260"/>
      <c r="I123" s="243" t="str">
        <f>I122</f>
        <v>LC</v>
      </c>
      <c r="J123" s="303" t="s">
        <v>64</v>
      </c>
      <c r="K123" s="247">
        <f>K122</f>
        <v>46287</v>
      </c>
      <c r="L123" s="247">
        <f>WORKDAY(IF(K124="",K123,K124),INDEX(L$12:L$15,MATCH($I122,$I$12:$I$15,0)))</f>
        <v>46290</v>
      </c>
      <c r="M123" s="247">
        <f>WORKDAY(IF(L124="",L123,L124),INDEX(M$12:M$15,MATCH($I122,$I$12:$I$15,0)))</f>
        <v>46304</v>
      </c>
      <c r="N123" s="247">
        <f>WORKDAY(IF(M124="",M123,M124),INDEX(N$12:N$15,MATCH($I122,$I$12:$I$15,0)))</f>
        <v>46307</v>
      </c>
      <c r="O123" s="247">
        <f>WORKDAY(IF(N124="",N123,N124),INDEX(O$12:O$15,MATCH($I122,$I$12:$I$15,0)))</f>
        <v>46321</v>
      </c>
      <c r="P123" s="248"/>
      <c r="Q123" s="249"/>
      <c r="R123" s="247">
        <f>WORKDAY(IF(O124="",O123,O124),INDEX(R$12:R$15,MATCH($I122,$I$12:$I$15,0)))</f>
        <v>46335</v>
      </c>
      <c r="S123" s="247">
        <f>WORKDAY(IF(R124="",R123,R124),INDEX(S$12:S$15,MATCH($I122,$I$12:$I$15,0)))</f>
        <v>46356</v>
      </c>
      <c r="T123" s="247">
        <f>WORKDAY(IF(S124="",S123,S124),INDEX(T$12:T$15,MATCH($I122,$I$12:$I$15,0)))</f>
        <v>46370</v>
      </c>
      <c r="U123" s="247">
        <f>WORKDAY(IF(T124="",T123,T124),INDEX(U$12:U$15,MATCH($I122,$I$12:$I$15,0)))</f>
        <v>46384</v>
      </c>
      <c r="V123" s="247">
        <f>WORKDAY(IF(U124="",U123,U124),INDEX(V$12:V$15,MATCH($I122,$I$12:$I$15,0)))</f>
        <v>46386</v>
      </c>
      <c r="W123" s="250"/>
      <c r="X123" s="247">
        <f>U123+Y122</f>
        <v>46538</v>
      </c>
      <c r="Y123" s="251"/>
      <c r="Z123" s="253"/>
      <c r="AA123" s="253"/>
      <c r="AB123" s="254"/>
      <c r="AC123" s="255">
        <f>IF(ISERROR(LOOKUP(AC$16,$L123:$X123,#REF!)),0,(LOOKUP(AC$16,$L123:$X123,#REF!)))</f>
        <v>0</v>
      </c>
      <c r="AD123" s="256">
        <f>IF(ISERROR(LOOKUP(AD$16,$L123:$X123,#REF!)),0,(LOOKUP(AD$16,$L123:$X123,#REF!)))</f>
        <v>0</v>
      </c>
      <c r="AE123" s="256">
        <f>IF(ISERROR(LOOKUP(AE$16,$L123:$X123,#REF!)),0,(LOOKUP(AE$16,$L123:$X123,#REF!)))</f>
        <v>0</v>
      </c>
      <c r="AF123" s="256">
        <f>IF(ISERROR(LOOKUP(AF$16,$L123:$X123,#REF!)),0,(LOOKUP(AF$16,$L123:$X123,#REF!)))</f>
        <v>0</v>
      </c>
      <c r="AG123" s="256">
        <f>IF(ISERROR(LOOKUP(AG$16,$L123:$X123,#REF!)),0,(LOOKUP(AG$16,$L123:$X123,#REF!)))</f>
        <v>0</v>
      </c>
      <c r="AH123" s="256">
        <f>IF(ISERROR(LOOKUP(AH$16,$L123:$X123,#REF!)),0,(LOOKUP(AH$16,$L123:$X123,#REF!)))</f>
        <v>0</v>
      </c>
      <c r="AI123" s="256">
        <f>IF(ISERROR(LOOKUP(AI$16,$L123:$X123,#REF!)),0,(LOOKUP(AI$16,$L123:$X123,#REF!)))</f>
        <v>0</v>
      </c>
      <c r="AJ123" s="256">
        <f>IF(ISERROR(LOOKUP(AJ$16,$L123:$X123,#REF!)),0,(LOOKUP(AJ$16,$L123:$X123,#REF!)))</f>
        <v>0</v>
      </c>
      <c r="AK123" s="256">
        <f>IF(ISERROR(LOOKUP(AK$16,$L123:$X123,#REF!)),0,(LOOKUP(AK$16,$L123:$X123,#REF!)))</f>
        <v>0</v>
      </c>
      <c r="AL123" s="256">
        <f>IF(ISERROR(LOOKUP(AL$16,$L123:$X123,#REF!)),0,(LOOKUP(AL$16,$L123:$X123,#REF!)))</f>
        <v>0</v>
      </c>
      <c r="AM123" s="256">
        <f ca="1">IF(ISERROR(LOOKUP(AM$16,$L123:$X123,#REF!)),0,(LOOKUP(AM$16,$L123:$X123,#REF!)))</f>
        <v>0</v>
      </c>
      <c r="AP123" s="247" t="e">
        <f>WORKDAY(IF(T124="",T123,T124),INDEX(AP$12:AP$15,MATCH($I122,$I$12:$I$15,0)),$AW$17:$AW$148)</f>
        <v>#REF!</v>
      </c>
      <c r="AQ123" s="247" t="e">
        <f>WORKDAY(IF(AP124="",AP123,AP124),INDEX(AQ$12:AQ$15,MATCH($I122,$I$12:$I$15,0)),$AW$17:$AW$148)</f>
        <v>#REF!</v>
      </c>
      <c r="AR123" s="247" t="e">
        <f>WORKDAY(IF(AQ124="",AQ123,AQ124),INDEX(AR$12:AR$15,MATCH($I122,$I$12:$I$15,0)),$AW$17:$AW$148)</f>
        <v>#REF!</v>
      </c>
      <c r="AS123" s="257"/>
      <c r="AW123" s="258" t="e">
        <v>#REF!</v>
      </c>
    </row>
    <row r="124" s="195" customFormat="1" ht="18" customHeight="1" spans="1:49">
      <c r="A124" s="241"/>
      <c r="B124" s="262"/>
      <c r="C124" s="243" t="str">
        <f>C122</f>
        <v>RFQ-036</v>
      </c>
      <c r="D124" s="243" t="str">
        <f>D122</f>
        <v>Rrestriction Orifice</v>
      </c>
      <c r="E124" s="263"/>
      <c r="F124" s="305" t="str">
        <f>F122</f>
        <v>Instrument</v>
      </c>
      <c r="G124" s="243" t="str">
        <f>G122</f>
        <v>N</v>
      </c>
      <c r="H124" s="263"/>
      <c r="I124" s="243" t="str">
        <f>I122</f>
        <v>LC</v>
      </c>
      <c r="J124" s="303" t="s">
        <v>66</v>
      </c>
      <c r="K124" s="243"/>
      <c r="L124" s="243"/>
      <c r="M124" s="243"/>
      <c r="N124" s="243"/>
      <c r="O124" s="243"/>
      <c r="P124" s="265"/>
      <c r="Q124" s="266"/>
      <c r="R124" s="243"/>
      <c r="S124" s="243"/>
      <c r="T124" s="243"/>
      <c r="U124" s="243"/>
      <c r="V124" s="243"/>
      <c r="W124" s="267"/>
      <c r="X124" s="243"/>
      <c r="Y124" s="251"/>
      <c r="Z124" s="253"/>
      <c r="AA124" s="253"/>
      <c r="AB124" s="254"/>
      <c r="AC124" s="268">
        <f>IF(ISERROR(LOOKUP(AC$16,$L124:$X124,#REF!)),0,(LOOKUP(AC$16,$L124:$X124,#REF!)))</f>
        <v>0</v>
      </c>
      <c r="AD124" s="269">
        <f>IF(ISERROR(LOOKUP(AD$16,$L124:$X124,#REF!)),0,(LOOKUP(AD$16,$L124:$X124,#REF!)))</f>
        <v>0</v>
      </c>
      <c r="AE124" s="269">
        <f>IF(ISERROR(LOOKUP(AE$16,$L124:$X124,#REF!)),0,(LOOKUP(AE$16,$L124:$X124,#REF!)))</f>
        <v>0</v>
      </c>
      <c r="AF124" s="269">
        <f>IF(ISERROR(LOOKUP(AF$16,$L124:$X124,#REF!)),0,(LOOKUP(AF$16,$L124:$X124,#REF!)))</f>
        <v>0</v>
      </c>
      <c r="AG124" s="269">
        <f>IF(ISERROR(LOOKUP(AG$16,$L124:$X124,#REF!)),0,(LOOKUP(AG$16,$L124:$X124,#REF!)))</f>
        <v>0</v>
      </c>
      <c r="AH124" s="269">
        <f>IF(ISERROR(LOOKUP(AH$16,$L124:$X124,#REF!)),0,(LOOKUP(AH$16,$L124:$X124,#REF!)))</f>
        <v>0</v>
      </c>
      <c r="AI124" s="269">
        <f>IF(ISERROR(LOOKUP(AI$16,$L124:$X124,#REF!)),0,(LOOKUP(AI$16,$L124:$X124,#REF!)))</f>
        <v>0</v>
      </c>
      <c r="AJ124" s="269">
        <f>IF(ISERROR(LOOKUP(AJ$16,$L124:$X124,#REF!)),0,(LOOKUP(AJ$16,$L124:$X124,#REF!)))</f>
        <v>0</v>
      </c>
      <c r="AK124" s="269">
        <f>IF(ISERROR(LOOKUP(AK$16,$L124:$X124,#REF!)),0,(LOOKUP(AK$16,$L124:$X124,#REF!)))</f>
        <v>0</v>
      </c>
      <c r="AL124" s="269">
        <f>IF(ISERROR(LOOKUP(AL$16,$L124:$X124,#REF!)),0,(LOOKUP(AL$16,$L124:$X124,#REF!)))</f>
        <v>0</v>
      </c>
      <c r="AM124" s="269">
        <f ca="1">IF(ISERROR(LOOKUP(AM$16,$L124:$X124,#REF!)),0,(LOOKUP(AM$16,$L124:$X124,#REF!)))</f>
        <v>0</v>
      </c>
      <c r="AP124" s="243"/>
      <c r="AQ124" s="243"/>
      <c r="AR124" s="243"/>
      <c r="AS124" s="257"/>
      <c r="AW124" s="258" t="e">
        <v>#REF!</v>
      </c>
    </row>
    <row r="125" s="195" customFormat="1" ht="18" customHeight="1" spans="1:49">
      <c r="A125" s="241">
        <f>A122+1</f>
        <v>37</v>
      </c>
      <c r="B125" s="242"/>
      <c r="C125" s="243" t="s">
        <v>4818</v>
      </c>
      <c r="D125" s="243" t="s">
        <v>185</v>
      </c>
      <c r="E125" s="244"/>
      <c r="F125" s="302" t="s">
        <v>136</v>
      </c>
      <c r="G125" s="243" t="s">
        <v>72</v>
      </c>
      <c r="H125" s="244"/>
      <c r="I125" s="243" t="s">
        <v>7</v>
      </c>
      <c r="J125" s="303" t="s">
        <v>4769</v>
      </c>
      <c r="K125" s="247">
        <f>WORKDAY(L125,-INDEX(L$12:L$15,MATCH($I125,$I$12:$I$15,0)))</f>
        <v>46209</v>
      </c>
      <c r="L125" s="247">
        <f>WORKDAY(M125,-INDEX(M$12:M$15,MATCH($I125,$I$12:$I$15,0)))</f>
        <v>46210</v>
      </c>
      <c r="M125" s="247">
        <f>WORKDAY(N125,-INDEX(N$12:N$15,MATCH($I125,$I$12:$I$15,0)))</f>
        <v>46217</v>
      </c>
      <c r="N125" s="247">
        <f>WORKDAY(O125,-INDEX(O$12:O$15,MATCH($I125,$I$12:$I$15,0)))</f>
        <v>46218</v>
      </c>
      <c r="O125" s="247">
        <f>WORKDAY(R125,-INDEX(R$12:R$15,MATCH($I125,$I$12:$I$15,0)))</f>
        <v>46225</v>
      </c>
      <c r="P125" s="248">
        <f>U125-L125</f>
        <v>76</v>
      </c>
      <c r="Q125" s="249"/>
      <c r="R125" s="247">
        <f>WORKDAY(S125,-INDEX(S$12:S$15,MATCH($I125,$I$12:$I$15,0)))</f>
        <v>46239</v>
      </c>
      <c r="S125" s="247">
        <f>WORKDAY(T125,-INDEX(T$12:T$15,MATCH($I125,$I$12:$I$15,0)))</f>
        <v>46267</v>
      </c>
      <c r="T125" s="247">
        <f>WORKDAY(U125,-INDEX(U$12:U$15,MATCH($I125,$I$12:$I$15,0)))</f>
        <v>46272</v>
      </c>
      <c r="U125" s="247">
        <f>X125-Y125</f>
        <v>46286</v>
      </c>
      <c r="V125" s="247">
        <f>WORKDAY(U125,INDEX(V$12:V$15,MATCH($I125,$I$12:$I$15,0)))</f>
        <v>46288</v>
      </c>
      <c r="W125" s="250">
        <f>Y125/7</f>
        <v>36</v>
      </c>
      <c r="X125" s="247">
        <f>Z125</f>
        <v>46538</v>
      </c>
      <c r="Y125" s="251">
        <f>36*7</f>
        <v>252</v>
      </c>
      <c r="Z125" s="253">
        <v>46538</v>
      </c>
      <c r="AA125" s="253">
        <v>46538</v>
      </c>
      <c r="AB125" s="254">
        <f>Z125-X126</f>
        <v>0</v>
      </c>
      <c r="AC125" s="255">
        <f>IF(ISERROR(LOOKUP(AC$16,$L125:$X125,#REF!)),0,(LOOKUP(AC$16,$L125:$X125,#REF!)))</f>
        <v>0</v>
      </c>
      <c r="AD125" s="256">
        <f>IF(ISERROR(LOOKUP(AD$16,$L125:$X125,#REF!)),0,(LOOKUP(AD$16,$L125:$X125,#REF!)))</f>
        <v>0</v>
      </c>
      <c r="AE125" s="256">
        <f>IF(ISERROR(LOOKUP(AE$16,$L125:$X125,#REF!)),0,(LOOKUP(AE$16,$L125:$X125,#REF!)))</f>
        <v>0</v>
      </c>
      <c r="AF125" s="256">
        <f>IF(ISERROR(LOOKUP(AF$16,$L125:$X125,#REF!)),0,(LOOKUP(AF$16,$L125:$X125,#REF!)))</f>
        <v>0</v>
      </c>
      <c r="AG125" s="256">
        <f>IF(ISERROR(LOOKUP(AG$16,$L125:$X125,#REF!)),0,(LOOKUP(AG$16,$L125:$X125,#REF!)))</f>
        <v>0</v>
      </c>
      <c r="AH125" s="256">
        <f>IF(ISERROR(LOOKUP(AH$16,$L125:$X125,#REF!)),0,(LOOKUP(AH$16,$L125:$X125,#REF!)))</f>
        <v>0</v>
      </c>
      <c r="AI125" s="256">
        <f>IF(ISERROR(LOOKUP(AI$16,$L125:$X125,#REF!)),0,(LOOKUP(AI$16,$L125:$X125,#REF!)))</f>
        <v>0</v>
      </c>
      <c r="AJ125" s="256">
        <f>IF(ISERROR(LOOKUP(AJ$16,$L125:$X125,#REF!)),0,(LOOKUP(AJ$16,$L125:$X125,#REF!)))</f>
        <v>0</v>
      </c>
      <c r="AK125" s="256">
        <f>IF(ISERROR(LOOKUP(AK$16,$L125:$X125,#REF!)),0,(LOOKUP(AK$16,$L125:$X125,#REF!)))</f>
        <v>0</v>
      </c>
      <c r="AL125" s="256">
        <f>IF(ISERROR(LOOKUP(AL$16,$L125:$X125,#REF!)),0,(LOOKUP(AL$16,$L125:$X125,#REF!)))</f>
        <v>0</v>
      </c>
      <c r="AM125" s="256">
        <f ca="1">IF(ISERROR(LOOKUP(AM$16,$L125:$X125,#REF!)),0,(LOOKUP(AM$16,$L125:$X125,#REF!)))</f>
        <v>0</v>
      </c>
      <c r="AP125" s="247" t="e">
        <f>WORKDAY(AQ125,-INDEX(AQ$12:AQ$15,MATCH($I125,$I$12:$I$15,0)),$AW$17:$AW$148)</f>
        <v>#REF!</v>
      </c>
      <c r="AQ125" s="247" t="e">
        <f>WORKDAY(U125,-INDEX(U$12:U$15,MATCH($I125,$I$12:$I$15,0)),$AW$17:$AW$148)</f>
        <v>#REF!</v>
      </c>
      <c r="AR125" s="247" t="e">
        <f>WORKDAY(U125,-INDEX(U$12:U$15,MATCH($I125,$I$12:$I$15,0)),$AW$17:$AW$148)</f>
        <v>#REF!</v>
      </c>
      <c r="AS125" s="257">
        <v>7</v>
      </c>
      <c r="AW125" s="258" t="e">
        <v>#REF!</v>
      </c>
    </row>
    <row r="126" s="195" customFormat="1" ht="18" customHeight="1" spans="1:49">
      <c r="A126" s="241"/>
      <c r="B126" s="259"/>
      <c r="C126" s="243" t="str">
        <f>C125</f>
        <v>RFQ-037</v>
      </c>
      <c r="D126" s="243" t="str">
        <f>D125</f>
        <v>PLC System</v>
      </c>
      <c r="E126" s="260"/>
      <c r="F126" s="304" t="str">
        <f>F125</f>
        <v>Instrument</v>
      </c>
      <c r="G126" s="243" t="str">
        <f>G125</f>
        <v>N</v>
      </c>
      <c r="H126" s="260"/>
      <c r="I126" s="243" t="str">
        <f>I125</f>
        <v>LB</v>
      </c>
      <c r="J126" s="303" t="s">
        <v>64</v>
      </c>
      <c r="K126" s="247">
        <f>K125</f>
        <v>46209</v>
      </c>
      <c r="L126" s="247">
        <f>WORKDAY(IF(K127="",K126,K127),INDEX(L$12:L$15,MATCH($I125,$I$12:$I$15,0)))</f>
        <v>46210</v>
      </c>
      <c r="M126" s="247">
        <f>WORKDAY(IF(L127="",L126,L127),INDEX(M$12:M$15,MATCH($I125,$I$12:$I$15,0)))</f>
        <v>46217</v>
      </c>
      <c r="N126" s="247">
        <f>WORKDAY(IF(M127="",M126,M127),INDEX(N$12:N$15,MATCH($I125,$I$12:$I$15,0)))</f>
        <v>46218</v>
      </c>
      <c r="O126" s="247">
        <f>WORKDAY(IF(N127="",N126,N127),INDEX(O$12:O$15,MATCH($I125,$I$12:$I$15,0)))</f>
        <v>46225</v>
      </c>
      <c r="P126" s="248"/>
      <c r="Q126" s="249"/>
      <c r="R126" s="247">
        <f>WORKDAY(IF(O127="",O126,O127),INDEX(R$12:R$15,MATCH($I125,$I$12:$I$15,0)))</f>
        <v>46239</v>
      </c>
      <c r="S126" s="247">
        <f>WORKDAY(IF(R127="",R126,R127),INDEX(S$12:S$15,MATCH($I125,$I$12:$I$15,0)))</f>
        <v>46267</v>
      </c>
      <c r="T126" s="247">
        <f>WORKDAY(IF(S127="",S126,S127),INDEX(T$12:T$15,MATCH($I125,$I$12:$I$15,0)))</f>
        <v>46272</v>
      </c>
      <c r="U126" s="247">
        <f>WORKDAY(IF(T127="",T126,T127),INDEX(U$12:U$15,MATCH($I125,$I$12:$I$15,0)))</f>
        <v>46286</v>
      </c>
      <c r="V126" s="247">
        <f>WORKDAY(IF(U127="",U126,U127),INDEX(V$12:V$15,MATCH($I125,$I$12:$I$15,0)))</f>
        <v>46288</v>
      </c>
      <c r="W126" s="250"/>
      <c r="X126" s="247">
        <f>U126+Y125</f>
        <v>46538</v>
      </c>
      <c r="Y126" s="251"/>
      <c r="Z126" s="253"/>
      <c r="AA126" s="253"/>
      <c r="AB126" s="254"/>
      <c r="AC126" s="255">
        <f>IF(ISERROR(LOOKUP(AC$16,$L126:$X126,#REF!)),0,(LOOKUP(AC$16,$L126:$X126,#REF!)))</f>
        <v>0</v>
      </c>
      <c r="AD126" s="256">
        <f>IF(ISERROR(LOOKUP(AD$16,$L126:$X126,#REF!)),0,(LOOKUP(AD$16,$L126:$X126,#REF!)))</f>
        <v>0</v>
      </c>
      <c r="AE126" s="256">
        <f>IF(ISERROR(LOOKUP(AE$16,$L126:$X126,#REF!)),0,(LOOKUP(AE$16,$L126:$X126,#REF!)))</f>
        <v>0</v>
      </c>
      <c r="AF126" s="256">
        <f>IF(ISERROR(LOOKUP(AF$16,$L126:$X126,#REF!)),0,(LOOKUP(AF$16,$L126:$X126,#REF!)))</f>
        <v>0</v>
      </c>
      <c r="AG126" s="256">
        <f>IF(ISERROR(LOOKUP(AG$16,$L126:$X126,#REF!)),0,(LOOKUP(AG$16,$L126:$X126,#REF!)))</f>
        <v>0</v>
      </c>
      <c r="AH126" s="256">
        <f>IF(ISERROR(LOOKUP(AH$16,$L126:$X126,#REF!)),0,(LOOKUP(AH$16,$L126:$X126,#REF!)))</f>
        <v>0</v>
      </c>
      <c r="AI126" s="256">
        <f>IF(ISERROR(LOOKUP(AI$16,$L126:$X126,#REF!)),0,(LOOKUP(AI$16,$L126:$X126,#REF!)))</f>
        <v>0</v>
      </c>
      <c r="AJ126" s="256">
        <f>IF(ISERROR(LOOKUP(AJ$16,$L126:$X126,#REF!)),0,(LOOKUP(AJ$16,$L126:$X126,#REF!)))</f>
        <v>0</v>
      </c>
      <c r="AK126" s="256">
        <f>IF(ISERROR(LOOKUP(AK$16,$L126:$X126,#REF!)),0,(LOOKUP(AK$16,$L126:$X126,#REF!)))</f>
        <v>0</v>
      </c>
      <c r="AL126" s="256">
        <f>IF(ISERROR(LOOKUP(AL$16,$L126:$X126,#REF!)),0,(LOOKUP(AL$16,$L126:$X126,#REF!)))</f>
        <v>0</v>
      </c>
      <c r="AM126" s="256">
        <f ca="1">IF(ISERROR(LOOKUP(AM$16,$L126:$X126,#REF!)),0,(LOOKUP(AM$16,$L126:$X126,#REF!)))</f>
        <v>0</v>
      </c>
      <c r="AP126" s="247" t="e">
        <f>WORKDAY(IF(T127="",T126,T127),INDEX(AP$12:AP$15,MATCH($I125,$I$12:$I$15,0)),$AW$17:$AW$148)</f>
        <v>#REF!</v>
      </c>
      <c r="AQ126" s="247" t="e">
        <f>WORKDAY(IF(AP127="",AP126,AP127),INDEX(AQ$12:AQ$15,MATCH($I125,$I$12:$I$15,0)),$AW$17:$AW$148)</f>
        <v>#REF!</v>
      </c>
      <c r="AR126" s="247" t="e">
        <f>WORKDAY(IF(AQ127="",AQ126,AQ127),INDEX(AR$12:AR$15,MATCH($I125,$I$12:$I$15,0)),$AW$17:$AW$148)</f>
        <v>#REF!</v>
      </c>
      <c r="AS126" s="257"/>
      <c r="AW126" s="258" t="e">
        <v>#REF!</v>
      </c>
    </row>
    <row r="127" s="195" customFormat="1" ht="18" customHeight="1" spans="1:49">
      <c r="A127" s="241"/>
      <c r="B127" s="262"/>
      <c r="C127" s="243" t="str">
        <f>C125</f>
        <v>RFQ-037</v>
      </c>
      <c r="D127" s="243" t="str">
        <f>D125</f>
        <v>PLC System</v>
      </c>
      <c r="E127" s="263"/>
      <c r="F127" s="305" t="str">
        <f>F125</f>
        <v>Instrument</v>
      </c>
      <c r="G127" s="243" t="str">
        <f>G125</f>
        <v>N</v>
      </c>
      <c r="H127" s="263"/>
      <c r="I127" s="243" t="str">
        <f>I125</f>
        <v>LB</v>
      </c>
      <c r="J127" s="303" t="s">
        <v>66</v>
      </c>
      <c r="K127" s="243"/>
      <c r="L127" s="243"/>
      <c r="M127" s="243"/>
      <c r="N127" s="243"/>
      <c r="O127" s="243"/>
      <c r="P127" s="265"/>
      <c r="Q127" s="266"/>
      <c r="R127" s="243"/>
      <c r="S127" s="243"/>
      <c r="T127" s="243"/>
      <c r="U127" s="243"/>
      <c r="V127" s="243"/>
      <c r="W127" s="267"/>
      <c r="X127" s="243"/>
      <c r="Y127" s="251"/>
      <c r="Z127" s="253"/>
      <c r="AA127" s="253"/>
      <c r="AB127" s="254"/>
      <c r="AC127" s="268">
        <f>IF(ISERROR(LOOKUP(AC$16,$L127:$X127,#REF!)),0,(LOOKUP(AC$16,$L127:$X127,#REF!)))</f>
        <v>0</v>
      </c>
      <c r="AD127" s="269">
        <f>IF(ISERROR(LOOKUP(AD$16,$L127:$X127,#REF!)),0,(LOOKUP(AD$16,$L127:$X127,#REF!)))</f>
        <v>0</v>
      </c>
      <c r="AE127" s="269">
        <f>IF(ISERROR(LOOKUP(AE$16,$L127:$X127,#REF!)),0,(LOOKUP(AE$16,$L127:$X127,#REF!)))</f>
        <v>0</v>
      </c>
      <c r="AF127" s="269">
        <f>IF(ISERROR(LOOKUP(AF$16,$L127:$X127,#REF!)),0,(LOOKUP(AF$16,$L127:$X127,#REF!)))</f>
        <v>0</v>
      </c>
      <c r="AG127" s="269">
        <f>IF(ISERROR(LOOKUP(AG$16,$L127:$X127,#REF!)),0,(LOOKUP(AG$16,$L127:$X127,#REF!)))</f>
        <v>0</v>
      </c>
      <c r="AH127" s="269">
        <f>IF(ISERROR(LOOKUP(AH$16,$L127:$X127,#REF!)),0,(LOOKUP(AH$16,$L127:$X127,#REF!)))</f>
        <v>0</v>
      </c>
      <c r="AI127" s="269">
        <f>IF(ISERROR(LOOKUP(AI$16,$L127:$X127,#REF!)),0,(LOOKUP(AI$16,$L127:$X127,#REF!)))</f>
        <v>0</v>
      </c>
      <c r="AJ127" s="269">
        <f>IF(ISERROR(LOOKUP(AJ$16,$L127:$X127,#REF!)),0,(LOOKUP(AJ$16,$L127:$X127,#REF!)))</f>
        <v>0</v>
      </c>
      <c r="AK127" s="269">
        <f>IF(ISERROR(LOOKUP(AK$16,$L127:$X127,#REF!)),0,(LOOKUP(AK$16,$L127:$X127,#REF!)))</f>
        <v>0</v>
      </c>
      <c r="AL127" s="269">
        <f>IF(ISERROR(LOOKUP(AL$16,$L127:$X127,#REF!)),0,(LOOKUP(AL$16,$L127:$X127,#REF!)))</f>
        <v>0</v>
      </c>
      <c r="AM127" s="269">
        <f ca="1">IF(ISERROR(LOOKUP(AM$16,$L127:$X127,#REF!)),0,(LOOKUP(AM$16,$L127:$X127,#REF!)))</f>
        <v>0</v>
      </c>
      <c r="AP127" s="243"/>
      <c r="AQ127" s="243"/>
      <c r="AR127" s="243"/>
      <c r="AS127" s="257"/>
      <c r="AW127" s="258" t="e">
        <v>#REF!</v>
      </c>
    </row>
    <row r="128" s="195" customFormat="1" ht="18" customHeight="1" spans="1:49">
      <c r="A128" s="241">
        <f>A125+1</f>
        <v>38</v>
      </c>
      <c r="B128" s="242"/>
      <c r="C128" s="243" t="s">
        <v>4819</v>
      </c>
      <c r="D128" s="243" t="s">
        <v>4820</v>
      </c>
      <c r="E128" s="244"/>
      <c r="F128" s="302" t="s">
        <v>136</v>
      </c>
      <c r="G128" s="243" t="s">
        <v>72</v>
      </c>
      <c r="H128" s="244"/>
      <c r="I128" s="243" t="s">
        <v>8</v>
      </c>
      <c r="J128" s="303" t="s">
        <v>4769</v>
      </c>
      <c r="K128" s="247">
        <f>WORKDAY(L128,-INDEX(L$12:L$15,MATCH($I128,$I$12:$I$15,0)))</f>
        <v>46310</v>
      </c>
      <c r="L128" s="247">
        <f>WORKDAY(M128,-INDEX(M$12:M$15,MATCH($I128,$I$12:$I$15,0)))</f>
        <v>46315</v>
      </c>
      <c r="M128" s="247">
        <f>WORKDAY(N128,-INDEX(N$12:N$15,MATCH($I128,$I$12:$I$15,0)))</f>
        <v>46329</v>
      </c>
      <c r="N128" s="247">
        <f>WORKDAY(O128,-INDEX(O$12:O$15,MATCH($I128,$I$12:$I$15,0)))</f>
        <v>46330</v>
      </c>
      <c r="O128" s="247">
        <f>WORKDAY(R128,-INDEX(R$12:R$15,MATCH($I128,$I$12:$I$15,0)))</f>
        <v>46344</v>
      </c>
      <c r="P128" s="248">
        <f>U128-L128</f>
        <v>92</v>
      </c>
      <c r="Q128" s="249"/>
      <c r="R128" s="247">
        <f>WORKDAY(S128,-INDEX(S$12:S$15,MATCH($I128,$I$12:$I$15,0)))</f>
        <v>46358</v>
      </c>
      <c r="S128" s="247">
        <f>WORKDAY(T128,-INDEX(T$12:T$15,MATCH($I128,$I$12:$I$15,0)))</f>
        <v>46379</v>
      </c>
      <c r="T128" s="247">
        <f>WORKDAY(U128,-INDEX(U$12:U$15,MATCH($I128,$I$12:$I$15,0)))</f>
        <v>46393</v>
      </c>
      <c r="U128" s="247">
        <f>X128-Y128</f>
        <v>46407</v>
      </c>
      <c r="V128" s="247">
        <f>WORKDAY(U128,INDEX(V$12:V$15,MATCH($I128,$I$12:$I$15,0)))</f>
        <v>46409</v>
      </c>
      <c r="W128" s="250">
        <f>Y128/7</f>
        <v>18.7142857142857</v>
      </c>
      <c r="X128" s="247">
        <f>Z128</f>
        <v>46538</v>
      </c>
      <c r="Y128" s="251">
        <v>131</v>
      </c>
      <c r="Z128" s="253">
        <v>46538</v>
      </c>
      <c r="AA128" s="253">
        <v>46538</v>
      </c>
      <c r="AB128" s="254">
        <f>Z128-X129</f>
        <v>0</v>
      </c>
      <c r="AC128" s="255">
        <f>IF(ISERROR(LOOKUP(AC$16,$L128:$X128,#REF!)),0,(LOOKUP(AC$16,$L128:$X128,#REF!)))</f>
        <v>0</v>
      </c>
      <c r="AD128" s="256">
        <f>IF(ISERROR(LOOKUP(AD$16,$L128:$X128,#REF!)),0,(LOOKUP(AD$16,$L128:$X128,#REF!)))</f>
        <v>0</v>
      </c>
      <c r="AE128" s="256">
        <f>IF(ISERROR(LOOKUP(AE$16,$L128:$X128,#REF!)),0,(LOOKUP(AE$16,$L128:$X128,#REF!)))</f>
        <v>0</v>
      </c>
      <c r="AF128" s="256">
        <f>IF(ISERROR(LOOKUP(AF$16,$L128:$X128,#REF!)),0,(LOOKUP(AF$16,$L128:$X128,#REF!)))</f>
        <v>0</v>
      </c>
      <c r="AG128" s="256">
        <f>IF(ISERROR(LOOKUP(AG$16,$L128:$X128,#REF!)),0,(LOOKUP(AG$16,$L128:$X128,#REF!)))</f>
        <v>0</v>
      </c>
      <c r="AH128" s="256">
        <f>IF(ISERROR(LOOKUP(AH$16,$L128:$X128,#REF!)),0,(LOOKUP(AH$16,$L128:$X128,#REF!)))</f>
        <v>0</v>
      </c>
      <c r="AI128" s="256">
        <f>IF(ISERROR(LOOKUP(AI$16,$L128:$X128,#REF!)),0,(LOOKUP(AI$16,$L128:$X128,#REF!)))</f>
        <v>0</v>
      </c>
      <c r="AJ128" s="256">
        <f>IF(ISERROR(LOOKUP(AJ$16,$L128:$X128,#REF!)),0,(LOOKUP(AJ$16,$L128:$X128,#REF!)))</f>
        <v>0</v>
      </c>
      <c r="AK128" s="256">
        <f>IF(ISERROR(LOOKUP(AK$16,$L128:$X128,#REF!)),0,(LOOKUP(AK$16,$L128:$X128,#REF!)))</f>
        <v>0</v>
      </c>
      <c r="AL128" s="256">
        <f>IF(ISERROR(LOOKUP(AL$16,$L128:$X128,#REF!)),0,(LOOKUP(AL$16,$L128:$X128,#REF!)))</f>
        <v>0</v>
      </c>
      <c r="AM128" s="256">
        <f ca="1">IF(ISERROR(LOOKUP(AM$16,$L128:$X128,#REF!)),0,(LOOKUP(AM$16,$L128:$X128,#REF!)))</f>
        <v>0</v>
      </c>
      <c r="AP128" s="247" t="e">
        <f>WORKDAY(AQ128,-INDEX(AQ$12:AQ$15,MATCH($I128,$I$12:$I$15,0)),$AW$17:$AW$148)</f>
        <v>#REF!</v>
      </c>
      <c r="AQ128" s="247" t="e">
        <f>WORKDAY(U128,-INDEX(U$12:U$15,MATCH($I128,$I$12:$I$15,0)),$AW$17:$AW$148)</f>
        <v>#REF!</v>
      </c>
      <c r="AR128" s="247" t="e">
        <f>WORKDAY(U128,-INDEX(U$12:U$15,MATCH($I128,$I$12:$I$15,0)),$AW$17:$AW$148)</f>
        <v>#REF!</v>
      </c>
      <c r="AS128" s="257">
        <v>7</v>
      </c>
      <c r="AW128" s="258" t="e">
        <v>#REF!</v>
      </c>
    </row>
    <row r="129" s="195" customFormat="1" ht="18" customHeight="1" spans="1:49">
      <c r="A129" s="241"/>
      <c r="B129" s="259"/>
      <c r="C129" s="243" t="str">
        <f>C128</f>
        <v>RFQ-038</v>
      </c>
      <c r="D129" s="243" t="str">
        <f>D128</f>
        <v>Fire and Gas Detector</v>
      </c>
      <c r="E129" s="260"/>
      <c r="F129" s="304" t="str">
        <f>F128</f>
        <v>Instrument</v>
      </c>
      <c r="G129" s="243" t="str">
        <f>G128</f>
        <v>N</v>
      </c>
      <c r="H129" s="260"/>
      <c r="I129" s="243" t="str">
        <f>I128</f>
        <v>LC</v>
      </c>
      <c r="J129" s="303" t="s">
        <v>64</v>
      </c>
      <c r="K129" s="247">
        <f>K128</f>
        <v>46310</v>
      </c>
      <c r="L129" s="247">
        <f>WORKDAY(IF(K130="",K129,K130),INDEX(L$12:L$15,MATCH($I128,$I$12:$I$15,0)))</f>
        <v>46315</v>
      </c>
      <c r="M129" s="247">
        <f>WORKDAY(IF(L130="",L129,L130),INDEX(M$12:M$15,MATCH($I128,$I$12:$I$15,0)))</f>
        <v>46329</v>
      </c>
      <c r="N129" s="247">
        <f>WORKDAY(IF(M130="",M129,M130),INDEX(N$12:N$15,MATCH($I128,$I$12:$I$15,0)))</f>
        <v>46330</v>
      </c>
      <c r="O129" s="247">
        <f>WORKDAY(IF(N130="",N129,N130),INDEX(O$12:O$15,MATCH($I128,$I$12:$I$15,0)))</f>
        <v>46344</v>
      </c>
      <c r="P129" s="248"/>
      <c r="Q129" s="249"/>
      <c r="R129" s="247">
        <f>WORKDAY(IF(O130="",O129,O130),INDEX(R$12:R$15,MATCH($I128,$I$12:$I$15,0)))</f>
        <v>46358</v>
      </c>
      <c r="S129" s="247">
        <f>WORKDAY(IF(R130="",R129,R130),INDEX(S$12:S$15,MATCH($I128,$I$12:$I$15,0)))</f>
        <v>46379</v>
      </c>
      <c r="T129" s="247">
        <f>WORKDAY(IF(S130="",S129,S130),INDEX(T$12:T$15,MATCH($I128,$I$12:$I$15,0)))</f>
        <v>46393</v>
      </c>
      <c r="U129" s="247">
        <f>WORKDAY(IF(T130="",T129,T130),INDEX(U$12:U$15,MATCH($I128,$I$12:$I$15,0)))</f>
        <v>46407</v>
      </c>
      <c r="V129" s="247">
        <f>WORKDAY(IF(U130="",U129,U130),INDEX(V$12:V$15,MATCH($I128,$I$12:$I$15,0)))</f>
        <v>46409</v>
      </c>
      <c r="W129" s="250"/>
      <c r="X129" s="247">
        <f>U129+Y128</f>
        <v>46538</v>
      </c>
      <c r="Y129" s="251"/>
      <c r="Z129" s="253"/>
      <c r="AA129" s="253"/>
      <c r="AB129" s="254"/>
      <c r="AC129" s="255">
        <f>IF(ISERROR(LOOKUP(AC$16,$L129:$X129,#REF!)),0,(LOOKUP(AC$16,$L129:$X129,#REF!)))</f>
        <v>0</v>
      </c>
      <c r="AD129" s="256">
        <f>IF(ISERROR(LOOKUP(AD$16,$L129:$X129,#REF!)),0,(LOOKUP(AD$16,$L129:$X129,#REF!)))</f>
        <v>0</v>
      </c>
      <c r="AE129" s="256">
        <f>IF(ISERROR(LOOKUP(AE$16,$L129:$X129,#REF!)),0,(LOOKUP(AE$16,$L129:$X129,#REF!)))</f>
        <v>0</v>
      </c>
      <c r="AF129" s="256">
        <f>IF(ISERROR(LOOKUP(AF$16,$L129:$X129,#REF!)),0,(LOOKUP(AF$16,$L129:$X129,#REF!)))</f>
        <v>0</v>
      </c>
      <c r="AG129" s="256">
        <f>IF(ISERROR(LOOKUP(AG$16,$L129:$X129,#REF!)),0,(LOOKUP(AG$16,$L129:$X129,#REF!)))</f>
        <v>0</v>
      </c>
      <c r="AH129" s="256">
        <f>IF(ISERROR(LOOKUP(AH$16,$L129:$X129,#REF!)),0,(LOOKUP(AH$16,$L129:$X129,#REF!)))</f>
        <v>0</v>
      </c>
      <c r="AI129" s="256">
        <f>IF(ISERROR(LOOKUP(AI$16,$L129:$X129,#REF!)),0,(LOOKUP(AI$16,$L129:$X129,#REF!)))</f>
        <v>0</v>
      </c>
      <c r="AJ129" s="256">
        <f>IF(ISERROR(LOOKUP(AJ$16,$L129:$X129,#REF!)),0,(LOOKUP(AJ$16,$L129:$X129,#REF!)))</f>
        <v>0</v>
      </c>
      <c r="AK129" s="256">
        <f>IF(ISERROR(LOOKUP(AK$16,$L129:$X129,#REF!)),0,(LOOKUP(AK$16,$L129:$X129,#REF!)))</f>
        <v>0</v>
      </c>
      <c r="AL129" s="256">
        <f>IF(ISERROR(LOOKUP(AL$16,$L129:$X129,#REF!)),0,(LOOKUP(AL$16,$L129:$X129,#REF!)))</f>
        <v>0</v>
      </c>
      <c r="AM129" s="256">
        <f ca="1">IF(ISERROR(LOOKUP(AM$16,$L129:$X129,#REF!)),0,(LOOKUP(AM$16,$L129:$X129,#REF!)))</f>
        <v>0</v>
      </c>
      <c r="AP129" s="247" t="e">
        <f>WORKDAY(IF(T130="",T129,T130),INDEX(AP$12:AP$15,MATCH($I128,$I$12:$I$15,0)),$AW$17:$AW$148)</f>
        <v>#REF!</v>
      </c>
      <c r="AQ129" s="247" t="e">
        <f>WORKDAY(IF(AP130="",AP129,AP130),INDEX(AQ$12:AQ$15,MATCH($I128,$I$12:$I$15,0)),$AW$17:$AW$148)</f>
        <v>#REF!</v>
      </c>
      <c r="AR129" s="247" t="e">
        <f>WORKDAY(IF(AQ130="",AQ129,AQ130),INDEX(AR$12:AR$15,MATCH($I128,$I$12:$I$15,0)),$AW$17:$AW$148)</f>
        <v>#REF!</v>
      </c>
      <c r="AS129" s="257"/>
      <c r="AW129" s="258" t="e">
        <v>#REF!</v>
      </c>
    </row>
    <row r="130" s="195" customFormat="1" ht="18" customHeight="1" spans="1:49">
      <c r="A130" s="241"/>
      <c r="B130" s="262"/>
      <c r="C130" s="243" t="str">
        <f>C128</f>
        <v>RFQ-038</v>
      </c>
      <c r="D130" s="243" t="str">
        <f>D128</f>
        <v>Fire and Gas Detector</v>
      </c>
      <c r="E130" s="263"/>
      <c r="F130" s="305" t="str">
        <f>F128</f>
        <v>Instrument</v>
      </c>
      <c r="G130" s="243" t="str">
        <f>G128</f>
        <v>N</v>
      </c>
      <c r="H130" s="263"/>
      <c r="I130" s="243" t="str">
        <f>I128</f>
        <v>LC</v>
      </c>
      <c r="J130" s="303" t="s">
        <v>66</v>
      </c>
      <c r="K130" s="243"/>
      <c r="L130" s="243"/>
      <c r="M130" s="243"/>
      <c r="N130" s="243"/>
      <c r="O130" s="243"/>
      <c r="P130" s="265"/>
      <c r="Q130" s="266"/>
      <c r="R130" s="243"/>
      <c r="S130" s="243"/>
      <c r="T130" s="243"/>
      <c r="U130" s="243"/>
      <c r="V130" s="243"/>
      <c r="W130" s="267"/>
      <c r="X130" s="243"/>
      <c r="Y130" s="251"/>
      <c r="Z130" s="253"/>
      <c r="AA130" s="253"/>
      <c r="AB130" s="254"/>
      <c r="AC130" s="268">
        <f>IF(ISERROR(LOOKUP(AC$16,$L130:$X130,#REF!)),0,(LOOKUP(AC$16,$L130:$X130,#REF!)))</f>
        <v>0</v>
      </c>
      <c r="AD130" s="269">
        <f>IF(ISERROR(LOOKUP(AD$16,$L130:$X130,#REF!)),0,(LOOKUP(AD$16,$L130:$X130,#REF!)))</f>
        <v>0</v>
      </c>
      <c r="AE130" s="269">
        <f>IF(ISERROR(LOOKUP(AE$16,$L130:$X130,#REF!)),0,(LOOKUP(AE$16,$L130:$X130,#REF!)))</f>
        <v>0</v>
      </c>
      <c r="AF130" s="269">
        <f>IF(ISERROR(LOOKUP(AF$16,$L130:$X130,#REF!)),0,(LOOKUP(AF$16,$L130:$X130,#REF!)))</f>
        <v>0</v>
      </c>
      <c r="AG130" s="269">
        <f>IF(ISERROR(LOOKUP(AG$16,$L130:$X130,#REF!)),0,(LOOKUP(AG$16,$L130:$X130,#REF!)))</f>
        <v>0</v>
      </c>
      <c r="AH130" s="269">
        <f>IF(ISERROR(LOOKUP(AH$16,$L130:$X130,#REF!)),0,(LOOKUP(AH$16,$L130:$X130,#REF!)))</f>
        <v>0</v>
      </c>
      <c r="AI130" s="269">
        <f>IF(ISERROR(LOOKUP(AI$16,$L130:$X130,#REF!)),0,(LOOKUP(AI$16,$L130:$X130,#REF!)))</f>
        <v>0</v>
      </c>
      <c r="AJ130" s="269">
        <f>IF(ISERROR(LOOKUP(AJ$16,$L130:$X130,#REF!)),0,(LOOKUP(AJ$16,$L130:$X130,#REF!)))</f>
        <v>0</v>
      </c>
      <c r="AK130" s="269">
        <f>IF(ISERROR(LOOKUP(AK$16,$L130:$X130,#REF!)),0,(LOOKUP(AK$16,$L130:$X130,#REF!)))</f>
        <v>0</v>
      </c>
      <c r="AL130" s="269">
        <f>IF(ISERROR(LOOKUP(AL$16,$L130:$X130,#REF!)),0,(LOOKUP(AL$16,$L130:$X130,#REF!)))</f>
        <v>0</v>
      </c>
      <c r="AM130" s="269">
        <f ca="1">IF(ISERROR(LOOKUP(AM$16,$L130:$X130,#REF!)),0,(LOOKUP(AM$16,$L130:$X130,#REF!)))</f>
        <v>0</v>
      </c>
      <c r="AP130" s="243"/>
      <c r="AQ130" s="243"/>
      <c r="AR130" s="243"/>
      <c r="AS130" s="257"/>
      <c r="AW130" s="258" t="e">
        <v>#REF!</v>
      </c>
    </row>
    <row r="131" s="195" customFormat="1" ht="18" customHeight="1" spans="1:49">
      <c r="A131" s="241">
        <f>A128+1</f>
        <v>39</v>
      </c>
      <c r="B131" s="242"/>
      <c r="C131" s="243" t="s">
        <v>4821</v>
      </c>
      <c r="D131" s="243" t="s">
        <v>4822</v>
      </c>
      <c r="E131" s="244"/>
      <c r="F131" s="302" t="s">
        <v>136</v>
      </c>
      <c r="G131" s="243" t="s">
        <v>72</v>
      </c>
      <c r="H131" s="244"/>
      <c r="I131" s="243" t="s">
        <v>8</v>
      </c>
      <c r="J131" s="303" t="s">
        <v>4769</v>
      </c>
      <c r="K131" s="247">
        <f>WORKDAY(L131,-INDEX(L$12:L$15,MATCH($I131,$I$12:$I$15,0)))</f>
        <v>46315</v>
      </c>
      <c r="L131" s="247">
        <f>WORKDAY(M131,-INDEX(M$12:M$15,MATCH($I131,$I$12:$I$15,0)))</f>
        <v>46318</v>
      </c>
      <c r="M131" s="247">
        <f>WORKDAY(N131,-INDEX(N$12:N$15,MATCH($I131,$I$12:$I$15,0)))</f>
        <v>46332</v>
      </c>
      <c r="N131" s="247">
        <f>WORKDAY(O131,-INDEX(O$12:O$15,MATCH($I131,$I$12:$I$15,0)))</f>
        <v>46335</v>
      </c>
      <c r="O131" s="247">
        <f>WORKDAY(R131,-INDEX(R$12:R$15,MATCH($I131,$I$12:$I$15,0)))</f>
        <v>46349</v>
      </c>
      <c r="P131" s="248">
        <f>U131-L131</f>
        <v>94</v>
      </c>
      <c r="Q131" s="249"/>
      <c r="R131" s="247">
        <f>WORKDAY(S131,-INDEX(S$12:S$15,MATCH($I131,$I$12:$I$15,0)))</f>
        <v>46363</v>
      </c>
      <c r="S131" s="247">
        <f>WORKDAY(T131,-INDEX(T$12:T$15,MATCH($I131,$I$12:$I$15,0)))</f>
        <v>46384</v>
      </c>
      <c r="T131" s="247">
        <f>WORKDAY(U131,-INDEX(U$12:U$15,MATCH($I131,$I$12:$I$15,0)))</f>
        <v>46398</v>
      </c>
      <c r="U131" s="247">
        <f>X131-Y131</f>
        <v>46412</v>
      </c>
      <c r="V131" s="247">
        <f>WORKDAY(U131,INDEX(V$12:V$15,MATCH($I131,$I$12:$I$15,0)))</f>
        <v>46414</v>
      </c>
      <c r="W131" s="250">
        <f>Y131/7</f>
        <v>18</v>
      </c>
      <c r="X131" s="247">
        <f>Z131</f>
        <v>46538</v>
      </c>
      <c r="Y131" s="251">
        <f>18*7</f>
        <v>126</v>
      </c>
      <c r="Z131" s="253">
        <v>46538</v>
      </c>
      <c r="AA131" s="253">
        <v>46538</v>
      </c>
      <c r="AB131" s="254">
        <f>Z131-X132</f>
        <v>0</v>
      </c>
      <c r="AC131" s="255">
        <f>IF(ISERROR(LOOKUP(AC$16,$L131:$X131,#REF!)),0,(LOOKUP(AC$16,$L131:$X131,#REF!)))</f>
        <v>0</v>
      </c>
      <c r="AD131" s="256">
        <f>IF(ISERROR(LOOKUP(AD$16,$L131:$X131,#REF!)),0,(LOOKUP(AD$16,$L131:$X131,#REF!)))</f>
        <v>0</v>
      </c>
      <c r="AE131" s="256">
        <f>IF(ISERROR(LOOKUP(AE$16,$L131:$X131,#REF!)),0,(LOOKUP(AE$16,$L131:$X131,#REF!)))</f>
        <v>0</v>
      </c>
      <c r="AF131" s="256">
        <f>IF(ISERROR(LOOKUP(AF$16,$L131:$X131,#REF!)),0,(LOOKUP(AF$16,$L131:$X131,#REF!)))</f>
        <v>0</v>
      </c>
      <c r="AG131" s="256">
        <f>IF(ISERROR(LOOKUP(AG$16,$L131:$X131,#REF!)),0,(LOOKUP(AG$16,$L131:$X131,#REF!)))</f>
        <v>0</v>
      </c>
      <c r="AH131" s="256">
        <f>IF(ISERROR(LOOKUP(AH$16,$L131:$X131,#REF!)),0,(LOOKUP(AH$16,$L131:$X131,#REF!)))</f>
        <v>0</v>
      </c>
      <c r="AI131" s="256">
        <f>IF(ISERROR(LOOKUP(AI$16,$L131:$X131,#REF!)),0,(LOOKUP(AI$16,$L131:$X131,#REF!)))</f>
        <v>0</v>
      </c>
      <c r="AJ131" s="256">
        <f>IF(ISERROR(LOOKUP(AJ$16,$L131:$X131,#REF!)),0,(LOOKUP(AJ$16,$L131:$X131,#REF!)))</f>
        <v>0</v>
      </c>
      <c r="AK131" s="256">
        <f>IF(ISERROR(LOOKUP(AK$16,$L131:$X131,#REF!)),0,(LOOKUP(AK$16,$L131:$X131,#REF!)))</f>
        <v>0</v>
      </c>
      <c r="AL131" s="256">
        <f>IF(ISERROR(LOOKUP(AL$16,$L131:$X131,#REF!)),0,(LOOKUP(AL$16,$L131:$X131,#REF!)))</f>
        <v>0</v>
      </c>
      <c r="AM131" s="256">
        <f ca="1">IF(ISERROR(LOOKUP(AM$16,$L131:$X131,#REF!)),0,(LOOKUP(AM$16,$L131:$X131,#REF!)))</f>
        <v>0</v>
      </c>
      <c r="AP131" s="247" t="e">
        <f>WORKDAY(AQ131,-INDEX(AQ$12:AQ$15,MATCH($I131,$I$12:$I$15,0)),$AW$17:$AW$148)</f>
        <v>#REF!</v>
      </c>
      <c r="AQ131" s="247" t="e">
        <f>WORKDAY(U131,-INDEX(U$12:U$15,MATCH($I131,$I$12:$I$15,0)),$AW$17:$AW$148)</f>
        <v>#REF!</v>
      </c>
      <c r="AR131" s="247" t="e">
        <f>WORKDAY(U131,-INDEX(U$12:U$15,MATCH($I131,$I$12:$I$15,0)),$AW$17:$AW$148)</f>
        <v>#REF!</v>
      </c>
      <c r="AS131" s="257">
        <v>7</v>
      </c>
      <c r="AW131" s="258" t="e">
        <v>#REF!</v>
      </c>
    </row>
    <row r="132" s="195" customFormat="1" ht="18" customHeight="1" spans="1:49">
      <c r="A132" s="241"/>
      <c r="B132" s="259"/>
      <c r="C132" s="243" t="str">
        <f>C131</f>
        <v>RFQ-039</v>
      </c>
      <c r="D132" s="243" t="str">
        <f>D131</f>
        <v>Dip Tape Level Indicator</v>
      </c>
      <c r="E132" s="260"/>
      <c r="F132" s="304" t="str">
        <f>F131</f>
        <v>Instrument</v>
      </c>
      <c r="G132" s="243" t="str">
        <f>G131</f>
        <v>N</v>
      </c>
      <c r="H132" s="260"/>
      <c r="I132" s="243" t="str">
        <f>I131</f>
        <v>LC</v>
      </c>
      <c r="J132" s="303" t="s">
        <v>64</v>
      </c>
      <c r="K132" s="247">
        <f>K131</f>
        <v>46315</v>
      </c>
      <c r="L132" s="247">
        <f>WORKDAY(IF(K133="",K132,K133),INDEX(L$12:L$15,MATCH($I131,$I$12:$I$15,0)))</f>
        <v>46318</v>
      </c>
      <c r="M132" s="247">
        <f>WORKDAY(IF(L133="",L132,L133),INDEX(M$12:M$15,MATCH($I131,$I$12:$I$15,0)))</f>
        <v>46332</v>
      </c>
      <c r="N132" s="247">
        <f>WORKDAY(IF(M133="",M132,M133),INDEX(N$12:N$15,MATCH($I131,$I$12:$I$15,0)))</f>
        <v>46335</v>
      </c>
      <c r="O132" s="247">
        <f>WORKDAY(IF(N133="",N132,N133),INDEX(O$12:O$15,MATCH($I131,$I$12:$I$15,0)))</f>
        <v>46349</v>
      </c>
      <c r="P132" s="248"/>
      <c r="Q132" s="249"/>
      <c r="R132" s="247">
        <f>WORKDAY(IF(O133="",O132,O133),INDEX(R$12:R$15,MATCH($I131,$I$12:$I$15,0)))</f>
        <v>46363</v>
      </c>
      <c r="S132" s="247">
        <f>WORKDAY(IF(R133="",R132,R133),INDEX(S$12:S$15,MATCH($I131,$I$12:$I$15,0)))</f>
        <v>46384</v>
      </c>
      <c r="T132" s="247">
        <f>WORKDAY(IF(S133="",S132,S133),INDEX(T$12:T$15,MATCH($I131,$I$12:$I$15,0)))</f>
        <v>46398</v>
      </c>
      <c r="U132" s="247">
        <f>WORKDAY(IF(T133="",T132,T133),INDEX(U$12:U$15,MATCH($I131,$I$12:$I$15,0)))</f>
        <v>46412</v>
      </c>
      <c r="V132" s="247">
        <f>WORKDAY(IF(U133="",U132,U133),INDEX(V$12:V$15,MATCH($I131,$I$12:$I$15,0)))</f>
        <v>46414</v>
      </c>
      <c r="W132" s="250"/>
      <c r="X132" s="247">
        <f>U132+Y131</f>
        <v>46538</v>
      </c>
      <c r="Y132" s="251"/>
      <c r="Z132" s="253"/>
      <c r="AA132" s="253"/>
      <c r="AB132" s="254"/>
      <c r="AC132" s="255">
        <f>IF(ISERROR(LOOKUP(AC$16,$L132:$X132,#REF!)),0,(LOOKUP(AC$16,$L132:$X132,#REF!)))</f>
        <v>0</v>
      </c>
      <c r="AD132" s="256">
        <f>IF(ISERROR(LOOKUP(AD$16,$L132:$X132,#REF!)),0,(LOOKUP(AD$16,$L132:$X132,#REF!)))</f>
        <v>0</v>
      </c>
      <c r="AE132" s="256">
        <f>IF(ISERROR(LOOKUP(AE$16,$L132:$X132,#REF!)),0,(LOOKUP(AE$16,$L132:$X132,#REF!)))</f>
        <v>0</v>
      </c>
      <c r="AF132" s="256">
        <f>IF(ISERROR(LOOKUP(AF$16,$L132:$X132,#REF!)),0,(LOOKUP(AF$16,$L132:$X132,#REF!)))</f>
        <v>0</v>
      </c>
      <c r="AG132" s="256">
        <f>IF(ISERROR(LOOKUP(AG$16,$L132:$X132,#REF!)),0,(LOOKUP(AG$16,$L132:$X132,#REF!)))</f>
        <v>0</v>
      </c>
      <c r="AH132" s="256">
        <f>IF(ISERROR(LOOKUP(AH$16,$L132:$X132,#REF!)),0,(LOOKUP(AH$16,$L132:$X132,#REF!)))</f>
        <v>0</v>
      </c>
      <c r="AI132" s="256">
        <f>IF(ISERROR(LOOKUP(AI$16,$L132:$X132,#REF!)),0,(LOOKUP(AI$16,$L132:$X132,#REF!)))</f>
        <v>0</v>
      </c>
      <c r="AJ132" s="256">
        <f>IF(ISERROR(LOOKUP(AJ$16,$L132:$X132,#REF!)),0,(LOOKUP(AJ$16,$L132:$X132,#REF!)))</f>
        <v>0</v>
      </c>
      <c r="AK132" s="256">
        <f>IF(ISERROR(LOOKUP(AK$16,$L132:$X132,#REF!)),0,(LOOKUP(AK$16,$L132:$X132,#REF!)))</f>
        <v>0</v>
      </c>
      <c r="AL132" s="256">
        <f>IF(ISERROR(LOOKUP(AL$16,$L132:$X132,#REF!)),0,(LOOKUP(AL$16,$L132:$X132,#REF!)))</f>
        <v>0</v>
      </c>
      <c r="AM132" s="256">
        <f ca="1">IF(ISERROR(LOOKUP(AM$16,$L132:$X132,#REF!)),0,(LOOKUP(AM$16,$L132:$X132,#REF!)))</f>
        <v>0</v>
      </c>
      <c r="AP132" s="247" t="e">
        <f>WORKDAY(IF(T133="",T132,T133),INDEX(AP$12:AP$15,MATCH($I131,$I$12:$I$15,0)),$AW$17:$AW$148)</f>
        <v>#REF!</v>
      </c>
      <c r="AQ132" s="247" t="e">
        <f>WORKDAY(IF(AP133="",AP132,AP133),INDEX(AQ$12:AQ$15,MATCH($I131,$I$12:$I$15,0)),$AW$17:$AW$148)</f>
        <v>#REF!</v>
      </c>
      <c r="AR132" s="247" t="e">
        <f>WORKDAY(IF(AQ133="",AQ132,AQ133),INDEX(AR$12:AR$15,MATCH($I131,$I$12:$I$15,0)),$AW$17:$AW$148)</f>
        <v>#REF!</v>
      </c>
      <c r="AS132" s="257"/>
      <c r="AW132" s="258" t="e">
        <v>#REF!</v>
      </c>
    </row>
    <row r="133" s="195" customFormat="1" ht="18" customHeight="1" spans="1:49">
      <c r="A133" s="241"/>
      <c r="B133" s="262"/>
      <c r="C133" s="243" t="str">
        <f>C131</f>
        <v>RFQ-039</v>
      </c>
      <c r="D133" s="243" t="str">
        <f>D131</f>
        <v>Dip Tape Level Indicator</v>
      </c>
      <c r="E133" s="263"/>
      <c r="F133" s="305" t="str">
        <f>F131</f>
        <v>Instrument</v>
      </c>
      <c r="G133" s="243" t="str">
        <f>G131</f>
        <v>N</v>
      </c>
      <c r="H133" s="263"/>
      <c r="I133" s="243" t="str">
        <f>I131</f>
        <v>LC</v>
      </c>
      <c r="J133" s="303" t="s">
        <v>66</v>
      </c>
      <c r="K133" s="243"/>
      <c r="L133" s="243"/>
      <c r="M133" s="243"/>
      <c r="N133" s="243"/>
      <c r="O133" s="243"/>
      <c r="P133" s="265"/>
      <c r="Q133" s="266"/>
      <c r="R133" s="243"/>
      <c r="S133" s="243"/>
      <c r="T133" s="243"/>
      <c r="U133" s="243"/>
      <c r="V133" s="243"/>
      <c r="W133" s="267"/>
      <c r="X133" s="243"/>
      <c r="Y133" s="251"/>
      <c r="Z133" s="253"/>
      <c r="AA133" s="253"/>
      <c r="AB133" s="254"/>
      <c r="AC133" s="268">
        <f>IF(ISERROR(LOOKUP(AC$16,$L133:$X133,#REF!)),0,(LOOKUP(AC$16,$L133:$X133,#REF!)))</f>
        <v>0</v>
      </c>
      <c r="AD133" s="269">
        <f>IF(ISERROR(LOOKUP(AD$16,$L133:$X133,#REF!)),0,(LOOKUP(AD$16,$L133:$X133,#REF!)))</f>
        <v>0</v>
      </c>
      <c r="AE133" s="269">
        <f>IF(ISERROR(LOOKUP(AE$16,$L133:$X133,#REF!)),0,(LOOKUP(AE$16,$L133:$X133,#REF!)))</f>
        <v>0</v>
      </c>
      <c r="AF133" s="269">
        <f>IF(ISERROR(LOOKUP(AF$16,$L133:$X133,#REF!)),0,(LOOKUP(AF$16,$L133:$X133,#REF!)))</f>
        <v>0</v>
      </c>
      <c r="AG133" s="269">
        <f>IF(ISERROR(LOOKUP(AG$16,$L133:$X133,#REF!)),0,(LOOKUP(AG$16,$L133:$X133,#REF!)))</f>
        <v>0</v>
      </c>
      <c r="AH133" s="269">
        <f>IF(ISERROR(LOOKUP(AH$16,$L133:$X133,#REF!)),0,(LOOKUP(AH$16,$L133:$X133,#REF!)))</f>
        <v>0</v>
      </c>
      <c r="AI133" s="269">
        <f>IF(ISERROR(LOOKUP(AI$16,$L133:$X133,#REF!)),0,(LOOKUP(AI$16,$L133:$X133,#REF!)))</f>
        <v>0</v>
      </c>
      <c r="AJ133" s="269">
        <f>IF(ISERROR(LOOKUP(AJ$16,$L133:$X133,#REF!)),0,(LOOKUP(AJ$16,$L133:$X133,#REF!)))</f>
        <v>0</v>
      </c>
      <c r="AK133" s="269">
        <f>IF(ISERROR(LOOKUP(AK$16,$L133:$X133,#REF!)),0,(LOOKUP(AK$16,$L133:$X133,#REF!)))</f>
        <v>0</v>
      </c>
      <c r="AL133" s="269">
        <f>IF(ISERROR(LOOKUP(AL$16,$L133:$X133,#REF!)),0,(LOOKUP(AL$16,$L133:$X133,#REF!)))</f>
        <v>0</v>
      </c>
      <c r="AM133" s="269">
        <f ca="1">IF(ISERROR(LOOKUP(AM$16,$L133:$X133,#REF!)),0,(LOOKUP(AM$16,$L133:$X133,#REF!)))</f>
        <v>0</v>
      </c>
      <c r="AP133" s="243"/>
      <c r="AQ133" s="243"/>
      <c r="AR133" s="243"/>
      <c r="AS133" s="257"/>
      <c r="AW133" s="258" t="e">
        <v>#REF!</v>
      </c>
    </row>
    <row r="134" s="195" customFormat="1" ht="18" customHeight="1" spans="1:49">
      <c r="A134" s="241">
        <f>A131+1</f>
        <v>40</v>
      </c>
      <c r="B134" s="242"/>
      <c r="C134" s="243" t="s">
        <v>4823</v>
      </c>
      <c r="D134" s="243" t="s">
        <v>191</v>
      </c>
      <c r="E134" s="244"/>
      <c r="F134" s="302" t="s">
        <v>136</v>
      </c>
      <c r="G134" s="243" t="s">
        <v>72</v>
      </c>
      <c r="H134" s="244"/>
      <c r="I134" s="243" t="s">
        <v>8</v>
      </c>
      <c r="J134" s="303" t="s">
        <v>4769</v>
      </c>
      <c r="K134" s="247">
        <f>WORKDAY(L134,-INDEX(L$12:L$15,MATCH($I134,$I$12:$I$15,0)))</f>
        <v>46315</v>
      </c>
      <c r="L134" s="247">
        <f>WORKDAY(M134,-INDEX(M$12:M$15,MATCH($I134,$I$12:$I$15,0)))</f>
        <v>46318</v>
      </c>
      <c r="M134" s="247">
        <f>WORKDAY(N134,-INDEX(N$12:N$15,MATCH($I134,$I$12:$I$15,0)))</f>
        <v>46332</v>
      </c>
      <c r="N134" s="247">
        <f>WORKDAY(O134,-INDEX(O$12:O$15,MATCH($I134,$I$12:$I$15,0)))</f>
        <v>46335</v>
      </c>
      <c r="O134" s="247">
        <f>WORKDAY(R134,-INDEX(R$12:R$15,MATCH($I134,$I$12:$I$15,0)))</f>
        <v>46349</v>
      </c>
      <c r="P134" s="248">
        <f>U134-L134</f>
        <v>94</v>
      </c>
      <c r="Q134" s="249"/>
      <c r="R134" s="247">
        <f>WORKDAY(S134,-INDEX(S$12:S$15,MATCH($I134,$I$12:$I$15,0)))</f>
        <v>46363</v>
      </c>
      <c r="S134" s="247">
        <f>WORKDAY(T134,-INDEX(T$12:T$15,MATCH($I134,$I$12:$I$15,0)))</f>
        <v>46384</v>
      </c>
      <c r="T134" s="247">
        <f>WORKDAY(U134,-INDEX(U$12:U$15,MATCH($I134,$I$12:$I$15,0)))</f>
        <v>46398</v>
      </c>
      <c r="U134" s="247">
        <f>X134-Y134</f>
        <v>46412</v>
      </c>
      <c r="V134" s="247">
        <f>WORKDAY(U134,INDEX(V$12:V$15,MATCH($I134,$I$12:$I$15,0)))</f>
        <v>46414</v>
      </c>
      <c r="W134" s="250">
        <f>Y134/7</f>
        <v>18</v>
      </c>
      <c r="X134" s="247">
        <f>Z134</f>
        <v>46538</v>
      </c>
      <c r="Y134" s="251">
        <f>18*7</f>
        <v>126</v>
      </c>
      <c r="Z134" s="253">
        <v>46538</v>
      </c>
      <c r="AA134" s="253">
        <v>46538</v>
      </c>
      <c r="AB134" s="254">
        <f>Z134-X135</f>
        <v>0</v>
      </c>
      <c r="AC134" s="255">
        <f>IF(ISERROR(LOOKUP(AC$16,$L134:$X134,#REF!)),0,(LOOKUP(AC$16,$L134:$X134,#REF!)))</f>
        <v>0</v>
      </c>
      <c r="AD134" s="256">
        <f>IF(ISERROR(LOOKUP(AD$16,$L134:$X134,#REF!)),0,(LOOKUP(AD$16,$L134:$X134,#REF!)))</f>
        <v>0</v>
      </c>
      <c r="AE134" s="256">
        <f>IF(ISERROR(LOOKUP(AE$16,$L134:$X134,#REF!)),0,(LOOKUP(AE$16,$L134:$X134,#REF!)))</f>
        <v>0</v>
      </c>
      <c r="AF134" s="256">
        <f>IF(ISERROR(LOOKUP(AF$16,$L134:$X134,#REF!)),0,(LOOKUP(AF$16,$L134:$X134,#REF!)))</f>
        <v>0</v>
      </c>
      <c r="AG134" s="256">
        <f>IF(ISERROR(LOOKUP(AG$16,$L134:$X134,#REF!)),0,(LOOKUP(AG$16,$L134:$X134,#REF!)))</f>
        <v>0</v>
      </c>
      <c r="AH134" s="256">
        <f>IF(ISERROR(LOOKUP(AH$16,$L134:$X134,#REF!)),0,(LOOKUP(AH$16,$L134:$X134,#REF!)))</f>
        <v>0</v>
      </c>
      <c r="AI134" s="256">
        <f>IF(ISERROR(LOOKUP(AI$16,$L134:$X134,#REF!)),0,(LOOKUP(AI$16,$L134:$X134,#REF!)))</f>
        <v>0</v>
      </c>
      <c r="AJ134" s="256">
        <f>IF(ISERROR(LOOKUP(AJ$16,$L134:$X134,#REF!)),0,(LOOKUP(AJ$16,$L134:$X134,#REF!)))</f>
        <v>0</v>
      </c>
      <c r="AK134" s="256">
        <f>IF(ISERROR(LOOKUP(AK$16,$L134:$X134,#REF!)),0,(LOOKUP(AK$16,$L134:$X134,#REF!)))</f>
        <v>0</v>
      </c>
      <c r="AL134" s="256">
        <f>IF(ISERROR(LOOKUP(AL$16,$L134:$X134,#REF!)),0,(LOOKUP(AL$16,$L134:$X134,#REF!)))</f>
        <v>0</v>
      </c>
      <c r="AM134" s="256">
        <f ca="1">IF(ISERROR(LOOKUP(AM$16,$L134:$X134,#REF!)),0,(LOOKUP(AM$16,$L134:$X134,#REF!)))</f>
        <v>0</v>
      </c>
      <c r="AP134" s="247" t="e">
        <f>WORKDAY(AQ134,-INDEX(AQ$12:AQ$15,MATCH($I134,$I$12:$I$15,0)),$AW$17:$AW$148)</f>
        <v>#REF!</v>
      </c>
      <c r="AQ134" s="247" t="e">
        <f>WORKDAY(U134,-INDEX(U$12:U$15,MATCH($I134,$I$12:$I$15,0)),$AW$17:$AW$148)</f>
        <v>#REF!</v>
      </c>
      <c r="AR134" s="247" t="e">
        <f>WORKDAY(U134,-INDEX(U$12:U$15,MATCH($I134,$I$12:$I$15,0)),$AW$17:$AW$148)</f>
        <v>#REF!</v>
      </c>
      <c r="AS134" s="257">
        <v>7</v>
      </c>
      <c r="AW134" s="258" t="e">
        <v>#REF!</v>
      </c>
    </row>
    <row r="135" s="195" customFormat="1" ht="18" customHeight="1" spans="1:49">
      <c r="A135" s="241"/>
      <c r="B135" s="259"/>
      <c r="C135" s="243" t="str">
        <f>C134</f>
        <v>RFQ-040</v>
      </c>
      <c r="D135" s="243" t="str">
        <f>D134</f>
        <v>Position Limit Switches</v>
      </c>
      <c r="E135" s="260"/>
      <c r="F135" s="304" t="str">
        <f>F134</f>
        <v>Instrument</v>
      </c>
      <c r="G135" s="243" t="str">
        <f>G134</f>
        <v>N</v>
      </c>
      <c r="H135" s="260"/>
      <c r="I135" s="243" t="str">
        <f>I134</f>
        <v>LC</v>
      </c>
      <c r="J135" s="303" t="s">
        <v>64</v>
      </c>
      <c r="K135" s="247">
        <f>K134</f>
        <v>46315</v>
      </c>
      <c r="L135" s="247">
        <f>WORKDAY(IF(K136="",K135,K136),INDEX(L$12:L$15,MATCH($I134,$I$12:$I$15,0)))</f>
        <v>46318</v>
      </c>
      <c r="M135" s="247">
        <f>WORKDAY(IF(L136="",L135,L136),INDEX(M$12:M$15,MATCH($I134,$I$12:$I$15,0)))</f>
        <v>46332</v>
      </c>
      <c r="N135" s="247">
        <f>WORKDAY(IF(M136="",M135,M136),INDEX(N$12:N$15,MATCH($I134,$I$12:$I$15,0)))</f>
        <v>46335</v>
      </c>
      <c r="O135" s="247">
        <f>WORKDAY(IF(N136="",N135,N136),INDEX(O$12:O$15,MATCH($I134,$I$12:$I$15,0)))</f>
        <v>46349</v>
      </c>
      <c r="P135" s="248"/>
      <c r="Q135" s="249"/>
      <c r="R135" s="247">
        <f>WORKDAY(IF(O136="",O135,O136),INDEX(R$12:R$15,MATCH($I134,$I$12:$I$15,0)))</f>
        <v>46363</v>
      </c>
      <c r="S135" s="247">
        <f>WORKDAY(IF(R136="",R135,R136),INDEX(S$12:S$15,MATCH($I134,$I$12:$I$15,0)))</f>
        <v>46384</v>
      </c>
      <c r="T135" s="247">
        <f>WORKDAY(IF(S136="",S135,S136),INDEX(T$12:T$15,MATCH($I134,$I$12:$I$15,0)))</f>
        <v>46398</v>
      </c>
      <c r="U135" s="247">
        <f>WORKDAY(IF(T136="",T135,T136),INDEX(U$12:U$15,MATCH($I134,$I$12:$I$15,0)))</f>
        <v>46412</v>
      </c>
      <c r="V135" s="247">
        <f>WORKDAY(IF(U136="",U135,U136),INDEX(V$12:V$15,MATCH($I134,$I$12:$I$15,0)))</f>
        <v>46414</v>
      </c>
      <c r="W135" s="250"/>
      <c r="X135" s="247">
        <f>U135+Y134</f>
        <v>46538</v>
      </c>
      <c r="Y135" s="251"/>
      <c r="Z135" s="253"/>
      <c r="AA135" s="253"/>
      <c r="AB135" s="254"/>
      <c r="AC135" s="255">
        <f>IF(ISERROR(LOOKUP(AC$16,$L135:$X135,#REF!)),0,(LOOKUP(AC$16,$L135:$X135,#REF!)))</f>
        <v>0</v>
      </c>
      <c r="AD135" s="256">
        <f>IF(ISERROR(LOOKUP(AD$16,$L135:$X135,#REF!)),0,(LOOKUP(AD$16,$L135:$X135,#REF!)))</f>
        <v>0</v>
      </c>
      <c r="AE135" s="256">
        <f>IF(ISERROR(LOOKUP(AE$16,$L135:$X135,#REF!)),0,(LOOKUP(AE$16,$L135:$X135,#REF!)))</f>
        <v>0</v>
      </c>
      <c r="AF135" s="256">
        <f>IF(ISERROR(LOOKUP(AF$16,$L135:$X135,#REF!)),0,(LOOKUP(AF$16,$L135:$X135,#REF!)))</f>
        <v>0</v>
      </c>
      <c r="AG135" s="256">
        <f>IF(ISERROR(LOOKUP(AG$16,$L135:$X135,#REF!)),0,(LOOKUP(AG$16,$L135:$X135,#REF!)))</f>
        <v>0</v>
      </c>
      <c r="AH135" s="256">
        <f>IF(ISERROR(LOOKUP(AH$16,$L135:$X135,#REF!)),0,(LOOKUP(AH$16,$L135:$X135,#REF!)))</f>
        <v>0</v>
      </c>
      <c r="AI135" s="256">
        <f>IF(ISERROR(LOOKUP(AI$16,$L135:$X135,#REF!)),0,(LOOKUP(AI$16,$L135:$X135,#REF!)))</f>
        <v>0</v>
      </c>
      <c r="AJ135" s="256">
        <f>IF(ISERROR(LOOKUP(AJ$16,$L135:$X135,#REF!)),0,(LOOKUP(AJ$16,$L135:$X135,#REF!)))</f>
        <v>0</v>
      </c>
      <c r="AK135" s="256">
        <f>IF(ISERROR(LOOKUP(AK$16,$L135:$X135,#REF!)),0,(LOOKUP(AK$16,$L135:$X135,#REF!)))</f>
        <v>0</v>
      </c>
      <c r="AL135" s="256">
        <f>IF(ISERROR(LOOKUP(AL$16,$L135:$X135,#REF!)),0,(LOOKUP(AL$16,$L135:$X135,#REF!)))</f>
        <v>0</v>
      </c>
      <c r="AM135" s="256">
        <f ca="1">IF(ISERROR(LOOKUP(AM$16,$L135:$X135,#REF!)),0,(LOOKUP(AM$16,$L135:$X135,#REF!)))</f>
        <v>0</v>
      </c>
      <c r="AP135" s="247" t="e">
        <f>WORKDAY(IF(T136="",T135,T136),INDEX(AP$12:AP$15,MATCH($I134,$I$12:$I$15,0)),$AW$17:$AW$148)</f>
        <v>#REF!</v>
      </c>
      <c r="AQ135" s="247" t="e">
        <f>WORKDAY(IF(AP136="",AP135,AP136),INDEX(AQ$12:AQ$15,MATCH($I134,$I$12:$I$15,0)),$AW$17:$AW$148)</f>
        <v>#REF!</v>
      </c>
      <c r="AR135" s="247" t="e">
        <f>WORKDAY(IF(AQ136="",AQ135,AQ136),INDEX(AR$12:AR$15,MATCH($I134,$I$12:$I$15,0)),$AW$17:$AW$148)</f>
        <v>#REF!</v>
      </c>
      <c r="AS135" s="257"/>
      <c r="AW135" s="258" t="e">
        <v>#REF!</v>
      </c>
    </row>
    <row r="136" s="195" customFormat="1" ht="18" customHeight="1" spans="1:49">
      <c r="A136" s="241"/>
      <c r="B136" s="262"/>
      <c r="C136" s="243" t="str">
        <f>C134</f>
        <v>RFQ-040</v>
      </c>
      <c r="D136" s="243" t="str">
        <f>D134</f>
        <v>Position Limit Switches</v>
      </c>
      <c r="E136" s="263"/>
      <c r="F136" s="305" t="str">
        <f>F134</f>
        <v>Instrument</v>
      </c>
      <c r="G136" s="243" t="str">
        <f>G134</f>
        <v>N</v>
      </c>
      <c r="H136" s="263"/>
      <c r="I136" s="243" t="str">
        <f>I134</f>
        <v>LC</v>
      </c>
      <c r="J136" s="303" t="s">
        <v>66</v>
      </c>
      <c r="K136" s="243"/>
      <c r="L136" s="243"/>
      <c r="M136" s="243"/>
      <c r="N136" s="243"/>
      <c r="O136" s="243"/>
      <c r="P136" s="265"/>
      <c r="Q136" s="266"/>
      <c r="R136" s="243"/>
      <c r="S136" s="243"/>
      <c r="T136" s="243"/>
      <c r="U136" s="243"/>
      <c r="V136" s="243"/>
      <c r="W136" s="267"/>
      <c r="X136" s="243"/>
      <c r="Y136" s="251"/>
      <c r="Z136" s="253"/>
      <c r="AA136" s="253"/>
      <c r="AB136" s="254"/>
      <c r="AC136" s="268">
        <f>IF(ISERROR(LOOKUP(AC$16,$L136:$X136,#REF!)),0,(LOOKUP(AC$16,$L136:$X136,#REF!)))</f>
        <v>0</v>
      </c>
      <c r="AD136" s="269">
        <f>IF(ISERROR(LOOKUP(AD$16,$L136:$X136,#REF!)),0,(LOOKUP(AD$16,$L136:$X136,#REF!)))</f>
        <v>0</v>
      </c>
      <c r="AE136" s="269">
        <f>IF(ISERROR(LOOKUP(AE$16,$L136:$X136,#REF!)),0,(LOOKUP(AE$16,$L136:$X136,#REF!)))</f>
        <v>0</v>
      </c>
      <c r="AF136" s="269">
        <f>IF(ISERROR(LOOKUP(AF$16,$L136:$X136,#REF!)),0,(LOOKUP(AF$16,$L136:$X136,#REF!)))</f>
        <v>0</v>
      </c>
      <c r="AG136" s="269">
        <f>IF(ISERROR(LOOKUP(AG$16,$L136:$X136,#REF!)),0,(LOOKUP(AG$16,$L136:$X136,#REF!)))</f>
        <v>0</v>
      </c>
      <c r="AH136" s="269">
        <f>IF(ISERROR(LOOKUP(AH$16,$L136:$X136,#REF!)),0,(LOOKUP(AH$16,$L136:$X136,#REF!)))</f>
        <v>0</v>
      </c>
      <c r="AI136" s="269">
        <f>IF(ISERROR(LOOKUP(AI$16,$L136:$X136,#REF!)),0,(LOOKUP(AI$16,$L136:$X136,#REF!)))</f>
        <v>0</v>
      </c>
      <c r="AJ136" s="269">
        <f>IF(ISERROR(LOOKUP(AJ$16,$L136:$X136,#REF!)),0,(LOOKUP(AJ$16,$L136:$X136,#REF!)))</f>
        <v>0</v>
      </c>
      <c r="AK136" s="269">
        <f>IF(ISERROR(LOOKUP(AK$16,$L136:$X136,#REF!)),0,(LOOKUP(AK$16,$L136:$X136,#REF!)))</f>
        <v>0</v>
      </c>
      <c r="AL136" s="269">
        <f>IF(ISERROR(LOOKUP(AL$16,$L136:$X136,#REF!)),0,(LOOKUP(AL$16,$L136:$X136,#REF!)))</f>
        <v>0</v>
      </c>
      <c r="AM136" s="269">
        <f ca="1">IF(ISERROR(LOOKUP(AM$16,$L136:$X136,#REF!)),0,(LOOKUP(AM$16,$L136:$X136,#REF!)))</f>
        <v>0</v>
      </c>
      <c r="AP136" s="243"/>
      <c r="AQ136" s="243"/>
      <c r="AR136" s="243"/>
      <c r="AS136" s="257"/>
      <c r="AW136" s="258" t="e">
        <v>#REF!</v>
      </c>
    </row>
    <row r="137" s="195" customFormat="1" ht="18" customHeight="1" spans="1:49">
      <c r="A137" s="241">
        <f>A134+1</f>
        <v>41</v>
      </c>
      <c r="B137" s="242"/>
      <c r="C137" s="243" t="s">
        <v>4824</v>
      </c>
      <c r="D137" s="243" t="s">
        <v>194</v>
      </c>
      <c r="E137" s="244"/>
      <c r="F137" s="302" t="s">
        <v>136</v>
      </c>
      <c r="G137" s="243" t="s">
        <v>72</v>
      </c>
      <c r="H137" s="244"/>
      <c r="I137" s="243" t="s">
        <v>8</v>
      </c>
      <c r="J137" s="303" t="s">
        <v>4769</v>
      </c>
      <c r="K137" s="247">
        <f>WORKDAY(L137,-INDEX(L$12:L$15,MATCH($I137,$I$12:$I$15,0)))</f>
        <v>46231</v>
      </c>
      <c r="L137" s="247">
        <f>WORKDAY(M137,-INDEX(M$12:M$15,MATCH($I137,$I$12:$I$15,0)))</f>
        <v>46234</v>
      </c>
      <c r="M137" s="247">
        <f>WORKDAY(N137,-INDEX(N$12:N$15,MATCH($I137,$I$12:$I$15,0)))</f>
        <v>46248</v>
      </c>
      <c r="N137" s="247">
        <f>WORKDAY(O137,-INDEX(O$12:O$15,MATCH($I137,$I$12:$I$15,0)))</f>
        <v>46251</v>
      </c>
      <c r="O137" s="247">
        <f>WORKDAY(R137,-INDEX(R$12:R$15,MATCH($I137,$I$12:$I$15,0)))</f>
        <v>46265</v>
      </c>
      <c r="P137" s="248">
        <f>U137-L137</f>
        <v>94</v>
      </c>
      <c r="Q137" s="249"/>
      <c r="R137" s="247">
        <f>WORKDAY(S137,-INDEX(S$12:S$15,MATCH($I137,$I$12:$I$15,0)))</f>
        <v>46279</v>
      </c>
      <c r="S137" s="247">
        <f>WORKDAY(T137,-INDEX(T$12:T$15,MATCH($I137,$I$12:$I$15,0)))</f>
        <v>46300</v>
      </c>
      <c r="T137" s="247">
        <f>WORKDAY(U137,-INDEX(U$12:U$15,MATCH($I137,$I$12:$I$15,0)))</f>
        <v>46314</v>
      </c>
      <c r="U137" s="247">
        <f>X137-Y137</f>
        <v>46328</v>
      </c>
      <c r="V137" s="247">
        <f>WORKDAY(U137,INDEX(V$12:V$15,MATCH($I137,$I$12:$I$15,0)))</f>
        <v>46330</v>
      </c>
      <c r="W137" s="250">
        <f>Y137/7</f>
        <v>30</v>
      </c>
      <c r="X137" s="247">
        <f>Z137</f>
        <v>46538</v>
      </c>
      <c r="Y137" s="251">
        <f>30*7</f>
        <v>210</v>
      </c>
      <c r="Z137" s="253">
        <v>46538</v>
      </c>
      <c r="AA137" s="253">
        <v>46538</v>
      </c>
      <c r="AB137" s="254">
        <f>Z137-X138</f>
        <v>0</v>
      </c>
      <c r="AC137" s="255">
        <f>IF(ISERROR(LOOKUP(AC$16,$L137:$X137,#REF!)),0,(LOOKUP(AC$16,$L137:$X137,#REF!)))</f>
        <v>0</v>
      </c>
      <c r="AD137" s="256">
        <f>IF(ISERROR(LOOKUP(AD$16,$L137:$X137,#REF!)),0,(LOOKUP(AD$16,$L137:$X137,#REF!)))</f>
        <v>0</v>
      </c>
      <c r="AE137" s="256">
        <f>IF(ISERROR(LOOKUP(AE$16,$L137:$X137,#REF!)),0,(LOOKUP(AE$16,$L137:$X137,#REF!)))</f>
        <v>0</v>
      </c>
      <c r="AF137" s="256">
        <f>IF(ISERROR(LOOKUP(AF$16,$L137:$X137,#REF!)),0,(LOOKUP(AF$16,$L137:$X137,#REF!)))</f>
        <v>0</v>
      </c>
      <c r="AG137" s="256">
        <f>IF(ISERROR(LOOKUP(AG$16,$L137:$X137,#REF!)),0,(LOOKUP(AG$16,$L137:$X137,#REF!)))</f>
        <v>0</v>
      </c>
      <c r="AH137" s="256">
        <f>IF(ISERROR(LOOKUP(AH$16,$L137:$X137,#REF!)),0,(LOOKUP(AH$16,$L137:$X137,#REF!)))</f>
        <v>0</v>
      </c>
      <c r="AI137" s="256">
        <f>IF(ISERROR(LOOKUP(AI$16,$L137:$X137,#REF!)),0,(LOOKUP(AI$16,$L137:$X137,#REF!)))</f>
        <v>0</v>
      </c>
      <c r="AJ137" s="256">
        <f>IF(ISERROR(LOOKUP(AJ$16,$L137:$X137,#REF!)),0,(LOOKUP(AJ$16,$L137:$X137,#REF!)))</f>
        <v>0</v>
      </c>
      <c r="AK137" s="256">
        <f>IF(ISERROR(LOOKUP(AK$16,$L137:$X137,#REF!)),0,(LOOKUP(AK$16,$L137:$X137,#REF!)))</f>
        <v>0</v>
      </c>
      <c r="AL137" s="256">
        <f>IF(ISERROR(LOOKUP(AL$16,$L137:$X137,#REF!)),0,(LOOKUP(AL$16,$L137:$X137,#REF!)))</f>
        <v>0</v>
      </c>
      <c r="AM137" s="256">
        <f ca="1">IF(ISERROR(LOOKUP(AM$16,$L137:$X137,#REF!)),0,(LOOKUP(AM$16,$L137:$X137,#REF!)))</f>
        <v>0</v>
      </c>
      <c r="AP137" s="247" t="e">
        <f>WORKDAY(AQ137,-INDEX(AQ$12:AQ$15,MATCH($I137,$I$12:$I$15,0)),$AW$17:$AW$148)</f>
        <v>#REF!</v>
      </c>
      <c r="AQ137" s="247" t="e">
        <f>WORKDAY(U137,-INDEX(U$12:U$15,MATCH($I137,$I$12:$I$15,0)),$AW$17:$AW$148)</f>
        <v>#REF!</v>
      </c>
      <c r="AR137" s="247" t="e">
        <f>WORKDAY(U137,-INDEX(U$12:U$15,MATCH($I137,$I$12:$I$15,0)),$AW$17:$AW$148)</f>
        <v>#REF!</v>
      </c>
      <c r="AS137" s="257">
        <v>7</v>
      </c>
      <c r="AW137" s="258" t="e">
        <v>#REF!</v>
      </c>
    </row>
    <row r="138" s="195" customFormat="1" ht="18" customHeight="1" spans="1:49">
      <c r="A138" s="241"/>
      <c r="B138" s="259"/>
      <c r="C138" s="243" t="str">
        <f>C137</f>
        <v>RFQ-041</v>
      </c>
      <c r="D138" s="243" t="str">
        <f>D137</f>
        <v>Guided Wave Radar Level Transmitter</v>
      </c>
      <c r="E138" s="260"/>
      <c r="F138" s="304" t="str">
        <f>F137</f>
        <v>Instrument</v>
      </c>
      <c r="G138" s="243" t="str">
        <f>G137</f>
        <v>N</v>
      </c>
      <c r="H138" s="260"/>
      <c r="I138" s="243" t="str">
        <f>I137</f>
        <v>LC</v>
      </c>
      <c r="J138" s="303" t="s">
        <v>64</v>
      </c>
      <c r="K138" s="247">
        <f>K137</f>
        <v>46231</v>
      </c>
      <c r="L138" s="247">
        <f>WORKDAY(IF(K139="",K138,K139),INDEX(L$12:L$15,MATCH($I137,$I$12:$I$15,0)))</f>
        <v>46234</v>
      </c>
      <c r="M138" s="247">
        <f>WORKDAY(IF(L139="",L138,L139),INDEX(M$12:M$15,MATCH($I137,$I$12:$I$15,0)))</f>
        <v>46248</v>
      </c>
      <c r="N138" s="247">
        <f>WORKDAY(IF(M139="",M138,M139),INDEX(N$12:N$15,MATCH($I137,$I$12:$I$15,0)))</f>
        <v>46251</v>
      </c>
      <c r="O138" s="247">
        <f>WORKDAY(IF(N139="",N138,N139),INDEX(O$12:O$15,MATCH($I137,$I$12:$I$15,0)))</f>
        <v>46265</v>
      </c>
      <c r="P138" s="248"/>
      <c r="Q138" s="249"/>
      <c r="R138" s="247">
        <f>WORKDAY(IF(O139="",O138,O139),INDEX(R$12:R$15,MATCH($I137,$I$12:$I$15,0)))</f>
        <v>46279</v>
      </c>
      <c r="S138" s="247">
        <f>WORKDAY(IF(R139="",R138,R139),INDEX(S$12:S$15,MATCH($I137,$I$12:$I$15,0)))</f>
        <v>46300</v>
      </c>
      <c r="T138" s="247">
        <f>WORKDAY(IF(S139="",S138,S139),INDEX(T$12:T$15,MATCH($I137,$I$12:$I$15,0)))</f>
        <v>46314</v>
      </c>
      <c r="U138" s="247">
        <f>WORKDAY(IF(T139="",T138,T139),INDEX(U$12:U$15,MATCH($I137,$I$12:$I$15,0)))</f>
        <v>46328</v>
      </c>
      <c r="V138" s="247">
        <f>WORKDAY(IF(U139="",U138,U139),INDEX(V$12:V$15,MATCH($I137,$I$12:$I$15,0)))</f>
        <v>46330</v>
      </c>
      <c r="W138" s="250"/>
      <c r="X138" s="247">
        <f>U138+Y137</f>
        <v>46538</v>
      </c>
      <c r="Y138" s="251"/>
      <c r="Z138" s="253"/>
      <c r="AA138" s="253"/>
      <c r="AB138" s="254"/>
      <c r="AC138" s="255">
        <f>IF(ISERROR(LOOKUP(AC$16,$L138:$X138,#REF!)),0,(LOOKUP(AC$16,$L138:$X138,#REF!)))</f>
        <v>0</v>
      </c>
      <c r="AD138" s="256">
        <f>IF(ISERROR(LOOKUP(AD$16,$L138:$X138,#REF!)),0,(LOOKUP(AD$16,$L138:$X138,#REF!)))</f>
        <v>0</v>
      </c>
      <c r="AE138" s="256">
        <f>IF(ISERROR(LOOKUP(AE$16,$L138:$X138,#REF!)),0,(LOOKUP(AE$16,$L138:$X138,#REF!)))</f>
        <v>0</v>
      </c>
      <c r="AF138" s="256">
        <f>IF(ISERROR(LOOKUP(AF$16,$L138:$X138,#REF!)),0,(LOOKUP(AF$16,$L138:$X138,#REF!)))</f>
        <v>0</v>
      </c>
      <c r="AG138" s="256">
        <f>IF(ISERROR(LOOKUP(AG$16,$L138:$X138,#REF!)),0,(LOOKUP(AG$16,$L138:$X138,#REF!)))</f>
        <v>0</v>
      </c>
      <c r="AH138" s="256">
        <f>IF(ISERROR(LOOKUP(AH$16,$L138:$X138,#REF!)),0,(LOOKUP(AH$16,$L138:$X138,#REF!)))</f>
        <v>0</v>
      </c>
      <c r="AI138" s="256">
        <f>IF(ISERROR(LOOKUP(AI$16,$L138:$X138,#REF!)),0,(LOOKUP(AI$16,$L138:$X138,#REF!)))</f>
        <v>0</v>
      </c>
      <c r="AJ138" s="256">
        <f>IF(ISERROR(LOOKUP(AJ$16,$L138:$X138,#REF!)),0,(LOOKUP(AJ$16,$L138:$X138,#REF!)))</f>
        <v>0</v>
      </c>
      <c r="AK138" s="256">
        <f>IF(ISERROR(LOOKUP(AK$16,$L138:$X138,#REF!)),0,(LOOKUP(AK$16,$L138:$X138,#REF!)))</f>
        <v>0</v>
      </c>
      <c r="AL138" s="256">
        <f>IF(ISERROR(LOOKUP(AL$16,$L138:$X138,#REF!)),0,(LOOKUP(AL$16,$L138:$X138,#REF!)))</f>
        <v>0</v>
      </c>
      <c r="AM138" s="256">
        <f ca="1">IF(ISERROR(LOOKUP(AM$16,$L138:$X138,#REF!)),0,(LOOKUP(AM$16,$L138:$X138,#REF!)))</f>
        <v>0</v>
      </c>
      <c r="AP138" s="247" t="e">
        <f>WORKDAY(IF(T139="",T138,T139),INDEX(AP$12:AP$15,MATCH($I137,$I$12:$I$15,0)),$AW$17:$AW$148)</f>
        <v>#REF!</v>
      </c>
      <c r="AQ138" s="247" t="e">
        <f>WORKDAY(IF(AP139="",AP138,AP139),INDEX(AQ$12:AQ$15,MATCH($I137,$I$12:$I$15,0)),$AW$17:$AW$148)</f>
        <v>#REF!</v>
      </c>
      <c r="AR138" s="247" t="e">
        <f>WORKDAY(IF(AQ139="",AQ138,AQ139),INDEX(AR$12:AR$15,MATCH($I137,$I$12:$I$15,0)),$AW$17:$AW$148)</f>
        <v>#REF!</v>
      </c>
      <c r="AS138" s="257"/>
      <c r="AW138" s="258" t="e">
        <v>#REF!</v>
      </c>
    </row>
    <row r="139" s="195" customFormat="1" ht="18" customHeight="1" spans="1:49">
      <c r="A139" s="241"/>
      <c r="B139" s="262"/>
      <c r="C139" s="243" t="str">
        <f>C137</f>
        <v>RFQ-041</v>
      </c>
      <c r="D139" s="243" t="str">
        <f>D137</f>
        <v>Guided Wave Radar Level Transmitter</v>
      </c>
      <c r="E139" s="263"/>
      <c r="F139" s="305" t="str">
        <f>F137</f>
        <v>Instrument</v>
      </c>
      <c r="G139" s="243" t="str">
        <f>G137</f>
        <v>N</v>
      </c>
      <c r="H139" s="263"/>
      <c r="I139" s="243" t="str">
        <f>I137</f>
        <v>LC</v>
      </c>
      <c r="J139" s="303" t="s">
        <v>66</v>
      </c>
      <c r="K139" s="243"/>
      <c r="L139" s="243"/>
      <c r="M139" s="243"/>
      <c r="N139" s="243"/>
      <c r="O139" s="243"/>
      <c r="P139" s="265"/>
      <c r="Q139" s="266"/>
      <c r="R139" s="243"/>
      <c r="S139" s="243"/>
      <c r="T139" s="243"/>
      <c r="U139" s="243"/>
      <c r="V139" s="243"/>
      <c r="W139" s="267"/>
      <c r="X139" s="243"/>
      <c r="Y139" s="251"/>
      <c r="Z139" s="253"/>
      <c r="AA139" s="253"/>
      <c r="AB139" s="254"/>
      <c r="AC139" s="268">
        <f>IF(ISERROR(LOOKUP(AC$16,$L139:$X139,#REF!)),0,(LOOKUP(AC$16,$L139:$X139,#REF!)))</f>
        <v>0</v>
      </c>
      <c r="AD139" s="269">
        <f>IF(ISERROR(LOOKUP(AD$16,$L139:$X139,#REF!)),0,(LOOKUP(AD$16,$L139:$X139,#REF!)))</f>
        <v>0</v>
      </c>
      <c r="AE139" s="269">
        <f>IF(ISERROR(LOOKUP(AE$16,$L139:$X139,#REF!)),0,(LOOKUP(AE$16,$L139:$X139,#REF!)))</f>
        <v>0</v>
      </c>
      <c r="AF139" s="269">
        <f>IF(ISERROR(LOOKUP(AF$16,$L139:$X139,#REF!)),0,(LOOKUP(AF$16,$L139:$X139,#REF!)))</f>
        <v>0</v>
      </c>
      <c r="AG139" s="269">
        <f>IF(ISERROR(LOOKUP(AG$16,$L139:$X139,#REF!)),0,(LOOKUP(AG$16,$L139:$X139,#REF!)))</f>
        <v>0</v>
      </c>
      <c r="AH139" s="269">
        <f>IF(ISERROR(LOOKUP(AH$16,$L139:$X139,#REF!)),0,(LOOKUP(AH$16,$L139:$X139,#REF!)))</f>
        <v>0</v>
      </c>
      <c r="AI139" s="269">
        <f>IF(ISERROR(LOOKUP(AI$16,$L139:$X139,#REF!)),0,(LOOKUP(AI$16,$L139:$X139,#REF!)))</f>
        <v>0</v>
      </c>
      <c r="AJ139" s="269">
        <f>IF(ISERROR(LOOKUP(AJ$16,$L139:$X139,#REF!)),0,(LOOKUP(AJ$16,$L139:$X139,#REF!)))</f>
        <v>0</v>
      </c>
      <c r="AK139" s="269">
        <f>IF(ISERROR(LOOKUP(AK$16,$L139:$X139,#REF!)),0,(LOOKUP(AK$16,$L139:$X139,#REF!)))</f>
        <v>0</v>
      </c>
      <c r="AL139" s="269">
        <f>IF(ISERROR(LOOKUP(AL$16,$L139:$X139,#REF!)),0,(LOOKUP(AL$16,$L139:$X139,#REF!)))</f>
        <v>0</v>
      </c>
      <c r="AM139" s="269">
        <f ca="1">IF(ISERROR(LOOKUP(AM$16,$L139:$X139,#REF!)),0,(LOOKUP(AM$16,$L139:$X139,#REF!)))</f>
        <v>0</v>
      </c>
      <c r="AP139" s="243"/>
      <c r="AQ139" s="243"/>
      <c r="AR139" s="243"/>
      <c r="AS139" s="257"/>
      <c r="AW139" s="258" t="e">
        <v>#REF!</v>
      </c>
    </row>
    <row r="140" s="195" customFormat="1" ht="18" customHeight="1" spans="1:49">
      <c r="A140" s="241">
        <f>A137+1</f>
        <v>42</v>
      </c>
      <c r="B140" s="242"/>
      <c r="C140" s="243" t="s">
        <v>4825</v>
      </c>
      <c r="D140" s="243" t="s">
        <v>4826</v>
      </c>
      <c r="E140" s="244"/>
      <c r="F140" s="302" t="s">
        <v>136</v>
      </c>
      <c r="G140" s="243" t="s">
        <v>72</v>
      </c>
      <c r="H140" s="244"/>
      <c r="I140" s="243" t="s">
        <v>8</v>
      </c>
      <c r="J140" s="303" t="s">
        <v>4769</v>
      </c>
      <c r="K140" s="247">
        <f>WORKDAY(L140,-INDEX(L$12:L$15,MATCH($I140,$I$12:$I$15,0)))</f>
        <v>46273</v>
      </c>
      <c r="L140" s="247">
        <f>WORKDAY(M140,-INDEX(M$12:M$15,MATCH($I140,$I$12:$I$15,0)))</f>
        <v>46276</v>
      </c>
      <c r="M140" s="247">
        <f>WORKDAY(N140,-INDEX(N$12:N$15,MATCH($I140,$I$12:$I$15,0)))</f>
        <v>46290</v>
      </c>
      <c r="N140" s="247">
        <f>WORKDAY(O140,-INDEX(O$12:O$15,MATCH($I140,$I$12:$I$15,0)))</f>
        <v>46293</v>
      </c>
      <c r="O140" s="247">
        <f>WORKDAY(R140,-INDEX(R$12:R$15,MATCH($I140,$I$12:$I$15,0)))</f>
        <v>46307</v>
      </c>
      <c r="P140" s="248">
        <f>U140-L140</f>
        <v>94</v>
      </c>
      <c r="Q140" s="249"/>
      <c r="R140" s="247">
        <f>WORKDAY(S140,-INDEX(S$12:S$15,MATCH($I140,$I$12:$I$15,0)))</f>
        <v>46321</v>
      </c>
      <c r="S140" s="247">
        <f>WORKDAY(T140,-INDEX(T$12:T$15,MATCH($I140,$I$12:$I$15,0)))</f>
        <v>46342</v>
      </c>
      <c r="T140" s="247">
        <f>WORKDAY(U140,-INDEX(U$12:U$15,MATCH($I140,$I$12:$I$15,0)))</f>
        <v>46356</v>
      </c>
      <c r="U140" s="247">
        <f>X140-Y140</f>
        <v>46370</v>
      </c>
      <c r="V140" s="247">
        <f>WORKDAY(U140,INDEX(V$12:V$15,MATCH($I140,$I$12:$I$15,0)))</f>
        <v>46372</v>
      </c>
      <c r="W140" s="250">
        <f>Y140/7</f>
        <v>24</v>
      </c>
      <c r="X140" s="247">
        <f>Z140</f>
        <v>46538</v>
      </c>
      <c r="Y140" s="251">
        <f>24*7</f>
        <v>168</v>
      </c>
      <c r="Z140" s="253">
        <v>46538</v>
      </c>
      <c r="AA140" s="253">
        <v>46538</v>
      </c>
      <c r="AB140" s="254">
        <f>Z140-X141</f>
        <v>0</v>
      </c>
      <c r="AC140" s="255">
        <f>IF(ISERROR(LOOKUP(AC$16,$L140:$X140,#REF!)),0,(LOOKUP(AC$16,$L140:$X140,#REF!)))</f>
        <v>0</v>
      </c>
      <c r="AD140" s="256">
        <f>IF(ISERROR(LOOKUP(AD$16,$L140:$X140,#REF!)),0,(LOOKUP(AD$16,$L140:$X140,#REF!)))</f>
        <v>0</v>
      </c>
      <c r="AE140" s="256">
        <f>IF(ISERROR(LOOKUP(AE$16,$L140:$X140,#REF!)),0,(LOOKUP(AE$16,$L140:$X140,#REF!)))</f>
        <v>0</v>
      </c>
      <c r="AF140" s="256">
        <f>IF(ISERROR(LOOKUP(AF$16,$L140:$X140,#REF!)),0,(LOOKUP(AF$16,$L140:$X140,#REF!)))</f>
        <v>0</v>
      </c>
      <c r="AG140" s="256">
        <f>IF(ISERROR(LOOKUP(AG$16,$L140:$X140,#REF!)),0,(LOOKUP(AG$16,$L140:$X140,#REF!)))</f>
        <v>0</v>
      </c>
      <c r="AH140" s="256">
        <f>IF(ISERROR(LOOKUP(AH$16,$L140:$X140,#REF!)),0,(LOOKUP(AH$16,$L140:$X140,#REF!)))</f>
        <v>0</v>
      </c>
      <c r="AI140" s="256">
        <f>IF(ISERROR(LOOKUP(AI$16,$L140:$X140,#REF!)),0,(LOOKUP(AI$16,$L140:$X140,#REF!)))</f>
        <v>0</v>
      </c>
      <c r="AJ140" s="256">
        <f>IF(ISERROR(LOOKUP(AJ$16,$L140:$X140,#REF!)),0,(LOOKUP(AJ$16,$L140:$X140,#REF!)))</f>
        <v>0</v>
      </c>
      <c r="AK140" s="256">
        <f>IF(ISERROR(LOOKUP(AK$16,$L140:$X140,#REF!)),0,(LOOKUP(AK$16,$L140:$X140,#REF!)))</f>
        <v>0</v>
      </c>
      <c r="AL140" s="256">
        <f>IF(ISERROR(LOOKUP(AL$16,$L140:$X140,#REF!)),0,(LOOKUP(AL$16,$L140:$X140,#REF!)))</f>
        <v>0</v>
      </c>
      <c r="AM140" s="256">
        <f ca="1">IF(ISERROR(LOOKUP(AM$16,$L140:$X140,#REF!)),0,(LOOKUP(AM$16,$L140:$X140,#REF!)))</f>
        <v>0</v>
      </c>
      <c r="AP140" s="247" t="e">
        <f>WORKDAY(AQ140,-INDEX(AQ$12:AQ$15,MATCH($I140,$I$12:$I$15,0)),$AW$17:$AW$148)</f>
        <v>#REF!</v>
      </c>
      <c r="AQ140" s="247" t="e">
        <f>WORKDAY(U140,-INDEX(U$12:U$15,MATCH($I140,$I$12:$I$15,0)),$AW$17:$AW$148)</f>
        <v>#REF!</v>
      </c>
      <c r="AR140" s="247" t="e">
        <f>WORKDAY(U140,-INDEX(U$12:U$15,MATCH($I140,$I$12:$I$15,0)),$AW$17:$AW$148)</f>
        <v>#REF!</v>
      </c>
      <c r="AS140" s="257">
        <v>7</v>
      </c>
      <c r="AW140" s="258" t="e">
        <v>#REF!</v>
      </c>
    </row>
    <row r="141" s="195" customFormat="1" ht="18" customHeight="1" spans="1:49">
      <c r="A141" s="241"/>
      <c r="B141" s="259"/>
      <c r="C141" s="243" t="str">
        <f>C140</f>
        <v>RFQ-042</v>
      </c>
      <c r="D141" s="243" t="str">
        <f>D140</f>
        <v>Oil in Water Analyzer</v>
      </c>
      <c r="E141" s="260"/>
      <c r="F141" s="304" t="str">
        <f>F140</f>
        <v>Instrument</v>
      </c>
      <c r="G141" s="243" t="str">
        <f>G140</f>
        <v>N</v>
      </c>
      <c r="H141" s="260"/>
      <c r="I141" s="243" t="str">
        <f>I140</f>
        <v>LC</v>
      </c>
      <c r="J141" s="303" t="s">
        <v>64</v>
      </c>
      <c r="K141" s="247">
        <f>K140</f>
        <v>46273</v>
      </c>
      <c r="L141" s="247">
        <f>WORKDAY(IF(K142="",K141,K142),INDEX(L$12:L$15,MATCH($I140,$I$12:$I$15,0)))</f>
        <v>46276</v>
      </c>
      <c r="M141" s="247">
        <f>WORKDAY(IF(L142="",L141,L142),INDEX(M$12:M$15,MATCH($I140,$I$12:$I$15,0)))</f>
        <v>46290</v>
      </c>
      <c r="N141" s="247">
        <f>WORKDAY(IF(M142="",M141,M142),INDEX(N$12:N$15,MATCH($I140,$I$12:$I$15,0)))</f>
        <v>46293</v>
      </c>
      <c r="O141" s="247">
        <f>WORKDAY(IF(N142="",N141,N142),INDEX(O$12:O$15,MATCH($I140,$I$12:$I$15,0)))</f>
        <v>46307</v>
      </c>
      <c r="P141" s="248"/>
      <c r="Q141" s="249"/>
      <c r="R141" s="247">
        <f>WORKDAY(IF(O142="",O141,O142),INDEX(R$12:R$15,MATCH($I140,$I$12:$I$15,0)))</f>
        <v>46321</v>
      </c>
      <c r="S141" s="247">
        <f>WORKDAY(IF(R142="",R141,R142),INDEX(S$12:S$15,MATCH($I140,$I$12:$I$15,0)))</f>
        <v>46342</v>
      </c>
      <c r="T141" s="247">
        <f>WORKDAY(IF(S142="",S141,S142),INDEX(T$12:T$15,MATCH($I140,$I$12:$I$15,0)))</f>
        <v>46356</v>
      </c>
      <c r="U141" s="247">
        <f>WORKDAY(IF(T142="",T141,T142),INDEX(U$12:U$15,MATCH($I140,$I$12:$I$15,0)))</f>
        <v>46370</v>
      </c>
      <c r="V141" s="247">
        <f>WORKDAY(IF(U142="",U141,U142),INDEX(V$12:V$15,MATCH($I140,$I$12:$I$15,0)))</f>
        <v>46372</v>
      </c>
      <c r="W141" s="250"/>
      <c r="X141" s="247">
        <f>U141+Y140</f>
        <v>46538</v>
      </c>
      <c r="Y141" s="251"/>
      <c r="Z141" s="253"/>
      <c r="AA141" s="253"/>
      <c r="AB141" s="254"/>
      <c r="AC141" s="255">
        <f>IF(ISERROR(LOOKUP(AC$16,$L141:$X141,#REF!)),0,(LOOKUP(AC$16,$L141:$X141,#REF!)))</f>
        <v>0</v>
      </c>
      <c r="AD141" s="256">
        <f>IF(ISERROR(LOOKUP(AD$16,$L141:$X141,#REF!)),0,(LOOKUP(AD$16,$L141:$X141,#REF!)))</f>
        <v>0</v>
      </c>
      <c r="AE141" s="256">
        <f>IF(ISERROR(LOOKUP(AE$16,$L141:$X141,#REF!)),0,(LOOKUP(AE$16,$L141:$X141,#REF!)))</f>
        <v>0</v>
      </c>
      <c r="AF141" s="256">
        <f>IF(ISERROR(LOOKUP(AF$16,$L141:$X141,#REF!)),0,(LOOKUP(AF$16,$L141:$X141,#REF!)))</f>
        <v>0</v>
      </c>
      <c r="AG141" s="256">
        <f>IF(ISERROR(LOOKUP(AG$16,$L141:$X141,#REF!)),0,(LOOKUP(AG$16,$L141:$X141,#REF!)))</f>
        <v>0</v>
      </c>
      <c r="AH141" s="256">
        <f>IF(ISERROR(LOOKUP(AH$16,$L141:$X141,#REF!)),0,(LOOKUP(AH$16,$L141:$X141,#REF!)))</f>
        <v>0</v>
      </c>
      <c r="AI141" s="256">
        <f>IF(ISERROR(LOOKUP(AI$16,$L141:$X141,#REF!)),0,(LOOKUP(AI$16,$L141:$X141,#REF!)))</f>
        <v>0</v>
      </c>
      <c r="AJ141" s="256">
        <f>IF(ISERROR(LOOKUP(AJ$16,$L141:$X141,#REF!)),0,(LOOKUP(AJ$16,$L141:$X141,#REF!)))</f>
        <v>0</v>
      </c>
      <c r="AK141" s="256">
        <f>IF(ISERROR(LOOKUP(AK$16,$L141:$X141,#REF!)),0,(LOOKUP(AK$16,$L141:$X141,#REF!)))</f>
        <v>0</v>
      </c>
      <c r="AL141" s="256">
        <f>IF(ISERROR(LOOKUP(AL$16,$L141:$X141,#REF!)),0,(LOOKUP(AL$16,$L141:$X141,#REF!)))</f>
        <v>0</v>
      </c>
      <c r="AM141" s="256">
        <f ca="1">IF(ISERROR(LOOKUP(AM$16,$L141:$X141,#REF!)),0,(LOOKUP(AM$16,$L141:$X141,#REF!)))</f>
        <v>0</v>
      </c>
      <c r="AP141" s="247" t="e">
        <f>WORKDAY(IF(T142="",T141,T142),INDEX(AP$12:AP$15,MATCH($I140,$I$12:$I$15,0)),$AW$17:$AW$148)</f>
        <v>#REF!</v>
      </c>
      <c r="AQ141" s="247" t="e">
        <f>WORKDAY(IF(AP142="",AP141,AP142),INDEX(AQ$12:AQ$15,MATCH($I140,$I$12:$I$15,0)),$AW$17:$AW$148)</f>
        <v>#REF!</v>
      </c>
      <c r="AR141" s="247" t="e">
        <f>WORKDAY(IF(AQ142="",AQ141,AQ142),INDEX(AR$12:AR$15,MATCH($I140,$I$12:$I$15,0)),$AW$17:$AW$148)</f>
        <v>#REF!</v>
      </c>
      <c r="AS141" s="257"/>
      <c r="AW141" s="258" t="e">
        <v>#REF!</v>
      </c>
    </row>
    <row r="142" s="195" customFormat="1" ht="18" customHeight="1" spans="1:49">
      <c r="A142" s="241"/>
      <c r="B142" s="262"/>
      <c r="C142" s="243" t="str">
        <f>C140</f>
        <v>RFQ-042</v>
      </c>
      <c r="D142" s="243" t="str">
        <f>D140</f>
        <v>Oil in Water Analyzer</v>
      </c>
      <c r="E142" s="263"/>
      <c r="F142" s="305" t="str">
        <f>F140</f>
        <v>Instrument</v>
      </c>
      <c r="G142" s="243" t="str">
        <f>G140</f>
        <v>N</v>
      </c>
      <c r="H142" s="263"/>
      <c r="I142" s="243" t="str">
        <f>I140</f>
        <v>LC</v>
      </c>
      <c r="J142" s="303" t="s">
        <v>66</v>
      </c>
      <c r="K142" s="243"/>
      <c r="L142" s="243"/>
      <c r="M142" s="243"/>
      <c r="N142" s="243"/>
      <c r="O142" s="243"/>
      <c r="P142" s="265"/>
      <c r="Q142" s="266"/>
      <c r="R142" s="243"/>
      <c r="S142" s="243"/>
      <c r="T142" s="243"/>
      <c r="U142" s="243"/>
      <c r="V142" s="243"/>
      <c r="W142" s="267"/>
      <c r="X142" s="243"/>
      <c r="Y142" s="251"/>
      <c r="Z142" s="253"/>
      <c r="AA142" s="253"/>
      <c r="AB142" s="254"/>
      <c r="AC142" s="268">
        <f>IF(ISERROR(LOOKUP(AC$16,$L142:$X142,#REF!)),0,(LOOKUP(AC$16,$L142:$X142,#REF!)))</f>
        <v>0</v>
      </c>
      <c r="AD142" s="269">
        <f>IF(ISERROR(LOOKUP(AD$16,$L142:$X142,#REF!)),0,(LOOKUP(AD$16,$L142:$X142,#REF!)))</f>
        <v>0</v>
      </c>
      <c r="AE142" s="269">
        <f>IF(ISERROR(LOOKUP(AE$16,$L142:$X142,#REF!)),0,(LOOKUP(AE$16,$L142:$X142,#REF!)))</f>
        <v>0</v>
      </c>
      <c r="AF142" s="269">
        <f>IF(ISERROR(LOOKUP(AF$16,$L142:$X142,#REF!)),0,(LOOKUP(AF$16,$L142:$X142,#REF!)))</f>
        <v>0</v>
      </c>
      <c r="AG142" s="269">
        <f>IF(ISERROR(LOOKUP(AG$16,$L142:$X142,#REF!)),0,(LOOKUP(AG$16,$L142:$X142,#REF!)))</f>
        <v>0</v>
      </c>
      <c r="AH142" s="269">
        <f>IF(ISERROR(LOOKUP(AH$16,$L142:$X142,#REF!)),0,(LOOKUP(AH$16,$L142:$X142,#REF!)))</f>
        <v>0</v>
      </c>
      <c r="AI142" s="269">
        <f>IF(ISERROR(LOOKUP(AI$16,$L142:$X142,#REF!)),0,(LOOKUP(AI$16,$L142:$X142,#REF!)))</f>
        <v>0</v>
      </c>
      <c r="AJ142" s="269">
        <f>IF(ISERROR(LOOKUP(AJ$16,$L142:$X142,#REF!)),0,(LOOKUP(AJ$16,$L142:$X142,#REF!)))</f>
        <v>0</v>
      </c>
      <c r="AK142" s="269">
        <f>IF(ISERROR(LOOKUP(AK$16,$L142:$X142,#REF!)),0,(LOOKUP(AK$16,$L142:$X142,#REF!)))</f>
        <v>0</v>
      </c>
      <c r="AL142" s="269">
        <f>IF(ISERROR(LOOKUP(AL$16,$L142:$X142,#REF!)),0,(LOOKUP(AL$16,$L142:$X142,#REF!)))</f>
        <v>0</v>
      </c>
      <c r="AM142" s="269">
        <f ca="1">IF(ISERROR(LOOKUP(AM$16,$L142:$X142,#REF!)),0,(LOOKUP(AM$16,$L142:$X142,#REF!)))</f>
        <v>0</v>
      </c>
      <c r="AP142" s="243"/>
      <c r="AQ142" s="243"/>
      <c r="AR142" s="243"/>
      <c r="AS142" s="257"/>
      <c r="AW142" s="258" t="e">
        <v>#REF!</v>
      </c>
    </row>
    <row r="143" s="195" customFormat="1" ht="18" customHeight="1" spans="1:49">
      <c r="A143" s="241">
        <f>A140+1</f>
        <v>43</v>
      </c>
      <c r="B143" s="242"/>
      <c r="C143" s="243" t="s">
        <v>4827</v>
      </c>
      <c r="D143" s="243" t="s">
        <v>199</v>
      </c>
      <c r="E143" s="244"/>
      <c r="F143" s="302" t="s">
        <v>136</v>
      </c>
      <c r="G143" s="243" t="s">
        <v>72</v>
      </c>
      <c r="H143" s="244"/>
      <c r="I143" s="243" t="s">
        <v>8</v>
      </c>
      <c r="J143" s="303" t="s">
        <v>4769</v>
      </c>
      <c r="K143" s="247">
        <f>WORKDAY(L143,-INDEX(L$12:L$15,MATCH($I143,$I$12:$I$15,0)))</f>
        <v>46381</v>
      </c>
      <c r="L143" s="247">
        <f>WORKDAY(M143,-INDEX(M$12:M$15,MATCH($I143,$I$12:$I$15,0)))</f>
        <v>46386</v>
      </c>
      <c r="M143" s="247">
        <f>WORKDAY(N143,-INDEX(N$12:N$15,MATCH($I143,$I$12:$I$15,0)))</f>
        <v>46400</v>
      </c>
      <c r="N143" s="247">
        <f>WORKDAY(O143,-INDEX(O$12:O$15,MATCH($I143,$I$12:$I$15,0)))</f>
        <v>46401</v>
      </c>
      <c r="O143" s="247">
        <f>WORKDAY(R143,-INDEX(R$12:R$15,MATCH($I143,$I$12:$I$15,0)))</f>
        <v>46415</v>
      </c>
      <c r="P143" s="248">
        <f>U143-L143</f>
        <v>92</v>
      </c>
      <c r="Q143" s="249"/>
      <c r="R143" s="247">
        <f>WORKDAY(S143,-INDEX(S$12:S$15,MATCH($I143,$I$12:$I$15,0)))</f>
        <v>46429</v>
      </c>
      <c r="S143" s="247">
        <f>WORKDAY(T143,-INDEX(T$12:T$15,MATCH($I143,$I$12:$I$15,0)))</f>
        <v>46450</v>
      </c>
      <c r="T143" s="247">
        <f>WORKDAY(U143,-INDEX(U$12:U$15,MATCH($I143,$I$12:$I$15,0)))</f>
        <v>46464</v>
      </c>
      <c r="U143" s="247">
        <f>X143-Y143</f>
        <v>46478</v>
      </c>
      <c r="V143" s="247">
        <f>WORKDAY(U143,INDEX(V$12:V$15,MATCH($I143,$I$12:$I$15,0)))</f>
        <v>46482</v>
      </c>
      <c r="W143" s="250">
        <f>Y143/7</f>
        <v>8.57142857142857</v>
      </c>
      <c r="X143" s="247">
        <f>Z143</f>
        <v>46538</v>
      </c>
      <c r="Y143" s="251">
        <v>60</v>
      </c>
      <c r="Z143" s="253">
        <v>46538</v>
      </c>
      <c r="AA143" s="253">
        <v>46538</v>
      </c>
      <c r="AB143" s="254">
        <f>Z143-X144</f>
        <v>0</v>
      </c>
      <c r="AC143" s="255">
        <f>IF(ISERROR(LOOKUP(AC$16,$L143:$X143,#REF!)),0,(LOOKUP(AC$16,$L143:$X143,#REF!)))</f>
        <v>0</v>
      </c>
      <c r="AD143" s="256">
        <f>IF(ISERROR(LOOKUP(AD$16,$L143:$X143,#REF!)),0,(LOOKUP(AD$16,$L143:$X143,#REF!)))</f>
        <v>0</v>
      </c>
      <c r="AE143" s="256">
        <f>IF(ISERROR(LOOKUP(AE$16,$L143:$X143,#REF!)),0,(LOOKUP(AE$16,$L143:$X143,#REF!)))</f>
        <v>0</v>
      </c>
      <c r="AF143" s="256">
        <f>IF(ISERROR(LOOKUP(AF$16,$L143:$X143,#REF!)),0,(LOOKUP(AF$16,$L143:$X143,#REF!)))</f>
        <v>0</v>
      </c>
      <c r="AG143" s="256">
        <f>IF(ISERROR(LOOKUP(AG$16,$L143:$X143,#REF!)),0,(LOOKUP(AG$16,$L143:$X143,#REF!)))</f>
        <v>0</v>
      </c>
      <c r="AH143" s="256">
        <f>IF(ISERROR(LOOKUP(AH$16,$L143:$X143,#REF!)),0,(LOOKUP(AH$16,$L143:$X143,#REF!)))</f>
        <v>0</v>
      </c>
      <c r="AI143" s="256">
        <f>IF(ISERROR(LOOKUP(AI$16,$L143:$X143,#REF!)),0,(LOOKUP(AI$16,$L143:$X143,#REF!)))</f>
        <v>0</v>
      </c>
      <c r="AJ143" s="256">
        <f>IF(ISERROR(LOOKUP(AJ$16,$L143:$X143,#REF!)),0,(LOOKUP(AJ$16,$L143:$X143,#REF!)))</f>
        <v>0</v>
      </c>
      <c r="AK143" s="256">
        <f>IF(ISERROR(LOOKUP(AK$16,$L143:$X143,#REF!)),0,(LOOKUP(AK$16,$L143:$X143,#REF!)))</f>
        <v>0</v>
      </c>
      <c r="AL143" s="256">
        <f>IF(ISERROR(LOOKUP(AL$16,$L143:$X143,#REF!)),0,(LOOKUP(AL$16,$L143:$X143,#REF!)))</f>
        <v>0</v>
      </c>
      <c r="AM143" s="256">
        <f ca="1">IF(ISERROR(LOOKUP(AM$16,$L143:$X143,#REF!)),0,(LOOKUP(AM$16,$L143:$X143,#REF!)))</f>
        <v>0</v>
      </c>
      <c r="AP143" s="247" t="e">
        <f>WORKDAY(AQ143,-INDEX(AQ$12:AQ$15,MATCH($I143,$I$12:$I$15,0)),$AW$17:$AW$148)</f>
        <v>#REF!</v>
      </c>
      <c r="AQ143" s="247" t="e">
        <f>WORKDAY(U143,-INDEX(U$12:U$15,MATCH($I143,$I$12:$I$15,0)),$AW$17:$AW$148)</f>
        <v>#REF!</v>
      </c>
      <c r="AR143" s="247" t="e">
        <f>WORKDAY(U143,-INDEX(U$12:U$15,MATCH($I143,$I$12:$I$15,0)),$AW$17:$AW$148)</f>
        <v>#REF!</v>
      </c>
      <c r="AS143" s="257">
        <v>7</v>
      </c>
      <c r="AW143" s="258" t="e">
        <v>#REF!</v>
      </c>
    </row>
    <row r="144" s="195" customFormat="1" ht="18" customHeight="1" spans="1:49">
      <c r="A144" s="241"/>
      <c r="B144" s="259"/>
      <c r="C144" s="243" t="str">
        <f>C143</f>
        <v>RFQ-043</v>
      </c>
      <c r="D144" s="243" t="str">
        <f>D143</f>
        <v>Level Switch</v>
      </c>
      <c r="E144" s="260"/>
      <c r="F144" s="304" t="str">
        <f>F143</f>
        <v>Instrument</v>
      </c>
      <c r="G144" s="243" t="str">
        <f>G143</f>
        <v>N</v>
      </c>
      <c r="H144" s="260"/>
      <c r="I144" s="243" t="str">
        <f>I143</f>
        <v>LC</v>
      </c>
      <c r="J144" s="303" t="s">
        <v>64</v>
      </c>
      <c r="K144" s="247">
        <f>K143</f>
        <v>46381</v>
      </c>
      <c r="L144" s="247">
        <f>WORKDAY(IF(K145="",K144,K145),INDEX(L$12:L$15,MATCH($I143,$I$12:$I$15,0)))</f>
        <v>46386</v>
      </c>
      <c r="M144" s="247">
        <f>WORKDAY(IF(L145="",L144,L145),INDEX(M$12:M$15,MATCH($I143,$I$12:$I$15,0)))</f>
        <v>46400</v>
      </c>
      <c r="N144" s="247">
        <f>WORKDAY(IF(M145="",M144,M145),INDEX(N$12:N$15,MATCH($I143,$I$12:$I$15,0)))</f>
        <v>46401</v>
      </c>
      <c r="O144" s="247">
        <f>WORKDAY(IF(N145="",N144,N145),INDEX(O$12:O$15,MATCH($I143,$I$12:$I$15,0)))</f>
        <v>46415</v>
      </c>
      <c r="P144" s="248"/>
      <c r="Q144" s="249"/>
      <c r="R144" s="247">
        <f>WORKDAY(IF(O145="",O144,O145),INDEX(R$12:R$15,MATCH($I143,$I$12:$I$15,0)))</f>
        <v>46429</v>
      </c>
      <c r="S144" s="247">
        <f>WORKDAY(IF(R145="",R144,R145),INDEX(S$12:S$15,MATCH($I143,$I$12:$I$15,0)))</f>
        <v>46450</v>
      </c>
      <c r="T144" s="247">
        <f>WORKDAY(IF(S145="",S144,S145),INDEX(T$12:T$15,MATCH($I143,$I$12:$I$15,0)))</f>
        <v>46464</v>
      </c>
      <c r="U144" s="247">
        <f>WORKDAY(IF(T145="",T144,T145),INDEX(U$12:U$15,MATCH($I143,$I$12:$I$15,0)))</f>
        <v>46478</v>
      </c>
      <c r="V144" s="247">
        <f>WORKDAY(IF(U145="",U144,U145),INDEX(V$12:V$15,MATCH($I143,$I$12:$I$15,0)))</f>
        <v>46482</v>
      </c>
      <c r="W144" s="250"/>
      <c r="X144" s="247">
        <f>U144+Y143</f>
        <v>46538</v>
      </c>
      <c r="Y144" s="251"/>
      <c r="Z144" s="253"/>
      <c r="AA144" s="253"/>
      <c r="AB144" s="254"/>
      <c r="AC144" s="255">
        <f>IF(ISERROR(LOOKUP(AC$16,$L144:$X144,#REF!)),0,(LOOKUP(AC$16,$L144:$X144,#REF!)))</f>
        <v>0</v>
      </c>
      <c r="AD144" s="256">
        <f>IF(ISERROR(LOOKUP(AD$16,$L144:$X144,#REF!)),0,(LOOKUP(AD$16,$L144:$X144,#REF!)))</f>
        <v>0</v>
      </c>
      <c r="AE144" s="256">
        <f>IF(ISERROR(LOOKUP(AE$16,$L144:$X144,#REF!)),0,(LOOKUP(AE$16,$L144:$X144,#REF!)))</f>
        <v>0</v>
      </c>
      <c r="AF144" s="256">
        <f>IF(ISERROR(LOOKUP(AF$16,$L144:$X144,#REF!)),0,(LOOKUP(AF$16,$L144:$X144,#REF!)))</f>
        <v>0</v>
      </c>
      <c r="AG144" s="256">
        <f>IF(ISERROR(LOOKUP(AG$16,$L144:$X144,#REF!)),0,(LOOKUP(AG$16,$L144:$X144,#REF!)))</f>
        <v>0</v>
      </c>
      <c r="AH144" s="256">
        <f>IF(ISERROR(LOOKUP(AH$16,$L144:$X144,#REF!)),0,(LOOKUP(AH$16,$L144:$X144,#REF!)))</f>
        <v>0</v>
      </c>
      <c r="AI144" s="256">
        <f>IF(ISERROR(LOOKUP(AI$16,$L144:$X144,#REF!)),0,(LOOKUP(AI$16,$L144:$X144,#REF!)))</f>
        <v>0</v>
      </c>
      <c r="AJ144" s="256">
        <f>IF(ISERROR(LOOKUP(AJ$16,$L144:$X144,#REF!)),0,(LOOKUP(AJ$16,$L144:$X144,#REF!)))</f>
        <v>0</v>
      </c>
      <c r="AK144" s="256">
        <f>IF(ISERROR(LOOKUP(AK$16,$L144:$X144,#REF!)),0,(LOOKUP(AK$16,$L144:$X144,#REF!)))</f>
        <v>0</v>
      </c>
      <c r="AL144" s="256">
        <f>IF(ISERROR(LOOKUP(AL$16,$L144:$X144,#REF!)),0,(LOOKUP(AL$16,$L144:$X144,#REF!)))</f>
        <v>0</v>
      </c>
      <c r="AM144" s="256">
        <f ca="1">IF(ISERROR(LOOKUP(AM$16,$L144:$X144,#REF!)),0,(LOOKUP(AM$16,$L144:$X144,#REF!)))</f>
        <v>0</v>
      </c>
      <c r="AP144" s="247" t="e">
        <f>WORKDAY(IF(T145="",T144,T145),INDEX(AP$12:AP$15,MATCH($I143,$I$12:$I$15,0)),$AW$17:$AW$148)</f>
        <v>#REF!</v>
      </c>
      <c r="AQ144" s="247" t="e">
        <f>WORKDAY(IF(AP145="",AP144,AP145),INDEX(AQ$12:AQ$15,MATCH($I143,$I$12:$I$15,0)),$AW$17:$AW$148)</f>
        <v>#REF!</v>
      </c>
      <c r="AR144" s="247" t="e">
        <f>WORKDAY(IF(AQ145="",AQ144,AQ145),INDEX(AR$12:AR$15,MATCH($I143,$I$12:$I$15,0)),$AW$17:$AW$148)</f>
        <v>#REF!</v>
      </c>
      <c r="AS144" s="257"/>
      <c r="AW144" s="258" t="e">
        <v>#REF!</v>
      </c>
    </row>
    <row r="145" s="195" customFormat="1" ht="18" customHeight="1" spans="1:49">
      <c r="A145" s="241"/>
      <c r="B145" s="262"/>
      <c r="C145" s="243" t="str">
        <f>C143</f>
        <v>RFQ-043</v>
      </c>
      <c r="D145" s="243" t="str">
        <f>D143</f>
        <v>Level Switch</v>
      </c>
      <c r="E145" s="263"/>
      <c r="F145" s="305" t="str">
        <f>F143</f>
        <v>Instrument</v>
      </c>
      <c r="G145" s="243" t="str">
        <f>G143</f>
        <v>N</v>
      </c>
      <c r="H145" s="263"/>
      <c r="I145" s="243" t="str">
        <f>I143</f>
        <v>LC</v>
      </c>
      <c r="J145" s="303" t="s">
        <v>66</v>
      </c>
      <c r="K145" s="243"/>
      <c r="L145" s="243"/>
      <c r="M145" s="243"/>
      <c r="N145" s="243"/>
      <c r="O145" s="243"/>
      <c r="P145" s="265"/>
      <c r="Q145" s="266"/>
      <c r="R145" s="243"/>
      <c r="S145" s="243"/>
      <c r="T145" s="243"/>
      <c r="U145" s="243"/>
      <c r="V145" s="243"/>
      <c r="W145" s="267"/>
      <c r="X145" s="243"/>
      <c r="Y145" s="251"/>
      <c r="Z145" s="253"/>
      <c r="AA145" s="253"/>
      <c r="AB145" s="254"/>
      <c r="AC145" s="268">
        <f>IF(ISERROR(LOOKUP(AC$16,$L145:$X145,#REF!)),0,(LOOKUP(AC$16,$L145:$X145,#REF!)))</f>
        <v>0</v>
      </c>
      <c r="AD145" s="269">
        <f>IF(ISERROR(LOOKUP(AD$16,$L145:$X145,#REF!)),0,(LOOKUP(AD$16,$L145:$X145,#REF!)))</f>
        <v>0</v>
      </c>
      <c r="AE145" s="269">
        <f>IF(ISERROR(LOOKUP(AE$16,$L145:$X145,#REF!)),0,(LOOKUP(AE$16,$L145:$X145,#REF!)))</f>
        <v>0</v>
      </c>
      <c r="AF145" s="269">
        <f>IF(ISERROR(LOOKUP(AF$16,$L145:$X145,#REF!)),0,(LOOKUP(AF$16,$L145:$X145,#REF!)))</f>
        <v>0</v>
      </c>
      <c r="AG145" s="269">
        <f>IF(ISERROR(LOOKUP(AG$16,$L145:$X145,#REF!)),0,(LOOKUP(AG$16,$L145:$X145,#REF!)))</f>
        <v>0</v>
      </c>
      <c r="AH145" s="269">
        <f>IF(ISERROR(LOOKUP(AH$16,$L145:$X145,#REF!)),0,(LOOKUP(AH$16,$L145:$X145,#REF!)))</f>
        <v>0</v>
      </c>
      <c r="AI145" s="269">
        <f>IF(ISERROR(LOOKUP(AI$16,$L145:$X145,#REF!)),0,(LOOKUP(AI$16,$L145:$X145,#REF!)))</f>
        <v>0</v>
      </c>
      <c r="AJ145" s="269">
        <f>IF(ISERROR(LOOKUP(AJ$16,$L145:$X145,#REF!)),0,(LOOKUP(AJ$16,$L145:$X145,#REF!)))</f>
        <v>0</v>
      </c>
      <c r="AK145" s="269">
        <f>IF(ISERROR(LOOKUP(AK$16,$L145:$X145,#REF!)),0,(LOOKUP(AK$16,$L145:$X145,#REF!)))</f>
        <v>0</v>
      </c>
      <c r="AL145" s="269">
        <f>IF(ISERROR(LOOKUP(AL$16,$L145:$X145,#REF!)),0,(LOOKUP(AL$16,$L145:$X145,#REF!)))</f>
        <v>0</v>
      </c>
      <c r="AM145" s="269">
        <f ca="1">IF(ISERROR(LOOKUP(AM$16,$L145:$X145,#REF!)),0,(LOOKUP(AM$16,$L145:$X145,#REF!)))</f>
        <v>0</v>
      </c>
      <c r="AP145" s="243"/>
      <c r="AQ145" s="243"/>
      <c r="AR145" s="243"/>
      <c r="AS145" s="257"/>
      <c r="AW145" s="258" t="e">
        <v>#REF!</v>
      </c>
    </row>
    <row r="146" s="195" customFormat="1" ht="18" customHeight="1" spans="1:49">
      <c r="A146" s="241">
        <f>A143+1</f>
        <v>44</v>
      </c>
      <c r="B146" s="242"/>
      <c r="C146" s="243" t="s">
        <v>4828</v>
      </c>
      <c r="D146" s="243" t="s">
        <v>4829</v>
      </c>
      <c r="E146" s="244"/>
      <c r="F146" s="302" t="s">
        <v>136</v>
      </c>
      <c r="G146" s="243" t="s">
        <v>72</v>
      </c>
      <c r="H146" s="244"/>
      <c r="I146" s="243" t="s">
        <v>8</v>
      </c>
      <c r="J146" s="303" t="s">
        <v>4769</v>
      </c>
      <c r="K146" s="247">
        <f>WORKDAY(L146,-INDEX(L$12:L$15,MATCH($I146,$I$12:$I$15,0)))</f>
        <v>46381</v>
      </c>
      <c r="L146" s="247">
        <f>WORKDAY(M146,-INDEX(M$12:M$15,MATCH($I146,$I$12:$I$15,0)))</f>
        <v>46386</v>
      </c>
      <c r="M146" s="247">
        <f>WORKDAY(N146,-INDEX(N$12:N$15,MATCH($I146,$I$12:$I$15,0)))</f>
        <v>46400</v>
      </c>
      <c r="N146" s="247">
        <f>WORKDAY(O146,-INDEX(O$12:O$15,MATCH($I146,$I$12:$I$15,0)))</f>
        <v>46401</v>
      </c>
      <c r="O146" s="247">
        <f>WORKDAY(R146,-INDEX(R$12:R$15,MATCH($I146,$I$12:$I$15,0)))</f>
        <v>46415</v>
      </c>
      <c r="P146" s="248">
        <f>U146-L146</f>
        <v>92</v>
      </c>
      <c r="Q146" s="249"/>
      <c r="R146" s="247">
        <f>WORKDAY(S146,-INDEX(S$12:S$15,MATCH($I146,$I$12:$I$15,0)))</f>
        <v>46429</v>
      </c>
      <c r="S146" s="247">
        <f>WORKDAY(T146,-INDEX(T$12:T$15,MATCH($I146,$I$12:$I$15,0)))</f>
        <v>46450</v>
      </c>
      <c r="T146" s="247">
        <f>WORKDAY(U146,-INDEX(U$12:U$15,MATCH($I146,$I$12:$I$15,0)))</f>
        <v>46464</v>
      </c>
      <c r="U146" s="247">
        <f>X146-Y146</f>
        <v>46478</v>
      </c>
      <c r="V146" s="247">
        <f>WORKDAY(U146,INDEX(V$12:V$15,MATCH($I146,$I$12:$I$15,0)))</f>
        <v>46482</v>
      </c>
      <c r="W146" s="250">
        <f>Y146/7</f>
        <v>8.57142857142857</v>
      </c>
      <c r="X146" s="247">
        <f>Z146</f>
        <v>46538</v>
      </c>
      <c r="Y146" s="251">
        <v>60</v>
      </c>
      <c r="Z146" s="253">
        <v>46538</v>
      </c>
      <c r="AA146" s="253">
        <v>46538</v>
      </c>
      <c r="AB146" s="254">
        <f>Z146-X147</f>
        <v>0</v>
      </c>
      <c r="AC146" s="255">
        <f>IF(ISERROR(LOOKUP(AC$16,$L146:$X146,#REF!)),0,(LOOKUP(AC$16,$L146:$X146,#REF!)))</f>
        <v>0</v>
      </c>
      <c r="AD146" s="256">
        <f>IF(ISERROR(LOOKUP(AD$16,$L146:$X146,#REF!)),0,(LOOKUP(AD$16,$L146:$X146,#REF!)))</f>
        <v>0</v>
      </c>
      <c r="AE146" s="256">
        <f>IF(ISERROR(LOOKUP(AE$16,$L146:$X146,#REF!)),0,(LOOKUP(AE$16,$L146:$X146,#REF!)))</f>
        <v>0</v>
      </c>
      <c r="AF146" s="256">
        <f>IF(ISERROR(LOOKUP(AF$16,$L146:$X146,#REF!)),0,(LOOKUP(AF$16,$L146:$X146,#REF!)))</f>
        <v>0</v>
      </c>
      <c r="AG146" s="256">
        <f>IF(ISERROR(LOOKUP(AG$16,$L146:$X146,#REF!)),0,(LOOKUP(AG$16,$L146:$X146,#REF!)))</f>
        <v>0</v>
      </c>
      <c r="AH146" s="256">
        <f>IF(ISERROR(LOOKUP(AH$16,$L146:$X146,#REF!)),0,(LOOKUP(AH$16,$L146:$X146,#REF!)))</f>
        <v>0</v>
      </c>
      <c r="AI146" s="256">
        <f>IF(ISERROR(LOOKUP(AI$16,$L146:$X146,#REF!)),0,(LOOKUP(AI$16,$L146:$X146,#REF!)))</f>
        <v>0</v>
      </c>
      <c r="AJ146" s="256">
        <f>IF(ISERROR(LOOKUP(AJ$16,$L146:$X146,#REF!)),0,(LOOKUP(AJ$16,$L146:$X146,#REF!)))</f>
        <v>0</v>
      </c>
      <c r="AK146" s="256">
        <f>IF(ISERROR(LOOKUP(AK$16,$L146:$X146,#REF!)),0,(LOOKUP(AK$16,$L146:$X146,#REF!)))</f>
        <v>0</v>
      </c>
      <c r="AL146" s="256">
        <f>IF(ISERROR(LOOKUP(AL$16,$L146:$X146,#REF!)),0,(LOOKUP(AL$16,$L146:$X146,#REF!)))</f>
        <v>0</v>
      </c>
      <c r="AM146" s="256">
        <f ca="1">IF(ISERROR(LOOKUP(AM$16,$L146:$X146,#REF!)),0,(LOOKUP(AM$16,$L146:$X146,#REF!)))</f>
        <v>0</v>
      </c>
      <c r="AP146" s="247" t="e">
        <f>WORKDAY(AQ146,-INDEX(AQ$12:AQ$15,MATCH($I146,$I$12:$I$15,0)),$AW$17:$AW$148)</f>
        <v>#REF!</v>
      </c>
      <c r="AQ146" s="247" t="e">
        <f>WORKDAY(U146,-INDEX(U$12:U$15,MATCH($I146,$I$12:$I$15,0)),$AW$17:$AW$148)</f>
        <v>#REF!</v>
      </c>
      <c r="AR146" s="247" t="e">
        <f>WORKDAY(U146,-INDEX(U$12:U$15,MATCH($I146,$I$12:$I$15,0)),$AW$17:$AW$148)</f>
        <v>#REF!</v>
      </c>
      <c r="AS146" s="257">
        <v>7</v>
      </c>
      <c r="AW146" s="258" t="e">
        <v>#REF!</v>
      </c>
    </row>
    <row r="147" s="195" customFormat="1" ht="18" customHeight="1" spans="1:49">
      <c r="A147" s="241"/>
      <c r="B147" s="259"/>
      <c r="C147" s="243" t="str">
        <f>C146</f>
        <v>RFQ-044</v>
      </c>
      <c r="D147" s="243" t="str">
        <f>D146</f>
        <v>Flow Switch</v>
      </c>
      <c r="E147" s="260"/>
      <c r="F147" s="304" t="str">
        <f>F146</f>
        <v>Instrument</v>
      </c>
      <c r="G147" s="243" t="str">
        <f>G146</f>
        <v>N</v>
      </c>
      <c r="H147" s="260"/>
      <c r="I147" s="243" t="str">
        <f>I146</f>
        <v>LC</v>
      </c>
      <c r="J147" s="303" t="s">
        <v>64</v>
      </c>
      <c r="K147" s="247">
        <f>K146</f>
        <v>46381</v>
      </c>
      <c r="L147" s="247">
        <f>WORKDAY(IF(K148="",K147,K148),INDEX(L$12:L$15,MATCH($I146,$I$12:$I$15,0)))</f>
        <v>46386</v>
      </c>
      <c r="M147" s="247">
        <f>WORKDAY(IF(L148="",L147,L148),INDEX(M$12:M$15,MATCH($I146,$I$12:$I$15,0)))</f>
        <v>46400</v>
      </c>
      <c r="N147" s="247">
        <f>WORKDAY(IF(M148="",M147,M148),INDEX(N$12:N$15,MATCH($I146,$I$12:$I$15,0)))</f>
        <v>46401</v>
      </c>
      <c r="O147" s="247">
        <f>WORKDAY(IF(N148="",N147,N148),INDEX(O$12:O$15,MATCH($I146,$I$12:$I$15,0)))</f>
        <v>46415</v>
      </c>
      <c r="P147" s="248"/>
      <c r="Q147" s="249"/>
      <c r="R147" s="247">
        <f>WORKDAY(IF(O148="",O147,O148),INDEX(R$12:R$15,MATCH($I146,$I$12:$I$15,0)))</f>
        <v>46429</v>
      </c>
      <c r="S147" s="247">
        <f>WORKDAY(IF(R148="",R147,R148),INDEX(S$12:S$15,MATCH($I146,$I$12:$I$15,0)))</f>
        <v>46450</v>
      </c>
      <c r="T147" s="247">
        <f>WORKDAY(IF(S148="",S147,S148),INDEX(T$12:T$15,MATCH($I146,$I$12:$I$15,0)))</f>
        <v>46464</v>
      </c>
      <c r="U147" s="247">
        <f>WORKDAY(IF(T148="",T147,T148),INDEX(U$12:U$15,MATCH($I146,$I$12:$I$15,0)))</f>
        <v>46478</v>
      </c>
      <c r="V147" s="247">
        <f>WORKDAY(IF(U148="",U147,U148),INDEX(V$12:V$15,MATCH($I146,$I$12:$I$15,0)))</f>
        <v>46482</v>
      </c>
      <c r="W147" s="250"/>
      <c r="X147" s="247">
        <f>U147+Y146</f>
        <v>46538</v>
      </c>
      <c r="Y147" s="251"/>
      <c r="Z147" s="253"/>
      <c r="AA147" s="253"/>
      <c r="AB147" s="254"/>
      <c r="AC147" s="255">
        <f>IF(ISERROR(LOOKUP(AC$16,$L147:$X147,#REF!)),0,(LOOKUP(AC$16,$L147:$X147,#REF!)))</f>
        <v>0</v>
      </c>
      <c r="AD147" s="256">
        <f>IF(ISERROR(LOOKUP(AD$16,$L147:$X147,#REF!)),0,(LOOKUP(AD$16,$L147:$X147,#REF!)))</f>
        <v>0</v>
      </c>
      <c r="AE147" s="256">
        <f>IF(ISERROR(LOOKUP(AE$16,$L147:$X147,#REF!)),0,(LOOKUP(AE$16,$L147:$X147,#REF!)))</f>
        <v>0</v>
      </c>
      <c r="AF147" s="256">
        <f>IF(ISERROR(LOOKUP(AF$16,$L147:$X147,#REF!)),0,(LOOKUP(AF$16,$L147:$X147,#REF!)))</f>
        <v>0</v>
      </c>
      <c r="AG147" s="256">
        <f>IF(ISERROR(LOOKUP(AG$16,$L147:$X147,#REF!)),0,(LOOKUP(AG$16,$L147:$X147,#REF!)))</f>
        <v>0</v>
      </c>
      <c r="AH147" s="256">
        <f>IF(ISERROR(LOOKUP(AH$16,$L147:$X147,#REF!)),0,(LOOKUP(AH$16,$L147:$X147,#REF!)))</f>
        <v>0</v>
      </c>
      <c r="AI147" s="256">
        <f>IF(ISERROR(LOOKUP(AI$16,$L147:$X147,#REF!)),0,(LOOKUP(AI$16,$L147:$X147,#REF!)))</f>
        <v>0</v>
      </c>
      <c r="AJ147" s="256">
        <f>IF(ISERROR(LOOKUP(AJ$16,$L147:$X147,#REF!)),0,(LOOKUP(AJ$16,$L147:$X147,#REF!)))</f>
        <v>0</v>
      </c>
      <c r="AK147" s="256">
        <f>IF(ISERROR(LOOKUP(AK$16,$L147:$X147,#REF!)),0,(LOOKUP(AK$16,$L147:$X147,#REF!)))</f>
        <v>0</v>
      </c>
      <c r="AL147" s="256">
        <f>IF(ISERROR(LOOKUP(AL$16,$L147:$X147,#REF!)),0,(LOOKUP(AL$16,$L147:$X147,#REF!)))</f>
        <v>0</v>
      </c>
      <c r="AM147" s="256">
        <f ca="1">IF(ISERROR(LOOKUP(AM$16,$L147:$X147,#REF!)),0,(LOOKUP(AM$16,$L147:$X147,#REF!)))</f>
        <v>0</v>
      </c>
      <c r="AP147" s="247" t="e">
        <f>WORKDAY(IF(T148="",T147,T148),INDEX(AP$12:AP$15,MATCH($I146,$I$12:$I$15,0)),$AW$17:$AW$148)</f>
        <v>#REF!</v>
      </c>
      <c r="AQ147" s="247" t="e">
        <f>WORKDAY(IF(AP148="",AP147,AP148),INDEX(AQ$12:AQ$15,MATCH($I146,$I$12:$I$15,0)),$AW$17:$AW$148)</f>
        <v>#REF!</v>
      </c>
      <c r="AR147" s="247" t="e">
        <f>WORKDAY(IF(AQ148="",AQ147,AQ148),INDEX(AR$12:AR$15,MATCH($I146,$I$12:$I$15,0)),$AW$17:$AW$148)</f>
        <v>#REF!</v>
      </c>
      <c r="AS147" s="257"/>
      <c r="AW147" s="258" t="e">
        <v>#REF!</v>
      </c>
    </row>
    <row r="148" s="195" customFormat="1" ht="18" customHeight="1" spans="1:49">
      <c r="A148" s="241"/>
      <c r="B148" s="262"/>
      <c r="C148" s="243" t="str">
        <f>C146</f>
        <v>RFQ-044</v>
      </c>
      <c r="D148" s="243" t="str">
        <f>D146</f>
        <v>Flow Switch</v>
      </c>
      <c r="E148" s="263"/>
      <c r="F148" s="305" t="str">
        <f>F146</f>
        <v>Instrument</v>
      </c>
      <c r="G148" s="243" t="str">
        <f>G146</f>
        <v>N</v>
      </c>
      <c r="H148" s="263"/>
      <c r="I148" s="243" t="str">
        <f>I146</f>
        <v>LC</v>
      </c>
      <c r="J148" s="303" t="s">
        <v>66</v>
      </c>
      <c r="K148" s="243"/>
      <c r="L148" s="243"/>
      <c r="M148" s="243"/>
      <c r="N148" s="243"/>
      <c r="O148" s="243"/>
      <c r="P148" s="265"/>
      <c r="Q148" s="266"/>
      <c r="R148" s="243"/>
      <c r="S148" s="243"/>
      <c r="T148" s="243"/>
      <c r="U148" s="243"/>
      <c r="V148" s="243"/>
      <c r="W148" s="267"/>
      <c r="X148" s="243"/>
      <c r="Y148" s="251"/>
      <c r="Z148" s="253"/>
      <c r="AA148" s="253"/>
      <c r="AB148" s="254"/>
      <c r="AC148" s="268">
        <f>IF(ISERROR(LOOKUP(AC$16,$L148:$X148,#REF!)),0,(LOOKUP(AC$16,$L148:$X148,#REF!)))</f>
        <v>0</v>
      </c>
      <c r="AD148" s="269">
        <f>IF(ISERROR(LOOKUP(AD$16,$L148:$X148,#REF!)),0,(LOOKUP(AD$16,$L148:$X148,#REF!)))</f>
        <v>0</v>
      </c>
      <c r="AE148" s="269">
        <f>IF(ISERROR(LOOKUP(AE$16,$L148:$X148,#REF!)),0,(LOOKUP(AE$16,$L148:$X148,#REF!)))</f>
        <v>0</v>
      </c>
      <c r="AF148" s="269">
        <f>IF(ISERROR(LOOKUP(AF$16,$L148:$X148,#REF!)),0,(LOOKUP(AF$16,$L148:$X148,#REF!)))</f>
        <v>0</v>
      </c>
      <c r="AG148" s="269">
        <f>IF(ISERROR(LOOKUP(AG$16,$L148:$X148,#REF!)),0,(LOOKUP(AG$16,$L148:$X148,#REF!)))</f>
        <v>0</v>
      </c>
      <c r="AH148" s="269">
        <f>IF(ISERROR(LOOKUP(AH$16,$L148:$X148,#REF!)),0,(LOOKUP(AH$16,$L148:$X148,#REF!)))</f>
        <v>0</v>
      </c>
      <c r="AI148" s="269">
        <f>IF(ISERROR(LOOKUP(AI$16,$L148:$X148,#REF!)),0,(LOOKUP(AI$16,$L148:$X148,#REF!)))</f>
        <v>0</v>
      </c>
      <c r="AJ148" s="269">
        <f>IF(ISERROR(LOOKUP(AJ$16,$L148:$X148,#REF!)),0,(LOOKUP(AJ$16,$L148:$X148,#REF!)))</f>
        <v>0</v>
      </c>
      <c r="AK148" s="269">
        <f>IF(ISERROR(LOOKUP(AK$16,$L148:$X148,#REF!)),0,(LOOKUP(AK$16,$L148:$X148,#REF!)))</f>
        <v>0</v>
      </c>
      <c r="AL148" s="269">
        <f>IF(ISERROR(LOOKUP(AL$16,$L148:$X148,#REF!)),0,(LOOKUP(AL$16,$L148:$X148,#REF!)))</f>
        <v>0</v>
      </c>
      <c r="AM148" s="269">
        <f ca="1">IF(ISERROR(LOOKUP(AM$16,$L148:$X148,#REF!)),0,(LOOKUP(AM$16,$L148:$X148,#REF!)))</f>
        <v>0</v>
      </c>
      <c r="AP148" s="243"/>
      <c r="AQ148" s="243"/>
      <c r="AR148" s="243"/>
      <c r="AS148" s="257"/>
      <c r="AW148" s="258" t="e">
        <v>#REF!</v>
      </c>
    </row>
    <row r="149" s="195" customFormat="1" ht="18" customHeight="1" spans="1:49">
      <c r="A149" s="241">
        <f>A146+1</f>
        <v>45</v>
      </c>
      <c r="B149" s="242"/>
      <c r="C149" s="243" t="s">
        <v>4830</v>
      </c>
      <c r="D149" s="243" t="s">
        <v>202</v>
      </c>
      <c r="E149" s="244"/>
      <c r="F149" s="302" t="s">
        <v>123</v>
      </c>
      <c r="G149" s="243" t="s">
        <v>72</v>
      </c>
      <c r="H149" s="244"/>
      <c r="I149" s="243" t="s">
        <v>7</v>
      </c>
      <c r="J149" s="303" t="s">
        <v>4769</v>
      </c>
      <c r="K149" s="247">
        <f>WORKDAY(L149,-INDEX(L$12:L$15,MATCH($I149,$I$12:$I$15,0)))</f>
        <v>46209</v>
      </c>
      <c r="L149" s="247">
        <f>WORKDAY(M149,-INDEX(M$12:M$15,MATCH($I149,$I$12:$I$15,0)))</f>
        <v>46210</v>
      </c>
      <c r="M149" s="247">
        <f>WORKDAY(N149,-INDEX(N$12:N$15,MATCH($I149,$I$12:$I$15,0)))</f>
        <v>46217</v>
      </c>
      <c r="N149" s="247">
        <f>WORKDAY(O149,-INDEX(O$12:O$15,MATCH($I149,$I$12:$I$15,0)))</f>
        <v>46218</v>
      </c>
      <c r="O149" s="247">
        <f>WORKDAY(R149,-INDEX(R$12:R$15,MATCH($I149,$I$12:$I$15,0)))</f>
        <v>46225</v>
      </c>
      <c r="P149" s="248">
        <f>U149-L149</f>
        <v>76</v>
      </c>
      <c r="Q149" s="249"/>
      <c r="R149" s="247">
        <f>WORKDAY(S149,-INDEX(S$12:S$15,MATCH($I149,$I$12:$I$15,0)))</f>
        <v>46239</v>
      </c>
      <c r="S149" s="247">
        <f>WORKDAY(T149,-INDEX(T$12:T$15,MATCH($I149,$I$12:$I$15,0)))</f>
        <v>46267</v>
      </c>
      <c r="T149" s="247">
        <f>WORKDAY(U149,-INDEX(U$12:U$15,MATCH($I149,$I$12:$I$15,0)))</f>
        <v>46272</v>
      </c>
      <c r="U149" s="247">
        <f>X149-Y149</f>
        <v>46286</v>
      </c>
      <c r="V149" s="247">
        <f>WORKDAY(U149,INDEX(V$12:V$15,MATCH($I149,$I$12:$I$15,0)))</f>
        <v>46288</v>
      </c>
      <c r="W149" s="250">
        <f>Y149/7</f>
        <v>36</v>
      </c>
      <c r="X149" s="247">
        <f>Z149</f>
        <v>46538</v>
      </c>
      <c r="Y149" s="251">
        <f>36*7</f>
        <v>252</v>
      </c>
      <c r="Z149" s="253">
        <v>46538</v>
      </c>
      <c r="AA149" s="253">
        <v>46538</v>
      </c>
      <c r="AB149" s="254">
        <f>Z149-X150</f>
        <v>0</v>
      </c>
      <c r="AC149" s="255">
        <f>IF(ISERROR(LOOKUP(AC$16,$L149:$X149,#REF!)),0,(LOOKUP(AC$16,$L149:$X149,#REF!)))</f>
        <v>0</v>
      </c>
      <c r="AD149" s="256">
        <f>IF(ISERROR(LOOKUP(AD$16,$L149:$X149,#REF!)),0,(LOOKUP(AD$16,$L149:$X149,#REF!)))</f>
        <v>0</v>
      </c>
      <c r="AE149" s="256">
        <f>IF(ISERROR(LOOKUP(AE$16,$L149:$X149,#REF!)),0,(LOOKUP(AE$16,$L149:$X149,#REF!)))</f>
        <v>0</v>
      </c>
      <c r="AF149" s="256">
        <f>IF(ISERROR(LOOKUP(AF$16,$L149:$X149,#REF!)),0,(LOOKUP(AF$16,$L149:$X149,#REF!)))</f>
        <v>0</v>
      </c>
      <c r="AG149" s="256">
        <f>IF(ISERROR(LOOKUP(AG$16,$L149:$X149,#REF!)),0,(LOOKUP(AG$16,$L149:$X149,#REF!)))</f>
        <v>0</v>
      </c>
      <c r="AH149" s="256">
        <f>IF(ISERROR(LOOKUP(AH$16,$L149:$X149,#REF!)),0,(LOOKUP(AH$16,$L149:$X149,#REF!)))</f>
        <v>0</v>
      </c>
      <c r="AI149" s="256">
        <f>IF(ISERROR(LOOKUP(AI$16,$L149:$X149,#REF!)),0,(LOOKUP(AI$16,$L149:$X149,#REF!)))</f>
        <v>0</v>
      </c>
      <c r="AJ149" s="256">
        <f>IF(ISERROR(LOOKUP(AJ$16,$L149:$X149,#REF!)),0,(LOOKUP(AJ$16,$L149:$X149,#REF!)))</f>
        <v>0</v>
      </c>
      <c r="AK149" s="256">
        <f>IF(ISERROR(LOOKUP(AK$16,$L149:$X149,#REF!)),0,(LOOKUP(AK$16,$L149:$X149,#REF!)))</f>
        <v>0</v>
      </c>
      <c r="AL149" s="256">
        <f>IF(ISERROR(LOOKUP(AL$16,$L149:$X149,#REF!)),0,(LOOKUP(AL$16,$L149:$X149,#REF!)))</f>
        <v>0</v>
      </c>
      <c r="AM149" s="256">
        <f ca="1">IF(ISERROR(LOOKUP(AM$16,$L149:$X149,#REF!)),0,(LOOKUP(AM$16,$L149:$X149,#REF!)))</f>
        <v>0</v>
      </c>
      <c r="AP149" s="247" t="e">
        <f>WORKDAY(AQ149,-INDEX(AQ$12:AQ$15,MATCH($I149,$I$12:$I$15,0)),$AW$17:$AW$148)</f>
        <v>#REF!</v>
      </c>
      <c r="AQ149" s="247" t="e">
        <f>WORKDAY(U149,-INDEX(U$12:U$15,MATCH($I149,$I$12:$I$15,0)),$AW$17:$AW$148)</f>
        <v>#REF!</v>
      </c>
      <c r="AR149" s="247" t="e">
        <f>WORKDAY(U149,-INDEX(U$12:U$15,MATCH($I149,$I$12:$I$15,0)),$AW$17:$AW$148)</f>
        <v>#REF!</v>
      </c>
      <c r="AS149" s="257">
        <v>7</v>
      </c>
      <c r="AW149" s="258" t="e">
        <v>#REF!</v>
      </c>
    </row>
    <row r="150" s="195" customFormat="1" ht="18" customHeight="1" spans="1:49">
      <c r="A150" s="241"/>
      <c r="B150" s="259"/>
      <c r="C150" s="243" t="str">
        <f>C149</f>
        <v>RFQ-045</v>
      </c>
      <c r="D150" s="243" t="str">
        <f>D149</f>
        <v>SCADA System</v>
      </c>
      <c r="E150" s="260"/>
      <c r="F150" s="304" t="str">
        <f>F149</f>
        <v>Electrical</v>
      </c>
      <c r="G150" s="243" t="str">
        <f>G149</f>
        <v>N</v>
      </c>
      <c r="H150" s="260"/>
      <c r="I150" s="243" t="str">
        <f>I149</f>
        <v>LB</v>
      </c>
      <c r="J150" s="303" t="s">
        <v>64</v>
      </c>
      <c r="K150" s="247">
        <f>K149</f>
        <v>46209</v>
      </c>
      <c r="L150" s="247">
        <f>WORKDAY(IF(K151="",K150,K151),INDEX(L$12:L$15,MATCH($I149,$I$12:$I$15,0)))</f>
        <v>46210</v>
      </c>
      <c r="M150" s="247">
        <f>WORKDAY(IF(L151="",L150,L151),INDEX(M$12:M$15,MATCH($I149,$I$12:$I$15,0)))</f>
        <v>46217</v>
      </c>
      <c r="N150" s="247">
        <f>WORKDAY(IF(M151="",M150,M151),INDEX(N$12:N$15,MATCH($I149,$I$12:$I$15,0)))</f>
        <v>46218</v>
      </c>
      <c r="O150" s="247">
        <f>WORKDAY(IF(N151="",N150,N151),INDEX(O$12:O$15,MATCH($I149,$I$12:$I$15,0)))</f>
        <v>46225</v>
      </c>
      <c r="P150" s="248"/>
      <c r="Q150" s="249"/>
      <c r="R150" s="247">
        <f>WORKDAY(IF(O151="",O150,O151),INDEX(R$12:R$15,MATCH($I149,$I$12:$I$15,0)))</f>
        <v>46239</v>
      </c>
      <c r="S150" s="247">
        <f>WORKDAY(IF(R151="",R150,R151),INDEX(S$12:S$15,MATCH($I149,$I$12:$I$15,0)))</f>
        <v>46267</v>
      </c>
      <c r="T150" s="247">
        <f>WORKDAY(IF(S151="",S150,S151),INDEX(T$12:T$15,MATCH($I149,$I$12:$I$15,0)))</f>
        <v>46272</v>
      </c>
      <c r="U150" s="247">
        <f>WORKDAY(IF(T151="",T150,T151),INDEX(U$12:U$15,MATCH($I149,$I$12:$I$15,0)))</f>
        <v>46286</v>
      </c>
      <c r="V150" s="247">
        <f>WORKDAY(IF(U151="",U150,U151),INDEX(V$12:V$15,MATCH($I149,$I$12:$I$15,0)))</f>
        <v>46288</v>
      </c>
      <c r="W150" s="250"/>
      <c r="X150" s="247">
        <f>U150+Y149</f>
        <v>46538</v>
      </c>
      <c r="Y150" s="251"/>
      <c r="Z150" s="253"/>
      <c r="AA150" s="253"/>
      <c r="AB150" s="254"/>
      <c r="AC150" s="255">
        <f>IF(ISERROR(LOOKUP(AC$16,$L150:$X150,#REF!)),0,(LOOKUP(AC$16,$L150:$X150,#REF!)))</f>
        <v>0</v>
      </c>
      <c r="AD150" s="256">
        <f>IF(ISERROR(LOOKUP(AD$16,$L150:$X150,#REF!)),0,(LOOKUP(AD$16,$L150:$X150,#REF!)))</f>
        <v>0</v>
      </c>
      <c r="AE150" s="256">
        <f>IF(ISERROR(LOOKUP(AE$16,$L150:$X150,#REF!)),0,(LOOKUP(AE$16,$L150:$X150,#REF!)))</f>
        <v>0</v>
      </c>
      <c r="AF150" s="256">
        <f>IF(ISERROR(LOOKUP(AF$16,$L150:$X150,#REF!)),0,(LOOKUP(AF$16,$L150:$X150,#REF!)))</f>
        <v>0</v>
      </c>
      <c r="AG150" s="256">
        <f>IF(ISERROR(LOOKUP(AG$16,$L150:$X150,#REF!)),0,(LOOKUP(AG$16,$L150:$X150,#REF!)))</f>
        <v>0</v>
      </c>
      <c r="AH150" s="256">
        <f>IF(ISERROR(LOOKUP(AH$16,$L150:$X150,#REF!)),0,(LOOKUP(AH$16,$L150:$X150,#REF!)))</f>
        <v>0</v>
      </c>
      <c r="AI150" s="256">
        <f>IF(ISERROR(LOOKUP(AI$16,$L150:$X150,#REF!)),0,(LOOKUP(AI$16,$L150:$X150,#REF!)))</f>
        <v>0</v>
      </c>
      <c r="AJ150" s="256">
        <f>IF(ISERROR(LOOKUP(AJ$16,$L150:$X150,#REF!)),0,(LOOKUP(AJ$16,$L150:$X150,#REF!)))</f>
        <v>0</v>
      </c>
      <c r="AK150" s="256">
        <f>IF(ISERROR(LOOKUP(AK$16,$L150:$X150,#REF!)),0,(LOOKUP(AK$16,$L150:$X150,#REF!)))</f>
        <v>0</v>
      </c>
      <c r="AL150" s="256">
        <f>IF(ISERROR(LOOKUP(AL$16,$L150:$X150,#REF!)),0,(LOOKUP(AL$16,$L150:$X150,#REF!)))</f>
        <v>0</v>
      </c>
      <c r="AM150" s="256">
        <f ca="1">IF(ISERROR(LOOKUP(AM$16,$L150:$X150,#REF!)),0,(LOOKUP(AM$16,$L150:$X150,#REF!)))</f>
        <v>0</v>
      </c>
      <c r="AP150" s="247" t="e">
        <f>WORKDAY(IF(T151="",T150,T151),INDEX(AP$12:AP$15,MATCH($I149,$I$12:$I$15,0)),$AW$17:$AW$148)</f>
        <v>#REF!</v>
      </c>
      <c r="AQ150" s="247" t="e">
        <f>WORKDAY(IF(AP151="",AP150,AP151),INDEX(AQ$12:AQ$15,MATCH($I149,$I$12:$I$15,0)),$AW$17:$AW$148)</f>
        <v>#REF!</v>
      </c>
      <c r="AR150" s="247" t="e">
        <f>WORKDAY(IF(AQ151="",AQ150,AQ151),INDEX(AR$12:AR$15,MATCH($I149,$I$12:$I$15,0)),$AW$17:$AW$148)</f>
        <v>#REF!</v>
      </c>
      <c r="AS150" s="257"/>
      <c r="AW150" s="258" t="e">
        <v>#REF!</v>
      </c>
    </row>
    <row r="151" s="195" customFormat="1" ht="18" customHeight="1" spans="1:49">
      <c r="A151" s="241"/>
      <c r="B151" s="262"/>
      <c r="C151" s="243" t="str">
        <f>C149</f>
        <v>RFQ-045</v>
      </c>
      <c r="D151" s="243" t="str">
        <f>D149</f>
        <v>SCADA System</v>
      </c>
      <c r="E151" s="263"/>
      <c r="F151" s="305" t="str">
        <f>F149</f>
        <v>Electrical</v>
      </c>
      <c r="G151" s="243" t="str">
        <f>G149</f>
        <v>N</v>
      </c>
      <c r="H151" s="263"/>
      <c r="I151" s="243" t="str">
        <f>I149</f>
        <v>LB</v>
      </c>
      <c r="J151" s="303" t="s">
        <v>66</v>
      </c>
      <c r="K151" s="243"/>
      <c r="L151" s="243"/>
      <c r="M151" s="243"/>
      <c r="N151" s="243"/>
      <c r="O151" s="243"/>
      <c r="P151" s="265"/>
      <c r="Q151" s="266"/>
      <c r="R151" s="243"/>
      <c r="S151" s="243"/>
      <c r="T151" s="243"/>
      <c r="U151" s="243"/>
      <c r="V151" s="243"/>
      <c r="W151" s="267"/>
      <c r="X151" s="243"/>
      <c r="Y151" s="251"/>
      <c r="Z151" s="253"/>
      <c r="AA151" s="253"/>
      <c r="AB151" s="254"/>
      <c r="AC151" s="268">
        <f>IF(ISERROR(LOOKUP(AC$16,$L151:$X151,#REF!)),0,(LOOKUP(AC$16,$L151:$X151,#REF!)))</f>
        <v>0</v>
      </c>
      <c r="AD151" s="269">
        <f>IF(ISERROR(LOOKUP(AD$16,$L151:$X151,#REF!)),0,(LOOKUP(AD$16,$L151:$X151,#REF!)))</f>
        <v>0</v>
      </c>
      <c r="AE151" s="269">
        <f>IF(ISERROR(LOOKUP(AE$16,$L151:$X151,#REF!)),0,(LOOKUP(AE$16,$L151:$X151,#REF!)))</f>
        <v>0</v>
      </c>
      <c r="AF151" s="269">
        <f>IF(ISERROR(LOOKUP(AF$16,$L151:$X151,#REF!)),0,(LOOKUP(AF$16,$L151:$X151,#REF!)))</f>
        <v>0</v>
      </c>
      <c r="AG151" s="269">
        <f>IF(ISERROR(LOOKUP(AG$16,$L151:$X151,#REF!)),0,(LOOKUP(AG$16,$L151:$X151,#REF!)))</f>
        <v>0</v>
      </c>
      <c r="AH151" s="269">
        <f>IF(ISERROR(LOOKUP(AH$16,$L151:$X151,#REF!)),0,(LOOKUP(AH$16,$L151:$X151,#REF!)))</f>
        <v>0</v>
      </c>
      <c r="AI151" s="269">
        <f>IF(ISERROR(LOOKUP(AI$16,$L151:$X151,#REF!)),0,(LOOKUP(AI$16,$L151:$X151,#REF!)))</f>
        <v>0</v>
      </c>
      <c r="AJ151" s="269">
        <f>IF(ISERROR(LOOKUP(AJ$16,$L151:$X151,#REF!)),0,(LOOKUP(AJ$16,$L151:$X151,#REF!)))</f>
        <v>0</v>
      </c>
      <c r="AK151" s="269">
        <f>IF(ISERROR(LOOKUP(AK$16,$L151:$X151,#REF!)),0,(LOOKUP(AK$16,$L151:$X151,#REF!)))</f>
        <v>0</v>
      </c>
      <c r="AL151" s="269">
        <f>IF(ISERROR(LOOKUP(AL$16,$L151:$X151,#REF!)),0,(LOOKUP(AL$16,$L151:$X151,#REF!)))</f>
        <v>0</v>
      </c>
      <c r="AM151" s="269">
        <f ca="1">IF(ISERROR(LOOKUP(AM$16,$L151:$X151,#REF!)),0,(LOOKUP(AM$16,$L151:$X151,#REF!)))</f>
        <v>0</v>
      </c>
      <c r="AP151" s="243"/>
      <c r="AQ151" s="243"/>
      <c r="AR151" s="243"/>
      <c r="AS151" s="257"/>
      <c r="AW151" s="258" t="e">
        <v>#REF!</v>
      </c>
    </row>
    <row r="152" s="195" customFormat="1" ht="18" customHeight="1" spans="1:49">
      <c r="A152" s="241">
        <f>A149+1</f>
        <v>46</v>
      </c>
      <c r="B152" s="242"/>
      <c r="C152" s="243" t="s">
        <v>4831</v>
      </c>
      <c r="D152" s="243" t="s">
        <v>4832</v>
      </c>
      <c r="E152" s="244"/>
      <c r="F152" s="302" t="s">
        <v>206</v>
      </c>
      <c r="G152" s="243" t="s">
        <v>63</v>
      </c>
      <c r="H152" s="244"/>
      <c r="I152" s="243" t="s">
        <v>8</v>
      </c>
      <c r="J152" s="303" t="s">
        <v>4769</v>
      </c>
      <c r="K152" s="247">
        <f>WORKDAY(L152,-INDEX(L$12:L$15,MATCH($I152,$I$12:$I$15,0)))</f>
        <v>46147</v>
      </c>
      <c r="L152" s="247">
        <f>WORKDAY(M152,-INDEX(M$12:M$15,MATCH($I152,$I$12:$I$15,0)))</f>
        <v>46150</v>
      </c>
      <c r="M152" s="247">
        <f>WORKDAY(N152,-INDEX(N$12:N$15,MATCH($I152,$I$12:$I$15,0)))</f>
        <v>46164</v>
      </c>
      <c r="N152" s="247">
        <f>WORKDAY(O152,-INDEX(O$12:O$15,MATCH($I152,$I$12:$I$15,0)))</f>
        <v>46167</v>
      </c>
      <c r="O152" s="247">
        <f>WORKDAY(R152,-INDEX(R$12:R$15,MATCH($I152,$I$12:$I$15,0)))</f>
        <v>46181</v>
      </c>
      <c r="P152" s="248">
        <f>U152-L152</f>
        <v>94</v>
      </c>
      <c r="Q152" s="249"/>
      <c r="R152" s="247">
        <f>WORKDAY(S152,-INDEX(S$12:S$15,MATCH($I152,$I$12:$I$15,0)))</f>
        <v>46195</v>
      </c>
      <c r="S152" s="247">
        <f>WORKDAY(T152,-INDEX(T$12:T$15,MATCH($I152,$I$12:$I$15,0)))</f>
        <v>46216</v>
      </c>
      <c r="T152" s="247">
        <f>WORKDAY(U152,-INDEX(U$12:U$15,MATCH($I152,$I$12:$I$15,0)))</f>
        <v>46230</v>
      </c>
      <c r="U152" s="247">
        <f>X152-Y152</f>
        <v>46244</v>
      </c>
      <c r="V152" s="247">
        <f>WORKDAY(U152,INDEX(V$12:V$15,MATCH($I152,$I$12:$I$15,0)))</f>
        <v>46246</v>
      </c>
      <c r="W152" s="250">
        <f>Y152/7</f>
        <v>42</v>
      </c>
      <c r="X152" s="247">
        <f>Z152</f>
        <v>46538</v>
      </c>
      <c r="Y152" s="251">
        <v>294</v>
      </c>
      <c r="Z152" s="253">
        <v>46538</v>
      </c>
      <c r="AA152" s="253">
        <v>46538</v>
      </c>
      <c r="AB152" s="254">
        <f>Z152-X153</f>
        <v>0</v>
      </c>
      <c r="AC152" s="255">
        <f>IF(ISERROR(LOOKUP(AC$16,$L152:$X152,#REF!)),0,(LOOKUP(AC$16,$L152:$X152,#REF!)))</f>
        <v>0</v>
      </c>
      <c r="AD152" s="256">
        <f>IF(ISERROR(LOOKUP(AD$16,$L152:$X152,#REF!)),0,(LOOKUP(AD$16,$L152:$X152,#REF!)))</f>
        <v>0</v>
      </c>
      <c r="AE152" s="256">
        <f>IF(ISERROR(LOOKUP(AE$16,$L152:$X152,#REF!)),0,(LOOKUP(AE$16,$L152:$X152,#REF!)))</f>
        <v>0</v>
      </c>
      <c r="AF152" s="256">
        <f>IF(ISERROR(LOOKUP(AF$16,$L152:$X152,#REF!)),0,(LOOKUP(AF$16,$L152:$X152,#REF!)))</f>
        <v>0</v>
      </c>
      <c r="AG152" s="256">
        <f>IF(ISERROR(LOOKUP(AG$16,$L152:$X152,#REF!)),0,(LOOKUP(AG$16,$L152:$X152,#REF!)))</f>
        <v>0</v>
      </c>
      <c r="AH152" s="256">
        <f>IF(ISERROR(LOOKUP(AH$16,$L152:$X152,#REF!)),0,(LOOKUP(AH$16,$L152:$X152,#REF!)))</f>
        <v>0</v>
      </c>
      <c r="AI152" s="256">
        <f>IF(ISERROR(LOOKUP(AI$16,$L152:$X152,#REF!)),0,(LOOKUP(AI$16,$L152:$X152,#REF!)))</f>
        <v>0</v>
      </c>
      <c r="AJ152" s="256">
        <f>IF(ISERROR(LOOKUP(AJ$16,$L152:$X152,#REF!)),0,(LOOKUP(AJ$16,$L152:$X152,#REF!)))</f>
        <v>0</v>
      </c>
      <c r="AK152" s="256">
        <f>IF(ISERROR(LOOKUP(AK$16,$L152:$X152,#REF!)),0,(LOOKUP(AK$16,$L152:$X152,#REF!)))</f>
        <v>0</v>
      </c>
      <c r="AL152" s="256">
        <f>IF(ISERROR(LOOKUP(AL$16,$L152:$X152,#REF!)),0,(LOOKUP(AL$16,$L152:$X152,#REF!)))</f>
        <v>0</v>
      </c>
      <c r="AM152" s="256">
        <f ca="1">IF(ISERROR(LOOKUP(AM$16,$L152:$X152,#REF!)),0,(LOOKUP(AM$16,$L152:$X152,#REF!)))</f>
        <v>0</v>
      </c>
      <c r="AP152" s="247" t="e">
        <f>WORKDAY(AQ152,-INDEX(AQ$12:AQ$15,MATCH($I152,$I$12:$I$15,0)),$AW$17:$AW$148)</f>
        <v>#REF!</v>
      </c>
      <c r="AQ152" s="247" t="e">
        <f>WORKDAY(U152,-INDEX(U$12:U$15,MATCH($I152,$I$12:$I$15,0)),$AW$17:$AW$148)</f>
        <v>#REF!</v>
      </c>
      <c r="AR152" s="247" t="e">
        <f>WORKDAY(U152,-INDEX(U$12:U$15,MATCH($I152,$I$12:$I$15,0)),$AW$17:$AW$148)</f>
        <v>#REF!</v>
      </c>
      <c r="AS152" s="257">
        <v>7</v>
      </c>
      <c r="AW152" s="258" t="e">
        <v>#REF!</v>
      </c>
    </row>
    <row r="153" s="195" customFormat="1" ht="18" customHeight="1" spans="1:49">
      <c r="A153" s="241"/>
      <c r="B153" s="259"/>
      <c r="C153" s="243" t="str">
        <f>C152</f>
        <v>RFQ-046</v>
      </c>
      <c r="D153" s="243" t="str">
        <f>D152</f>
        <v>Telecommunication System (WiMAX, Telephone, Marine Radio)</v>
      </c>
      <c r="E153" s="260"/>
      <c r="F153" s="304" t="str">
        <f>F152</f>
        <v>Telecommunication</v>
      </c>
      <c r="G153" s="243" t="str">
        <f>G152</f>
        <v>Y</v>
      </c>
      <c r="H153" s="260"/>
      <c r="I153" s="243" t="str">
        <f>I152</f>
        <v>LC</v>
      </c>
      <c r="J153" s="303" t="s">
        <v>64</v>
      </c>
      <c r="K153" s="247">
        <f>K152</f>
        <v>46147</v>
      </c>
      <c r="L153" s="247">
        <f>WORKDAY(IF(K154="",K153,K154),INDEX(L$12:L$15,MATCH($I152,$I$12:$I$15,0)))</f>
        <v>46150</v>
      </c>
      <c r="M153" s="247">
        <f>WORKDAY(IF(L154="",L153,L154),INDEX(M$12:M$15,MATCH($I152,$I$12:$I$15,0)))</f>
        <v>46164</v>
      </c>
      <c r="N153" s="247">
        <f>WORKDAY(IF(M154="",M153,M154),INDEX(N$12:N$15,MATCH($I152,$I$12:$I$15,0)))</f>
        <v>46167</v>
      </c>
      <c r="O153" s="247">
        <f>WORKDAY(IF(N154="",N153,N154),INDEX(O$12:O$15,MATCH($I152,$I$12:$I$15,0)))</f>
        <v>46181</v>
      </c>
      <c r="P153" s="248"/>
      <c r="Q153" s="249"/>
      <c r="R153" s="247">
        <f>WORKDAY(IF(O154="",O153,O154),INDEX(R$12:R$15,MATCH($I152,$I$12:$I$15,0)))</f>
        <v>46195</v>
      </c>
      <c r="S153" s="247">
        <f>WORKDAY(IF(R154="",R153,R154),INDEX(S$12:S$15,MATCH($I152,$I$12:$I$15,0)))</f>
        <v>46216</v>
      </c>
      <c r="T153" s="247">
        <f>WORKDAY(IF(S154="",S153,S154),INDEX(T$12:T$15,MATCH($I152,$I$12:$I$15,0)))</f>
        <v>46230</v>
      </c>
      <c r="U153" s="247">
        <f>WORKDAY(IF(T154="",T153,T154),INDEX(U$12:U$15,MATCH($I152,$I$12:$I$15,0)))</f>
        <v>46244</v>
      </c>
      <c r="V153" s="247">
        <f>WORKDAY(IF(U154="",U153,U154),INDEX(V$12:V$15,MATCH($I152,$I$12:$I$15,0)))</f>
        <v>46246</v>
      </c>
      <c r="W153" s="250"/>
      <c r="X153" s="247">
        <f>U153+Y152</f>
        <v>46538</v>
      </c>
      <c r="Y153" s="251"/>
      <c r="Z153" s="253"/>
      <c r="AA153" s="253"/>
      <c r="AB153" s="254"/>
      <c r="AC153" s="255">
        <f>IF(ISERROR(LOOKUP(AC$16,$L153:$X153,#REF!)),0,(LOOKUP(AC$16,$L153:$X153,#REF!)))</f>
        <v>0</v>
      </c>
      <c r="AD153" s="256">
        <f>IF(ISERROR(LOOKUP(AD$16,$L153:$X153,#REF!)),0,(LOOKUP(AD$16,$L153:$X153,#REF!)))</f>
        <v>0</v>
      </c>
      <c r="AE153" s="256">
        <f>IF(ISERROR(LOOKUP(AE$16,$L153:$X153,#REF!)),0,(LOOKUP(AE$16,$L153:$X153,#REF!)))</f>
        <v>0</v>
      </c>
      <c r="AF153" s="256">
        <f>IF(ISERROR(LOOKUP(AF$16,$L153:$X153,#REF!)),0,(LOOKUP(AF$16,$L153:$X153,#REF!)))</f>
        <v>0</v>
      </c>
      <c r="AG153" s="256">
        <f>IF(ISERROR(LOOKUP(AG$16,$L153:$X153,#REF!)),0,(LOOKUP(AG$16,$L153:$X153,#REF!)))</f>
        <v>0</v>
      </c>
      <c r="AH153" s="256">
        <f>IF(ISERROR(LOOKUP(AH$16,$L153:$X153,#REF!)),0,(LOOKUP(AH$16,$L153:$X153,#REF!)))</f>
        <v>0</v>
      </c>
      <c r="AI153" s="256">
        <f>IF(ISERROR(LOOKUP(AI$16,$L153:$X153,#REF!)),0,(LOOKUP(AI$16,$L153:$X153,#REF!)))</f>
        <v>0</v>
      </c>
      <c r="AJ153" s="256">
        <f>IF(ISERROR(LOOKUP(AJ$16,$L153:$X153,#REF!)),0,(LOOKUP(AJ$16,$L153:$X153,#REF!)))</f>
        <v>0</v>
      </c>
      <c r="AK153" s="256">
        <f>IF(ISERROR(LOOKUP(AK$16,$L153:$X153,#REF!)),0,(LOOKUP(AK$16,$L153:$X153,#REF!)))</f>
        <v>0</v>
      </c>
      <c r="AL153" s="256">
        <f>IF(ISERROR(LOOKUP(AL$16,$L153:$X153,#REF!)),0,(LOOKUP(AL$16,$L153:$X153,#REF!)))</f>
        <v>0</v>
      </c>
      <c r="AM153" s="256">
        <f ca="1">IF(ISERROR(LOOKUP(AM$16,$L153:$X153,#REF!)),0,(LOOKUP(AM$16,$L153:$X153,#REF!)))</f>
        <v>0</v>
      </c>
      <c r="AP153" s="247" t="e">
        <f>WORKDAY(IF(T154="",T153,T154),INDEX(AP$12:AP$15,MATCH($I152,$I$12:$I$15,0)),$AW$17:$AW$148)</f>
        <v>#REF!</v>
      </c>
      <c r="AQ153" s="247" t="e">
        <f>WORKDAY(IF(AP154="",AP153,AP154),INDEX(AQ$12:AQ$15,MATCH($I152,$I$12:$I$15,0)),$AW$17:$AW$148)</f>
        <v>#REF!</v>
      </c>
      <c r="AR153" s="247" t="e">
        <f>WORKDAY(IF(AQ154="",AQ153,AQ154),INDEX(AR$12:AR$15,MATCH($I152,$I$12:$I$15,0)),$AW$17:$AW$148)</f>
        <v>#REF!</v>
      </c>
      <c r="AS153" s="257"/>
      <c r="AW153" s="258" t="e">
        <v>#REF!</v>
      </c>
    </row>
    <row r="154" s="195" customFormat="1" ht="18" customHeight="1" spans="1:49">
      <c r="A154" s="241"/>
      <c r="B154" s="262"/>
      <c r="C154" s="243" t="str">
        <f>C152</f>
        <v>RFQ-046</v>
      </c>
      <c r="D154" s="243" t="str">
        <f>D152</f>
        <v>Telecommunication System (WiMAX, Telephone, Marine Radio)</v>
      </c>
      <c r="E154" s="263"/>
      <c r="F154" s="305" t="str">
        <f>F152</f>
        <v>Telecommunication</v>
      </c>
      <c r="G154" s="243" t="str">
        <f>G152</f>
        <v>Y</v>
      </c>
      <c r="H154" s="263"/>
      <c r="I154" s="243" t="str">
        <f>I152</f>
        <v>LC</v>
      </c>
      <c r="J154" s="303" t="s">
        <v>66</v>
      </c>
      <c r="K154" s="243"/>
      <c r="L154" s="243"/>
      <c r="M154" s="243"/>
      <c r="N154" s="243"/>
      <c r="O154" s="243"/>
      <c r="P154" s="265"/>
      <c r="Q154" s="266"/>
      <c r="R154" s="243"/>
      <c r="S154" s="243"/>
      <c r="T154" s="243"/>
      <c r="U154" s="243"/>
      <c r="V154" s="243"/>
      <c r="W154" s="267"/>
      <c r="X154" s="243"/>
      <c r="Y154" s="251"/>
      <c r="Z154" s="253"/>
      <c r="AA154" s="253"/>
      <c r="AB154" s="254"/>
      <c r="AC154" s="268">
        <f>IF(ISERROR(LOOKUP(AC$16,$L154:$X154,#REF!)),0,(LOOKUP(AC$16,$L154:$X154,#REF!)))</f>
        <v>0</v>
      </c>
      <c r="AD154" s="269">
        <f>IF(ISERROR(LOOKUP(AD$16,$L154:$X154,#REF!)),0,(LOOKUP(AD$16,$L154:$X154,#REF!)))</f>
        <v>0</v>
      </c>
      <c r="AE154" s="269">
        <f>IF(ISERROR(LOOKUP(AE$16,$L154:$X154,#REF!)),0,(LOOKUP(AE$16,$L154:$X154,#REF!)))</f>
        <v>0</v>
      </c>
      <c r="AF154" s="269">
        <f>IF(ISERROR(LOOKUP(AF$16,$L154:$X154,#REF!)),0,(LOOKUP(AF$16,$L154:$X154,#REF!)))</f>
        <v>0</v>
      </c>
      <c r="AG154" s="269">
        <f>IF(ISERROR(LOOKUP(AG$16,$L154:$X154,#REF!)),0,(LOOKUP(AG$16,$L154:$X154,#REF!)))</f>
        <v>0</v>
      </c>
      <c r="AH154" s="269">
        <f>IF(ISERROR(LOOKUP(AH$16,$L154:$X154,#REF!)),0,(LOOKUP(AH$16,$L154:$X154,#REF!)))</f>
        <v>0</v>
      </c>
      <c r="AI154" s="269">
        <f>IF(ISERROR(LOOKUP(AI$16,$L154:$X154,#REF!)),0,(LOOKUP(AI$16,$L154:$X154,#REF!)))</f>
        <v>0</v>
      </c>
      <c r="AJ154" s="269">
        <f>IF(ISERROR(LOOKUP(AJ$16,$L154:$X154,#REF!)),0,(LOOKUP(AJ$16,$L154:$X154,#REF!)))</f>
        <v>0</v>
      </c>
      <c r="AK154" s="269">
        <f>IF(ISERROR(LOOKUP(AK$16,$L154:$X154,#REF!)),0,(LOOKUP(AK$16,$L154:$X154,#REF!)))</f>
        <v>0</v>
      </c>
      <c r="AL154" s="269">
        <f>IF(ISERROR(LOOKUP(AL$16,$L154:$X154,#REF!)),0,(LOOKUP(AL$16,$L154:$X154,#REF!)))</f>
        <v>0</v>
      </c>
      <c r="AM154" s="269">
        <f ca="1">IF(ISERROR(LOOKUP(AM$16,$L154:$X154,#REF!)),0,(LOOKUP(AM$16,$L154:$X154,#REF!)))</f>
        <v>0</v>
      </c>
      <c r="AP154" s="243"/>
      <c r="AQ154" s="243"/>
      <c r="AR154" s="243"/>
      <c r="AS154" s="257"/>
      <c r="AW154" s="258" t="e">
        <v>#REF!</v>
      </c>
    </row>
    <row r="155" s="195" customFormat="1" ht="18" customHeight="1" spans="1:49">
      <c r="A155" s="241">
        <f>A152+1</f>
        <v>47</v>
      </c>
      <c r="B155" s="242"/>
      <c r="C155" s="243" t="s">
        <v>4833</v>
      </c>
      <c r="D155" s="243" t="s">
        <v>4834</v>
      </c>
      <c r="E155" s="244"/>
      <c r="F155" s="302" t="s">
        <v>206</v>
      </c>
      <c r="G155" s="243" t="s">
        <v>72</v>
      </c>
      <c r="H155" s="244"/>
      <c r="I155" s="243" t="s">
        <v>8</v>
      </c>
      <c r="J155" s="303" t="s">
        <v>4769</v>
      </c>
      <c r="K155" s="247">
        <f>WORKDAY(L155,-INDEX(L$12:L$15,MATCH($I155,$I$12:$I$15,0)))</f>
        <v>46268</v>
      </c>
      <c r="L155" s="247">
        <f>WORKDAY(M155,-INDEX(M$12:M$15,MATCH($I155,$I$12:$I$15,0)))</f>
        <v>46273</v>
      </c>
      <c r="M155" s="247">
        <f>WORKDAY(N155,-INDEX(N$12:N$15,MATCH($I155,$I$12:$I$15,0)))</f>
        <v>46287</v>
      </c>
      <c r="N155" s="247">
        <f>WORKDAY(O155,-INDEX(O$12:O$15,MATCH($I155,$I$12:$I$15,0)))</f>
        <v>46288</v>
      </c>
      <c r="O155" s="247">
        <f>WORKDAY(R155,-INDEX(R$12:R$15,MATCH($I155,$I$12:$I$15,0)))</f>
        <v>46302</v>
      </c>
      <c r="P155" s="248">
        <f>U155-L155</f>
        <v>92</v>
      </c>
      <c r="Q155" s="249"/>
      <c r="R155" s="247">
        <f>WORKDAY(S155,-INDEX(S$12:S$15,MATCH($I155,$I$12:$I$15,0)))</f>
        <v>46316</v>
      </c>
      <c r="S155" s="247">
        <f>WORKDAY(T155,-INDEX(T$12:T$15,MATCH($I155,$I$12:$I$15,0)))</f>
        <v>46337</v>
      </c>
      <c r="T155" s="247">
        <f>WORKDAY(U155,-INDEX(U$12:U$15,MATCH($I155,$I$12:$I$15,0)))</f>
        <v>46351</v>
      </c>
      <c r="U155" s="247">
        <f>X155-Y155</f>
        <v>46365</v>
      </c>
      <c r="V155" s="247">
        <f>WORKDAY(U155,INDEX(V$12:V$15,MATCH($I155,$I$12:$I$15,0)))</f>
        <v>46367</v>
      </c>
      <c r="W155" s="250">
        <f>Y155/7</f>
        <v>16</v>
      </c>
      <c r="X155" s="247">
        <f>Z155</f>
        <v>46477</v>
      </c>
      <c r="Y155" s="251">
        <f>16*7</f>
        <v>112</v>
      </c>
      <c r="Z155" s="253">
        <v>46477</v>
      </c>
      <c r="AA155" s="253">
        <v>46477</v>
      </c>
      <c r="AB155" s="254">
        <f>Z155-X156</f>
        <v>0</v>
      </c>
      <c r="AC155" s="255">
        <f>IF(ISERROR(LOOKUP(AC$16,$L155:$X155,#REF!)),0,(LOOKUP(AC$16,$L155:$X155,#REF!)))</f>
        <v>0</v>
      </c>
      <c r="AD155" s="256">
        <f>IF(ISERROR(LOOKUP(AD$16,$L155:$X155,#REF!)),0,(LOOKUP(AD$16,$L155:$X155,#REF!)))</f>
        <v>0</v>
      </c>
      <c r="AE155" s="256">
        <f>IF(ISERROR(LOOKUP(AE$16,$L155:$X155,#REF!)),0,(LOOKUP(AE$16,$L155:$X155,#REF!)))</f>
        <v>0</v>
      </c>
      <c r="AF155" s="256">
        <f>IF(ISERROR(LOOKUP(AF$16,$L155:$X155,#REF!)),0,(LOOKUP(AF$16,$L155:$X155,#REF!)))</f>
        <v>0</v>
      </c>
      <c r="AG155" s="256">
        <f>IF(ISERROR(LOOKUP(AG$16,$L155:$X155,#REF!)),0,(LOOKUP(AG$16,$L155:$X155,#REF!)))</f>
        <v>0</v>
      </c>
      <c r="AH155" s="256">
        <f>IF(ISERROR(LOOKUP(AH$16,$L155:$X155,#REF!)),0,(LOOKUP(AH$16,$L155:$X155,#REF!)))</f>
        <v>0</v>
      </c>
      <c r="AI155" s="256">
        <f>IF(ISERROR(LOOKUP(AI$16,$L155:$X155,#REF!)),0,(LOOKUP(AI$16,$L155:$X155,#REF!)))</f>
        <v>0</v>
      </c>
      <c r="AJ155" s="256">
        <f>IF(ISERROR(LOOKUP(AJ$16,$L155:$X155,#REF!)),0,(LOOKUP(AJ$16,$L155:$X155,#REF!)))</f>
        <v>0</v>
      </c>
      <c r="AK155" s="256">
        <f>IF(ISERROR(LOOKUP(AK$16,$L155:$X155,#REF!)),0,(LOOKUP(AK$16,$L155:$X155,#REF!)))</f>
        <v>0</v>
      </c>
      <c r="AL155" s="256">
        <f>IF(ISERROR(LOOKUP(AL$16,$L155:$X155,#REF!)),0,(LOOKUP(AL$16,$L155:$X155,#REF!)))</f>
        <v>0</v>
      </c>
      <c r="AM155" s="256">
        <f ca="1">IF(ISERROR(LOOKUP(AM$16,$L155:$X155,#REF!)),0,(LOOKUP(AM$16,$L155:$X155,#REF!)))</f>
        <v>0</v>
      </c>
      <c r="AP155" s="247" t="e">
        <f>WORKDAY(AQ155,-INDEX(AQ$12:AQ$15,MATCH($I155,$I$12:$I$15,0)),$AW$17:$AW$148)</f>
        <v>#REF!</v>
      </c>
      <c r="AQ155" s="247" t="e">
        <f>WORKDAY(U155,-INDEX(U$12:U$15,MATCH($I155,$I$12:$I$15,0)),$AW$17:$AW$148)</f>
        <v>#REF!</v>
      </c>
      <c r="AR155" s="247" t="e">
        <f>WORKDAY(U155,-INDEX(U$12:U$15,MATCH($I155,$I$12:$I$15,0)),$AW$17:$AW$148)</f>
        <v>#REF!</v>
      </c>
      <c r="AS155" s="257">
        <v>7</v>
      </c>
      <c r="AW155" s="258" t="e">
        <v>#REF!</v>
      </c>
    </row>
    <row r="156" s="195" customFormat="1" ht="18" customHeight="1" spans="1:49">
      <c r="A156" s="241"/>
      <c r="B156" s="259"/>
      <c r="C156" s="243" t="str">
        <f>C155</f>
        <v>RFQ-047</v>
      </c>
      <c r="D156" s="243" t="s">
        <v>4834</v>
      </c>
      <c r="E156" s="260"/>
      <c r="F156" s="304" t="str">
        <f>F155</f>
        <v>Telecommunication</v>
      </c>
      <c r="G156" s="243" t="str">
        <f>G155</f>
        <v>N</v>
      </c>
      <c r="H156" s="260"/>
      <c r="I156" s="243" t="str">
        <f>I155</f>
        <v>LC</v>
      </c>
      <c r="J156" s="303" t="s">
        <v>64</v>
      </c>
      <c r="K156" s="247">
        <f>K155</f>
        <v>46268</v>
      </c>
      <c r="L156" s="247">
        <f>WORKDAY(IF(K157="",K156,K157),INDEX(L$12:L$15,MATCH($I155,$I$12:$I$15,0)))</f>
        <v>46273</v>
      </c>
      <c r="M156" s="247">
        <f>WORKDAY(IF(L157="",L156,L157),INDEX(M$12:M$15,MATCH($I155,$I$12:$I$15,0)))</f>
        <v>46287</v>
      </c>
      <c r="N156" s="247">
        <f>WORKDAY(IF(M157="",M156,M157),INDEX(N$12:N$15,MATCH($I155,$I$12:$I$15,0)))</f>
        <v>46288</v>
      </c>
      <c r="O156" s="247">
        <f>WORKDAY(IF(N157="",N156,N157),INDEX(O$12:O$15,MATCH($I155,$I$12:$I$15,0)))</f>
        <v>46302</v>
      </c>
      <c r="P156" s="248"/>
      <c r="Q156" s="249"/>
      <c r="R156" s="247">
        <f>WORKDAY(IF(O157="",O156,O157),INDEX(R$12:R$15,MATCH($I155,$I$12:$I$15,0)))</f>
        <v>46316</v>
      </c>
      <c r="S156" s="247">
        <f>WORKDAY(IF(R157="",R156,R157),INDEX(S$12:S$15,MATCH($I155,$I$12:$I$15,0)))</f>
        <v>46337</v>
      </c>
      <c r="T156" s="247">
        <f>WORKDAY(IF(S157="",S156,S157),INDEX(T$12:T$15,MATCH($I155,$I$12:$I$15,0)))</f>
        <v>46351</v>
      </c>
      <c r="U156" s="247">
        <f>WORKDAY(IF(T157="",T156,T157),INDEX(U$12:U$15,MATCH($I155,$I$12:$I$15,0)))</f>
        <v>46365</v>
      </c>
      <c r="V156" s="247">
        <f>WORKDAY(IF(U157="",U156,U157),INDEX(V$12:V$15,MATCH($I155,$I$12:$I$15,0)))</f>
        <v>46367</v>
      </c>
      <c r="W156" s="250"/>
      <c r="X156" s="247">
        <f>U156+Y155</f>
        <v>46477</v>
      </c>
      <c r="Y156" s="251"/>
      <c r="Z156" s="253"/>
      <c r="AA156" s="253"/>
      <c r="AB156" s="254"/>
      <c r="AC156" s="255">
        <f>IF(ISERROR(LOOKUP(AC$16,$L156:$X156,#REF!)),0,(LOOKUP(AC$16,$L156:$X156,#REF!)))</f>
        <v>0</v>
      </c>
      <c r="AD156" s="256">
        <f>IF(ISERROR(LOOKUP(AD$16,$L156:$X156,#REF!)),0,(LOOKUP(AD$16,$L156:$X156,#REF!)))</f>
        <v>0</v>
      </c>
      <c r="AE156" s="256">
        <f>IF(ISERROR(LOOKUP(AE$16,$L156:$X156,#REF!)),0,(LOOKUP(AE$16,$L156:$X156,#REF!)))</f>
        <v>0</v>
      </c>
      <c r="AF156" s="256">
        <f>IF(ISERROR(LOOKUP(AF$16,$L156:$X156,#REF!)),0,(LOOKUP(AF$16,$L156:$X156,#REF!)))</f>
        <v>0</v>
      </c>
      <c r="AG156" s="256">
        <f>IF(ISERROR(LOOKUP(AG$16,$L156:$X156,#REF!)),0,(LOOKUP(AG$16,$L156:$X156,#REF!)))</f>
        <v>0</v>
      </c>
      <c r="AH156" s="256">
        <f>IF(ISERROR(LOOKUP(AH$16,$L156:$X156,#REF!)),0,(LOOKUP(AH$16,$L156:$X156,#REF!)))</f>
        <v>0</v>
      </c>
      <c r="AI156" s="256">
        <f>IF(ISERROR(LOOKUP(AI$16,$L156:$X156,#REF!)),0,(LOOKUP(AI$16,$L156:$X156,#REF!)))</f>
        <v>0</v>
      </c>
      <c r="AJ156" s="256">
        <f>IF(ISERROR(LOOKUP(AJ$16,$L156:$X156,#REF!)),0,(LOOKUP(AJ$16,$L156:$X156,#REF!)))</f>
        <v>0</v>
      </c>
      <c r="AK156" s="256">
        <f>IF(ISERROR(LOOKUP(AK$16,$L156:$X156,#REF!)),0,(LOOKUP(AK$16,$L156:$X156,#REF!)))</f>
        <v>0</v>
      </c>
      <c r="AL156" s="256">
        <f>IF(ISERROR(LOOKUP(AL$16,$L156:$X156,#REF!)),0,(LOOKUP(AL$16,$L156:$X156,#REF!)))</f>
        <v>0</v>
      </c>
      <c r="AM156" s="256">
        <f ca="1">IF(ISERROR(LOOKUP(AM$16,$L156:$X156,#REF!)),0,(LOOKUP(AM$16,$L156:$X156,#REF!)))</f>
        <v>0</v>
      </c>
      <c r="AP156" s="247" t="e">
        <f>WORKDAY(IF(T157="",T156,T157),INDEX(AP$12:AP$15,MATCH($I155,$I$12:$I$15,0)),$AW$17:$AW$148)</f>
        <v>#REF!</v>
      </c>
      <c r="AQ156" s="247" t="e">
        <f>WORKDAY(IF(AP157="",AP156,AP157),INDEX(AQ$12:AQ$15,MATCH($I155,$I$12:$I$15,0)),$AW$17:$AW$148)</f>
        <v>#REF!</v>
      </c>
      <c r="AR156" s="247" t="e">
        <f>WORKDAY(IF(AQ157="",AQ156,AQ157),INDEX(AR$12:AR$15,MATCH($I155,$I$12:$I$15,0)),$AW$17:$AW$148)</f>
        <v>#REF!</v>
      </c>
      <c r="AS156" s="257"/>
      <c r="AW156" s="258" t="e">
        <v>#REF!</v>
      </c>
    </row>
    <row r="157" s="195" customFormat="1" ht="18" customHeight="1" spans="1:49">
      <c r="A157" s="241"/>
      <c r="B157" s="262"/>
      <c r="C157" s="243" t="str">
        <f>C155</f>
        <v>RFQ-047</v>
      </c>
      <c r="D157" s="243" t="str">
        <f>D155</f>
        <v>Marine Racon</v>
      </c>
      <c r="E157" s="263"/>
      <c r="F157" s="305" t="str">
        <f>F155</f>
        <v>Telecommunication</v>
      </c>
      <c r="G157" s="243" t="str">
        <f>G155</f>
        <v>N</v>
      </c>
      <c r="H157" s="263"/>
      <c r="I157" s="243" t="str">
        <f>I155</f>
        <v>LC</v>
      </c>
      <c r="J157" s="303" t="s">
        <v>66</v>
      </c>
      <c r="K157" s="243"/>
      <c r="L157" s="243"/>
      <c r="M157" s="243"/>
      <c r="N157" s="243"/>
      <c r="O157" s="243"/>
      <c r="P157" s="265"/>
      <c r="Q157" s="266"/>
      <c r="R157" s="243"/>
      <c r="S157" s="243"/>
      <c r="T157" s="243"/>
      <c r="U157" s="243"/>
      <c r="V157" s="243"/>
      <c r="W157" s="267"/>
      <c r="X157" s="243"/>
      <c r="Y157" s="251"/>
      <c r="Z157" s="253"/>
      <c r="AA157" s="253"/>
      <c r="AB157" s="254"/>
      <c r="AC157" s="268">
        <f>IF(ISERROR(LOOKUP(AC$16,$L157:$X157,#REF!)),0,(LOOKUP(AC$16,$L157:$X157,#REF!)))</f>
        <v>0</v>
      </c>
      <c r="AD157" s="269">
        <f>IF(ISERROR(LOOKUP(AD$16,$L157:$X157,#REF!)),0,(LOOKUP(AD$16,$L157:$X157,#REF!)))</f>
        <v>0</v>
      </c>
      <c r="AE157" s="269">
        <f>IF(ISERROR(LOOKUP(AE$16,$L157:$X157,#REF!)),0,(LOOKUP(AE$16,$L157:$X157,#REF!)))</f>
        <v>0</v>
      </c>
      <c r="AF157" s="269">
        <f>IF(ISERROR(LOOKUP(AF$16,$L157:$X157,#REF!)),0,(LOOKUP(AF$16,$L157:$X157,#REF!)))</f>
        <v>0</v>
      </c>
      <c r="AG157" s="269">
        <f>IF(ISERROR(LOOKUP(AG$16,$L157:$X157,#REF!)),0,(LOOKUP(AG$16,$L157:$X157,#REF!)))</f>
        <v>0</v>
      </c>
      <c r="AH157" s="269">
        <f>IF(ISERROR(LOOKUP(AH$16,$L157:$X157,#REF!)),0,(LOOKUP(AH$16,$L157:$X157,#REF!)))</f>
        <v>0</v>
      </c>
      <c r="AI157" s="269">
        <f>IF(ISERROR(LOOKUP(AI$16,$L157:$X157,#REF!)),0,(LOOKUP(AI$16,$L157:$X157,#REF!)))</f>
        <v>0</v>
      </c>
      <c r="AJ157" s="269">
        <f>IF(ISERROR(LOOKUP(AJ$16,$L157:$X157,#REF!)),0,(LOOKUP(AJ$16,$L157:$X157,#REF!)))</f>
        <v>0</v>
      </c>
      <c r="AK157" s="269">
        <f>IF(ISERROR(LOOKUP(AK$16,$L157:$X157,#REF!)),0,(LOOKUP(AK$16,$L157:$X157,#REF!)))</f>
        <v>0</v>
      </c>
      <c r="AL157" s="269">
        <f>IF(ISERROR(LOOKUP(AL$16,$L157:$X157,#REF!)),0,(LOOKUP(AL$16,$L157:$X157,#REF!)))</f>
        <v>0</v>
      </c>
      <c r="AM157" s="269">
        <f ca="1">IF(ISERROR(LOOKUP(AM$16,$L157:$X157,#REF!)),0,(LOOKUP(AM$16,$L157:$X157,#REF!)))</f>
        <v>0</v>
      </c>
      <c r="AP157" s="243"/>
      <c r="AQ157" s="243"/>
      <c r="AR157" s="243"/>
      <c r="AS157" s="257"/>
      <c r="AW157" s="258" t="e">
        <v>#REF!</v>
      </c>
    </row>
    <row r="158" s="195" customFormat="1" ht="18" customHeight="1" spans="1:49">
      <c r="A158" s="241">
        <f>A155+1</f>
        <v>48</v>
      </c>
      <c r="B158" s="242"/>
      <c r="C158" s="243" t="s">
        <v>4835</v>
      </c>
      <c r="D158" s="243" t="s">
        <v>4836</v>
      </c>
      <c r="E158" s="243"/>
      <c r="F158" s="243" t="s">
        <v>85</v>
      </c>
      <c r="G158" s="243" t="s">
        <v>72</v>
      </c>
      <c r="H158" s="244"/>
      <c r="I158" s="243" t="s">
        <v>8</v>
      </c>
      <c r="J158" s="303" t="s">
        <v>4769</v>
      </c>
      <c r="K158" s="247">
        <f>WORKDAY(L158,-INDEX(L$12:L$15,MATCH($I158,$I$12:$I$15,0)))</f>
        <v>46168</v>
      </c>
      <c r="L158" s="247">
        <f>WORKDAY(M158,-INDEX(M$12:M$15,MATCH($I158,$I$12:$I$15,0)))</f>
        <v>46171</v>
      </c>
      <c r="M158" s="247">
        <f>WORKDAY(N158,-INDEX(N$12:N$15,MATCH($I158,$I$12:$I$15,0)))</f>
        <v>46185</v>
      </c>
      <c r="N158" s="247">
        <f>WORKDAY(O158,-INDEX(O$12:O$15,MATCH($I158,$I$12:$I$15,0)))</f>
        <v>46188</v>
      </c>
      <c r="O158" s="247">
        <f>WORKDAY(R158,-INDEX(R$12:R$15,MATCH($I158,$I$12:$I$15,0)))</f>
        <v>46202</v>
      </c>
      <c r="P158" s="248">
        <f>U158-L158</f>
        <v>93</v>
      </c>
      <c r="Q158" s="249"/>
      <c r="R158" s="247">
        <f>WORKDAY(S158,-INDEX(S$12:S$15,MATCH($I158,$I$12:$I$15,0)))</f>
        <v>46216</v>
      </c>
      <c r="S158" s="247">
        <f>WORKDAY(T158,-INDEX(T$12:T$15,MATCH($I158,$I$12:$I$15,0)))</f>
        <v>46237</v>
      </c>
      <c r="T158" s="247">
        <f>WORKDAY(U158,-INDEX(U$12:U$15,MATCH($I158,$I$12:$I$15,0)))</f>
        <v>46251</v>
      </c>
      <c r="U158" s="247">
        <f>X158-Y158</f>
        <v>46264</v>
      </c>
      <c r="V158" s="247">
        <f>WORKDAY(U158,INDEX(V$12:V$15,MATCH($I158,$I$12:$I$15,0)))</f>
        <v>46266</v>
      </c>
      <c r="W158" s="250">
        <f>Y158/7</f>
        <v>26.1428571428571</v>
      </c>
      <c r="X158" s="247">
        <f>Z158</f>
        <v>46447</v>
      </c>
      <c r="Y158" s="251">
        <v>183</v>
      </c>
      <c r="Z158" s="253">
        <v>46447</v>
      </c>
      <c r="AA158" s="253">
        <v>46538</v>
      </c>
      <c r="AB158" s="254">
        <f>Z158-X159</f>
        <v>0</v>
      </c>
      <c r="AC158" s="255">
        <f>IF(ISERROR(LOOKUP(AC$16,$L158:$X158,#REF!)),0,(LOOKUP(AC$16,$L158:$X158,#REF!)))</f>
        <v>0</v>
      </c>
      <c r="AD158" s="256">
        <f>IF(ISERROR(LOOKUP(AD$16,$L158:$X158,#REF!)),0,(LOOKUP(AD$16,$L158:$X158,#REF!)))</f>
        <v>0</v>
      </c>
      <c r="AE158" s="256">
        <f>IF(ISERROR(LOOKUP(AE$16,$L158:$X158,#REF!)),0,(LOOKUP(AE$16,$L158:$X158,#REF!)))</f>
        <v>0</v>
      </c>
      <c r="AF158" s="256">
        <f>IF(ISERROR(LOOKUP(AF$16,$L158:$X158,#REF!)),0,(LOOKUP(AF$16,$L158:$X158,#REF!)))</f>
        <v>0</v>
      </c>
      <c r="AG158" s="256">
        <f>IF(ISERROR(LOOKUP(AG$16,$L158:$X158,#REF!)),0,(LOOKUP(AG$16,$L158:$X158,#REF!)))</f>
        <v>0</v>
      </c>
      <c r="AH158" s="256">
        <f>IF(ISERROR(LOOKUP(AH$16,$L158:$X158,#REF!)),0,(LOOKUP(AH$16,$L158:$X158,#REF!)))</f>
        <v>0</v>
      </c>
      <c r="AI158" s="256">
        <f>IF(ISERROR(LOOKUP(AI$16,$L158:$X158,#REF!)),0,(LOOKUP(AI$16,$L158:$X158,#REF!)))</f>
        <v>0</v>
      </c>
      <c r="AJ158" s="256">
        <f>IF(ISERROR(LOOKUP(AJ$16,$L158:$X158,#REF!)),0,(LOOKUP(AJ$16,$L158:$X158,#REF!)))</f>
        <v>0</v>
      </c>
      <c r="AK158" s="256">
        <f>IF(ISERROR(LOOKUP(AK$16,$L158:$X158,#REF!)),0,(LOOKUP(AK$16,$L158:$X158,#REF!)))</f>
        <v>0</v>
      </c>
      <c r="AL158" s="256">
        <f>IF(ISERROR(LOOKUP(AL$16,$L158:$X158,#REF!)),0,(LOOKUP(AL$16,$L158:$X158,#REF!)))</f>
        <v>0</v>
      </c>
      <c r="AM158" s="256">
        <f ca="1">IF(ISERROR(LOOKUP(AM$16,$L158:$X158,#REF!)),0,(LOOKUP(AM$16,$L158:$X158,#REF!)))</f>
        <v>0</v>
      </c>
      <c r="AP158" s="247" t="e">
        <f>WORKDAY(AQ158,-INDEX(AQ$12:AQ$15,MATCH($I158,$I$12:$I$15,0)),$AW$17:$AW$148)</f>
        <v>#REF!</v>
      </c>
      <c r="AQ158" s="247" t="e">
        <f>WORKDAY(U158,-INDEX(U$12:U$15,MATCH($I158,$I$12:$I$15,0)),$AW$17:$AW$148)</f>
        <v>#REF!</v>
      </c>
      <c r="AR158" s="247" t="e">
        <f>WORKDAY(U158,-INDEX(U$12:U$15,MATCH($I158,$I$12:$I$15,0)),$AW$17:$AW$148)</f>
        <v>#REF!</v>
      </c>
      <c r="AS158" s="257">
        <v>7</v>
      </c>
      <c r="AW158" s="258" t="e">
        <v>#REF!</v>
      </c>
    </row>
    <row r="159" s="195" customFormat="1" ht="18" customHeight="1" spans="1:49">
      <c r="A159" s="241"/>
      <c r="B159" s="259"/>
      <c r="C159" s="243" t="str">
        <f>C158</f>
        <v>RFQ-048</v>
      </c>
      <c r="D159" s="243" t="str">
        <f>D158</f>
        <v>BALL VALVE (FLANGE END)</v>
      </c>
      <c r="E159" s="243"/>
      <c r="F159" s="243" t="str">
        <f>F158</f>
        <v>Piping</v>
      </c>
      <c r="G159" s="243" t="str">
        <f>G158</f>
        <v>N</v>
      </c>
      <c r="H159" s="260"/>
      <c r="I159" s="243" t="str">
        <f>I158</f>
        <v>LC</v>
      </c>
      <c r="J159" s="303" t="s">
        <v>64</v>
      </c>
      <c r="K159" s="247">
        <f>K158</f>
        <v>46168</v>
      </c>
      <c r="L159" s="247">
        <f>WORKDAY(IF(K160="",K159,K160),INDEX(L$12:L$15,MATCH($I158,$I$12:$I$15,0)))</f>
        <v>46171</v>
      </c>
      <c r="M159" s="247">
        <f>WORKDAY(IF(L160="",L159,L160),INDEX(M$12:M$15,MATCH($I158,$I$12:$I$15,0)))</f>
        <v>46185</v>
      </c>
      <c r="N159" s="247">
        <f>WORKDAY(IF(M160="",M159,M160),INDEX(N$12:N$15,MATCH($I158,$I$12:$I$15,0)))</f>
        <v>46188</v>
      </c>
      <c r="O159" s="247">
        <f>WORKDAY(IF(N160="",N159,N160),INDEX(O$12:O$15,MATCH($I158,$I$12:$I$15,0)))</f>
        <v>46202</v>
      </c>
      <c r="P159" s="248"/>
      <c r="Q159" s="249"/>
      <c r="R159" s="247">
        <f>WORKDAY(IF(O160="",O159,O160),INDEX(R$12:R$15,MATCH($I158,$I$12:$I$15,0)))</f>
        <v>46216</v>
      </c>
      <c r="S159" s="247">
        <f>WORKDAY(IF(R160="",R159,R160),INDEX(S$12:S$15,MATCH($I158,$I$12:$I$15,0)))</f>
        <v>46237</v>
      </c>
      <c r="T159" s="247">
        <f>WORKDAY(IF(S160="",S159,S160),INDEX(T$12:T$15,MATCH($I158,$I$12:$I$15,0)))</f>
        <v>46251</v>
      </c>
      <c r="U159" s="247">
        <f>WORKDAY(IF(T160="",T159,T160),INDEX(U$12:U$15,MATCH($I158,$I$12:$I$15,0)))-1</f>
        <v>46264</v>
      </c>
      <c r="V159" s="247">
        <f>WORKDAY(IF(U160="",U159,U160),INDEX(V$12:V$15,MATCH($I158,$I$12:$I$15,0)))</f>
        <v>46266</v>
      </c>
      <c r="W159" s="250"/>
      <c r="X159" s="247">
        <f>U159+Y158</f>
        <v>46447</v>
      </c>
      <c r="Y159" s="251"/>
      <c r="Z159" s="253"/>
      <c r="AA159" s="253"/>
      <c r="AB159" s="254"/>
      <c r="AC159" s="255">
        <f>IF(ISERROR(LOOKUP(AC$16,$L159:$X159,#REF!)),0,(LOOKUP(AC$16,$L159:$X159,#REF!)))</f>
        <v>0</v>
      </c>
      <c r="AD159" s="256">
        <f>IF(ISERROR(LOOKUP(AD$16,$L159:$X159,#REF!)),0,(LOOKUP(AD$16,$L159:$X159,#REF!)))</f>
        <v>0</v>
      </c>
      <c r="AE159" s="256">
        <f>IF(ISERROR(LOOKUP(AE$16,$L159:$X159,#REF!)),0,(LOOKUP(AE$16,$L159:$X159,#REF!)))</f>
        <v>0</v>
      </c>
      <c r="AF159" s="256">
        <f>IF(ISERROR(LOOKUP(AF$16,$L159:$X159,#REF!)),0,(LOOKUP(AF$16,$L159:$X159,#REF!)))</f>
        <v>0</v>
      </c>
      <c r="AG159" s="256">
        <f>IF(ISERROR(LOOKUP(AG$16,$L159:$X159,#REF!)),0,(LOOKUP(AG$16,$L159:$X159,#REF!)))</f>
        <v>0</v>
      </c>
      <c r="AH159" s="256">
        <f>IF(ISERROR(LOOKUP(AH$16,$L159:$X159,#REF!)),0,(LOOKUP(AH$16,$L159:$X159,#REF!)))</f>
        <v>0</v>
      </c>
      <c r="AI159" s="256">
        <f>IF(ISERROR(LOOKUP(AI$16,$L159:$X159,#REF!)),0,(LOOKUP(AI$16,$L159:$X159,#REF!)))</f>
        <v>0</v>
      </c>
      <c r="AJ159" s="256">
        <f>IF(ISERROR(LOOKUP(AJ$16,$L159:$X159,#REF!)),0,(LOOKUP(AJ$16,$L159:$X159,#REF!)))</f>
        <v>0</v>
      </c>
      <c r="AK159" s="256">
        <f>IF(ISERROR(LOOKUP(AK$16,$L159:$X159,#REF!)),0,(LOOKUP(AK$16,$L159:$X159,#REF!)))</f>
        <v>0</v>
      </c>
      <c r="AL159" s="256">
        <f>IF(ISERROR(LOOKUP(AL$16,$L159:$X159,#REF!)),0,(LOOKUP(AL$16,$L159:$X159,#REF!)))</f>
        <v>0</v>
      </c>
      <c r="AM159" s="256">
        <f ca="1">IF(ISERROR(LOOKUP(AM$16,$L159:$X159,#REF!)),0,(LOOKUP(AM$16,$L159:$X159,#REF!)))</f>
        <v>0</v>
      </c>
      <c r="AP159" s="247" t="e">
        <f>WORKDAY(IF(T160="",T159,T160),INDEX(AP$12:AP$15,MATCH($I158,$I$12:$I$15,0)),$AW$17:$AW$148)</f>
        <v>#REF!</v>
      </c>
      <c r="AQ159" s="247" t="e">
        <f>WORKDAY(IF(AP160="",AP159,AP160),INDEX(AQ$12:AQ$15,MATCH($I158,$I$12:$I$15,0)),$AW$17:$AW$148)</f>
        <v>#REF!</v>
      </c>
      <c r="AR159" s="247" t="e">
        <f>WORKDAY(IF(AQ160="",AQ159,AQ160),INDEX(AR$12:AR$15,MATCH($I158,$I$12:$I$15,0)),$AW$17:$AW$148)</f>
        <v>#REF!</v>
      </c>
      <c r="AS159" s="257"/>
      <c r="AW159" s="258" t="e">
        <v>#REF!</v>
      </c>
    </row>
    <row r="160" s="195" customFormat="1" ht="18" customHeight="1" spans="1:49">
      <c r="A160" s="241"/>
      <c r="B160" s="262"/>
      <c r="C160" s="243" t="str">
        <f>C158</f>
        <v>RFQ-048</v>
      </c>
      <c r="D160" s="243" t="str">
        <f>D158</f>
        <v>BALL VALVE (FLANGE END)</v>
      </c>
      <c r="E160" s="243"/>
      <c r="F160" s="243" t="str">
        <f>F158</f>
        <v>Piping</v>
      </c>
      <c r="G160" s="243" t="str">
        <f>G158</f>
        <v>N</v>
      </c>
      <c r="H160" s="263"/>
      <c r="I160" s="243" t="str">
        <f>I158</f>
        <v>LC</v>
      </c>
      <c r="J160" s="303" t="s">
        <v>66</v>
      </c>
      <c r="K160" s="243"/>
      <c r="L160" s="243"/>
      <c r="M160" s="243"/>
      <c r="N160" s="243"/>
      <c r="O160" s="243"/>
      <c r="P160" s="265"/>
      <c r="Q160" s="266"/>
      <c r="R160" s="243"/>
      <c r="S160" s="243"/>
      <c r="T160" s="243"/>
      <c r="U160" s="243"/>
      <c r="V160" s="243"/>
      <c r="W160" s="267"/>
      <c r="X160" s="243"/>
      <c r="Y160" s="251"/>
      <c r="Z160" s="253"/>
      <c r="AA160" s="253"/>
      <c r="AB160" s="254"/>
      <c r="AC160" s="268">
        <f>IF(ISERROR(LOOKUP(AC$16,$L160:$X160,#REF!)),0,(LOOKUP(AC$16,$L160:$X160,#REF!)))</f>
        <v>0</v>
      </c>
      <c r="AD160" s="269">
        <f>IF(ISERROR(LOOKUP(AD$16,$L160:$X160,#REF!)),0,(LOOKUP(AD$16,$L160:$X160,#REF!)))</f>
        <v>0</v>
      </c>
      <c r="AE160" s="269">
        <f>IF(ISERROR(LOOKUP(AE$16,$L160:$X160,#REF!)),0,(LOOKUP(AE$16,$L160:$X160,#REF!)))</f>
        <v>0</v>
      </c>
      <c r="AF160" s="269">
        <f>IF(ISERROR(LOOKUP(AF$16,$L160:$X160,#REF!)),0,(LOOKUP(AF$16,$L160:$X160,#REF!)))</f>
        <v>0</v>
      </c>
      <c r="AG160" s="269">
        <f>IF(ISERROR(LOOKUP(AG$16,$L160:$X160,#REF!)),0,(LOOKUP(AG$16,$L160:$X160,#REF!)))</f>
        <v>0</v>
      </c>
      <c r="AH160" s="269">
        <f>IF(ISERROR(LOOKUP(AH$16,$L160:$X160,#REF!)),0,(LOOKUP(AH$16,$L160:$X160,#REF!)))</f>
        <v>0</v>
      </c>
      <c r="AI160" s="269">
        <f>IF(ISERROR(LOOKUP(AI$16,$L160:$X160,#REF!)),0,(LOOKUP(AI$16,$L160:$X160,#REF!)))</f>
        <v>0</v>
      </c>
      <c r="AJ160" s="269">
        <f>IF(ISERROR(LOOKUP(AJ$16,$L160:$X160,#REF!)),0,(LOOKUP(AJ$16,$L160:$X160,#REF!)))</f>
        <v>0</v>
      </c>
      <c r="AK160" s="269">
        <f>IF(ISERROR(LOOKUP(AK$16,$L160:$X160,#REF!)),0,(LOOKUP(AK$16,$L160:$X160,#REF!)))</f>
        <v>0</v>
      </c>
      <c r="AL160" s="269">
        <f>IF(ISERROR(LOOKUP(AL$16,$L160:$X160,#REF!)),0,(LOOKUP(AL$16,$L160:$X160,#REF!)))</f>
        <v>0</v>
      </c>
      <c r="AM160" s="269">
        <f ca="1">IF(ISERROR(LOOKUP(AM$16,$L160:$X160,#REF!)),0,(LOOKUP(AM$16,$L160:$X160,#REF!)))</f>
        <v>0</v>
      </c>
      <c r="AP160" s="243"/>
      <c r="AQ160" s="243"/>
      <c r="AR160" s="243"/>
      <c r="AS160" s="257"/>
      <c r="AW160" s="258" t="e">
        <v>#REF!</v>
      </c>
    </row>
    <row r="161" s="195" customFormat="1" ht="18" customHeight="1" spans="1:49">
      <c r="A161" s="241">
        <f>A158+1</f>
        <v>49</v>
      </c>
      <c r="B161" s="242"/>
      <c r="C161" s="243" t="s">
        <v>4837</v>
      </c>
      <c r="D161" s="243" t="s">
        <v>4838</v>
      </c>
      <c r="E161" s="243"/>
      <c r="F161" s="243" t="s">
        <v>85</v>
      </c>
      <c r="G161" s="243" t="s">
        <v>72</v>
      </c>
      <c r="H161" s="244"/>
      <c r="I161" s="243" t="s">
        <v>7</v>
      </c>
      <c r="J161" s="303" t="s">
        <v>4769</v>
      </c>
      <c r="K161" s="247">
        <f>WORKDAY(L161,-INDEX(L$12:L$15,MATCH($I161,$I$12:$I$15,0)))</f>
        <v>46188</v>
      </c>
      <c r="L161" s="247">
        <f>WORKDAY(M161,-INDEX(M$12:M$15,MATCH($I161,$I$12:$I$15,0)))</f>
        <v>46189</v>
      </c>
      <c r="M161" s="247">
        <f>WORKDAY(N161,-INDEX(N$12:N$15,MATCH($I161,$I$12:$I$15,0)))</f>
        <v>46196</v>
      </c>
      <c r="N161" s="247">
        <f>WORKDAY(O161,-INDEX(O$12:O$15,MATCH($I161,$I$12:$I$15,0)))</f>
        <v>46197</v>
      </c>
      <c r="O161" s="247">
        <f>WORKDAY(R161,-INDEX(R$12:R$15,MATCH($I161,$I$12:$I$15,0)))</f>
        <v>46204</v>
      </c>
      <c r="P161" s="248">
        <f>U161-L161</f>
        <v>75</v>
      </c>
      <c r="Q161" s="249"/>
      <c r="R161" s="247">
        <f>WORKDAY(S161,-INDEX(S$12:S$15,MATCH($I161,$I$12:$I$15,0)))</f>
        <v>46218</v>
      </c>
      <c r="S161" s="247">
        <f>WORKDAY(T161,-INDEX(T$12:T$15,MATCH($I161,$I$12:$I$15,0)))</f>
        <v>46246</v>
      </c>
      <c r="T161" s="247">
        <f>WORKDAY(U161,-INDEX(U$12:U$15,MATCH($I161,$I$12:$I$15,0)))</f>
        <v>46251</v>
      </c>
      <c r="U161" s="247">
        <f>X161-Y161</f>
        <v>46264</v>
      </c>
      <c r="V161" s="247">
        <f>WORKDAY(U161,INDEX(V$12:V$15,MATCH($I161,$I$12:$I$15,0)))</f>
        <v>46266</v>
      </c>
      <c r="W161" s="250">
        <f>Y161/7</f>
        <v>26.1428571428571</v>
      </c>
      <c r="X161" s="247">
        <f>Z161</f>
        <v>46447</v>
      </c>
      <c r="Y161" s="251">
        <v>183</v>
      </c>
      <c r="Z161" s="253">
        <v>46447</v>
      </c>
      <c r="AA161" s="253">
        <v>46538</v>
      </c>
      <c r="AB161" s="254">
        <f>Z161-X162</f>
        <v>0</v>
      </c>
      <c r="AC161" s="255">
        <f>IF(ISERROR(LOOKUP(AC$16,$L161:$X161,#REF!)),0,(LOOKUP(AC$16,$L161:$X161,#REF!)))</f>
        <v>0</v>
      </c>
      <c r="AD161" s="256">
        <f>IF(ISERROR(LOOKUP(AD$16,$L161:$X161,#REF!)),0,(LOOKUP(AD$16,$L161:$X161,#REF!)))</f>
        <v>0</v>
      </c>
      <c r="AE161" s="256">
        <f>IF(ISERROR(LOOKUP(AE$16,$L161:$X161,#REF!)),0,(LOOKUP(AE$16,$L161:$X161,#REF!)))</f>
        <v>0</v>
      </c>
      <c r="AF161" s="256">
        <f>IF(ISERROR(LOOKUP(AF$16,$L161:$X161,#REF!)),0,(LOOKUP(AF$16,$L161:$X161,#REF!)))</f>
        <v>0</v>
      </c>
      <c r="AG161" s="256">
        <f>IF(ISERROR(LOOKUP(AG$16,$L161:$X161,#REF!)),0,(LOOKUP(AG$16,$L161:$X161,#REF!)))</f>
        <v>0</v>
      </c>
      <c r="AH161" s="256">
        <f>IF(ISERROR(LOOKUP(AH$16,$L161:$X161,#REF!)),0,(LOOKUP(AH$16,$L161:$X161,#REF!)))</f>
        <v>0</v>
      </c>
      <c r="AI161" s="256">
        <f>IF(ISERROR(LOOKUP(AI$16,$L161:$X161,#REF!)),0,(LOOKUP(AI$16,$L161:$X161,#REF!)))</f>
        <v>0</v>
      </c>
      <c r="AJ161" s="256">
        <f>IF(ISERROR(LOOKUP(AJ$16,$L161:$X161,#REF!)),0,(LOOKUP(AJ$16,$L161:$X161,#REF!)))</f>
        <v>0</v>
      </c>
      <c r="AK161" s="256">
        <f>IF(ISERROR(LOOKUP(AK$16,$L161:$X161,#REF!)),0,(LOOKUP(AK$16,$L161:$X161,#REF!)))</f>
        <v>0</v>
      </c>
      <c r="AL161" s="256">
        <f>IF(ISERROR(LOOKUP(AL$16,$L161:$X161,#REF!)),0,(LOOKUP(AL$16,$L161:$X161,#REF!)))</f>
        <v>0</v>
      </c>
      <c r="AM161" s="256">
        <f ca="1">IF(ISERROR(LOOKUP(AM$16,$L161:$X161,#REF!)),0,(LOOKUP(AM$16,$L161:$X161,#REF!)))</f>
        <v>0</v>
      </c>
      <c r="AP161" s="247" t="e">
        <f>WORKDAY(AQ161,-INDEX(AQ$12:AQ$15,MATCH($I161,$I$12:$I$15,0)),$AW$17:$AW$148)</f>
        <v>#REF!</v>
      </c>
      <c r="AQ161" s="247" t="e">
        <f>WORKDAY(U161,-INDEX(U$12:U$15,MATCH($I161,$I$12:$I$15,0)),$AW$17:$AW$148)</f>
        <v>#REF!</v>
      </c>
      <c r="AR161" s="247" t="e">
        <f>WORKDAY(U161,-INDEX(U$12:U$15,MATCH($I161,$I$12:$I$15,0)),$AW$17:$AW$148)</f>
        <v>#REF!</v>
      </c>
      <c r="AS161" s="257">
        <v>7</v>
      </c>
      <c r="AW161" s="258" t="e">
        <v>#REF!</v>
      </c>
    </row>
    <row r="162" s="195" customFormat="1" ht="18" customHeight="1" spans="1:49">
      <c r="A162" s="241"/>
      <c r="B162" s="259"/>
      <c r="C162" s="243" t="str">
        <f>C161</f>
        <v>RFQ-049</v>
      </c>
      <c r="D162" s="243" t="str">
        <f>D161</f>
        <v>GLOBE VALVE (FLANGE END)</v>
      </c>
      <c r="E162" s="243"/>
      <c r="F162" s="243" t="str">
        <f>F161</f>
        <v>Piping</v>
      </c>
      <c r="G162" s="243" t="str">
        <f>G161</f>
        <v>N</v>
      </c>
      <c r="H162" s="260"/>
      <c r="I162" s="243" t="str">
        <f>I161</f>
        <v>LB</v>
      </c>
      <c r="J162" s="303" t="s">
        <v>64</v>
      </c>
      <c r="K162" s="247">
        <f>K161</f>
        <v>46188</v>
      </c>
      <c r="L162" s="247">
        <f>WORKDAY(IF(K163="",K162,K163),INDEX(L$12:L$15,MATCH($I161,$I$12:$I$15,0)))</f>
        <v>46189</v>
      </c>
      <c r="M162" s="247">
        <f>WORKDAY(IF(L163="",L162,L163),INDEX(M$12:M$15,MATCH($I161,$I$12:$I$15,0)))</f>
        <v>46196</v>
      </c>
      <c r="N162" s="247">
        <f>WORKDAY(IF(M163="",M162,M163),INDEX(N$12:N$15,MATCH($I161,$I$12:$I$15,0)))</f>
        <v>46197</v>
      </c>
      <c r="O162" s="247">
        <f>WORKDAY(IF(N163="",N162,N163),INDEX(O$12:O$15,MATCH($I161,$I$12:$I$15,0)))</f>
        <v>46204</v>
      </c>
      <c r="P162" s="248"/>
      <c r="Q162" s="249"/>
      <c r="R162" s="247">
        <f>WORKDAY(IF(O163="",O162,O163),INDEX(R$12:R$15,MATCH($I161,$I$12:$I$15,0)))</f>
        <v>46218</v>
      </c>
      <c r="S162" s="247">
        <f>WORKDAY(IF(R163="",R162,R163),INDEX(S$12:S$15,MATCH($I161,$I$12:$I$15,0)))</f>
        <v>46246</v>
      </c>
      <c r="T162" s="247">
        <f>WORKDAY(IF(S163="",S162,S163),INDEX(T$12:T$15,MATCH($I161,$I$12:$I$15,0)))</f>
        <v>46251</v>
      </c>
      <c r="U162" s="247">
        <f>WORKDAY(IF(T163="",T162,T163),INDEX(U$12:U$15,MATCH($I161,$I$12:$I$15,0)))-1</f>
        <v>46264</v>
      </c>
      <c r="V162" s="247">
        <f>WORKDAY(IF(U163="",U162,U163),INDEX(V$12:V$15,MATCH($I161,$I$12:$I$15,0)))</f>
        <v>46266</v>
      </c>
      <c r="W162" s="250"/>
      <c r="X162" s="247">
        <f>U162+Y161</f>
        <v>46447</v>
      </c>
      <c r="Y162" s="251"/>
      <c r="Z162" s="253"/>
      <c r="AA162" s="253"/>
      <c r="AB162" s="254"/>
      <c r="AC162" s="255">
        <f>IF(ISERROR(LOOKUP(AC$16,$L162:$X162,#REF!)),0,(LOOKUP(AC$16,$L162:$X162,#REF!)))</f>
        <v>0</v>
      </c>
      <c r="AD162" s="256">
        <f>IF(ISERROR(LOOKUP(AD$16,$L162:$X162,#REF!)),0,(LOOKUP(AD$16,$L162:$X162,#REF!)))</f>
        <v>0</v>
      </c>
      <c r="AE162" s="256">
        <f>IF(ISERROR(LOOKUP(AE$16,$L162:$X162,#REF!)),0,(LOOKUP(AE$16,$L162:$X162,#REF!)))</f>
        <v>0</v>
      </c>
      <c r="AF162" s="256">
        <f>IF(ISERROR(LOOKUP(AF$16,$L162:$X162,#REF!)),0,(LOOKUP(AF$16,$L162:$X162,#REF!)))</f>
        <v>0</v>
      </c>
      <c r="AG162" s="256">
        <f>IF(ISERROR(LOOKUP(AG$16,$L162:$X162,#REF!)),0,(LOOKUP(AG$16,$L162:$X162,#REF!)))</f>
        <v>0</v>
      </c>
      <c r="AH162" s="256">
        <f>IF(ISERROR(LOOKUP(AH$16,$L162:$X162,#REF!)),0,(LOOKUP(AH$16,$L162:$X162,#REF!)))</f>
        <v>0</v>
      </c>
      <c r="AI162" s="256">
        <f>IF(ISERROR(LOOKUP(AI$16,$L162:$X162,#REF!)),0,(LOOKUP(AI$16,$L162:$X162,#REF!)))</f>
        <v>0</v>
      </c>
      <c r="AJ162" s="256">
        <f>IF(ISERROR(LOOKUP(AJ$16,$L162:$X162,#REF!)),0,(LOOKUP(AJ$16,$L162:$X162,#REF!)))</f>
        <v>0</v>
      </c>
      <c r="AK162" s="256">
        <f>IF(ISERROR(LOOKUP(AK$16,$L162:$X162,#REF!)),0,(LOOKUP(AK$16,$L162:$X162,#REF!)))</f>
        <v>0</v>
      </c>
      <c r="AL162" s="256">
        <f>IF(ISERROR(LOOKUP(AL$16,$L162:$X162,#REF!)),0,(LOOKUP(AL$16,$L162:$X162,#REF!)))</f>
        <v>0</v>
      </c>
      <c r="AM162" s="256">
        <f ca="1">IF(ISERROR(LOOKUP(AM$16,$L162:$X162,#REF!)),0,(LOOKUP(AM$16,$L162:$X162,#REF!)))</f>
        <v>0</v>
      </c>
      <c r="AP162" s="247" t="e">
        <f>WORKDAY(IF(T163="",T162,T163),INDEX(AP$12:AP$15,MATCH($I161,$I$12:$I$15,0)),$AW$17:$AW$148)</f>
        <v>#REF!</v>
      </c>
      <c r="AQ162" s="247" t="e">
        <f>WORKDAY(IF(AP163="",AP162,AP163),INDEX(AQ$12:AQ$15,MATCH($I161,$I$12:$I$15,0)),$AW$17:$AW$148)</f>
        <v>#REF!</v>
      </c>
      <c r="AR162" s="247" t="e">
        <f>WORKDAY(IF(AQ163="",AQ162,AQ163),INDEX(AR$12:AR$15,MATCH($I161,$I$12:$I$15,0)),$AW$17:$AW$148)</f>
        <v>#REF!</v>
      </c>
      <c r="AS162" s="257"/>
      <c r="AW162" s="258" t="e">
        <v>#REF!</v>
      </c>
    </row>
    <row r="163" s="195" customFormat="1" ht="18" customHeight="1" spans="1:49">
      <c r="A163" s="241"/>
      <c r="B163" s="262"/>
      <c r="C163" s="243" t="str">
        <f>C161</f>
        <v>RFQ-049</v>
      </c>
      <c r="D163" s="243" t="str">
        <f>D161</f>
        <v>GLOBE VALVE (FLANGE END)</v>
      </c>
      <c r="E163" s="243"/>
      <c r="F163" s="243" t="str">
        <f>F161</f>
        <v>Piping</v>
      </c>
      <c r="G163" s="243" t="str">
        <f>G161</f>
        <v>N</v>
      </c>
      <c r="H163" s="263"/>
      <c r="I163" s="243" t="str">
        <f>I161</f>
        <v>LB</v>
      </c>
      <c r="J163" s="303" t="s">
        <v>66</v>
      </c>
      <c r="K163" s="243"/>
      <c r="L163" s="243"/>
      <c r="M163" s="243"/>
      <c r="N163" s="243"/>
      <c r="O163" s="243"/>
      <c r="P163" s="265"/>
      <c r="Q163" s="266"/>
      <c r="R163" s="243"/>
      <c r="S163" s="243"/>
      <c r="T163" s="243"/>
      <c r="U163" s="243"/>
      <c r="V163" s="243"/>
      <c r="W163" s="267"/>
      <c r="X163" s="243"/>
      <c r="Y163" s="251"/>
      <c r="Z163" s="253"/>
      <c r="AA163" s="253"/>
      <c r="AB163" s="254"/>
      <c r="AC163" s="268">
        <f>IF(ISERROR(LOOKUP(AC$16,$L163:$X163,#REF!)),0,(LOOKUP(AC$16,$L163:$X163,#REF!)))</f>
        <v>0</v>
      </c>
      <c r="AD163" s="269">
        <f>IF(ISERROR(LOOKUP(AD$16,$L163:$X163,#REF!)),0,(LOOKUP(AD$16,$L163:$X163,#REF!)))</f>
        <v>0</v>
      </c>
      <c r="AE163" s="269">
        <f>IF(ISERROR(LOOKUP(AE$16,$L163:$X163,#REF!)),0,(LOOKUP(AE$16,$L163:$X163,#REF!)))</f>
        <v>0</v>
      </c>
      <c r="AF163" s="269">
        <f>IF(ISERROR(LOOKUP(AF$16,$L163:$X163,#REF!)),0,(LOOKUP(AF$16,$L163:$X163,#REF!)))</f>
        <v>0</v>
      </c>
      <c r="AG163" s="269">
        <f>IF(ISERROR(LOOKUP(AG$16,$L163:$X163,#REF!)),0,(LOOKUP(AG$16,$L163:$X163,#REF!)))</f>
        <v>0</v>
      </c>
      <c r="AH163" s="269">
        <f>IF(ISERROR(LOOKUP(AH$16,$L163:$X163,#REF!)),0,(LOOKUP(AH$16,$L163:$X163,#REF!)))</f>
        <v>0</v>
      </c>
      <c r="AI163" s="269">
        <f>IF(ISERROR(LOOKUP(AI$16,$L163:$X163,#REF!)),0,(LOOKUP(AI$16,$L163:$X163,#REF!)))</f>
        <v>0</v>
      </c>
      <c r="AJ163" s="269">
        <f>IF(ISERROR(LOOKUP(AJ$16,$L163:$X163,#REF!)),0,(LOOKUP(AJ$16,$L163:$X163,#REF!)))</f>
        <v>0</v>
      </c>
      <c r="AK163" s="269">
        <f>IF(ISERROR(LOOKUP(AK$16,$L163:$X163,#REF!)),0,(LOOKUP(AK$16,$L163:$X163,#REF!)))</f>
        <v>0</v>
      </c>
      <c r="AL163" s="269">
        <f>IF(ISERROR(LOOKUP(AL$16,$L163:$X163,#REF!)),0,(LOOKUP(AL$16,$L163:$X163,#REF!)))</f>
        <v>0</v>
      </c>
      <c r="AM163" s="269">
        <f ca="1">IF(ISERROR(LOOKUP(AM$16,$L163:$X163,#REF!)),0,(LOOKUP(AM$16,$L163:$X163,#REF!)))</f>
        <v>0</v>
      </c>
      <c r="AP163" s="243"/>
      <c r="AQ163" s="243"/>
      <c r="AR163" s="243"/>
      <c r="AS163" s="257"/>
      <c r="AW163" s="258" t="e">
        <v>#REF!</v>
      </c>
    </row>
    <row r="164" s="195" customFormat="1" ht="18" customHeight="1" spans="1:49">
      <c r="A164" s="241">
        <f>A161+1</f>
        <v>50</v>
      </c>
      <c r="B164" s="242"/>
      <c r="C164" s="243" t="s">
        <v>4839</v>
      </c>
      <c r="D164" s="243" t="s">
        <v>4840</v>
      </c>
      <c r="E164" s="243"/>
      <c r="F164" s="243" t="s">
        <v>85</v>
      </c>
      <c r="G164" s="243" t="s">
        <v>72</v>
      </c>
      <c r="H164" s="244"/>
      <c r="I164" s="243" t="s">
        <v>7</v>
      </c>
      <c r="J164" s="303" t="s">
        <v>4769</v>
      </c>
      <c r="K164" s="247">
        <f>WORKDAY(L164,-INDEX(L$12:L$15,MATCH($I164,$I$12:$I$15,0)))</f>
        <v>46188</v>
      </c>
      <c r="L164" s="247">
        <f>WORKDAY(M164,-INDEX(M$12:M$15,MATCH($I164,$I$12:$I$15,0)))</f>
        <v>46189</v>
      </c>
      <c r="M164" s="247">
        <f>WORKDAY(N164,-INDEX(N$12:N$15,MATCH($I164,$I$12:$I$15,0)))</f>
        <v>46196</v>
      </c>
      <c r="N164" s="247">
        <f>WORKDAY(O164,-INDEX(O$12:O$15,MATCH($I164,$I$12:$I$15,0)))</f>
        <v>46197</v>
      </c>
      <c r="O164" s="247">
        <f>WORKDAY(R164,-INDEX(R$12:R$15,MATCH($I164,$I$12:$I$15,0)))</f>
        <v>46204</v>
      </c>
      <c r="P164" s="248">
        <f>U164-L164</f>
        <v>75</v>
      </c>
      <c r="Q164" s="249"/>
      <c r="R164" s="247">
        <f>WORKDAY(S164,-INDEX(S$12:S$15,MATCH($I164,$I$12:$I$15,0)))</f>
        <v>46218</v>
      </c>
      <c r="S164" s="247">
        <f>WORKDAY(T164,-INDEX(T$12:T$15,MATCH($I164,$I$12:$I$15,0)))</f>
        <v>46246</v>
      </c>
      <c r="T164" s="247">
        <f>WORKDAY(U164,-INDEX(U$12:U$15,MATCH($I164,$I$12:$I$15,0)))</f>
        <v>46251</v>
      </c>
      <c r="U164" s="247">
        <f>X164-Y164</f>
        <v>46264</v>
      </c>
      <c r="V164" s="247">
        <f>WORKDAY(U164,INDEX(V$12:V$15,MATCH($I164,$I$12:$I$15,0)))</f>
        <v>46266</v>
      </c>
      <c r="W164" s="250">
        <f>Y164/7</f>
        <v>26.1428571428571</v>
      </c>
      <c r="X164" s="247">
        <f>Z164</f>
        <v>46447</v>
      </c>
      <c r="Y164" s="251">
        <v>183</v>
      </c>
      <c r="Z164" s="253">
        <v>46447</v>
      </c>
      <c r="AA164" s="253">
        <v>46538</v>
      </c>
      <c r="AB164" s="254">
        <f>Z164-X165</f>
        <v>0</v>
      </c>
      <c r="AC164" s="255">
        <f>IF(ISERROR(LOOKUP(AC$16,$L164:$X164,#REF!)),0,(LOOKUP(AC$16,$L164:$X164,#REF!)))</f>
        <v>0</v>
      </c>
      <c r="AD164" s="256">
        <f>IF(ISERROR(LOOKUP(AD$16,$L164:$X164,#REF!)),0,(LOOKUP(AD$16,$L164:$X164,#REF!)))</f>
        <v>0</v>
      </c>
      <c r="AE164" s="256">
        <f>IF(ISERROR(LOOKUP(AE$16,$L164:$X164,#REF!)),0,(LOOKUP(AE$16,$L164:$X164,#REF!)))</f>
        <v>0</v>
      </c>
      <c r="AF164" s="256">
        <f>IF(ISERROR(LOOKUP(AF$16,$L164:$X164,#REF!)),0,(LOOKUP(AF$16,$L164:$X164,#REF!)))</f>
        <v>0</v>
      </c>
      <c r="AG164" s="256">
        <f>IF(ISERROR(LOOKUP(AG$16,$L164:$X164,#REF!)),0,(LOOKUP(AG$16,$L164:$X164,#REF!)))</f>
        <v>0</v>
      </c>
      <c r="AH164" s="256">
        <f>IF(ISERROR(LOOKUP(AH$16,$L164:$X164,#REF!)),0,(LOOKUP(AH$16,$L164:$X164,#REF!)))</f>
        <v>0</v>
      </c>
      <c r="AI164" s="256">
        <f>IF(ISERROR(LOOKUP(AI$16,$L164:$X164,#REF!)),0,(LOOKUP(AI$16,$L164:$X164,#REF!)))</f>
        <v>0</v>
      </c>
      <c r="AJ164" s="256">
        <f>IF(ISERROR(LOOKUP(AJ$16,$L164:$X164,#REF!)),0,(LOOKUP(AJ$16,$L164:$X164,#REF!)))</f>
        <v>0</v>
      </c>
      <c r="AK164" s="256">
        <f>IF(ISERROR(LOOKUP(AK$16,$L164:$X164,#REF!)),0,(LOOKUP(AK$16,$L164:$X164,#REF!)))</f>
        <v>0</v>
      </c>
      <c r="AL164" s="256">
        <f>IF(ISERROR(LOOKUP(AL$16,$L164:$X164,#REF!)),0,(LOOKUP(AL$16,$L164:$X164,#REF!)))</f>
        <v>0</v>
      </c>
      <c r="AM164" s="256">
        <f ca="1">IF(ISERROR(LOOKUP(AM$16,$L164:$X164,#REF!)),0,(LOOKUP(AM$16,$L164:$X164,#REF!)))</f>
        <v>0</v>
      </c>
      <c r="AP164" s="247" t="e">
        <f>WORKDAY(AQ164,-INDEX(AQ$12:AQ$15,MATCH($I164,$I$12:$I$15,0)),$AW$17:$AW$148)</f>
        <v>#REF!</v>
      </c>
      <c r="AQ164" s="247" t="e">
        <f>WORKDAY(U164,-INDEX(U$12:U$15,MATCH($I164,$I$12:$I$15,0)),$AW$17:$AW$148)</f>
        <v>#REF!</v>
      </c>
      <c r="AR164" s="247" t="e">
        <f>WORKDAY(U164,-INDEX(U$12:U$15,MATCH($I164,$I$12:$I$15,0)),$AW$17:$AW$148)</f>
        <v>#REF!</v>
      </c>
      <c r="AS164" s="257">
        <v>7</v>
      </c>
      <c r="AW164" s="258" t="e">
        <v>#REF!</v>
      </c>
    </row>
    <row r="165" s="195" customFormat="1" ht="18" customHeight="1" spans="1:49">
      <c r="A165" s="241"/>
      <c r="B165" s="259"/>
      <c r="C165" s="243" t="str">
        <f>C164</f>
        <v>RFQ-050</v>
      </c>
      <c r="D165" s="243" t="str">
        <f>D164</f>
        <v>GLOBE VALVE (WELDED END)</v>
      </c>
      <c r="E165" s="243"/>
      <c r="F165" s="243" t="str">
        <f>F164</f>
        <v>Piping</v>
      </c>
      <c r="G165" s="243" t="str">
        <f>G164</f>
        <v>N</v>
      </c>
      <c r="H165" s="260"/>
      <c r="I165" s="243" t="str">
        <f>I164</f>
        <v>LB</v>
      </c>
      <c r="J165" s="303" t="s">
        <v>64</v>
      </c>
      <c r="K165" s="247">
        <f>K164</f>
        <v>46188</v>
      </c>
      <c r="L165" s="247">
        <f>WORKDAY(IF(K166="",K165,K166),INDEX(L$12:L$15,MATCH($I164,$I$12:$I$15,0)))</f>
        <v>46189</v>
      </c>
      <c r="M165" s="247">
        <f>WORKDAY(IF(L166="",L165,L166),INDEX(M$12:M$15,MATCH($I164,$I$12:$I$15,0)))</f>
        <v>46196</v>
      </c>
      <c r="N165" s="247">
        <f>WORKDAY(IF(M166="",M165,M166),INDEX(N$12:N$15,MATCH($I164,$I$12:$I$15,0)))</f>
        <v>46197</v>
      </c>
      <c r="O165" s="247">
        <f>WORKDAY(IF(N166="",N165,N166),INDEX(O$12:O$15,MATCH($I164,$I$12:$I$15,0)))</f>
        <v>46204</v>
      </c>
      <c r="P165" s="248"/>
      <c r="Q165" s="249"/>
      <c r="R165" s="247">
        <f>WORKDAY(IF(O166="",O165,O166),INDEX(R$12:R$15,MATCH($I164,$I$12:$I$15,0)))</f>
        <v>46218</v>
      </c>
      <c r="S165" s="247">
        <f>WORKDAY(IF(R166="",R165,R166),INDEX(S$12:S$15,MATCH($I164,$I$12:$I$15,0)))</f>
        <v>46246</v>
      </c>
      <c r="T165" s="247">
        <f>WORKDAY(IF(S166="",S165,S166),INDEX(T$12:T$15,MATCH($I164,$I$12:$I$15,0)))</f>
        <v>46251</v>
      </c>
      <c r="U165" s="247">
        <f>WORKDAY(IF(T166="",T165,T166),INDEX(U$12:U$15,MATCH($I164,$I$12:$I$15,0)))-1</f>
        <v>46264</v>
      </c>
      <c r="V165" s="247">
        <f>WORKDAY(IF(U166="",U165,U166),INDEX(V$12:V$15,MATCH($I164,$I$12:$I$15,0)))</f>
        <v>46266</v>
      </c>
      <c r="W165" s="250"/>
      <c r="X165" s="247">
        <f>U165+Y164</f>
        <v>46447</v>
      </c>
      <c r="Y165" s="251"/>
      <c r="Z165" s="253"/>
      <c r="AA165" s="253"/>
      <c r="AB165" s="254"/>
      <c r="AC165" s="255">
        <f>IF(ISERROR(LOOKUP(AC$16,$L165:$X165,#REF!)),0,(LOOKUP(AC$16,$L165:$X165,#REF!)))</f>
        <v>0</v>
      </c>
      <c r="AD165" s="256">
        <f>IF(ISERROR(LOOKUP(AD$16,$L165:$X165,#REF!)),0,(LOOKUP(AD$16,$L165:$X165,#REF!)))</f>
        <v>0</v>
      </c>
      <c r="AE165" s="256">
        <f>IF(ISERROR(LOOKUP(AE$16,$L165:$X165,#REF!)),0,(LOOKUP(AE$16,$L165:$X165,#REF!)))</f>
        <v>0</v>
      </c>
      <c r="AF165" s="256">
        <f>IF(ISERROR(LOOKUP(AF$16,$L165:$X165,#REF!)),0,(LOOKUP(AF$16,$L165:$X165,#REF!)))</f>
        <v>0</v>
      </c>
      <c r="AG165" s="256">
        <f>IF(ISERROR(LOOKUP(AG$16,$L165:$X165,#REF!)),0,(LOOKUP(AG$16,$L165:$X165,#REF!)))</f>
        <v>0</v>
      </c>
      <c r="AH165" s="256">
        <f>IF(ISERROR(LOOKUP(AH$16,$L165:$X165,#REF!)),0,(LOOKUP(AH$16,$L165:$X165,#REF!)))</f>
        <v>0</v>
      </c>
      <c r="AI165" s="256">
        <f>IF(ISERROR(LOOKUP(AI$16,$L165:$X165,#REF!)),0,(LOOKUP(AI$16,$L165:$X165,#REF!)))</f>
        <v>0</v>
      </c>
      <c r="AJ165" s="256">
        <f>IF(ISERROR(LOOKUP(AJ$16,$L165:$X165,#REF!)),0,(LOOKUP(AJ$16,$L165:$X165,#REF!)))</f>
        <v>0</v>
      </c>
      <c r="AK165" s="256">
        <f>IF(ISERROR(LOOKUP(AK$16,$L165:$X165,#REF!)),0,(LOOKUP(AK$16,$L165:$X165,#REF!)))</f>
        <v>0</v>
      </c>
      <c r="AL165" s="256">
        <f>IF(ISERROR(LOOKUP(AL$16,$L165:$X165,#REF!)),0,(LOOKUP(AL$16,$L165:$X165,#REF!)))</f>
        <v>0</v>
      </c>
      <c r="AM165" s="256">
        <f ca="1">IF(ISERROR(LOOKUP(AM$16,$L165:$X165,#REF!)),0,(LOOKUP(AM$16,$L165:$X165,#REF!)))</f>
        <v>0</v>
      </c>
      <c r="AP165" s="247" t="e">
        <f>WORKDAY(IF(T166="",T165,T166),INDEX(AP$12:AP$15,MATCH($I164,$I$12:$I$15,0)),$AW$17:$AW$148)</f>
        <v>#REF!</v>
      </c>
      <c r="AQ165" s="247" t="e">
        <f>WORKDAY(IF(AP166="",AP165,AP166),INDEX(AQ$12:AQ$15,MATCH($I164,$I$12:$I$15,0)),$AW$17:$AW$148)</f>
        <v>#REF!</v>
      </c>
      <c r="AR165" s="247" t="e">
        <f>WORKDAY(IF(AQ166="",AQ165,AQ166),INDEX(AR$12:AR$15,MATCH($I164,$I$12:$I$15,0)),$AW$17:$AW$148)</f>
        <v>#REF!</v>
      </c>
      <c r="AS165" s="257"/>
      <c r="AW165" s="258" t="e">
        <v>#REF!</v>
      </c>
    </row>
    <row r="166" s="195" customFormat="1" ht="18" customHeight="1" spans="1:49">
      <c r="A166" s="241"/>
      <c r="B166" s="262"/>
      <c r="C166" s="243" t="str">
        <f>C164</f>
        <v>RFQ-050</v>
      </c>
      <c r="D166" s="243" t="str">
        <f>D164</f>
        <v>GLOBE VALVE (WELDED END)</v>
      </c>
      <c r="E166" s="243"/>
      <c r="F166" s="243" t="str">
        <f>F164</f>
        <v>Piping</v>
      </c>
      <c r="G166" s="243" t="str">
        <f>G164</f>
        <v>N</v>
      </c>
      <c r="H166" s="263"/>
      <c r="I166" s="243" t="str">
        <f>I164</f>
        <v>LB</v>
      </c>
      <c r="J166" s="303" t="s">
        <v>66</v>
      </c>
      <c r="K166" s="243"/>
      <c r="L166" s="243"/>
      <c r="M166" s="243"/>
      <c r="N166" s="243"/>
      <c r="O166" s="243"/>
      <c r="P166" s="265"/>
      <c r="Q166" s="266"/>
      <c r="R166" s="243"/>
      <c r="S166" s="243"/>
      <c r="T166" s="243"/>
      <c r="U166" s="243"/>
      <c r="V166" s="243"/>
      <c r="W166" s="267"/>
      <c r="X166" s="243"/>
      <c r="Y166" s="251"/>
      <c r="Z166" s="253"/>
      <c r="AA166" s="253"/>
      <c r="AB166" s="254"/>
      <c r="AC166" s="268">
        <f>IF(ISERROR(LOOKUP(AC$16,$L166:$X166,#REF!)),0,(LOOKUP(AC$16,$L166:$X166,#REF!)))</f>
        <v>0</v>
      </c>
      <c r="AD166" s="269">
        <f>IF(ISERROR(LOOKUP(AD$16,$L166:$X166,#REF!)),0,(LOOKUP(AD$16,$L166:$X166,#REF!)))</f>
        <v>0</v>
      </c>
      <c r="AE166" s="269">
        <f>IF(ISERROR(LOOKUP(AE$16,$L166:$X166,#REF!)),0,(LOOKUP(AE$16,$L166:$X166,#REF!)))</f>
        <v>0</v>
      </c>
      <c r="AF166" s="269">
        <f>IF(ISERROR(LOOKUP(AF$16,$L166:$X166,#REF!)),0,(LOOKUP(AF$16,$L166:$X166,#REF!)))</f>
        <v>0</v>
      </c>
      <c r="AG166" s="269">
        <f>IF(ISERROR(LOOKUP(AG$16,$L166:$X166,#REF!)),0,(LOOKUP(AG$16,$L166:$X166,#REF!)))</f>
        <v>0</v>
      </c>
      <c r="AH166" s="269">
        <f>IF(ISERROR(LOOKUP(AH$16,$L166:$X166,#REF!)),0,(LOOKUP(AH$16,$L166:$X166,#REF!)))</f>
        <v>0</v>
      </c>
      <c r="AI166" s="269">
        <f>IF(ISERROR(LOOKUP(AI$16,$L166:$X166,#REF!)),0,(LOOKUP(AI$16,$L166:$X166,#REF!)))</f>
        <v>0</v>
      </c>
      <c r="AJ166" s="269">
        <f>IF(ISERROR(LOOKUP(AJ$16,$L166:$X166,#REF!)),0,(LOOKUP(AJ$16,$L166:$X166,#REF!)))</f>
        <v>0</v>
      </c>
      <c r="AK166" s="269">
        <f>IF(ISERROR(LOOKUP(AK$16,$L166:$X166,#REF!)),0,(LOOKUP(AK$16,$L166:$X166,#REF!)))</f>
        <v>0</v>
      </c>
      <c r="AL166" s="269">
        <f>IF(ISERROR(LOOKUP(AL$16,$L166:$X166,#REF!)),0,(LOOKUP(AL$16,$L166:$X166,#REF!)))</f>
        <v>0</v>
      </c>
      <c r="AM166" s="269">
        <f ca="1">IF(ISERROR(LOOKUP(AM$16,$L166:$X166,#REF!)),0,(LOOKUP(AM$16,$L166:$X166,#REF!)))</f>
        <v>0</v>
      </c>
      <c r="AP166" s="243"/>
      <c r="AQ166" s="243"/>
      <c r="AR166" s="243"/>
      <c r="AS166" s="257"/>
      <c r="AW166" s="258" t="e">
        <v>#REF!</v>
      </c>
    </row>
    <row r="167" s="195" customFormat="1" ht="18" customHeight="1" spans="1:49">
      <c r="A167" s="241">
        <f>A164+1</f>
        <v>51</v>
      </c>
      <c r="B167" s="242"/>
      <c r="C167" s="243" t="s">
        <v>4841</v>
      </c>
      <c r="D167" s="243" t="s">
        <v>4842</v>
      </c>
      <c r="E167" s="243"/>
      <c r="F167" s="243" t="s">
        <v>85</v>
      </c>
      <c r="G167" s="243" t="s">
        <v>72</v>
      </c>
      <c r="H167" s="244"/>
      <c r="I167" s="243" t="s">
        <v>7</v>
      </c>
      <c r="J167" s="303" t="s">
        <v>4769</v>
      </c>
      <c r="K167" s="247">
        <f>WORKDAY(L167,-INDEX(L$12:L$15,MATCH($I167,$I$12:$I$15,0)))</f>
        <v>46188</v>
      </c>
      <c r="L167" s="247">
        <f>WORKDAY(M167,-INDEX(M$12:M$15,MATCH($I167,$I$12:$I$15,0)))</f>
        <v>46189</v>
      </c>
      <c r="M167" s="247">
        <f>WORKDAY(N167,-INDEX(N$12:N$15,MATCH($I167,$I$12:$I$15,0)))</f>
        <v>46196</v>
      </c>
      <c r="N167" s="247">
        <f>WORKDAY(O167,-INDEX(O$12:O$15,MATCH($I167,$I$12:$I$15,0)))</f>
        <v>46197</v>
      </c>
      <c r="O167" s="247">
        <f>WORKDAY(R167,-INDEX(R$12:R$15,MATCH($I167,$I$12:$I$15,0)))</f>
        <v>46204</v>
      </c>
      <c r="P167" s="248">
        <f>U167-L167</f>
        <v>75</v>
      </c>
      <c r="Q167" s="249"/>
      <c r="R167" s="247">
        <f>WORKDAY(S167,-INDEX(S$12:S$15,MATCH($I167,$I$12:$I$15,0)))</f>
        <v>46218</v>
      </c>
      <c r="S167" s="247">
        <f>WORKDAY(T167,-INDEX(T$12:T$15,MATCH($I167,$I$12:$I$15,0)))</f>
        <v>46246</v>
      </c>
      <c r="T167" s="247">
        <f>WORKDAY(U167,-INDEX(U$12:U$15,MATCH($I167,$I$12:$I$15,0)))</f>
        <v>46251</v>
      </c>
      <c r="U167" s="247">
        <f>X167-Y167</f>
        <v>46264</v>
      </c>
      <c r="V167" s="247">
        <f>WORKDAY(U167,INDEX(V$12:V$15,MATCH($I167,$I$12:$I$15,0)))</f>
        <v>46266</v>
      </c>
      <c r="W167" s="250">
        <f>Y167/7</f>
        <v>26.1428571428571</v>
      </c>
      <c r="X167" s="247">
        <f>Z167</f>
        <v>46447</v>
      </c>
      <c r="Y167" s="251">
        <v>183</v>
      </c>
      <c r="Z167" s="253">
        <v>46447</v>
      </c>
      <c r="AA167" s="253">
        <v>46538</v>
      </c>
      <c r="AB167" s="254">
        <f>Z167-X168</f>
        <v>0</v>
      </c>
      <c r="AC167" s="255">
        <f>IF(ISERROR(LOOKUP(AC$16,$L167:$X167,#REF!)),0,(LOOKUP(AC$16,$L167:$X167,#REF!)))</f>
        <v>0</v>
      </c>
      <c r="AD167" s="256">
        <f>IF(ISERROR(LOOKUP(AD$16,$L167:$X167,#REF!)),0,(LOOKUP(AD$16,$L167:$X167,#REF!)))</f>
        <v>0</v>
      </c>
      <c r="AE167" s="256">
        <f>IF(ISERROR(LOOKUP(AE$16,$L167:$X167,#REF!)),0,(LOOKUP(AE$16,$L167:$X167,#REF!)))</f>
        <v>0</v>
      </c>
      <c r="AF167" s="256">
        <f>IF(ISERROR(LOOKUP(AF$16,$L167:$X167,#REF!)),0,(LOOKUP(AF$16,$L167:$X167,#REF!)))</f>
        <v>0</v>
      </c>
      <c r="AG167" s="256">
        <f>IF(ISERROR(LOOKUP(AG$16,$L167:$X167,#REF!)),0,(LOOKUP(AG$16,$L167:$X167,#REF!)))</f>
        <v>0</v>
      </c>
      <c r="AH167" s="256">
        <f>IF(ISERROR(LOOKUP(AH$16,$L167:$X167,#REF!)),0,(LOOKUP(AH$16,$L167:$X167,#REF!)))</f>
        <v>0</v>
      </c>
      <c r="AI167" s="256">
        <f>IF(ISERROR(LOOKUP(AI$16,$L167:$X167,#REF!)),0,(LOOKUP(AI$16,$L167:$X167,#REF!)))</f>
        <v>0</v>
      </c>
      <c r="AJ167" s="256">
        <f>IF(ISERROR(LOOKUP(AJ$16,$L167:$X167,#REF!)),0,(LOOKUP(AJ$16,$L167:$X167,#REF!)))</f>
        <v>0</v>
      </c>
      <c r="AK167" s="256">
        <f>IF(ISERROR(LOOKUP(AK$16,$L167:$X167,#REF!)),0,(LOOKUP(AK$16,$L167:$X167,#REF!)))</f>
        <v>0</v>
      </c>
      <c r="AL167" s="256">
        <f>IF(ISERROR(LOOKUP(AL$16,$L167:$X167,#REF!)),0,(LOOKUP(AL$16,$L167:$X167,#REF!)))</f>
        <v>0</v>
      </c>
      <c r="AM167" s="256">
        <f ca="1">IF(ISERROR(LOOKUP(AM$16,$L167:$X167,#REF!)),0,(LOOKUP(AM$16,$L167:$X167,#REF!)))</f>
        <v>0</v>
      </c>
      <c r="AP167" s="247" t="e">
        <f>WORKDAY(AQ167,-INDEX(AQ$12:AQ$15,MATCH($I167,$I$12:$I$15,0)),$AW$17:$AW$148)</f>
        <v>#REF!</v>
      </c>
      <c r="AQ167" s="247" t="e">
        <f>WORKDAY(U167,-INDEX(U$12:U$15,MATCH($I167,$I$12:$I$15,0)),$AW$17:$AW$148)</f>
        <v>#REF!</v>
      </c>
      <c r="AR167" s="247" t="e">
        <f>WORKDAY(U167,-INDEX(U$12:U$15,MATCH($I167,$I$12:$I$15,0)),$AW$17:$AW$148)</f>
        <v>#REF!</v>
      </c>
      <c r="AS167" s="257">
        <v>7</v>
      </c>
      <c r="AW167" s="258" t="e">
        <v>#REF!</v>
      </c>
    </row>
    <row r="168" s="195" customFormat="1" ht="18" customHeight="1" spans="1:49">
      <c r="A168" s="241"/>
      <c r="B168" s="259"/>
      <c r="C168" s="243" t="str">
        <f>C167</f>
        <v>RFQ-051</v>
      </c>
      <c r="D168" s="243" t="str">
        <f>D167</f>
        <v>CHECK VALVE (FLANGE END)</v>
      </c>
      <c r="E168" s="243"/>
      <c r="F168" s="243" t="str">
        <f>F167</f>
        <v>Piping</v>
      </c>
      <c r="G168" s="243" t="str">
        <f>G167</f>
        <v>N</v>
      </c>
      <c r="H168" s="260"/>
      <c r="I168" s="243" t="str">
        <f>I167</f>
        <v>LB</v>
      </c>
      <c r="J168" s="303" t="s">
        <v>64</v>
      </c>
      <c r="K168" s="247">
        <f>K167</f>
        <v>46188</v>
      </c>
      <c r="L168" s="247">
        <f>WORKDAY(IF(K169="",K168,K169),INDEX(L$12:L$15,MATCH($I167,$I$12:$I$15,0)))</f>
        <v>46189</v>
      </c>
      <c r="M168" s="247">
        <f>WORKDAY(IF(L169="",L168,L169),INDEX(M$12:M$15,MATCH($I167,$I$12:$I$15,0)))</f>
        <v>46196</v>
      </c>
      <c r="N168" s="247">
        <f>WORKDAY(IF(M169="",M168,M169),INDEX(N$12:N$15,MATCH($I167,$I$12:$I$15,0)))</f>
        <v>46197</v>
      </c>
      <c r="O168" s="247">
        <f>WORKDAY(IF(N169="",N168,N169),INDEX(O$12:O$15,MATCH($I167,$I$12:$I$15,0)))</f>
        <v>46204</v>
      </c>
      <c r="P168" s="248"/>
      <c r="Q168" s="249"/>
      <c r="R168" s="247">
        <f>WORKDAY(IF(O169="",O168,O169),INDEX(R$12:R$15,MATCH($I167,$I$12:$I$15,0)))</f>
        <v>46218</v>
      </c>
      <c r="S168" s="247">
        <f>WORKDAY(IF(R169="",R168,R169),INDEX(S$12:S$15,MATCH($I167,$I$12:$I$15,0)))</f>
        <v>46246</v>
      </c>
      <c r="T168" s="247">
        <f>WORKDAY(IF(S169="",S168,S169),INDEX(T$12:T$15,MATCH($I167,$I$12:$I$15,0)))</f>
        <v>46251</v>
      </c>
      <c r="U168" s="247">
        <f>WORKDAY(IF(T169="",T168,T169),INDEX(U$12:U$15,MATCH($I167,$I$12:$I$15,0)))-1</f>
        <v>46264</v>
      </c>
      <c r="V168" s="247">
        <f>WORKDAY(IF(U169="",U168,U169),INDEX(V$12:V$15,MATCH($I167,$I$12:$I$15,0)))</f>
        <v>46266</v>
      </c>
      <c r="W168" s="250"/>
      <c r="X168" s="247">
        <f>U168+Y167</f>
        <v>46447</v>
      </c>
      <c r="Y168" s="251"/>
      <c r="Z168" s="253"/>
      <c r="AA168" s="253"/>
      <c r="AB168" s="254"/>
      <c r="AC168" s="255">
        <f>IF(ISERROR(LOOKUP(AC$16,$L168:$X168,#REF!)),0,(LOOKUP(AC$16,$L168:$X168,#REF!)))</f>
        <v>0</v>
      </c>
      <c r="AD168" s="256">
        <f>IF(ISERROR(LOOKUP(AD$16,$L168:$X168,#REF!)),0,(LOOKUP(AD$16,$L168:$X168,#REF!)))</f>
        <v>0</v>
      </c>
      <c r="AE168" s="256">
        <f>IF(ISERROR(LOOKUP(AE$16,$L168:$X168,#REF!)),0,(LOOKUP(AE$16,$L168:$X168,#REF!)))</f>
        <v>0</v>
      </c>
      <c r="AF168" s="256">
        <f>IF(ISERROR(LOOKUP(AF$16,$L168:$X168,#REF!)),0,(LOOKUP(AF$16,$L168:$X168,#REF!)))</f>
        <v>0</v>
      </c>
      <c r="AG168" s="256">
        <f>IF(ISERROR(LOOKUP(AG$16,$L168:$X168,#REF!)),0,(LOOKUP(AG$16,$L168:$X168,#REF!)))</f>
        <v>0</v>
      </c>
      <c r="AH168" s="256">
        <f>IF(ISERROR(LOOKUP(AH$16,$L168:$X168,#REF!)),0,(LOOKUP(AH$16,$L168:$X168,#REF!)))</f>
        <v>0</v>
      </c>
      <c r="AI168" s="256">
        <f>IF(ISERROR(LOOKUP(AI$16,$L168:$X168,#REF!)),0,(LOOKUP(AI$16,$L168:$X168,#REF!)))</f>
        <v>0</v>
      </c>
      <c r="AJ168" s="256">
        <f>IF(ISERROR(LOOKUP(AJ$16,$L168:$X168,#REF!)),0,(LOOKUP(AJ$16,$L168:$X168,#REF!)))</f>
        <v>0</v>
      </c>
      <c r="AK168" s="256">
        <f>IF(ISERROR(LOOKUP(AK$16,$L168:$X168,#REF!)),0,(LOOKUP(AK$16,$L168:$X168,#REF!)))</f>
        <v>0</v>
      </c>
      <c r="AL168" s="256">
        <f>IF(ISERROR(LOOKUP(AL$16,$L168:$X168,#REF!)),0,(LOOKUP(AL$16,$L168:$X168,#REF!)))</f>
        <v>0</v>
      </c>
      <c r="AM168" s="256">
        <f ca="1">IF(ISERROR(LOOKUP(AM$16,$L168:$X168,#REF!)),0,(LOOKUP(AM$16,$L168:$X168,#REF!)))</f>
        <v>0</v>
      </c>
      <c r="AP168" s="247" t="e">
        <f>WORKDAY(IF(T169="",T168,T169),INDEX(AP$12:AP$15,MATCH($I167,$I$12:$I$15,0)),$AW$17:$AW$148)</f>
        <v>#REF!</v>
      </c>
      <c r="AQ168" s="247" t="e">
        <f>WORKDAY(IF(AP169="",AP168,AP169),INDEX(AQ$12:AQ$15,MATCH($I167,$I$12:$I$15,0)),$AW$17:$AW$148)</f>
        <v>#REF!</v>
      </c>
      <c r="AR168" s="247" t="e">
        <f>WORKDAY(IF(AQ169="",AQ168,AQ169),INDEX(AR$12:AR$15,MATCH($I167,$I$12:$I$15,0)),$AW$17:$AW$148)</f>
        <v>#REF!</v>
      </c>
      <c r="AS168" s="257"/>
      <c r="AW168" s="258" t="e">
        <v>#REF!</v>
      </c>
    </row>
    <row r="169" s="195" customFormat="1" ht="18" customHeight="1" spans="1:49">
      <c r="A169" s="241"/>
      <c r="B169" s="262"/>
      <c r="C169" s="243" t="str">
        <f>C167</f>
        <v>RFQ-051</v>
      </c>
      <c r="D169" s="243" t="str">
        <f>D167</f>
        <v>CHECK VALVE (FLANGE END)</v>
      </c>
      <c r="E169" s="243"/>
      <c r="F169" s="243" t="str">
        <f>F167</f>
        <v>Piping</v>
      </c>
      <c r="G169" s="243" t="str">
        <f>G167</f>
        <v>N</v>
      </c>
      <c r="H169" s="263"/>
      <c r="I169" s="243" t="str">
        <f>I167</f>
        <v>LB</v>
      </c>
      <c r="J169" s="303" t="s">
        <v>66</v>
      </c>
      <c r="K169" s="243"/>
      <c r="L169" s="243"/>
      <c r="M169" s="243"/>
      <c r="N169" s="243"/>
      <c r="O169" s="243"/>
      <c r="P169" s="265"/>
      <c r="Q169" s="266"/>
      <c r="R169" s="243"/>
      <c r="S169" s="243"/>
      <c r="T169" s="243"/>
      <c r="U169" s="243"/>
      <c r="V169" s="243"/>
      <c r="W169" s="267"/>
      <c r="X169" s="243"/>
      <c r="Y169" s="251"/>
      <c r="Z169" s="253"/>
      <c r="AA169" s="253"/>
      <c r="AB169" s="254"/>
      <c r="AC169" s="268">
        <f>IF(ISERROR(LOOKUP(AC$16,$L169:$X169,#REF!)),0,(LOOKUP(AC$16,$L169:$X169,#REF!)))</f>
        <v>0</v>
      </c>
      <c r="AD169" s="269">
        <f>IF(ISERROR(LOOKUP(AD$16,$L169:$X169,#REF!)),0,(LOOKUP(AD$16,$L169:$X169,#REF!)))</f>
        <v>0</v>
      </c>
      <c r="AE169" s="269">
        <f>IF(ISERROR(LOOKUP(AE$16,$L169:$X169,#REF!)),0,(LOOKUP(AE$16,$L169:$X169,#REF!)))</f>
        <v>0</v>
      </c>
      <c r="AF169" s="269">
        <f>IF(ISERROR(LOOKUP(AF$16,$L169:$X169,#REF!)),0,(LOOKUP(AF$16,$L169:$X169,#REF!)))</f>
        <v>0</v>
      </c>
      <c r="AG169" s="269">
        <f>IF(ISERROR(LOOKUP(AG$16,$L169:$X169,#REF!)),0,(LOOKUP(AG$16,$L169:$X169,#REF!)))</f>
        <v>0</v>
      </c>
      <c r="AH169" s="269">
        <f>IF(ISERROR(LOOKUP(AH$16,$L169:$X169,#REF!)),0,(LOOKUP(AH$16,$L169:$X169,#REF!)))</f>
        <v>0</v>
      </c>
      <c r="AI169" s="269">
        <f>IF(ISERROR(LOOKUP(AI$16,$L169:$X169,#REF!)),0,(LOOKUP(AI$16,$L169:$X169,#REF!)))</f>
        <v>0</v>
      </c>
      <c r="AJ169" s="269">
        <f>IF(ISERROR(LOOKUP(AJ$16,$L169:$X169,#REF!)),0,(LOOKUP(AJ$16,$L169:$X169,#REF!)))</f>
        <v>0</v>
      </c>
      <c r="AK169" s="269">
        <f>IF(ISERROR(LOOKUP(AK$16,$L169:$X169,#REF!)),0,(LOOKUP(AK$16,$L169:$X169,#REF!)))</f>
        <v>0</v>
      </c>
      <c r="AL169" s="269">
        <f>IF(ISERROR(LOOKUP(AL$16,$L169:$X169,#REF!)),0,(LOOKUP(AL$16,$L169:$X169,#REF!)))</f>
        <v>0</v>
      </c>
      <c r="AM169" s="269">
        <f ca="1">IF(ISERROR(LOOKUP(AM$16,$L169:$X169,#REF!)),0,(LOOKUP(AM$16,$L169:$X169,#REF!)))</f>
        <v>0</v>
      </c>
      <c r="AP169" s="243"/>
      <c r="AQ169" s="243"/>
      <c r="AR169" s="243"/>
      <c r="AS169" s="257"/>
      <c r="AW169" s="258" t="e">
        <v>#REF!</v>
      </c>
    </row>
    <row r="170" s="195" customFormat="1" ht="18" customHeight="1" spans="1:49">
      <c r="A170" s="241">
        <f>A167+1</f>
        <v>52</v>
      </c>
      <c r="B170" s="242"/>
      <c r="C170" s="243" t="s">
        <v>4843</v>
      </c>
      <c r="D170" s="243" t="s">
        <v>4844</v>
      </c>
      <c r="E170" s="243"/>
      <c r="F170" s="243" t="s">
        <v>85</v>
      </c>
      <c r="G170" s="243" t="s">
        <v>72</v>
      </c>
      <c r="H170" s="244"/>
      <c r="I170" s="243" t="s">
        <v>7</v>
      </c>
      <c r="J170" s="303" t="s">
        <v>4769</v>
      </c>
      <c r="K170" s="247">
        <f>WORKDAY(L170,-INDEX(L$12:L$15,MATCH($I170,$I$12:$I$15,0)))</f>
        <v>46188</v>
      </c>
      <c r="L170" s="247">
        <f>WORKDAY(M170,-INDEX(M$12:M$15,MATCH($I170,$I$12:$I$15,0)))</f>
        <v>46189</v>
      </c>
      <c r="M170" s="247">
        <f>WORKDAY(N170,-INDEX(N$12:N$15,MATCH($I170,$I$12:$I$15,0)))</f>
        <v>46196</v>
      </c>
      <c r="N170" s="247">
        <f>WORKDAY(O170,-INDEX(O$12:O$15,MATCH($I170,$I$12:$I$15,0)))</f>
        <v>46197</v>
      </c>
      <c r="O170" s="247">
        <f>WORKDAY(R170,-INDEX(R$12:R$15,MATCH($I170,$I$12:$I$15,0)))</f>
        <v>46204</v>
      </c>
      <c r="P170" s="248">
        <f>U170-L170</f>
        <v>75</v>
      </c>
      <c r="Q170" s="249"/>
      <c r="R170" s="247">
        <f>WORKDAY(S170,-INDEX(S$12:S$15,MATCH($I170,$I$12:$I$15,0)))</f>
        <v>46218</v>
      </c>
      <c r="S170" s="247">
        <f>WORKDAY(T170,-INDEX(T$12:T$15,MATCH($I170,$I$12:$I$15,0)))</f>
        <v>46246</v>
      </c>
      <c r="T170" s="247">
        <f>WORKDAY(U170,-INDEX(U$12:U$15,MATCH($I170,$I$12:$I$15,0)))</f>
        <v>46251</v>
      </c>
      <c r="U170" s="247">
        <f>X170-Y170</f>
        <v>46264</v>
      </c>
      <c r="V170" s="247">
        <f>WORKDAY(U170,INDEX(V$12:V$15,MATCH($I170,$I$12:$I$15,0)))</f>
        <v>46266</v>
      </c>
      <c r="W170" s="250">
        <f>Y170/7</f>
        <v>26.1428571428571</v>
      </c>
      <c r="X170" s="247">
        <f>Z170</f>
        <v>46447</v>
      </c>
      <c r="Y170" s="251">
        <v>183</v>
      </c>
      <c r="Z170" s="253">
        <v>46447</v>
      </c>
      <c r="AA170" s="253">
        <v>46538</v>
      </c>
      <c r="AB170" s="254">
        <f>Z170-X171</f>
        <v>0</v>
      </c>
      <c r="AC170" s="255">
        <f>IF(ISERROR(LOOKUP(AC$16,$L170:$X170,#REF!)),0,(LOOKUP(AC$16,$L170:$X170,#REF!)))</f>
        <v>0</v>
      </c>
      <c r="AD170" s="256">
        <f>IF(ISERROR(LOOKUP(AD$16,$L170:$X170,#REF!)),0,(LOOKUP(AD$16,$L170:$X170,#REF!)))</f>
        <v>0</v>
      </c>
      <c r="AE170" s="256">
        <f>IF(ISERROR(LOOKUP(AE$16,$L170:$X170,#REF!)),0,(LOOKUP(AE$16,$L170:$X170,#REF!)))</f>
        <v>0</v>
      </c>
      <c r="AF170" s="256">
        <f>IF(ISERROR(LOOKUP(AF$16,$L170:$X170,#REF!)),0,(LOOKUP(AF$16,$L170:$X170,#REF!)))</f>
        <v>0</v>
      </c>
      <c r="AG170" s="256">
        <f>IF(ISERROR(LOOKUP(AG$16,$L170:$X170,#REF!)),0,(LOOKUP(AG$16,$L170:$X170,#REF!)))</f>
        <v>0</v>
      </c>
      <c r="AH170" s="256">
        <f>IF(ISERROR(LOOKUP(AH$16,$L170:$X170,#REF!)),0,(LOOKUP(AH$16,$L170:$X170,#REF!)))</f>
        <v>0</v>
      </c>
      <c r="AI170" s="256">
        <f>IF(ISERROR(LOOKUP(AI$16,$L170:$X170,#REF!)),0,(LOOKUP(AI$16,$L170:$X170,#REF!)))</f>
        <v>0</v>
      </c>
      <c r="AJ170" s="256">
        <f>IF(ISERROR(LOOKUP(AJ$16,$L170:$X170,#REF!)),0,(LOOKUP(AJ$16,$L170:$X170,#REF!)))</f>
        <v>0</v>
      </c>
      <c r="AK170" s="256">
        <f>IF(ISERROR(LOOKUP(AK$16,$L170:$X170,#REF!)),0,(LOOKUP(AK$16,$L170:$X170,#REF!)))</f>
        <v>0</v>
      </c>
      <c r="AL170" s="256">
        <f>IF(ISERROR(LOOKUP(AL$16,$L170:$X170,#REF!)),0,(LOOKUP(AL$16,$L170:$X170,#REF!)))</f>
        <v>0</v>
      </c>
      <c r="AM170" s="256">
        <f ca="1">IF(ISERROR(LOOKUP(AM$16,$L170:$X170,#REF!)),0,(LOOKUP(AM$16,$L170:$X170,#REF!)))</f>
        <v>0</v>
      </c>
      <c r="AP170" s="247" t="e">
        <f>WORKDAY(AQ170,-INDEX(AQ$12:AQ$15,MATCH($I170,$I$12:$I$15,0)),$AW$17:$AW$148)</f>
        <v>#REF!</v>
      </c>
      <c r="AQ170" s="247" t="e">
        <f>WORKDAY(U170,-INDEX(U$12:U$15,MATCH($I170,$I$12:$I$15,0)),$AW$17:$AW$148)</f>
        <v>#REF!</v>
      </c>
      <c r="AR170" s="247" t="e">
        <f>WORKDAY(U170,-INDEX(U$12:U$15,MATCH($I170,$I$12:$I$15,0)),$AW$17:$AW$148)</f>
        <v>#REF!</v>
      </c>
      <c r="AS170" s="257">
        <v>7</v>
      </c>
      <c r="AW170" s="258" t="e">
        <v>#REF!</v>
      </c>
    </row>
    <row r="171" s="195" customFormat="1" ht="18" customHeight="1" spans="1:49">
      <c r="A171" s="241"/>
      <c r="B171" s="259"/>
      <c r="C171" s="243" t="str">
        <f>C170</f>
        <v>RFQ-052</v>
      </c>
      <c r="D171" s="243" t="str">
        <f>D170</f>
        <v>CHECK VALVE (WELDED END)</v>
      </c>
      <c r="E171" s="243"/>
      <c r="F171" s="243" t="str">
        <f>F170</f>
        <v>Piping</v>
      </c>
      <c r="G171" s="243" t="str">
        <f>G170</f>
        <v>N</v>
      </c>
      <c r="H171" s="260"/>
      <c r="I171" s="243" t="str">
        <f>I170</f>
        <v>LB</v>
      </c>
      <c r="J171" s="303" t="s">
        <v>64</v>
      </c>
      <c r="K171" s="247">
        <f>K170</f>
        <v>46188</v>
      </c>
      <c r="L171" s="247">
        <f>WORKDAY(IF(K172="",K171,K172),INDEX(L$12:L$15,MATCH($I170,$I$12:$I$15,0)))</f>
        <v>46189</v>
      </c>
      <c r="M171" s="247">
        <f>WORKDAY(IF(L172="",L171,L172),INDEX(M$12:M$15,MATCH($I170,$I$12:$I$15,0)))</f>
        <v>46196</v>
      </c>
      <c r="N171" s="247">
        <f>WORKDAY(IF(M172="",M171,M172),INDEX(N$12:N$15,MATCH($I170,$I$12:$I$15,0)))</f>
        <v>46197</v>
      </c>
      <c r="O171" s="247">
        <f>WORKDAY(IF(N172="",N171,N172),INDEX(O$12:O$15,MATCH($I170,$I$12:$I$15,0)))</f>
        <v>46204</v>
      </c>
      <c r="P171" s="248"/>
      <c r="Q171" s="249"/>
      <c r="R171" s="247">
        <f>WORKDAY(IF(O172="",O171,O172),INDEX(R$12:R$15,MATCH($I170,$I$12:$I$15,0)))</f>
        <v>46218</v>
      </c>
      <c r="S171" s="247">
        <f>WORKDAY(IF(R172="",R171,R172),INDEX(S$12:S$15,MATCH($I170,$I$12:$I$15,0)))</f>
        <v>46246</v>
      </c>
      <c r="T171" s="247">
        <f>WORKDAY(IF(S172="",S171,S172),INDEX(T$12:T$15,MATCH($I170,$I$12:$I$15,0)))</f>
        <v>46251</v>
      </c>
      <c r="U171" s="247">
        <f>WORKDAY(IF(T172="",T171,T172),INDEX(U$12:U$15,MATCH($I170,$I$12:$I$15,0)))-1</f>
        <v>46264</v>
      </c>
      <c r="V171" s="247">
        <f>WORKDAY(IF(U172="",U171,U172),INDEX(V$12:V$15,MATCH($I170,$I$12:$I$15,0)))</f>
        <v>46266</v>
      </c>
      <c r="W171" s="250"/>
      <c r="X171" s="247">
        <f>U171+Y170</f>
        <v>46447</v>
      </c>
      <c r="Y171" s="251"/>
      <c r="Z171" s="253"/>
      <c r="AA171" s="253"/>
      <c r="AB171" s="254"/>
      <c r="AC171" s="255">
        <f>IF(ISERROR(LOOKUP(AC$16,$L171:$X171,#REF!)),0,(LOOKUP(AC$16,$L171:$X171,#REF!)))</f>
        <v>0</v>
      </c>
      <c r="AD171" s="256">
        <f>IF(ISERROR(LOOKUP(AD$16,$L171:$X171,#REF!)),0,(LOOKUP(AD$16,$L171:$X171,#REF!)))</f>
        <v>0</v>
      </c>
      <c r="AE171" s="256">
        <f>IF(ISERROR(LOOKUP(AE$16,$L171:$X171,#REF!)),0,(LOOKUP(AE$16,$L171:$X171,#REF!)))</f>
        <v>0</v>
      </c>
      <c r="AF171" s="256">
        <f>IF(ISERROR(LOOKUP(AF$16,$L171:$X171,#REF!)),0,(LOOKUP(AF$16,$L171:$X171,#REF!)))</f>
        <v>0</v>
      </c>
      <c r="AG171" s="256">
        <f>IF(ISERROR(LOOKUP(AG$16,$L171:$X171,#REF!)),0,(LOOKUP(AG$16,$L171:$X171,#REF!)))</f>
        <v>0</v>
      </c>
      <c r="AH171" s="256">
        <f>IF(ISERROR(LOOKUP(AH$16,$L171:$X171,#REF!)),0,(LOOKUP(AH$16,$L171:$X171,#REF!)))</f>
        <v>0</v>
      </c>
      <c r="AI171" s="256">
        <f>IF(ISERROR(LOOKUP(AI$16,$L171:$X171,#REF!)),0,(LOOKUP(AI$16,$L171:$X171,#REF!)))</f>
        <v>0</v>
      </c>
      <c r="AJ171" s="256">
        <f>IF(ISERROR(LOOKUP(AJ$16,$L171:$X171,#REF!)),0,(LOOKUP(AJ$16,$L171:$X171,#REF!)))</f>
        <v>0</v>
      </c>
      <c r="AK171" s="256">
        <f>IF(ISERROR(LOOKUP(AK$16,$L171:$X171,#REF!)),0,(LOOKUP(AK$16,$L171:$X171,#REF!)))</f>
        <v>0</v>
      </c>
      <c r="AL171" s="256">
        <f>IF(ISERROR(LOOKUP(AL$16,$L171:$X171,#REF!)),0,(LOOKUP(AL$16,$L171:$X171,#REF!)))</f>
        <v>0</v>
      </c>
      <c r="AM171" s="256">
        <f ca="1">IF(ISERROR(LOOKUP(AM$16,$L171:$X171,#REF!)),0,(LOOKUP(AM$16,$L171:$X171,#REF!)))</f>
        <v>0</v>
      </c>
      <c r="AP171" s="247" t="e">
        <f>WORKDAY(IF(T172="",T171,T172),INDEX(AP$12:AP$15,MATCH($I170,$I$12:$I$15,0)),$AW$17:$AW$148)</f>
        <v>#REF!</v>
      </c>
      <c r="AQ171" s="247" t="e">
        <f>WORKDAY(IF(AP172="",AP171,AP172),INDEX(AQ$12:AQ$15,MATCH($I170,$I$12:$I$15,0)),$AW$17:$AW$148)</f>
        <v>#REF!</v>
      </c>
      <c r="AR171" s="247" t="e">
        <f>WORKDAY(IF(AQ172="",AQ171,AQ172),INDEX(AR$12:AR$15,MATCH($I170,$I$12:$I$15,0)),$AW$17:$AW$148)</f>
        <v>#REF!</v>
      </c>
      <c r="AS171" s="257"/>
      <c r="AW171" s="258" t="e">
        <v>#REF!</v>
      </c>
    </row>
    <row r="172" s="195" customFormat="1" ht="18" customHeight="1" spans="1:49">
      <c r="A172" s="241"/>
      <c r="B172" s="262"/>
      <c r="C172" s="243" t="str">
        <f>C170</f>
        <v>RFQ-052</v>
      </c>
      <c r="D172" s="243" t="str">
        <f>D170</f>
        <v>CHECK VALVE (WELDED END)</v>
      </c>
      <c r="E172" s="243"/>
      <c r="F172" s="243" t="str">
        <f>F170</f>
        <v>Piping</v>
      </c>
      <c r="G172" s="243" t="str">
        <f>G170</f>
        <v>N</v>
      </c>
      <c r="H172" s="263"/>
      <c r="I172" s="243" t="str">
        <f>I170</f>
        <v>LB</v>
      </c>
      <c r="J172" s="303" t="s">
        <v>66</v>
      </c>
      <c r="K172" s="243"/>
      <c r="L172" s="243"/>
      <c r="M172" s="243"/>
      <c r="N172" s="243"/>
      <c r="O172" s="243"/>
      <c r="P172" s="265"/>
      <c r="Q172" s="266"/>
      <c r="R172" s="243"/>
      <c r="S172" s="243"/>
      <c r="T172" s="243"/>
      <c r="U172" s="243"/>
      <c r="V172" s="243"/>
      <c r="W172" s="267"/>
      <c r="X172" s="243"/>
      <c r="Y172" s="251"/>
      <c r="Z172" s="253"/>
      <c r="AA172" s="253"/>
      <c r="AB172" s="254"/>
      <c r="AC172" s="268">
        <f>IF(ISERROR(LOOKUP(AC$16,$L172:$X172,#REF!)),0,(LOOKUP(AC$16,$L172:$X172,#REF!)))</f>
        <v>0</v>
      </c>
      <c r="AD172" s="269">
        <f>IF(ISERROR(LOOKUP(AD$16,$L172:$X172,#REF!)),0,(LOOKUP(AD$16,$L172:$X172,#REF!)))</f>
        <v>0</v>
      </c>
      <c r="AE172" s="269">
        <f>IF(ISERROR(LOOKUP(AE$16,$L172:$X172,#REF!)),0,(LOOKUP(AE$16,$L172:$X172,#REF!)))</f>
        <v>0</v>
      </c>
      <c r="AF172" s="269">
        <f>IF(ISERROR(LOOKUP(AF$16,$L172:$X172,#REF!)),0,(LOOKUP(AF$16,$L172:$X172,#REF!)))</f>
        <v>0</v>
      </c>
      <c r="AG172" s="269">
        <f>IF(ISERROR(LOOKUP(AG$16,$L172:$X172,#REF!)),0,(LOOKUP(AG$16,$L172:$X172,#REF!)))</f>
        <v>0</v>
      </c>
      <c r="AH172" s="269">
        <f>IF(ISERROR(LOOKUP(AH$16,$L172:$X172,#REF!)),0,(LOOKUP(AH$16,$L172:$X172,#REF!)))</f>
        <v>0</v>
      </c>
      <c r="AI172" s="269">
        <f>IF(ISERROR(LOOKUP(AI$16,$L172:$X172,#REF!)),0,(LOOKUP(AI$16,$L172:$X172,#REF!)))</f>
        <v>0</v>
      </c>
      <c r="AJ172" s="269">
        <f>IF(ISERROR(LOOKUP(AJ$16,$L172:$X172,#REF!)),0,(LOOKUP(AJ$16,$L172:$X172,#REF!)))</f>
        <v>0</v>
      </c>
      <c r="AK172" s="269">
        <f>IF(ISERROR(LOOKUP(AK$16,$L172:$X172,#REF!)),0,(LOOKUP(AK$16,$L172:$X172,#REF!)))</f>
        <v>0</v>
      </c>
      <c r="AL172" s="269">
        <f>IF(ISERROR(LOOKUP(AL$16,$L172:$X172,#REF!)),0,(LOOKUP(AL$16,$L172:$X172,#REF!)))</f>
        <v>0</v>
      </c>
      <c r="AM172" s="269">
        <f ca="1">IF(ISERROR(LOOKUP(AM$16,$L172:$X172,#REF!)),0,(LOOKUP(AM$16,$L172:$X172,#REF!)))</f>
        <v>0</v>
      </c>
      <c r="AP172" s="243"/>
      <c r="AQ172" s="243"/>
      <c r="AR172" s="243"/>
      <c r="AS172" s="257"/>
      <c r="AW172" s="258" t="e">
        <v>#REF!</v>
      </c>
    </row>
    <row r="173" s="195" customFormat="1" ht="18" customHeight="1" spans="1:49">
      <c r="A173" s="241">
        <f>A170+1</f>
        <v>53</v>
      </c>
      <c r="B173" s="242"/>
      <c r="C173" s="243" t="s">
        <v>4845</v>
      </c>
      <c r="D173" s="243" t="s">
        <v>4846</v>
      </c>
      <c r="E173" s="243"/>
      <c r="F173" s="243" t="s">
        <v>85</v>
      </c>
      <c r="G173" s="243" t="s">
        <v>72</v>
      </c>
      <c r="H173" s="244"/>
      <c r="I173" s="243" t="s">
        <v>7</v>
      </c>
      <c r="J173" s="303" t="s">
        <v>4769</v>
      </c>
      <c r="K173" s="247">
        <f>WORKDAY(L173,-INDEX(L$12:L$15,MATCH($I173,$I$12:$I$15,0)))</f>
        <v>46160</v>
      </c>
      <c r="L173" s="247">
        <f>WORKDAY(M173,-INDEX(M$12:M$15,MATCH($I173,$I$12:$I$15,0)))</f>
        <v>46161</v>
      </c>
      <c r="M173" s="247">
        <f>WORKDAY(N173,-INDEX(N$12:N$15,MATCH($I173,$I$12:$I$15,0)))</f>
        <v>46168</v>
      </c>
      <c r="N173" s="247">
        <f>WORKDAY(O173,-INDEX(O$12:O$15,MATCH($I173,$I$12:$I$15,0)))</f>
        <v>46169</v>
      </c>
      <c r="O173" s="247">
        <f>WORKDAY(R173,-INDEX(R$12:R$15,MATCH($I173,$I$12:$I$15,0)))</f>
        <v>46176</v>
      </c>
      <c r="P173" s="248">
        <f>U173-L173</f>
        <v>76</v>
      </c>
      <c r="Q173" s="249"/>
      <c r="R173" s="247">
        <f>WORKDAY(S173,-INDEX(S$12:S$15,MATCH($I173,$I$12:$I$15,0)))</f>
        <v>46190</v>
      </c>
      <c r="S173" s="247">
        <f>WORKDAY(T173,-INDEX(T$12:T$15,MATCH($I173,$I$12:$I$15,0)))</f>
        <v>46218</v>
      </c>
      <c r="T173" s="247">
        <f>WORKDAY(U173,-INDEX(U$12:U$15,MATCH($I173,$I$12:$I$15,0)))</f>
        <v>46223</v>
      </c>
      <c r="U173" s="247">
        <f>X173-Y173</f>
        <v>46237</v>
      </c>
      <c r="V173" s="247">
        <f>WORKDAY(U173,INDEX(V$12:V$15,MATCH($I173,$I$12:$I$15,0)))</f>
        <v>46239</v>
      </c>
      <c r="W173" s="250">
        <f>Y173/7</f>
        <v>30</v>
      </c>
      <c r="X173" s="247">
        <f>Z173</f>
        <v>46447</v>
      </c>
      <c r="Y173" s="251">
        <v>210</v>
      </c>
      <c r="Z173" s="253">
        <v>46447</v>
      </c>
      <c r="AA173" s="253">
        <v>46538</v>
      </c>
      <c r="AB173" s="254">
        <f>Z173-X174</f>
        <v>0</v>
      </c>
      <c r="AC173" s="255">
        <f>IF(ISERROR(LOOKUP(AC$16,$L173:$X173,#REF!)),0,(LOOKUP(AC$16,$L173:$X173,#REF!)))</f>
        <v>0</v>
      </c>
      <c r="AD173" s="256">
        <f>IF(ISERROR(LOOKUP(AD$16,$L173:$X173,#REF!)),0,(LOOKUP(AD$16,$L173:$X173,#REF!)))</f>
        <v>0</v>
      </c>
      <c r="AE173" s="256">
        <f>IF(ISERROR(LOOKUP(AE$16,$L173:$X173,#REF!)),0,(LOOKUP(AE$16,$L173:$X173,#REF!)))</f>
        <v>0</v>
      </c>
      <c r="AF173" s="256">
        <f>IF(ISERROR(LOOKUP(AF$16,$L173:$X173,#REF!)),0,(LOOKUP(AF$16,$L173:$X173,#REF!)))</f>
        <v>0</v>
      </c>
      <c r="AG173" s="256">
        <f>IF(ISERROR(LOOKUP(AG$16,$L173:$X173,#REF!)),0,(LOOKUP(AG$16,$L173:$X173,#REF!)))</f>
        <v>0</v>
      </c>
      <c r="AH173" s="256">
        <f>IF(ISERROR(LOOKUP(AH$16,$L173:$X173,#REF!)),0,(LOOKUP(AH$16,$L173:$X173,#REF!)))</f>
        <v>0</v>
      </c>
      <c r="AI173" s="256">
        <f>IF(ISERROR(LOOKUP(AI$16,$L173:$X173,#REF!)),0,(LOOKUP(AI$16,$L173:$X173,#REF!)))</f>
        <v>0</v>
      </c>
      <c r="AJ173" s="256">
        <f>IF(ISERROR(LOOKUP(AJ$16,$L173:$X173,#REF!)),0,(LOOKUP(AJ$16,$L173:$X173,#REF!)))</f>
        <v>0</v>
      </c>
      <c r="AK173" s="256">
        <f>IF(ISERROR(LOOKUP(AK$16,$L173:$X173,#REF!)),0,(LOOKUP(AK$16,$L173:$X173,#REF!)))</f>
        <v>0</v>
      </c>
      <c r="AL173" s="256">
        <f>IF(ISERROR(LOOKUP(AL$16,$L173:$X173,#REF!)),0,(LOOKUP(AL$16,$L173:$X173,#REF!)))</f>
        <v>0</v>
      </c>
      <c r="AM173" s="256">
        <f ca="1">IF(ISERROR(LOOKUP(AM$16,$L173:$X173,#REF!)),0,(LOOKUP(AM$16,$L173:$X173,#REF!)))</f>
        <v>0</v>
      </c>
      <c r="AP173" s="247" t="e">
        <f>WORKDAY(AQ173,-INDEX(AQ$12:AQ$15,MATCH($I173,$I$12:$I$15,0)),$AW$17:$AW$148)</f>
        <v>#REF!</v>
      </c>
      <c r="AQ173" s="247" t="e">
        <f>WORKDAY(U173,-INDEX(U$12:U$15,MATCH($I173,$I$12:$I$15,0)),$AW$17:$AW$148)</f>
        <v>#REF!</v>
      </c>
      <c r="AR173" s="247" t="e">
        <f>WORKDAY(U173,-INDEX(U$12:U$15,MATCH($I173,$I$12:$I$15,0)),$AW$17:$AW$148)</f>
        <v>#REF!</v>
      </c>
      <c r="AS173" s="257">
        <v>7</v>
      </c>
      <c r="AW173" s="258" t="e">
        <v>#REF!</v>
      </c>
    </row>
    <row r="174" s="195" customFormat="1" ht="18" customHeight="1" spans="1:49">
      <c r="A174" s="241"/>
      <c r="B174" s="259"/>
      <c r="C174" s="243" t="str">
        <f>C173</f>
        <v>RFQ-053</v>
      </c>
      <c r="D174" s="243" t="str">
        <f>D173</f>
        <v>COMPACT CHECK VALVE (WELDED END)</v>
      </c>
      <c r="E174" s="243"/>
      <c r="F174" s="243" t="str">
        <f>F173</f>
        <v>Piping</v>
      </c>
      <c r="G174" s="243" t="str">
        <f>G173</f>
        <v>N</v>
      </c>
      <c r="H174" s="260"/>
      <c r="I174" s="243" t="str">
        <f>I173</f>
        <v>LB</v>
      </c>
      <c r="J174" s="303" t="s">
        <v>64</v>
      </c>
      <c r="K174" s="247">
        <f>K173</f>
        <v>46160</v>
      </c>
      <c r="L174" s="247">
        <f>WORKDAY(IF(K175="",K174,K175),INDEX(L$12:L$15,MATCH($I173,$I$12:$I$15,0)))</f>
        <v>46161</v>
      </c>
      <c r="M174" s="247">
        <f>WORKDAY(IF(L175="",L174,L175),INDEX(M$12:M$15,MATCH($I173,$I$12:$I$15,0)))</f>
        <v>46168</v>
      </c>
      <c r="N174" s="247">
        <f>WORKDAY(IF(M175="",M174,M175),INDEX(N$12:N$15,MATCH($I173,$I$12:$I$15,0)))</f>
        <v>46169</v>
      </c>
      <c r="O174" s="247">
        <f>WORKDAY(IF(N175="",N174,N175),INDEX(O$12:O$15,MATCH($I173,$I$12:$I$15,0)))</f>
        <v>46176</v>
      </c>
      <c r="P174" s="248"/>
      <c r="Q174" s="249"/>
      <c r="R174" s="247">
        <f>WORKDAY(IF(O175="",O174,O175),INDEX(R$12:R$15,MATCH($I173,$I$12:$I$15,0)))</f>
        <v>46190</v>
      </c>
      <c r="S174" s="247">
        <f>WORKDAY(IF(R175="",R174,R175),INDEX(S$12:S$15,MATCH($I173,$I$12:$I$15,0)))</f>
        <v>46218</v>
      </c>
      <c r="T174" s="247">
        <f>WORKDAY(IF(S175="",S174,S175),INDEX(T$12:T$15,MATCH($I173,$I$12:$I$15,0)))</f>
        <v>46223</v>
      </c>
      <c r="U174" s="247">
        <f>WORKDAY(IF(T175="",T174,T175),INDEX(U$12:U$15,MATCH($I173,$I$12:$I$15,0)))</f>
        <v>46237</v>
      </c>
      <c r="V174" s="247">
        <f>WORKDAY(IF(U175="",U174,U175),INDEX(V$12:V$15,MATCH($I173,$I$12:$I$15,0)))</f>
        <v>46239</v>
      </c>
      <c r="W174" s="250"/>
      <c r="X174" s="247">
        <f>U174+Y173</f>
        <v>46447</v>
      </c>
      <c r="Y174" s="251"/>
      <c r="Z174" s="253"/>
      <c r="AA174" s="253"/>
      <c r="AB174" s="254"/>
      <c r="AC174" s="255">
        <f>IF(ISERROR(LOOKUP(AC$16,$L174:$X174,#REF!)),0,(LOOKUP(AC$16,$L174:$X174,#REF!)))</f>
        <v>0</v>
      </c>
      <c r="AD174" s="256">
        <f>IF(ISERROR(LOOKUP(AD$16,$L174:$X174,#REF!)),0,(LOOKUP(AD$16,$L174:$X174,#REF!)))</f>
        <v>0</v>
      </c>
      <c r="AE174" s="256">
        <f>IF(ISERROR(LOOKUP(AE$16,$L174:$X174,#REF!)),0,(LOOKUP(AE$16,$L174:$X174,#REF!)))</f>
        <v>0</v>
      </c>
      <c r="AF174" s="256">
        <f>IF(ISERROR(LOOKUP(AF$16,$L174:$X174,#REF!)),0,(LOOKUP(AF$16,$L174:$X174,#REF!)))</f>
        <v>0</v>
      </c>
      <c r="AG174" s="256">
        <f>IF(ISERROR(LOOKUP(AG$16,$L174:$X174,#REF!)),0,(LOOKUP(AG$16,$L174:$X174,#REF!)))</f>
        <v>0</v>
      </c>
      <c r="AH174" s="256">
        <f>IF(ISERROR(LOOKUP(AH$16,$L174:$X174,#REF!)),0,(LOOKUP(AH$16,$L174:$X174,#REF!)))</f>
        <v>0</v>
      </c>
      <c r="AI174" s="256">
        <f>IF(ISERROR(LOOKUP(AI$16,$L174:$X174,#REF!)),0,(LOOKUP(AI$16,$L174:$X174,#REF!)))</f>
        <v>0</v>
      </c>
      <c r="AJ174" s="256">
        <f>IF(ISERROR(LOOKUP(AJ$16,$L174:$X174,#REF!)),0,(LOOKUP(AJ$16,$L174:$X174,#REF!)))</f>
        <v>0</v>
      </c>
      <c r="AK174" s="256">
        <f>IF(ISERROR(LOOKUP(AK$16,$L174:$X174,#REF!)),0,(LOOKUP(AK$16,$L174:$X174,#REF!)))</f>
        <v>0</v>
      </c>
      <c r="AL174" s="256">
        <f>IF(ISERROR(LOOKUP(AL$16,$L174:$X174,#REF!)),0,(LOOKUP(AL$16,$L174:$X174,#REF!)))</f>
        <v>0</v>
      </c>
      <c r="AM174" s="256">
        <f ca="1">IF(ISERROR(LOOKUP(AM$16,$L174:$X174,#REF!)),0,(LOOKUP(AM$16,$L174:$X174,#REF!)))</f>
        <v>0</v>
      </c>
      <c r="AP174" s="247" t="e">
        <f>WORKDAY(IF(T175="",T174,T175),INDEX(AP$12:AP$15,MATCH($I173,$I$12:$I$15,0)),$AW$17:$AW$148)</f>
        <v>#REF!</v>
      </c>
      <c r="AQ174" s="247" t="e">
        <f>WORKDAY(IF(AP175="",AP174,AP175),INDEX(AQ$12:AQ$15,MATCH($I173,$I$12:$I$15,0)),$AW$17:$AW$148)</f>
        <v>#REF!</v>
      </c>
      <c r="AR174" s="247" t="e">
        <f>WORKDAY(IF(AQ175="",AQ174,AQ175),INDEX(AR$12:AR$15,MATCH($I173,$I$12:$I$15,0)),$AW$17:$AW$148)</f>
        <v>#REF!</v>
      </c>
      <c r="AS174" s="257"/>
      <c r="AW174" s="258" t="e">
        <v>#REF!</v>
      </c>
    </row>
    <row r="175" s="195" customFormat="1" ht="18" customHeight="1" spans="1:49">
      <c r="A175" s="241"/>
      <c r="B175" s="262"/>
      <c r="C175" s="243" t="str">
        <f>C173</f>
        <v>RFQ-053</v>
      </c>
      <c r="D175" s="243" t="str">
        <f>D173</f>
        <v>COMPACT CHECK VALVE (WELDED END)</v>
      </c>
      <c r="E175" s="243"/>
      <c r="F175" s="243" t="str">
        <f>F173</f>
        <v>Piping</v>
      </c>
      <c r="G175" s="243" t="str">
        <f>G173</f>
        <v>N</v>
      </c>
      <c r="H175" s="263"/>
      <c r="I175" s="243" t="str">
        <f>I173</f>
        <v>LB</v>
      </c>
      <c r="J175" s="303" t="s">
        <v>66</v>
      </c>
      <c r="K175" s="243"/>
      <c r="L175" s="243"/>
      <c r="M175" s="243"/>
      <c r="N175" s="243"/>
      <c r="O175" s="243"/>
      <c r="P175" s="265"/>
      <c r="Q175" s="266"/>
      <c r="R175" s="243"/>
      <c r="S175" s="243"/>
      <c r="T175" s="243"/>
      <c r="U175" s="243"/>
      <c r="V175" s="243"/>
      <c r="W175" s="267"/>
      <c r="X175" s="243"/>
      <c r="Y175" s="251"/>
      <c r="Z175" s="253"/>
      <c r="AA175" s="253"/>
      <c r="AB175" s="254"/>
      <c r="AC175" s="268">
        <f>IF(ISERROR(LOOKUP(AC$16,$L175:$X175,#REF!)),0,(LOOKUP(AC$16,$L175:$X175,#REF!)))</f>
        <v>0</v>
      </c>
      <c r="AD175" s="269">
        <f>IF(ISERROR(LOOKUP(AD$16,$L175:$X175,#REF!)),0,(LOOKUP(AD$16,$L175:$X175,#REF!)))</f>
        <v>0</v>
      </c>
      <c r="AE175" s="269">
        <f>IF(ISERROR(LOOKUP(AE$16,$L175:$X175,#REF!)),0,(LOOKUP(AE$16,$L175:$X175,#REF!)))</f>
        <v>0</v>
      </c>
      <c r="AF175" s="269">
        <f>IF(ISERROR(LOOKUP(AF$16,$L175:$X175,#REF!)),0,(LOOKUP(AF$16,$L175:$X175,#REF!)))</f>
        <v>0</v>
      </c>
      <c r="AG175" s="269">
        <f>IF(ISERROR(LOOKUP(AG$16,$L175:$X175,#REF!)),0,(LOOKUP(AG$16,$L175:$X175,#REF!)))</f>
        <v>0</v>
      </c>
      <c r="AH175" s="269">
        <f>IF(ISERROR(LOOKUP(AH$16,$L175:$X175,#REF!)),0,(LOOKUP(AH$16,$L175:$X175,#REF!)))</f>
        <v>0</v>
      </c>
      <c r="AI175" s="269">
        <f>IF(ISERROR(LOOKUP(AI$16,$L175:$X175,#REF!)),0,(LOOKUP(AI$16,$L175:$X175,#REF!)))</f>
        <v>0</v>
      </c>
      <c r="AJ175" s="269">
        <f>IF(ISERROR(LOOKUP(AJ$16,$L175:$X175,#REF!)),0,(LOOKUP(AJ$16,$L175:$X175,#REF!)))</f>
        <v>0</v>
      </c>
      <c r="AK175" s="269">
        <f>IF(ISERROR(LOOKUP(AK$16,$L175:$X175,#REF!)),0,(LOOKUP(AK$16,$L175:$X175,#REF!)))</f>
        <v>0</v>
      </c>
      <c r="AL175" s="269">
        <f>IF(ISERROR(LOOKUP(AL$16,$L175:$X175,#REF!)),0,(LOOKUP(AL$16,$L175:$X175,#REF!)))</f>
        <v>0</v>
      </c>
      <c r="AM175" s="269">
        <f ca="1">IF(ISERROR(LOOKUP(AM$16,$L175:$X175,#REF!)),0,(LOOKUP(AM$16,$L175:$X175,#REF!)))</f>
        <v>0</v>
      </c>
      <c r="AP175" s="301"/>
      <c r="AQ175" s="301"/>
      <c r="AR175" s="301"/>
      <c r="AS175" s="257"/>
      <c r="AW175" s="258"/>
    </row>
    <row r="176" s="197" customFormat="1" ht="18.6" customHeight="1" spans="1:49">
      <c r="A176" s="241"/>
      <c r="B176" s="242"/>
      <c r="C176" s="243"/>
      <c r="D176" s="312" t="s">
        <v>377</v>
      </c>
      <c r="E176" s="313"/>
      <c r="F176" s="314" t="s">
        <v>234</v>
      </c>
      <c r="G176" s="243" t="str">
        <f>IF(_xlfn.XLOOKUP(C176,'[36]Before Award'!D:D,'[36]Before Award'!AV:AV,"N/A")="N/A","N","Y")</f>
        <v>Y</v>
      </c>
      <c r="H176" s="244"/>
      <c r="I176" s="243" t="s">
        <v>6</v>
      </c>
      <c r="J176" s="303" t="s">
        <v>4769</v>
      </c>
      <c r="K176" s="247">
        <f>WORKDAY(L176,-INDEX(L$12:L$15,MATCH($I176,$I$12:$I$15,0)))</f>
        <v>46099</v>
      </c>
      <c r="L176" s="247">
        <f>WORKDAY(M176,-1)</f>
        <v>46100</v>
      </c>
      <c r="M176" s="247">
        <f>WORKDAY(N176,-INDEX(N$12:N$15,MATCH($I176,$I$12:$I$15,0)))</f>
        <v>46101</v>
      </c>
      <c r="N176" s="247">
        <f>WORKDAY(O176,-1)</f>
        <v>46104</v>
      </c>
      <c r="O176" s="247">
        <f>WORKDAY(R176,-5)</f>
        <v>46105</v>
      </c>
      <c r="P176" s="248">
        <f>U176-L176</f>
        <v>24</v>
      </c>
      <c r="Q176" s="249"/>
      <c r="R176" s="247">
        <f>WORKDAY(S176,-1)</f>
        <v>46112</v>
      </c>
      <c r="S176" s="247">
        <f>WORKDAY(T176,-1)</f>
        <v>46113</v>
      </c>
      <c r="T176" s="247">
        <f>WORKDAY(U176,-7)</f>
        <v>46114</v>
      </c>
      <c r="U176" s="247">
        <f>X176-Y176</f>
        <v>46124</v>
      </c>
      <c r="V176" s="247">
        <f>WORKDAY(U176,INDEX(V$12:V$15,MATCH($I176,$I$12:$I$15,0)))</f>
        <v>46126</v>
      </c>
      <c r="W176" s="250">
        <f>Y176/7</f>
        <v>17.1428571428571</v>
      </c>
      <c r="X176" s="247">
        <f>Z176</f>
        <v>46244</v>
      </c>
      <c r="Y176" s="251">
        <v>120</v>
      </c>
      <c r="Z176" s="253">
        <v>46244</v>
      </c>
      <c r="AA176" s="253">
        <v>46244</v>
      </c>
      <c r="AB176" s="254">
        <f>Z176-X177</f>
        <v>0</v>
      </c>
      <c r="AC176" s="290">
        <f>IF(ISERROR(LOOKUP(AC$16,$L176:$X176,#REF!)),0,(LOOKUP(AC$16,$L176:$X176,#REF!)))</f>
        <v>0</v>
      </c>
      <c r="AD176" s="291">
        <f>IF(ISERROR(LOOKUP(AD$16,$L176:$X176,#REF!)),0,(LOOKUP(AD$16,$L176:$X176,#REF!)))</f>
        <v>0</v>
      </c>
      <c r="AE176" s="291">
        <f>IF(ISERROR(LOOKUP(AE$16,$L176:$X176,#REF!)),0,(LOOKUP(AE$16,$L176:$X176,#REF!)))</f>
        <v>0</v>
      </c>
      <c r="AF176" s="291">
        <f>IF(ISERROR(LOOKUP(AF$16,$L176:$X176,#REF!)),0,(LOOKUP(AF$16,$L176:$X176,#REF!)))</f>
        <v>0</v>
      </c>
      <c r="AG176" s="291">
        <f>IF(ISERROR(LOOKUP(AG$16,$L176:$X176,#REF!)),0,(LOOKUP(AG$16,$L176:$X176,#REF!)))</f>
        <v>0</v>
      </c>
      <c r="AH176" s="291">
        <f>IF(ISERROR(LOOKUP(AH$16,$L176:$X176,#REF!)),0,(LOOKUP(AH$16,$L176:$X176,#REF!)))</f>
        <v>0</v>
      </c>
      <c r="AI176" s="291">
        <f>IF(ISERROR(LOOKUP(AI$16,$L176:$X176,#REF!)),0,(LOOKUP(AI$16,$L176:$X176,#REF!)))</f>
        <v>0</v>
      </c>
      <c r="AJ176" s="291">
        <f>IF(ISERROR(LOOKUP(AJ$16,$L176:$X176,#REF!)),0,(LOOKUP(AJ$16,$L176:$X176,#REF!)))</f>
        <v>0</v>
      </c>
      <c r="AK176" s="291">
        <f>IF(ISERROR(LOOKUP(AK$16,$L176:$X176,#REF!)),0,(LOOKUP(AK$16,$L176:$X176,#REF!)))</f>
        <v>0</v>
      </c>
      <c r="AL176" s="291">
        <f>IF(ISERROR(LOOKUP(AL$16,$L176:$X176,#REF!)),0,(LOOKUP(AL$16,$L176:$X176,#REF!)))</f>
        <v>0</v>
      </c>
      <c r="AM176" s="291">
        <f ca="1">IF(ISERROR(LOOKUP(AM$16,$L176:$X176,#REF!)),0,(LOOKUP(AM$16,$L176:$X176,#REF!)))</f>
        <v>0</v>
      </c>
      <c r="AP176" s="247" t="e">
        <f>WORKDAY(AQ176,-INDEX(AQ$12:AQ$15,MATCH($I176,$I$12:$I$15,0)),$AW$17:$AW$148)</f>
        <v>#REF!</v>
      </c>
      <c r="AQ176" s="247" t="e">
        <f>WORKDAY(U176,-INDEX(U$12:U$15,MATCH($I176,$I$12:$I$15,0)),$AW$17:$AW$148)</f>
        <v>#REF!</v>
      </c>
      <c r="AR176" s="247" t="e">
        <f>WORKDAY(U176,-INDEX(U$12:U$15,MATCH($I176,$I$12:$I$15,0)),$AW$17:$AW$148)</f>
        <v>#REF!</v>
      </c>
      <c r="AS176" s="257">
        <v>7</v>
      </c>
      <c r="AW176" s="292"/>
    </row>
    <row r="177" s="197" customFormat="1" ht="18.6" customHeight="1" spans="1:49">
      <c r="A177" s="241"/>
      <c r="B177" s="259"/>
      <c r="C177" s="243"/>
      <c r="D177" s="312" t="s">
        <v>4847</v>
      </c>
      <c r="E177" s="315"/>
      <c r="F177" s="316"/>
      <c r="G177" s="243" t="str">
        <f>G176</f>
        <v>Y</v>
      </c>
      <c r="H177" s="260"/>
      <c r="I177" s="243" t="str">
        <f>I176</f>
        <v>LA</v>
      </c>
      <c r="J177" s="303" t="s">
        <v>64</v>
      </c>
      <c r="K177" s="247">
        <f>K176</f>
        <v>46099</v>
      </c>
      <c r="L177" s="247">
        <f>WORKDAY(IF(K178="",K177,K178),INDEX(L$12:L$15,MATCH($I176,$I$12:$I$15,0)))</f>
        <v>46100</v>
      </c>
      <c r="M177" s="247">
        <f>WORKDAY(IF(L178="",L177,L178),1)</f>
        <v>46101</v>
      </c>
      <c r="N177" s="247">
        <f>WORKDAY(IF(M178="",M177,M178),INDEX(N$12:N$15,MATCH($I176,$I$12:$I$15,0)))</f>
        <v>46104</v>
      </c>
      <c r="O177" s="247">
        <f>WORKDAY(IF(N178="",N177,N178),1)</f>
        <v>46105</v>
      </c>
      <c r="P177" s="248"/>
      <c r="Q177" s="249"/>
      <c r="R177" s="247">
        <f>WORKDAY(IF(O178="",O177,O178),5)</f>
        <v>46112</v>
      </c>
      <c r="S177" s="247">
        <f>WORKDAY(IF(R178="",R177,R178),1)</f>
        <v>46113</v>
      </c>
      <c r="T177" s="247">
        <f>WORKDAY(IF(S178="",S177,S178),1)</f>
        <v>46114</v>
      </c>
      <c r="U177" s="247">
        <f>WORKDAY(IF(T178="",T177,T178),7)-1</f>
        <v>46124</v>
      </c>
      <c r="V177" s="247">
        <f>WORKDAY(IF(U178="",U177,U178),1)</f>
        <v>46125</v>
      </c>
      <c r="W177" s="250"/>
      <c r="X177" s="247">
        <f>U177+Y176</f>
        <v>46244</v>
      </c>
      <c r="Y177" s="251"/>
      <c r="Z177" s="253"/>
      <c r="AA177" s="253"/>
      <c r="AB177" s="254"/>
      <c r="AC177" s="290">
        <f>IF(ISERROR(LOOKUP(AC$16,$L177:$X177,#REF!)),0,(LOOKUP(AC$16,$L177:$X177,#REF!)))</f>
        <v>0</v>
      </c>
      <c r="AD177" s="291">
        <f>IF(ISERROR(LOOKUP(AD$16,$L177:$X177,#REF!)),0,(LOOKUP(AD$16,$L177:$X177,#REF!)))</f>
        <v>0</v>
      </c>
      <c r="AE177" s="291">
        <f>IF(ISERROR(LOOKUP(AE$16,$L177:$X177,#REF!)),0,(LOOKUP(AE$16,$L177:$X177,#REF!)))</f>
        <v>0</v>
      </c>
      <c r="AF177" s="291">
        <f>IF(ISERROR(LOOKUP(AF$16,$L177:$X177,#REF!)),0,(LOOKUP(AF$16,$L177:$X177,#REF!)))</f>
        <v>0</v>
      </c>
      <c r="AG177" s="291">
        <f>IF(ISERROR(LOOKUP(AG$16,$L177:$X177,#REF!)),0,(LOOKUP(AG$16,$L177:$X177,#REF!)))</f>
        <v>0</v>
      </c>
      <c r="AH177" s="291">
        <f>IF(ISERROR(LOOKUP(AH$16,$L177:$X177,#REF!)),0,(LOOKUP(AH$16,$L177:$X177,#REF!)))</f>
        <v>0</v>
      </c>
      <c r="AI177" s="291">
        <f>IF(ISERROR(LOOKUP(AI$16,$L177:$X177,#REF!)),0,(LOOKUP(AI$16,$L177:$X177,#REF!)))</f>
        <v>0</v>
      </c>
      <c r="AJ177" s="291">
        <f>IF(ISERROR(LOOKUP(AJ$16,$L177:$X177,#REF!)),0,(LOOKUP(AJ$16,$L177:$X177,#REF!)))</f>
        <v>0</v>
      </c>
      <c r="AK177" s="291">
        <f>IF(ISERROR(LOOKUP(AK$16,$L177:$X177,#REF!)),0,(LOOKUP(AK$16,$L177:$X177,#REF!)))</f>
        <v>0</v>
      </c>
      <c r="AL177" s="291">
        <f>IF(ISERROR(LOOKUP(AL$16,$L177:$X177,#REF!)),0,(LOOKUP(AL$16,$L177:$X177,#REF!)))</f>
        <v>0</v>
      </c>
      <c r="AM177" s="291">
        <f ca="1">IF(ISERROR(LOOKUP(AM$16,$L177:$X177,#REF!)),0,(LOOKUP(AM$16,$L177:$X177,#REF!)))</f>
        <v>0</v>
      </c>
      <c r="AP177" s="247" t="e">
        <f>WORKDAY(IF(T178="",T177,T178),INDEX(AP$12:AP$15,MATCH($I176,$I$12:$I$15,0)),$AW$17:$AW$148)</f>
        <v>#REF!</v>
      </c>
      <c r="AQ177" s="247" t="e">
        <f>WORKDAY(IF(AP178="",AP177,AP178),INDEX(AQ$12:AQ$15,MATCH($I176,$I$12:$I$15,0)),$AW$17:$AW$148)</f>
        <v>#REF!</v>
      </c>
      <c r="AR177" s="247" t="e">
        <f>WORKDAY(IF(AQ178="",AQ177,AQ178),INDEX(AR$12:AR$15,MATCH($I176,$I$12:$I$15,0)),$AW$17:$AW$148)</f>
        <v>#REF!</v>
      </c>
      <c r="AS177" s="257"/>
      <c r="AW177" s="292"/>
    </row>
    <row r="178" s="197" customFormat="1" ht="18.6" customHeight="1" spans="1:49">
      <c r="A178" s="241"/>
      <c r="B178" s="262"/>
      <c r="C178" s="243"/>
      <c r="D178" s="312" t="s">
        <v>4847</v>
      </c>
      <c r="E178" s="317"/>
      <c r="F178" s="318"/>
      <c r="G178" s="243" t="str">
        <f>G176</f>
        <v>Y</v>
      </c>
      <c r="H178" s="263"/>
      <c r="I178" s="243" t="str">
        <f>I176</f>
        <v>LA</v>
      </c>
      <c r="J178" s="303" t="s">
        <v>66</v>
      </c>
      <c r="K178" s="243"/>
      <c r="L178" s="243"/>
      <c r="M178" s="243"/>
      <c r="N178" s="243"/>
      <c r="O178" s="243"/>
      <c r="P178" s="265"/>
      <c r="Q178" s="266"/>
      <c r="R178" s="243"/>
      <c r="S178" s="243"/>
      <c r="T178" s="243"/>
      <c r="U178" s="243"/>
      <c r="V178" s="243"/>
      <c r="W178" s="267"/>
      <c r="X178" s="243"/>
      <c r="Y178" s="251"/>
      <c r="Z178" s="253"/>
      <c r="AA178" s="253"/>
      <c r="AB178" s="254"/>
      <c r="AC178" s="296">
        <f>IF(ISERROR(LOOKUP(AC$16,$L178:$X178,#REF!)),0,(LOOKUP(AC$16,$L178:$X178,#REF!)))</f>
        <v>0</v>
      </c>
      <c r="AD178" s="297">
        <f>IF(ISERROR(LOOKUP(AD$16,$L178:$X178,#REF!)),0,(LOOKUP(AD$16,$L178:$X178,#REF!)))</f>
        <v>0</v>
      </c>
      <c r="AE178" s="297">
        <f>IF(ISERROR(LOOKUP(AE$16,$L178:$X178,#REF!)),0,(LOOKUP(AE$16,$L178:$X178,#REF!)))</f>
        <v>0</v>
      </c>
      <c r="AF178" s="297">
        <f>IF(ISERROR(LOOKUP(AF$16,$L178:$X178,#REF!)),0,(LOOKUP(AF$16,$L178:$X178,#REF!)))</f>
        <v>0</v>
      </c>
      <c r="AG178" s="297">
        <f>IF(ISERROR(LOOKUP(AG$16,$L178:$X178,#REF!)),0,(LOOKUP(AG$16,$L178:$X178,#REF!)))</f>
        <v>0</v>
      </c>
      <c r="AH178" s="297">
        <f>IF(ISERROR(LOOKUP(AH$16,$L178:$X178,#REF!)),0,(LOOKUP(AH$16,$L178:$X178,#REF!)))</f>
        <v>0</v>
      </c>
      <c r="AI178" s="297">
        <f>IF(ISERROR(LOOKUP(AI$16,$L178:$X178,#REF!)),0,(LOOKUP(AI$16,$L178:$X178,#REF!)))</f>
        <v>0</v>
      </c>
      <c r="AJ178" s="297">
        <f>IF(ISERROR(LOOKUP(AJ$16,$L178:$X178,#REF!)),0,(LOOKUP(AJ$16,$L178:$X178,#REF!)))</f>
        <v>0</v>
      </c>
      <c r="AK178" s="297">
        <f>IF(ISERROR(LOOKUP(AK$16,$L178:$X178,#REF!)),0,(LOOKUP(AK$16,$L178:$X178,#REF!)))</f>
        <v>0</v>
      </c>
      <c r="AL178" s="297">
        <f>IF(ISERROR(LOOKUP(AL$16,$L178:$X178,#REF!)),0,(LOOKUP(AL$16,$L178:$X178,#REF!)))</f>
        <v>0</v>
      </c>
      <c r="AM178" s="297">
        <f ca="1">IF(ISERROR(LOOKUP(AM$16,$L178:$X178,#REF!)),0,(LOOKUP(AM$16,$L178:$X178,#REF!)))</f>
        <v>0</v>
      </c>
      <c r="AP178" s="243"/>
      <c r="AQ178" s="243"/>
      <c r="AR178" s="243"/>
      <c r="AS178" s="257"/>
      <c r="AW178" s="292"/>
    </row>
    <row r="179" s="197" customFormat="1" ht="18.6" customHeight="1" spans="1:49">
      <c r="A179" s="241"/>
      <c r="B179" s="242"/>
      <c r="C179" s="243"/>
      <c r="D179" s="312" t="s">
        <v>4848</v>
      </c>
      <c r="E179" s="313"/>
      <c r="F179" s="314" t="s">
        <v>234</v>
      </c>
      <c r="G179" s="243" t="str">
        <f>IF(_xlfn.XLOOKUP(C179,'[36]Before Award'!D:D,'[36]Before Award'!AV:AV,"N/A")="N/A","N","Y")</f>
        <v>Y</v>
      </c>
      <c r="H179" s="244"/>
      <c r="I179" s="243" t="s">
        <v>6</v>
      </c>
      <c r="J179" s="303" t="s">
        <v>4769</v>
      </c>
      <c r="K179" s="247">
        <f>WORKDAY(L179,-INDEX(L$12:L$15,MATCH($I179,$I$12:$I$15,0)))</f>
        <v>46099</v>
      </c>
      <c r="L179" s="247">
        <f>WORKDAY(M179,-1)</f>
        <v>46100</v>
      </c>
      <c r="M179" s="247">
        <f>WORKDAY(N179,-INDEX(N$12:N$15,MATCH($I179,$I$12:$I$15,0)))</f>
        <v>46101</v>
      </c>
      <c r="N179" s="247">
        <f>WORKDAY(O179,-1)</f>
        <v>46104</v>
      </c>
      <c r="O179" s="247">
        <f>WORKDAY(R179,-5)</f>
        <v>46105</v>
      </c>
      <c r="P179" s="248">
        <f>U179-L179</f>
        <v>24</v>
      </c>
      <c r="Q179" s="249"/>
      <c r="R179" s="247">
        <f>WORKDAY(S179,-1)</f>
        <v>46112</v>
      </c>
      <c r="S179" s="247">
        <f>WORKDAY(T179,-1)</f>
        <v>46113</v>
      </c>
      <c r="T179" s="247">
        <f>WORKDAY(U179,-7)</f>
        <v>46114</v>
      </c>
      <c r="U179" s="247">
        <f>X179-Y179</f>
        <v>46124</v>
      </c>
      <c r="V179" s="247">
        <f>WORKDAY(U179,INDEX(V$12:V$15,MATCH($I179,$I$12:$I$15,0)))</f>
        <v>46126</v>
      </c>
      <c r="W179" s="250">
        <f>Y179/7</f>
        <v>17.1428571428571</v>
      </c>
      <c r="X179" s="247">
        <f>Z179</f>
        <v>46244</v>
      </c>
      <c r="Y179" s="251">
        <v>120</v>
      </c>
      <c r="Z179" s="289">
        <v>46244</v>
      </c>
      <c r="AA179" s="253">
        <v>46244</v>
      </c>
      <c r="AB179" s="254">
        <f>Z179-X180</f>
        <v>0</v>
      </c>
      <c r="AC179" s="290">
        <f>IF(ISERROR(LOOKUP(AC$16,$L179:$X179,#REF!)),0,(LOOKUP(AC$16,$L179:$X179,#REF!)))</f>
        <v>0</v>
      </c>
      <c r="AD179" s="291">
        <f>IF(ISERROR(LOOKUP(AD$16,$L179:$X179,#REF!)),0,(LOOKUP(AD$16,$L179:$X179,#REF!)))</f>
        <v>0</v>
      </c>
      <c r="AE179" s="291">
        <f>IF(ISERROR(LOOKUP(AE$16,$L179:$X179,#REF!)),0,(LOOKUP(AE$16,$L179:$X179,#REF!)))</f>
        <v>0</v>
      </c>
      <c r="AF179" s="291">
        <f>IF(ISERROR(LOOKUP(AF$16,$L179:$X179,#REF!)),0,(LOOKUP(AF$16,$L179:$X179,#REF!)))</f>
        <v>0</v>
      </c>
      <c r="AG179" s="291">
        <f>IF(ISERROR(LOOKUP(AG$16,$L179:$X179,#REF!)),0,(LOOKUP(AG$16,$L179:$X179,#REF!)))</f>
        <v>0</v>
      </c>
      <c r="AH179" s="291">
        <f>IF(ISERROR(LOOKUP(AH$16,$L179:$X179,#REF!)),0,(LOOKUP(AH$16,$L179:$X179,#REF!)))</f>
        <v>0</v>
      </c>
      <c r="AI179" s="291">
        <f>IF(ISERROR(LOOKUP(AI$16,$L179:$X179,#REF!)),0,(LOOKUP(AI$16,$L179:$X179,#REF!)))</f>
        <v>0</v>
      </c>
      <c r="AJ179" s="291">
        <f>IF(ISERROR(LOOKUP(AJ$16,$L179:$X179,#REF!)),0,(LOOKUP(AJ$16,$L179:$X179,#REF!)))</f>
        <v>0</v>
      </c>
      <c r="AK179" s="291">
        <f>IF(ISERROR(LOOKUP(AK$16,$L179:$X179,#REF!)),0,(LOOKUP(AK$16,$L179:$X179,#REF!)))</f>
        <v>0</v>
      </c>
      <c r="AL179" s="291">
        <f>IF(ISERROR(LOOKUP(AL$16,$L179:$X179,#REF!)),0,(LOOKUP(AL$16,$L179:$X179,#REF!)))</f>
        <v>0</v>
      </c>
      <c r="AM179" s="291">
        <f ca="1">IF(ISERROR(LOOKUP(AM$16,$L179:$X179,#REF!)),0,(LOOKUP(AM$16,$L179:$X179,#REF!)))</f>
        <v>0</v>
      </c>
      <c r="AP179" s="247" t="e">
        <f>WORKDAY(AQ179,-INDEX(AQ$12:AQ$15,MATCH($I179,$I$12:$I$15,0)),$AW$17:$AW$148)</f>
        <v>#REF!</v>
      </c>
      <c r="AQ179" s="247" t="e">
        <f>WORKDAY(U179,-INDEX(U$12:U$15,MATCH($I179,$I$12:$I$15,0)),$AW$17:$AW$148)</f>
        <v>#REF!</v>
      </c>
      <c r="AR179" s="247" t="e">
        <f>WORKDAY(U179,-INDEX(U$12:U$15,MATCH($I179,$I$12:$I$15,0)),$AW$17:$AW$148)</f>
        <v>#REF!</v>
      </c>
      <c r="AS179" s="257">
        <v>7</v>
      </c>
      <c r="AW179" s="292"/>
    </row>
    <row r="180" s="197" customFormat="1" ht="18.6" customHeight="1" spans="1:49">
      <c r="A180" s="241"/>
      <c r="B180" s="259"/>
      <c r="C180" s="243"/>
      <c r="D180" s="312"/>
      <c r="E180" s="315"/>
      <c r="F180" s="316"/>
      <c r="G180" s="243" t="str">
        <f>G179</f>
        <v>Y</v>
      </c>
      <c r="H180" s="260"/>
      <c r="I180" s="243" t="str">
        <f>I179</f>
        <v>LA</v>
      </c>
      <c r="J180" s="303" t="s">
        <v>64</v>
      </c>
      <c r="K180" s="247">
        <f>K179</f>
        <v>46099</v>
      </c>
      <c r="L180" s="247">
        <f>WORKDAY(IF(K181="",K180,K181),INDEX(L$12:L$15,MATCH($I179,$I$12:$I$15,0)))</f>
        <v>46100</v>
      </c>
      <c r="M180" s="247">
        <f>WORKDAY(IF(L181="",L180,L181),1)</f>
        <v>46101</v>
      </c>
      <c r="N180" s="247">
        <f>WORKDAY(IF(M181="",M180,M181),INDEX(N$12:N$15,MATCH($I179,$I$12:$I$15,0)))</f>
        <v>46104</v>
      </c>
      <c r="O180" s="247">
        <f>WORKDAY(IF(N181="",N180,N181),1)</f>
        <v>46105</v>
      </c>
      <c r="P180" s="248"/>
      <c r="Q180" s="249"/>
      <c r="R180" s="247">
        <f>WORKDAY(IF(O181="",O180,O181),5)</f>
        <v>46112</v>
      </c>
      <c r="S180" s="247">
        <f>WORKDAY(IF(R181="",R180,R181),1)</f>
        <v>46113</v>
      </c>
      <c r="T180" s="247">
        <f>WORKDAY(IF(S181="",S180,S181),1)</f>
        <v>46114</v>
      </c>
      <c r="U180" s="247">
        <f>WORKDAY(IF(T181="",T180,T181),7)-1</f>
        <v>46124</v>
      </c>
      <c r="V180" s="247">
        <f>WORKDAY(IF(U181="",U180,U181),1)</f>
        <v>46125</v>
      </c>
      <c r="W180" s="250"/>
      <c r="X180" s="247">
        <f>U180+Y179</f>
        <v>46244</v>
      </c>
      <c r="Y180" s="251"/>
      <c r="Z180" s="293"/>
      <c r="AA180" s="253"/>
      <c r="AB180" s="254"/>
      <c r="AC180" s="290">
        <f>IF(ISERROR(LOOKUP(AC$16,$L180:$X180,#REF!)),0,(LOOKUP(AC$16,$L180:$X180,#REF!)))</f>
        <v>0</v>
      </c>
      <c r="AD180" s="291">
        <f>IF(ISERROR(LOOKUP(AD$16,$L180:$X180,#REF!)),0,(LOOKUP(AD$16,$L180:$X180,#REF!)))</f>
        <v>0</v>
      </c>
      <c r="AE180" s="291">
        <f>IF(ISERROR(LOOKUP(AE$16,$L180:$X180,#REF!)),0,(LOOKUP(AE$16,$L180:$X180,#REF!)))</f>
        <v>0</v>
      </c>
      <c r="AF180" s="291">
        <f>IF(ISERROR(LOOKUP(AF$16,$L180:$X180,#REF!)),0,(LOOKUP(AF$16,$L180:$X180,#REF!)))</f>
        <v>0</v>
      </c>
      <c r="AG180" s="291">
        <f>IF(ISERROR(LOOKUP(AG$16,$L180:$X180,#REF!)),0,(LOOKUP(AG$16,$L180:$X180,#REF!)))</f>
        <v>0</v>
      </c>
      <c r="AH180" s="291">
        <f>IF(ISERROR(LOOKUP(AH$16,$L180:$X180,#REF!)),0,(LOOKUP(AH$16,$L180:$X180,#REF!)))</f>
        <v>0</v>
      </c>
      <c r="AI180" s="291">
        <f>IF(ISERROR(LOOKUP(AI$16,$L180:$X180,#REF!)),0,(LOOKUP(AI$16,$L180:$X180,#REF!)))</f>
        <v>0</v>
      </c>
      <c r="AJ180" s="291">
        <f>IF(ISERROR(LOOKUP(AJ$16,$L180:$X180,#REF!)),0,(LOOKUP(AJ$16,$L180:$X180,#REF!)))</f>
        <v>0</v>
      </c>
      <c r="AK180" s="291">
        <f>IF(ISERROR(LOOKUP(AK$16,$L180:$X180,#REF!)),0,(LOOKUP(AK$16,$L180:$X180,#REF!)))</f>
        <v>0</v>
      </c>
      <c r="AL180" s="291">
        <f>IF(ISERROR(LOOKUP(AL$16,$L180:$X180,#REF!)),0,(LOOKUP(AL$16,$L180:$X180,#REF!)))</f>
        <v>0</v>
      </c>
      <c r="AM180" s="291">
        <f ca="1">IF(ISERROR(LOOKUP(AM$16,$L180:$X180,#REF!)),0,(LOOKUP(AM$16,$L180:$X180,#REF!)))</f>
        <v>0</v>
      </c>
      <c r="AP180" s="247" t="e">
        <f>WORKDAY(IF(T181="",T180,T181),INDEX(AP$12:AP$15,MATCH($I179,$I$12:$I$15,0)),$AW$17:$AW$148)</f>
        <v>#REF!</v>
      </c>
      <c r="AQ180" s="247" t="e">
        <f>WORKDAY(IF(AP181="",AP180,AP181),INDEX(AQ$12:AQ$15,MATCH($I179,$I$12:$I$15,0)),$AW$17:$AW$148)</f>
        <v>#REF!</v>
      </c>
      <c r="AR180" s="247" t="e">
        <f>WORKDAY(IF(AQ181="",AQ180,AQ181),INDEX(AR$12:AR$15,MATCH($I179,$I$12:$I$15,0)),$AW$17:$AW$148)</f>
        <v>#REF!</v>
      </c>
      <c r="AS180" s="257"/>
      <c r="AW180" s="292"/>
    </row>
    <row r="181" s="197" customFormat="1" ht="18.6" customHeight="1" spans="1:49">
      <c r="A181" s="241"/>
      <c r="B181" s="262"/>
      <c r="C181" s="243"/>
      <c r="D181" s="312"/>
      <c r="E181" s="317"/>
      <c r="F181" s="318"/>
      <c r="G181" s="243" t="str">
        <f>G179</f>
        <v>Y</v>
      </c>
      <c r="H181" s="263"/>
      <c r="I181" s="243" t="str">
        <f>I179</f>
        <v>LA</v>
      </c>
      <c r="J181" s="303" t="s">
        <v>66</v>
      </c>
      <c r="K181" s="243"/>
      <c r="L181" s="243"/>
      <c r="M181" s="243"/>
      <c r="N181" s="243"/>
      <c r="O181" s="243"/>
      <c r="P181" s="265"/>
      <c r="Q181" s="266"/>
      <c r="R181" s="243"/>
      <c r="S181" s="243"/>
      <c r="T181" s="243"/>
      <c r="U181" s="243"/>
      <c r="V181" s="243"/>
      <c r="W181" s="267"/>
      <c r="X181" s="243"/>
      <c r="Y181" s="251"/>
      <c r="Z181" s="295"/>
      <c r="AA181" s="253"/>
      <c r="AB181" s="254"/>
      <c r="AC181" s="296">
        <f>IF(ISERROR(LOOKUP(AC$16,$L181:$X181,#REF!)),0,(LOOKUP(AC$16,$L181:$X181,#REF!)))</f>
        <v>0</v>
      </c>
      <c r="AD181" s="297">
        <f>IF(ISERROR(LOOKUP(AD$16,$L181:$X181,#REF!)),0,(LOOKUP(AD$16,$L181:$X181,#REF!)))</f>
        <v>0</v>
      </c>
      <c r="AE181" s="297">
        <f>IF(ISERROR(LOOKUP(AE$16,$L181:$X181,#REF!)),0,(LOOKUP(AE$16,$L181:$X181,#REF!)))</f>
        <v>0</v>
      </c>
      <c r="AF181" s="297">
        <f>IF(ISERROR(LOOKUP(AF$16,$L181:$X181,#REF!)),0,(LOOKUP(AF$16,$L181:$X181,#REF!)))</f>
        <v>0</v>
      </c>
      <c r="AG181" s="297">
        <f>IF(ISERROR(LOOKUP(AG$16,$L181:$X181,#REF!)),0,(LOOKUP(AG$16,$L181:$X181,#REF!)))</f>
        <v>0</v>
      </c>
      <c r="AH181" s="297">
        <f>IF(ISERROR(LOOKUP(AH$16,$L181:$X181,#REF!)),0,(LOOKUP(AH$16,$L181:$X181,#REF!)))</f>
        <v>0</v>
      </c>
      <c r="AI181" s="297">
        <f>IF(ISERROR(LOOKUP(AI$16,$L181:$X181,#REF!)),0,(LOOKUP(AI$16,$L181:$X181,#REF!)))</f>
        <v>0</v>
      </c>
      <c r="AJ181" s="297">
        <f>IF(ISERROR(LOOKUP(AJ$16,$L181:$X181,#REF!)),0,(LOOKUP(AJ$16,$L181:$X181,#REF!)))</f>
        <v>0</v>
      </c>
      <c r="AK181" s="297">
        <f>IF(ISERROR(LOOKUP(AK$16,$L181:$X181,#REF!)),0,(LOOKUP(AK$16,$L181:$X181,#REF!)))</f>
        <v>0</v>
      </c>
      <c r="AL181" s="297">
        <f>IF(ISERROR(LOOKUP(AL$16,$L181:$X181,#REF!)),0,(LOOKUP(AL$16,$L181:$X181,#REF!)))</f>
        <v>0</v>
      </c>
      <c r="AM181" s="297">
        <f ca="1">IF(ISERROR(LOOKUP(AM$16,$L181:$X181,#REF!)),0,(LOOKUP(AM$16,$L181:$X181,#REF!)))</f>
        <v>0</v>
      </c>
      <c r="AP181" s="243"/>
      <c r="AQ181" s="243"/>
      <c r="AR181" s="243"/>
      <c r="AS181" s="257"/>
      <c r="AW181" s="292"/>
    </row>
    <row r="182" s="197" customFormat="1" ht="18.6" customHeight="1" spans="1:49">
      <c r="A182" s="241"/>
      <c r="B182" s="242"/>
      <c r="C182" s="243"/>
      <c r="D182" s="312" t="s">
        <v>4849</v>
      </c>
      <c r="E182" s="313"/>
      <c r="F182" s="314" t="s">
        <v>234</v>
      </c>
      <c r="G182" s="243" t="str">
        <f>IF(_xlfn.XLOOKUP(C182,'[36]Before Award'!D:D,'[36]Before Award'!AV:AV,"N/A")="N/A","N","Y")</f>
        <v>Y</v>
      </c>
      <c r="H182" s="244"/>
      <c r="I182" s="243" t="s">
        <v>6</v>
      </c>
      <c r="J182" s="303" t="s">
        <v>4769</v>
      </c>
      <c r="K182" s="247">
        <f>WORKDAY(L182,-INDEX(L$12:L$15,MATCH($I182,$I$12:$I$15,0)))</f>
        <v>46118</v>
      </c>
      <c r="L182" s="247">
        <f>WORKDAY(M182,-1)</f>
        <v>46119</v>
      </c>
      <c r="M182" s="247">
        <f>WORKDAY(N182,-INDEX(N$12:N$15,MATCH($I182,$I$12:$I$15,0)))</f>
        <v>46120</v>
      </c>
      <c r="N182" s="247">
        <f>WORKDAY(O182,-1)</f>
        <v>46121</v>
      </c>
      <c r="O182" s="247">
        <f>WORKDAY(R182,-5)</f>
        <v>46122</v>
      </c>
      <c r="P182" s="248">
        <f>U182-L182</f>
        <v>23</v>
      </c>
      <c r="Q182" s="249"/>
      <c r="R182" s="247">
        <f>WORKDAY(S182,-1)</f>
        <v>46129</v>
      </c>
      <c r="S182" s="247">
        <f>WORKDAY(T182,-1)</f>
        <v>46132</v>
      </c>
      <c r="T182" s="247">
        <f>WORKDAY(U182,-7)</f>
        <v>46133</v>
      </c>
      <c r="U182" s="247">
        <f>X182-Y182</f>
        <v>46142</v>
      </c>
      <c r="V182" s="247">
        <f>WORKDAY(U182,INDEX(V$12:V$15,MATCH($I182,$I$12:$I$15,0)))</f>
        <v>46146</v>
      </c>
      <c r="W182" s="250">
        <f>Y182/7</f>
        <v>19</v>
      </c>
      <c r="X182" s="247">
        <f>Z182</f>
        <v>46275</v>
      </c>
      <c r="Y182" s="251">
        <f>19*7</f>
        <v>133</v>
      </c>
      <c r="Z182" s="252">
        <v>46275</v>
      </c>
      <c r="AA182" s="253">
        <v>46244</v>
      </c>
      <c r="AB182" s="254">
        <f>Z182-X183</f>
        <v>0</v>
      </c>
      <c r="AC182" s="290">
        <f>IF(ISERROR(LOOKUP(AC$16,$L182:$X182,#REF!)),0,(LOOKUP(AC$16,$L182:$X182,#REF!)))</f>
        <v>0</v>
      </c>
      <c r="AD182" s="291">
        <f>IF(ISERROR(LOOKUP(AD$16,$L182:$X182,#REF!)),0,(LOOKUP(AD$16,$L182:$X182,#REF!)))</f>
        <v>0</v>
      </c>
      <c r="AE182" s="291">
        <f>IF(ISERROR(LOOKUP(AE$16,$L182:$X182,#REF!)),0,(LOOKUP(AE$16,$L182:$X182,#REF!)))</f>
        <v>0</v>
      </c>
      <c r="AF182" s="291">
        <f>IF(ISERROR(LOOKUP(AF$16,$L182:$X182,#REF!)),0,(LOOKUP(AF$16,$L182:$X182,#REF!)))</f>
        <v>0</v>
      </c>
      <c r="AG182" s="291">
        <f>IF(ISERROR(LOOKUP(AG$16,$L182:$X182,#REF!)),0,(LOOKUP(AG$16,$L182:$X182,#REF!)))</f>
        <v>0</v>
      </c>
      <c r="AH182" s="291">
        <f>IF(ISERROR(LOOKUP(AH$16,$L182:$X182,#REF!)),0,(LOOKUP(AH$16,$L182:$X182,#REF!)))</f>
        <v>0</v>
      </c>
      <c r="AI182" s="291">
        <f>IF(ISERROR(LOOKUP(AI$16,$L182:$X182,#REF!)),0,(LOOKUP(AI$16,$L182:$X182,#REF!)))</f>
        <v>0</v>
      </c>
      <c r="AJ182" s="291">
        <f>IF(ISERROR(LOOKUP(AJ$16,$L182:$X182,#REF!)),0,(LOOKUP(AJ$16,$L182:$X182,#REF!)))</f>
        <v>0</v>
      </c>
      <c r="AK182" s="291">
        <f>IF(ISERROR(LOOKUP(AK$16,$L182:$X182,#REF!)),0,(LOOKUP(AK$16,$L182:$X182,#REF!)))</f>
        <v>0</v>
      </c>
      <c r="AL182" s="291">
        <f>IF(ISERROR(LOOKUP(AL$16,$L182:$X182,#REF!)),0,(LOOKUP(AL$16,$L182:$X182,#REF!)))</f>
        <v>0</v>
      </c>
      <c r="AM182" s="291">
        <f ca="1">IF(ISERROR(LOOKUP(AM$16,$L182:$X182,#REF!)),0,(LOOKUP(AM$16,$L182:$X182,#REF!)))</f>
        <v>0</v>
      </c>
      <c r="AP182" s="247" t="e">
        <f>WORKDAY(AQ182,-INDEX(AQ$12:AQ$15,MATCH($I182,$I$12:$I$15,0)),$AW$17:$AW$148)</f>
        <v>#REF!</v>
      </c>
      <c r="AQ182" s="247" t="e">
        <f>WORKDAY(U182,-INDEX(U$12:U$15,MATCH($I182,$I$12:$I$15,0)),$AW$17:$AW$148)</f>
        <v>#REF!</v>
      </c>
      <c r="AR182" s="247" t="e">
        <f>WORKDAY(U182,-INDEX(U$12:U$15,MATCH($I182,$I$12:$I$15,0)),$AW$17:$AW$148)</f>
        <v>#REF!</v>
      </c>
      <c r="AS182" s="257">
        <v>7</v>
      </c>
      <c r="AW182" s="292"/>
    </row>
    <row r="183" s="197" customFormat="1" ht="18.6" customHeight="1" spans="1:49">
      <c r="A183" s="241"/>
      <c r="B183" s="259"/>
      <c r="C183" s="243"/>
      <c r="D183" s="312" t="s">
        <v>4850</v>
      </c>
      <c r="E183" s="315"/>
      <c r="F183" s="316"/>
      <c r="G183" s="243" t="str">
        <f>G182</f>
        <v>Y</v>
      </c>
      <c r="H183" s="260"/>
      <c r="I183" s="243" t="str">
        <f>I182</f>
        <v>LA</v>
      </c>
      <c r="J183" s="303" t="s">
        <v>64</v>
      </c>
      <c r="K183" s="247">
        <f>K182</f>
        <v>46118</v>
      </c>
      <c r="L183" s="247">
        <f>WORKDAY(IF(K184="",K183,K184),INDEX(L$12:L$15,MATCH($I182,$I$12:$I$15,0)))</f>
        <v>46119</v>
      </c>
      <c r="M183" s="247">
        <f>WORKDAY(IF(L184="",L183,L184),1)</f>
        <v>46120</v>
      </c>
      <c r="N183" s="247">
        <f>WORKDAY(IF(M184="",M183,M184),INDEX(N$12:N$15,MATCH($I182,$I$12:$I$15,0)))</f>
        <v>46121</v>
      </c>
      <c r="O183" s="247">
        <f>WORKDAY(IF(N184="",N183,N184),1)</f>
        <v>46122</v>
      </c>
      <c r="P183" s="248"/>
      <c r="Q183" s="249"/>
      <c r="R183" s="247">
        <f>WORKDAY(IF(O184="",O183,O184),5)</f>
        <v>46129</v>
      </c>
      <c r="S183" s="247">
        <f>WORKDAY(IF(R184="",R183,R184),1)</f>
        <v>46132</v>
      </c>
      <c r="T183" s="247">
        <f>WORKDAY(IF(S184="",S183,S184),1)</f>
        <v>46133</v>
      </c>
      <c r="U183" s="247">
        <f>WORKDAY(IF(T184="",T183,T184),7)</f>
        <v>46142</v>
      </c>
      <c r="V183" s="247">
        <f>WORKDAY(IF(U184="",U183,U184),1)</f>
        <v>46143</v>
      </c>
      <c r="W183" s="250"/>
      <c r="X183" s="247">
        <f>U183+Y182</f>
        <v>46275</v>
      </c>
      <c r="Y183" s="251"/>
      <c r="Z183" s="252"/>
      <c r="AA183" s="253"/>
      <c r="AB183" s="254"/>
      <c r="AC183" s="290">
        <f>IF(ISERROR(LOOKUP(AC$16,$L183:$X183,#REF!)),0,(LOOKUP(AC$16,$L183:$X183,#REF!)))</f>
        <v>0</v>
      </c>
      <c r="AD183" s="291">
        <f>IF(ISERROR(LOOKUP(AD$16,$L183:$X183,#REF!)),0,(LOOKUP(AD$16,$L183:$X183,#REF!)))</f>
        <v>0</v>
      </c>
      <c r="AE183" s="291">
        <f>IF(ISERROR(LOOKUP(AE$16,$L183:$X183,#REF!)),0,(LOOKUP(AE$16,$L183:$X183,#REF!)))</f>
        <v>0</v>
      </c>
      <c r="AF183" s="291">
        <f>IF(ISERROR(LOOKUP(AF$16,$L183:$X183,#REF!)),0,(LOOKUP(AF$16,$L183:$X183,#REF!)))</f>
        <v>0</v>
      </c>
      <c r="AG183" s="291">
        <f>IF(ISERROR(LOOKUP(AG$16,$L183:$X183,#REF!)),0,(LOOKUP(AG$16,$L183:$X183,#REF!)))</f>
        <v>0</v>
      </c>
      <c r="AH183" s="291">
        <f>IF(ISERROR(LOOKUP(AH$16,$L183:$X183,#REF!)),0,(LOOKUP(AH$16,$L183:$X183,#REF!)))</f>
        <v>0</v>
      </c>
      <c r="AI183" s="291">
        <f>IF(ISERROR(LOOKUP(AI$16,$L183:$X183,#REF!)),0,(LOOKUP(AI$16,$L183:$X183,#REF!)))</f>
        <v>0</v>
      </c>
      <c r="AJ183" s="291">
        <f>IF(ISERROR(LOOKUP(AJ$16,$L183:$X183,#REF!)),0,(LOOKUP(AJ$16,$L183:$X183,#REF!)))</f>
        <v>0</v>
      </c>
      <c r="AK183" s="291">
        <f>IF(ISERROR(LOOKUP(AK$16,$L183:$X183,#REF!)),0,(LOOKUP(AK$16,$L183:$X183,#REF!)))</f>
        <v>0</v>
      </c>
      <c r="AL183" s="291">
        <f>IF(ISERROR(LOOKUP(AL$16,$L183:$X183,#REF!)),0,(LOOKUP(AL$16,$L183:$X183,#REF!)))</f>
        <v>0</v>
      </c>
      <c r="AM183" s="291">
        <f ca="1">IF(ISERROR(LOOKUP(AM$16,$L183:$X183,#REF!)),0,(LOOKUP(AM$16,$L183:$X183,#REF!)))</f>
        <v>0</v>
      </c>
      <c r="AP183" s="247" t="e">
        <f>WORKDAY(IF(T184="",T183,T184),INDEX(AP$12:AP$15,MATCH($I182,$I$12:$I$15,0)),$AW$17:$AW$148)</f>
        <v>#REF!</v>
      </c>
      <c r="AQ183" s="247" t="e">
        <f>WORKDAY(IF(AP184="",AP183,AP184),INDEX(AQ$12:AQ$15,MATCH($I182,$I$12:$I$15,0)),$AW$17:$AW$148)</f>
        <v>#REF!</v>
      </c>
      <c r="AR183" s="247" t="e">
        <f>WORKDAY(IF(AQ184="",AQ183,AQ184),INDEX(AR$12:AR$15,MATCH($I182,$I$12:$I$15,0)),$AW$17:$AW$148)</f>
        <v>#REF!</v>
      </c>
      <c r="AS183" s="257"/>
      <c r="AW183" s="292"/>
    </row>
    <row r="184" s="197" customFormat="1" ht="18.6" customHeight="1" spans="1:49">
      <c r="A184" s="241"/>
      <c r="B184" s="262"/>
      <c r="C184" s="243"/>
      <c r="D184" s="312" t="s">
        <v>4850</v>
      </c>
      <c r="E184" s="317"/>
      <c r="F184" s="318"/>
      <c r="G184" s="243" t="str">
        <f>G182</f>
        <v>Y</v>
      </c>
      <c r="H184" s="263"/>
      <c r="I184" s="243" t="str">
        <f t="shared" ref="I184:I196" si="3">I182</f>
        <v>LA</v>
      </c>
      <c r="J184" s="303" t="s">
        <v>66</v>
      </c>
      <c r="K184" s="243"/>
      <c r="L184" s="243"/>
      <c r="M184" s="243"/>
      <c r="N184" s="243"/>
      <c r="O184" s="243"/>
      <c r="P184" s="265"/>
      <c r="Q184" s="266"/>
      <c r="R184" s="243"/>
      <c r="S184" s="243"/>
      <c r="T184" s="243"/>
      <c r="U184" s="243"/>
      <c r="V184" s="243"/>
      <c r="W184" s="267"/>
      <c r="X184" s="243"/>
      <c r="Y184" s="251"/>
      <c r="Z184" s="252"/>
      <c r="AA184" s="253"/>
      <c r="AB184" s="254"/>
      <c r="AC184" s="296">
        <f>IF(ISERROR(LOOKUP(AC$16,$L184:$X184,#REF!)),0,(LOOKUP(AC$16,$L184:$X184,#REF!)))</f>
        <v>0</v>
      </c>
      <c r="AD184" s="297">
        <f>IF(ISERROR(LOOKUP(AD$16,$L184:$X184,#REF!)),0,(LOOKUP(AD$16,$L184:$X184,#REF!)))</f>
        <v>0</v>
      </c>
      <c r="AE184" s="297">
        <f>IF(ISERROR(LOOKUP(AE$16,$L184:$X184,#REF!)),0,(LOOKUP(AE$16,$L184:$X184,#REF!)))</f>
        <v>0</v>
      </c>
      <c r="AF184" s="297">
        <f>IF(ISERROR(LOOKUP(AF$16,$L184:$X184,#REF!)),0,(LOOKUP(AF$16,$L184:$X184,#REF!)))</f>
        <v>0</v>
      </c>
      <c r="AG184" s="297">
        <f>IF(ISERROR(LOOKUP(AG$16,$L184:$X184,#REF!)),0,(LOOKUP(AG$16,$L184:$X184,#REF!)))</f>
        <v>0</v>
      </c>
      <c r="AH184" s="297">
        <f>IF(ISERROR(LOOKUP(AH$16,$L184:$X184,#REF!)),0,(LOOKUP(AH$16,$L184:$X184,#REF!)))</f>
        <v>0</v>
      </c>
      <c r="AI184" s="297">
        <f>IF(ISERROR(LOOKUP(AI$16,$L184:$X184,#REF!)),0,(LOOKUP(AI$16,$L184:$X184,#REF!)))</f>
        <v>0</v>
      </c>
      <c r="AJ184" s="297">
        <f>IF(ISERROR(LOOKUP(AJ$16,$L184:$X184,#REF!)),0,(LOOKUP(AJ$16,$L184:$X184,#REF!)))</f>
        <v>0</v>
      </c>
      <c r="AK184" s="297">
        <f>IF(ISERROR(LOOKUP(AK$16,$L184:$X184,#REF!)),0,(LOOKUP(AK$16,$L184:$X184,#REF!)))</f>
        <v>0</v>
      </c>
      <c r="AL184" s="297">
        <f>IF(ISERROR(LOOKUP(AL$16,$L184:$X184,#REF!)),0,(LOOKUP(AL$16,$L184:$X184,#REF!)))</f>
        <v>0</v>
      </c>
      <c r="AM184" s="297">
        <f ca="1">IF(ISERROR(LOOKUP(AM$16,$L184:$X184,#REF!)),0,(LOOKUP(AM$16,$L184:$X184,#REF!)))</f>
        <v>0</v>
      </c>
      <c r="AP184" s="243"/>
      <c r="AQ184" s="243"/>
      <c r="AR184" s="243"/>
      <c r="AS184" s="257"/>
      <c r="AW184" s="292"/>
    </row>
    <row r="185" s="197" customFormat="1" ht="18.6" customHeight="1" spans="1:49">
      <c r="A185" s="241"/>
      <c r="B185" s="242"/>
      <c r="C185" s="243"/>
      <c r="D185" s="312" t="s">
        <v>4851</v>
      </c>
      <c r="E185" s="313"/>
      <c r="F185" s="314" t="s">
        <v>234</v>
      </c>
      <c r="G185" s="243" t="str">
        <f>IF(_xlfn.XLOOKUP(C185,'[36]Before Award'!D:D,'[36]Before Award'!AV:AV,"N/A")="N/A","N","Y")</f>
        <v>Y</v>
      </c>
      <c r="H185" s="260"/>
      <c r="I185" s="243" t="str">
        <f t="shared" si="3"/>
        <v>LA</v>
      </c>
      <c r="J185" s="303" t="s">
        <v>4769</v>
      </c>
      <c r="K185" s="247">
        <f>WORKDAY(L185,-INDEX(L$12:L$15,MATCH($I185,$I$12:$I$15,0)))</f>
        <v>46099</v>
      </c>
      <c r="L185" s="247">
        <f>WORKDAY(M185,-1)</f>
        <v>46100</v>
      </c>
      <c r="M185" s="247">
        <f>WORKDAY(N185,-INDEX(N$12:N$15,MATCH($I185,$I$12:$I$15,0)))</f>
        <v>46101</v>
      </c>
      <c r="N185" s="247">
        <f>WORKDAY(O185,-1)</f>
        <v>46104</v>
      </c>
      <c r="O185" s="247">
        <f>WORKDAY(R185,-5)</f>
        <v>46105</v>
      </c>
      <c r="P185" s="248">
        <f>U185-L185</f>
        <v>24</v>
      </c>
      <c r="Q185" s="249"/>
      <c r="R185" s="247">
        <f>WORKDAY(S185,-1)</f>
        <v>46112</v>
      </c>
      <c r="S185" s="247">
        <f>WORKDAY(T185,-1)</f>
        <v>46113</v>
      </c>
      <c r="T185" s="247">
        <f>WORKDAY(U185,-7)</f>
        <v>46114</v>
      </c>
      <c r="U185" s="247">
        <f>X185-Y185</f>
        <v>46124</v>
      </c>
      <c r="V185" s="247">
        <f>WORKDAY(U185,INDEX(V$12:V$15,MATCH($I185,$I$12:$I$15,0)))</f>
        <v>46126</v>
      </c>
      <c r="W185" s="250">
        <f>Y185/7</f>
        <v>17.1428571428571</v>
      </c>
      <c r="X185" s="247">
        <f>Z185</f>
        <v>46244</v>
      </c>
      <c r="Y185" s="251">
        <v>120</v>
      </c>
      <c r="Z185" s="252">
        <v>46244</v>
      </c>
      <c r="AA185" s="253"/>
      <c r="AB185" s="254">
        <f>Z185-X186</f>
        <v>0</v>
      </c>
      <c r="AC185" s="296"/>
      <c r="AD185" s="297"/>
      <c r="AE185" s="297"/>
      <c r="AF185" s="297"/>
      <c r="AG185" s="297"/>
      <c r="AH185" s="297"/>
      <c r="AI185" s="297"/>
      <c r="AJ185" s="297"/>
      <c r="AK185" s="297"/>
      <c r="AL185" s="297"/>
      <c r="AM185" s="297"/>
      <c r="AP185" s="243"/>
      <c r="AQ185" s="243"/>
      <c r="AR185" s="243"/>
      <c r="AS185" s="257"/>
      <c r="AW185" s="292"/>
    </row>
    <row r="186" s="197" customFormat="1" ht="18.6" customHeight="1" spans="1:49">
      <c r="A186" s="241"/>
      <c r="B186" s="259"/>
      <c r="C186" s="243"/>
      <c r="D186" s="312" t="s">
        <v>4850</v>
      </c>
      <c r="E186" s="315"/>
      <c r="F186" s="316"/>
      <c r="G186" s="243" t="str">
        <f>G185</f>
        <v>Y</v>
      </c>
      <c r="H186" s="260"/>
      <c r="I186" s="243" t="str">
        <f t="shared" si="3"/>
        <v>LA</v>
      </c>
      <c r="J186" s="303" t="s">
        <v>64</v>
      </c>
      <c r="K186" s="247">
        <f>K185</f>
        <v>46099</v>
      </c>
      <c r="L186" s="247">
        <f>WORKDAY(IF(K187="",K186,K187),INDEX(L$12:L$15,MATCH($I185,$I$12:$I$15,0)))</f>
        <v>46100</v>
      </c>
      <c r="M186" s="247">
        <f>WORKDAY(IF(L187="",L186,L187),1)</f>
        <v>46101</v>
      </c>
      <c r="N186" s="247">
        <f>WORKDAY(IF(M187="",M186,M187),INDEX(N$12:N$15,MATCH($I185,$I$12:$I$15,0)))</f>
        <v>46104</v>
      </c>
      <c r="O186" s="247">
        <f>WORKDAY(IF(N187="",N186,N187),1)</f>
        <v>46105</v>
      </c>
      <c r="P186" s="248"/>
      <c r="Q186" s="249"/>
      <c r="R186" s="247">
        <f>WORKDAY(IF(O187="",O186,O187),5)</f>
        <v>46112</v>
      </c>
      <c r="S186" s="247">
        <f>WORKDAY(IF(R187="",R186,R187),1)</f>
        <v>46113</v>
      </c>
      <c r="T186" s="247">
        <f>WORKDAY(IF(S187="",S186,S187),1)</f>
        <v>46114</v>
      </c>
      <c r="U186" s="247">
        <f>WORKDAY(IF(T187="",T186,T187),7)-1</f>
        <v>46124</v>
      </c>
      <c r="V186" s="247">
        <f>WORKDAY(IF(U187="",U186,U187),1)</f>
        <v>46125</v>
      </c>
      <c r="W186" s="250"/>
      <c r="X186" s="247">
        <f>U186+Y185</f>
        <v>46244</v>
      </c>
      <c r="Y186" s="251"/>
      <c r="Z186" s="252"/>
      <c r="AA186" s="253"/>
      <c r="AB186" s="254"/>
      <c r="AC186" s="296"/>
      <c r="AD186" s="297"/>
      <c r="AE186" s="297"/>
      <c r="AF186" s="297"/>
      <c r="AG186" s="297"/>
      <c r="AH186" s="297"/>
      <c r="AI186" s="297"/>
      <c r="AJ186" s="297"/>
      <c r="AK186" s="297"/>
      <c r="AL186" s="297"/>
      <c r="AM186" s="297"/>
      <c r="AP186" s="243"/>
      <c r="AQ186" s="243"/>
      <c r="AR186" s="243"/>
      <c r="AS186" s="257"/>
      <c r="AW186" s="292"/>
    </row>
    <row r="187" s="197" customFormat="1" ht="18.6" customHeight="1" spans="1:49">
      <c r="A187" s="241"/>
      <c r="B187" s="262"/>
      <c r="C187" s="243"/>
      <c r="D187" s="312" t="s">
        <v>4850</v>
      </c>
      <c r="E187" s="317"/>
      <c r="F187" s="318"/>
      <c r="G187" s="243" t="str">
        <f>G185</f>
        <v>Y</v>
      </c>
      <c r="H187" s="260"/>
      <c r="I187" s="243" t="str">
        <f t="shared" si="3"/>
        <v>LA</v>
      </c>
      <c r="J187" s="303" t="s">
        <v>66</v>
      </c>
      <c r="K187" s="243"/>
      <c r="L187" s="243"/>
      <c r="M187" s="243"/>
      <c r="N187" s="243"/>
      <c r="O187" s="243"/>
      <c r="P187" s="265"/>
      <c r="Q187" s="266"/>
      <c r="R187" s="243"/>
      <c r="S187" s="243"/>
      <c r="T187" s="243"/>
      <c r="U187" s="243"/>
      <c r="V187" s="243"/>
      <c r="W187" s="267"/>
      <c r="X187" s="243"/>
      <c r="Y187" s="251"/>
      <c r="Z187" s="252"/>
      <c r="AA187" s="253"/>
      <c r="AB187" s="254"/>
      <c r="AC187" s="296"/>
      <c r="AD187" s="297"/>
      <c r="AE187" s="297"/>
      <c r="AF187" s="297"/>
      <c r="AG187" s="297"/>
      <c r="AH187" s="297"/>
      <c r="AI187" s="297"/>
      <c r="AJ187" s="297"/>
      <c r="AK187" s="297"/>
      <c r="AL187" s="297"/>
      <c r="AM187" s="297"/>
      <c r="AP187" s="243"/>
      <c r="AQ187" s="243"/>
      <c r="AR187" s="243"/>
      <c r="AS187" s="257"/>
      <c r="AW187" s="292"/>
    </row>
    <row r="188" s="197" customFormat="1" ht="18.6" customHeight="1" spans="1:49">
      <c r="A188" s="241"/>
      <c r="B188" s="242"/>
      <c r="C188" s="243"/>
      <c r="D188" s="312" t="s">
        <v>4852</v>
      </c>
      <c r="E188" s="313"/>
      <c r="F188" s="314" t="s">
        <v>234</v>
      </c>
      <c r="G188" s="243" t="str">
        <f>IF(_xlfn.XLOOKUP(C188,'[36]Before Award'!D:D,'[36]Before Award'!AV:AV,"N/A")="N/A","N","Y")</f>
        <v>Y</v>
      </c>
      <c r="H188" s="260"/>
      <c r="I188" s="243" t="str">
        <f t="shared" si="3"/>
        <v>LA</v>
      </c>
      <c r="J188" s="303" t="s">
        <v>4769</v>
      </c>
      <c r="K188" s="247">
        <f>WORKDAY(L188,-INDEX(L$12:L$15,MATCH($I188,$I$12:$I$15,0)))</f>
        <v>46161</v>
      </c>
      <c r="L188" s="247">
        <f>WORKDAY(M188,-1)</f>
        <v>46162</v>
      </c>
      <c r="M188" s="247">
        <f>WORKDAY(N188,-INDEX(N$12:N$15,MATCH($I188,$I$12:$I$15,0)))</f>
        <v>46163</v>
      </c>
      <c r="N188" s="247">
        <f>WORKDAY(O188,-1)</f>
        <v>46164</v>
      </c>
      <c r="O188" s="247">
        <f>WORKDAY(R188,-5)</f>
        <v>46167</v>
      </c>
      <c r="P188" s="248">
        <f>U188-L188</f>
        <v>23</v>
      </c>
      <c r="Q188" s="249"/>
      <c r="R188" s="247">
        <f>WORKDAY(S188,-1)</f>
        <v>46174</v>
      </c>
      <c r="S188" s="247">
        <f>WORKDAY(T188,-1)</f>
        <v>46175</v>
      </c>
      <c r="T188" s="247">
        <f>WORKDAY(U188,-7)</f>
        <v>46176</v>
      </c>
      <c r="U188" s="247">
        <f>X188-Y188</f>
        <v>46185</v>
      </c>
      <c r="V188" s="247">
        <f>WORKDAY(U188,INDEX(V$12:V$15,MATCH($I188,$I$12:$I$15,0)))</f>
        <v>46189</v>
      </c>
      <c r="W188" s="250">
        <f>Y188/7</f>
        <v>12.8571428571429</v>
      </c>
      <c r="X188" s="247">
        <f>Z188</f>
        <v>46275</v>
      </c>
      <c r="Y188" s="251">
        <v>90</v>
      </c>
      <c r="Z188" s="252">
        <v>46275</v>
      </c>
      <c r="AA188" s="253"/>
      <c r="AB188" s="254">
        <f>Z188-X189</f>
        <v>0</v>
      </c>
      <c r="AC188" s="296"/>
      <c r="AD188" s="297"/>
      <c r="AE188" s="297"/>
      <c r="AF188" s="297"/>
      <c r="AG188" s="297"/>
      <c r="AH188" s="297"/>
      <c r="AI188" s="297"/>
      <c r="AJ188" s="297"/>
      <c r="AK188" s="297"/>
      <c r="AL188" s="297"/>
      <c r="AM188" s="297"/>
      <c r="AP188" s="243"/>
      <c r="AQ188" s="243"/>
      <c r="AR188" s="243"/>
      <c r="AS188" s="257"/>
      <c r="AW188" s="292"/>
    </row>
    <row r="189" s="197" customFormat="1" ht="18.6" customHeight="1" spans="1:49">
      <c r="A189" s="241"/>
      <c r="B189" s="259"/>
      <c r="C189" s="243"/>
      <c r="D189" s="312" t="s">
        <v>4853</v>
      </c>
      <c r="E189" s="315"/>
      <c r="F189" s="316"/>
      <c r="G189" s="243" t="str">
        <f>G188</f>
        <v>Y</v>
      </c>
      <c r="H189" s="260"/>
      <c r="I189" s="243" t="str">
        <f t="shared" si="3"/>
        <v>LA</v>
      </c>
      <c r="J189" s="303" t="s">
        <v>64</v>
      </c>
      <c r="K189" s="247">
        <f>K188</f>
        <v>46161</v>
      </c>
      <c r="L189" s="247">
        <f>WORKDAY(IF(K190="",K189,K190),INDEX(L$12:L$15,MATCH($I188,$I$12:$I$15,0)))</f>
        <v>46162</v>
      </c>
      <c r="M189" s="247">
        <f>WORKDAY(IF(L190="",L189,L190),1)</f>
        <v>46163</v>
      </c>
      <c r="N189" s="247">
        <f>WORKDAY(IF(M190="",M189,M190),INDEX(N$12:N$15,MATCH($I188,$I$12:$I$15,0)))</f>
        <v>46164</v>
      </c>
      <c r="O189" s="247">
        <f>WORKDAY(IF(N190="",N189,N190),1)</f>
        <v>46167</v>
      </c>
      <c r="P189" s="248"/>
      <c r="Q189" s="249"/>
      <c r="R189" s="247">
        <f>WORKDAY(IF(O190="",O189,O190),5)</f>
        <v>46174</v>
      </c>
      <c r="S189" s="247">
        <f>WORKDAY(IF(R190="",R189,R190),1)</f>
        <v>46175</v>
      </c>
      <c r="T189" s="247">
        <f>WORKDAY(IF(S190="",S189,S190),1)</f>
        <v>46176</v>
      </c>
      <c r="U189" s="247">
        <f>WORKDAY(IF(T190="",T189,T190),7)</f>
        <v>46185</v>
      </c>
      <c r="V189" s="247">
        <f>WORKDAY(IF(U190="",U189,U190),1)</f>
        <v>46188</v>
      </c>
      <c r="W189" s="250"/>
      <c r="X189" s="247">
        <f>U189+Y188</f>
        <v>46275</v>
      </c>
      <c r="Y189" s="251"/>
      <c r="Z189" s="252"/>
      <c r="AA189" s="253"/>
      <c r="AB189" s="254"/>
      <c r="AC189" s="296"/>
      <c r="AD189" s="297"/>
      <c r="AE189" s="297"/>
      <c r="AF189" s="297"/>
      <c r="AG189" s="297"/>
      <c r="AH189" s="297"/>
      <c r="AI189" s="297"/>
      <c r="AJ189" s="297"/>
      <c r="AK189" s="297"/>
      <c r="AL189" s="297"/>
      <c r="AM189" s="297"/>
      <c r="AP189" s="243"/>
      <c r="AQ189" s="243"/>
      <c r="AR189" s="243"/>
      <c r="AS189" s="257"/>
      <c r="AW189" s="292"/>
    </row>
    <row r="190" s="197" customFormat="1" ht="18.6" customHeight="1" spans="1:49">
      <c r="A190" s="241"/>
      <c r="B190" s="262"/>
      <c r="C190" s="243"/>
      <c r="D190" s="312" t="s">
        <v>4853</v>
      </c>
      <c r="E190" s="317"/>
      <c r="F190" s="318"/>
      <c r="G190" s="243" t="str">
        <f>G188</f>
        <v>Y</v>
      </c>
      <c r="H190" s="260"/>
      <c r="I190" s="243" t="str">
        <f t="shared" si="3"/>
        <v>LA</v>
      </c>
      <c r="J190" s="303" t="s">
        <v>66</v>
      </c>
      <c r="K190" s="243"/>
      <c r="L190" s="243"/>
      <c r="M190" s="243"/>
      <c r="N190" s="243"/>
      <c r="O190" s="243"/>
      <c r="P190" s="265"/>
      <c r="Q190" s="266"/>
      <c r="R190" s="243"/>
      <c r="S190" s="243"/>
      <c r="T190" s="243"/>
      <c r="U190" s="243"/>
      <c r="V190" s="243"/>
      <c r="W190" s="267"/>
      <c r="X190" s="243"/>
      <c r="Y190" s="251"/>
      <c r="Z190" s="252"/>
      <c r="AA190" s="253"/>
      <c r="AB190" s="254"/>
      <c r="AC190" s="296"/>
      <c r="AD190" s="297"/>
      <c r="AE190" s="297"/>
      <c r="AF190" s="297"/>
      <c r="AG190" s="297"/>
      <c r="AH190" s="297"/>
      <c r="AI190" s="297"/>
      <c r="AJ190" s="297"/>
      <c r="AK190" s="297"/>
      <c r="AL190" s="297"/>
      <c r="AM190" s="297"/>
      <c r="AP190" s="243"/>
      <c r="AQ190" s="243"/>
      <c r="AR190" s="243"/>
      <c r="AS190" s="257"/>
      <c r="AW190" s="292"/>
    </row>
    <row r="191" s="197" customFormat="1" ht="18.6" customHeight="1" spans="1:49">
      <c r="A191" s="241"/>
      <c r="B191" s="242"/>
      <c r="C191" s="243"/>
      <c r="D191" s="312" t="s">
        <v>4854</v>
      </c>
      <c r="E191" s="313"/>
      <c r="F191" s="314" t="s">
        <v>234</v>
      </c>
      <c r="G191" s="243" t="str">
        <f>IF(_xlfn.XLOOKUP(C191,'[36]Before Award'!D:D,'[36]Before Award'!AV:AV,"N/A")="N/A","N","Y")</f>
        <v>Y</v>
      </c>
      <c r="H191" s="260"/>
      <c r="I191" s="243" t="str">
        <f t="shared" si="3"/>
        <v>LA</v>
      </c>
      <c r="J191" s="303" t="s">
        <v>4769</v>
      </c>
      <c r="K191" s="247">
        <f>WORKDAY(L191,-INDEX(L$12:L$15,MATCH($I191,$I$12:$I$15,0)))</f>
        <v>46111</v>
      </c>
      <c r="L191" s="247">
        <f>WORKDAY(M191,-1)</f>
        <v>46112</v>
      </c>
      <c r="M191" s="247">
        <f>WORKDAY(N191,-INDEX(N$12:N$15,MATCH($I191,$I$12:$I$15,0)))</f>
        <v>46113</v>
      </c>
      <c r="N191" s="247">
        <f>WORKDAY(O191,-1)</f>
        <v>46114</v>
      </c>
      <c r="O191" s="247">
        <f>WORKDAY(R191,-5)</f>
        <v>46115</v>
      </c>
      <c r="P191" s="248">
        <f>U191-L191</f>
        <v>23</v>
      </c>
      <c r="Q191" s="249"/>
      <c r="R191" s="247">
        <f>WORKDAY(S191,-1)</f>
        <v>46122</v>
      </c>
      <c r="S191" s="247">
        <f>WORKDAY(T191,-1)</f>
        <v>46125</v>
      </c>
      <c r="T191" s="247">
        <f>WORKDAY(U191,-7)</f>
        <v>46126</v>
      </c>
      <c r="U191" s="247">
        <f>X191-Y191</f>
        <v>46135</v>
      </c>
      <c r="V191" s="247">
        <f>WORKDAY(U191,INDEX(V$12:V$15,MATCH($I191,$I$12:$I$15,0)))</f>
        <v>46139</v>
      </c>
      <c r="W191" s="250">
        <f>Y191/7</f>
        <v>22.8571428571429</v>
      </c>
      <c r="X191" s="247">
        <f>Z191</f>
        <v>46295</v>
      </c>
      <c r="Y191" s="251">
        <f>120+40</f>
        <v>160</v>
      </c>
      <c r="Z191" s="289">
        <v>46295</v>
      </c>
      <c r="AA191" s="253"/>
      <c r="AB191" s="254">
        <f>Z191-X192</f>
        <v>0</v>
      </c>
      <c r="AC191" s="296"/>
      <c r="AD191" s="297"/>
      <c r="AE191" s="297"/>
      <c r="AF191" s="297"/>
      <c r="AG191" s="297"/>
      <c r="AH191" s="297"/>
      <c r="AI191" s="297"/>
      <c r="AJ191" s="297"/>
      <c r="AK191" s="297"/>
      <c r="AL191" s="297"/>
      <c r="AM191" s="297"/>
      <c r="AP191" s="243"/>
      <c r="AQ191" s="243"/>
      <c r="AR191" s="243"/>
      <c r="AS191" s="257"/>
      <c r="AW191" s="292"/>
    </row>
    <row r="192" s="197" customFormat="1" ht="18.6" customHeight="1" spans="1:49">
      <c r="A192" s="241"/>
      <c r="B192" s="259"/>
      <c r="C192" s="243"/>
      <c r="D192" s="312"/>
      <c r="E192" s="315"/>
      <c r="F192" s="316"/>
      <c r="G192" s="243" t="str">
        <f>G191</f>
        <v>Y</v>
      </c>
      <c r="H192" s="260"/>
      <c r="I192" s="243" t="str">
        <f t="shared" si="3"/>
        <v>LA</v>
      </c>
      <c r="J192" s="303" t="s">
        <v>64</v>
      </c>
      <c r="K192" s="247">
        <f>K191</f>
        <v>46111</v>
      </c>
      <c r="L192" s="247">
        <f>WORKDAY(IF(K193="",K192,K193),INDEX(L$12:L$15,MATCH($I191,$I$12:$I$15,0)))</f>
        <v>46112</v>
      </c>
      <c r="M192" s="247">
        <f>WORKDAY(IF(L193="",L192,L193),1)</f>
        <v>46113</v>
      </c>
      <c r="N192" s="247">
        <f>WORKDAY(IF(M193="",M192,M193),INDEX(N$12:N$15,MATCH($I191,$I$12:$I$15,0)))</f>
        <v>46114</v>
      </c>
      <c r="O192" s="247">
        <f>WORKDAY(IF(N193="",N192,N193),1)</f>
        <v>46115</v>
      </c>
      <c r="P192" s="248"/>
      <c r="Q192" s="249"/>
      <c r="R192" s="247">
        <f>WORKDAY(IF(O193="",O192,O193),5)</f>
        <v>46122</v>
      </c>
      <c r="S192" s="247">
        <f>WORKDAY(IF(R193="",R192,R193),1)</f>
        <v>46125</v>
      </c>
      <c r="T192" s="247">
        <f>WORKDAY(IF(S193="",S192,S193),1)</f>
        <v>46126</v>
      </c>
      <c r="U192" s="247">
        <f>WORKDAY(IF(T193="",T192,T193),7)</f>
        <v>46135</v>
      </c>
      <c r="V192" s="247">
        <f>WORKDAY(IF(U193="",U192,U193),1)</f>
        <v>46136</v>
      </c>
      <c r="W192" s="250"/>
      <c r="X192" s="247">
        <f>U192+Y191</f>
        <v>46295</v>
      </c>
      <c r="Y192" s="251"/>
      <c r="Z192" s="293"/>
      <c r="AA192" s="253"/>
      <c r="AB192" s="254"/>
      <c r="AC192" s="296"/>
      <c r="AD192" s="297"/>
      <c r="AE192" s="297"/>
      <c r="AF192" s="297"/>
      <c r="AG192" s="297"/>
      <c r="AH192" s="297"/>
      <c r="AI192" s="297"/>
      <c r="AJ192" s="297"/>
      <c r="AK192" s="297"/>
      <c r="AL192" s="297"/>
      <c r="AM192" s="297"/>
      <c r="AP192" s="243"/>
      <c r="AQ192" s="243"/>
      <c r="AR192" s="243"/>
      <c r="AS192" s="257"/>
      <c r="AW192" s="292"/>
    </row>
    <row r="193" s="197" customFormat="1" ht="18.6" customHeight="1" spans="1:49">
      <c r="A193" s="241"/>
      <c r="B193" s="262"/>
      <c r="C193" s="243"/>
      <c r="D193" s="312"/>
      <c r="E193" s="317"/>
      <c r="F193" s="318"/>
      <c r="G193" s="243" t="str">
        <f>G191</f>
        <v>Y</v>
      </c>
      <c r="H193" s="260"/>
      <c r="I193" s="243" t="str">
        <f t="shared" si="3"/>
        <v>LA</v>
      </c>
      <c r="J193" s="303" t="s">
        <v>66</v>
      </c>
      <c r="K193" s="243"/>
      <c r="L193" s="243"/>
      <c r="M193" s="243"/>
      <c r="N193" s="243"/>
      <c r="O193" s="243"/>
      <c r="P193" s="265"/>
      <c r="Q193" s="266"/>
      <c r="R193" s="243"/>
      <c r="S193" s="243"/>
      <c r="T193" s="243"/>
      <c r="U193" s="243"/>
      <c r="V193" s="243"/>
      <c r="W193" s="267"/>
      <c r="X193" s="243"/>
      <c r="Y193" s="251"/>
      <c r="Z193" s="295"/>
      <c r="AA193" s="253"/>
      <c r="AB193" s="254"/>
      <c r="AC193" s="296"/>
      <c r="AD193" s="297"/>
      <c r="AE193" s="297"/>
      <c r="AF193" s="297"/>
      <c r="AG193" s="297"/>
      <c r="AH193" s="297"/>
      <c r="AI193" s="297"/>
      <c r="AJ193" s="297"/>
      <c r="AK193" s="297"/>
      <c r="AL193" s="297"/>
      <c r="AM193" s="297"/>
      <c r="AP193" s="243"/>
      <c r="AQ193" s="243"/>
      <c r="AR193" s="243"/>
      <c r="AS193" s="257"/>
      <c r="AW193" s="292"/>
    </row>
    <row r="194" s="197" customFormat="1" ht="18.6" customHeight="1" spans="1:49">
      <c r="A194" s="241"/>
      <c r="B194" s="242"/>
      <c r="C194" s="243"/>
      <c r="D194" s="243" t="s">
        <v>379</v>
      </c>
      <c r="E194" s="244"/>
      <c r="F194" s="245" t="s">
        <v>234</v>
      </c>
      <c r="G194" s="243" t="str">
        <f>IF(_xlfn.XLOOKUP(C194,'[36]Before Award'!D:D,'[36]Before Award'!AV:AV,"N/A")="N/A","N","Y")</f>
        <v>Y</v>
      </c>
      <c r="H194" s="260"/>
      <c r="I194" s="243" t="str">
        <f t="shared" si="3"/>
        <v>LA</v>
      </c>
      <c r="J194" s="303" t="s">
        <v>4769</v>
      </c>
      <c r="K194" s="247">
        <f>WORKDAY(L194,-INDEX(L$12:L$15,MATCH($I194,$I$12:$I$15,0)))</f>
        <v>46122</v>
      </c>
      <c r="L194" s="247">
        <f>WORKDAY(M194,-1)</f>
        <v>46125</v>
      </c>
      <c r="M194" s="247">
        <f>WORKDAY(N194,-INDEX(N$12:N$15,MATCH($I194,$I$12:$I$15,0)))</f>
        <v>46126</v>
      </c>
      <c r="N194" s="247">
        <f>WORKDAY(O194,-1)</f>
        <v>46127</v>
      </c>
      <c r="O194" s="247">
        <f>WORKDAY(R194,-5)</f>
        <v>46128</v>
      </c>
      <c r="P194" s="248">
        <f>U194-L194</f>
        <v>23</v>
      </c>
      <c r="Q194" s="249"/>
      <c r="R194" s="247">
        <f>WORKDAY(S194,-1)</f>
        <v>46135</v>
      </c>
      <c r="S194" s="247">
        <f>WORKDAY(T194,-1)</f>
        <v>46136</v>
      </c>
      <c r="T194" s="247">
        <f>WORKDAY(U194,-7)</f>
        <v>46139</v>
      </c>
      <c r="U194" s="247">
        <f>X194-Y194</f>
        <v>46148</v>
      </c>
      <c r="V194" s="247">
        <f>WORKDAY(U194,INDEX(V$12:V$15,MATCH($I194,$I$12:$I$15,0)))</f>
        <v>46150</v>
      </c>
      <c r="W194" s="250">
        <f>Y194/7</f>
        <v>17.1428571428571</v>
      </c>
      <c r="X194" s="247">
        <f>Z194</f>
        <v>46268</v>
      </c>
      <c r="Y194" s="251">
        <v>120</v>
      </c>
      <c r="Z194" s="289">
        <v>46268</v>
      </c>
      <c r="AA194" s="253"/>
      <c r="AB194" s="254">
        <f>Z194-X195</f>
        <v>0</v>
      </c>
      <c r="AC194" s="296"/>
      <c r="AD194" s="297"/>
      <c r="AE194" s="297"/>
      <c r="AF194" s="297"/>
      <c r="AG194" s="297"/>
      <c r="AH194" s="297"/>
      <c r="AI194" s="297"/>
      <c r="AJ194" s="297"/>
      <c r="AK194" s="297"/>
      <c r="AL194" s="297"/>
      <c r="AM194" s="297"/>
      <c r="AP194" s="243"/>
      <c r="AQ194" s="243"/>
      <c r="AR194" s="243"/>
      <c r="AS194" s="257"/>
      <c r="AU194" s="319">
        <f>AT195+40</f>
        <v>46322</v>
      </c>
      <c r="AW194" s="292"/>
    </row>
    <row r="195" s="197" customFormat="1" ht="18.6" customHeight="1" spans="1:49">
      <c r="A195" s="241"/>
      <c r="B195" s="259"/>
      <c r="C195" s="243"/>
      <c r="D195" s="243" t="s">
        <v>4847</v>
      </c>
      <c r="E195" s="260"/>
      <c r="F195" s="261"/>
      <c r="G195" s="243" t="str">
        <f>G194</f>
        <v>Y</v>
      </c>
      <c r="H195" s="260"/>
      <c r="I195" s="243" t="str">
        <f t="shared" si="3"/>
        <v>LA</v>
      </c>
      <c r="J195" s="303" t="s">
        <v>64</v>
      </c>
      <c r="K195" s="247">
        <f>K194</f>
        <v>46122</v>
      </c>
      <c r="L195" s="247">
        <f>WORKDAY(IF(K196="",K195,K196),INDEX(L$12:L$15,MATCH($I194,$I$12:$I$15,0)))</f>
        <v>46125</v>
      </c>
      <c r="M195" s="247">
        <f>WORKDAY(IF(L196="",L195,L196),1)</f>
        <v>46126</v>
      </c>
      <c r="N195" s="247">
        <f>WORKDAY(IF(M196="",M195,M196),INDEX(N$12:N$15,MATCH($I194,$I$12:$I$15,0)))</f>
        <v>46127</v>
      </c>
      <c r="O195" s="247">
        <f>WORKDAY(IF(N196="",N195,N196),1)</f>
        <v>46128</v>
      </c>
      <c r="P195" s="248"/>
      <c r="Q195" s="249"/>
      <c r="R195" s="247">
        <f>WORKDAY(IF(O196="",O195,O196),5)</f>
        <v>46135</v>
      </c>
      <c r="S195" s="247">
        <f>WORKDAY(IF(R196="",R195,R196),1)</f>
        <v>46136</v>
      </c>
      <c r="T195" s="247">
        <f>WORKDAY(IF(S196="",S195,S196),1)</f>
        <v>46139</v>
      </c>
      <c r="U195" s="247">
        <f>WORKDAY(IF(T196="",T195,T196),7)</f>
        <v>46148</v>
      </c>
      <c r="V195" s="247">
        <f>WORKDAY(IF(U196="",U195,U196),1)</f>
        <v>46149</v>
      </c>
      <c r="W195" s="250"/>
      <c r="X195" s="247">
        <f>U195+Y194</f>
        <v>46268</v>
      </c>
      <c r="Y195" s="251"/>
      <c r="Z195" s="293"/>
      <c r="AA195" s="253"/>
      <c r="AB195" s="254"/>
      <c r="AC195" s="296"/>
      <c r="AD195" s="297"/>
      <c r="AE195" s="297"/>
      <c r="AF195" s="297"/>
      <c r="AG195" s="297"/>
      <c r="AH195" s="297"/>
      <c r="AI195" s="297"/>
      <c r="AJ195" s="297"/>
      <c r="AK195" s="297"/>
      <c r="AL195" s="297"/>
      <c r="AM195" s="297"/>
      <c r="AP195" s="243"/>
      <c r="AQ195" s="243"/>
      <c r="AR195" s="243"/>
      <c r="AS195" s="257"/>
      <c r="AT195" s="320">
        <v>46282</v>
      </c>
      <c r="AU195" s="319"/>
      <c r="AW195" s="292"/>
    </row>
    <row r="196" s="197" customFormat="1" ht="18.6" customHeight="1" spans="1:49">
      <c r="A196" s="241"/>
      <c r="B196" s="262"/>
      <c r="C196" s="243"/>
      <c r="D196" s="243" t="s">
        <v>4847</v>
      </c>
      <c r="E196" s="263"/>
      <c r="F196" s="264"/>
      <c r="G196" s="243" t="str">
        <f>G194</f>
        <v>Y</v>
      </c>
      <c r="H196" s="260"/>
      <c r="I196" s="243" t="str">
        <f t="shared" si="3"/>
        <v>LA</v>
      </c>
      <c r="J196" s="303" t="s">
        <v>66</v>
      </c>
      <c r="K196" s="243"/>
      <c r="L196" s="243"/>
      <c r="M196" s="243"/>
      <c r="N196" s="243"/>
      <c r="O196" s="243"/>
      <c r="P196" s="265"/>
      <c r="Q196" s="266"/>
      <c r="R196" s="243"/>
      <c r="S196" s="243"/>
      <c r="T196" s="243"/>
      <c r="U196" s="243"/>
      <c r="V196" s="243"/>
      <c r="W196" s="267"/>
      <c r="X196" s="243"/>
      <c r="Y196" s="251"/>
      <c r="Z196" s="295"/>
      <c r="AA196" s="253"/>
      <c r="AB196" s="254"/>
      <c r="AC196" s="296"/>
      <c r="AD196" s="297"/>
      <c r="AE196" s="297"/>
      <c r="AF196" s="297"/>
      <c r="AG196" s="297"/>
      <c r="AH196" s="297"/>
      <c r="AI196" s="297"/>
      <c r="AJ196" s="297"/>
      <c r="AK196" s="297"/>
      <c r="AL196" s="297"/>
      <c r="AM196" s="297"/>
      <c r="AP196" s="243"/>
      <c r="AQ196" s="243"/>
      <c r="AR196" s="243"/>
      <c r="AS196" s="257"/>
      <c r="AU196" s="319"/>
      <c r="AW196" s="292"/>
    </row>
    <row r="197" s="197" customFormat="1" ht="18.6" customHeight="1" spans="1:49">
      <c r="A197" s="241"/>
      <c r="B197" s="242"/>
      <c r="C197" s="243"/>
      <c r="D197" s="243" t="s">
        <v>4855</v>
      </c>
      <c r="E197" s="244"/>
      <c r="F197" s="245" t="s">
        <v>234</v>
      </c>
      <c r="G197" s="243" t="str">
        <f>IF(_xlfn.XLOOKUP(C197,'[36]Before Award'!D:D,'[36]Before Award'!AV:AV,"N/A")="N/A","N","Y")</f>
        <v>Y</v>
      </c>
      <c r="H197" s="260"/>
      <c r="I197" s="243" t="str">
        <f>I192</f>
        <v>LA</v>
      </c>
      <c r="J197" s="303" t="s">
        <v>4769</v>
      </c>
      <c r="K197" s="247">
        <f>WORKDAY(L197,-INDEX(L$12:L$15,MATCH($I197,$I$12:$I$15,0)))</f>
        <v>46155</v>
      </c>
      <c r="L197" s="247">
        <f>WORKDAY(M197,-1)</f>
        <v>46156</v>
      </c>
      <c r="M197" s="247">
        <f>WORKDAY(N197,-INDEX(N$12:N$15,MATCH($I197,$I$12:$I$15,0)))</f>
        <v>46157</v>
      </c>
      <c r="N197" s="247">
        <f>WORKDAY(O197,-1)</f>
        <v>46160</v>
      </c>
      <c r="O197" s="247">
        <f>WORKDAY(R197,-5)</f>
        <v>46161</v>
      </c>
      <c r="P197" s="248">
        <f>U197-L197</f>
        <v>23</v>
      </c>
      <c r="Q197" s="249"/>
      <c r="R197" s="247">
        <f>WORKDAY(S197,-1)</f>
        <v>46168</v>
      </c>
      <c r="S197" s="247">
        <f>WORKDAY(T197,-1)</f>
        <v>46169</v>
      </c>
      <c r="T197" s="247">
        <f>WORKDAY(U197,-7)</f>
        <v>46170</v>
      </c>
      <c r="U197" s="247">
        <f>X197-Y197</f>
        <v>46179</v>
      </c>
      <c r="V197" s="247">
        <f>WORKDAY(U197,INDEX(V$12:V$15,MATCH($I197,$I$12:$I$15,0)))</f>
        <v>46182</v>
      </c>
      <c r="W197" s="250">
        <f>Y197/7</f>
        <v>19</v>
      </c>
      <c r="X197" s="247">
        <f>Z197</f>
        <v>46312</v>
      </c>
      <c r="Y197" s="251">
        <f>19*7</f>
        <v>133</v>
      </c>
      <c r="Z197" s="253">
        <v>46312</v>
      </c>
      <c r="AA197" s="253"/>
      <c r="AB197" s="254">
        <f>Z197-X198</f>
        <v>0</v>
      </c>
      <c r="AC197" s="296"/>
      <c r="AD197" s="297"/>
      <c r="AE197" s="297"/>
      <c r="AF197" s="297"/>
      <c r="AG197" s="297"/>
      <c r="AH197" s="297"/>
      <c r="AI197" s="297"/>
      <c r="AJ197" s="297"/>
      <c r="AK197" s="297"/>
      <c r="AL197" s="297"/>
      <c r="AM197" s="297"/>
      <c r="AP197" s="243"/>
      <c r="AQ197" s="243"/>
      <c r="AR197" s="243"/>
      <c r="AS197" s="257"/>
      <c r="AW197" s="292"/>
    </row>
    <row r="198" s="197" customFormat="1" ht="18.6" customHeight="1" spans="1:49">
      <c r="A198" s="241"/>
      <c r="B198" s="259"/>
      <c r="C198" s="243"/>
      <c r="D198" s="243"/>
      <c r="E198" s="260"/>
      <c r="F198" s="261"/>
      <c r="G198" s="243" t="str">
        <f>G197</f>
        <v>Y</v>
      </c>
      <c r="H198" s="260"/>
      <c r="I198" s="243" t="str">
        <f>I193</f>
        <v>LA</v>
      </c>
      <c r="J198" s="303" t="s">
        <v>64</v>
      </c>
      <c r="K198" s="247">
        <f>K197</f>
        <v>46155</v>
      </c>
      <c r="L198" s="247">
        <f>WORKDAY(IF(K199="",K198,K199),INDEX(L$12:L$15,MATCH($I197,$I$12:$I$15,0)))</f>
        <v>46156</v>
      </c>
      <c r="M198" s="247">
        <f>WORKDAY(IF(L199="",L198,L199),1)</f>
        <v>46157</v>
      </c>
      <c r="N198" s="247">
        <f>WORKDAY(IF(M199="",M198,M199),INDEX(N$12:N$15,MATCH($I197,$I$12:$I$15,0)))</f>
        <v>46160</v>
      </c>
      <c r="O198" s="247">
        <f>WORKDAY(IF(N199="",N198,N199),1)</f>
        <v>46161</v>
      </c>
      <c r="P198" s="248"/>
      <c r="Q198" s="249"/>
      <c r="R198" s="247">
        <f>WORKDAY(IF(O199="",O198,O199),5)</f>
        <v>46168</v>
      </c>
      <c r="S198" s="247">
        <f>WORKDAY(IF(R199="",R198,R199),1)</f>
        <v>46169</v>
      </c>
      <c r="T198" s="247">
        <f>WORKDAY(IF(S199="",S198,S199),1)</f>
        <v>46170</v>
      </c>
      <c r="U198" s="247">
        <f>WORKDAY(IF(T199="",T198,T199),7)-2</f>
        <v>46179</v>
      </c>
      <c r="V198" s="247">
        <f>WORKDAY(IF(U199="",U198,U199),1)</f>
        <v>46181</v>
      </c>
      <c r="W198" s="250"/>
      <c r="X198" s="247">
        <f>U198+Y197</f>
        <v>46312</v>
      </c>
      <c r="Y198" s="251"/>
      <c r="Z198" s="253"/>
      <c r="AA198" s="253"/>
      <c r="AB198" s="254"/>
      <c r="AC198" s="296"/>
      <c r="AD198" s="297"/>
      <c r="AE198" s="297"/>
      <c r="AF198" s="297"/>
      <c r="AG198" s="297"/>
      <c r="AH198" s="297"/>
      <c r="AI198" s="297"/>
      <c r="AJ198" s="297"/>
      <c r="AK198" s="297"/>
      <c r="AL198" s="297"/>
      <c r="AM198" s="297"/>
      <c r="AP198" s="243"/>
      <c r="AQ198" s="243"/>
      <c r="AR198" s="243"/>
      <c r="AS198" s="257"/>
      <c r="AW198" s="292"/>
    </row>
    <row r="199" s="197" customFormat="1" ht="18.6" customHeight="1" spans="1:49">
      <c r="A199" s="241"/>
      <c r="B199" s="262"/>
      <c r="C199" s="243"/>
      <c r="D199" s="243"/>
      <c r="E199" s="263"/>
      <c r="F199" s="264"/>
      <c r="G199" s="243" t="str">
        <f>G197</f>
        <v>Y</v>
      </c>
      <c r="H199" s="260"/>
      <c r="I199" s="243" t="str">
        <f>I197</f>
        <v>LA</v>
      </c>
      <c r="J199" s="303" t="s">
        <v>66</v>
      </c>
      <c r="K199" s="243"/>
      <c r="L199" s="243"/>
      <c r="M199" s="243"/>
      <c r="N199" s="243"/>
      <c r="O199" s="243"/>
      <c r="P199" s="265"/>
      <c r="Q199" s="266"/>
      <c r="R199" s="243"/>
      <c r="S199" s="243"/>
      <c r="T199" s="243"/>
      <c r="U199" s="243"/>
      <c r="V199" s="243"/>
      <c r="W199" s="267"/>
      <c r="X199" s="243"/>
      <c r="Y199" s="251"/>
      <c r="Z199" s="253"/>
      <c r="AA199" s="253"/>
      <c r="AB199" s="254"/>
      <c r="AC199" s="296"/>
      <c r="AD199" s="297"/>
      <c r="AE199" s="297"/>
      <c r="AF199" s="297"/>
      <c r="AG199" s="297"/>
      <c r="AH199" s="297"/>
      <c r="AI199" s="297"/>
      <c r="AJ199" s="297"/>
      <c r="AK199" s="297"/>
      <c r="AL199" s="297"/>
      <c r="AM199" s="297"/>
      <c r="AP199" s="243"/>
      <c r="AQ199" s="243"/>
      <c r="AR199" s="243"/>
      <c r="AS199" s="257"/>
      <c r="AW199" s="292"/>
    </row>
    <row r="200" s="197" customFormat="1" ht="18.6" customHeight="1" spans="1:49">
      <c r="A200" s="241"/>
      <c r="B200" s="242"/>
      <c r="C200" s="243"/>
      <c r="D200" s="243" t="s">
        <v>4856</v>
      </c>
      <c r="E200" s="244"/>
      <c r="F200" s="245" t="s">
        <v>234</v>
      </c>
      <c r="G200" s="243" t="str">
        <f>IF(_xlfn.XLOOKUP(C200,'[36]Before Award'!D:D,'[36]Before Award'!AV:AV,"N/A")="N/A","N","Y")</f>
        <v>Y</v>
      </c>
      <c r="H200" s="260"/>
      <c r="I200" s="243" t="str">
        <f>I195</f>
        <v>LA</v>
      </c>
      <c r="J200" s="303" t="s">
        <v>4769</v>
      </c>
      <c r="K200" s="247">
        <f>WORKDAY(L200,-INDEX(L$12:L$15,MATCH($I200,$I$12:$I$15,0)))</f>
        <v>46136</v>
      </c>
      <c r="L200" s="247">
        <f>WORKDAY(M200,-1)</f>
        <v>46139</v>
      </c>
      <c r="M200" s="247">
        <f>WORKDAY(N200,-INDEX(N$12:N$15,MATCH($I200,$I$12:$I$15,0)))</f>
        <v>46140</v>
      </c>
      <c r="N200" s="247">
        <f>WORKDAY(O200,-1)</f>
        <v>46141</v>
      </c>
      <c r="O200" s="247">
        <f>WORKDAY(R200,-5)</f>
        <v>46142</v>
      </c>
      <c r="P200" s="248">
        <f>U200-L200</f>
        <v>23</v>
      </c>
      <c r="Q200" s="249"/>
      <c r="R200" s="247">
        <f>WORKDAY(S200,-1)</f>
        <v>46149</v>
      </c>
      <c r="S200" s="247">
        <f>WORKDAY(T200,-1)</f>
        <v>46150</v>
      </c>
      <c r="T200" s="247">
        <f>WORKDAY(U200,-7)</f>
        <v>46153</v>
      </c>
      <c r="U200" s="247">
        <f>X200-Y200</f>
        <v>46162</v>
      </c>
      <c r="V200" s="247">
        <f>WORKDAY(U200,INDEX(V$12:V$15,MATCH($I200,$I$12:$I$15,0)))</f>
        <v>46164</v>
      </c>
      <c r="W200" s="250">
        <f>Y200/7</f>
        <v>22.8571428571429</v>
      </c>
      <c r="X200" s="247">
        <f>Z200</f>
        <v>46322</v>
      </c>
      <c r="Y200" s="251">
        <f>120+40</f>
        <v>160</v>
      </c>
      <c r="Z200" s="253">
        <v>46322</v>
      </c>
      <c r="AA200" s="253"/>
      <c r="AB200" s="254">
        <f>Z200-X201</f>
        <v>0</v>
      </c>
      <c r="AC200" s="296"/>
      <c r="AD200" s="297"/>
      <c r="AE200" s="297"/>
      <c r="AF200" s="297"/>
      <c r="AG200" s="297"/>
      <c r="AH200" s="297"/>
      <c r="AI200" s="297"/>
      <c r="AJ200" s="297"/>
      <c r="AK200" s="297"/>
      <c r="AL200" s="297"/>
      <c r="AM200" s="297"/>
      <c r="AP200" s="243"/>
      <c r="AQ200" s="243"/>
      <c r="AR200" s="243"/>
      <c r="AS200" s="257"/>
      <c r="AW200" s="292"/>
    </row>
    <row r="201" s="197" customFormat="1" ht="18.6" customHeight="1" spans="1:49">
      <c r="A201" s="241"/>
      <c r="B201" s="259"/>
      <c r="C201" s="243"/>
      <c r="D201" s="243"/>
      <c r="E201" s="260"/>
      <c r="F201" s="261"/>
      <c r="G201" s="243" t="str">
        <f>G200</f>
        <v>Y</v>
      </c>
      <c r="H201" s="260"/>
      <c r="I201" s="243" t="str">
        <f>I196</f>
        <v>LA</v>
      </c>
      <c r="J201" s="303" t="s">
        <v>64</v>
      </c>
      <c r="K201" s="247">
        <f>K200</f>
        <v>46136</v>
      </c>
      <c r="L201" s="247">
        <f>WORKDAY(IF(K202="",K201,K202),INDEX(L$12:L$15,MATCH($I200,$I$12:$I$15,0)))</f>
        <v>46139</v>
      </c>
      <c r="M201" s="247">
        <f>WORKDAY(IF(L202="",L201,L202),1)</f>
        <v>46140</v>
      </c>
      <c r="N201" s="247">
        <f>WORKDAY(IF(M202="",M201,M202),INDEX(N$12:N$15,MATCH($I200,$I$12:$I$15,0)))</f>
        <v>46141</v>
      </c>
      <c r="O201" s="247">
        <f>WORKDAY(IF(N202="",N201,N202),1)</f>
        <v>46142</v>
      </c>
      <c r="P201" s="248"/>
      <c r="Q201" s="249"/>
      <c r="R201" s="247">
        <f>WORKDAY(IF(O202="",O201,O202),5)</f>
        <v>46149</v>
      </c>
      <c r="S201" s="247">
        <f>WORKDAY(IF(R202="",R201,R202),1)</f>
        <v>46150</v>
      </c>
      <c r="T201" s="247">
        <f>WORKDAY(IF(S202="",S201,S202),1)</f>
        <v>46153</v>
      </c>
      <c r="U201" s="247">
        <f>WORKDAY(IF(T202="",T201,T202),7)</f>
        <v>46162</v>
      </c>
      <c r="V201" s="247">
        <f>WORKDAY(IF(U202="",U201,U202),1)</f>
        <v>46163</v>
      </c>
      <c r="W201" s="250"/>
      <c r="X201" s="247">
        <f>U201+Y200</f>
        <v>46322</v>
      </c>
      <c r="Y201" s="251"/>
      <c r="Z201" s="253"/>
      <c r="AA201" s="253"/>
      <c r="AB201" s="254"/>
      <c r="AC201" s="296"/>
      <c r="AD201" s="297"/>
      <c r="AE201" s="297"/>
      <c r="AF201" s="297"/>
      <c r="AG201" s="297"/>
      <c r="AH201" s="297"/>
      <c r="AI201" s="297"/>
      <c r="AJ201" s="297"/>
      <c r="AK201" s="297"/>
      <c r="AL201" s="297"/>
      <c r="AM201" s="297"/>
      <c r="AP201" s="243"/>
      <c r="AQ201" s="243"/>
      <c r="AR201" s="243"/>
      <c r="AS201" s="257"/>
      <c r="AW201" s="292"/>
    </row>
    <row r="202" s="197" customFormat="1" ht="18.6" customHeight="1" spans="1:49">
      <c r="A202" s="241"/>
      <c r="B202" s="262"/>
      <c r="C202" s="243"/>
      <c r="D202" s="243"/>
      <c r="E202" s="263"/>
      <c r="F202" s="264"/>
      <c r="G202" s="243" t="str">
        <f>G200</f>
        <v>Y</v>
      </c>
      <c r="H202" s="260"/>
      <c r="I202" s="243" t="str">
        <f t="shared" ref="I202:I211" si="4">I200</f>
        <v>LA</v>
      </c>
      <c r="J202" s="303" t="s">
        <v>66</v>
      </c>
      <c r="K202" s="243"/>
      <c r="L202" s="243"/>
      <c r="M202" s="243"/>
      <c r="N202" s="243"/>
      <c r="O202" s="243"/>
      <c r="P202" s="265"/>
      <c r="Q202" s="266"/>
      <c r="R202" s="243"/>
      <c r="S202" s="243"/>
      <c r="T202" s="243"/>
      <c r="U202" s="243"/>
      <c r="V202" s="243"/>
      <c r="W202" s="267"/>
      <c r="X202" s="243"/>
      <c r="Y202" s="251"/>
      <c r="Z202" s="253"/>
      <c r="AA202" s="253"/>
      <c r="AB202" s="254"/>
      <c r="AC202" s="296"/>
      <c r="AD202" s="297"/>
      <c r="AE202" s="297"/>
      <c r="AF202" s="297"/>
      <c r="AG202" s="297"/>
      <c r="AH202" s="297"/>
      <c r="AI202" s="297"/>
      <c r="AJ202" s="297"/>
      <c r="AK202" s="297"/>
      <c r="AL202" s="297"/>
      <c r="AM202" s="297"/>
      <c r="AP202" s="243"/>
      <c r="AQ202" s="243"/>
      <c r="AR202" s="243"/>
      <c r="AS202" s="257"/>
      <c r="AW202" s="292"/>
    </row>
    <row r="203" s="197" customFormat="1" ht="18.6" customHeight="1" spans="1:49">
      <c r="A203" s="241"/>
      <c r="B203" s="242"/>
      <c r="C203" s="243"/>
      <c r="D203" s="243" t="s">
        <v>4857</v>
      </c>
      <c r="E203" s="244"/>
      <c r="F203" s="245" t="s">
        <v>234</v>
      </c>
      <c r="G203" s="243" t="str">
        <f>IF(_xlfn.XLOOKUP(C203,'[36]Before Award'!D:D,'[36]Before Award'!AV:AV,"N/A")="N/A","N","Y")</f>
        <v>Y</v>
      </c>
      <c r="H203" s="260"/>
      <c r="I203" s="243" t="str">
        <f t="shared" si="4"/>
        <v>LA</v>
      </c>
      <c r="J203" s="303" t="s">
        <v>4769</v>
      </c>
      <c r="K203" s="247">
        <f>WORKDAY(L203,-INDEX(L$12:L$15,MATCH($I203,$I$12:$I$15,0)))</f>
        <v>46136</v>
      </c>
      <c r="L203" s="247">
        <f>WORKDAY(M203,-1)</f>
        <v>46139</v>
      </c>
      <c r="M203" s="247">
        <f>WORKDAY(N203,-INDEX(N$12:N$15,MATCH($I203,$I$12:$I$15,0)))</f>
        <v>46140</v>
      </c>
      <c r="N203" s="247">
        <f>WORKDAY(O203,-1)</f>
        <v>46141</v>
      </c>
      <c r="O203" s="247">
        <f>WORKDAY(R203,-5)</f>
        <v>46142</v>
      </c>
      <c r="P203" s="248">
        <f>U203-L203</f>
        <v>23</v>
      </c>
      <c r="Q203" s="249"/>
      <c r="R203" s="247">
        <f>WORKDAY(S203,-1)</f>
        <v>46149</v>
      </c>
      <c r="S203" s="247">
        <f>WORKDAY(T203,-1)</f>
        <v>46150</v>
      </c>
      <c r="T203" s="247">
        <f>WORKDAY(U203,-7)</f>
        <v>46153</v>
      </c>
      <c r="U203" s="247">
        <f>X203-Y203</f>
        <v>46162</v>
      </c>
      <c r="V203" s="247">
        <f>WORKDAY(U203,INDEX(V$12:V$15,MATCH($I203,$I$12:$I$15,0)))</f>
        <v>46164</v>
      </c>
      <c r="W203" s="250">
        <f>Y203/7</f>
        <v>22.8571428571429</v>
      </c>
      <c r="X203" s="247">
        <f>Z203</f>
        <v>46322</v>
      </c>
      <c r="Y203" s="251">
        <f>120+40</f>
        <v>160</v>
      </c>
      <c r="Z203" s="253">
        <v>46322</v>
      </c>
      <c r="AA203" s="253"/>
      <c r="AB203" s="254">
        <f>Z203-X204</f>
        <v>0</v>
      </c>
      <c r="AC203" s="296"/>
      <c r="AD203" s="297"/>
      <c r="AE203" s="297"/>
      <c r="AF203" s="297"/>
      <c r="AG203" s="297"/>
      <c r="AH203" s="297"/>
      <c r="AI203" s="297"/>
      <c r="AJ203" s="297"/>
      <c r="AK203" s="297"/>
      <c r="AL203" s="297"/>
      <c r="AM203" s="297"/>
      <c r="AP203" s="243"/>
      <c r="AQ203" s="243"/>
      <c r="AR203" s="243"/>
      <c r="AS203" s="257"/>
      <c r="AW203" s="292"/>
    </row>
    <row r="204" s="197" customFormat="1" ht="18.6" customHeight="1" spans="1:49">
      <c r="A204" s="241"/>
      <c r="B204" s="259"/>
      <c r="C204" s="243"/>
      <c r="D204" s="243"/>
      <c r="E204" s="260"/>
      <c r="F204" s="261"/>
      <c r="G204" s="243" t="str">
        <f>G203</f>
        <v>Y</v>
      </c>
      <c r="H204" s="260"/>
      <c r="I204" s="243" t="str">
        <f t="shared" si="4"/>
        <v>LA</v>
      </c>
      <c r="J204" s="303" t="s">
        <v>64</v>
      </c>
      <c r="K204" s="247">
        <f>K203</f>
        <v>46136</v>
      </c>
      <c r="L204" s="247">
        <f>WORKDAY(IF(K205="",K204,K205),INDEX(L$12:L$15,MATCH($I203,$I$12:$I$15,0)))</f>
        <v>46139</v>
      </c>
      <c r="M204" s="247">
        <f>WORKDAY(IF(L205="",L204,L205),1)</f>
        <v>46140</v>
      </c>
      <c r="N204" s="247">
        <f>WORKDAY(IF(M205="",M204,M205),INDEX(N$12:N$15,MATCH($I203,$I$12:$I$15,0)))</f>
        <v>46141</v>
      </c>
      <c r="O204" s="247">
        <f>WORKDAY(IF(N205="",N204,N205),1)</f>
        <v>46142</v>
      </c>
      <c r="P204" s="248"/>
      <c r="Q204" s="249"/>
      <c r="R204" s="247">
        <f>WORKDAY(IF(O205="",O204,O205),5)</f>
        <v>46149</v>
      </c>
      <c r="S204" s="247">
        <f>WORKDAY(IF(R205="",R204,R205),1)</f>
        <v>46150</v>
      </c>
      <c r="T204" s="247">
        <f>WORKDAY(IF(S205="",S204,S205),1)</f>
        <v>46153</v>
      </c>
      <c r="U204" s="247">
        <f>WORKDAY(IF(T205="",T204,T205),7)</f>
        <v>46162</v>
      </c>
      <c r="V204" s="247">
        <f>WORKDAY(IF(U205="",U204,U205),1)</f>
        <v>46163</v>
      </c>
      <c r="W204" s="250"/>
      <c r="X204" s="247">
        <f>U204+Y203</f>
        <v>46322</v>
      </c>
      <c r="Y204" s="251"/>
      <c r="Z204" s="253"/>
      <c r="AA204" s="253"/>
      <c r="AB204" s="254"/>
      <c r="AC204" s="296"/>
      <c r="AD204" s="297"/>
      <c r="AE204" s="297"/>
      <c r="AF204" s="297"/>
      <c r="AG204" s="297"/>
      <c r="AH204" s="297"/>
      <c r="AI204" s="297"/>
      <c r="AJ204" s="297"/>
      <c r="AK204" s="297"/>
      <c r="AL204" s="297"/>
      <c r="AM204" s="297"/>
      <c r="AP204" s="243"/>
      <c r="AQ204" s="243"/>
      <c r="AR204" s="243"/>
      <c r="AS204" s="257"/>
      <c r="AW204" s="292"/>
    </row>
    <row r="205" s="197" customFormat="1" ht="18.6" customHeight="1" spans="1:49">
      <c r="A205" s="241"/>
      <c r="B205" s="262"/>
      <c r="C205" s="243"/>
      <c r="D205" s="243"/>
      <c r="E205" s="263"/>
      <c r="F205" s="264"/>
      <c r="G205" s="243" t="str">
        <f>G203</f>
        <v>Y</v>
      </c>
      <c r="H205" s="260"/>
      <c r="I205" s="243" t="str">
        <f t="shared" si="4"/>
        <v>LA</v>
      </c>
      <c r="J205" s="303" t="s">
        <v>66</v>
      </c>
      <c r="K205" s="243"/>
      <c r="L205" s="243"/>
      <c r="M205" s="243"/>
      <c r="N205" s="243"/>
      <c r="O205" s="243"/>
      <c r="P205" s="265"/>
      <c r="Q205" s="266"/>
      <c r="R205" s="243"/>
      <c r="S205" s="243"/>
      <c r="T205" s="243"/>
      <c r="U205" s="243"/>
      <c r="V205" s="243"/>
      <c r="W205" s="267"/>
      <c r="X205" s="243"/>
      <c r="Y205" s="251"/>
      <c r="Z205" s="253"/>
      <c r="AA205" s="253"/>
      <c r="AB205" s="254"/>
      <c r="AC205" s="296"/>
      <c r="AD205" s="297"/>
      <c r="AE205" s="297"/>
      <c r="AF205" s="297"/>
      <c r="AG205" s="297"/>
      <c r="AH205" s="297"/>
      <c r="AI205" s="297"/>
      <c r="AJ205" s="297"/>
      <c r="AK205" s="297"/>
      <c r="AL205" s="297"/>
      <c r="AM205" s="297"/>
      <c r="AP205" s="243"/>
      <c r="AQ205" s="243"/>
      <c r="AR205" s="243"/>
      <c r="AS205" s="257"/>
      <c r="AW205" s="292"/>
    </row>
    <row r="206" s="197" customFormat="1" ht="18.6" customHeight="1" spans="1:49">
      <c r="A206" s="241"/>
      <c r="B206" s="242"/>
      <c r="C206" s="243"/>
      <c r="D206" s="243" t="s">
        <v>380</v>
      </c>
      <c r="E206" s="244"/>
      <c r="F206" s="245" t="s">
        <v>234</v>
      </c>
      <c r="G206" s="243" t="str">
        <f>IF(_xlfn.XLOOKUP(C206,'[36]Before Award'!D:D,'[36]Before Award'!AV:AV,"N/A")="N/A","N","Y")</f>
        <v>Y</v>
      </c>
      <c r="H206" s="260"/>
      <c r="I206" s="243" t="str">
        <f t="shared" si="4"/>
        <v>LA</v>
      </c>
      <c r="J206" s="303" t="s">
        <v>4769</v>
      </c>
      <c r="K206" s="247">
        <f>WORKDAY(L206,-INDEX(L$12:L$15,MATCH($I206,$I$12:$I$15,0)))</f>
        <v>46281</v>
      </c>
      <c r="L206" s="247">
        <f>WORKDAY(M206,-1)</f>
        <v>46282</v>
      </c>
      <c r="M206" s="247">
        <f>WORKDAY(N206,-INDEX(N$12:N$15,MATCH($I206,$I$12:$I$15,0)))</f>
        <v>46283</v>
      </c>
      <c r="N206" s="247">
        <f>WORKDAY(O206,-1)</f>
        <v>46286</v>
      </c>
      <c r="O206" s="247">
        <f>WORKDAY(R206,-5)</f>
        <v>46287</v>
      </c>
      <c r="P206" s="248">
        <f>U206-L206</f>
        <v>25</v>
      </c>
      <c r="Q206" s="249"/>
      <c r="R206" s="247">
        <f>WORKDAY(S206,-1)</f>
        <v>46294</v>
      </c>
      <c r="S206" s="247">
        <f>WORKDAY(T206,-1)</f>
        <v>46295</v>
      </c>
      <c r="T206" s="247">
        <f>WORKDAY(U206,-7)</f>
        <v>46296</v>
      </c>
      <c r="U206" s="247">
        <f>X206-Y206</f>
        <v>46307</v>
      </c>
      <c r="V206" s="247">
        <f>WORKDAY(U206,INDEX(V$12:V$15,MATCH($I206,$I$12:$I$15,0)))</f>
        <v>46309</v>
      </c>
      <c r="W206" s="250">
        <f>Y206/7</f>
        <v>17.1428571428571</v>
      </c>
      <c r="X206" s="247">
        <f>Z206</f>
        <v>46427</v>
      </c>
      <c r="Y206" s="251">
        <v>120</v>
      </c>
      <c r="Z206" s="289">
        <v>46427</v>
      </c>
      <c r="AA206" s="253"/>
      <c r="AB206" s="254">
        <f>Z206-X207</f>
        <v>0</v>
      </c>
      <c r="AC206" s="296"/>
      <c r="AD206" s="297"/>
      <c r="AE206" s="297"/>
      <c r="AF206" s="297"/>
      <c r="AG206" s="297"/>
      <c r="AH206" s="297"/>
      <c r="AI206" s="297"/>
      <c r="AJ206" s="297"/>
      <c r="AK206" s="297"/>
      <c r="AL206" s="297"/>
      <c r="AM206" s="297"/>
      <c r="AP206" s="243"/>
      <c r="AQ206" s="243"/>
      <c r="AR206" s="243"/>
      <c r="AS206" s="257"/>
      <c r="AW206" s="292"/>
    </row>
    <row r="207" s="197" customFormat="1" ht="18.6" customHeight="1" spans="1:49">
      <c r="A207" s="241"/>
      <c r="B207" s="259"/>
      <c r="C207" s="243"/>
      <c r="D207" s="243" t="s">
        <v>4847</v>
      </c>
      <c r="E207" s="260"/>
      <c r="F207" s="261"/>
      <c r="G207" s="243" t="str">
        <f>G206</f>
        <v>Y</v>
      </c>
      <c r="H207" s="260"/>
      <c r="I207" s="243" t="str">
        <f t="shared" si="4"/>
        <v>LA</v>
      </c>
      <c r="J207" s="303" t="s">
        <v>64</v>
      </c>
      <c r="K207" s="247">
        <f>K206</f>
        <v>46281</v>
      </c>
      <c r="L207" s="247">
        <f>WORKDAY(IF(K208="",K207,K208),INDEX(L$12:L$15,MATCH($I206,$I$12:$I$15,0)))</f>
        <v>46282</v>
      </c>
      <c r="M207" s="247">
        <f>WORKDAY(IF(L208="",L207,L208),1)</f>
        <v>46283</v>
      </c>
      <c r="N207" s="247">
        <f>WORKDAY(IF(M208="",M207,M208),INDEX(N$12:N$15,MATCH($I206,$I$12:$I$15,0)))</f>
        <v>46286</v>
      </c>
      <c r="O207" s="247">
        <f>WORKDAY(IF(N208="",N207,N208),1)</f>
        <v>46287</v>
      </c>
      <c r="P207" s="248"/>
      <c r="Q207" s="249"/>
      <c r="R207" s="247">
        <f>WORKDAY(IF(O208="",O207,O208),5)</f>
        <v>46294</v>
      </c>
      <c r="S207" s="247">
        <f>WORKDAY(IF(R208="",R207,R208),1)</f>
        <v>46295</v>
      </c>
      <c r="T207" s="247">
        <f>WORKDAY(IF(S208="",S207,S208),1)</f>
        <v>46296</v>
      </c>
      <c r="U207" s="247">
        <f>WORKDAY(IF(T208="",T207,T208),7)</f>
        <v>46307</v>
      </c>
      <c r="V207" s="247">
        <f>WORKDAY(IF(U208="",U207,U208),1)</f>
        <v>46308</v>
      </c>
      <c r="W207" s="250"/>
      <c r="X207" s="247">
        <f>U207+Y206</f>
        <v>46427</v>
      </c>
      <c r="Y207" s="251"/>
      <c r="Z207" s="293"/>
      <c r="AA207" s="253"/>
      <c r="AB207" s="254"/>
      <c r="AC207" s="296"/>
      <c r="AD207" s="297"/>
      <c r="AE207" s="297"/>
      <c r="AF207" s="297"/>
      <c r="AG207" s="297"/>
      <c r="AH207" s="297"/>
      <c r="AI207" s="297"/>
      <c r="AJ207" s="297"/>
      <c r="AK207" s="297"/>
      <c r="AL207" s="297"/>
      <c r="AM207" s="297"/>
      <c r="AP207" s="243"/>
      <c r="AQ207" s="243"/>
      <c r="AR207" s="243"/>
      <c r="AS207" s="257"/>
      <c r="AW207" s="292"/>
    </row>
    <row r="208" s="197" customFormat="1" ht="18.6" customHeight="1" spans="1:49">
      <c r="A208" s="241"/>
      <c r="B208" s="262"/>
      <c r="C208" s="243"/>
      <c r="D208" s="243" t="s">
        <v>4847</v>
      </c>
      <c r="E208" s="263"/>
      <c r="F208" s="264"/>
      <c r="G208" s="243" t="str">
        <f>G206</f>
        <v>Y</v>
      </c>
      <c r="H208" s="260"/>
      <c r="I208" s="243" t="str">
        <f t="shared" si="4"/>
        <v>LA</v>
      </c>
      <c r="J208" s="303" t="s">
        <v>66</v>
      </c>
      <c r="K208" s="243"/>
      <c r="L208" s="243"/>
      <c r="M208" s="243"/>
      <c r="N208" s="243"/>
      <c r="O208" s="243"/>
      <c r="P208" s="265"/>
      <c r="Q208" s="266"/>
      <c r="R208" s="243"/>
      <c r="S208" s="243"/>
      <c r="T208" s="243"/>
      <c r="U208" s="243"/>
      <c r="V208" s="243"/>
      <c r="W208" s="267"/>
      <c r="X208" s="243"/>
      <c r="Y208" s="251"/>
      <c r="Z208" s="295"/>
      <c r="AA208" s="253"/>
      <c r="AB208" s="254"/>
      <c r="AC208" s="296"/>
      <c r="AD208" s="297"/>
      <c r="AE208" s="297"/>
      <c r="AF208" s="297"/>
      <c r="AG208" s="297"/>
      <c r="AH208" s="297"/>
      <c r="AI208" s="297"/>
      <c r="AJ208" s="297"/>
      <c r="AK208" s="297"/>
      <c r="AL208" s="297"/>
      <c r="AM208" s="297"/>
      <c r="AP208" s="243"/>
      <c r="AQ208" s="243"/>
      <c r="AR208" s="243"/>
      <c r="AS208" s="257"/>
      <c r="AW208" s="292"/>
    </row>
    <row r="209" s="197" customFormat="1" ht="18.6" customHeight="1" spans="1:49">
      <c r="A209" s="241"/>
      <c r="B209" s="242"/>
      <c r="C209" s="243"/>
      <c r="D209" s="243" t="s">
        <v>4858</v>
      </c>
      <c r="E209" s="244"/>
      <c r="F209" s="245" t="s">
        <v>234</v>
      </c>
      <c r="G209" s="243" t="str">
        <f>IF(_xlfn.XLOOKUP(C209,'[36]Before Award'!D:D,'[36]Before Award'!AV:AV,"N/A")="N/A","N","Y")</f>
        <v>Y</v>
      </c>
      <c r="H209" s="260"/>
      <c r="I209" s="243" t="str">
        <f t="shared" si="4"/>
        <v>LA</v>
      </c>
      <c r="J209" s="303" t="s">
        <v>4769</v>
      </c>
      <c r="K209" s="247">
        <f>WORKDAY(L209,-INDEX(L$12:L$15,MATCH($I209,$I$12:$I$15,0)))</f>
        <v>46297</v>
      </c>
      <c r="L209" s="247">
        <f>WORKDAY(M209,-1)</f>
        <v>46300</v>
      </c>
      <c r="M209" s="247">
        <f>WORKDAY(N209,-INDEX(N$12:N$15,MATCH($I209,$I$12:$I$15,0)))</f>
        <v>46301</v>
      </c>
      <c r="N209" s="247">
        <f>WORKDAY(O209,-1)</f>
        <v>46302</v>
      </c>
      <c r="O209" s="247">
        <f>WORKDAY(R209,-5)</f>
        <v>46303</v>
      </c>
      <c r="P209" s="248">
        <f>U209-L209</f>
        <v>23</v>
      </c>
      <c r="Q209" s="249"/>
      <c r="R209" s="247">
        <f>WORKDAY(S209,-1)</f>
        <v>46310</v>
      </c>
      <c r="S209" s="247">
        <f>WORKDAY(T209,-1)</f>
        <v>46311</v>
      </c>
      <c r="T209" s="247">
        <f>WORKDAY(U209,-7)</f>
        <v>46314</v>
      </c>
      <c r="U209" s="247">
        <f>X209-Y209</f>
        <v>46323</v>
      </c>
      <c r="V209" s="247">
        <f>WORKDAY(U209,INDEX(V$12:V$15,MATCH($I209,$I$12:$I$15,0)))</f>
        <v>46325</v>
      </c>
      <c r="W209" s="250">
        <f>Y209/7</f>
        <v>22.8571428571429</v>
      </c>
      <c r="X209" s="247">
        <f>Z209</f>
        <v>46483</v>
      </c>
      <c r="Y209" s="251">
        <f>120+40</f>
        <v>160</v>
      </c>
      <c r="Z209" s="289">
        <v>46483</v>
      </c>
      <c r="AA209" s="253"/>
      <c r="AB209" s="254">
        <f>Z209-X210</f>
        <v>0</v>
      </c>
      <c r="AC209" s="296"/>
      <c r="AD209" s="297"/>
      <c r="AE209" s="297"/>
      <c r="AF209" s="297"/>
      <c r="AG209" s="297"/>
      <c r="AH209" s="297"/>
      <c r="AI209" s="297"/>
      <c r="AJ209" s="297"/>
      <c r="AK209" s="297"/>
      <c r="AL209" s="297"/>
      <c r="AM209" s="297"/>
      <c r="AP209" s="243"/>
      <c r="AQ209" s="243"/>
      <c r="AR209" s="243"/>
      <c r="AS209" s="257"/>
      <c r="AW209" s="292"/>
    </row>
    <row r="210" s="197" customFormat="1" ht="18.6" customHeight="1" spans="1:49">
      <c r="A210" s="241"/>
      <c r="B210" s="259"/>
      <c r="C210" s="243"/>
      <c r="D210" s="243"/>
      <c r="E210" s="260"/>
      <c r="F210" s="261"/>
      <c r="G210" s="243" t="str">
        <f>G209</f>
        <v>Y</v>
      </c>
      <c r="H210" s="260"/>
      <c r="I210" s="243" t="str">
        <f t="shared" si="4"/>
        <v>LA</v>
      </c>
      <c r="J210" s="303" t="s">
        <v>64</v>
      </c>
      <c r="K210" s="247">
        <f>K209</f>
        <v>46297</v>
      </c>
      <c r="L210" s="247">
        <f>WORKDAY(IF(K211="",K210,K211),INDEX(L$12:L$15,MATCH($I209,$I$12:$I$15,0)))</f>
        <v>46300</v>
      </c>
      <c r="M210" s="247">
        <f>WORKDAY(IF(L211="",L210,L211),1)</f>
        <v>46301</v>
      </c>
      <c r="N210" s="247">
        <f>WORKDAY(IF(M211="",M210,M211),INDEX(N$12:N$15,MATCH($I209,$I$12:$I$15,0)))</f>
        <v>46302</v>
      </c>
      <c r="O210" s="247">
        <f>WORKDAY(IF(N211="",N210,N211),1)</f>
        <v>46303</v>
      </c>
      <c r="P210" s="248"/>
      <c r="Q210" s="249"/>
      <c r="R210" s="247">
        <f>WORKDAY(IF(O211="",O210,O211),5)</f>
        <v>46310</v>
      </c>
      <c r="S210" s="247">
        <f>WORKDAY(IF(R211="",R210,R211),1)</f>
        <v>46311</v>
      </c>
      <c r="T210" s="247">
        <f>WORKDAY(IF(S211="",S210,S211),1)</f>
        <v>46314</v>
      </c>
      <c r="U210" s="247">
        <f>WORKDAY(IF(T211="",T210,T211),7)</f>
        <v>46323</v>
      </c>
      <c r="V210" s="247">
        <f>WORKDAY(IF(U211="",U210,U211),1)</f>
        <v>46324</v>
      </c>
      <c r="W210" s="250"/>
      <c r="X210" s="247">
        <f>U210+Y209</f>
        <v>46483</v>
      </c>
      <c r="Y210" s="251"/>
      <c r="Z210" s="293"/>
      <c r="AA210" s="253"/>
      <c r="AB210" s="254"/>
      <c r="AC210" s="296"/>
      <c r="AD210" s="297"/>
      <c r="AE210" s="297"/>
      <c r="AF210" s="297"/>
      <c r="AG210" s="297"/>
      <c r="AH210" s="297"/>
      <c r="AI210" s="297"/>
      <c r="AJ210" s="297"/>
      <c r="AK210" s="297"/>
      <c r="AL210" s="297"/>
      <c r="AM210" s="297"/>
      <c r="AP210" s="243"/>
      <c r="AQ210" s="243"/>
      <c r="AR210" s="243"/>
      <c r="AS210" s="257"/>
      <c r="AW210" s="292"/>
    </row>
    <row r="211" s="197" customFormat="1" ht="18.6" customHeight="1" spans="1:49">
      <c r="A211" s="241"/>
      <c r="B211" s="262"/>
      <c r="C211" s="243"/>
      <c r="D211" s="243"/>
      <c r="E211" s="263"/>
      <c r="F211" s="264"/>
      <c r="G211" s="243" t="str">
        <f>G209</f>
        <v>Y</v>
      </c>
      <c r="H211" s="260"/>
      <c r="I211" s="243" t="str">
        <f t="shared" si="4"/>
        <v>LA</v>
      </c>
      <c r="J211" s="303" t="s">
        <v>66</v>
      </c>
      <c r="K211" s="243"/>
      <c r="L211" s="243"/>
      <c r="M211" s="243"/>
      <c r="N211" s="243"/>
      <c r="O211" s="243"/>
      <c r="P211" s="265"/>
      <c r="Q211" s="266"/>
      <c r="R211" s="243"/>
      <c r="S211" s="243"/>
      <c r="T211" s="243"/>
      <c r="U211" s="243"/>
      <c r="V211" s="243"/>
      <c r="W211" s="267"/>
      <c r="X211" s="243"/>
      <c r="Y211" s="251"/>
      <c r="Z211" s="295"/>
      <c r="AA211" s="253"/>
      <c r="AB211" s="254"/>
      <c r="AC211" s="296"/>
      <c r="AD211" s="297"/>
      <c r="AE211" s="297"/>
      <c r="AF211" s="297"/>
      <c r="AG211" s="297"/>
      <c r="AH211" s="297"/>
      <c r="AI211" s="297"/>
      <c r="AJ211" s="297"/>
      <c r="AK211" s="297"/>
      <c r="AL211" s="297"/>
      <c r="AM211" s="297"/>
      <c r="AP211" s="243"/>
      <c r="AQ211" s="243"/>
      <c r="AR211" s="243"/>
      <c r="AS211" s="257"/>
      <c r="AW211" s="292"/>
    </row>
    <row r="212" s="195" customFormat="1" ht="18" customHeight="1" spans="1:49">
      <c r="A212" s="241"/>
      <c r="B212" s="242"/>
      <c r="C212" s="243"/>
      <c r="D212" s="243" t="s">
        <v>4859</v>
      </c>
      <c r="E212" s="243"/>
      <c r="F212" s="243" t="s">
        <v>85</v>
      </c>
      <c r="G212" s="243" t="s">
        <v>72</v>
      </c>
      <c r="H212" s="244"/>
      <c r="I212" s="243" t="s">
        <v>6</v>
      </c>
      <c r="J212" s="303" t="s">
        <v>4769</v>
      </c>
      <c r="K212" s="247">
        <f>WORKDAY(L212,-INDEX(L$12:L$15,MATCH($I212,$I$12:$I$15,0)))</f>
        <v>46030</v>
      </c>
      <c r="L212" s="247">
        <f>WORKDAY(M212,-INDEX(M$12:M$15,MATCH($I212,$I$12:$I$15,0)))</f>
        <v>46031</v>
      </c>
      <c r="M212" s="247">
        <f>WORKDAY(N212,-INDEX(N$12:N$15,MATCH($I212,$I$12:$I$15,0)))</f>
        <v>46038</v>
      </c>
      <c r="N212" s="247">
        <f>WORKDAY(O212,-INDEX(O$12:O$15,MATCH($I212,$I$12:$I$15,0)))</f>
        <v>46041</v>
      </c>
      <c r="O212" s="247">
        <f>WORKDAY(R212,-INDEX(R$12:R$15,MATCH($I212,$I$12:$I$15,0)))</f>
        <v>46048</v>
      </c>
      <c r="P212" s="248">
        <f>U212-L212</f>
        <v>76</v>
      </c>
      <c r="Q212" s="249"/>
      <c r="R212" s="247">
        <f>WORKDAY(S212,-INDEX(S$12:S$15,MATCH($I212,$I$12:$I$15,0)))</f>
        <v>46062</v>
      </c>
      <c r="S212" s="247">
        <f>WORKDAY(T212,-INDEX(T$12:T$15,MATCH($I212,$I$12:$I$15,0)))</f>
        <v>46090</v>
      </c>
      <c r="T212" s="247">
        <f>WORKDAY(U212,-INDEX(U$12:U$15,MATCH($I212,$I$12:$I$15,0)))</f>
        <v>46093</v>
      </c>
      <c r="U212" s="247">
        <f>X212-Y212</f>
        <v>46107</v>
      </c>
      <c r="V212" s="247">
        <f>WORKDAY(U212,INDEX(V$12:V$15,MATCH($I212,$I$12:$I$15,0)))</f>
        <v>46111</v>
      </c>
      <c r="W212" s="250">
        <f>Y212/7</f>
        <v>24</v>
      </c>
      <c r="X212" s="247">
        <f>Z212</f>
        <v>46275</v>
      </c>
      <c r="Y212" s="251">
        <v>168</v>
      </c>
      <c r="Z212" s="253">
        <v>46275</v>
      </c>
      <c r="AA212" s="253">
        <v>46538</v>
      </c>
      <c r="AB212" s="254">
        <f>Z212-X213</f>
        <v>2</v>
      </c>
      <c r="AC212" s="255">
        <f>IF(ISERROR(LOOKUP(AC$16,$L212:$X212,#REF!)),0,(LOOKUP(AC$16,$L212:$X212,#REF!)))</f>
        <v>0</v>
      </c>
      <c r="AD212" s="256">
        <f>IF(ISERROR(LOOKUP(AD$16,$L212:$X212,#REF!)),0,(LOOKUP(AD$16,$L212:$X212,#REF!)))</f>
        <v>0</v>
      </c>
      <c r="AE212" s="256">
        <f>IF(ISERROR(LOOKUP(AE$16,$L212:$X212,#REF!)),0,(LOOKUP(AE$16,$L212:$X212,#REF!)))</f>
        <v>0</v>
      </c>
      <c r="AF212" s="256">
        <f>IF(ISERROR(LOOKUP(AF$16,$L212:$X212,#REF!)),0,(LOOKUP(AF$16,$L212:$X212,#REF!)))</f>
        <v>0</v>
      </c>
      <c r="AG212" s="256">
        <f>IF(ISERROR(LOOKUP(AG$16,$L212:$X212,#REF!)),0,(LOOKUP(AG$16,$L212:$X212,#REF!)))</f>
        <v>0</v>
      </c>
      <c r="AH212" s="256">
        <f>IF(ISERROR(LOOKUP(AH$16,$L212:$X212,#REF!)),0,(LOOKUP(AH$16,$L212:$X212,#REF!)))</f>
        <v>0</v>
      </c>
      <c r="AI212" s="256">
        <f>IF(ISERROR(LOOKUP(AI$16,$L212:$X212,#REF!)),0,(LOOKUP(AI$16,$L212:$X212,#REF!)))</f>
        <v>0</v>
      </c>
      <c r="AJ212" s="256">
        <f>IF(ISERROR(LOOKUP(AJ$16,$L212:$X212,#REF!)),0,(LOOKUP(AJ$16,$L212:$X212,#REF!)))</f>
        <v>0</v>
      </c>
      <c r="AK212" s="256">
        <f>IF(ISERROR(LOOKUP(AK$16,$L212:$X212,#REF!)),0,(LOOKUP(AK$16,$L212:$X212,#REF!)))</f>
        <v>0</v>
      </c>
      <c r="AL212" s="256">
        <f>IF(ISERROR(LOOKUP(AL$16,$L212:$X212,#REF!)),0,(LOOKUP(AL$16,$L212:$X212,#REF!)))</f>
        <v>0</v>
      </c>
      <c r="AM212" s="256">
        <f ca="1">IF(ISERROR(LOOKUP(AM$16,$L212:$X212,#REF!)),0,(LOOKUP(AM$16,$L212:$X212,#REF!)))</f>
        <v>0</v>
      </c>
      <c r="AP212" s="247" t="e">
        <f>WORKDAY(AQ212,-INDEX(AQ$12:AQ$15,MATCH($I212,$I$12:$I$15,0)),$AW$17:$AW$148)</f>
        <v>#REF!</v>
      </c>
      <c r="AQ212" s="247" t="e">
        <f>WORKDAY(U212,-INDEX(U$12:U$15,MATCH($I212,$I$12:$I$15,0)),$AW$17:$AW$148)</f>
        <v>#REF!</v>
      </c>
      <c r="AR212" s="247" t="e">
        <f>WORKDAY(U212,-INDEX(U$12:U$15,MATCH($I212,$I$12:$I$15,0)),$AW$17:$AW$148)</f>
        <v>#REF!</v>
      </c>
      <c r="AS212" s="257">
        <v>7</v>
      </c>
      <c r="AW212" s="258"/>
    </row>
    <row r="213" s="195" customFormat="1" ht="18" customHeight="1" spans="1:49">
      <c r="A213" s="241"/>
      <c r="B213" s="259"/>
      <c r="C213" s="243"/>
      <c r="D213" s="243"/>
      <c r="E213" s="243"/>
      <c r="F213" s="243" t="str">
        <f>F212</f>
        <v>Piping</v>
      </c>
      <c r="G213" s="243" t="str">
        <f>G212</f>
        <v>N</v>
      </c>
      <c r="H213" s="260"/>
      <c r="I213" s="243" t="str">
        <f>I212</f>
        <v>LA</v>
      </c>
      <c r="J213" s="303" t="s">
        <v>64</v>
      </c>
      <c r="K213" s="247">
        <f>K212</f>
        <v>46030</v>
      </c>
      <c r="L213" s="247">
        <f>WORKDAY(IF(K214="",K213,K214),INDEX(L$12:L$15,MATCH($I212,$I$12:$I$15,0)))</f>
        <v>46031</v>
      </c>
      <c r="M213" s="247">
        <f>WORKDAY(IF(L214="",L213,L214),INDEX(M$12:M$15,MATCH($I212,$I$12:$I$15,0)))</f>
        <v>46038</v>
      </c>
      <c r="N213" s="247">
        <f>WORKDAY(IF(M214="",M213,M214),INDEX(N$12:N$15,MATCH($I212,$I$12:$I$15,0)))</f>
        <v>46041</v>
      </c>
      <c r="O213" s="247">
        <f>WORKDAY(IF(N214="",N213,N214),INDEX(O$12:O$15,MATCH($I212,$I$12:$I$15,0)))</f>
        <v>46048</v>
      </c>
      <c r="P213" s="248"/>
      <c r="Q213" s="249"/>
      <c r="R213" s="247">
        <f>WORKDAY(IF(O214="",O213,O214),INDEX(R$12:R$15,MATCH($I212,$I$12:$I$15,0)))</f>
        <v>46062</v>
      </c>
      <c r="S213" s="247">
        <f>WORKDAY(IF(R214="",R213,R214),INDEX(S$12:S$15,MATCH($I212,$I$12:$I$15,0)))</f>
        <v>46090</v>
      </c>
      <c r="T213" s="247">
        <f>WORKDAY(IF(S214="",S213,S214),INDEX(T$12:T$15,MATCH($I212,$I$12:$I$15,0)))</f>
        <v>46093</v>
      </c>
      <c r="U213" s="247">
        <f>WORKDAY(IF(T214="",T213,T214),INDEX(U$12:U$15,MATCH($I212,$I$12:$I$15,0)))-2</f>
        <v>46105</v>
      </c>
      <c r="V213" s="247">
        <f>WORKDAY(IF(U214="",U213,U214),INDEX(V$12:V$15,MATCH($I212,$I$12:$I$15,0)))</f>
        <v>46107</v>
      </c>
      <c r="W213" s="250"/>
      <c r="X213" s="247">
        <f>U213+Y212</f>
        <v>46273</v>
      </c>
      <c r="Y213" s="251"/>
      <c r="Z213" s="253"/>
      <c r="AA213" s="253"/>
      <c r="AB213" s="254"/>
      <c r="AC213" s="255">
        <f>IF(ISERROR(LOOKUP(AC$16,$L213:$X213,#REF!)),0,(LOOKUP(AC$16,$L213:$X213,#REF!)))</f>
        <v>0</v>
      </c>
      <c r="AD213" s="256">
        <f>IF(ISERROR(LOOKUP(AD$16,$L213:$X213,#REF!)),0,(LOOKUP(AD$16,$L213:$X213,#REF!)))</f>
        <v>0</v>
      </c>
      <c r="AE213" s="256">
        <f>IF(ISERROR(LOOKUP(AE$16,$L213:$X213,#REF!)),0,(LOOKUP(AE$16,$L213:$X213,#REF!)))</f>
        <v>0</v>
      </c>
      <c r="AF213" s="256">
        <f>IF(ISERROR(LOOKUP(AF$16,$L213:$X213,#REF!)),0,(LOOKUP(AF$16,$L213:$X213,#REF!)))</f>
        <v>0</v>
      </c>
      <c r="AG213" s="256">
        <f>IF(ISERROR(LOOKUP(AG$16,$L213:$X213,#REF!)),0,(LOOKUP(AG$16,$L213:$X213,#REF!)))</f>
        <v>0</v>
      </c>
      <c r="AH213" s="256">
        <f>IF(ISERROR(LOOKUP(AH$16,$L213:$X213,#REF!)),0,(LOOKUP(AH$16,$L213:$X213,#REF!)))</f>
        <v>0</v>
      </c>
      <c r="AI213" s="256">
        <f>IF(ISERROR(LOOKUP(AI$16,$L213:$X213,#REF!)),0,(LOOKUP(AI$16,$L213:$X213,#REF!)))</f>
        <v>0</v>
      </c>
      <c r="AJ213" s="256">
        <f>IF(ISERROR(LOOKUP(AJ$16,$L213:$X213,#REF!)),0,(LOOKUP(AJ$16,$L213:$X213,#REF!)))</f>
        <v>0</v>
      </c>
      <c r="AK213" s="256">
        <f>IF(ISERROR(LOOKUP(AK$16,$L213:$X213,#REF!)),0,(LOOKUP(AK$16,$L213:$X213,#REF!)))</f>
        <v>0</v>
      </c>
      <c r="AL213" s="256">
        <f>IF(ISERROR(LOOKUP(AL$16,$L213:$X213,#REF!)),0,(LOOKUP(AL$16,$L213:$X213,#REF!)))</f>
        <v>0</v>
      </c>
      <c r="AM213" s="256">
        <f ca="1">IF(ISERROR(LOOKUP(AM$16,$L213:$X213,#REF!)),0,(LOOKUP(AM$16,$L213:$X213,#REF!)))</f>
        <v>0</v>
      </c>
      <c r="AP213" s="247" t="e">
        <f>WORKDAY(IF(T214="",T213,T214),INDEX(AP$12:AP$15,MATCH($I212,$I$12:$I$15,0)),$AW$17:$AW$148)</f>
        <v>#REF!</v>
      </c>
      <c r="AQ213" s="247" t="e">
        <f>WORKDAY(IF(AP214="",AP213,AP214),INDEX(AQ$12:AQ$15,MATCH($I212,$I$12:$I$15,0)),$AW$17:$AW$148)</f>
        <v>#REF!</v>
      </c>
      <c r="AR213" s="247" t="e">
        <f>WORKDAY(IF(AQ214="",AQ213,AQ214),INDEX(AR$12:AR$15,MATCH($I212,$I$12:$I$15,0)),$AW$17:$AW$148)</f>
        <v>#REF!</v>
      </c>
      <c r="AS213" s="257"/>
      <c r="AW213" s="258"/>
    </row>
    <row r="214" s="195" customFormat="1" ht="18" customHeight="1" spans="1:49">
      <c r="A214" s="241"/>
      <c r="B214" s="262"/>
      <c r="C214" s="243"/>
      <c r="D214" s="243"/>
      <c r="E214" s="243"/>
      <c r="F214" s="243" t="str">
        <f>F212</f>
        <v>Piping</v>
      </c>
      <c r="G214" s="243" t="str">
        <f>G212</f>
        <v>N</v>
      </c>
      <c r="H214" s="263"/>
      <c r="I214" s="243" t="str">
        <f>I212</f>
        <v>LA</v>
      </c>
      <c r="J214" s="303" t="s">
        <v>66</v>
      </c>
      <c r="K214" s="243"/>
      <c r="L214" s="243"/>
      <c r="M214" s="243"/>
      <c r="N214" s="243"/>
      <c r="O214" s="243"/>
      <c r="P214" s="265"/>
      <c r="Q214" s="266"/>
      <c r="R214" s="243"/>
      <c r="S214" s="243"/>
      <c r="T214" s="243"/>
      <c r="U214" s="243"/>
      <c r="V214" s="243"/>
      <c r="W214" s="267"/>
      <c r="X214" s="243"/>
      <c r="Y214" s="251"/>
      <c r="Z214" s="253"/>
      <c r="AA214" s="253"/>
      <c r="AB214" s="254"/>
      <c r="AC214" s="268">
        <f>IF(ISERROR(LOOKUP(AC$16,$L214:$X214,#REF!)),0,(LOOKUP(AC$16,$L214:$X214,#REF!)))</f>
        <v>0</v>
      </c>
      <c r="AD214" s="269">
        <f>IF(ISERROR(LOOKUP(AD$16,$L214:$X214,#REF!)),0,(LOOKUP(AD$16,$L214:$X214,#REF!)))</f>
        <v>0</v>
      </c>
      <c r="AE214" s="269">
        <f>IF(ISERROR(LOOKUP(AE$16,$L214:$X214,#REF!)),0,(LOOKUP(AE$16,$L214:$X214,#REF!)))</f>
        <v>0</v>
      </c>
      <c r="AF214" s="269">
        <f>IF(ISERROR(LOOKUP(AF$16,$L214:$X214,#REF!)),0,(LOOKUP(AF$16,$L214:$X214,#REF!)))</f>
        <v>0</v>
      </c>
      <c r="AG214" s="269">
        <f>IF(ISERROR(LOOKUP(AG$16,$L214:$X214,#REF!)),0,(LOOKUP(AG$16,$L214:$X214,#REF!)))</f>
        <v>0</v>
      </c>
      <c r="AH214" s="269">
        <f>IF(ISERROR(LOOKUP(AH$16,$L214:$X214,#REF!)),0,(LOOKUP(AH$16,$L214:$X214,#REF!)))</f>
        <v>0</v>
      </c>
      <c r="AI214" s="269">
        <f>IF(ISERROR(LOOKUP(AI$16,$L214:$X214,#REF!)),0,(LOOKUP(AI$16,$L214:$X214,#REF!)))</f>
        <v>0</v>
      </c>
      <c r="AJ214" s="269">
        <f>IF(ISERROR(LOOKUP(AJ$16,$L214:$X214,#REF!)),0,(LOOKUP(AJ$16,$L214:$X214,#REF!)))</f>
        <v>0</v>
      </c>
      <c r="AK214" s="269">
        <f>IF(ISERROR(LOOKUP(AK$16,$L214:$X214,#REF!)),0,(LOOKUP(AK$16,$L214:$X214,#REF!)))</f>
        <v>0</v>
      </c>
      <c r="AL214" s="269">
        <f>IF(ISERROR(LOOKUP(AL$16,$L214:$X214,#REF!)),0,(LOOKUP(AL$16,$L214:$X214,#REF!)))</f>
        <v>0</v>
      </c>
      <c r="AM214" s="269">
        <f ca="1">IF(ISERROR(LOOKUP(AM$16,$L214:$X214,#REF!)),0,(LOOKUP(AM$16,$L214:$X214,#REF!)))</f>
        <v>0</v>
      </c>
      <c r="AP214" s="301"/>
      <c r="AQ214" s="301"/>
      <c r="AR214" s="301"/>
      <c r="AS214" s="257"/>
      <c r="AW214" s="258"/>
    </row>
    <row r="215" s="195" customFormat="1" ht="18" customHeight="1" spans="1:49">
      <c r="A215" s="241"/>
      <c r="B215" s="242"/>
      <c r="C215" s="243"/>
      <c r="D215" s="243" t="s">
        <v>4860</v>
      </c>
      <c r="E215" s="243"/>
      <c r="F215" s="243" t="s">
        <v>85</v>
      </c>
      <c r="G215" s="243" t="s">
        <v>72</v>
      </c>
      <c r="H215" s="244"/>
      <c r="I215" s="243" t="s">
        <v>6</v>
      </c>
      <c r="J215" s="303" t="s">
        <v>4769</v>
      </c>
      <c r="K215" s="247">
        <f>WORKDAY(L215,-INDEX(L$12:L$15,MATCH($I215,$I$12:$I$15,0)))</f>
        <v>46139</v>
      </c>
      <c r="L215" s="247">
        <f>WORKDAY(M215,-INDEX(M$12:M$15,MATCH($I215,$I$12:$I$15,0)))</f>
        <v>46140</v>
      </c>
      <c r="M215" s="247">
        <f>WORKDAY(N215,-INDEX(N$12:N$15,MATCH($I215,$I$12:$I$15,0)))</f>
        <v>46147</v>
      </c>
      <c r="N215" s="247">
        <f>WORKDAY(O215,-INDEX(O$12:O$15,MATCH($I215,$I$12:$I$15,0)))</f>
        <v>46148</v>
      </c>
      <c r="O215" s="247">
        <f>WORKDAY(R215,-INDEX(R$12:R$15,MATCH($I215,$I$12:$I$15,0)))</f>
        <v>46155</v>
      </c>
      <c r="P215" s="248">
        <f>U215-L215</f>
        <v>74</v>
      </c>
      <c r="Q215" s="249"/>
      <c r="R215" s="247">
        <f>WORKDAY(S215,-INDEX(S$12:S$15,MATCH($I215,$I$12:$I$15,0)))</f>
        <v>46169</v>
      </c>
      <c r="S215" s="247">
        <f>WORKDAY(T215,-INDEX(T$12:T$15,MATCH($I215,$I$12:$I$15,0)))</f>
        <v>46197</v>
      </c>
      <c r="T215" s="247">
        <f>WORKDAY(U215,-INDEX(U$12:U$15,MATCH($I215,$I$12:$I$15,0)))</f>
        <v>46202</v>
      </c>
      <c r="U215" s="247">
        <f>X215-Y215</f>
        <v>46214</v>
      </c>
      <c r="V215" s="247">
        <f>WORKDAY(U215,INDEX(V$12:V$15,MATCH($I215,$I$12:$I$15,0)))</f>
        <v>46217</v>
      </c>
      <c r="W215" s="250">
        <f>Y215/7</f>
        <v>24</v>
      </c>
      <c r="X215" s="247">
        <f>Z215</f>
        <v>46382</v>
      </c>
      <c r="Y215" s="251">
        <v>168</v>
      </c>
      <c r="Z215" s="253">
        <v>46382</v>
      </c>
      <c r="AA215" s="253">
        <v>46538</v>
      </c>
      <c r="AB215" s="254">
        <f>Z215-X216</f>
        <v>0</v>
      </c>
      <c r="AC215" s="255">
        <f>IF(ISERROR(LOOKUP(AC$16,$L215:$X215,#REF!)),0,(LOOKUP(AC$16,$L215:$X215,#REF!)))</f>
        <v>0</v>
      </c>
      <c r="AD215" s="256">
        <f>IF(ISERROR(LOOKUP(AD$16,$L215:$X215,#REF!)),0,(LOOKUP(AD$16,$L215:$X215,#REF!)))</f>
        <v>0</v>
      </c>
      <c r="AE215" s="256">
        <f>IF(ISERROR(LOOKUP(AE$16,$L215:$X215,#REF!)),0,(LOOKUP(AE$16,$L215:$X215,#REF!)))</f>
        <v>0</v>
      </c>
      <c r="AF215" s="256">
        <f>IF(ISERROR(LOOKUP(AF$16,$L215:$X215,#REF!)),0,(LOOKUP(AF$16,$L215:$X215,#REF!)))</f>
        <v>0</v>
      </c>
      <c r="AG215" s="256">
        <f>IF(ISERROR(LOOKUP(AG$16,$L215:$X215,#REF!)),0,(LOOKUP(AG$16,$L215:$X215,#REF!)))</f>
        <v>0</v>
      </c>
      <c r="AH215" s="256">
        <f>IF(ISERROR(LOOKUP(AH$16,$L215:$X215,#REF!)),0,(LOOKUP(AH$16,$L215:$X215,#REF!)))</f>
        <v>0</v>
      </c>
      <c r="AI215" s="256">
        <f>IF(ISERROR(LOOKUP(AI$16,$L215:$X215,#REF!)),0,(LOOKUP(AI$16,$L215:$X215,#REF!)))</f>
        <v>0</v>
      </c>
      <c r="AJ215" s="256">
        <f>IF(ISERROR(LOOKUP(AJ$16,$L215:$X215,#REF!)),0,(LOOKUP(AJ$16,$L215:$X215,#REF!)))</f>
        <v>0</v>
      </c>
      <c r="AK215" s="256">
        <f>IF(ISERROR(LOOKUP(AK$16,$L215:$X215,#REF!)),0,(LOOKUP(AK$16,$L215:$X215,#REF!)))</f>
        <v>0</v>
      </c>
      <c r="AL215" s="256">
        <f>IF(ISERROR(LOOKUP(AL$16,$L215:$X215,#REF!)),0,(LOOKUP(AL$16,$L215:$X215,#REF!)))</f>
        <v>0</v>
      </c>
      <c r="AM215" s="256">
        <f ca="1">IF(ISERROR(LOOKUP(AM$16,$L215:$X215,#REF!)),0,(LOOKUP(AM$16,$L215:$X215,#REF!)))</f>
        <v>0</v>
      </c>
      <c r="AP215" s="247" t="e">
        <f>WORKDAY(AQ215,-INDEX(AQ$12:AQ$15,MATCH($I215,$I$12:$I$15,0)),$AW$17:$AW$148)</f>
        <v>#REF!</v>
      </c>
      <c r="AQ215" s="247" t="e">
        <f>WORKDAY(U215,-INDEX(U$12:U$15,MATCH($I215,$I$12:$I$15,0)),$AW$17:$AW$148)</f>
        <v>#REF!</v>
      </c>
      <c r="AR215" s="247" t="e">
        <f>WORKDAY(U215,-INDEX(U$12:U$15,MATCH($I215,$I$12:$I$15,0)),$AW$17:$AW$148)</f>
        <v>#REF!</v>
      </c>
      <c r="AS215" s="257">
        <v>7</v>
      </c>
      <c r="AW215" s="258"/>
    </row>
    <row r="216" s="195" customFormat="1" ht="18" customHeight="1" spans="1:49">
      <c r="A216" s="241"/>
      <c r="B216" s="259"/>
      <c r="C216" s="243"/>
      <c r="D216" s="243" t="s">
        <v>4860</v>
      </c>
      <c r="E216" s="243"/>
      <c r="F216" s="243" t="str">
        <f>F215</f>
        <v>Piping</v>
      </c>
      <c r="G216" s="243" t="str">
        <f>G215</f>
        <v>N</v>
      </c>
      <c r="H216" s="260"/>
      <c r="I216" s="243" t="str">
        <f>I215</f>
        <v>LA</v>
      </c>
      <c r="J216" s="303" t="s">
        <v>64</v>
      </c>
      <c r="K216" s="247">
        <f>K215</f>
        <v>46139</v>
      </c>
      <c r="L216" s="247">
        <f>WORKDAY(IF(K217="",K216,K217),INDEX(L$12:L$15,MATCH($I215,$I$12:$I$15,0)))</f>
        <v>46140</v>
      </c>
      <c r="M216" s="247">
        <f>WORKDAY(IF(L217="",L216,L217),INDEX(M$12:M$15,MATCH($I215,$I$12:$I$15,0)))</f>
        <v>46147</v>
      </c>
      <c r="N216" s="247">
        <f>WORKDAY(IF(M217="",M216,M217),INDEX(N$12:N$15,MATCH($I215,$I$12:$I$15,0)))</f>
        <v>46148</v>
      </c>
      <c r="O216" s="247">
        <f>WORKDAY(IF(N217="",N216,N217),INDEX(O$12:O$15,MATCH($I215,$I$12:$I$15,0)))</f>
        <v>46155</v>
      </c>
      <c r="P216" s="248"/>
      <c r="Q216" s="249"/>
      <c r="R216" s="247">
        <f>WORKDAY(IF(O217="",O216,O217),INDEX(R$12:R$15,MATCH($I215,$I$12:$I$15,0)))</f>
        <v>46169</v>
      </c>
      <c r="S216" s="247">
        <f>WORKDAY(IF(R217="",R216,R217),INDEX(S$12:S$15,MATCH($I215,$I$12:$I$15,0)))</f>
        <v>46197</v>
      </c>
      <c r="T216" s="247">
        <f>WORKDAY(IF(S217="",S216,S217),INDEX(T$12:T$15,MATCH($I215,$I$12:$I$15,0)))</f>
        <v>46202</v>
      </c>
      <c r="U216" s="247">
        <f>WORKDAY(IF(T217="",T216,T217),INDEX(U$12:U$15,MATCH($I215,$I$12:$I$15,0)))-2</f>
        <v>46214</v>
      </c>
      <c r="V216" s="247">
        <f>WORKDAY(IF(U217="",U216,U217),INDEX(V$12:V$15,MATCH($I215,$I$12:$I$15,0)))</f>
        <v>46217</v>
      </c>
      <c r="W216" s="250"/>
      <c r="X216" s="247">
        <f>U216+Y215</f>
        <v>46382</v>
      </c>
      <c r="Y216" s="251"/>
      <c r="Z216" s="253"/>
      <c r="AA216" s="253"/>
      <c r="AB216" s="254"/>
      <c r="AC216" s="255">
        <f>IF(ISERROR(LOOKUP(AC$16,$L216:$X216,#REF!)),0,(LOOKUP(AC$16,$L216:$X216,#REF!)))</f>
        <v>0</v>
      </c>
      <c r="AD216" s="256">
        <f>IF(ISERROR(LOOKUP(AD$16,$L216:$X216,#REF!)),0,(LOOKUP(AD$16,$L216:$X216,#REF!)))</f>
        <v>0</v>
      </c>
      <c r="AE216" s="256">
        <f>IF(ISERROR(LOOKUP(AE$16,$L216:$X216,#REF!)),0,(LOOKUP(AE$16,$L216:$X216,#REF!)))</f>
        <v>0</v>
      </c>
      <c r="AF216" s="256">
        <f>IF(ISERROR(LOOKUP(AF$16,$L216:$X216,#REF!)),0,(LOOKUP(AF$16,$L216:$X216,#REF!)))</f>
        <v>0</v>
      </c>
      <c r="AG216" s="256">
        <f>IF(ISERROR(LOOKUP(AG$16,$L216:$X216,#REF!)),0,(LOOKUP(AG$16,$L216:$X216,#REF!)))</f>
        <v>0</v>
      </c>
      <c r="AH216" s="256">
        <f>IF(ISERROR(LOOKUP(AH$16,$L216:$X216,#REF!)),0,(LOOKUP(AH$16,$L216:$X216,#REF!)))</f>
        <v>0</v>
      </c>
      <c r="AI216" s="256">
        <f>IF(ISERROR(LOOKUP(AI$16,$L216:$X216,#REF!)),0,(LOOKUP(AI$16,$L216:$X216,#REF!)))</f>
        <v>0</v>
      </c>
      <c r="AJ216" s="256">
        <f>IF(ISERROR(LOOKUP(AJ$16,$L216:$X216,#REF!)),0,(LOOKUP(AJ$16,$L216:$X216,#REF!)))</f>
        <v>0</v>
      </c>
      <c r="AK216" s="256">
        <f>IF(ISERROR(LOOKUP(AK$16,$L216:$X216,#REF!)),0,(LOOKUP(AK$16,$L216:$X216,#REF!)))</f>
        <v>0</v>
      </c>
      <c r="AL216" s="256">
        <f>IF(ISERROR(LOOKUP(AL$16,$L216:$X216,#REF!)),0,(LOOKUP(AL$16,$L216:$X216,#REF!)))</f>
        <v>0</v>
      </c>
      <c r="AM216" s="256">
        <f ca="1">IF(ISERROR(LOOKUP(AM$16,$L216:$X216,#REF!)),0,(LOOKUP(AM$16,$L216:$X216,#REF!)))</f>
        <v>0</v>
      </c>
      <c r="AP216" s="247" t="e">
        <f>WORKDAY(IF(T217="",T216,T217),INDEX(AP$12:AP$15,MATCH($I215,$I$12:$I$15,0)),$AW$17:$AW$148)</f>
        <v>#REF!</v>
      </c>
      <c r="AQ216" s="247" t="e">
        <f>WORKDAY(IF(AP217="",AP216,AP217),INDEX(AQ$12:AQ$15,MATCH($I215,$I$12:$I$15,0)),$AW$17:$AW$148)</f>
        <v>#REF!</v>
      </c>
      <c r="AR216" s="247" t="e">
        <f>WORKDAY(IF(AQ217="",AQ216,AQ217),INDEX(AR$12:AR$15,MATCH($I215,$I$12:$I$15,0)),$AW$17:$AW$148)</f>
        <v>#REF!</v>
      </c>
      <c r="AS216" s="257"/>
      <c r="AW216" s="258"/>
    </row>
    <row r="217" s="195" customFormat="1" ht="18" customHeight="1" spans="1:49">
      <c r="A217" s="241"/>
      <c r="B217" s="262"/>
      <c r="C217" s="243"/>
      <c r="D217" s="243" t="s">
        <v>4860</v>
      </c>
      <c r="E217" s="243"/>
      <c r="F217" s="243" t="str">
        <f>F215</f>
        <v>Piping</v>
      </c>
      <c r="G217" s="243" t="str">
        <f>G215</f>
        <v>N</v>
      </c>
      <c r="H217" s="263"/>
      <c r="I217" s="243" t="str">
        <f>I215</f>
        <v>LA</v>
      </c>
      <c r="J217" s="303" t="s">
        <v>66</v>
      </c>
      <c r="K217" s="243"/>
      <c r="L217" s="243"/>
      <c r="M217" s="243"/>
      <c r="N217" s="243"/>
      <c r="O217" s="243"/>
      <c r="P217" s="265"/>
      <c r="Q217" s="266"/>
      <c r="R217" s="243"/>
      <c r="S217" s="243"/>
      <c r="T217" s="243"/>
      <c r="U217" s="243"/>
      <c r="V217" s="243"/>
      <c r="W217" s="267"/>
      <c r="X217" s="243"/>
      <c r="Y217" s="251"/>
      <c r="Z217" s="253"/>
      <c r="AA217" s="253"/>
      <c r="AB217" s="254"/>
      <c r="AC217" s="268">
        <f>IF(ISERROR(LOOKUP(AC$16,$L217:$X217,#REF!)),0,(LOOKUP(AC$16,$L217:$X217,#REF!)))</f>
        <v>0</v>
      </c>
      <c r="AD217" s="269">
        <f>IF(ISERROR(LOOKUP(AD$16,$L217:$X217,#REF!)),0,(LOOKUP(AD$16,$L217:$X217,#REF!)))</f>
        <v>0</v>
      </c>
      <c r="AE217" s="269">
        <f>IF(ISERROR(LOOKUP(AE$16,$L217:$X217,#REF!)),0,(LOOKUP(AE$16,$L217:$X217,#REF!)))</f>
        <v>0</v>
      </c>
      <c r="AF217" s="269">
        <f>IF(ISERROR(LOOKUP(AF$16,$L217:$X217,#REF!)),0,(LOOKUP(AF$16,$L217:$X217,#REF!)))</f>
        <v>0</v>
      </c>
      <c r="AG217" s="269">
        <f>IF(ISERROR(LOOKUP(AG$16,$L217:$X217,#REF!)),0,(LOOKUP(AG$16,$L217:$X217,#REF!)))</f>
        <v>0</v>
      </c>
      <c r="AH217" s="269">
        <f>IF(ISERROR(LOOKUP(AH$16,$L217:$X217,#REF!)),0,(LOOKUP(AH$16,$L217:$X217,#REF!)))</f>
        <v>0</v>
      </c>
      <c r="AI217" s="269">
        <f>IF(ISERROR(LOOKUP(AI$16,$L217:$X217,#REF!)),0,(LOOKUP(AI$16,$L217:$X217,#REF!)))</f>
        <v>0</v>
      </c>
      <c r="AJ217" s="269">
        <f>IF(ISERROR(LOOKUP(AJ$16,$L217:$X217,#REF!)),0,(LOOKUP(AJ$16,$L217:$X217,#REF!)))</f>
        <v>0</v>
      </c>
      <c r="AK217" s="269">
        <f>IF(ISERROR(LOOKUP(AK$16,$L217:$X217,#REF!)),0,(LOOKUP(AK$16,$L217:$X217,#REF!)))</f>
        <v>0</v>
      </c>
      <c r="AL217" s="269">
        <f>IF(ISERROR(LOOKUP(AL$16,$L217:$X217,#REF!)),0,(LOOKUP(AL$16,$L217:$X217,#REF!)))</f>
        <v>0</v>
      </c>
      <c r="AM217" s="269">
        <f ca="1">IF(ISERROR(LOOKUP(AM$16,$L217:$X217,#REF!)),0,(LOOKUP(AM$16,$L217:$X217,#REF!)))</f>
        <v>0</v>
      </c>
      <c r="AP217" s="301"/>
      <c r="AQ217" s="301"/>
      <c r="AR217" s="301"/>
      <c r="AS217" s="257"/>
      <c r="AW217" s="258"/>
    </row>
    <row r="218" s="195" customFormat="1" ht="18" customHeight="1" spans="1:49">
      <c r="A218" s="241"/>
      <c r="B218" s="242"/>
      <c r="C218" s="243"/>
      <c r="D218" s="243" t="s">
        <v>271</v>
      </c>
      <c r="E218" s="243"/>
      <c r="F218" s="243" t="s">
        <v>85</v>
      </c>
      <c r="G218" s="243" t="s">
        <v>72</v>
      </c>
      <c r="H218" s="244"/>
      <c r="I218" s="243" t="s">
        <v>9</v>
      </c>
      <c r="J218" s="303" t="s">
        <v>4769</v>
      </c>
      <c r="K218" s="247">
        <f>WORKDAY(L218,-INDEX(L$12:L$15,MATCH($I218,$I$12:$I$15,0)))</f>
        <v>46248</v>
      </c>
      <c r="L218" s="247">
        <f>WORKDAY(M218,-INDEX(M$12:M$15,MATCH($I218,$I$12:$I$15,0)))</f>
        <v>46253</v>
      </c>
      <c r="M218" s="247">
        <f>WORKDAY(N218,-INDEX(N$12:N$15,MATCH($I218,$I$12:$I$15,0)))</f>
        <v>46260</v>
      </c>
      <c r="N218" s="247">
        <f>WORKDAY(O218,-INDEX(O$12:O$15,MATCH($I218,$I$12:$I$15,0)))</f>
        <v>46261</v>
      </c>
      <c r="O218" s="247">
        <f>WORKDAY(R218,-INDEX(R$12:R$15,MATCH($I218,$I$12:$I$15,0)))</f>
        <v>46266</v>
      </c>
      <c r="P218" s="248">
        <f>U218-L218</f>
        <v>39</v>
      </c>
      <c r="Q218" s="249"/>
      <c r="R218" s="247">
        <f>WORKDAY(S218,-INDEX(S$12:S$15,MATCH($I218,$I$12:$I$15,0)))</f>
        <v>46273</v>
      </c>
      <c r="S218" s="247">
        <f>WORKDAY(T218,-INDEX(T$12:T$15,MATCH($I218,$I$12:$I$15,0)))</f>
        <v>46282</v>
      </c>
      <c r="T218" s="247">
        <f>WORKDAY(U218,-INDEX(U$12:U$15,MATCH($I218,$I$12:$I$15,0)))</f>
        <v>46286</v>
      </c>
      <c r="U218" s="247">
        <f>X218-Y218</f>
        <v>46292</v>
      </c>
      <c r="V218" s="247">
        <f>WORKDAY(U218,INDEX(V$12:V$15,MATCH($I218,$I$12:$I$15,0)))</f>
        <v>46294</v>
      </c>
      <c r="W218" s="250">
        <f>Y218/7</f>
        <v>12.8571428571429</v>
      </c>
      <c r="X218" s="247">
        <f>Z218</f>
        <v>46382</v>
      </c>
      <c r="Y218" s="251">
        <v>90</v>
      </c>
      <c r="Z218" s="253">
        <v>46382</v>
      </c>
      <c r="AA218" s="253">
        <v>46538</v>
      </c>
      <c r="AB218" s="254">
        <f>Z218-X219</f>
        <v>0</v>
      </c>
      <c r="AC218" s="255">
        <f>IF(ISERROR(LOOKUP(AC$16,$L218:$X218,#REF!)),0,(LOOKUP(AC$16,$L218:$X218,#REF!)))</f>
        <v>0</v>
      </c>
      <c r="AD218" s="256">
        <f>IF(ISERROR(LOOKUP(AD$16,$L218:$X218,#REF!)),0,(LOOKUP(AD$16,$L218:$X218,#REF!)))</f>
        <v>0</v>
      </c>
      <c r="AE218" s="256">
        <f>IF(ISERROR(LOOKUP(AE$16,$L218:$X218,#REF!)),0,(LOOKUP(AE$16,$L218:$X218,#REF!)))</f>
        <v>0</v>
      </c>
      <c r="AF218" s="256">
        <f>IF(ISERROR(LOOKUP(AF$16,$L218:$X218,#REF!)),0,(LOOKUP(AF$16,$L218:$X218,#REF!)))</f>
        <v>0</v>
      </c>
      <c r="AG218" s="256">
        <f>IF(ISERROR(LOOKUP(AG$16,$L218:$X218,#REF!)),0,(LOOKUP(AG$16,$L218:$X218,#REF!)))</f>
        <v>0</v>
      </c>
      <c r="AH218" s="256">
        <f>IF(ISERROR(LOOKUP(AH$16,$L218:$X218,#REF!)),0,(LOOKUP(AH$16,$L218:$X218,#REF!)))</f>
        <v>0</v>
      </c>
      <c r="AI218" s="256">
        <f>IF(ISERROR(LOOKUP(AI$16,$L218:$X218,#REF!)),0,(LOOKUP(AI$16,$L218:$X218,#REF!)))</f>
        <v>0</v>
      </c>
      <c r="AJ218" s="256">
        <f>IF(ISERROR(LOOKUP(AJ$16,$L218:$X218,#REF!)),0,(LOOKUP(AJ$16,$L218:$X218,#REF!)))</f>
        <v>0</v>
      </c>
      <c r="AK218" s="256">
        <f>IF(ISERROR(LOOKUP(AK$16,$L218:$X218,#REF!)),0,(LOOKUP(AK$16,$L218:$X218,#REF!)))</f>
        <v>0</v>
      </c>
      <c r="AL218" s="256">
        <f>IF(ISERROR(LOOKUP(AL$16,$L218:$X218,#REF!)),0,(LOOKUP(AL$16,$L218:$X218,#REF!)))</f>
        <v>0</v>
      </c>
      <c r="AM218" s="256">
        <f ca="1">IF(ISERROR(LOOKUP(AM$16,$L218:$X218,#REF!)),0,(LOOKUP(AM$16,$L218:$X218,#REF!)))</f>
        <v>0</v>
      </c>
      <c r="AP218" s="247" t="e">
        <f>WORKDAY(AQ218,-INDEX(AQ$12:AQ$15,MATCH($I218,$I$12:$I$15,0)),$AW$17:$AW$148)</f>
        <v>#REF!</v>
      </c>
      <c r="AQ218" s="247" t="e">
        <f>WORKDAY(U218,-INDEX(U$12:U$15,MATCH($I218,$I$12:$I$15,0)),$AW$17:$AW$148)</f>
        <v>#REF!</v>
      </c>
      <c r="AR218" s="247" t="e">
        <f>WORKDAY(U218,-INDEX(U$12:U$15,MATCH($I218,$I$12:$I$15,0)),$AW$17:$AW$148)</f>
        <v>#REF!</v>
      </c>
      <c r="AS218" s="257">
        <v>7</v>
      </c>
      <c r="AW218" s="258"/>
    </row>
    <row r="219" s="195" customFormat="1" ht="18" customHeight="1" spans="1:49">
      <c r="A219" s="241"/>
      <c r="B219" s="259"/>
      <c r="C219" s="243"/>
      <c r="D219" s="243" t="s">
        <v>271</v>
      </c>
      <c r="E219" s="243"/>
      <c r="F219" s="243" t="str">
        <f>F218</f>
        <v>Piping</v>
      </c>
      <c r="G219" s="243" t="str">
        <f>G218</f>
        <v>N</v>
      </c>
      <c r="H219" s="260"/>
      <c r="I219" s="243" t="str">
        <f>I218</f>
        <v>LD</v>
      </c>
      <c r="J219" s="303" t="s">
        <v>64</v>
      </c>
      <c r="K219" s="247">
        <f>K218</f>
        <v>46248</v>
      </c>
      <c r="L219" s="247">
        <f>WORKDAY(IF(K220="",K219,K220),INDEX(L$12:L$15,MATCH($I218,$I$12:$I$15,0)))</f>
        <v>46253</v>
      </c>
      <c r="M219" s="247">
        <f>WORKDAY(IF(L220="",L219,L220),INDEX(M$12:M$15,MATCH($I218,$I$12:$I$15,0)))</f>
        <v>46260</v>
      </c>
      <c r="N219" s="247">
        <f>WORKDAY(IF(M220="",M219,M220),INDEX(N$12:N$15,MATCH($I218,$I$12:$I$15,0)))</f>
        <v>46261</v>
      </c>
      <c r="O219" s="247">
        <f>WORKDAY(IF(N220="",N219,N220),INDEX(O$12:O$15,MATCH($I218,$I$12:$I$15,0)))</f>
        <v>46266</v>
      </c>
      <c r="P219" s="248"/>
      <c r="Q219" s="249"/>
      <c r="R219" s="247">
        <f>WORKDAY(IF(O220="",O219,O220),INDEX(R$12:R$15,MATCH($I218,$I$12:$I$15,0)))</f>
        <v>46273</v>
      </c>
      <c r="S219" s="247">
        <f>WORKDAY(IF(R220="",R219,R220),INDEX(S$12:S$15,MATCH($I218,$I$12:$I$15,0)))</f>
        <v>46282</v>
      </c>
      <c r="T219" s="247">
        <f>WORKDAY(IF(S220="",S219,S220),INDEX(T$12:T$15,MATCH($I218,$I$12:$I$15,0)))</f>
        <v>46286</v>
      </c>
      <c r="U219" s="247">
        <f>WORKDAY(IF(T220="",T219,T220),INDEX(U$12:U$15,MATCH($I218,$I$12:$I$15,0)))-1</f>
        <v>46292</v>
      </c>
      <c r="V219" s="247">
        <f>WORKDAY(IF(U220="",U219,U220),INDEX(V$12:V$15,MATCH($I218,$I$12:$I$15,0)))</f>
        <v>46294</v>
      </c>
      <c r="W219" s="250"/>
      <c r="X219" s="247">
        <f>U219+Y218</f>
        <v>46382</v>
      </c>
      <c r="Y219" s="251"/>
      <c r="Z219" s="253"/>
      <c r="AA219" s="253"/>
      <c r="AB219" s="254"/>
      <c r="AC219" s="255">
        <f>IF(ISERROR(LOOKUP(AC$16,$L219:$X219,#REF!)),0,(LOOKUP(AC$16,$L219:$X219,#REF!)))</f>
        <v>0</v>
      </c>
      <c r="AD219" s="256">
        <f>IF(ISERROR(LOOKUP(AD$16,$L219:$X219,#REF!)),0,(LOOKUP(AD$16,$L219:$X219,#REF!)))</f>
        <v>0</v>
      </c>
      <c r="AE219" s="256">
        <f>IF(ISERROR(LOOKUP(AE$16,$L219:$X219,#REF!)),0,(LOOKUP(AE$16,$L219:$X219,#REF!)))</f>
        <v>0</v>
      </c>
      <c r="AF219" s="256">
        <f>IF(ISERROR(LOOKUP(AF$16,$L219:$X219,#REF!)),0,(LOOKUP(AF$16,$L219:$X219,#REF!)))</f>
        <v>0</v>
      </c>
      <c r="AG219" s="256">
        <f>IF(ISERROR(LOOKUP(AG$16,$L219:$X219,#REF!)),0,(LOOKUP(AG$16,$L219:$X219,#REF!)))</f>
        <v>0</v>
      </c>
      <c r="AH219" s="256">
        <f>IF(ISERROR(LOOKUP(AH$16,$L219:$X219,#REF!)),0,(LOOKUP(AH$16,$L219:$X219,#REF!)))</f>
        <v>0</v>
      </c>
      <c r="AI219" s="256">
        <f>IF(ISERROR(LOOKUP(AI$16,$L219:$X219,#REF!)),0,(LOOKUP(AI$16,$L219:$X219,#REF!)))</f>
        <v>0</v>
      </c>
      <c r="AJ219" s="256">
        <f>IF(ISERROR(LOOKUP(AJ$16,$L219:$X219,#REF!)),0,(LOOKUP(AJ$16,$L219:$X219,#REF!)))</f>
        <v>0</v>
      </c>
      <c r="AK219" s="256">
        <f>IF(ISERROR(LOOKUP(AK$16,$L219:$X219,#REF!)),0,(LOOKUP(AK$16,$L219:$X219,#REF!)))</f>
        <v>0</v>
      </c>
      <c r="AL219" s="256">
        <f>IF(ISERROR(LOOKUP(AL$16,$L219:$X219,#REF!)),0,(LOOKUP(AL$16,$L219:$X219,#REF!)))</f>
        <v>0</v>
      </c>
      <c r="AM219" s="256">
        <f ca="1">IF(ISERROR(LOOKUP(AM$16,$L219:$X219,#REF!)),0,(LOOKUP(AM$16,$L219:$X219,#REF!)))</f>
        <v>0</v>
      </c>
      <c r="AP219" s="247" t="e">
        <f>WORKDAY(IF(T220="",T219,T220),INDEX(AP$12:AP$15,MATCH($I218,$I$12:$I$15,0)),$AW$17:$AW$148)</f>
        <v>#REF!</v>
      </c>
      <c r="AQ219" s="247" t="e">
        <f>WORKDAY(IF(AP220="",AP219,AP220),INDEX(AQ$12:AQ$15,MATCH($I218,$I$12:$I$15,0)),$AW$17:$AW$148)</f>
        <v>#REF!</v>
      </c>
      <c r="AR219" s="247" t="e">
        <f>WORKDAY(IF(AQ220="",AQ219,AQ220),INDEX(AR$12:AR$15,MATCH($I218,$I$12:$I$15,0)),$AW$17:$AW$148)</f>
        <v>#REF!</v>
      </c>
      <c r="AS219" s="257"/>
      <c r="AW219" s="258"/>
    </row>
    <row r="220" s="195" customFormat="1" ht="18" customHeight="1" spans="1:49">
      <c r="A220" s="241"/>
      <c r="B220" s="262"/>
      <c r="C220" s="243"/>
      <c r="D220" s="243" t="s">
        <v>271</v>
      </c>
      <c r="E220" s="243"/>
      <c r="F220" s="243" t="str">
        <f>F218</f>
        <v>Piping</v>
      </c>
      <c r="G220" s="243" t="str">
        <f>G218</f>
        <v>N</v>
      </c>
      <c r="H220" s="263"/>
      <c r="I220" s="243" t="str">
        <f>I218</f>
        <v>LD</v>
      </c>
      <c r="J220" s="303" t="s">
        <v>66</v>
      </c>
      <c r="K220" s="243"/>
      <c r="L220" s="243"/>
      <c r="M220" s="243"/>
      <c r="N220" s="243"/>
      <c r="O220" s="243"/>
      <c r="P220" s="265"/>
      <c r="Q220" s="266"/>
      <c r="R220" s="243"/>
      <c r="S220" s="243"/>
      <c r="T220" s="243"/>
      <c r="U220" s="243"/>
      <c r="V220" s="243"/>
      <c r="W220" s="267"/>
      <c r="X220" s="243"/>
      <c r="Y220" s="251"/>
      <c r="Z220" s="253"/>
      <c r="AA220" s="253"/>
      <c r="AB220" s="254"/>
      <c r="AC220" s="268">
        <f>IF(ISERROR(LOOKUP(AC$16,$L220:$X220,#REF!)),0,(LOOKUP(AC$16,$L220:$X220,#REF!)))</f>
        <v>0</v>
      </c>
      <c r="AD220" s="269">
        <f>IF(ISERROR(LOOKUP(AD$16,$L220:$X220,#REF!)),0,(LOOKUP(AD$16,$L220:$X220,#REF!)))</f>
        <v>0</v>
      </c>
      <c r="AE220" s="269">
        <f>IF(ISERROR(LOOKUP(AE$16,$L220:$X220,#REF!)),0,(LOOKUP(AE$16,$L220:$X220,#REF!)))</f>
        <v>0</v>
      </c>
      <c r="AF220" s="269">
        <f>IF(ISERROR(LOOKUP(AF$16,$L220:$X220,#REF!)),0,(LOOKUP(AF$16,$L220:$X220,#REF!)))</f>
        <v>0</v>
      </c>
      <c r="AG220" s="269">
        <f>IF(ISERROR(LOOKUP(AG$16,$L220:$X220,#REF!)),0,(LOOKUP(AG$16,$L220:$X220,#REF!)))</f>
        <v>0</v>
      </c>
      <c r="AH220" s="269">
        <f>IF(ISERROR(LOOKUP(AH$16,$L220:$X220,#REF!)),0,(LOOKUP(AH$16,$L220:$X220,#REF!)))</f>
        <v>0</v>
      </c>
      <c r="AI220" s="269">
        <f>IF(ISERROR(LOOKUP(AI$16,$L220:$X220,#REF!)),0,(LOOKUP(AI$16,$L220:$X220,#REF!)))</f>
        <v>0</v>
      </c>
      <c r="AJ220" s="269">
        <f>IF(ISERROR(LOOKUP(AJ$16,$L220:$X220,#REF!)),0,(LOOKUP(AJ$16,$L220:$X220,#REF!)))</f>
        <v>0</v>
      </c>
      <c r="AK220" s="269">
        <f>IF(ISERROR(LOOKUP(AK$16,$L220:$X220,#REF!)),0,(LOOKUP(AK$16,$L220:$X220,#REF!)))</f>
        <v>0</v>
      </c>
      <c r="AL220" s="269">
        <f>IF(ISERROR(LOOKUP(AL$16,$L220:$X220,#REF!)),0,(LOOKUP(AL$16,$L220:$X220,#REF!)))</f>
        <v>0</v>
      </c>
      <c r="AM220" s="269">
        <f ca="1">IF(ISERROR(LOOKUP(AM$16,$L220:$X220,#REF!)),0,(LOOKUP(AM$16,$L220:$X220,#REF!)))</f>
        <v>0</v>
      </c>
      <c r="AP220" s="301"/>
      <c r="AQ220" s="301"/>
      <c r="AR220" s="301"/>
      <c r="AS220" s="257"/>
      <c r="AW220" s="258"/>
    </row>
    <row r="221" s="195" customFormat="1" ht="18" customHeight="1" spans="1:49">
      <c r="A221" s="241"/>
      <c r="B221" s="242"/>
      <c r="C221" s="243"/>
      <c r="D221" s="243" t="s">
        <v>4861</v>
      </c>
      <c r="E221" s="243"/>
      <c r="F221" s="243" t="s">
        <v>85</v>
      </c>
      <c r="G221" s="243" t="s">
        <v>72</v>
      </c>
      <c r="H221" s="244"/>
      <c r="I221" s="243" t="s">
        <v>9</v>
      </c>
      <c r="J221" s="303" t="s">
        <v>4769</v>
      </c>
      <c r="K221" s="247">
        <f>WORKDAY(L221,-INDEX(L$12:L$15,MATCH($I221,$I$12:$I$15,0)))</f>
        <v>46248</v>
      </c>
      <c r="L221" s="247">
        <f>WORKDAY(M221,-INDEX(M$12:M$15,MATCH($I221,$I$12:$I$15,0)))</f>
        <v>46253</v>
      </c>
      <c r="M221" s="247">
        <f>WORKDAY(N221,-INDEX(N$12:N$15,MATCH($I221,$I$12:$I$15,0)))</f>
        <v>46260</v>
      </c>
      <c r="N221" s="247">
        <f>WORKDAY(O221,-INDEX(O$12:O$15,MATCH($I221,$I$12:$I$15,0)))</f>
        <v>46261</v>
      </c>
      <c r="O221" s="247">
        <f>WORKDAY(R221,-INDEX(R$12:R$15,MATCH($I221,$I$12:$I$15,0)))</f>
        <v>46266</v>
      </c>
      <c r="P221" s="248">
        <f>U221-L221</f>
        <v>39</v>
      </c>
      <c r="Q221" s="249"/>
      <c r="R221" s="247">
        <f>WORKDAY(S221,-INDEX(S$12:S$15,MATCH($I221,$I$12:$I$15,0)))</f>
        <v>46273</v>
      </c>
      <c r="S221" s="247">
        <f>WORKDAY(T221,-INDEX(T$12:T$15,MATCH($I221,$I$12:$I$15,0)))</f>
        <v>46282</v>
      </c>
      <c r="T221" s="247">
        <f>WORKDAY(U221,-INDEX(U$12:U$15,MATCH($I221,$I$12:$I$15,0)))</f>
        <v>46286</v>
      </c>
      <c r="U221" s="247">
        <f>X221-Y221</f>
        <v>46292</v>
      </c>
      <c r="V221" s="247">
        <f>WORKDAY(U221,INDEX(V$12:V$15,MATCH($I221,$I$12:$I$15,0)))</f>
        <v>46294</v>
      </c>
      <c r="W221" s="250">
        <f>Y221/7</f>
        <v>12.8571428571429</v>
      </c>
      <c r="X221" s="247">
        <f>Z221</f>
        <v>46382</v>
      </c>
      <c r="Y221" s="251">
        <v>90</v>
      </c>
      <c r="Z221" s="253">
        <v>46382</v>
      </c>
      <c r="AA221" s="253">
        <v>46538</v>
      </c>
      <c r="AB221" s="254">
        <f>Z221-X222</f>
        <v>0</v>
      </c>
      <c r="AC221" s="255">
        <f>IF(ISERROR(LOOKUP(AC$16,$L221:$X221,#REF!)),0,(LOOKUP(AC$16,$L221:$X221,#REF!)))</f>
        <v>0</v>
      </c>
      <c r="AD221" s="256">
        <f>IF(ISERROR(LOOKUP(AD$16,$L221:$X221,#REF!)),0,(LOOKUP(AD$16,$L221:$X221,#REF!)))</f>
        <v>0</v>
      </c>
      <c r="AE221" s="256">
        <f>IF(ISERROR(LOOKUP(AE$16,$L221:$X221,#REF!)),0,(LOOKUP(AE$16,$L221:$X221,#REF!)))</f>
        <v>0</v>
      </c>
      <c r="AF221" s="256">
        <f>IF(ISERROR(LOOKUP(AF$16,$L221:$X221,#REF!)),0,(LOOKUP(AF$16,$L221:$X221,#REF!)))</f>
        <v>0</v>
      </c>
      <c r="AG221" s="256">
        <f>IF(ISERROR(LOOKUP(AG$16,$L221:$X221,#REF!)),0,(LOOKUP(AG$16,$L221:$X221,#REF!)))</f>
        <v>0</v>
      </c>
      <c r="AH221" s="256">
        <f>IF(ISERROR(LOOKUP(AH$16,$L221:$X221,#REF!)),0,(LOOKUP(AH$16,$L221:$X221,#REF!)))</f>
        <v>0</v>
      </c>
      <c r="AI221" s="256">
        <f>IF(ISERROR(LOOKUP(AI$16,$L221:$X221,#REF!)),0,(LOOKUP(AI$16,$L221:$X221,#REF!)))</f>
        <v>0</v>
      </c>
      <c r="AJ221" s="256">
        <f>IF(ISERROR(LOOKUP(AJ$16,$L221:$X221,#REF!)),0,(LOOKUP(AJ$16,$L221:$X221,#REF!)))</f>
        <v>0</v>
      </c>
      <c r="AK221" s="256">
        <f>IF(ISERROR(LOOKUP(AK$16,$L221:$X221,#REF!)),0,(LOOKUP(AK$16,$L221:$X221,#REF!)))</f>
        <v>0</v>
      </c>
      <c r="AL221" s="256">
        <f>IF(ISERROR(LOOKUP(AL$16,$L221:$X221,#REF!)),0,(LOOKUP(AL$16,$L221:$X221,#REF!)))</f>
        <v>0</v>
      </c>
      <c r="AM221" s="256">
        <f ca="1">IF(ISERROR(LOOKUP(AM$16,$L221:$X221,#REF!)),0,(LOOKUP(AM$16,$L221:$X221,#REF!)))</f>
        <v>0</v>
      </c>
      <c r="AP221" s="247" t="e">
        <f>WORKDAY(AQ221,-INDEX(AQ$12:AQ$15,MATCH($I221,$I$12:$I$15,0)),$AW$17:$AW$148)</f>
        <v>#REF!</v>
      </c>
      <c r="AQ221" s="247" t="e">
        <f>WORKDAY(U221,-INDEX(U$12:U$15,MATCH($I221,$I$12:$I$15,0)),$AW$17:$AW$148)</f>
        <v>#REF!</v>
      </c>
      <c r="AR221" s="247" t="e">
        <f>WORKDAY(U221,-INDEX(U$12:U$15,MATCH($I221,$I$12:$I$15,0)),$AW$17:$AW$148)</f>
        <v>#REF!</v>
      </c>
      <c r="AS221" s="257">
        <v>7</v>
      </c>
      <c r="AW221" s="258"/>
    </row>
    <row r="222" s="195" customFormat="1" ht="18" customHeight="1" spans="1:49">
      <c r="A222" s="241"/>
      <c r="B222" s="259"/>
      <c r="C222" s="243"/>
      <c r="D222" s="243" t="s">
        <v>4861</v>
      </c>
      <c r="E222" s="243"/>
      <c r="F222" s="243" t="str">
        <f>F221</f>
        <v>Piping</v>
      </c>
      <c r="G222" s="243" t="str">
        <f>G221</f>
        <v>N</v>
      </c>
      <c r="H222" s="260"/>
      <c r="I222" s="243" t="str">
        <f>I221</f>
        <v>LD</v>
      </c>
      <c r="J222" s="303" t="s">
        <v>64</v>
      </c>
      <c r="K222" s="247">
        <f>K221</f>
        <v>46248</v>
      </c>
      <c r="L222" s="247">
        <f>WORKDAY(IF(K223="",K222,K223),INDEX(L$12:L$15,MATCH($I221,$I$12:$I$15,0)))</f>
        <v>46253</v>
      </c>
      <c r="M222" s="247">
        <f>WORKDAY(IF(L223="",L222,L223),INDEX(M$12:M$15,MATCH($I221,$I$12:$I$15,0)))</f>
        <v>46260</v>
      </c>
      <c r="N222" s="247">
        <f>WORKDAY(IF(M223="",M222,M223),INDEX(N$12:N$15,MATCH($I221,$I$12:$I$15,0)))</f>
        <v>46261</v>
      </c>
      <c r="O222" s="247">
        <f>WORKDAY(IF(N223="",N222,N223),INDEX(O$12:O$15,MATCH($I221,$I$12:$I$15,0)))</f>
        <v>46266</v>
      </c>
      <c r="P222" s="248"/>
      <c r="Q222" s="249"/>
      <c r="R222" s="247">
        <f>WORKDAY(IF(O223="",O222,O223),INDEX(R$12:R$15,MATCH($I221,$I$12:$I$15,0)))</f>
        <v>46273</v>
      </c>
      <c r="S222" s="247">
        <f>WORKDAY(IF(R223="",R222,R223),INDEX(S$12:S$15,MATCH($I221,$I$12:$I$15,0)))</f>
        <v>46282</v>
      </c>
      <c r="T222" s="247">
        <f>WORKDAY(IF(S223="",S222,S223),INDEX(T$12:T$15,MATCH($I221,$I$12:$I$15,0)))</f>
        <v>46286</v>
      </c>
      <c r="U222" s="247">
        <f>WORKDAY(IF(T223="",T222,T223),INDEX(U$12:U$15,MATCH($I221,$I$12:$I$15,0)))-1</f>
        <v>46292</v>
      </c>
      <c r="V222" s="247">
        <f>WORKDAY(IF(U223="",U222,U223),INDEX(V$12:V$15,MATCH($I221,$I$12:$I$15,0)))</f>
        <v>46294</v>
      </c>
      <c r="W222" s="250"/>
      <c r="X222" s="247">
        <f>U222+Y221</f>
        <v>46382</v>
      </c>
      <c r="Y222" s="251"/>
      <c r="Z222" s="253"/>
      <c r="AA222" s="253"/>
      <c r="AB222" s="254"/>
      <c r="AC222" s="255">
        <f>IF(ISERROR(LOOKUP(AC$16,$L222:$X222,#REF!)),0,(LOOKUP(AC$16,$L222:$X222,#REF!)))</f>
        <v>0</v>
      </c>
      <c r="AD222" s="256">
        <f>IF(ISERROR(LOOKUP(AD$16,$L222:$X222,#REF!)),0,(LOOKUP(AD$16,$L222:$X222,#REF!)))</f>
        <v>0</v>
      </c>
      <c r="AE222" s="256">
        <f>IF(ISERROR(LOOKUP(AE$16,$L222:$X222,#REF!)),0,(LOOKUP(AE$16,$L222:$X222,#REF!)))</f>
        <v>0</v>
      </c>
      <c r="AF222" s="256">
        <f>IF(ISERROR(LOOKUP(AF$16,$L222:$X222,#REF!)),0,(LOOKUP(AF$16,$L222:$X222,#REF!)))</f>
        <v>0</v>
      </c>
      <c r="AG222" s="256">
        <f>IF(ISERROR(LOOKUP(AG$16,$L222:$X222,#REF!)),0,(LOOKUP(AG$16,$L222:$X222,#REF!)))</f>
        <v>0</v>
      </c>
      <c r="AH222" s="256">
        <f>IF(ISERROR(LOOKUP(AH$16,$L222:$X222,#REF!)),0,(LOOKUP(AH$16,$L222:$X222,#REF!)))</f>
        <v>0</v>
      </c>
      <c r="AI222" s="256">
        <f>IF(ISERROR(LOOKUP(AI$16,$L222:$X222,#REF!)),0,(LOOKUP(AI$16,$L222:$X222,#REF!)))</f>
        <v>0</v>
      </c>
      <c r="AJ222" s="256">
        <f>IF(ISERROR(LOOKUP(AJ$16,$L222:$X222,#REF!)),0,(LOOKUP(AJ$16,$L222:$X222,#REF!)))</f>
        <v>0</v>
      </c>
      <c r="AK222" s="256">
        <f>IF(ISERROR(LOOKUP(AK$16,$L222:$X222,#REF!)),0,(LOOKUP(AK$16,$L222:$X222,#REF!)))</f>
        <v>0</v>
      </c>
      <c r="AL222" s="256">
        <f>IF(ISERROR(LOOKUP(AL$16,$L222:$X222,#REF!)),0,(LOOKUP(AL$16,$L222:$X222,#REF!)))</f>
        <v>0</v>
      </c>
      <c r="AM222" s="256">
        <f ca="1">IF(ISERROR(LOOKUP(AM$16,$L222:$X222,#REF!)),0,(LOOKUP(AM$16,$L222:$X222,#REF!)))</f>
        <v>0</v>
      </c>
      <c r="AP222" s="247" t="e">
        <f>WORKDAY(IF(T223="",T222,T223),INDEX(AP$12:AP$15,MATCH($I221,$I$12:$I$15,0)),$AW$17:$AW$148)</f>
        <v>#REF!</v>
      </c>
      <c r="AQ222" s="247" t="e">
        <f>WORKDAY(IF(AP223="",AP222,AP223),INDEX(AQ$12:AQ$15,MATCH($I221,$I$12:$I$15,0)),$AW$17:$AW$148)</f>
        <v>#REF!</v>
      </c>
      <c r="AR222" s="247" t="e">
        <f>WORKDAY(IF(AQ223="",AQ222,AQ223),INDEX(AR$12:AR$15,MATCH($I221,$I$12:$I$15,0)),$AW$17:$AW$148)</f>
        <v>#REF!</v>
      </c>
      <c r="AS222" s="257"/>
      <c r="AW222" s="258"/>
    </row>
    <row r="223" s="195" customFormat="1" ht="18" customHeight="1" spans="1:49">
      <c r="A223" s="241"/>
      <c r="B223" s="262"/>
      <c r="C223" s="243"/>
      <c r="D223" s="243" t="s">
        <v>4861</v>
      </c>
      <c r="E223" s="243"/>
      <c r="F223" s="243" t="str">
        <f>F221</f>
        <v>Piping</v>
      </c>
      <c r="G223" s="243" t="str">
        <f>G221</f>
        <v>N</v>
      </c>
      <c r="H223" s="263"/>
      <c r="I223" s="243" t="str">
        <f>I221</f>
        <v>LD</v>
      </c>
      <c r="J223" s="303" t="s">
        <v>66</v>
      </c>
      <c r="K223" s="243"/>
      <c r="L223" s="243"/>
      <c r="M223" s="243"/>
      <c r="N223" s="243"/>
      <c r="O223" s="243"/>
      <c r="P223" s="265"/>
      <c r="Q223" s="266"/>
      <c r="R223" s="243"/>
      <c r="S223" s="243"/>
      <c r="T223" s="243"/>
      <c r="U223" s="243"/>
      <c r="V223" s="243"/>
      <c r="W223" s="267"/>
      <c r="X223" s="243"/>
      <c r="Y223" s="251"/>
      <c r="Z223" s="253"/>
      <c r="AA223" s="253"/>
      <c r="AB223" s="254"/>
      <c r="AC223" s="268">
        <f>IF(ISERROR(LOOKUP(AC$16,$L223:$X223,#REF!)),0,(LOOKUP(AC$16,$L223:$X223,#REF!)))</f>
        <v>0</v>
      </c>
      <c r="AD223" s="269">
        <f>IF(ISERROR(LOOKUP(AD$16,$L223:$X223,#REF!)),0,(LOOKUP(AD$16,$L223:$X223,#REF!)))</f>
        <v>0</v>
      </c>
      <c r="AE223" s="269">
        <f>IF(ISERROR(LOOKUP(AE$16,$L223:$X223,#REF!)),0,(LOOKUP(AE$16,$L223:$X223,#REF!)))</f>
        <v>0</v>
      </c>
      <c r="AF223" s="269">
        <f>IF(ISERROR(LOOKUP(AF$16,$L223:$X223,#REF!)),0,(LOOKUP(AF$16,$L223:$X223,#REF!)))</f>
        <v>0</v>
      </c>
      <c r="AG223" s="269">
        <f>IF(ISERROR(LOOKUP(AG$16,$L223:$X223,#REF!)),0,(LOOKUP(AG$16,$L223:$X223,#REF!)))</f>
        <v>0</v>
      </c>
      <c r="AH223" s="269">
        <f>IF(ISERROR(LOOKUP(AH$16,$L223:$X223,#REF!)),0,(LOOKUP(AH$16,$L223:$X223,#REF!)))</f>
        <v>0</v>
      </c>
      <c r="AI223" s="269">
        <f>IF(ISERROR(LOOKUP(AI$16,$L223:$X223,#REF!)),0,(LOOKUP(AI$16,$L223:$X223,#REF!)))</f>
        <v>0</v>
      </c>
      <c r="AJ223" s="269">
        <f>IF(ISERROR(LOOKUP(AJ$16,$L223:$X223,#REF!)),0,(LOOKUP(AJ$16,$L223:$X223,#REF!)))</f>
        <v>0</v>
      </c>
      <c r="AK223" s="269">
        <f>IF(ISERROR(LOOKUP(AK$16,$L223:$X223,#REF!)),0,(LOOKUP(AK$16,$L223:$X223,#REF!)))</f>
        <v>0</v>
      </c>
      <c r="AL223" s="269">
        <f>IF(ISERROR(LOOKUP(AL$16,$L223:$X223,#REF!)),0,(LOOKUP(AL$16,$L223:$X223,#REF!)))</f>
        <v>0</v>
      </c>
      <c r="AM223" s="269">
        <f ca="1">IF(ISERROR(LOOKUP(AM$16,$L223:$X223,#REF!)),0,(LOOKUP(AM$16,$L223:$X223,#REF!)))</f>
        <v>0</v>
      </c>
      <c r="AP223" s="301"/>
      <c r="AQ223" s="301"/>
      <c r="AR223" s="301"/>
      <c r="AS223" s="257"/>
      <c r="AW223" s="258"/>
    </row>
    <row r="224" s="195" customFormat="1" ht="18" customHeight="1" spans="1:49">
      <c r="A224" s="241"/>
      <c r="B224" s="242"/>
      <c r="C224" s="243"/>
      <c r="D224" s="243" t="s">
        <v>279</v>
      </c>
      <c r="E224" s="243"/>
      <c r="F224" s="243" t="s">
        <v>85</v>
      </c>
      <c r="G224" s="243" t="s">
        <v>72</v>
      </c>
      <c r="H224" s="244"/>
      <c r="I224" s="243" t="s">
        <v>9</v>
      </c>
      <c r="J224" s="303" t="s">
        <v>4769</v>
      </c>
      <c r="K224" s="247">
        <f>WORKDAY(L224,-INDEX(L$12:L$15,MATCH($I224,$I$12:$I$15,0)))</f>
        <v>46169</v>
      </c>
      <c r="L224" s="247">
        <f>WORKDAY(M224,-INDEX(M$12:M$15,MATCH($I224,$I$12:$I$15,0)))</f>
        <v>46174</v>
      </c>
      <c r="M224" s="247">
        <f>WORKDAY(N224,-INDEX(N$12:N$15,MATCH($I224,$I$12:$I$15,0)))</f>
        <v>46181</v>
      </c>
      <c r="N224" s="247">
        <f>WORKDAY(O224,-INDEX(O$12:O$15,MATCH($I224,$I$12:$I$15,0)))</f>
        <v>46182</v>
      </c>
      <c r="O224" s="247">
        <f>WORKDAY(R224,-INDEX(R$12:R$15,MATCH($I224,$I$12:$I$15,0)))</f>
        <v>46185</v>
      </c>
      <c r="P224" s="248">
        <f>U224-L224</f>
        <v>38</v>
      </c>
      <c r="Q224" s="249"/>
      <c r="R224" s="247">
        <f>WORKDAY(S224,-INDEX(S$12:S$15,MATCH($I224,$I$12:$I$15,0)))</f>
        <v>46192</v>
      </c>
      <c r="S224" s="247">
        <f>WORKDAY(T224,-INDEX(T$12:T$15,MATCH($I224,$I$12:$I$15,0)))</f>
        <v>46203</v>
      </c>
      <c r="T224" s="247">
        <f>WORKDAY(U224,-INDEX(U$12:U$15,MATCH($I224,$I$12:$I$15,0)))</f>
        <v>46205</v>
      </c>
      <c r="U224" s="247">
        <f>X224-Y224</f>
        <v>46212</v>
      </c>
      <c r="V224" s="247">
        <f>WORKDAY(U224,INDEX(V$12:V$15,MATCH($I224,$I$12:$I$15,0)))</f>
        <v>46216</v>
      </c>
      <c r="W224" s="250">
        <f>Y224/7</f>
        <v>24.2857142857143</v>
      </c>
      <c r="X224" s="247">
        <f>Z224</f>
        <v>46382</v>
      </c>
      <c r="Y224" s="251">
        <v>170</v>
      </c>
      <c r="Z224" s="253">
        <v>46382</v>
      </c>
      <c r="AA224" s="253">
        <v>46538</v>
      </c>
      <c r="AB224" s="254">
        <f>Z224-X225</f>
        <v>0</v>
      </c>
      <c r="AC224" s="255">
        <f>IF(ISERROR(LOOKUP(AC$16,$L224:$X224,#REF!)),0,(LOOKUP(AC$16,$L224:$X224,#REF!)))</f>
        <v>0</v>
      </c>
      <c r="AD224" s="256">
        <f>IF(ISERROR(LOOKUP(AD$16,$L224:$X224,#REF!)),0,(LOOKUP(AD$16,$L224:$X224,#REF!)))</f>
        <v>0</v>
      </c>
      <c r="AE224" s="256">
        <f>IF(ISERROR(LOOKUP(AE$16,$L224:$X224,#REF!)),0,(LOOKUP(AE$16,$L224:$X224,#REF!)))</f>
        <v>0</v>
      </c>
      <c r="AF224" s="256">
        <f>IF(ISERROR(LOOKUP(AF$16,$L224:$X224,#REF!)),0,(LOOKUP(AF$16,$L224:$X224,#REF!)))</f>
        <v>0</v>
      </c>
      <c r="AG224" s="256">
        <f>IF(ISERROR(LOOKUP(AG$16,$L224:$X224,#REF!)),0,(LOOKUP(AG$16,$L224:$X224,#REF!)))</f>
        <v>0</v>
      </c>
      <c r="AH224" s="256">
        <f>IF(ISERROR(LOOKUP(AH$16,$L224:$X224,#REF!)),0,(LOOKUP(AH$16,$L224:$X224,#REF!)))</f>
        <v>0</v>
      </c>
      <c r="AI224" s="256">
        <f>IF(ISERROR(LOOKUP(AI$16,$L224:$X224,#REF!)),0,(LOOKUP(AI$16,$L224:$X224,#REF!)))</f>
        <v>0</v>
      </c>
      <c r="AJ224" s="256">
        <f>IF(ISERROR(LOOKUP(AJ$16,$L224:$X224,#REF!)),0,(LOOKUP(AJ$16,$L224:$X224,#REF!)))</f>
        <v>0</v>
      </c>
      <c r="AK224" s="256">
        <f>IF(ISERROR(LOOKUP(AK$16,$L224:$X224,#REF!)),0,(LOOKUP(AK$16,$L224:$X224,#REF!)))</f>
        <v>0</v>
      </c>
      <c r="AL224" s="256">
        <f>IF(ISERROR(LOOKUP(AL$16,$L224:$X224,#REF!)),0,(LOOKUP(AL$16,$L224:$X224,#REF!)))</f>
        <v>0</v>
      </c>
      <c r="AM224" s="256">
        <f ca="1">IF(ISERROR(LOOKUP(AM$16,$L224:$X224,#REF!)),0,(LOOKUP(AM$16,$L224:$X224,#REF!)))</f>
        <v>0</v>
      </c>
      <c r="AP224" s="247" t="e">
        <f>WORKDAY(AQ224,-INDEX(AQ$12:AQ$15,MATCH($I224,$I$12:$I$15,0)),$AW$17:$AW$148)</f>
        <v>#REF!</v>
      </c>
      <c r="AQ224" s="247" t="e">
        <f>WORKDAY(U224,-INDEX(U$12:U$15,MATCH($I224,$I$12:$I$15,0)),$AW$17:$AW$148)</f>
        <v>#REF!</v>
      </c>
      <c r="AR224" s="247" t="e">
        <f>WORKDAY(U224,-INDEX(U$12:U$15,MATCH($I224,$I$12:$I$15,0)),$AW$17:$AW$148)</f>
        <v>#REF!</v>
      </c>
      <c r="AS224" s="257">
        <v>7</v>
      </c>
      <c r="AW224" s="258"/>
    </row>
    <row r="225" s="195" customFormat="1" ht="18" customHeight="1" spans="1:49">
      <c r="A225" s="241"/>
      <c r="B225" s="259"/>
      <c r="C225" s="243"/>
      <c r="D225" s="243" t="s">
        <v>279</v>
      </c>
      <c r="E225" s="243"/>
      <c r="F225" s="243" t="str">
        <f>F224</f>
        <v>Piping</v>
      </c>
      <c r="G225" s="243" t="str">
        <f>G224</f>
        <v>N</v>
      </c>
      <c r="H225" s="260"/>
      <c r="I225" s="243" t="str">
        <f>I224</f>
        <v>LD</v>
      </c>
      <c r="J225" s="303" t="s">
        <v>64</v>
      </c>
      <c r="K225" s="247">
        <f>K224</f>
        <v>46169</v>
      </c>
      <c r="L225" s="247">
        <f>WORKDAY(IF(K226="",K225,K226),INDEX(L$12:L$15,MATCH($I224,$I$12:$I$15,0)))</f>
        <v>46174</v>
      </c>
      <c r="M225" s="247">
        <f>WORKDAY(IF(L226="",L225,L226),INDEX(M$12:M$15,MATCH($I224,$I$12:$I$15,0)))</f>
        <v>46181</v>
      </c>
      <c r="N225" s="247">
        <f>WORKDAY(IF(M226="",M225,M226),INDEX(N$12:N$15,MATCH($I224,$I$12:$I$15,0)))</f>
        <v>46182</v>
      </c>
      <c r="O225" s="247">
        <f>WORKDAY(IF(N226="",N225,N226),INDEX(O$12:O$15,MATCH($I224,$I$12:$I$15,0)))</f>
        <v>46185</v>
      </c>
      <c r="P225" s="248"/>
      <c r="Q225" s="249"/>
      <c r="R225" s="247">
        <f>WORKDAY(IF(O226="",O225,O226),INDEX(R$12:R$15,MATCH($I224,$I$12:$I$15,0)))</f>
        <v>46192</v>
      </c>
      <c r="S225" s="247">
        <f>WORKDAY(IF(R226="",R225,R226),INDEX(S$12:S$15,MATCH($I224,$I$12:$I$15,0)))</f>
        <v>46203</v>
      </c>
      <c r="T225" s="247">
        <f>WORKDAY(IF(S226="",S225,S226),INDEX(T$12:T$15,MATCH($I224,$I$12:$I$15,0)))</f>
        <v>46205</v>
      </c>
      <c r="U225" s="247">
        <f>WORKDAY(IF(T226="",T225,T226),INDEX(U$12:U$15,MATCH($I224,$I$12:$I$15,0)))</f>
        <v>46212</v>
      </c>
      <c r="V225" s="247">
        <f>WORKDAY(IF(U226="",U225,U226),INDEX(V$12:V$15,MATCH($I224,$I$12:$I$15,0)))</f>
        <v>46216</v>
      </c>
      <c r="W225" s="250"/>
      <c r="X225" s="247">
        <f>U225+Y224</f>
        <v>46382</v>
      </c>
      <c r="Y225" s="251"/>
      <c r="Z225" s="253"/>
      <c r="AA225" s="253"/>
      <c r="AB225" s="254"/>
      <c r="AC225" s="255">
        <f>IF(ISERROR(LOOKUP(AC$16,$L225:$X225,#REF!)),0,(LOOKUP(AC$16,$L225:$X225,#REF!)))</f>
        <v>0</v>
      </c>
      <c r="AD225" s="256">
        <f>IF(ISERROR(LOOKUP(AD$16,$L225:$X225,#REF!)),0,(LOOKUP(AD$16,$L225:$X225,#REF!)))</f>
        <v>0</v>
      </c>
      <c r="AE225" s="256">
        <f>IF(ISERROR(LOOKUP(AE$16,$L225:$X225,#REF!)),0,(LOOKUP(AE$16,$L225:$X225,#REF!)))</f>
        <v>0</v>
      </c>
      <c r="AF225" s="256">
        <f>IF(ISERROR(LOOKUP(AF$16,$L225:$X225,#REF!)),0,(LOOKUP(AF$16,$L225:$X225,#REF!)))</f>
        <v>0</v>
      </c>
      <c r="AG225" s="256">
        <f>IF(ISERROR(LOOKUP(AG$16,$L225:$X225,#REF!)),0,(LOOKUP(AG$16,$L225:$X225,#REF!)))</f>
        <v>0</v>
      </c>
      <c r="AH225" s="256">
        <f>IF(ISERROR(LOOKUP(AH$16,$L225:$X225,#REF!)),0,(LOOKUP(AH$16,$L225:$X225,#REF!)))</f>
        <v>0</v>
      </c>
      <c r="AI225" s="256">
        <f>IF(ISERROR(LOOKUP(AI$16,$L225:$X225,#REF!)),0,(LOOKUP(AI$16,$L225:$X225,#REF!)))</f>
        <v>0</v>
      </c>
      <c r="AJ225" s="256">
        <f>IF(ISERROR(LOOKUP(AJ$16,$L225:$X225,#REF!)),0,(LOOKUP(AJ$16,$L225:$X225,#REF!)))</f>
        <v>0</v>
      </c>
      <c r="AK225" s="256">
        <f>IF(ISERROR(LOOKUP(AK$16,$L225:$X225,#REF!)),0,(LOOKUP(AK$16,$L225:$X225,#REF!)))</f>
        <v>0</v>
      </c>
      <c r="AL225" s="256">
        <f>IF(ISERROR(LOOKUP(AL$16,$L225:$X225,#REF!)),0,(LOOKUP(AL$16,$L225:$X225,#REF!)))</f>
        <v>0</v>
      </c>
      <c r="AM225" s="256">
        <f ca="1">IF(ISERROR(LOOKUP(AM$16,$L225:$X225,#REF!)),0,(LOOKUP(AM$16,$L225:$X225,#REF!)))</f>
        <v>0</v>
      </c>
      <c r="AP225" s="247" t="e">
        <f>WORKDAY(IF(T226="",T225,T226),INDEX(AP$12:AP$15,MATCH($I224,$I$12:$I$15,0)),$AW$17:$AW$148)</f>
        <v>#REF!</v>
      </c>
      <c r="AQ225" s="247" t="e">
        <f>WORKDAY(IF(AP226="",AP225,AP226),INDEX(AQ$12:AQ$15,MATCH($I224,$I$12:$I$15,0)),$AW$17:$AW$148)</f>
        <v>#REF!</v>
      </c>
      <c r="AR225" s="247" t="e">
        <f>WORKDAY(IF(AQ226="",AQ225,AQ226),INDEX(AR$12:AR$15,MATCH($I224,$I$12:$I$15,0)),$AW$17:$AW$148)</f>
        <v>#REF!</v>
      </c>
      <c r="AS225" s="257"/>
      <c r="AW225" s="258"/>
    </row>
    <row r="226" s="195" customFormat="1" ht="18" customHeight="1" spans="1:49">
      <c r="A226" s="241"/>
      <c r="B226" s="262"/>
      <c r="C226" s="243"/>
      <c r="D226" s="243" t="s">
        <v>279</v>
      </c>
      <c r="E226" s="243"/>
      <c r="F226" s="243" t="str">
        <f>F224</f>
        <v>Piping</v>
      </c>
      <c r="G226" s="243" t="str">
        <f>G224</f>
        <v>N</v>
      </c>
      <c r="H226" s="263"/>
      <c r="I226" s="243" t="str">
        <f>I224</f>
        <v>LD</v>
      </c>
      <c r="J226" s="303" t="s">
        <v>66</v>
      </c>
      <c r="K226" s="243"/>
      <c r="L226" s="243"/>
      <c r="M226" s="243"/>
      <c r="N226" s="243"/>
      <c r="O226" s="243"/>
      <c r="P226" s="265"/>
      <c r="Q226" s="266"/>
      <c r="R226" s="243"/>
      <c r="S226" s="243"/>
      <c r="T226" s="243"/>
      <c r="U226" s="243"/>
      <c r="V226" s="243"/>
      <c r="W226" s="267"/>
      <c r="X226" s="243"/>
      <c r="Y226" s="251"/>
      <c r="Z226" s="253"/>
      <c r="AA226" s="253"/>
      <c r="AB226" s="254"/>
      <c r="AC226" s="268">
        <f>IF(ISERROR(LOOKUP(AC$16,$L226:$X226,#REF!)),0,(LOOKUP(AC$16,$L226:$X226,#REF!)))</f>
        <v>0</v>
      </c>
      <c r="AD226" s="269">
        <f>IF(ISERROR(LOOKUP(AD$16,$L226:$X226,#REF!)),0,(LOOKUP(AD$16,$L226:$X226,#REF!)))</f>
        <v>0</v>
      </c>
      <c r="AE226" s="269">
        <f>IF(ISERROR(LOOKUP(AE$16,$L226:$X226,#REF!)),0,(LOOKUP(AE$16,$L226:$X226,#REF!)))</f>
        <v>0</v>
      </c>
      <c r="AF226" s="269">
        <f>IF(ISERROR(LOOKUP(AF$16,$L226:$X226,#REF!)),0,(LOOKUP(AF$16,$L226:$X226,#REF!)))</f>
        <v>0</v>
      </c>
      <c r="AG226" s="269">
        <f>IF(ISERROR(LOOKUP(AG$16,$L226:$X226,#REF!)),0,(LOOKUP(AG$16,$L226:$X226,#REF!)))</f>
        <v>0</v>
      </c>
      <c r="AH226" s="269">
        <f>IF(ISERROR(LOOKUP(AH$16,$L226:$X226,#REF!)),0,(LOOKUP(AH$16,$L226:$X226,#REF!)))</f>
        <v>0</v>
      </c>
      <c r="AI226" s="269">
        <f>IF(ISERROR(LOOKUP(AI$16,$L226:$X226,#REF!)),0,(LOOKUP(AI$16,$L226:$X226,#REF!)))</f>
        <v>0</v>
      </c>
      <c r="AJ226" s="269">
        <f>IF(ISERROR(LOOKUP(AJ$16,$L226:$X226,#REF!)),0,(LOOKUP(AJ$16,$L226:$X226,#REF!)))</f>
        <v>0</v>
      </c>
      <c r="AK226" s="269">
        <f>IF(ISERROR(LOOKUP(AK$16,$L226:$X226,#REF!)),0,(LOOKUP(AK$16,$L226:$X226,#REF!)))</f>
        <v>0</v>
      </c>
      <c r="AL226" s="269">
        <f>IF(ISERROR(LOOKUP(AL$16,$L226:$X226,#REF!)),0,(LOOKUP(AL$16,$L226:$X226,#REF!)))</f>
        <v>0</v>
      </c>
      <c r="AM226" s="269">
        <f ca="1">IF(ISERROR(LOOKUP(AM$16,$L226:$X226,#REF!)),0,(LOOKUP(AM$16,$L226:$X226,#REF!)))</f>
        <v>0</v>
      </c>
      <c r="AP226" s="301"/>
      <c r="AQ226" s="301"/>
      <c r="AR226" s="301"/>
      <c r="AS226" s="257"/>
      <c r="AW226" s="258"/>
    </row>
    <row r="227" s="195" customFormat="1" ht="18" customHeight="1" spans="1:49">
      <c r="A227" s="241"/>
      <c r="B227" s="242"/>
      <c r="C227" s="243"/>
      <c r="D227" s="243" t="s">
        <v>4862</v>
      </c>
      <c r="E227" s="243"/>
      <c r="F227" s="243" t="s">
        <v>85</v>
      </c>
      <c r="G227" s="243" t="s">
        <v>72</v>
      </c>
      <c r="H227" s="244"/>
      <c r="I227" s="243" t="s">
        <v>9</v>
      </c>
      <c r="J227" s="303" t="s">
        <v>4769</v>
      </c>
      <c r="K227" s="247">
        <f>WORKDAY(L227,-INDEX(L$12:L$15,MATCH($I227,$I$12:$I$15,0)))</f>
        <v>46169</v>
      </c>
      <c r="L227" s="247">
        <f>WORKDAY(M227,-INDEX(M$12:M$15,MATCH($I227,$I$12:$I$15,0)))</f>
        <v>46174</v>
      </c>
      <c r="M227" s="247">
        <f>WORKDAY(N227,-INDEX(N$12:N$15,MATCH($I227,$I$12:$I$15,0)))</f>
        <v>46181</v>
      </c>
      <c r="N227" s="247">
        <f>WORKDAY(O227,-INDEX(O$12:O$15,MATCH($I227,$I$12:$I$15,0)))</f>
        <v>46182</v>
      </c>
      <c r="O227" s="247">
        <f>WORKDAY(R227,-INDEX(R$12:R$15,MATCH($I227,$I$12:$I$15,0)))</f>
        <v>46185</v>
      </c>
      <c r="P227" s="248">
        <f>U227-L227</f>
        <v>38</v>
      </c>
      <c r="Q227" s="249"/>
      <c r="R227" s="247">
        <f>WORKDAY(S227,-INDEX(S$12:S$15,MATCH($I227,$I$12:$I$15,0)))</f>
        <v>46192</v>
      </c>
      <c r="S227" s="247">
        <f>WORKDAY(T227,-INDEX(T$12:T$15,MATCH($I227,$I$12:$I$15,0)))</f>
        <v>46203</v>
      </c>
      <c r="T227" s="247">
        <f>WORKDAY(U227,-INDEX(U$12:U$15,MATCH($I227,$I$12:$I$15,0)))</f>
        <v>46205</v>
      </c>
      <c r="U227" s="247">
        <f>X227-Y227</f>
        <v>46212</v>
      </c>
      <c r="V227" s="247">
        <f>WORKDAY(U227,INDEX(V$12:V$15,MATCH($I227,$I$12:$I$15,0)))</f>
        <v>46216</v>
      </c>
      <c r="W227" s="250">
        <f>Y227/7</f>
        <v>24.2857142857143</v>
      </c>
      <c r="X227" s="247">
        <f>Z227</f>
        <v>46382</v>
      </c>
      <c r="Y227" s="251">
        <v>170</v>
      </c>
      <c r="Z227" s="253">
        <v>46382</v>
      </c>
      <c r="AA227" s="253">
        <v>46538</v>
      </c>
      <c r="AB227" s="254">
        <f>Z227-X228</f>
        <v>0</v>
      </c>
      <c r="AC227" s="255">
        <f>IF(ISERROR(LOOKUP(AC$16,$L227:$X227,#REF!)),0,(LOOKUP(AC$16,$L227:$X227,#REF!)))</f>
        <v>0</v>
      </c>
      <c r="AD227" s="256">
        <f>IF(ISERROR(LOOKUP(AD$16,$L227:$X227,#REF!)),0,(LOOKUP(AD$16,$L227:$X227,#REF!)))</f>
        <v>0</v>
      </c>
      <c r="AE227" s="256">
        <f>IF(ISERROR(LOOKUP(AE$16,$L227:$X227,#REF!)),0,(LOOKUP(AE$16,$L227:$X227,#REF!)))</f>
        <v>0</v>
      </c>
      <c r="AF227" s="256">
        <f>IF(ISERROR(LOOKUP(AF$16,$L227:$X227,#REF!)),0,(LOOKUP(AF$16,$L227:$X227,#REF!)))</f>
        <v>0</v>
      </c>
      <c r="AG227" s="256">
        <f>IF(ISERROR(LOOKUP(AG$16,$L227:$X227,#REF!)),0,(LOOKUP(AG$16,$L227:$X227,#REF!)))</f>
        <v>0</v>
      </c>
      <c r="AH227" s="256">
        <f>IF(ISERROR(LOOKUP(AH$16,$L227:$X227,#REF!)),0,(LOOKUP(AH$16,$L227:$X227,#REF!)))</f>
        <v>0</v>
      </c>
      <c r="AI227" s="256">
        <f>IF(ISERROR(LOOKUP(AI$16,$L227:$X227,#REF!)),0,(LOOKUP(AI$16,$L227:$X227,#REF!)))</f>
        <v>0</v>
      </c>
      <c r="AJ227" s="256">
        <f>IF(ISERROR(LOOKUP(AJ$16,$L227:$X227,#REF!)),0,(LOOKUP(AJ$16,$L227:$X227,#REF!)))</f>
        <v>0</v>
      </c>
      <c r="AK227" s="256">
        <f>IF(ISERROR(LOOKUP(AK$16,$L227:$X227,#REF!)),0,(LOOKUP(AK$16,$L227:$X227,#REF!)))</f>
        <v>0</v>
      </c>
      <c r="AL227" s="256">
        <f>IF(ISERROR(LOOKUP(AL$16,$L227:$X227,#REF!)),0,(LOOKUP(AL$16,$L227:$X227,#REF!)))</f>
        <v>0</v>
      </c>
      <c r="AM227" s="256">
        <f ca="1">IF(ISERROR(LOOKUP(AM$16,$L227:$X227,#REF!)),0,(LOOKUP(AM$16,$L227:$X227,#REF!)))</f>
        <v>0</v>
      </c>
      <c r="AP227" s="247" t="e">
        <f>WORKDAY(AQ227,-INDEX(AQ$12:AQ$15,MATCH($I227,$I$12:$I$15,0)),$AW$17:$AW$148)</f>
        <v>#REF!</v>
      </c>
      <c r="AQ227" s="247" t="e">
        <f>WORKDAY(U227,-INDEX(U$12:U$15,MATCH($I227,$I$12:$I$15,0)),$AW$17:$AW$148)</f>
        <v>#REF!</v>
      </c>
      <c r="AR227" s="247" t="e">
        <f>WORKDAY(U227,-INDEX(U$12:U$15,MATCH($I227,$I$12:$I$15,0)),$AW$17:$AW$148)</f>
        <v>#REF!</v>
      </c>
      <c r="AS227" s="257">
        <v>7</v>
      </c>
      <c r="AW227" s="258"/>
    </row>
    <row r="228" s="195" customFormat="1" ht="18" customHeight="1" spans="1:49">
      <c r="A228" s="241"/>
      <c r="B228" s="259"/>
      <c r="C228" s="243"/>
      <c r="D228" s="243" t="s">
        <v>4862</v>
      </c>
      <c r="E228" s="243"/>
      <c r="F228" s="243" t="str">
        <f>F227</f>
        <v>Piping</v>
      </c>
      <c r="G228" s="243" t="str">
        <f>G227</f>
        <v>N</v>
      </c>
      <c r="H228" s="260"/>
      <c r="I228" s="243" t="str">
        <f>I227</f>
        <v>LD</v>
      </c>
      <c r="J228" s="303" t="s">
        <v>64</v>
      </c>
      <c r="K228" s="247">
        <f>K227</f>
        <v>46169</v>
      </c>
      <c r="L228" s="247">
        <f>WORKDAY(IF(K229="",K228,K229),INDEX(L$12:L$15,MATCH($I227,$I$12:$I$15,0)))</f>
        <v>46174</v>
      </c>
      <c r="M228" s="247">
        <f>WORKDAY(IF(L229="",L228,L229),INDEX(M$12:M$15,MATCH($I227,$I$12:$I$15,0)))</f>
        <v>46181</v>
      </c>
      <c r="N228" s="247">
        <f>WORKDAY(IF(M229="",M228,M229),INDEX(N$12:N$15,MATCH($I227,$I$12:$I$15,0)))</f>
        <v>46182</v>
      </c>
      <c r="O228" s="247">
        <f>WORKDAY(IF(N229="",N228,N229),INDEX(O$12:O$15,MATCH($I227,$I$12:$I$15,0)))</f>
        <v>46185</v>
      </c>
      <c r="P228" s="248"/>
      <c r="Q228" s="249"/>
      <c r="R228" s="247">
        <f>WORKDAY(IF(O229="",O228,O229),INDEX(R$12:R$15,MATCH($I227,$I$12:$I$15,0)))</f>
        <v>46192</v>
      </c>
      <c r="S228" s="247">
        <f>WORKDAY(IF(R229="",R228,R229),INDEX(S$12:S$15,MATCH($I227,$I$12:$I$15,0)))</f>
        <v>46203</v>
      </c>
      <c r="T228" s="247">
        <f>WORKDAY(IF(S229="",S228,S229),INDEX(T$12:T$15,MATCH($I227,$I$12:$I$15,0)))</f>
        <v>46205</v>
      </c>
      <c r="U228" s="247">
        <f>WORKDAY(IF(T229="",T228,T229),INDEX(U$12:U$15,MATCH($I227,$I$12:$I$15,0)))</f>
        <v>46212</v>
      </c>
      <c r="V228" s="247">
        <f>WORKDAY(IF(U229="",U228,U229),INDEX(V$12:V$15,MATCH($I227,$I$12:$I$15,0)))</f>
        <v>46216</v>
      </c>
      <c r="W228" s="250"/>
      <c r="X228" s="247">
        <f>U228+Y227</f>
        <v>46382</v>
      </c>
      <c r="Y228" s="251"/>
      <c r="Z228" s="253"/>
      <c r="AA228" s="253"/>
      <c r="AB228" s="254"/>
      <c r="AC228" s="255">
        <f>IF(ISERROR(LOOKUP(AC$16,$L228:$X228,#REF!)),0,(LOOKUP(AC$16,$L228:$X228,#REF!)))</f>
        <v>0</v>
      </c>
      <c r="AD228" s="256">
        <f>IF(ISERROR(LOOKUP(AD$16,$L228:$X228,#REF!)),0,(LOOKUP(AD$16,$L228:$X228,#REF!)))</f>
        <v>0</v>
      </c>
      <c r="AE228" s="256">
        <f>IF(ISERROR(LOOKUP(AE$16,$L228:$X228,#REF!)),0,(LOOKUP(AE$16,$L228:$X228,#REF!)))</f>
        <v>0</v>
      </c>
      <c r="AF228" s="256">
        <f>IF(ISERROR(LOOKUP(AF$16,$L228:$X228,#REF!)),0,(LOOKUP(AF$16,$L228:$X228,#REF!)))</f>
        <v>0</v>
      </c>
      <c r="AG228" s="256">
        <f>IF(ISERROR(LOOKUP(AG$16,$L228:$X228,#REF!)),0,(LOOKUP(AG$16,$L228:$X228,#REF!)))</f>
        <v>0</v>
      </c>
      <c r="AH228" s="256">
        <f>IF(ISERROR(LOOKUP(AH$16,$L228:$X228,#REF!)),0,(LOOKUP(AH$16,$L228:$X228,#REF!)))</f>
        <v>0</v>
      </c>
      <c r="AI228" s="256">
        <f>IF(ISERROR(LOOKUP(AI$16,$L228:$X228,#REF!)),0,(LOOKUP(AI$16,$L228:$X228,#REF!)))</f>
        <v>0</v>
      </c>
      <c r="AJ228" s="256">
        <f>IF(ISERROR(LOOKUP(AJ$16,$L228:$X228,#REF!)),0,(LOOKUP(AJ$16,$L228:$X228,#REF!)))</f>
        <v>0</v>
      </c>
      <c r="AK228" s="256">
        <f>IF(ISERROR(LOOKUP(AK$16,$L228:$X228,#REF!)),0,(LOOKUP(AK$16,$L228:$X228,#REF!)))</f>
        <v>0</v>
      </c>
      <c r="AL228" s="256">
        <f>IF(ISERROR(LOOKUP(AL$16,$L228:$X228,#REF!)),0,(LOOKUP(AL$16,$L228:$X228,#REF!)))</f>
        <v>0</v>
      </c>
      <c r="AM228" s="256">
        <f ca="1">IF(ISERROR(LOOKUP(AM$16,$L228:$X228,#REF!)),0,(LOOKUP(AM$16,$L228:$X228,#REF!)))</f>
        <v>0</v>
      </c>
      <c r="AP228" s="247" t="e">
        <f>WORKDAY(IF(T229="",T228,T229),INDEX(AP$12:AP$15,MATCH($I227,$I$12:$I$15,0)),$AW$17:$AW$148)</f>
        <v>#REF!</v>
      </c>
      <c r="AQ228" s="247" t="e">
        <f>WORKDAY(IF(AP229="",AP228,AP229),INDEX(AQ$12:AQ$15,MATCH($I227,$I$12:$I$15,0)),$AW$17:$AW$148)</f>
        <v>#REF!</v>
      </c>
      <c r="AR228" s="247" t="e">
        <f>WORKDAY(IF(AQ229="",AQ228,AQ229),INDEX(AR$12:AR$15,MATCH($I227,$I$12:$I$15,0)),$AW$17:$AW$148)</f>
        <v>#REF!</v>
      </c>
      <c r="AS228" s="257"/>
      <c r="AW228" s="258"/>
    </row>
    <row r="229" s="195" customFormat="1" ht="18" customHeight="1" spans="1:49">
      <c r="A229" s="241"/>
      <c r="B229" s="262"/>
      <c r="C229" s="243"/>
      <c r="D229" s="243" t="s">
        <v>4862</v>
      </c>
      <c r="E229" s="243"/>
      <c r="F229" s="243" t="str">
        <f>F227</f>
        <v>Piping</v>
      </c>
      <c r="G229" s="243" t="str">
        <f>G227</f>
        <v>N</v>
      </c>
      <c r="H229" s="263"/>
      <c r="I229" s="243" t="str">
        <f>I227</f>
        <v>LD</v>
      </c>
      <c r="J229" s="303" t="s">
        <v>66</v>
      </c>
      <c r="K229" s="243"/>
      <c r="L229" s="243"/>
      <c r="M229" s="243"/>
      <c r="N229" s="243"/>
      <c r="O229" s="243"/>
      <c r="P229" s="265"/>
      <c r="Q229" s="266"/>
      <c r="R229" s="243"/>
      <c r="S229" s="243"/>
      <c r="T229" s="243"/>
      <c r="U229" s="243"/>
      <c r="V229" s="243"/>
      <c r="W229" s="267"/>
      <c r="X229" s="243"/>
      <c r="Y229" s="251"/>
      <c r="Z229" s="253"/>
      <c r="AA229" s="253"/>
      <c r="AB229" s="254"/>
      <c r="AC229" s="268">
        <f>IF(ISERROR(LOOKUP(AC$16,$L229:$X229,#REF!)),0,(LOOKUP(AC$16,$L229:$X229,#REF!)))</f>
        <v>0</v>
      </c>
      <c r="AD229" s="269">
        <f>IF(ISERROR(LOOKUP(AD$16,$L229:$X229,#REF!)),0,(LOOKUP(AD$16,$L229:$X229,#REF!)))</f>
        <v>0</v>
      </c>
      <c r="AE229" s="269">
        <f>IF(ISERROR(LOOKUP(AE$16,$L229:$X229,#REF!)),0,(LOOKUP(AE$16,$L229:$X229,#REF!)))</f>
        <v>0</v>
      </c>
      <c r="AF229" s="269">
        <f>IF(ISERROR(LOOKUP(AF$16,$L229:$X229,#REF!)),0,(LOOKUP(AF$16,$L229:$X229,#REF!)))</f>
        <v>0</v>
      </c>
      <c r="AG229" s="269">
        <f>IF(ISERROR(LOOKUP(AG$16,$L229:$X229,#REF!)),0,(LOOKUP(AG$16,$L229:$X229,#REF!)))</f>
        <v>0</v>
      </c>
      <c r="AH229" s="269">
        <f>IF(ISERROR(LOOKUP(AH$16,$L229:$X229,#REF!)),0,(LOOKUP(AH$16,$L229:$X229,#REF!)))</f>
        <v>0</v>
      </c>
      <c r="AI229" s="269">
        <f>IF(ISERROR(LOOKUP(AI$16,$L229:$X229,#REF!)),0,(LOOKUP(AI$16,$L229:$X229,#REF!)))</f>
        <v>0</v>
      </c>
      <c r="AJ229" s="269">
        <f>IF(ISERROR(LOOKUP(AJ$16,$L229:$X229,#REF!)),0,(LOOKUP(AJ$16,$L229:$X229,#REF!)))</f>
        <v>0</v>
      </c>
      <c r="AK229" s="269">
        <f>IF(ISERROR(LOOKUP(AK$16,$L229:$X229,#REF!)),0,(LOOKUP(AK$16,$L229:$X229,#REF!)))</f>
        <v>0</v>
      </c>
      <c r="AL229" s="269">
        <f>IF(ISERROR(LOOKUP(AL$16,$L229:$X229,#REF!)),0,(LOOKUP(AL$16,$L229:$X229,#REF!)))</f>
        <v>0</v>
      </c>
      <c r="AM229" s="269">
        <f ca="1">IF(ISERROR(LOOKUP(AM$16,$L229:$X229,#REF!)),0,(LOOKUP(AM$16,$L229:$X229,#REF!)))</f>
        <v>0</v>
      </c>
      <c r="AP229" s="301"/>
      <c r="AQ229" s="301"/>
      <c r="AR229" s="301"/>
      <c r="AS229" s="257"/>
      <c r="AW229" s="258"/>
    </row>
    <row r="230" s="195" customFormat="1" ht="18" customHeight="1" spans="1:49">
      <c r="A230" s="241"/>
      <c r="B230" s="242"/>
      <c r="C230" s="243"/>
      <c r="D230" s="243" t="s">
        <v>4863</v>
      </c>
      <c r="E230" s="243"/>
      <c r="F230" s="243" t="s">
        <v>85</v>
      </c>
      <c r="G230" s="243" t="s">
        <v>72</v>
      </c>
      <c r="H230" s="244"/>
      <c r="I230" s="243" t="s">
        <v>9</v>
      </c>
      <c r="J230" s="303" t="s">
        <v>4769</v>
      </c>
      <c r="K230" s="247">
        <f>WORKDAY(L230,-INDEX(L$12:L$15,MATCH($I230,$I$12:$I$15,0)))</f>
        <v>46248</v>
      </c>
      <c r="L230" s="247">
        <f>WORKDAY(M230,-INDEX(M$12:M$15,MATCH($I230,$I$12:$I$15,0)))</f>
        <v>46253</v>
      </c>
      <c r="M230" s="247">
        <f>WORKDAY(N230,-INDEX(N$12:N$15,MATCH($I230,$I$12:$I$15,0)))</f>
        <v>46260</v>
      </c>
      <c r="N230" s="247">
        <f>WORKDAY(O230,-INDEX(O$12:O$15,MATCH($I230,$I$12:$I$15,0)))</f>
        <v>46261</v>
      </c>
      <c r="O230" s="247">
        <f>WORKDAY(R230,-INDEX(R$12:R$15,MATCH($I230,$I$12:$I$15,0)))</f>
        <v>46266</v>
      </c>
      <c r="P230" s="248">
        <f>U230-L230</f>
        <v>39</v>
      </c>
      <c r="Q230" s="249"/>
      <c r="R230" s="247">
        <f>WORKDAY(S230,-INDEX(S$12:S$15,MATCH($I230,$I$12:$I$15,0)))</f>
        <v>46273</v>
      </c>
      <c r="S230" s="247">
        <f>WORKDAY(T230,-INDEX(T$12:T$15,MATCH($I230,$I$12:$I$15,0)))</f>
        <v>46282</v>
      </c>
      <c r="T230" s="247">
        <f>WORKDAY(U230,-INDEX(U$12:U$15,MATCH($I230,$I$12:$I$15,0)))</f>
        <v>46286</v>
      </c>
      <c r="U230" s="247">
        <f>X230-Y230</f>
        <v>46292</v>
      </c>
      <c r="V230" s="247">
        <f>WORKDAY(U230,INDEX(V$12:V$15,MATCH($I230,$I$12:$I$15,0)))</f>
        <v>46294</v>
      </c>
      <c r="W230" s="250">
        <f>Y230/7</f>
        <v>12.8571428571429</v>
      </c>
      <c r="X230" s="247">
        <f>Z230</f>
        <v>46382</v>
      </c>
      <c r="Y230" s="251">
        <v>90</v>
      </c>
      <c r="Z230" s="253">
        <v>46382</v>
      </c>
      <c r="AA230" s="253">
        <v>46538</v>
      </c>
      <c r="AB230" s="254">
        <f>Z230-X231</f>
        <v>0</v>
      </c>
      <c r="AC230" s="255">
        <f>IF(ISERROR(LOOKUP(AC$16,$L230:$X230,#REF!)),0,(LOOKUP(AC$16,$L230:$X230,#REF!)))</f>
        <v>0</v>
      </c>
      <c r="AD230" s="256">
        <f>IF(ISERROR(LOOKUP(AD$16,$L230:$X230,#REF!)),0,(LOOKUP(AD$16,$L230:$X230,#REF!)))</f>
        <v>0</v>
      </c>
      <c r="AE230" s="256">
        <f>IF(ISERROR(LOOKUP(AE$16,$L230:$X230,#REF!)),0,(LOOKUP(AE$16,$L230:$X230,#REF!)))</f>
        <v>0</v>
      </c>
      <c r="AF230" s="256">
        <f>IF(ISERROR(LOOKUP(AF$16,$L230:$X230,#REF!)),0,(LOOKUP(AF$16,$L230:$X230,#REF!)))</f>
        <v>0</v>
      </c>
      <c r="AG230" s="256">
        <f>IF(ISERROR(LOOKUP(AG$16,$L230:$X230,#REF!)),0,(LOOKUP(AG$16,$L230:$X230,#REF!)))</f>
        <v>0</v>
      </c>
      <c r="AH230" s="256">
        <f>IF(ISERROR(LOOKUP(AH$16,$L230:$X230,#REF!)),0,(LOOKUP(AH$16,$L230:$X230,#REF!)))</f>
        <v>0</v>
      </c>
      <c r="AI230" s="256">
        <f>IF(ISERROR(LOOKUP(AI$16,$L230:$X230,#REF!)),0,(LOOKUP(AI$16,$L230:$X230,#REF!)))</f>
        <v>0</v>
      </c>
      <c r="AJ230" s="256">
        <f>IF(ISERROR(LOOKUP(AJ$16,$L230:$X230,#REF!)),0,(LOOKUP(AJ$16,$L230:$X230,#REF!)))</f>
        <v>0</v>
      </c>
      <c r="AK230" s="256">
        <f>IF(ISERROR(LOOKUP(AK$16,$L230:$X230,#REF!)),0,(LOOKUP(AK$16,$L230:$X230,#REF!)))</f>
        <v>0</v>
      </c>
      <c r="AL230" s="256">
        <f>IF(ISERROR(LOOKUP(AL$16,$L230:$X230,#REF!)),0,(LOOKUP(AL$16,$L230:$X230,#REF!)))</f>
        <v>0</v>
      </c>
      <c r="AM230" s="256">
        <f ca="1">IF(ISERROR(LOOKUP(AM$16,$L230:$X230,#REF!)),0,(LOOKUP(AM$16,$L230:$X230,#REF!)))</f>
        <v>0</v>
      </c>
      <c r="AP230" s="247" t="e">
        <f>WORKDAY(AQ230,-INDEX(AQ$12:AQ$15,MATCH($I230,$I$12:$I$15,0)),$AW$17:$AW$148)</f>
        <v>#REF!</v>
      </c>
      <c r="AQ230" s="247" t="e">
        <f>WORKDAY(U230,-INDEX(U$12:U$15,MATCH($I230,$I$12:$I$15,0)),$AW$17:$AW$148)</f>
        <v>#REF!</v>
      </c>
      <c r="AR230" s="247" t="e">
        <f>WORKDAY(U230,-INDEX(U$12:U$15,MATCH($I230,$I$12:$I$15,0)),$AW$17:$AW$148)</f>
        <v>#REF!</v>
      </c>
      <c r="AS230" s="257">
        <v>7</v>
      </c>
      <c r="AW230" s="258"/>
    </row>
    <row r="231" s="195" customFormat="1" ht="18" customHeight="1" spans="1:49">
      <c r="A231" s="241"/>
      <c r="B231" s="259"/>
      <c r="C231" s="243"/>
      <c r="D231" s="243" t="s">
        <v>4863</v>
      </c>
      <c r="E231" s="243"/>
      <c r="F231" s="243" t="str">
        <f>F230</f>
        <v>Piping</v>
      </c>
      <c r="G231" s="243" t="str">
        <f>G230</f>
        <v>N</v>
      </c>
      <c r="H231" s="260"/>
      <c r="I231" s="243" t="str">
        <f>I230</f>
        <v>LD</v>
      </c>
      <c r="J231" s="303" t="s">
        <v>64</v>
      </c>
      <c r="K231" s="247">
        <f>K230</f>
        <v>46248</v>
      </c>
      <c r="L231" s="247">
        <f>WORKDAY(IF(K232="",K231,K232),INDEX(L$12:L$15,MATCH($I230,$I$12:$I$15,0)))</f>
        <v>46253</v>
      </c>
      <c r="M231" s="247">
        <f>WORKDAY(IF(L232="",L231,L232),INDEX(M$12:M$15,MATCH($I230,$I$12:$I$15,0)))</f>
        <v>46260</v>
      </c>
      <c r="N231" s="247">
        <f>WORKDAY(IF(M232="",M231,M232),INDEX(N$12:N$15,MATCH($I230,$I$12:$I$15,0)))</f>
        <v>46261</v>
      </c>
      <c r="O231" s="247">
        <f>WORKDAY(IF(N232="",N231,N232),INDEX(O$12:O$15,MATCH($I230,$I$12:$I$15,0)))</f>
        <v>46266</v>
      </c>
      <c r="P231" s="248"/>
      <c r="Q231" s="249"/>
      <c r="R231" s="247">
        <f>WORKDAY(IF(O232="",O231,O232),INDEX(R$12:R$15,MATCH($I230,$I$12:$I$15,0)))</f>
        <v>46273</v>
      </c>
      <c r="S231" s="247">
        <f>WORKDAY(IF(R232="",R231,R232),INDEX(S$12:S$15,MATCH($I230,$I$12:$I$15,0)))</f>
        <v>46282</v>
      </c>
      <c r="T231" s="247">
        <f>WORKDAY(IF(S232="",S231,S232),INDEX(T$12:T$15,MATCH($I230,$I$12:$I$15,0)))</f>
        <v>46286</v>
      </c>
      <c r="U231" s="247">
        <f>WORKDAY(IF(T232="",T231,T232),INDEX(U$12:U$15,MATCH($I230,$I$12:$I$15,0)))-1</f>
        <v>46292</v>
      </c>
      <c r="V231" s="247">
        <f>WORKDAY(IF(U232="",U231,U232),INDEX(V$12:V$15,MATCH($I230,$I$12:$I$15,0)))</f>
        <v>46294</v>
      </c>
      <c r="W231" s="250"/>
      <c r="X231" s="247">
        <f>U231+Y230</f>
        <v>46382</v>
      </c>
      <c r="Y231" s="251"/>
      <c r="Z231" s="253"/>
      <c r="AA231" s="253"/>
      <c r="AB231" s="254"/>
      <c r="AC231" s="255">
        <f>IF(ISERROR(LOOKUP(AC$16,$L231:$X231,#REF!)),0,(LOOKUP(AC$16,$L231:$X231,#REF!)))</f>
        <v>0</v>
      </c>
      <c r="AD231" s="256">
        <f>IF(ISERROR(LOOKUP(AD$16,$L231:$X231,#REF!)),0,(LOOKUP(AD$16,$L231:$X231,#REF!)))</f>
        <v>0</v>
      </c>
      <c r="AE231" s="256">
        <f>IF(ISERROR(LOOKUP(AE$16,$L231:$X231,#REF!)),0,(LOOKUP(AE$16,$L231:$X231,#REF!)))</f>
        <v>0</v>
      </c>
      <c r="AF231" s="256">
        <f>IF(ISERROR(LOOKUP(AF$16,$L231:$X231,#REF!)),0,(LOOKUP(AF$16,$L231:$X231,#REF!)))</f>
        <v>0</v>
      </c>
      <c r="AG231" s="256">
        <f>IF(ISERROR(LOOKUP(AG$16,$L231:$X231,#REF!)),0,(LOOKUP(AG$16,$L231:$X231,#REF!)))</f>
        <v>0</v>
      </c>
      <c r="AH231" s="256">
        <f>IF(ISERROR(LOOKUP(AH$16,$L231:$X231,#REF!)),0,(LOOKUP(AH$16,$L231:$X231,#REF!)))</f>
        <v>0</v>
      </c>
      <c r="AI231" s="256">
        <f>IF(ISERROR(LOOKUP(AI$16,$L231:$X231,#REF!)),0,(LOOKUP(AI$16,$L231:$X231,#REF!)))</f>
        <v>0</v>
      </c>
      <c r="AJ231" s="256">
        <f>IF(ISERROR(LOOKUP(AJ$16,$L231:$X231,#REF!)),0,(LOOKUP(AJ$16,$L231:$X231,#REF!)))</f>
        <v>0</v>
      </c>
      <c r="AK231" s="256">
        <f>IF(ISERROR(LOOKUP(AK$16,$L231:$X231,#REF!)),0,(LOOKUP(AK$16,$L231:$X231,#REF!)))</f>
        <v>0</v>
      </c>
      <c r="AL231" s="256">
        <f>IF(ISERROR(LOOKUP(AL$16,$L231:$X231,#REF!)),0,(LOOKUP(AL$16,$L231:$X231,#REF!)))</f>
        <v>0</v>
      </c>
      <c r="AM231" s="256">
        <f ca="1">IF(ISERROR(LOOKUP(AM$16,$L231:$X231,#REF!)),0,(LOOKUP(AM$16,$L231:$X231,#REF!)))</f>
        <v>0</v>
      </c>
      <c r="AP231" s="247" t="e">
        <f>WORKDAY(IF(T232="",T231,T232),INDEX(AP$12:AP$15,MATCH($I230,$I$12:$I$15,0)),$AW$17:$AW$148)</f>
        <v>#REF!</v>
      </c>
      <c r="AQ231" s="247" t="e">
        <f>WORKDAY(IF(AP232="",AP231,AP232),INDEX(AQ$12:AQ$15,MATCH($I230,$I$12:$I$15,0)),$AW$17:$AW$148)</f>
        <v>#REF!</v>
      </c>
      <c r="AR231" s="247" t="e">
        <f>WORKDAY(IF(AQ232="",AQ231,AQ232),INDEX(AR$12:AR$15,MATCH($I230,$I$12:$I$15,0)),$AW$17:$AW$148)</f>
        <v>#REF!</v>
      </c>
      <c r="AS231" s="257"/>
      <c r="AW231" s="258"/>
    </row>
    <row r="232" s="195" customFormat="1" ht="18" customHeight="1" spans="1:49">
      <c r="A232" s="241"/>
      <c r="B232" s="262"/>
      <c r="C232" s="243"/>
      <c r="D232" s="243" t="s">
        <v>4863</v>
      </c>
      <c r="E232" s="243"/>
      <c r="F232" s="243" t="str">
        <f>F230</f>
        <v>Piping</v>
      </c>
      <c r="G232" s="243" t="str">
        <f>G230</f>
        <v>N</v>
      </c>
      <c r="H232" s="263"/>
      <c r="I232" s="243" t="str">
        <f>I230</f>
        <v>LD</v>
      </c>
      <c r="J232" s="303" t="s">
        <v>66</v>
      </c>
      <c r="K232" s="243"/>
      <c r="L232" s="243"/>
      <c r="M232" s="243"/>
      <c r="N232" s="243"/>
      <c r="O232" s="243"/>
      <c r="P232" s="265"/>
      <c r="Q232" s="266"/>
      <c r="R232" s="243"/>
      <c r="S232" s="243"/>
      <c r="T232" s="243"/>
      <c r="U232" s="243"/>
      <c r="V232" s="243"/>
      <c r="W232" s="267"/>
      <c r="X232" s="243"/>
      <c r="Y232" s="251"/>
      <c r="Z232" s="253"/>
      <c r="AA232" s="253"/>
      <c r="AB232" s="254"/>
      <c r="AC232" s="268">
        <f>IF(ISERROR(LOOKUP(AC$16,$L232:$X232,#REF!)),0,(LOOKUP(AC$16,$L232:$X232,#REF!)))</f>
        <v>0</v>
      </c>
      <c r="AD232" s="269">
        <f>IF(ISERROR(LOOKUP(AD$16,$L232:$X232,#REF!)),0,(LOOKUP(AD$16,$L232:$X232,#REF!)))</f>
        <v>0</v>
      </c>
      <c r="AE232" s="269">
        <f>IF(ISERROR(LOOKUP(AE$16,$L232:$X232,#REF!)),0,(LOOKUP(AE$16,$L232:$X232,#REF!)))</f>
        <v>0</v>
      </c>
      <c r="AF232" s="269">
        <f>IF(ISERROR(LOOKUP(AF$16,$L232:$X232,#REF!)),0,(LOOKUP(AF$16,$L232:$X232,#REF!)))</f>
        <v>0</v>
      </c>
      <c r="AG232" s="269">
        <f>IF(ISERROR(LOOKUP(AG$16,$L232:$X232,#REF!)),0,(LOOKUP(AG$16,$L232:$X232,#REF!)))</f>
        <v>0</v>
      </c>
      <c r="AH232" s="269">
        <f>IF(ISERROR(LOOKUP(AH$16,$L232:$X232,#REF!)),0,(LOOKUP(AH$16,$L232:$X232,#REF!)))</f>
        <v>0</v>
      </c>
      <c r="AI232" s="269">
        <f>IF(ISERROR(LOOKUP(AI$16,$L232:$X232,#REF!)),0,(LOOKUP(AI$16,$L232:$X232,#REF!)))</f>
        <v>0</v>
      </c>
      <c r="AJ232" s="269">
        <f>IF(ISERROR(LOOKUP(AJ$16,$L232:$X232,#REF!)),0,(LOOKUP(AJ$16,$L232:$X232,#REF!)))</f>
        <v>0</v>
      </c>
      <c r="AK232" s="269">
        <f>IF(ISERROR(LOOKUP(AK$16,$L232:$X232,#REF!)),0,(LOOKUP(AK$16,$L232:$X232,#REF!)))</f>
        <v>0</v>
      </c>
      <c r="AL232" s="269">
        <f>IF(ISERROR(LOOKUP(AL$16,$L232:$X232,#REF!)),0,(LOOKUP(AL$16,$L232:$X232,#REF!)))</f>
        <v>0</v>
      </c>
      <c r="AM232" s="269">
        <f ca="1">IF(ISERROR(LOOKUP(AM$16,$L232:$X232,#REF!)),0,(LOOKUP(AM$16,$L232:$X232,#REF!)))</f>
        <v>0</v>
      </c>
      <c r="AP232" s="301"/>
      <c r="AQ232" s="301"/>
      <c r="AR232" s="301"/>
      <c r="AS232" s="257"/>
      <c r="AW232" s="258"/>
    </row>
    <row r="233" s="195" customFormat="1" ht="18" customHeight="1" spans="1:49">
      <c r="A233" s="241"/>
      <c r="B233" s="242"/>
      <c r="C233" s="243"/>
      <c r="D233" s="243" t="s">
        <v>285</v>
      </c>
      <c r="E233" s="243"/>
      <c r="F233" s="243" t="s">
        <v>85</v>
      </c>
      <c r="G233" s="243" t="s">
        <v>72</v>
      </c>
      <c r="H233" s="244"/>
      <c r="I233" s="243" t="s">
        <v>9</v>
      </c>
      <c r="J233" s="303" t="s">
        <v>4769</v>
      </c>
      <c r="K233" s="247">
        <f>WORKDAY(L233,-INDEX(L$12:L$15,MATCH($I233,$I$12:$I$15,0)))</f>
        <v>46248</v>
      </c>
      <c r="L233" s="247">
        <f>WORKDAY(M233,-INDEX(M$12:M$15,MATCH($I233,$I$12:$I$15,0)))</f>
        <v>46253</v>
      </c>
      <c r="M233" s="247">
        <f>WORKDAY(N233,-INDEX(N$12:N$15,MATCH($I233,$I$12:$I$15,0)))</f>
        <v>46260</v>
      </c>
      <c r="N233" s="247">
        <f>WORKDAY(O233,-INDEX(O$12:O$15,MATCH($I233,$I$12:$I$15,0)))</f>
        <v>46261</v>
      </c>
      <c r="O233" s="247">
        <f>WORKDAY(R233,-INDEX(R$12:R$15,MATCH($I233,$I$12:$I$15,0)))</f>
        <v>46266</v>
      </c>
      <c r="P233" s="248">
        <f>U233-L233</f>
        <v>39</v>
      </c>
      <c r="Q233" s="249"/>
      <c r="R233" s="247">
        <f>WORKDAY(S233,-INDEX(S$12:S$15,MATCH($I233,$I$12:$I$15,0)))</f>
        <v>46273</v>
      </c>
      <c r="S233" s="247">
        <f>WORKDAY(T233,-INDEX(T$12:T$15,MATCH($I233,$I$12:$I$15,0)))</f>
        <v>46282</v>
      </c>
      <c r="T233" s="247">
        <f>WORKDAY(U233,-INDEX(U$12:U$15,MATCH($I233,$I$12:$I$15,0)))</f>
        <v>46286</v>
      </c>
      <c r="U233" s="247">
        <f>X233-Y233</f>
        <v>46292</v>
      </c>
      <c r="V233" s="247">
        <f>WORKDAY(U233,INDEX(V$12:V$15,MATCH($I233,$I$12:$I$15,0)))</f>
        <v>46294</v>
      </c>
      <c r="W233" s="250">
        <f>Y233/7</f>
        <v>12.8571428571429</v>
      </c>
      <c r="X233" s="247">
        <f>Z233</f>
        <v>46382</v>
      </c>
      <c r="Y233" s="251">
        <v>90</v>
      </c>
      <c r="Z233" s="253">
        <v>46382</v>
      </c>
      <c r="AA233" s="253">
        <v>46538</v>
      </c>
      <c r="AB233" s="254">
        <f>Z233-X234</f>
        <v>0</v>
      </c>
      <c r="AC233" s="255">
        <f>IF(ISERROR(LOOKUP(AC$16,$L233:$X233,#REF!)),0,(LOOKUP(AC$16,$L233:$X233,#REF!)))</f>
        <v>0</v>
      </c>
      <c r="AD233" s="256">
        <f>IF(ISERROR(LOOKUP(AD$16,$L233:$X233,#REF!)),0,(LOOKUP(AD$16,$L233:$X233,#REF!)))</f>
        <v>0</v>
      </c>
      <c r="AE233" s="256">
        <f>IF(ISERROR(LOOKUP(AE$16,$L233:$X233,#REF!)),0,(LOOKUP(AE$16,$L233:$X233,#REF!)))</f>
        <v>0</v>
      </c>
      <c r="AF233" s="256">
        <f>IF(ISERROR(LOOKUP(AF$16,$L233:$X233,#REF!)),0,(LOOKUP(AF$16,$L233:$X233,#REF!)))</f>
        <v>0</v>
      </c>
      <c r="AG233" s="256">
        <f>IF(ISERROR(LOOKUP(AG$16,$L233:$X233,#REF!)),0,(LOOKUP(AG$16,$L233:$X233,#REF!)))</f>
        <v>0</v>
      </c>
      <c r="AH233" s="256">
        <f>IF(ISERROR(LOOKUP(AH$16,$L233:$X233,#REF!)),0,(LOOKUP(AH$16,$L233:$X233,#REF!)))</f>
        <v>0</v>
      </c>
      <c r="AI233" s="256">
        <f>IF(ISERROR(LOOKUP(AI$16,$L233:$X233,#REF!)),0,(LOOKUP(AI$16,$L233:$X233,#REF!)))</f>
        <v>0</v>
      </c>
      <c r="AJ233" s="256">
        <f>IF(ISERROR(LOOKUP(AJ$16,$L233:$X233,#REF!)),0,(LOOKUP(AJ$16,$L233:$X233,#REF!)))</f>
        <v>0</v>
      </c>
      <c r="AK233" s="256">
        <f>IF(ISERROR(LOOKUP(AK$16,$L233:$X233,#REF!)),0,(LOOKUP(AK$16,$L233:$X233,#REF!)))</f>
        <v>0</v>
      </c>
      <c r="AL233" s="256">
        <f>IF(ISERROR(LOOKUP(AL$16,$L233:$X233,#REF!)),0,(LOOKUP(AL$16,$L233:$X233,#REF!)))</f>
        <v>0</v>
      </c>
      <c r="AM233" s="256">
        <f ca="1">IF(ISERROR(LOOKUP(AM$16,$L233:$X233,#REF!)),0,(LOOKUP(AM$16,$L233:$X233,#REF!)))</f>
        <v>0</v>
      </c>
      <c r="AP233" s="247" t="e">
        <f>WORKDAY(AQ233,-INDEX(AQ$12:AQ$15,MATCH($I233,$I$12:$I$15,0)),$AW$17:$AW$148)</f>
        <v>#REF!</v>
      </c>
      <c r="AQ233" s="247" t="e">
        <f>WORKDAY(U233,-INDEX(U$12:U$15,MATCH($I233,$I$12:$I$15,0)),$AW$17:$AW$148)</f>
        <v>#REF!</v>
      </c>
      <c r="AR233" s="247" t="e">
        <f>WORKDAY(U233,-INDEX(U$12:U$15,MATCH($I233,$I$12:$I$15,0)),$AW$17:$AW$148)</f>
        <v>#REF!</v>
      </c>
      <c r="AS233" s="257">
        <v>7</v>
      </c>
      <c r="AW233" s="258"/>
    </row>
    <row r="234" s="195" customFormat="1" ht="18" customHeight="1" spans="1:49">
      <c r="A234" s="241"/>
      <c r="B234" s="259"/>
      <c r="C234" s="243"/>
      <c r="D234" s="243" t="s">
        <v>285</v>
      </c>
      <c r="E234" s="243"/>
      <c r="F234" s="243" t="str">
        <f>F233</f>
        <v>Piping</v>
      </c>
      <c r="G234" s="243" t="str">
        <f>G233</f>
        <v>N</v>
      </c>
      <c r="H234" s="260"/>
      <c r="I234" s="243" t="str">
        <f>I233</f>
        <v>LD</v>
      </c>
      <c r="J234" s="303" t="s">
        <v>64</v>
      </c>
      <c r="K234" s="247">
        <f>K233</f>
        <v>46248</v>
      </c>
      <c r="L234" s="247">
        <f>WORKDAY(IF(K235="",K234,K235),INDEX(L$12:L$15,MATCH($I233,$I$12:$I$15,0)))</f>
        <v>46253</v>
      </c>
      <c r="M234" s="247">
        <f>WORKDAY(IF(L235="",L234,L235),INDEX(M$12:M$15,MATCH($I233,$I$12:$I$15,0)))</f>
        <v>46260</v>
      </c>
      <c r="N234" s="247">
        <f>WORKDAY(IF(M235="",M234,M235),INDEX(N$12:N$15,MATCH($I233,$I$12:$I$15,0)))</f>
        <v>46261</v>
      </c>
      <c r="O234" s="247">
        <f>WORKDAY(IF(N235="",N234,N235),INDEX(O$12:O$15,MATCH($I233,$I$12:$I$15,0)))</f>
        <v>46266</v>
      </c>
      <c r="P234" s="248"/>
      <c r="Q234" s="249"/>
      <c r="R234" s="247">
        <f>WORKDAY(IF(O235="",O234,O235),INDEX(R$12:R$15,MATCH($I233,$I$12:$I$15,0)))</f>
        <v>46273</v>
      </c>
      <c r="S234" s="247">
        <f>WORKDAY(IF(R235="",R234,R235),INDEX(S$12:S$15,MATCH($I233,$I$12:$I$15,0)))</f>
        <v>46282</v>
      </c>
      <c r="T234" s="247">
        <f>WORKDAY(IF(S235="",S234,S235),INDEX(T$12:T$15,MATCH($I233,$I$12:$I$15,0)))</f>
        <v>46286</v>
      </c>
      <c r="U234" s="247">
        <f>WORKDAY(IF(T235="",T234,T235),INDEX(U$12:U$15,MATCH($I233,$I$12:$I$15,0)))-1</f>
        <v>46292</v>
      </c>
      <c r="V234" s="247">
        <f>WORKDAY(IF(U235="",U234,U235),INDEX(V$12:V$15,MATCH($I233,$I$12:$I$15,0)))</f>
        <v>46294</v>
      </c>
      <c r="W234" s="250"/>
      <c r="X234" s="247">
        <f>U234+Y233</f>
        <v>46382</v>
      </c>
      <c r="Y234" s="251"/>
      <c r="Z234" s="253"/>
      <c r="AA234" s="253"/>
      <c r="AB234" s="254"/>
      <c r="AC234" s="255">
        <f>IF(ISERROR(LOOKUP(AC$16,$L234:$X234,#REF!)),0,(LOOKUP(AC$16,$L234:$X234,#REF!)))</f>
        <v>0</v>
      </c>
      <c r="AD234" s="256">
        <f>IF(ISERROR(LOOKUP(AD$16,$L234:$X234,#REF!)),0,(LOOKUP(AD$16,$L234:$X234,#REF!)))</f>
        <v>0</v>
      </c>
      <c r="AE234" s="256">
        <f>IF(ISERROR(LOOKUP(AE$16,$L234:$X234,#REF!)),0,(LOOKUP(AE$16,$L234:$X234,#REF!)))</f>
        <v>0</v>
      </c>
      <c r="AF234" s="256">
        <f>IF(ISERROR(LOOKUP(AF$16,$L234:$X234,#REF!)),0,(LOOKUP(AF$16,$L234:$X234,#REF!)))</f>
        <v>0</v>
      </c>
      <c r="AG234" s="256">
        <f>IF(ISERROR(LOOKUP(AG$16,$L234:$X234,#REF!)),0,(LOOKUP(AG$16,$L234:$X234,#REF!)))</f>
        <v>0</v>
      </c>
      <c r="AH234" s="256">
        <f>IF(ISERROR(LOOKUP(AH$16,$L234:$X234,#REF!)),0,(LOOKUP(AH$16,$L234:$X234,#REF!)))</f>
        <v>0</v>
      </c>
      <c r="AI234" s="256">
        <f>IF(ISERROR(LOOKUP(AI$16,$L234:$X234,#REF!)),0,(LOOKUP(AI$16,$L234:$X234,#REF!)))</f>
        <v>0</v>
      </c>
      <c r="AJ234" s="256">
        <f>IF(ISERROR(LOOKUP(AJ$16,$L234:$X234,#REF!)),0,(LOOKUP(AJ$16,$L234:$X234,#REF!)))</f>
        <v>0</v>
      </c>
      <c r="AK234" s="256">
        <f>IF(ISERROR(LOOKUP(AK$16,$L234:$X234,#REF!)),0,(LOOKUP(AK$16,$L234:$X234,#REF!)))</f>
        <v>0</v>
      </c>
      <c r="AL234" s="256">
        <f>IF(ISERROR(LOOKUP(AL$16,$L234:$X234,#REF!)),0,(LOOKUP(AL$16,$L234:$X234,#REF!)))</f>
        <v>0</v>
      </c>
      <c r="AM234" s="256">
        <f ca="1">IF(ISERROR(LOOKUP(AM$16,$L234:$X234,#REF!)),0,(LOOKUP(AM$16,$L234:$X234,#REF!)))</f>
        <v>0</v>
      </c>
      <c r="AP234" s="247" t="e">
        <f>WORKDAY(IF(T235="",T234,T235),INDEX(AP$12:AP$15,MATCH($I233,$I$12:$I$15,0)),$AW$17:$AW$148)</f>
        <v>#REF!</v>
      </c>
      <c r="AQ234" s="247" t="e">
        <f>WORKDAY(IF(AP235="",AP234,AP235),INDEX(AQ$12:AQ$15,MATCH($I233,$I$12:$I$15,0)),$AW$17:$AW$148)</f>
        <v>#REF!</v>
      </c>
      <c r="AR234" s="247" t="e">
        <f>WORKDAY(IF(AQ235="",AQ234,AQ235),INDEX(AR$12:AR$15,MATCH($I233,$I$12:$I$15,0)),$AW$17:$AW$148)</f>
        <v>#REF!</v>
      </c>
      <c r="AS234" s="257"/>
      <c r="AW234" s="258"/>
    </row>
    <row r="235" s="195" customFormat="1" ht="18" customHeight="1" spans="1:49">
      <c r="A235" s="241"/>
      <c r="B235" s="262"/>
      <c r="C235" s="243"/>
      <c r="D235" s="243" t="s">
        <v>285</v>
      </c>
      <c r="E235" s="243"/>
      <c r="F235" s="243" t="str">
        <f>F233</f>
        <v>Piping</v>
      </c>
      <c r="G235" s="243" t="str">
        <f>G233</f>
        <v>N</v>
      </c>
      <c r="H235" s="263"/>
      <c r="I235" s="243" t="str">
        <f>I233</f>
        <v>LD</v>
      </c>
      <c r="J235" s="303" t="s">
        <v>66</v>
      </c>
      <c r="K235" s="243"/>
      <c r="L235" s="243"/>
      <c r="M235" s="243"/>
      <c r="N235" s="243"/>
      <c r="O235" s="243"/>
      <c r="P235" s="265"/>
      <c r="Q235" s="266"/>
      <c r="R235" s="243"/>
      <c r="S235" s="243"/>
      <c r="T235" s="243"/>
      <c r="U235" s="243"/>
      <c r="V235" s="243"/>
      <c r="W235" s="267"/>
      <c r="X235" s="243"/>
      <c r="Y235" s="251"/>
      <c r="Z235" s="253"/>
      <c r="AA235" s="253"/>
      <c r="AB235" s="254"/>
      <c r="AC235" s="268">
        <f>IF(ISERROR(LOOKUP(AC$16,$L235:$X235,#REF!)),0,(LOOKUP(AC$16,$L235:$X235,#REF!)))</f>
        <v>0</v>
      </c>
      <c r="AD235" s="269">
        <f>IF(ISERROR(LOOKUP(AD$16,$L235:$X235,#REF!)),0,(LOOKUP(AD$16,$L235:$X235,#REF!)))</f>
        <v>0</v>
      </c>
      <c r="AE235" s="269">
        <f>IF(ISERROR(LOOKUP(AE$16,$L235:$X235,#REF!)),0,(LOOKUP(AE$16,$L235:$X235,#REF!)))</f>
        <v>0</v>
      </c>
      <c r="AF235" s="269">
        <f>IF(ISERROR(LOOKUP(AF$16,$L235:$X235,#REF!)),0,(LOOKUP(AF$16,$L235:$X235,#REF!)))</f>
        <v>0</v>
      </c>
      <c r="AG235" s="269">
        <f>IF(ISERROR(LOOKUP(AG$16,$L235:$X235,#REF!)),0,(LOOKUP(AG$16,$L235:$X235,#REF!)))</f>
        <v>0</v>
      </c>
      <c r="AH235" s="269">
        <f>IF(ISERROR(LOOKUP(AH$16,$L235:$X235,#REF!)),0,(LOOKUP(AH$16,$L235:$X235,#REF!)))</f>
        <v>0</v>
      </c>
      <c r="AI235" s="269">
        <f>IF(ISERROR(LOOKUP(AI$16,$L235:$X235,#REF!)),0,(LOOKUP(AI$16,$L235:$X235,#REF!)))</f>
        <v>0</v>
      </c>
      <c r="AJ235" s="269">
        <f>IF(ISERROR(LOOKUP(AJ$16,$L235:$X235,#REF!)),0,(LOOKUP(AJ$16,$L235:$X235,#REF!)))</f>
        <v>0</v>
      </c>
      <c r="AK235" s="269">
        <f>IF(ISERROR(LOOKUP(AK$16,$L235:$X235,#REF!)),0,(LOOKUP(AK$16,$L235:$X235,#REF!)))</f>
        <v>0</v>
      </c>
      <c r="AL235" s="269">
        <f>IF(ISERROR(LOOKUP(AL$16,$L235:$X235,#REF!)),0,(LOOKUP(AL$16,$L235:$X235,#REF!)))</f>
        <v>0</v>
      </c>
      <c r="AM235" s="269">
        <f ca="1">IF(ISERROR(LOOKUP(AM$16,$L235:$X235,#REF!)),0,(LOOKUP(AM$16,$L235:$X235,#REF!)))</f>
        <v>0</v>
      </c>
      <c r="AP235" s="301"/>
      <c r="AQ235" s="301"/>
      <c r="AR235" s="301"/>
      <c r="AS235" s="257"/>
      <c r="AW235" s="258"/>
    </row>
    <row r="236" s="195" customFormat="1" ht="18" customHeight="1" spans="1:49">
      <c r="A236" s="241"/>
      <c r="B236" s="242"/>
      <c r="C236" s="243"/>
      <c r="D236" s="243" t="s">
        <v>4864</v>
      </c>
      <c r="E236" s="243"/>
      <c r="F236" s="243" t="s">
        <v>85</v>
      </c>
      <c r="G236" s="243" t="s">
        <v>72</v>
      </c>
      <c r="H236" s="244"/>
      <c r="I236" s="243" t="s">
        <v>9</v>
      </c>
      <c r="J236" s="303" t="s">
        <v>4769</v>
      </c>
      <c r="K236" s="247">
        <f>WORKDAY(L236,-INDEX(L$12:L$15,MATCH($I236,$I$12:$I$15,0)))</f>
        <v>46248</v>
      </c>
      <c r="L236" s="247">
        <f>WORKDAY(M236,-INDEX(M$12:M$15,MATCH($I236,$I$12:$I$15,0)))</f>
        <v>46253</v>
      </c>
      <c r="M236" s="247">
        <f>WORKDAY(N236,-INDEX(N$12:N$15,MATCH($I236,$I$12:$I$15,0)))</f>
        <v>46260</v>
      </c>
      <c r="N236" s="247">
        <f>WORKDAY(O236,-INDEX(O$12:O$15,MATCH($I236,$I$12:$I$15,0)))</f>
        <v>46261</v>
      </c>
      <c r="O236" s="247">
        <f>WORKDAY(R236,-INDEX(R$12:R$15,MATCH($I236,$I$12:$I$15,0)))</f>
        <v>46266</v>
      </c>
      <c r="P236" s="248">
        <f>U236-L236</f>
        <v>39</v>
      </c>
      <c r="Q236" s="249"/>
      <c r="R236" s="247">
        <f>WORKDAY(S236,-INDEX(S$12:S$15,MATCH($I236,$I$12:$I$15,0)))</f>
        <v>46273</v>
      </c>
      <c r="S236" s="247">
        <f>WORKDAY(T236,-INDEX(T$12:T$15,MATCH($I236,$I$12:$I$15,0)))</f>
        <v>46282</v>
      </c>
      <c r="T236" s="247">
        <f>WORKDAY(U236,-INDEX(U$12:U$15,MATCH($I236,$I$12:$I$15,0)))</f>
        <v>46286</v>
      </c>
      <c r="U236" s="247">
        <f>X236-Y236</f>
        <v>46292</v>
      </c>
      <c r="V236" s="247">
        <f>WORKDAY(U236,INDEX(V$12:V$15,MATCH($I236,$I$12:$I$15,0)))</f>
        <v>46294</v>
      </c>
      <c r="W236" s="250">
        <f>Y236/7</f>
        <v>12.8571428571429</v>
      </c>
      <c r="X236" s="247">
        <f>Z236</f>
        <v>46382</v>
      </c>
      <c r="Y236" s="251">
        <v>90</v>
      </c>
      <c r="Z236" s="253">
        <v>46382</v>
      </c>
      <c r="AA236" s="253">
        <v>46538</v>
      </c>
      <c r="AB236" s="254">
        <f>Z236-X237</f>
        <v>0</v>
      </c>
      <c r="AC236" s="255">
        <f>IF(ISERROR(LOOKUP(AC$16,$L236:$X236,#REF!)),0,(LOOKUP(AC$16,$L236:$X236,#REF!)))</f>
        <v>0</v>
      </c>
      <c r="AD236" s="256">
        <f>IF(ISERROR(LOOKUP(AD$16,$L236:$X236,#REF!)),0,(LOOKUP(AD$16,$L236:$X236,#REF!)))</f>
        <v>0</v>
      </c>
      <c r="AE236" s="256">
        <f>IF(ISERROR(LOOKUP(AE$16,$L236:$X236,#REF!)),0,(LOOKUP(AE$16,$L236:$X236,#REF!)))</f>
        <v>0</v>
      </c>
      <c r="AF236" s="256">
        <f>IF(ISERROR(LOOKUP(AF$16,$L236:$X236,#REF!)),0,(LOOKUP(AF$16,$L236:$X236,#REF!)))</f>
        <v>0</v>
      </c>
      <c r="AG236" s="256">
        <f>IF(ISERROR(LOOKUP(AG$16,$L236:$X236,#REF!)),0,(LOOKUP(AG$16,$L236:$X236,#REF!)))</f>
        <v>0</v>
      </c>
      <c r="AH236" s="256">
        <f>IF(ISERROR(LOOKUP(AH$16,$L236:$X236,#REF!)),0,(LOOKUP(AH$16,$L236:$X236,#REF!)))</f>
        <v>0</v>
      </c>
      <c r="AI236" s="256">
        <f>IF(ISERROR(LOOKUP(AI$16,$L236:$X236,#REF!)),0,(LOOKUP(AI$16,$L236:$X236,#REF!)))</f>
        <v>0</v>
      </c>
      <c r="AJ236" s="256">
        <f>IF(ISERROR(LOOKUP(AJ$16,$L236:$X236,#REF!)),0,(LOOKUP(AJ$16,$L236:$X236,#REF!)))</f>
        <v>0</v>
      </c>
      <c r="AK236" s="256">
        <f>IF(ISERROR(LOOKUP(AK$16,$L236:$X236,#REF!)),0,(LOOKUP(AK$16,$L236:$X236,#REF!)))</f>
        <v>0</v>
      </c>
      <c r="AL236" s="256">
        <f>IF(ISERROR(LOOKUP(AL$16,$L236:$X236,#REF!)),0,(LOOKUP(AL$16,$L236:$X236,#REF!)))</f>
        <v>0</v>
      </c>
      <c r="AM236" s="256">
        <f ca="1">IF(ISERROR(LOOKUP(AM$16,$L236:$X236,#REF!)),0,(LOOKUP(AM$16,$L236:$X236,#REF!)))</f>
        <v>0</v>
      </c>
      <c r="AP236" s="247" t="e">
        <f>WORKDAY(AQ236,-INDEX(AQ$12:AQ$15,MATCH($I236,$I$12:$I$15,0)),$AW$17:$AW$148)</f>
        <v>#REF!</v>
      </c>
      <c r="AQ236" s="247" t="e">
        <f>WORKDAY(U236,-INDEX(U$12:U$15,MATCH($I236,$I$12:$I$15,0)),$AW$17:$AW$148)</f>
        <v>#REF!</v>
      </c>
      <c r="AR236" s="247" t="e">
        <f>WORKDAY(U236,-INDEX(U$12:U$15,MATCH($I236,$I$12:$I$15,0)),$AW$17:$AW$148)</f>
        <v>#REF!</v>
      </c>
      <c r="AS236" s="257">
        <v>7</v>
      </c>
      <c r="AW236" s="258"/>
    </row>
    <row r="237" s="195" customFormat="1" ht="18" customHeight="1" spans="1:49">
      <c r="A237" s="241"/>
      <c r="B237" s="259"/>
      <c r="C237" s="243"/>
      <c r="D237" s="243" t="s">
        <v>4864</v>
      </c>
      <c r="E237" s="243"/>
      <c r="F237" s="243" t="str">
        <f>F236</f>
        <v>Piping</v>
      </c>
      <c r="G237" s="243" t="str">
        <f>G236</f>
        <v>N</v>
      </c>
      <c r="H237" s="260"/>
      <c r="I237" s="243" t="str">
        <f>I236</f>
        <v>LD</v>
      </c>
      <c r="J237" s="303" t="s">
        <v>64</v>
      </c>
      <c r="K237" s="247">
        <f>K236</f>
        <v>46248</v>
      </c>
      <c r="L237" s="247">
        <f>WORKDAY(IF(K238="",K237,K238),INDEX(L$12:L$15,MATCH($I236,$I$12:$I$15,0)))</f>
        <v>46253</v>
      </c>
      <c r="M237" s="247">
        <f>WORKDAY(IF(L238="",L237,L238),INDEX(M$12:M$15,MATCH($I236,$I$12:$I$15,0)))</f>
        <v>46260</v>
      </c>
      <c r="N237" s="247">
        <f>WORKDAY(IF(M238="",M237,M238),INDEX(N$12:N$15,MATCH($I236,$I$12:$I$15,0)))</f>
        <v>46261</v>
      </c>
      <c r="O237" s="247">
        <f>WORKDAY(IF(N238="",N237,N238),INDEX(O$12:O$15,MATCH($I236,$I$12:$I$15,0)))</f>
        <v>46266</v>
      </c>
      <c r="P237" s="248"/>
      <c r="Q237" s="249"/>
      <c r="R237" s="247">
        <f>WORKDAY(IF(O238="",O237,O238),INDEX(R$12:R$15,MATCH($I236,$I$12:$I$15,0)))</f>
        <v>46273</v>
      </c>
      <c r="S237" s="247">
        <f>WORKDAY(IF(R238="",R237,R238),INDEX(S$12:S$15,MATCH($I236,$I$12:$I$15,0)))</f>
        <v>46282</v>
      </c>
      <c r="T237" s="247">
        <f>WORKDAY(IF(S238="",S237,S238),INDEX(T$12:T$15,MATCH($I236,$I$12:$I$15,0)))</f>
        <v>46286</v>
      </c>
      <c r="U237" s="247">
        <f>WORKDAY(IF(T238="",T237,T238),INDEX(U$12:U$15,MATCH($I236,$I$12:$I$15,0)))-1</f>
        <v>46292</v>
      </c>
      <c r="V237" s="247">
        <f>WORKDAY(IF(U238="",U237,U238),INDEX(V$12:V$15,MATCH($I236,$I$12:$I$15,0)))</f>
        <v>46294</v>
      </c>
      <c r="W237" s="250"/>
      <c r="X237" s="247">
        <f>U237+Y236</f>
        <v>46382</v>
      </c>
      <c r="Y237" s="251"/>
      <c r="Z237" s="253"/>
      <c r="AA237" s="253"/>
      <c r="AB237" s="254"/>
      <c r="AC237" s="255">
        <f>IF(ISERROR(LOOKUP(AC$16,$L237:$X237,#REF!)),0,(LOOKUP(AC$16,$L237:$X237,#REF!)))</f>
        <v>0</v>
      </c>
      <c r="AD237" s="256">
        <f>IF(ISERROR(LOOKUP(AD$16,$L237:$X237,#REF!)),0,(LOOKUP(AD$16,$L237:$X237,#REF!)))</f>
        <v>0</v>
      </c>
      <c r="AE237" s="256">
        <f>IF(ISERROR(LOOKUP(AE$16,$L237:$X237,#REF!)),0,(LOOKUP(AE$16,$L237:$X237,#REF!)))</f>
        <v>0</v>
      </c>
      <c r="AF237" s="256">
        <f>IF(ISERROR(LOOKUP(AF$16,$L237:$X237,#REF!)),0,(LOOKUP(AF$16,$L237:$X237,#REF!)))</f>
        <v>0</v>
      </c>
      <c r="AG237" s="256">
        <f>IF(ISERROR(LOOKUP(AG$16,$L237:$X237,#REF!)),0,(LOOKUP(AG$16,$L237:$X237,#REF!)))</f>
        <v>0</v>
      </c>
      <c r="AH237" s="256">
        <f>IF(ISERROR(LOOKUP(AH$16,$L237:$X237,#REF!)),0,(LOOKUP(AH$16,$L237:$X237,#REF!)))</f>
        <v>0</v>
      </c>
      <c r="AI237" s="256">
        <f>IF(ISERROR(LOOKUP(AI$16,$L237:$X237,#REF!)),0,(LOOKUP(AI$16,$L237:$X237,#REF!)))</f>
        <v>0</v>
      </c>
      <c r="AJ237" s="256">
        <f>IF(ISERROR(LOOKUP(AJ$16,$L237:$X237,#REF!)),0,(LOOKUP(AJ$16,$L237:$X237,#REF!)))</f>
        <v>0</v>
      </c>
      <c r="AK237" s="256">
        <f>IF(ISERROR(LOOKUP(AK$16,$L237:$X237,#REF!)),0,(LOOKUP(AK$16,$L237:$X237,#REF!)))</f>
        <v>0</v>
      </c>
      <c r="AL237" s="256">
        <f>IF(ISERROR(LOOKUP(AL$16,$L237:$X237,#REF!)),0,(LOOKUP(AL$16,$L237:$X237,#REF!)))</f>
        <v>0</v>
      </c>
      <c r="AM237" s="256">
        <f ca="1">IF(ISERROR(LOOKUP(AM$16,$L237:$X237,#REF!)),0,(LOOKUP(AM$16,$L237:$X237,#REF!)))</f>
        <v>0</v>
      </c>
      <c r="AP237" s="247" t="e">
        <f>WORKDAY(IF(T238="",T237,T238),INDEX(AP$12:AP$15,MATCH($I236,$I$12:$I$15,0)),$AW$17:$AW$148)</f>
        <v>#REF!</v>
      </c>
      <c r="AQ237" s="247" t="e">
        <f>WORKDAY(IF(AP238="",AP237,AP238),INDEX(AQ$12:AQ$15,MATCH($I236,$I$12:$I$15,0)),$AW$17:$AW$148)</f>
        <v>#REF!</v>
      </c>
      <c r="AR237" s="247" t="e">
        <f>WORKDAY(IF(AQ238="",AQ237,AQ238),INDEX(AR$12:AR$15,MATCH($I236,$I$12:$I$15,0)),$AW$17:$AW$148)</f>
        <v>#REF!</v>
      </c>
      <c r="AS237" s="257"/>
      <c r="AW237" s="258"/>
    </row>
    <row r="238" s="195" customFormat="1" ht="18" customHeight="1" spans="1:49">
      <c r="A238" s="241"/>
      <c r="B238" s="262"/>
      <c r="C238" s="243"/>
      <c r="D238" s="243" t="s">
        <v>4864</v>
      </c>
      <c r="E238" s="243"/>
      <c r="F238" s="243" t="str">
        <f>F236</f>
        <v>Piping</v>
      </c>
      <c r="G238" s="243" t="str">
        <f>G236</f>
        <v>N</v>
      </c>
      <c r="H238" s="263"/>
      <c r="I238" s="243" t="str">
        <f>I236</f>
        <v>LD</v>
      </c>
      <c r="J238" s="303" t="s">
        <v>66</v>
      </c>
      <c r="K238" s="243"/>
      <c r="L238" s="243"/>
      <c r="M238" s="243"/>
      <c r="N238" s="243"/>
      <c r="O238" s="243"/>
      <c r="P238" s="265"/>
      <c r="Q238" s="266"/>
      <c r="R238" s="243"/>
      <c r="S238" s="243"/>
      <c r="T238" s="243"/>
      <c r="U238" s="243"/>
      <c r="V238" s="243"/>
      <c r="W238" s="267"/>
      <c r="X238" s="243"/>
      <c r="Y238" s="251"/>
      <c r="Z238" s="253"/>
      <c r="AA238" s="253"/>
      <c r="AB238" s="254"/>
      <c r="AC238" s="268">
        <f>IF(ISERROR(LOOKUP(AC$16,$L238:$X238,#REF!)),0,(LOOKUP(AC$16,$L238:$X238,#REF!)))</f>
        <v>0</v>
      </c>
      <c r="AD238" s="269">
        <f>IF(ISERROR(LOOKUP(AD$16,$L238:$X238,#REF!)),0,(LOOKUP(AD$16,$L238:$X238,#REF!)))</f>
        <v>0</v>
      </c>
      <c r="AE238" s="269">
        <f>IF(ISERROR(LOOKUP(AE$16,$L238:$X238,#REF!)),0,(LOOKUP(AE$16,$L238:$X238,#REF!)))</f>
        <v>0</v>
      </c>
      <c r="AF238" s="269">
        <f>IF(ISERROR(LOOKUP(AF$16,$L238:$X238,#REF!)),0,(LOOKUP(AF$16,$L238:$X238,#REF!)))</f>
        <v>0</v>
      </c>
      <c r="AG238" s="269">
        <f>IF(ISERROR(LOOKUP(AG$16,$L238:$X238,#REF!)),0,(LOOKUP(AG$16,$L238:$X238,#REF!)))</f>
        <v>0</v>
      </c>
      <c r="AH238" s="269">
        <f>IF(ISERROR(LOOKUP(AH$16,$L238:$X238,#REF!)),0,(LOOKUP(AH$16,$L238:$X238,#REF!)))</f>
        <v>0</v>
      </c>
      <c r="AI238" s="269">
        <f>IF(ISERROR(LOOKUP(AI$16,$L238:$X238,#REF!)),0,(LOOKUP(AI$16,$L238:$X238,#REF!)))</f>
        <v>0</v>
      </c>
      <c r="AJ238" s="269">
        <f>IF(ISERROR(LOOKUP(AJ$16,$L238:$X238,#REF!)),0,(LOOKUP(AJ$16,$L238:$X238,#REF!)))</f>
        <v>0</v>
      </c>
      <c r="AK238" s="269">
        <f>IF(ISERROR(LOOKUP(AK$16,$L238:$X238,#REF!)),0,(LOOKUP(AK$16,$L238:$X238,#REF!)))</f>
        <v>0</v>
      </c>
      <c r="AL238" s="269">
        <f>IF(ISERROR(LOOKUP(AL$16,$L238:$X238,#REF!)),0,(LOOKUP(AL$16,$L238:$X238,#REF!)))</f>
        <v>0</v>
      </c>
      <c r="AM238" s="269">
        <f ca="1">IF(ISERROR(LOOKUP(AM$16,$L238:$X238,#REF!)),0,(LOOKUP(AM$16,$L238:$X238,#REF!)))</f>
        <v>0</v>
      </c>
      <c r="AP238" s="301"/>
      <c r="AQ238" s="301"/>
      <c r="AR238" s="301"/>
      <c r="AS238" s="257"/>
      <c r="AW238" s="258"/>
    </row>
    <row r="239" s="195" customFormat="1" ht="18" customHeight="1" spans="1:49">
      <c r="A239" s="241"/>
      <c r="B239" s="242"/>
      <c r="C239" s="243"/>
      <c r="D239" s="243" t="s">
        <v>4865</v>
      </c>
      <c r="E239" s="243"/>
      <c r="F239" s="243" t="s">
        <v>85</v>
      </c>
      <c r="G239" s="243" t="s">
        <v>72</v>
      </c>
      <c r="H239" s="244"/>
      <c r="I239" s="243" t="s">
        <v>9</v>
      </c>
      <c r="J239" s="303" t="s">
        <v>4769</v>
      </c>
      <c r="K239" s="247">
        <f>WORKDAY(L239,-INDEX(L$12:L$15,MATCH($I239,$I$12:$I$15,0)))</f>
        <v>46248</v>
      </c>
      <c r="L239" s="247">
        <f>WORKDAY(M239,-INDEX(M$12:M$15,MATCH($I239,$I$12:$I$15,0)))</f>
        <v>46253</v>
      </c>
      <c r="M239" s="247">
        <f>WORKDAY(N239,-INDEX(N$12:N$15,MATCH($I239,$I$12:$I$15,0)))</f>
        <v>46260</v>
      </c>
      <c r="N239" s="247">
        <f>WORKDAY(O239,-INDEX(O$12:O$15,MATCH($I239,$I$12:$I$15,0)))</f>
        <v>46261</v>
      </c>
      <c r="O239" s="247">
        <f>WORKDAY(R239,-INDEX(R$12:R$15,MATCH($I239,$I$12:$I$15,0)))</f>
        <v>46266</v>
      </c>
      <c r="P239" s="248">
        <f>U239-L239</f>
        <v>39</v>
      </c>
      <c r="Q239" s="249"/>
      <c r="R239" s="247">
        <f>WORKDAY(S239,-INDEX(S$12:S$15,MATCH($I239,$I$12:$I$15,0)))</f>
        <v>46273</v>
      </c>
      <c r="S239" s="247">
        <f>WORKDAY(T239,-INDEX(T$12:T$15,MATCH($I239,$I$12:$I$15,0)))</f>
        <v>46282</v>
      </c>
      <c r="T239" s="247">
        <f>WORKDAY(U239,-INDEX(U$12:U$15,MATCH($I239,$I$12:$I$15,0)))</f>
        <v>46286</v>
      </c>
      <c r="U239" s="247">
        <f>X239-Y239</f>
        <v>46292</v>
      </c>
      <c r="V239" s="247">
        <f>WORKDAY(U239,INDEX(V$12:V$15,MATCH($I239,$I$12:$I$15,0)))</f>
        <v>46294</v>
      </c>
      <c r="W239" s="250">
        <f>Y239/7</f>
        <v>12.8571428571429</v>
      </c>
      <c r="X239" s="247">
        <f>Z239</f>
        <v>46382</v>
      </c>
      <c r="Y239" s="251">
        <v>90</v>
      </c>
      <c r="Z239" s="253">
        <v>46382</v>
      </c>
      <c r="AA239" s="253">
        <v>46538</v>
      </c>
      <c r="AB239" s="254">
        <f>Z239-X240</f>
        <v>0</v>
      </c>
      <c r="AC239" s="255">
        <f>IF(ISERROR(LOOKUP(AC$16,$L239:$X239,#REF!)),0,(LOOKUP(AC$16,$L239:$X239,#REF!)))</f>
        <v>0</v>
      </c>
      <c r="AD239" s="256">
        <f>IF(ISERROR(LOOKUP(AD$16,$L239:$X239,#REF!)),0,(LOOKUP(AD$16,$L239:$X239,#REF!)))</f>
        <v>0</v>
      </c>
      <c r="AE239" s="256">
        <f>IF(ISERROR(LOOKUP(AE$16,$L239:$X239,#REF!)),0,(LOOKUP(AE$16,$L239:$X239,#REF!)))</f>
        <v>0</v>
      </c>
      <c r="AF239" s="256">
        <f>IF(ISERROR(LOOKUP(AF$16,$L239:$X239,#REF!)),0,(LOOKUP(AF$16,$L239:$X239,#REF!)))</f>
        <v>0</v>
      </c>
      <c r="AG239" s="256">
        <f>IF(ISERROR(LOOKUP(AG$16,$L239:$X239,#REF!)),0,(LOOKUP(AG$16,$L239:$X239,#REF!)))</f>
        <v>0</v>
      </c>
      <c r="AH239" s="256">
        <f>IF(ISERROR(LOOKUP(AH$16,$L239:$X239,#REF!)),0,(LOOKUP(AH$16,$L239:$X239,#REF!)))</f>
        <v>0</v>
      </c>
      <c r="AI239" s="256">
        <f>IF(ISERROR(LOOKUP(AI$16,$L239:$X239,#REF!)),0,(LOOKUP(AI$16,$L239:$X239,#REF!)))</f>
        <v>0</v>
      </c>
      <c r="AJ239" s="256">
        <f>IF(ISERROR(LOOKUP(AJ$16,$L239:$X239,#REF!)),0,(LOOKUP(AJ$16,$L239:$X239,#REF!)))</f>
        <v>0</v>
      </c>
      <c r="AK239" s="256">
        <f>IF(ISERROR(LOOKUP(AK$16,$L239:$X239,#REF!)),0,(LOOKUP(AK$16,$L239:$X239,#REF!)))</f>
        <v>0</v>
      </c>
      <c r="AL239" s="256">
        <f>IF(ISERROR(LOOKUP(AL$16,$L239:$X239,#REF!)),0,(LOOKUP(AL$16,$L239:$X239,#REF!)))</f>
        <v>0</v>
      </c>
      <c r="AM239" s="256">
        <f ca="1">IF(ISERROR(LOOKUP(AM$16,$L239:$X239,#REF!)),0,(LOOKUP(AM$16,$L239:$X239,#REF!)))</f>
        <v>0</v>
      </c>
      <c r="AP239" s="247" t="e">
        <f>WORKDAY(AQ239,-INDEX(AQ$12:AQ$15,MATCH($I239,$I$12:$I$15,0)),$AW$17:$AW$148)</f>
        <v>#REF!</v>
      </c>
      <c r="AQ239" s="247" t="e">
        <f>WORKDAY(U239,-INDEX(U$12:U$15,MATCH($I239,$I$12:$I$15,0)),$AW$17:$AW$148)</f>
        <v>#REF!</v>
      </c>
      <c r="AR239" s="247" t="e">
        <f>WORKDAY(U239,-INDEX(U$12:U$15,MATCH($I239,$I$12:$I$15,0)),$AW$17:$AW$148)</f>
        <v>#REF!</v>
      </c>
      <c r="AS239" s="257">
        <v>7</v>
      </c>
      <c r="AW239" s="258"/>
    </row>
    <row r="240" s="195" customFormat="1" ht="18" customHeight="1" spans="1:49">
      <c r="A240" s="241"/>
      <c r="B240" s="259"/>
      <c r="C240" s="243"/>
      <c r="D240" s="243" t="s">
        <v>4865</v>
      </c>
      <c r="E240" s="243"/>
      <c r="F240" s="243" t="str">
        <f>F239</f>
        <v>Piping</v>
      </c>
      <c r="G240" s="243" t="str">
        <f>G239</f>
        <v>N</v>
      </c>
      <c r="H240" s="260"/>
      <c r="I240" s="243" t="str">
        <f>I239</f>
        <v>LD</v>
      </c>
      <c r="J240" s="303" t="s">
        <v>64</v>
      </c>
      <c r="K240" s="247">
        <f>K239</f>
        <v>46248</v>
      </c>
      <c r="L240" s="247">
        <f>WORKDAY(IF(K241="",K240,K241),INDEX(L$12:L$15,MATCH($I239,$I$12:$I$15,0)))</f>
        <v>46253</v>
      </c>
      <c r="M240" s="247">
        <f>WORKDAY(IF(L241="",L240,L241),INDEX(M$12:M$15,MATCH($I239,$I$12:$I$15,0)))</f>
        <v>46260</v>
      </c>
      <c r="N240" s="247">
        <f>WORKDAY(IF(M241="",M240,M241),INDEX(N$12:N$15,MATCH($I239,$I$12:$I$15,0)))</f>
        <v>46261</v>
      </c>
      <c r="O240" s="247">
        <f>WORKDAY(IF(N241="",N240,N241),INDEX(O$12:O$15,MATCH($I239,$I$12:$I$15,0)))</f>
        <v>46266</v>
      </c>
      <c r="P240" s="248"/>
      <c r="Q240" s="249"/>
      <c r="R240" s="247">
        <f>WORKDAY(IF(O241="",O240,O241),INDEX(R$12:R$15,MATCH($I239,$I$12:$I$15,0)))</f>
        <v>46273</v>
      </c>
      <c r="S240" s="247">
        <f>WORKDAY(IF(R241="",R240,R241),INDEX(S$12:S$15,MATCH($I239,$I$12:$I$15,0)))</f>
        <v>46282</v>
      </c>
      <c r="T240" s="247">
        <f>WORKDAY(IF(S241="",S240,S241),INDEX(T$12:T$15,MATCH($I239,$I$12:$I$15,0)))</f>
        <v>46286</v>
      </c>
      <c r="U240" s="247">
        <f>WORKDAY(IF(T241="",T240,T241),INDEX(U$12:U$15,MATCH($I239,$I$12:$I$15,0)))-1</f>
        <v>46292</v>
      </c>
      <c r="V240" s="247">
        <f>WORKDAY(IF(U241="",U240,U241),INDEX(V$12:V$15,MATCH($I239,$I$12:$I$15,0)))</f>
        <v>46294</v>
      </c>
      <c r="W240" s="250"/>
      <c r="X240" s="247">
        <f>U240+Y239</f>
        <v>46382</v>
      </c>
      <c r="Y240" s="251"/>
      <c r="Z240" s="253"/>
      <c r="AA240" s="253"/>
      <c r="AB240" s="254"/>
      <c r="AC240" s="255">
        <f>IF(ISERROR(LOOKUP(AC$16,$L240:$X240,#REF!)),0,(LOOKUP(AC$16,$L240:$X240,#REF!)))</f>
        <v>0</v>
      </c>
      <c r="AD240" s="256">
        <f>IF(ISERROR(LOOKUP(AD$16,$L240:$X240,#REF!)),0,(LOOKUP(AD$16,$L240:$X240,#REF!)))</f>
        <v>0</v>
      </c>
      <c r="AE240" s="256">
        <f>IF(ISERROR(LOOKUP(AE$16,$L240:$X240,#REF!)),0,(LOOKUP(AE$16,$L240:$X240,#REF!)))</f>
        <v>0</v>
      </c>
      <c r="AF240" s="256">
        <f>IF(ISERROR(LOOKUP(AF$16,$L240:$X240,#REF!)),0,(LOOKUP(AF$16,$L240:$X240,#REF!)))</f>
        <v>0</v>
      </c>
      <c r="AG240" s="256">
        <f>IF(ISERROR(LOOKUP(AG$16,$L240:$X240,#REF!)),0,(LOOKUP(AG$16,$L240:$X240,#REF!)))</f>
        <v>0</v>
      </c>
      <c r="AH240" s="256">
        <f>IF(ISERROR(LOOKUP(AH$16,$L240:$X240,#REF!)),0,(LOOKUP(AH$16,$L240:$X240,#REF!)))</f>
        <v>0</v>
      </c>
      <c r="AI240" s="256">
        <f>IF(ISERROR(LOOKUP(AI$16,$L240:$X240,#REF!)),0,(LOOKUP(AI$16,$L240:$X240,#REF!)))</f>
        <v>0</v>
      </c>
      <c r="AJ240" s="256">
        <f>IF(ISERROR(LOOKUP(AJ$16,$L240:$X240,#REF!)),0,(LOOKUP(AJ$16,$L240:$X240,#REF!)))</f>
        <v>0</v>
      </c>
      <c r="AK240" s="256">
        <f>IF(ISERROR(LOOKUP(AK$16,$L240:$X240,#REF!)),0,(LOOKUP(AK$16,$L240:$X240,#REF!)))</f>
        <v>0</v>
      </c>
      <c r="AL240" s="256">
        <f>IF(ISERROR(LOOKUP(AL$16,$L240:$X240,#REF!)),0,(LOOKUP(AL$16,$L240:$X240,#REF!)))</f>
        <v>0</v>
      </c>
      <c r="AM240" s="256">
        <f ca="1">IF(ISERROR(LOOKUP(AM$16,$L240:$X240,#REF!)),0,(LOOKUP(AM$16,$L240:$X240,#REF!)))</f>
        <v>0</v>
      </c>
      <c r="AP240" s="247" t="e">
        <f>WORKDAY(IF(T241="",T240,T241),INDEX(AP$12:AP$15,MATCH($I239,$I$12:$I$15,0)),$AW$17:$AW$148)</f>
        <v>#REF!</v>
      </c>
      <c r="AQ240" s="247" t="e">
        <f>WORKDAY(IF(AP241="",AP240,AP241),INDEX(AQ$12:AQ$15,MATCH($I239,$I$12:$I$15,0)),$AW$17:$AW$148)</f>
        <v>#REF!</v>
      </c>
      <c r="AR240" s="247" t="e">
        <f>WORKDAY(IF(AQ241="",AQ240,AQ241),INDEX(AR$12:AR$15,MATCH($I239,$I$12:$I$15,0)),$AW$17:$AW$148)</f>
        <v>#REF!</v>
      </c>
      <c r="AS240" s="257"/>
      <c r="AW240" s="258"/>
    </row>
    <row r="241" s="195" customFormat="1" ht="18" customHeight="1" spans="1:49">
      <c r="A241" s="241"/>
      <c r="B241" s="262"/>
      <c r="C241" s="243"/>
      <c r="D241" s="243" t="s">
        <v>4865</v>
      </c>
      <c r="E241" s="243"/>
      <c r="F241" s="243" t="str">
        <f>F239</f>
        <v>Piping</v>
      </c>
      <c r="G241" s="243" t="str">
        <f>G239</f>
        <v>N</v>
      </c>
      <c r="H241" s="263"/>
      <c r="I241" s="243" t="str">
        <f>I239</f>
        <v>LD</v>
      </c>
      <c r="J241" s="303" t="s">
        <v>66</v>
      </c>
      <c r="K241" s="243"/>
      <c r="L241" s="243"/>
      <c r="M241" s="243"/>
      <c r="N241" s="243"/>
      <c r="O241" s="243"/>
      <c r="P241" s="265"/>
      <c r="Q241" s="266"/>
      <c r="R241" s="243"/>
      <c r="S241" s="243"/>
      <c r="T241" s="243"/>
      <c r="U241" s="243"/>
      <c r="V241" s="243"/>
      <c r="W241" s="267"/>
      <c r="X241" s="243"/>
      <c r="Y241" s="251"/>
      <c r="Z241" s="253"/>
      <c r="AA241" s="253"/>
      <c r="AB241" s="254"/>
      <c r="AC241" s="268">
        <f>IF(ISERROR(LOOKUP(AC$16,$L241:$X241,#REF!)),0,(LOOKUP(AC$16,$L241:$X241,#REF!)))</f>
        <v>0</v>
      </c>
      <c r="AD241" s="269">
        <f>IF(ISERROR(LOOKUP(AD$16,$L241:$X241,#REF!)),0,(LOOKUP(AD$16,$L241:$X241,#REF!)))</f>
        <v>0</v>
      </c>
      <c r="AE241" s="269">
        <f>IF(ISERROR(LOOKUP(AE$16,$L241:$X241,#REF!)),0,(LOOKUP(AE$16,$L241:$X241,#REF!)))</f>
        <v>0</v>
      </c>
      <c r="AF241" s="269">
        <f>IF(ISERROR(LOOKUP(AF$16,$L241:$X241,#REF!)),0,(LOOKUP(AF$16,$L241:$X241,#REF!)))</f>
        <v>0</v>
      </c>
      <c r="AG241" s="269">
        <f>IF(ISERROR(LOOKUP(AG$16,$L241:$X241,#REF!)),0,(LOOKUP(AG$16,$L241:$X241,#REF!)))</f>
        <v>0</v>
      </c>
      <c r="AH241" s="269">
        <f>IF(ISERROR(LOOKUP(AH$16,$L241:$X241,#REF!)),0,(LOOKUP(AH$16,$L241:$X241,#REF!)))</f>
        <v>0</v>
      </c>
      <c r="AI241" s="269">
        <f>IF(ISERROR(LOOKUP(AI$16,$L241:$X241,#REF!)),0,(LOOKUP(AI$16,$L241:$X241,#REF!)))</f>
        <v>0</v>
      </c>
      <c r="AJ241" s="269">
        <f>IF(ISERROR(LOOKUP(AJ$16,$L241:$X241,#REF!)),0,(LOOKUP(AJ$16,$L241:$X241,#REF!)))</f>
        <v>0</v>
      </c>
      <c r="AK241" s="269">
        <f>IF(ISERROR(LOOKUP(AK$16,$L241:$X241,#REF!)),0,(LOOKUP(AK$16,$L241:$X241,#REF!)))</f>
        <v>0</v>
      </c>
      <c r="AL241" s="269">
        <f>IF(ISERROR(LOOKUP(AL$16,$L241:$X241,#REF!)),0,(LOOKUP(AL$16,$L241:$X241,#REF!)))</f>
        <v>0</v>
      </c>
      <c r="AM241" s="269">
        <f ca="1">IF(ISERROR(LOOKUP(AM$16,$L241:$X241,#REF!)),0,(LOOKUP(AM$16,$L241:$X241,#REF!)))</f>
        <v>0</v>
      </c>
      <c r="AP241" s="301"/>
      <c r="AQ241" s="301"/>
      <c r="AR241" s="301"/>
      <c r="AS241" s="257"/>
      <c r="AW241" s="258"/>
    </row>
    <row r="242" s="195" customFormat="1" ht="18" customHeight="1" spans="1:49">
      <c r="A242" s="241"/>
      <c r="B242" s="242"/>
      <c r="C242" s="243"/>
      <c r="D242" s="243" t="s">
        <v>4866</v>
      </c>
      <c r="E242" s="243"/>
      <c r="F242" s="243" t="s">
        <v>85</v>
      </c>
      <c r="G242" s="243" t="s">
        <v>72</v>
      </c>
      <c r="H242" s="244"/>
      <c r="I242" s="243" t="s">
        <v>9</v>
      </c>
      <c r="J242" s="303" t="s">
        <v>4769</v>
      </c>
      <c r="K242" s="247">
        <f>WORKDAY(L242,-INDEX(L$12:L$15,MATCH($I242,$I$12:$I$15,0)))</f>
        <v>46219</v>
      </c>
      <c r="L242" s="247">
        <f>WORKDAY(M242,-INDEX(M$12:M$15,MATCH($I242,$I$12:$I$15,0)))</f>
        <v>46224</v>
      </c>
      <c r="M242" s="247">
        <f>WORKDAY(N242,-INDEX(N$12:N$15,MATCH($I242,$I$12:$I$15,0)))</f>
        <v>46231</v>
      </c>
      <c r="N242" s="247">
        <f>WORKDAY(O242,-INDEX(O$12:O$15,MATCH($I242,$I$12:$I$15,0)))</f>
        <v>46232</v>
      </c>
      <c r="O242" s="247">
        <f>WORKDAY(R242,-INDEX(R$12:R$15,MATCH($I242,$I$12:$I$15,0)))</f>
        <v>46237</v>
      </c>
      <c r="P242" s="248">
        <f>U242-L242</f>
        <v>38</v>
      </c>
      <c r="Q242" s="249"/>
      <c r="R242" s="247">
        <f>WORKDAY(S242,-INDEX(S$12:S$15,MATCH($I242,$I$12:$I$15,0)))</f>
        <v>46244</v>
      </c>
      <c r="S242" s="247">
        <f>WORKDAY(T242,-INDEX(T$12:T$15,MATCH($I242,$I$12:$I$15,0)))</f>
        <v>46253</v>
      </c>
      <c r="T242" s="247">
        <f>WORKDAY(U242,-INDEX(U$12:U$15,MATCH($I242,$I$12:$I$15,0)))</f>
        <v>46255</v>
      </c>
      <c r="U242" s="247">
        <f>X242-Y242</f>
        <v>46262</v>
      </c>
      <c r="V242" s="247">
        <f>WORKDAY(U242,INDEX(V$12:V$15,MATCH($I242,$I$12:$I$15,0)))</f>
        <v>46266</v>
      </c>
      <c r="W242" s="250">
        <f>Y242/7</f>
        <v>17.1428571428571</v>
      </c>
      <c r="X242" s="247">
        <f>Z242</f>
        <v>46382</v>
      </c>
      <c r="Y242" s="251">
        <v>120</v>
      </c>
      <c r="Z242" s="253">
        <v>46382</v>
      </c>
      <c r="AA242" s="253">
        <v>46538</v>
      </c>
      <c r="AB242" s="254">
        <f>Z242-X243</f>
        <v>0</v>
      </c>
      <c r="AC242" s="255">
        <f>IF(ISERROR(LOOKUP(AC$16,$L242:$X242,#REF!)),0,(LOOKUP(AC$16,$L242:$X242,#REF!)))</f>
        <v>0</v>
      </c>
      <c r="AD242" s="256">
        <f>IF(ISERROR(LOOKUP(AD$16,$L242:$X242,#REF!)),0,(LOOKUP(AD$16,$L242:$X242,#REF!)))</f>
        <v>0</v>
      </c>
      <c r="AE242" s="256">
        <f>IF(ISERROR(LOOKUP(AE$16,$L242:$X242,#REF!)),0,(LOOKUP(AE$16,$L242:$X242,#REF!)))</f>
        <v>0</v>
      </c>
      <c r="AF242" s="256">
        <f>IF(ISERROR(LOOKUP(AF$16,$L242:$X242,#REF!)),0,(LOOKUP(AF$16,$L242:$X242,#REF!)))</f>
        <v>0</v>
      </c>
      <c r="AG242" s="256">
        <f>IF(ISERROR(LOOKUP(AG$16,$L242:$X242,#REF!)),0,(LOOKUP(AG$16,$L242:$X242,#REF!)))</f>
        <v>0</v>
      </c>
      <c r="AH242" s="256">
        <f>IF(ISERROR(LOOKUP(AH$16,$L242:$X242,#REF!)),0,(LOOKUP(AH$16,$L242:$X242,#REF!)))</f>
        <v>0</v>
      </c>
      <c r="AI242" s="256">
        <f>IF(ISERROR(LOOKUP(AI$16,$L242:$X242,#REF!)),0,(LOOKUP(AI$16,$L242:$X242,#REF!)))</f>
        <v>0</v>
      </c>
      <c r="AJ242" s="256">
        <f>IF(ISERROR(LOOKUP(AJ$16,$L242:$X242,#REF!)),0,(LOOKUP(AJ$16,$L242:$X242,#REF!)))</f>
        <v>0</v>
      </c>
      <c r="AK242" s="256">
        <f>IF(ISERROR(LOOKUP(AK$16,$L242:$X242,#REF!)),0,(LOOKUP(AK$16,$L242:$X242,#REF!)))</f>
        <v>0</v>
      </c>
      <c r="AL242" s="256">
        <f>IF(ISERROR(LOOKUP(AL$16,$L242:$X242,#REF!)),0,(LOOKUP(AL$16,$L242:$X242,#REF!)))</f>
        <v>0</v>
      </c>
      <c r="AM242" s="256">
        <f ca="1">IF(ISERROR(LOOKUP(AM$16,$L242:$X242,#REF!)),0,(LOOKUP(AM$16,$L242:$X242,#REF!)))</f>
        <v>0</v>
      </c>
      <c r="AP242" s="247" t="e">
        <f>WORKDAY(AQ242,-INDEX(AQ$12:AQ$15,MATCH($I242,$I$12:$I$15,0)),$AW$17:$AW$148)</f>
        <v>#REF!</v>
      </c>
      <c r="AQ242" s="247" t="e">
        <f>WORKDAY(U242,-INDEX(U$12:U$15,MATCH($I242,$I$12:$I$15,0)),$AW$17:$AW$148)</f>
        <v>#REF!</v>
      </c>
      <c r="AR242" s="247" t="e">
        <f>WORKDAY(U242,-INDEX(U$12:U$15,MATCH($I242,$I$12:$I$15,0)),$AW$17:$AW$148)</f>
        <v>#REF!</v>
      </c>
      <c r="AS242" s="257">
        <v>7</v>
      </c>
      <c r="AW242" s="258"/>
    </row>
    <row r="243" s="195" customFormat="1" ht="18" customHeight="1" spans="1:49">
      <c r="A243" s="241"/>
      <c r="B243" s="259"/>
      <c r="C243" s="243"/>
      <c r="D243" s="243" t="s">
        <v>4866</v>
      </c>
      <c r="E243" s="243"/>
      <c r="F243" s="243" t="str">
        <f>F242</f>
        <v>Piping</v>
      </c>
      <c r="G243" s="243" t="str">
        <f>G242</f>
        <v>N</v>
      </c>
      <c r="H243" s="260"/>
      <c r="I243" s="243" t="str">
        <f>I242</f>
        <v>LD</v>
      </c>
      <c r="J243" s="303" t="s">
        <v>64</v>
      </c>
      <c r="K243" s="247">
        <f>K242</f>
        <v>46219</v>
      </c>
      <c r="L243" s="247">
        <f>WORKDAY(IF(K244="",K243,K244),INDEX(L$12:L$15,MATCH($I242,$I$12:$I$15,0)))</f>
        <v>46224</v>
      </c>
      <c r="M243" s="247">
        <f>WORKDAY(IF(L244="",L243,L244),INDEX(M$12:M$15,MATCH($I242,$I$12:$I$15,0)))</f>
        <v>46231</v>
      </c>
      <c r="N243" s="247">
        <f>WORKDAY(IF(M244="",M243,M244),INDEX(N$12:N$15,MATCH($I242,$I$12:$I$15,0)))</f>
        <v>46232</v>
      </c>
      <c r="O243" s="247">
        <f>WORKDAY(IF(N244="",N243,N244),INDEX(O$12:O$15,MATCH($I242,$I$12:$I$15,0)))</f>
        <v>46237</v>
      </c>
      <c r="P243" s="248"/>
      <c r="Q243" s="249"/>
      <c r="R243" s="247">
        <f>WORKDAY(IF(O244="",O243,O244),INDEX(R$12:R$15,MATCH($I242,$I$12:$I$15,0)))</f>
        <v>46244</v>
      </c>
      <c r="S243" s="247">
        <f>WORKDAY(IF(R244="",R243,R244),INDEX(S$12:S$15,MATCH($I242,$I$12:$I$15,0)))</f>
        <v>46253</v>
      </c>
      <c r="T243" s="247">
        <f>WORKDAY(IF(S244="",S243,S244),INDEX(T$12:T$15,MATCH($I242,$I$12:$I$15,0)))</f>
        <v>46255</v>
      </c>
      <c r="U243" s="247">
        <f>WORKDAY(IF(T244="",T243,T244),INDEX(U$12:U$15,MATCH($I242,$I$12:$I$15,0)))</f>
        <v>46262</v>
      </c>
      <c r="V243" s="247">
        <f>WORKDAY(IF(U244="",U243,U244),INDEX(V$12:V$15,MATCH($I242,$I$12:$I$15,0)))</f>
        <v>46266</v>
      </c>
      <c r="W243" s="250"/>
      <c r="X243" s="247">
        <f>U243+Y242</f>
        <v>46382</v>
      </c>
      <c r="Y243" s="251"/>
      <c r="Z243" s="253"/>
      <c r="AA243" s="253"/>
      <c r="AB243" s="254"/>
      <c r="AC243" s="255">
        <f>IF(ISERROR(LOOKUP(AC$16,$L243:$X243,#REF!)),0,(LOOKUP(AC$16,$L243:$X243,#REF!)))</f>
        <v>0</v>
      </c>
      <c r="AD243" s="256">
        <f>IF(ISERROR(LOOKUP(AD$16,$L243:$X243,#REF!)),0,(LOOKUP(AD$16,$L243:$X243,#REF!)))</f>
        <v>0</v>
      </c>
      <c r="AE243" s="256">
        <f>IF(ISERROR(LOOKUP(AE$16,$L243:$X243,#REF!)),0,(LOOKUP(AE$16,$L243:$X243,#REF!)))</f>
        <v>0</v>
      </c>
      <c r="AF243" s="256">
        <f>IF(ISERROR(LOOKUP(AF$16,$L243:$X243,#REF!)),0,(LOOKUP(AF$16,$L243:$X243,#REF!)))</f>
        <v>0</v>
      </c>
      <c r="AG243" s="256">
        <f>IF(ISERROR(LOOKUP(AG$16,$L243:$X243,#REF!)),0,(LOOKUP(AG$16,$L243:$X243,#REF!)))</f>
        <v>0</v>
      </c>
      <c r="AH243" s="256">
        <f>IF(ISERROR(LOOKUP(AH$16,$L243:$X243,#REF!)),0,(LOOKUP(AH$16,$L243:$X243,#REF!)))</f>
        <v>0</v>
      </c>
      <c r="AI243" s="256">
        <f>IF(ISERROR(LOOKUP(AI$16,$L243:$X243,#REF!)),0,(LOOKUP(AI$16,$L243:$X243,#REF!)))</f>
        <v>0</v>
      </c>
      <c r="AJ243" s="256">
        <f>IF(ISERROR(LOOKUP(AJ$16,$L243:$X243,#REF!)),0,(LOOKUP(AJ$16,$L243:$X243,#REF!)))</f>
        <v>0</v>
      </c>
      <c r="AK243" s="256">
        <f>IF(ISERROR(LOOKUP(AK$16,$L243:$X243,#REF!)),0,(LOOKUP(AK$16,$L243:$X243,#REF!)))</f>
        <v>0</v>
      </c>
      <c r="AL243" s="256">
        <f>IF(ISERROR(LOOKUP(AL$16,$L243:$X243,#REF!)),0,(LOOKUP(AL$16,$L243:$X243,#REF!)))</f>
        <v>0</v>
      </c>
      <c r="AM243" s="256">
        <f ca="1">IF(ISERROR(LOOKUP(AM$16,$L243:$X243,#REF!)),0,(LOOKUP(AM$16,$L243:$X243,#REF!)))</f>
        <v>0</v>
      </c>
      <c r="AP243" s="247" t="e">
        <f>WORKDAY(IF(T244="",T243,T244),INDEX(AP$12:AP$15,MATCH($I242,$I$12:$I$15,0)),$AW$17:$AW$148)</f>
        <v>#REF!</v>
      </c>
      <c r="AQ243" s="247" t="e">
        <f>WORKDAY(IF(AP244="",AP243,AP244),INDEX(AQ$12:AQ$15,MATCH($I242,$I$12:$I$15,0)),$AW$17:$AW$148)</f>
        <v>#REF!</v>
      </c>
      <c r="AR243" s="247" t="e">
        <f>WORKDAY(IF(AQ244="",AQ243,AQ244),INDEX(AR$12:AR$15,MATCH($I242,$I$12:$I$15,0)),$AW$17:$AW$148)</f>
        <v>#REF!</v>
      </c>
      <c r="AS243" s="257"/>
      <c r="AW243" s="258"/>
    </row>
    <row r="244" s="195" customFormat="1" ht="18" customHeight="1" spans="1:49">
      <c r="A244" s="241"/>
      <c r="B244" s="262"/>
      <c r="C244" s="243"/>
      <c r="D244" s="243" t="s">
        <v>4866</v>
      </c>
      <c r="E244" s="243"/>
      <c r="F244" s="243" t="str">
        <f>F242</f>
        <v>Piping</v>
      </c>
      <c r="G244" s="243" t="str">
        <f>G242</f>
        <v>N</v>
      </c>
      <c r="H244" s="263"/>
      <c r="I244" s="243" t="str">
        <f>I242</f>
        <v>LD</v>
      </c>
      <c r="J244" s="303" t="s">
        <v>66</v>
      </c>
      <c r="K244" s="243"/>
      <c r="L244" s="243"/>
      <c r="M244" s="243"/>
      <c r="N244" s="243"/>
      <c r="O244" s="243"/>
      <c r="P244" s="265"/>
      <c r="Q244" s="266"/>
      <c r="R244" s="243"/>
      <c r="S244" s="243"/>
      <c r="T244" s="243"/>
      <c r="U244" s="243"/>
      <c r="V244" s="243"/>
      <c r="W244" s="267"/>
      <c r="X244" s="243"/>
      <c r="Y244" s="251"/>
      <c r="Z244" s="253"/>
      <c r="AA244" s="253"/>
      <c r="AB244" s="254"/>
      <c r="AC244" s="268">
        <f>IF(ISERROR(LOOKUP(AC$16,$L244:$X244,#REF!)),0,(LOOKUP(AC$16,$L244:$X244,#REF!)))</f>
        <v>0</v>
      </c>
      <c r="AD244" s="269">
        <f>IF(ISERROR(LOOKUP(AD$16,$L244:$X244,#REF!)),0,(LOOKUP(AD$16,$L244:$X244,#REF!)))</f>
        <v>0</v>
      </c>
      <c r="AE244" s="269">
        <f>IF(ISERROR(LOOKUP(AE$16,$L244:$X244,#REF!)),0,(LOOKUP(AE$16,$L244:$X244,#REF!)))</f>
        <v>0</v>
      </c>
      <c r="AF244" s="269">
        <f>IF(ISERROR(LOOKUP(AF$16,$L244:$X244,#REF!)),0,(LOOKUP(AF$16,$L244:$X244,#REF!)))</f>
        <v>0</v>
      </c>
      <c r="AG244" s="269">
        <f>IF(ISERROR(LOOKUP(AG$16,$L244:$X244,#REF!)),0,(LOOKUP(AG$16,$L244:$X244,#REF!)))</f>
        <v>0</v>
      </c>
      <c r="AH244" s="269">
        <f>IF(ISERROR(LOOKUP(AH$16,$L244:$X244,#REF!)),0,(LOOKUP(AH$16,$L244:$X244,#REF!)))</f>
        <v>0</v>
      </c>
      <c r="AI244" s="269">
        <f>IF(ISERROR(LOOKUP(AI$16,$L244:$X244,#REF!)),0,(LOOKUP(AI$16,$L244:$X244,#REF!)))</f>
        <v>0</v>
      </c>
      <c r="AJ244" s="269">
        <f>IF(ISERROR(LOOKUP(AJ$16,$L244:$X244,#REF!)),0,(LOOKUP(AJ$16,$L244:$X244,#REF!)))</f>
        <v>0</v>
      </c>
      <c r="AK244" s="269">
        <f>IF(ISERROR(LOOKUP(AK$16,$L244:$X244,#REF!)),0,(LOOKUP(AK$16,$L244:$X244,#REF!)))</f>
        <v>0</v>
      </c>
      <c r="AL244" s="269">
        <f>IF(ISERROR(LOOKUP(AL$16,$L244:$X244,#REF!)),0,(LOOKUP(AL$16,$L244:$X244,#REF!)))</f>
        <v>0</v>
      </c>
      <c r="AM244" s="269">
        <f ca="1">IF(ISERROR(LOOKUP(AM$16,$L244:$X244,#REF!)),0,(LOOKUP(AM$16,$L244:$X244,#REF!)))</f>
        <v>0</v>
      </c>
      <c r="AP244" s="301"/>
      <c r="AQ244" s="301"/>
      <c r="AR244" s="301"/>
      <c r="AS244" s="257"/>
      <c r="AW244" s="258"/>
    </row>
    <row r="245" s="195" customFormat="1" ht="18" customHeight="1" spans="1:49">
      <c r="A245" s="241"/>
      <c r="B245" s="242"/>
      <c r="C245" s="243"/>
      <c r="D245" s="243" t="s">
        <v>292</v>
      </c>
      <c r="E245" s="243"/>
      <c r="F245" s="243" t="s">
        <v>85</v>
      </c>
      <c r="G245" s="243" t="s">
        <v>72</v>
      </c>
      <c r="H245" s="244"/>
      <c r="I245" s="243" t="s">
        <v>9</v>
      </c>
      <c r="J245" s="303" t="s">
        <v>4769</v>
      </c>
      <c r="K245" s="247">
        <f>WORKDAY(L245,-INDEX(L$12:L$15,MATCH($I245,$I$12:$I$15,0)))</f>
        <v>46219</v>
      </c>
      <c r="L245" s="247">
        <f>WORKDAY(M245,-INDEX(M$12:M$15,MATCH($I245,$I$12:$I$15,0)))</f>
        <v>46224</v>
      </c>
      <c r="M245" s="247">
        <f>WORKDAY(N245,-INDEX(N$12:N$15,MATCH($I245,$I$12:$I$15,0)))</f>
        <v>46231</v>
      </c>
      <c r="N245" s="247">
        <f>WORKDAY(O245,-INDEX(O$12:O$15,MATCH($I245,$I$12:$I$15,0)))</f>
        <v>46232</v>
      </c>
      <c r="O245" s="247">
        <f>WORKDAY(R245,-INDEX(R$12:R$15,MATCH($I245,$I$12:$I$15,0)))</f>
        <v>46237</v>
      </c>
      <c r="P245" s="248">
        <f>U245-L245</f>
        <v>38</v>
      </c>
      <c r="Q245" s="249"/>
      <c r="R245" s="247">
        <f>WORKDAY(S245,-INDEX(S$12:S$15,MATCH($I245,$I$12:$I$15,0)))</f>
        <v>46244</v>
      </c>
      <c r="S245" s="247">
        <f>WORKDAY(T245,-INDEX(T$12:T$15,MATCH($I245,$I$12:$I$15,0)))</f>
        <v>46253</v>
      </c>
      <c r="T245" s="247">
        <f>WORKDAY(U245,-INDEX(U$12:U$15,MATCH($I245,$I$12:$I$15,0)))</f>
        <v>46255</v>
      </c>
      <c r="U245" s="247">
        <f>X245-Y245</f>
        <v>46262</v>
      </c>
      <c r="V245" s="247">
        <f>WORKDAY(U245,INDEX(V$12:V$15,MATCH($I245,$I$12:$I$15,0)))</f>
        <v>46266</v>
      </c>
      <c r="W245" s="250">
        <f>Y245/7</f>
        <v>17.1428571428571</v>
      </c>
      <c r="X245" s="247">
        <f>Z245</f>
        <v>46382</v>
      </c>
      <c r="Y245" s="251">
        <v>120</v>
      </c>
      <c r="Z245" s="253">
        <v>46382</v>
      </c>
      <c r="AA245" s="253">
        <v>46538</v>
      </c>
      <c r="AB245" s="254">
        <f>Z245-X246</f>
        <v>0</v>
      </c>
      <c r="AC245" s="255">
        <f>IF(ISERROR(LOOKUP(AC$16,$L245:$X245,#REF!)),0,(LOOKUP(AC$16,$L245:$X245,#REF!)))</f>
        <v>0</v>
      </c>
      <c r="AD245" s="256">
        <f>IF(ISERROR(LOOKUP(AD$16,$L245:$X245,#REF!)),0,(LOOKUP(AD$16,$L245:$X245,#REF!)))</f>
        <v>0</v>
      </c>
      <c r="AE245" s="256">
        <f>IF(ISERROR(LOOKUP(AE$16,$L245:$X245,#REF!)),0,(LOOKUP(AE$16,$L245:$X245,#REF!)))</f>
        <v>0</v>
      </c>
      <c r="AF245" s="256">
        <f>IF(ISERROR(LOOKUP(AF$16,$L245:$X245,#REF!)),0,(LOOKUP(AF$16,$L245:$X245,#REF!)))</f>
        <v>0</v>
      </c>
      <c r="AG245" s="256">
        <f>IF(ISERROR(LOOKUP(AG$16,$L245:$X245,#REF!)),0,(LOOKUP(AG$16,$L245:$X245,#REF!)))</f>
        <v>0</v>
      </c>
      <c r="AH245" s="256">
        <f>IF(ISERROR(LOOKUP(AH$16,$L245:$X245,#REF!)),0,(LOOKUP(AH$16,$L245:$X245,#REF!)))</f>
        <v>0</v>
      </c>
      <c r="AI245" s="256">
        <f>IF(ISERROR(LOOKUP(AI$16,$L245:$X245,#REF!)),0,(LOOKUP(AI$16,$L245:$X245,#REF!)))</f>
        <v>0</v>
      </c>
      <c r="AJ245" s="256">
        <f>IF(ISERROR(LOOKUP(AJ$16,$L245:$X245,#REF!)),0,(LOOKUP(AJ$16,$L245:$X245,#REF!)))</f>
        <v>0</v>
      </c>
      <c r="AK245" s="256">
        <f>IF(ISERROR(LOOKUP(AK$16,$L245:$X245,#REF!)),0,(LOOKUP(AK$16,$L245:$X245,#REF!)))</f>
        <v>0</v>
      </c>
      <c r="AL245" s="256">
        <f>IF(ISERROR(LOOKUP(AL$16,$L245:$X245,#REF!)),0,(LOOKUP(AL$16,$L245:$X245,#REF!)))</f>
        <v>0</v>
      </c>
      <c r="AM245" s="256">
        <f ca="1">IF(ISERROR(LOOKUP(AM$16,$L245:$X245,#REF!)),0,(LOOKUP(AM$16,$L245:$X245,#REF!)))</f>
        <v>0</v>
      </c>
      <c r="AP245" s="247" t="e">
        <f>WORKDAY(AQ245,-INDEX(AQ$12:AQ$15,MATCH($I245,$I$12:$I$15,0)),$AW$17:$AW$148)</f>
        <v>#REF!</v>
      </c>
      <c r="AQ245" s="247" t="e">
        <f>WORKDAY(U245,-INDEX(U$12:U$15,MATCH($I245,$I$12:$I$15,0)),$AW$17:$AW$148)</f>
        <v>#REF!</v>
      </c>
      <c r="AR245" s="247" t="e">
        <f>WORKDAY(U245,-INDEX(U$12:U$15,MATCH($I245,$I$12:$I$15,0)),$AW$17:$AW$148)</f>
        <v>#REF!</v>
      </c>
      <c r="AS245" s="257">
        <v>7</v>
      </c>
      <c r="AW245" s="258"/>
    </row>
    <row r="246" s="195" customFormat="1" ht="18" customHeight="1" spans="1:49">
      <c r="A246" s="241"/>
      <c r="B246" s="259"/>
      <c r="C246" s="243"/>
      <c r="D246" s="243" t="s">
        <v>292</v>
      </c>
      <c r="E246" s="243"/>
      <c r="F246" s="243" t="str">
        <f>F245</f>
        <v>Piping</v>
      </c>
      <c r="G246" s="243" t="str">
        <f>G245</f>
        <v>N</v>
      </c>
      <c r="H246" s="260"/>
      <c r="I246" s="243" t="str">
        <f>I245</f>
        <v>LD</v>
      </c>
      <c r="J246" s="303" t="s">
        <v>64</v>
      </c>
      <c r="K246" s="247">
        <f>K245</f>
        <v>46219</v>
      </c>
      <c r="L246" s="247">
        <f>WORKDAY(IF(K247="",K246,K247),INDEX(L$12:L$15,MATCH($I245,$I$12:$I$15,0)))</f>
        <v>46224</v>
      </c>
      <c r="M246" s="247">
        <f>WORKDAY(IF(L247="",L246,L247),INDEX(M$12:M$15,MATCH($I245,$I$12:$I$15,0)))</f>
        <v>46231</v>
      </c>
      <c r="N246" s="247">
        <f>WORKDAY(IF(M247="",M246,M247),INDEX(N$12:N$15,MATCH($I245,$I$12:$I$15,0)))</f>
        <v>46232</v>
      </c>
      <c r="O246" s="247">
        <f>WORKDAY(IF(N247="",N246,N247),INDEX(O$12:O$15,MATCH($I245,$I$12:$I$15,0)))</f>
        <v>46237</v>
      </c>
      <c r="P246" s="248"/>
      <c r="Q246" s="249"/>
      <c r="R246" s="247">
        <f>WORKDAY(IF(O247="",O246,O247),INDEX(R$12:R$15,MATCH($I245,$I$12:$I$15,0)))</f>
        <v>46244</v>
      </c>
      <c r="S246" s="247">
        <f>WORKDAY(IF(R247="",R246,R247),INDEX(S$12:S$15,MATCH($I245,$I$12:$I$15,0)))</f>
        <v>46253</v>
      </c>
      <c r="T246" s="247">
        <f>WORKDAY(IF(S247="",S246,S247),INDEX(T$12:T$15,MATCH($I245,$I$12:$I$15,0)))</f>
        <v>46255</v>
      </c>
      <c r="U246" s="247">
        <f>WORKDAY(IF(T247="",T246,T247),INDEX(U$12:U$15,MATCH($I245,$I$12:$I$15,0)))</f>
        <v>46262</v>
      </c>
      <c r="V246" s="247">
        <f>WORKDAY(IF(U247="",U246,U247),INDEX(V$12:V$15,MATCH($I245,$I$12:$I$15,0)))</f>
        <v>46266</v>
      </c>
      <c r="W246" s="250"/>
      <c r="X246" s="247">
        <f>U246+Y245</f>
        <v>46382</v>
      </c>
      <c r="Y246" s="251"/>
      <c r="Z246" s="253"/>
      <c r="AA246" s="253"/>
      <c r="AB246" s="254"/>
      <c r="AC246" s="255">
        <f>IF(ISERROR(LOOKUP(AC$16,$L246:$X246,#REF!)),0,(LOOKUP(AC$16,$L246:$X246,#REF!)))</f>
        <v>0</v>
      </c>
      <c r="AD246" s="256">
        <f>IF(ISERROR(LOOKUP(AD$16,$L246:$X246,#REF!)),0,(LOOKUP(AD$16,$L246:$X246,#REF!)))</f>
        <v>0</v>
      </c>
      <c r="AE246" s="256">
        <f>IF(ISERROR(LOOKUP(AE$16,$L246:$X246,#REF!)),0,(LOOKUP(AE$16,$L246:$X246,#REF!)))</f>
        <v>0</v>
      </c>
      <c r="AF246" s="256">
        <f>IF(ISERROR(LOOKUP(AF$16,$L246:$X246,#REF!)),0,(LOOKUP(AF$16,$L246:$X246,#REF!)))</f>
        <v>0</v>
      </c>
      <c r="AG246" s="256">
        <f>IF(ISERROR(LOOKUP(AG$16,$L246:$X246,#REF!)),0,(LOOKUP(AG$16,$L246:$X246,#REF!)))</f>
        <v>0</v>
      </c>
      <c r="AH246" s="256">
        <f>IF(ISERROR(LOOKUP(AH$16,$L246:$X246,#REF!)),0,(LOOKUP(AH$16,$L246:$X246,#REF!)))</f>
        <v>0</v>
      </c>
      <c r="AI246" s="256">
        <f>IF(ISERROR(LOOKUP(AI$16,$L246:$X246,#REF!)),0,(LOOKUP(AI$16,$L246:$X246,#REF!)))</f>
        <v>0</v>
      </c>
      <c r="AJ246" s="256">
        <f>IF(ISERROR(LOOKUP(AJ$16,$L246:$X246,#REF!)),0,(LOOKUP(AJ$16,$L246:$X246,#REF!)))</f>
        <v>0</v>
      </c>
      <c r="AK246" s="256">
        <f>IF(ISERROR(LOOKUP(AK$16,$L246:$X246,#REF!)),0,(LOOKUP(AK$16,$L246:$X246,#REF!)))</f>
        <v>0</v>
      </c>
      <c r="AL246" s="256">
        <f>IF(ISERROR(LOOKUP(AL$16,$L246:$X246,#REF!)),0,(LOOKUP(AL$16,$L246:$X246,#REF!)))</f>
        <v>0</v>
      </c>
      <c r="AM246" s="256">
        <f ca="1">IF(ISERROR(LOOKUP(AM$16,$L246:$X246,#REF!)),0,(LOOKUP(AM$16,$L246:$X246,#REF!)))</f>
        <v>0</v>
      </c>
      <c r="AP246" s="247" t="e">
        <f>WORKDAY(IF(T247="",T246,T247),INDEX(AP$12:AP$15,MATCH($I245,$I$12:$I$15,0)),$AW$17:$AW$148)</f>
        <v>#REF!</v>
      </c>
      <c r="AQ246" s="247" t="e">
        <f>WORKDAY(IF(AP247="",AP246,AP247),INDEX(AQ$12:AQ$15,MATCH($I245,$I$12:$I$15,0)),$AW$17:$AW$148)</f>
        <v>#REF!</v>
      </c>
      <c r="AR246" s="247" t="e">
        <f>WORKDAY(IF(AQ247="",AQ246,AQ247),INDEX(AR$12:AR$15,MATCH($I245,$I$12:$I$15,0)),$AW$17:$AW$148)</f>
        <v>#REF!</v>
      </c>
      <c r="AS246" s="257"/>
      <c r="AW246" s="258"/>
    </row>
    <row r="247" s="195" customFormat="1" ht="18" customHeight="1" spans="1:49">
      <c r="A247" s="241"/>
      <c r="B247" s="262"/>
      <c r="C247" s="243"/>
      <c r="D247" s="243" t="s">
        <v>292</v>
      </c>
      <c r="E247" s="243"/>
      <c r="F247" s="243" t="str">
        <f>F245</f>
        <v>Piping</v>
      </c>
      <c r="G247" s="243" t="str">
        <f>G245</f>
        <v>N</v>
      </c>
      <c r="H247" s="263"/>
      <c r="I247" s="243" t="str">
        <f>I245</f>
        <v>LD</v>
      </c>
      <c r="J247" s="303" t="s">
        <v>66</v>
      </c>
      <c r="K247" s="243"/>
      <c r="L247" s="243"/>
      <c r="M247" s="243"/>
      <c r="N247" s="243"/>
      <c r="O247" s="243"/>
      <c r="P247" s="265"/>
      <c r="Q247" s="266"/>
      <c r="R247" s="243"/>
      <c r="S247" s="243"/>
      <c r="T247" s="243"/>
      <c r="U247" s="243"/>
      <c r="V247" s="243"/>
      <c r="W247" s="267"/>
      <c r="X247" s="243"/>
      <c r="Y247" s="251"/>
      <c r="Z247" s="253"/>
      <c r="AA247" s="253"/>
      <c r="AB247" s="254"/>
      <c r="AC247" s="268">
        <f>IF(ISERROR(LOOKUP(AC$16,$L247:$X247,#REF!)),0,(LOOKUP(AC$16,$L247:$X247,#REF!)))</f>
        <v>0</v>
      </c>
      <c r="AD247" s="269">
        <f>IF(ISERROR(LOOKUP(AD$16,$L247:$X247,#REF!)),0,(LOOKUP(AD$16,$L247:$X247,#REF!)))</f>
        <v>0</v>
      </c>
      <c r="AE247" s="269">
        <f>IF(ISERROR(LOOKUP(AE$16,$L247:$X247,#REF!)),0,(LOOKUP(AE$16,$L247:$X247,#REF!)))</f>
        <v>0</v>
      </c>
      <c r="AF247" s="269">
        <f>IF(ISERROR(LOOKUP(AF$16,$L247:$X247,#REF!)),0,(LOOKUP(AF$16,$L247:$X247,#REF!)))</f>
        <v>0</v>
      </c>
      <c r="AG247" s="269">
        <f>IF(ISERROR(LOOKUP(AG$16,$L247:$X247,#REF!)),0,(LOOKUP(AG$16,$L247:$X247,#REF!)))</f>
        <v>0</v>
      </c>
      <c r="AH247" s="269">
        <f>IF(ISERROR(LOOKUP(AH$16,$L247:$X247,#REF!)),0,(LOOKUP(AH$16,$L247:$X247,#REF!)))</f>
        <v>0</v>
      </c>
      <c r="AI247" s="269">
        <f>IF(ISERROR(LOOKUP(AI$16,$L247:$X247,#REF!)),0,(LOOKUP(AI$16,$L247:$X247,#REF!)))</f>
        <v>0</v>
      </c>
      <c r="AJ247" s="269">
        <f>IF(ISERROR(LOOKUP(AJ$16,$L247:$X247,#REF!)),0,(LOOKUP(AJ$16,$L247:$X247,#REF!)))</f>
        <v>0</v>
      </c>
      <c r="AK247" s="269">
        <f>IF(ISERROR(LOOKUP(AK$16,$L247:$X247,#REF!)),0,(LOOKUP(AK$16,$L247:$X247,#REF!)))</f>
        <v>0</v>
      </c>
      <c r="AL247" s="269">
        <f>IF(ISERROR(LOOKUP(AL$16,$L247:$X247,#REF!)),0,(LOOKUP(AL$16,$L247:$X247,#REF!)))</f>
        <v>0</v>
      </c>
      <c r="AM247" s="269">
        <f ca="1">IF(ISERROR(LOOKUP(AM$16,$L247:$X247,#REF!)),0,(LOOKUP(AM$16,$L247:$X247,#REF!)))</f>
        <v>0</v>
      </c>
      <c r="AP247" s="301"/>
      <c r="AQ247" s="301"/>
      <c r="AR247" s="301"/>
      <c r="AS247" s="257"/>
      <c r="AW247" s="258"/>
    </row>
  </sheetData>
  <autoFilter xmlns:etc="http://www.wps.cn/officeDocument/2017/etCustomData" ref="A16:BK247" etc:filterBottomFollowUsedRange="0">
    <extLst/>
  </autoFilter>
  <mergeCells count="908">
    <mergeCell ref="A17:A19"/>
    <mergeCell ref="A20:A22"/>
    <mergeCell ref="A23:A25"/>
    <mergeCell ref="A26:A28"/>
    <mergeCell ref="A29:A31"/>
    <mergeCell ref="A32:A34"/>
    <mergeCell ref="A35:A37"/>
    <mergeCell ref="A38:A40"/>
    <mergeCell ref="A41:A43"/>
    <mergeCell ref="A44:A46"/>
    <mergeCell ref="A47:A49"/>
    <mergeCell ref="A50:A52"/>
    <mergeCell ref="A53:A55"/>
    <mergeCell ref="A56:A58"/>
    <mergeCell ref="A59:A61"/>
    <mergeCell ref="A62:A64"/>
    <mergeCell ref="A65:A67"/>
    <mergeCell ref="A68:A70"/>
    <mergeCell ref="A71:A73"/>
    <mergeCell ref="A74:A76"/>
    <mergeCell ref="A77:A79"/>
    <mergeCell ref="A80:A82"/>
    <mergeCell ref="A83:A85"/>
    <mergeCell ref="A86:A88"/>
    <mergeCell ref="A89:A91"/>
    <mergeCell ref="A92:A94"/>
    <mergeCell ref="A95:A97"/>
    <mergeCell ref="A98:A100"/>
    <mergeCell ref="A101:A103"/>
    <mergeCell ref="A104:A106"/>
    <mergeCell ref="A107:A109"/>
    <mergeCell ref="A110:A112"/>
    <mergeCell ref="A113:A115"/>
    <mergeCell ref="A116:A118"/>
    <mergeCell ref="A119:A121"/>
    <mergeCell ref="A122:A124"/>
    <mergeCell ref="A125:A127"/>
    <mergeCell ref="A128:A130"/>
    <mergeCell ref="A131:A133"/>
    <mergeCell ref="A134:A136"/>
    <mergeCell ref="A137:A139"/>
    <mergeCell ref="A140:A142"/>
    <mergeCell ref="A143:A145"/>
    <mergeCell ref="A146:A148"/>
    <mergeCell ref="A149:A151"/>
    <mergeCell ref="A152:A154"/>
    <mergeCell ref="A155:A157"/>
    <mergeCell ref="A158:A160"/>
    <mergeCell ref="A161:A163"/>
    <mergeCell ref="A164:A166"/>
    <mergeCell ref="A167:A169"/>
    <mergeCell ref="A170:A172"/>
    <mergeCell ref="A173:A175"/>
    <mergeCell ref="A176:A178"/>
    <mergeCell ref="A179:A181"/>
    <mergeCell ref="A182:A184"/>
    <mergeCell ref="A185:A187"/>
    <mergeCell ref="A188:A190"/>
    <mergeCell ref="A191:A193"/>
    <mergeCell ref="A194:A196"/>
    <mergeCell ref="A197:A199"/>
    <mergeCell ref="A200:A202"/>
    <mergeCell ref="A203:A205"/>
    <mergeCell ref="A206:A208"/>
    <mergeCell ref="A209:A211"/>
    <mergeCell ref="A212:A214"/>
    <mergeCell ref="A215:A217"/>
    <mergeCell ref="A218:A220"/>
    <mergeCell ref="A221:A223"/>
    <mergeCell ref="A224:A226"/>
    <mergeCell ref="A227:A229"/>
    <mergeCell ref="A230:A232"/>
    <mergeCell ref="A233:A235"/>
    <mergeCell ref="A236:A238"/>
    <mergeCell ref="A239:A241"/>
    <mergeCell ref="A242:A244"/>
    <mergeCell ref="A245:A247"/>
    <mergeCell ref="B17:B19"/>
    <mergeCell ref="B20:B22"/>
    <mergeCell ref="B23:B25"/>
    <mergeCell ref="B26:B28"/>
    <mergeCell ref="B29:B31"/>
    <mergeCell ref="B32:B34"/>
    <mergeCell ref="B35:B37"/>
    <mergeCell ref="B38:B40"/>
    <mergeCell ref="B41:B43"/>
    <mergeCell ref="B44:B46"/>
    <mergeCell ref="B47:B49"/>
    <mergeCell ref="B50:B52"/>
    <mergeCell ref="B53:B55"/>
    <mergeCell ref="B56:B58"/>
    <mergeCell ref="B59:B61"/>
    <mergeCell ref="B62:B64"/>
    <mergeCell ref="B65:B67"/>
    <mergeCell ref="B68:B70"/>
    <mergeCell ref="B71:B73"/>
    <mergeCell ref="B74:B76"/>
    <mergeCell ref="B77:B79"/>
    <mergeCell ref="B80:B82"/>
    <mergeCell ref="B83:B85"/>
    <mergeCell ref="B86:B88"/>
    <mergeCell ref="B89:B91"/>
    <mergeCell ref="B92:B94"/>
    <mergeCell ref="B95:B97"/>
    <mergeCell ref="B98:B100"/>
    <mergeCell ref="B101:B103"/>
    <mergeCell ref="B104:B106"/>
    <mergeCell ref="B107:B109"/>
    <mergeCell ref="B110:B112"/>
    <mergeCell ref="B113:B115"/>
    <mergeCell ref="B116:B118"/>
    <mergeCell ref="B119:B121"/>
    <mergeCell ref="B122:B124"/>
    <mergeCell ref="B125:B127"/>
    <mergeCell ref="B128:B130"/>
    <mergeCell ref="B131:B133"/>
    <mergeCell ref="B134:B136"/>
    <mergeCell ref="B137:B139"/>
    <mergeCell ref="B140:B142"/>
    <mergeCell ref="B143:B145"/>
    <mergeCell ref="B146:B148"/>
    <mergeCell ref="B149:B151"/>
    <mergeCell ref="B152:B154"/>
    <mergeCell ref="B155:B157"/>
    <mergeCell ref="B158:B160"/>
    <mergeCell ref="B161:B163"/>
    <mergeCell ref="B164:B166"/>
    <mergeCell ref="B167:B169"/>
    <mergeCell ref="B170:B172"/>
    <mergeCell ref="B173:B175"/>
    <mergeCell ref="B176:B178"/>
    <mergeCell ref="B179:B181"/>
    <mergeCell ref="B182:B184"/>
    <mergeCell ref="B185:B187"/>
    <mergeCell ref="B188:B190"/>
    <mergeCell ref="B191:B193"/>
    <mergeCell ref="B194:B196"/>
    <mergeCell ref="B197:B199"/>
    <mergeCell ref="B200:B202"/>
    <mergeCell ref="B203:B205"/>
    <mergeCell ref="B206:B208"/>
    <mergeCell ref="B209:B211"/>
    <mergeCell ref="B212:B214"/>
    <mergeCell ref="B215:B217"/>
    <mergeCell ref="B218:B220"/>
    <mergeCell ref="B221:B223"/>
    <mergeCell ref="B224:B226"/>
    <mergeCell ref="B227:B229"/>
    <mergeCell ref="B230:B232"/>
    <mergeCell ref="B233:B235"/>
    <mergeCell ref="B236:B238"/>
    <mergeCell ref="B239:B241"/>
    <mergeCell ref="B242:B244"/>
    <mergeCell ref="B245:B247"/>
    <mergeCell ref="C17:C19"/>
    <mergeCell ref="C20:C22"/>
    <mergeCell ref="C23:C25"/>
    <mergeCell ref="C26:C28"/>
    <mergeCell ref="C29:C31"/>
    <mergeCell ref="C32:C34"/>
    <mergeCell ref="C35:C37"/>
    <mergeCell ref="C38:C40"/>
    <mergeCell ref="C41:C43"/>
    <mergeCell ref="C44:C46"/>
    <mergeCell ref="C47:C49"/>
    <mergeCell ref="C50:C52"/>
    <mergeCell ref="C53:C55"/>
    <mergeCell ref="C56:C58"/>
    <mergeCell ref="C59:C61"/>
    <mergeCell ref="C62:C64"/>
    <mergeCell ref="C65:C67"/>
    <mergeCell ref="C68:C70"/>
    <mergeCell ref="C71:C73"/>
    <mergeCell ref="C74:C76"/>
    <mergeCell ref="C77:C79"/>
    <mergeCell ref="C80:C82"/>
    <mergeCell ref="C83:C85"/>
    <mergeCell ref="C86:C88"/>
    <mergeCell ref="C89:C91"/>
    <mergeCell ref="C92:C94"/>
    <mergeCell ref="C95:C97"/>
    <mergeCell ref="C98:C100"/>
    <mergeCell ref="C101:C103"/>
    <mergeCell ref="C104:C106"/>
    <mergeCell ref="C107:C109"/>
    <mergeCell ref="C110:C112"/>
    <mergeCell ref="C113:C115"/>
    <mergeCell ref="C116:C118"/>
    <mergeCell ref="C119:C121"/>
    <mergeCell ref="C122:C124"/>
    <mergeCell ref="C125:C127"/>
    <mergeCell ref="C128:C130"/>
    <mergeCell ref="C131:C133"/>
    <mergeCell ref="C134:C136"/>
    <mergeCell ref="C137:C139"/>
    <mergeCell ref="C140:C142"/>
    <mergeCell ref="C143:C145"/>
    <mergeCell ref="C146:C148"/>
    <mergeCell ref="C149:C151"/>
    <mergeCell ref="C152:C154"/>
    <mergeCell ref="C155:C157"/>
    <mergeCell ref="C158:C160"/>
    <mergeCell ref="C161:C163"/>
    <mergeCell ref="C164:C166"/>
    <mergeCell ref="C167:C169"/>
    <mergeCell ref="C170:C172"/>
    <mergeCell ref="C173:C175"/>
    <mergeCell ref="C176:C178"/>
    <mergeCell ref="C179:C181"/>
    <mergeCell ref="C182:C184"/>
    <mergeCell ref="C185:C187"/>
    <mergeCell ref="C188:C190"/>
    <mergeCell ref="C191:C193"/>
    <mergeCell ref="C194:C196"/>
    <mergeCell ref="C197:C199"/>
    <mergeCell ref="C200:C202"/>
    <mergeCell ref="C203:C205"/>
    <mergeCell ref="C206:C208"/>
    <mergeCell ref="C209:C211"/>
    <mergeCell ref="C212:C214"/>
    <mergeCell ref="C215:C217"/>
    <mergeCell ref="C218:C220"/>
    <mergeCell ref="C221:C223"/>
    <mergeCell ref="C224:C226"/>
    <mergeCell ref="C227:C229"/>
    <mergeCell ref="C230:C232"/>
    <mergeCell ref="C233:C235"/>
    <mergeCell ref="C236:C238"/>
    <mergeCell ref="C239:C241"/>
    <mergeCell ref="C242:C244"/>
    <mergeCell ref="C245:C247"/>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 ref="D68:D70"/>
    <mergeCell ref="D71:D73"/>
    <mergeCell ref="D74:D76"/>
    <mergeCell ref="D77:D79"/>
    <mergeCell ref="D80:D82"/>
    <mergeCell ref="D83:D85"/>
    <mergeCell ref="D86:D88"/>
    <mergeCell ref="D89:D91"/>
    <mergeCell ref="D92:D94"/>
    <mergeCell ref="D95:D97"/>
    <mergeCell ref="D98:D100"/>
    <mergeCell ref="D101:D103"/>
    <mergeCell ref="D104:D106"/>
    <mergeCell ref="D107:D109"/>
    <mergeCell ref="D110:D112"/>
    <mergeCell ref="D113:D115"/>
    <mergeCell ref="D116:D118"/>
    <mergeCell ref="D119:D121"/>
    <mergeCell ref="D122:D124"/>
    <mergeCell ref="D125:D127"/>
    <mergeCell ref="D128:D130"/>
    <mergeCell ref="D131:D133"/>
    <mergeCell ref="D134:D136"/>
    <mergeCell ref="D137:D139"/>
    <mergeCell ref="D140:D142"/>
    <mergeCell ref="D143:D145"/>
    <mergeCell ref="D146:D148"/>
    <mergeCell ref="D149:D151"/>
    <mergeCell ref="D152:D154"/>
    <mergeCell ref="D155:D157"/>
    <mergeCell ref="D158:D160"/>
    <mergeCell ref="D161:D163"/>
    <mergeCell ref="D164:D166"/>
    <mergeCell ref="D167:D169"/>
    <mergeCell ref="D170:D172"/>
    <mergeCell ref="D173:D175"/>
    <mergeCell ref="D176:D178"/>
    <mergeCell ref="D179:D181"/>
    <mergeCell ref="D182:D184"/>
    <mergeCell ref="D185:D187"/>
    <mergeCell ref="D188:D190"/>
    <mergeCell ref="D191:D193"/>
    <mergeCell ref="D194:D196"/>
    <mergeCell ref="D197:D199"/>
    <mergeCell ref="D200:D202"/>
    <mergeCell ref="D203:D205"/>
    <mergeCell ref="D206:D208"/>
    <mergeCell ref="D209:D211"/>
    <mergeCell ref="D212:D214"/>
    <mergeCell ref="D215:D217"/>
    <mergeCell ref="D218:D220"/>
    <mergeCell ref="D221:D223"/>
    <mergeCell ref="D224:D226"/>
    <mergeCell ref="D227:D229"/>
    <mergeCell ref="D230:D232"/>
    <mergeCell ref="D233:D235"/>
    <mergeCell ref="D236:D238"/>
    <mergeCell ref="D239:D241"/>
    <mergeCell ref="D242:D244"/>
    <mergeCell ref="D245:D247"/>
    <mergeCell ref="E17:E19"/>
    <mergeCell ref="E20:E22"/>
    <mergeCell ref="E23:E25"/>
    <mergeCell ref="E26:E28"/>
    <mergeCell ref="E29:E31"/>
    <mergeCell ref="E35:E37"/>
    <mergeCell ref="E38:E40"/>
    <mergeCell ref="E41:E43"/>
    <mergeCell ref="E44:E46"/>
    <mergeCell ref="E47:E49"/>
    <mergeCell ref="F17:F19"/>
    <mergeCell ref="F20:F22"/>
    <mergeCell ref="F23:F25"/>
    <mergeCell ref="F26:F28"/>
    <mergeCell ref="F29:F31"/>
    <mergeCell ref="F32:F34"/>
    <mergeCell ref="F35:F37"/>
    <mergeCell ref="F38:F40"/>
    <mergeCell ref="F41:F43"/>
    <mergeCell ref="F44:F46"/>
    <mergeCell ref="F47:F49"/>
    <mergeCell ref="F50:F52"/>
    <mergeCell ref="F53:F55"/>
    <mergeCell ref="F56:F58"/>
    <mergeCell ref="F59:F61"/>
    <mergeCell ref="F62:F64"/>
    <mergeCell ref="F65:F67"/>
    <mergeCell ref="F68:F70"/>
    <mergeCell ref="F71:F73"/>
    <mergeCell ref="F74:F76"/>
    <mergeCell ref="F77:F79"/>
    <mergeCell ref="F80:F82"/>
    <mergeCell ref="F83:F85"/>
    <mergeCell ref="F86:F88"/>
    <mergeCell ref="F89:F91"/>
    <mergeCell ref="F92:F94"/>
    <mergeCell ref="F95:F97"/>
    <mergeCell ref="F98:F100"/>
    <mergeCell ref="F101:F103"/>
    <mergeCell ref="F104:F106"/>
    <mergeCell ref="F107:F109"/>
    <mergeCell ref="F110:F112"/>
    <mergeCell ref="F113:F115"/>
    <mergeCell ref="F116:F118"/>
    <mergeCell ref="F119:F121"/>
    <mergeCell ref="F122:F124"/>
    <mergeCell ref="F125:F127"/>
    <mergeCell ref="F128:F130"/>
    <mergeCell ref="F131:F133"/>
    <mergeCell ref="F134:F136"/>
    <mergeCell ref="F137:F139"/>
    <mergeCell ref="F140:F142"/>
    <mergeCell ref="F143:F145"/>
    <mergeCell ref="F146:F148"/>
    <mergeCell ref="F149:F151"/>
    <mergeCell ref="F152:F154"/>
    <mergeCell ref="F155:F157"/>
    <mergeCell ref="F158:F160"/>
    <mergeCell ref="F161:F163"/>
    <mergeCell ref="F164:F166"/>
    <mergeCell ref="F167:F169"/>
    <mergeCell ref="F170:F172"/>
    <mergeCell ref="F173:F175"/>
    <mergeCell ref="F176:F178"/>
    <mergeCell ref="F179:F181"/>
    <mergeCell ref="F182:F184"/>
    <mergeCell ref="F185:F187"/>
    <mergeCell ref="F188:F190"/>
    <mergeCell ref="F191:F193"/>
    <mergeCell ref="F194:F196"/>
    <mergeCell ref="F197:F199"/>
    <mergeCell ref="F200:F202"/>
    <mergeCell ref="F203:F205"/>
    <mergeCell ref="F206:F208"/>
    <mergeCell ref="F209:F211"/>
    <mergeCell ref="F212:F214"/>
    <mergeCell ref="F215:F217"/>
    <mergeCell ref="F218:F220"/>
    <mergeCell ref="F221:F223"/>
    <mergeCell ref="F224:F226"/>
    <mergeCell ref="F227:F229"/>
    <mergeCell ref="F230:F232"/>
    <mergeCell ref="F233:F235"/>
    <mergeCell ref="F236:F238"/>
    <mergeCell ref="F239:F241"/>
    <mergeCell ref="F242:F244"/>
    <mergeCell ref="F245:F247"/>
    <mergeCell ref="G17:G19"/>
    <mergeCell ref="G20:G22"/>
    <mergeCell ref="G23:G25"/>
    <mergeCell ref="G26:G28"/>
    <mergeCell ref="G29:G31"/>
    <mergeCell ref="G32:G34"/>
    <mergeCell ref="G35:G37"/>
    <mergeCell ref="G38:G40"/>
    <mergeCell ref="G41:G43"/>
    <mergeCell ref="G44:G46"/>
    <mergeCell ref="G47:G49"/>
    <mergeCell ref="G50:G52"/>
    <mergeCell ref="G53:G55"/>
    <mergeCell ref="G56:G58"/>
    <mergeCell ref="G59:G61"/>
    <mergeCell ref="G62:G64"/>
    <mergeCell ref="G65:G67"/>
    <mergeCell ref="G68:G70"/>
    <mergeCell ref="G71:G73"/>
    <mergeCell ref="G74:G76"/>
    <mergeCell ref="G77:G79"/>
    <mergeCell ref="G80:G82"/>
    <mergeCell ref="G83:G85"/>
    <mergeCell ref="G86:G88"/>
    <mergeCell ref="G89:G91"/>
    <mergeCell ref="G92:G94"/>
    <mergeCell ref="G95:G97"/>
    <mergeCell ref="G98:G100"/>
    <mergeCell ref="G101:G103"/>
    <mergeCell ref="G104:G106"/>
    <mergeCell ref="G107:G109"/>
    <mergeCell ref="G110:G112"/>
    <mergeCell ref="G113:G115"/>
    <mergeCell ref="G116:G118"/>
    <mergeCell ref="G119:G121"/>
    <mergeCell ref="G122:G124"/>
    <mergeCell ref="G125:G127"/>
    <mergeCell ref="G128:G130"/>
    <mergeCell ref="G131:G133"/>
    <mergeCell ref="G134:G136"/>
    <mergeCell ref="G137:G139"/>
    <mergeCell ref="G140:G142"/>
    <mergeCell ref="G143:G145"/>
    <mergeCell ref="G146:G148"/>
    <mergeCell ref="G149:G151"/>
    <mergeCell ref="G152:G154"/>
    <mergeCell ref="G155:G157"/>
    <mergeCell ref="G158:G160"/>
    <mergeCell ref="G161:G163"/>
    <mergeCell ref="G164:G166"/>
    <mergeCell ref="G167:G169"/>
    <mergeCell ref="G170:G172"/>
    <mergeCell ref="G173:G175"/>
    <mergeCell ref="G176:G178"/>
    <mergeCell ref="G179:G181"/>
    <mergeCell ref="G182:G184"/>
    <mergeCell ref="G185:G187"/>
    <mergeCell ref="G188:G190"/>
    <mergeCell ref="G191:G193"/>
    <mergeCell ref="G194:G196"/>
    <mergeCell ref="G197:G199"/>
    <mergeCell ref="G200:G202"/>
    <mergeCell ref="G203:G205"/>
    <mergeCell ref="G206:G208"/>
    <mergeCell ref="G209:G211"/>
    <mergeCell ref="G212:G214"/>
    <mergeCell ref="G215:G217"/>
    <mergeCell ref="G218:G220"/>
    <mergeCell ref="G221:G223"/>
    <mergeCell ref="G224:G226"/>
    <mergeCell ref="G227:G229"/>
    <mergeCell ref="G230:G232"/>
    <mergeCell ref="G233:G235"/>
    <mergeCell ref="G236:G238"/>
    <mergeCell ref="G239:G241"/>
    <mergeCell ref="G242:G244"/>
    <mergeCell ref="G245:G247"/>
    <mergeCell ref="H17:H19"/>
    <mergeCell ref="H20:H22"/>
    <mergeCell ref="H23:H25"/>
    <mergeCell ref="H26:H28"/>
    <mergeCell ref="H29:H31"/>
    <mergeCell ref="H32:H34"/>
    <mergeCell ref="H35:H37"/>
    <mergeCell ref="H38:H40"/>
    <mergeCell ref="H41:H43"/>
    <mergeCell ref="H44:H46"/>
    <mergeCell ref="H47:H49"/>
    <mergeCell ref="H50:H52"/>
    <mergeCell ref="H53:H55"/>
    <mergeCell ref="H56:H58"/>
    <mergeCell ref="H59:H61"/>
    <mergeCell ref="H62:H64"/>
    <mergeCell ref="H65:H67"/>
    <mergeCell ref="H68:H70"/>
    <mergeCell ref="H71:H73"/>
    <mergeCell ref="H74:H76"/>
    <mergeCell ref="H77:H79"/>
    <mergeCell ref="H80:H82"/>
    <mergeCell ref="H83:H85"/>
    <mergeCell ref="H86:H88"/>
    <mergeCell ref="H89:H91"/>
    <mergeCell ref="H92:H94"/>
    <mergeCell ref="H95:H97"/>
    <mergeCell ref="H98:H100"/>
    <mergeCell ref="H101:H103"/>
    <mergeCell ref="H104:H106"/>
    <mergeCell ref="H107:H109"/>
    <mergeCell ref="H110:H112"/>
    <mergeCell ref="H113:H115"/>
    <mergeCell ref="H116:H118"/>
    <mergeCell ref="H119:H121"/>
    <mergeCell ref="H122:H124"/>
    <mergeCell ref="H125:H127"/>
    <mergeCell ref="H128:H130"/>
    <mergeCell ref="H131:H133"/>
    <mergeCell ref="H134:H136"/>
    <mergeCell ref="H137:H139"/>
    <mergeCell ref="H140:H142"/>
    <mergeCell ref="H143:H145"/>
    <mergeCell ref="H146:H148"/>
    <mergeCell ref="H149:H151"/>
    <mergeCell ref="H152:H154"/>
    <mergeCell ref="H155:H157"/>
    <mergeCell ref="H158:H160"/>
    <mergeCell ref="H161:H163"/>
    <mergeCell ref="H164:H166"/>
    <mergeCell ref="H167:H169"/>
    <mergeCell ref="H170:H172"/>
    <mergeCell ref="H173:H175"/>
    <mergeCell ref="H176:H178"/>
    <mergeCell ref="H179:H181"/>
    <mergeCell ref="H182:H184"/>
    <mergeCell ref="H212:H214"/>
    <mergeCell ref="H215:H217"/>
    <mergeCell ref="H218:H220"/>
    <mergeCell ref="H221:H223"/>
    <mergeCell ref="H224:H226"/>
    <mergeCell ref="H227:H229"/>
    <mergeCell ref="H230:H232"/>
    <mergeCell ref="H233:H235"/>
    <mergeCell ref="H236:H238"/>
    <mergeCell ref="H239:H241"/>
    <mergeCell ref="H242:H244"/>
    <mergeCell ref="H245:H247"/>
    <mergeCell ref="Y17:Y19"/>
    <mergeCell ref="Y20:Y22"/>
    <mergeCell ref="Y23:Y25"/>
    <mergeCell ref="Y26:Y28"/>
    <mergeCell ref="Y29:Y31"/>
    <mergeCell ref="Y32:Y34"/>
    <mergeCell ref="Y35:Y37"/>
    <mergeCell ref="Y38:Y40"/>
    <mergeCell ref="Y41:Y43"/>
    <mergeCell ref="Y44:Y46"/>
    <mergeCell ref="Y47:Y49"/>
    <mergeCell ref="Y50:Y52"/>
    <mergeCell ref="Y53:Y55"/>
    <mergeCell ref="Y56:Y58"/>
    <mergeCell ref="Y59:Y61"/>
    <mergeCell ref="Y62:Y64"/>
    <mergeCell ref="Y65:Y67"/>
    <mergeCell ref="Y68:Y70"/>
    <mergeCell ref="Y71:Y73"/>
    <mergeCell ref="Y74:Y76"/>
    <mergeCell ref="Y77:Y79"/>
    <mergeCell ref="Y80:Y82"/>
    <mergeCell ref="Y83:Y85"/>
    <mergeCell ref="Y86:Y88"/>
    <mergeCell ref="Y89:Y91"/>
    <mergeCell ref="Y92:Y94"/>
    <mergeCell ref="Y95:Y97"/>
    <mergeCell ref="Y98:Y100"/>
    <mergeCell ref="Y101:Y103"/>
    <mergeCell ref="Y104:Y106"/>
    <mergeCell ref="Y107:Y109"/>
    <mergeCell ref="Y110:Y112"/>
    <mergeCell ref="Y113:Y115"/>
    <mergeCell ref="Y116:Y118"/>
    <mergeCell ref="Y119:Y121"/>
    <mergeCell ref="Y122:Y124"/>
    <mergeCell ref="Y125:Y127"/>
    <mergeCell ref="Y128:Y130"/>
    <mergeCell ref="Y131:Y133"/>
    <mergeCell ref="Y134:Y136"/>
    <mergeCell ref="Y137:Y139"/>
    <mergeCell ref="Y140:Y142"/>
    <mergeCell ref="Y143:Y145"/>
    <mergeCell ref="Y146:Y148"/>
    <mergeCell ref="Y149:Y151"/>
    <mergeCell ref="Y152:Y154"/>
    <mergeCell ref="Y155:Y157"/>
    <mergeCell ref="Y158:Y160"/>
    <mergeCell ref="Y161:Y163"/>
    <mergeCell ref="Y164:Y166"/>
    <mergeCell ref="Y167:Y169"/>
    <mergeCell ref="Y170:Y172"/>
    <mergeCell ref="Y173:Y175"/>
    <mergeCell ref="Y176:Y178"/>
    <mergeCell ref="Y179:Y181"/>
    <mergeCell ref="Y182:Y184"/>
    <mergeCell ref="Y185:Y187"/>
    <mergeCell ref="Y188:Y190"/>
    <mergeCell ref="Y191:Y193"/>
    <mergeCell ref="Y194:Y196"/>
    <mergeCell ref="Y197:Y199"/>
    <mergeCell ref="Y200:Y202"/>
    <mergeCell ref="Y203:Y205"/>
    <mergeCell ref="Y206:Y208"/>
    <mergeCell ref="Y209:Y211"/>
    <mergeCell ref="Y212:Y214"/>
    <mergeCell ref="Y215:Y217"/>
    <mergeCell ref="Y218:Y220"/>
    <mergeCell ref="Y221:Y223"/>
    <mergeCell ref="Y224:Y226"/>
    <mergeCell ref="Y227:Y229"/>
    <mergeCell ref="Y230:Y232"/>
    <mergeCell ref="Y233:Y235"/>
    <mergeCell ref="Y236:Y238"/>
    <mergeCell ref="Y239:Y241"/>
    <mergeCell ref="Y242:Y244"/>
    <mergeCell ref="Y245:Y247"/>
    <mergeCell ref="Z17:Z19"/>
    <mergeCell ref="Z20:Z22"/>
    <mergeCell ref="Z23:Z25"/>
    <mergeCell ref="Z26:Z28"/>
    <mergeCell ref="Z29:Z31"/>
    <mergeCell ref="Z32:Z34"/>
    <mergeCell ref="Z35:Z37"/>
    <mergeCell ref="Z38:Z40"/>
    <mergeCell ref="Z41:Z43"/>
    <mergeCell ref="Z44:Z46"/>
    <mergeCell ref="Z47:Z49"/>
    <mergeCell ref="Z50:Z52"/>
    <mergeCell ref="Z53:Z55"/>
    <mergeCell ref="Z56:Z58"/>
    <mergeCell ref="Z59:Z61"/>
    <mergeCell ref="Z62:Z64"/>
    <mergeCell ref="Z65:Z67"/>
    <mergeCell ref="Z68:Z70"/>
    <mergeCell ref="Z71:Z73"/>
    <mergeCell ref="Z74:Z76"/>
    <mergeCell ref="Z77:Z79"/>
    <mergeCell ref="Z80:Z82"/>
    <mergeCell ref="Z83:Z85"/>
    <mergeCell ref="Z86:Z88"/>
    <mergeCell ref="Z89:Z91"/>
    <mergeCell ref="Z92:Z94"/>
    <mergeCell ref="Z95:Z97"/>
    <mergeCell ref="Z98:Z100"/>
    <mergeCell ref="Z101:Z103"/>
    <mergeCell ref="Z104:Z106"/>
    <mergeCell ref="Z107:Z109"/>
    <mergeCell ref="Z110:Z112"/>
    <mergeCell ref="Z113:Z115"/>
    <mergeCell ref="Z116:Z118"/>
    <mergeCell ref="Z119:Z121"/>
    <mergeCell ref="Z122:Z124"/>
    <mergeCell ref="Z125:Z127"/>
    <mergeCell ref="Z128:Z130"/>
    <mergeCell ref="Z131:Z133"/>
    <mergeCell ref="Z134:Z136"/>
    <mergeCell ref="Z137:Z139"/>
    <mergeCell ref="Z140:Z142"/>
    <mergeCell ref="Z143:Z145"/>
    <mergeCell ref="Z146:Z148"/>
    <mergeCell ref="Z149:Z151"/>
    <mergeCell ref="Z152:Z154"/>
    <mergeCell ref="Z155:Z157"/>
    <mergeCell ref="Z158:Z160"/>
    <mergeCell ref="Z161:Z163"/>
    <mergeCell ref="Z164:Z166"/>
    <mergeCell ref="Z167:Z169"/>
    <mergeCell ref="Z170:Z172"/>
    <mergeCell ref="Z173:Z175"/>
    <mergeCell ref="Z176:Z178"/>
    <mergeCell ref="Z179:Z181"/>
    <mergeCell ref="Z182:Z184"/>
    <mergeCell ref="Z185:Z187"/>
    <mergeCell ref="Z188:Z190"/>
    <mergeCell ref="Z191:Z193"/>
    <mergeCell ref="Z194:Z196"/>
    <mergeCell ref="Z197:Z199"/>
    <mergeCell ref="Z200:Z202"/>
    <mergeCell ref="Z203:Z205"/>
    <mergeCell ref="Z206:Z208"/>
    <mergeCell ref="Z209:Z211"/>
    <mergeCell ref="Z212:Z214"/>
    <mergeCell ref="Z215:Z217"/>
    <mergeCell ref="Z218:Z220"/>
    <mergeCell ref="Z221:Z223"/>
    <mergeCell ref="Z224:Z226"/>
    <mergeCell ref="Z227:Z229"/>
    <mergeCell ref="Z230:Z232"/>
    <mergeCell ref="Z233:Z235"/>
    <mergeCell ref="Z236:Z238"/>
    <mergeCell ref="Z239:Z241"/>
    <mergeCell ref="Z242:Z244"/>
    <mergeCell ref="Z245:Z247"/>
    <mergeCell ref="AA17:AA19"/>
    <mergeCell ref="AA20:AA22"/>
    <mergeCell ref="AA23:AA25"/>
    <mergeCell ref="AA26:AA28"/>
    <mergeCell ref="AA29:AA31"/>
    <mergeCell ref="AA32:AA34"/>
    <mergeCell ref="AA35:AA37"/>
    <mergeCell ref="AA38:AA40"/>
    <mergeCell ref="AA41:AA43"/>
    <mergeCell ref="AA44:AA46"/>
    <mergeCell ref="AA47:AA49"/>
    <mergeCell ref="AA50:AA52"/>
    <mergeCell ref="AA53:AA55"/>
    <mergeCell ref="AA56:AA58"/>
    <mergeCell ref="AA59:AA61"/>
    <mergeCell ref="AA62:AA64"/>
    <mergeCell ref="AA65:AA67"/>
    <mergeCell ref="AA68:AA70"/>
    <mergeCell ref="AA71:AA73"/>
    <mergeCell ref="AA74:AA76"/>
    <mergeCell ref="AA77:AA79"/>
    <mergeCell ref="AA80:AA82"/>
    <mergeCell ref="AA83:AA85"/>
    <mergeCell ref="AA86:AA88"/>
    <mergeCell ref="AA89:AA91"/>
    <mergeCell ref="AA92:AA94"/>
    <mergeCell ref="AA95:AA97"/>
    <mergeCell ref="AA98:AA100"/>
    <mergeCell ref="AA101:AA103"/>
    <mergeCell ref="AA104:AA106"/>
    <mergeCell ref="AA107:AA109"/>
    <mergeCell ref="AA110:AA112"/>
    <mergeCell ref="AA113:AA115"/>
    <mergeCell ref="AA116:AA118"/>
    <mergeCell ref="AA119:AA121"/>
    <mergeCell ref="AA122:AA124"/>
    <mergeCell ref="AA125:AA127"/>
    <mergeCell ref="AA128:AA130"/>
    <mergeCell ref="AA131:AA133"/>
    <mergeCell ref="AA134:AA136"/>
    <mergeCell ref="AA137:AA139"/>
    <mergeCell ref="AA140:AA142"/>
    <mergeCell ref="AA143:AA145"/>
    <mergeCell ref="AA146:AA148"/>
    <mergeCell ref="AA149:AA151"/>
    <mergeCell ref="AA152:AA154"/>
    <mergeCell ref="AA155:AA157"/>
    <mergeCell ref="AA158:AA160"/>
    <mergeCell ref="AA161:AA163"/>
    <mergeCell ref="AA164:AA166"/>
    <mergeCell ref="AA167:AA169"/>
    <mergeCell ref="AA170:AA172"/>
    <mergeCell ref="AA173:AA175"/>
    <mergeCell ref="AA176:AA178"/>
    <mergeCell ref="AA179:AA181"/>
    <mergeCell ref="AA182:AA184"/>
    <mergeCell ref="AA212:AA214"/>
    <mergeCell ref="AA215:AA217"/>
    <mergeCell ref="AA218:AA220"/>
    <mergeCell ref="AA221:AA223"/>
    <mergeCell ref="AA224:AA226"/>
    <mergeCell ref="AA227:AA229"/>
    <mergeCell ref="AA230:AA232"/>
    <mergeCell ref="AA233:AA235"/>
    <mergeCell ref="AA236:AA238"/>
    <mergeCell ref="AA239:AA241"/>
    <mergeCell ref="AA242:AA244"/>
    <mergeCell ref="AA245:AA247"/>
    <mergeCell ref="AB17:AB19"/>
    <mergeCell ref="AB20:AB22"/>
    <mergeCell ref="AB23:AB25"/>
    <mergeCell ref="AB26:AB28"/>
    <mergeCell ref="AB29:AB31"/>
    <mergeCell ref="AB32:AB34"/>
    <mergeCell ref="AB35:AB37"/>
    <mergeCell ref="AB38:AB40"/>
    <mergeCell ref="AB41:AB43"/>
    <mergeCell ref="AB44:AB46"/>
    <mergeCell ref="AB47:AB49"/>
    <mergeCell ref="AB50:AB52"/>
    <mergeCell ref="AB53:AB55"/>
    <mergeCell ref="AB56:AB58"/>
    <mergeCell ref="AB59:AB61"/>
    <mergeCell ref="AB62:AB64"/>
    <mergeCell ref="AB65:AB67"/>
    <mergeCell ref="AB68:AB70"/>
    <mergeCell ref="AB71:AB73"/>
    <mergeCell ref="AB74:AB76"/>
    <mergeCell ref="AB77:AB79"/>
    <mergeCell ref="AB80:AB82"/>
    <mergeCell ref="AB83:AB85"/>
    <mergeCell ref="AB86:AB88"/>
    <mergeCell ref="AB89:AB91"/>
    <mergeCell ref="AB92:AB94"/>
    <mergeCell ref="AB95:AB97"/>
    <mergeCell ref="AB98:AB100"/>
    <mergeCell ref="AB101:AB103"/>
    <mergeCell ref="AB104:AB106"/>
    <mergeCell ref="AB107:AB109"/>
    <mergeCell ref="AB110:AB112"/>
    <mergeCell ref="AB113:AB115"/>
    <mergeCell ref="AB116:AB118"/>
    <mergeCell ref="AB119:AB121"/>
    <mergeCell ref="AB122:AB124"/>
    <mergeCell ref="AB125:AB127"/>
    <mergeCell ref="AB128:AB130"/>
    <mergeCell ref="AB131:AB133"/>
    <mergeCell ref="AB134:AB136"/>
    <mergeCell ref="AB137:AB139"/>
    <mergeCell ref="AB140:AB142"/>
    <mergeCell ref="AB143:AB145"/>
    <mergeCell ref="AB146:AB148"/>
    <mergeCell ref="AB149:AB151"/>
    <mergeCell ref="AB152:AB154"/>
    <mergeCell ref="AB155:AB157"/>
    <mergeCell ref="AB158:AB160"/>
    <mergeCell ref="AB161:AB163"/>
    <mergeCell ref="AB164:AB166"/>
    <mergeCell ref="AB167:AB169"/>
    <mergeCell ref="AB170:AB172"/>
    <mergeCell ref="AB173:AB175"/>
    <mergeCell ref="AB176:AB178"/>
    <mergeCell ref="AB179:AB181"/>
    <mergeCell ref="AB182:AB184"/>
    <mergeCell ref="AB185:AB187"/>
    <mergeCell ref="AB188:AB190"/>
    <mergeCell ref="AB191:AB193"/>
    <mergeCell ref="AB194:AB196"/>
    <mergeCell ref="AB197:AB199"/>
    <mergeCell ref="AB200:AB202"/>
    <mergeCell ref="AB203:AB205"/>
    <mergeCell ref="AB206:AB208"/>
    <mergeCell ref="AB209:AB211"/>
    <mergeCell ref="AB212:AB214"/>
    <mergeCell ref="AB215:AB217"/>
    <mergeCell ref="AB218:AB220"/>
    <mergeCell ref="AB221:AB223"/>
    <mergeCell ref="AB224:AB226"/>
    <mergeCell ref="AB227:AB229"/>
    <mergeCell ref="AB230:AB232"/>
    <mergeCell ref="AB233:AB235"/>
    <mergeCell ref="AB236:AB238"/>
    <mergeCell ref="AB239:AB241"/>
    <mergeCell ref="AB242:AB244"/>
    <mergeCell ref="AB245:AB247"/>
    <mergeCell ref="AS17:AS19"/>
    <mergeCell ref="AS20:AS22"/>
    <mergeCell ref="AS23:AS25"/>
    <mergeCell ref="AS26:AS28"/>
    <mergeCell ref="AS29:AS31"/>
    <mergeCell ref="AS32:AS34"/>
    <mergeCell ref="AS35:AS37"/>
    <mergeCell ref="AS38:AS40"/>
    <mergeCell ref="AS41:AS43"/>
    <mergeCell ref="AS44:AS46"/>
    <mergeCell ref="AS47:AS49"/>
    <mergeCell ref="AS50:AS52"/>
    <mergeCell ref="AS53:AS55"/>
    <mergeCell ref="AS56:AS58"/>
    <mergeCell ref="AS59:AS61"/>
    <mergeCell ref="AS62:AS64"/>
    <mergeCell ref="AS65:AS67"/>
    <mergeCell ref="AS68:AS70"/>
    <mergeCell ref="AS71:AS73"/>
    <mergeCell ref="AS74:AS76"/>
    <mergeCell ref="AS77:AS79"/>
    <mergeCell ref="AS80:AS82"/>
    <mergeCell ref="AS83:AS85"/>
    <mergeCell ref="AS86:AS88"/>
    <mergeCell ref="AS89:AS91"/>
    <mergeCell ref="AS92:AS94"/>
    <mergeCell ref="AS95:AS97"/>
    <mergeCell ref="AS98:AS100"/>
    <mergeCell ref="AS101:AS103"/>
    <mergeCell ref="AS104:AS106"/>
    <mergeCell ref="AS107:AS109"/>
    <mergeCell ref="AS110:AS112"/>
    <mergeCell ref="AS113:AS115"/>
    <mergeCell ref="AS116:AS118"/>
    <mergeCell ref="AS119:AS121"/>
    <mergeCell ref="AS122:AS124"/>
    <mergeCell ref="AS125:AS127"/>
    <mergeCell ref="AS128:AS130"/>
    <mergeCell ref="AS131:AS133"/>
    <mergeCell ref="AS134:AS136"/>
    <mergeCell ref="AS137:AS139"/>
    <mergeCell ref="AS140:AS142"/>
    <mergeCell ref="AS143:AS145"/>
    <mergeCell ref="AS146:AS148"/>
    <mergeCell ref="AS149:AS151"/>
    <mergeCell ref="AS152:AS154"/>
    <mergeCell ref="AS155:AS157"/>
    <mergeCell ref="AS158:AS160"/>
    <mergeCell ref="AS161:AS163"/>
    <mergeCell ref="AS164:AS166"/>
    <mergeCell ref="AS167:AS169"/>
    <mergeCell ref="AS170:AS172"/>
    <mergeCell ref="AS173:AS175"/>
    <mergeCell ref="AS176:AS178"/>
    <mergeCell ref="AS179:AS181"/>
    <mergeCell ref="AS182:AS184"/>
    <mergeCell ref="AS212:AS214"/>
    <mergeCell ref="AS215:AS217"/>
    <mergeCell ref="AS218:AS220"/>
    <mergeCell ref="AS221:AS223"/>
    <mergeCell ref="AS224:AS226"/>
    <mergeCell ref="AS227:AS229"/>
    <mergeCell ref="AS230:AS232"/>
    <mergeCell ref="AS233:AS235"/>
    <mergeCell ref="AS236:AS238"/>
    <mergeCell ref="AS239:AS241"/>
    <mergeCell ref="AS242:AS244"/>
    <mergeCell ref="AS245:AS247"/>
    <mergeCell ref="AU194:AU196"/>
  </mergeCells>
  <conditionalFormatting sqref="X55">
    <cfRule type="expression" dxfId="0" priority="25" stopIfTrue="1">
      <formula>(X54&lt;&gt;"")*(X55="")*(X54&lt;TODAY())</formula>
    </cfRule>
    <cfRule type="expression" dxfId="1" priority="26" stopIfTrue="1">
      <formula>(X54&lt;&gt;"")*(X55="")*(X54&gt;=TODAY())*(X54&lt;=TODAY()+14)</formula>
    </cfRule>
    <cfRule type="expression" dxfId="3" priority="27">
      <formula>(X55&lt;&gt;"")*(X55&lt;=TODAY())</formula>
    </cfRule>
  </conditionalFormatting>
  <conditionalFormatting sqref="U55:V55 AP55:AR55 AP97:AR97 AP175:AR175">
    <cfRule type="expression" dxfId="0" priority="33" stopIfTrue="1">
      <formula>(U54&lt;&gt;"")*(U55="")*(U54&lt;TODAY())</formula>
    </cfRule>
    <cfRule type="expression" dxfId="1" priority="34" stopIfTrue="1">
      <formula>(U54&lt;&gt;"")*(U55="")*(U54&gt;=TODAY())*(U54&lt;=TODAY()+14)</formula>
    </cfRule>
    <cfRule type="expression" dxfId="3" priority="35">
      <formula>(U55&lt;&gt;"")*(U55&lt;=TODAY())</formula>
    </cfRule>
  </conditionalFormatting>
  <conditionalFormatting sqref="AP214:AR214 AP217:AR217 AP220:AR220 AP223:AR223 AP226:AR226 AP229:AR229 AP232:AR232 AP235:AR235 AP238:AR238 AP241:AR241 AP244:AR244 AP247:AR247">
    <cfRule type="expression" dxfId="0" priority="1" stopIfTrue="1">
      <formula>(AP213&lt;&gt;"")*(AP214="")*(AP213&lt;TODAY())</formula>
    </cfRule>
    <cfRule type="expression" dxfId="1" priority="2" stopIfTrue="1">
      <formula>(AP213&lt;&gt;"")*(AP214="")*(AP213&gt;=TODAY())*(AP213&lt;=TODAY()+14)</formula>
    </cfRule>
    <cfRule type="expression" dxfId="3" priority="3">
      <formula>(AP214&lt;&gt;"")*(AP214&lt;=TODAY())</formula>
    </cfRule>
  </conditionalFormatting>
  <pageMargins left="0.7" right="0.7" top="0.75" bottom="0.75" header="0.3" footer="0.3"/>
  <pageSetup paperSize="1" scale="30" fitToHeight="0" orientation="landscape" horizontalDpi="1200" verticalDpi="1200"/>
  <headerFooter/>
  <rowBreaks count="4" manualBreakCount="4">
    <brk id="55" max="16383" man="1"/>
    <brk id="100" max="16383" man="1"/>
    <brk id="127" max="16383" man="1"/>
    <brk id="175" max="16383" man="1"/>
  </rowBreaks>
  <colBreaks count="3" manualBreakCount="3">
    <brk id="10" max="1048575" man="1"/>
    <brk id="28" max="1048575" man="1"/>
    <brk id="42" max="177"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303"/>
  <sheetViews>
    <sheetView zoomScale="85" zoomScaleNormal="85" topLeftCell="H1" workbookViewId="0">
      <pane xSplit="2" ySplit="9" topLeftCell="J190" activePane="bottomRight" state="frozen"/>
      <selection/>
      <selection pane="topRight"/>
      <selection pane="bottomLeft"/>
      <selection pane="bottomRight" activeCell="A250" sqref="A250:A252"/>
    </sheetView>
  </sheetViews>
  <sheetFormatPr defaultColWidth="10.7964601769912" defaultRowHeight="17.6"/>
  <cols>
    <col min="1" max="1" width="3.86725663716814" style="22" customWidth="1"/>
    <col min="2" max="2" width="30" style="22" customWidth="1"/>
    <col min="3" max="3" width="8.20353982300885" style="23" customWidth="1"/>
    <col min="4" max="4" width="6.13274336283186" style="24" customWidth="1"/>
    <col min="5" max="5" width="10.2035398230088" style="25" customWidth="1"/>
    <col min="6" max="6" width="4.46902654867257" style="26" customWidth="1"/>
    <col min="7" max="7" width="18.8672566371681" style="27" customWidth="1"/>
    <col min="8" max="8" width="56.1327433628319" style="28" customWidth="1"/>
    <col min="9" max="9" width="8.79646017699115" style="29" customWidth="1"/>
    <col min="10" max="10" width="10.8672566371681" style="29" customWidth="1"/>
    <col min="11" max="13" width="7.79646017699115" style="29" customWidth="1"/>
    <col min="14" max="16" width="6.86725663716814" style="29" customWidth="1"/>
    <col min="17" max="18" width="10.4690265486726" style="29" customWidth="1"/>
    <col min="19" max="27" width="10.4690265486726" style="30" customWidth="1"/>
    <col min="28" max="29" width="10.4690265486726" style="31" customWidth="1"/>
    <col min="30" max="30" width="9.20353982300885" style="31" customWidth="1"/>
    <col min="31" max="33" width="10.4690265486726" style="31" customWidth="1"/>
    <col min="34" max="34" width="10.4690265486726" style="32" customWidth="1"/>
    <col min="35" max="35" width="10.4690265486726" style="33" customWidth="1"/>
    <col min="36" max="37" width="10.4690265486726" style="31" customWidth="1"/>
    <col min="38" max="38" width="26" style="31" customWidth="1"/>
    <col min="39" max="49" width="10.7964601769912" style="29" hidden="1" customWidth="1"/>
    <col min="50" max="53" width="10.7964601769912" style="29"/>
    <col min="54" max="54" width="10.7964601769912" style="34" hidden="1" customWidth="1"/>
    <col min="55" max="16384" width="10.7964601769912" style="29"/>
  </cols>
  <sheetData>
    <row r="1" ht="19.5" customHeight="1" spans="1:54">
      <c r="A1" s="35" t="s">
        <v>4867</v>
      </c>
      <c r="B1" s="35"/>
      <c r="C1" s="35"/>
      <c r="F1" s="25"/>
      <c r="G1" s="36"/>
      <c r="H1" s="37"/>
      <c r="I1" s="25"/>
      <c r="J1" s="25"/>
      <c r="K1" s="25"/>
      <c r="L1" s="25"/>
      <c r="M1" s="25"/>
      <c r="N1" s="25"/>
      <c r="O1" s="25"/>
      <c r="P1" s="25"/>
      <c r="Q1" s="38"/>
      <c r="R1" s="38"/>
      <c r="S1" s="39"/>
      <c r="T1" s="39"/>
      <c r="U1" s="39"/>
      <c r="V1" s="39"/>
      <c r="W1" s="39"/>
      <c r="X1" s="39"/>
      <c r="Y1" s="39"/>
      <c r="Z1" s="39"/>
      <c r="AA1" s="39"/>
      <c r="AB1" s="40"/>
      <c r="AC1" s="25"/>
      <c r="AD1" s="41"/>
      <c r="AE1" s="25"/>
      <c r="AF1" s="40"/>
      <c r="AG1" s="25"/>
      <c r="AH1" s="42"/>
      <c r="AI1" s="43"/>
      <c r="AJ1" s="25"/>
      <c r="AK1" s="25"/>
      <c r="AL1" s="25"/>
    </row>
    <row r="2" ht="12" customHeight="1" spans="1:54">
      <c r="A2" s="44"/>
      <c r="B2" s="24"/>
      <c r="C2" s="44"/>
      <c r="F2" s="25"/>
      <c r="G2" s="36"/>
      <c r="H2" s="37"/>
      <c r="I2" s="45" t="s">
        <v>6</v>
      </c>
      <c r="J2" s="46" t="s">
        <v>4868</v>
      </c>
      <c r="K2" s="25"/>
      <c r="L2" s="25"/>
      <c r="M2" s="25"/>
      <c r="N2" s="46"/>
      <c r="O2" s="46"/>
      <c r="P2" s="46"/>
      <c r="Q2" s="38"/>
      <c r="R2" s="38"/>
      <c r="S2" s="47">
        <v>20</v>
      </c>
      <c r="T2" s="47">
        <v>10</v>
      </c>
      <c r="U2" s="47"/>
      <c r="V2" s="47"/>
      <c r="W2" s="47">
        <v>5</v>
      </c>
      <c r="X2" s="47">
        <v>5</v>
      </c>
      <c r="Y2" s="47">
        <v>5</v>
      </c>
      <c r="Z2" s="47">
        <v>2</v>
      </c>
      <c r="AA2" s="47">
        <v>10</v>
      </c>
      <c r="AB2" s="25"/>
      <c r="AC2" s="25"/>
      <c r="AD2" s="25"/>
      <c r="AE2" s="25"/>
      <c r="AF2" s="25"/>
      <c r="AG2" s="25"/>
      <c r="AH2" s="42"/>
      <c r="AI2" s="43"/>
      <c r="AJ2" s="25"/>
      <c r="AK2" s="25"/>
      <c r="AL2" s="25"/>
    </row>
    <row r="3" ht="12" customHeight="1" spans="1:54">
      <c r="A3" s="48" t="s">
        <v>4869</v>
      </c>
      <c r="B3" s="46" t="s">
        <v>4870</v>
      </c>
      <c r="C3" s="44"/>
      <c r="F3" s="25"/>
      <c r="G3" s="36"/>
      <c r="H3" s="49"/>
      <c r="I3" s="45" t="s">
        <v>7</v>
      </c>
      <c r="J3" s="46" t="s">
        <v>4871</v>
      </c>
      <c r="K3" s="25"/>
      <c r="L3" s="25"/>
      <c r="M3" s="25"/>
      <c r="N3" s="46"/>
      <c r="O3" s="46"/>
      <c r="P3" s="46"/>
      <c r="Q3" s="38"/>
      <c r="R3" s="38"/>
      <c r="S3" s="47">
        <v>20</v>
      </c>
      <c r="T3" s="47">
        <v>10</v>
      </c>
      <c r="U3" s="47"/>
      <c r="V3" s="47"/>
      <c r="W3" s="47">
        <v>5</v>
      </c>
      <c r="X3" s="47">
        <v>5</v>
      </c>
      <c r="Y3" s="47">
        <v>5</v>
      </c>
      <c r="Z3" s="47">
        <v>2</v>
      </c>
      <c r="AA3" s="47">
        <v>10</v>
      </c>
      <c r="AB3" s="25"/>
      <c r="AC3" s="25"/>
      <c r="AD3" s="25"/>
      <c r="AE3" s="25"/>
      <c r="AF3" s="25"/>
      <c r="AG3" s="25"/>
      <c r="AH3" s="42"/>
      <c r="AI3" s="43"/>
      <c r="AJ3" s="25"/>
      <c r="AK3" s="25"/>
      <c r="AL3" s="25"/>
    </row>
    <row r="4" ht="12" customHeight="1" spans="1:54">
      <c r="A4" s="50" t="s">
        <v>4869</v>
      </c>
      <c r="B4" s="46" t="s">
        <v>4872</v>
      </c>
      <c r="C4" s="44"/>
      <c r="F4" s="25"/>
      <c r="G4" s="36"/>
      <c r="H4" s="49"/>
      <c r="I4" s="45" t="s">
        <v>8</v>
      </c>
      <c r="J4" s="46" t="s">
        <v>4873</v>
      </c>
      <c r="K4" s="25"/>
      <c r="L4" s="25"/>
      <c r="M4" s="25"/>
      <c r="N4" s="46"/>
      <c r="O4" s="46"/>
      <c r="P4" s="46"/>
      <c r="Q4" s="38"/>
      <c r="R4" s="38"/>
      <c r="S4" s="47">
        <v>15</v>
      </c>
      <c r="T4" s="47">
        <v>10</v>
      </c>
      <c r="U4" s="47"/>
      <c r="V4" s="47"/>
      <c r="W4" s="47">
        <v>5</v>
      </c>
      <c r="X4" s="47">
        <v>5</v>
      </c>
      <c r="Y4" s="47">
        <v>5</v>
      </c>
      <c r="Z4" s="47">
        <v>2</v>
      </c>
      <c r="AA4" s="47">
        <v>10</v>
      </c>
      <c r="AB4" s="25"/>
      <c r="AC4" s="25"/>
      <c r="AD4" s="25"/>
      <c r="AE4" s="25"/>
      <c r="AF4" s="25"/>
      <c r="AG4" s="25"/>
      <c r="AH4" s="42"/>
      <c r="AI4" s="43"/>
      <c r="AJ4" s="25"/>
      <c r="AK4" s="25"/>
      <c r="AL4" s="25"/>
    </row>
    <row r="5" s="17" customFormat="1" ht="12" customHeight="1" spans="1:54">
      <c r="A5" s="51" t="s">
        <v>4869</v>
      </c>
      <c r="B5" s="46" t="s">
        <v>4874</v>
      </c>
      <c r="C5" s="44"/>
      <c r="D5" s="24"/>
      <c r="E5" s="25"/>
      <c r="F5" s="25"/>
      <c r="G5" s="36"/>
      <c r="H5" s="37"/>
      <c r="I5" s="45" t="s">
        <v>9</v>
      </c>
      <c r="J5" s="46" t="s">
        <v>4875</v>
      </c>
      <c r="K5" s="25"/>
      <c r="L5" s="25"/>
      <c r="M5" s="52">
        <f>SUM(M10:M171)</f>
        <v>0.747</v>
      </c>
      <c r="N5" s="46"/>
      <c r="O5" s="46"/>
      <c r="P5" s="46"/>
      <c r="Q5" s="53"/>
      <c r="R5" s="53"/>
      <c r="S5" s="47">
        <v>10</v>
      </c>
      <c r="T5" s="47">
        <v>10</v>
      </c>
      <c r="U5" s="47"/>
      <c r="V5" s="47"/>
      <c r="W5" s="47">
        <v>5</v>
      </c>
      <c r="X5" s="47">
        <v>5</v>
      </c>
      <c r="Y5" s="47">
        <v>5</v>
      </c>
      <c r="Z5" s="47">
        <v>2</v>
      </c>
      <c r="AA5" s="47">
        <v>10</v>
      </c>
      <c r="AB5" s="54"/>
      <c r="AC5" s="54"/>
      <c r="AD5" s="54"/>
      <c r="AE5" s="54"/>
      <c r="AF5" s="54"/>
      <c r="AG5" s="54"/>
      <c r="AH5" s="55"/>
      <c r="AI5" s="56"/>
      <c r="AJ5" s="57"/>
      <c r="AK5" s="57"/>
      <c r="AL5" s="58"/>
      <c r="BB5" s="59"/>
    </row>
    <row r="6" s="18" customFormat="1" ht="24.95" customHeight="1" spans="1:54">
      <c r="A6" s="60" t="s">
        <v>11</v>
      </c>
      <c r="B6" s="60" t="s">
        <v>49</v>
      </c>
      <c r="C6" s="60" t="s">
        <v>4876</v>
      </c>
      <c r="D6" s="60" t="s">
        <v>4877</v>
      </c>
      <c r="E6" s="60" t="s">
        <v>12</v>
      </c>
      <c r="F6" s="61" t="s">
        <v>4878</v>
      </c>
      <c r="G6" s="60" t="s">
        <v>4879</v>
      </c>
      <c r="H6" s="60" t="s">
        <v>4880</v>
      </c>
      <c r="I6" s="60" t="s">
        <v>19</v>
      </c>
      <c r="J6" s="60" t="s">
        <v>4881</v>
      </c>
      <c r="K6" s="61" t="s">
        <v>4882</v>
      </c>
      <c r="L6" s="61" t="s">
        <v>4882</v>
      </c>
      <c r="M6" s="61" t="s">
        <v>4882</v>
      </c>
      <c r="N6" s="61" t="s">
        <v>4882</v>
      </c>
      <c r="O6" s="61" t="s">
        <v>4882</v>
      </c>
      <c r="P6" s="61" t="s">
        <v>4882</v>
      </c>
      <c r="Q6" s="60" t="s">
        <v>4883</v>
      </c>
      <c r="R6" s="60" t="s">
        <v>33</v>
      </c>
      <c r="S6" s="60" t="s">
        <v>4884</v>
      </c>
      <c r="T6" s="60" t="s">
        <v>35</v>
      </c>
      <c r="U6" s="60" t="s">
        <v>36</v>
      </c>
      <c r="V6" s="60" t="s">
        <v>38</v>
      </c>
      <c r="W6" s="60" t="s">
        <v>39</v>
      </c>
      <c r="X6" s="60" t="s">
        <v>40</v>
      </c>
      <c r="Y6" s="60" t="s">
        <v>41</v>
      </c>
      <c r="Z6" s="60" t="s">
        <v>42</v>
      </c>
      <c r="AA6" s="60" t="s">
        <v>4885</v>
      </c>
      <c r="AB6" s="60" t="s">
        <v>4759</v>
      </c>
      <c r="AC6" s="60" t="s">
        <v>4886</v>
      </c>
      <c r="AD6" s="60" t="s">
        <v>4766</v>
      </c>
      <c r="AE6" s="60" t="s">
        <v>45</v>
      </c>
      <c r="AF6" s="60" t="s">
        <v>4887</v>
      </c>
      <c r="AG6" s="60" t="s">
        <v>47</v>
      </c>
      <c r="AH6" s="60" t="s">
        <v>4888</v>
      </c>
      <c r="AI6" s="60" t="s">
        <v>4889</v>
      </c>
      <c r="AJ6" s="60" t="s">
        <v>48</v>
      </c>
      <c r="AK6" s="60" t="s">
        <v>4890</v>
      </c>
      <c r="AL6" s="60" t="s">
        <v>4891</v>
      </c>
      <c r="AM6" s="62">
        <v>40329</v>
      </c>
      <c r="AN6" s="63">
        <v>40359</v>
      </c>
      <c r="AO6" s="63">
        <v>40390</v>
      </c>
      <c r="AP6" s="63">
        <v>40421</v>
      </c>
      <c r="AQ6" s="63">
        <v>40451</v>
      </c>
      <c r="AR6" s="63">
        <v>40482</v>
      </c>
      <c r="AS6" s="63">
        <v>40512</v>
      </c>
      <c r="AT6" s="63">
        <v>40543</v>
      </c>
      <c r="AU6" s="63">
        <v>40574</v>
      </c>
      <c r="AV6" s="63">
        <v>40602</v>
      </c>
      <c r="AW6" s="63">
        <f ca="1">TODAY()</f>
        <v>46302</v>
      </c>
      <c r="BB6" s="64"/>
    </row>
    <row r="7" s="18" customFormat="1" ht="24.95" customHeight="1" spans="1:54">
      <c r="A7" s="65"/>
      <c r="B7" s="65"/>
      <c r="C7" s="65"/>
      <c r="D7" s="65"/>
      <c r="E7" s="65"/>
      <c r="F7" s="61" t="s">
        <v>4892</v>
      </c>
      <c r="G7" s="65"/>
      <c r="H7" s="65"/>
      <c r="I7" s="65"/>
      <c r="J7" s="65"/>
      <c r="K7" s="61"/>
      <c r="L7" s="61"/>
      <c r="M7" s="61"/>
      <c r="N7" s="61"/>
      <c r="O7" s="61"/>
      <c r="P7" s="61"/>
      <c r="Q7" s="65"/>
      <c r="R7" s="65"/>
      <c r="S7" s="65"/>
      <c r="T7" s="65"/>
      <c r="U7" s="65"/>
      <c r="V7" s="65"/>
      <c r="W7" s="65"/>
      <c r="X7" s="65"/>
      <c r="Y7" s="65"/>
      <c r="Z7" s="65"/>
      <c r="AA7" s="65"/>
      <c r="AB7" s="65"/>
      <c r="AC7" s="65"/>
      <c r="AD7" s="65"/>
      <c r="AE7" s="65"/>
      <c r="AF7" s="65"/>
      <c r="AG7" s="65"/>
      <c r="AH7" s="65"/>
      <c r="AI7" s="65"/>
      <c r="AJ7" s="65"/>
      <c r="AK7" s="65"/>
      <c r="AL7" s="65"/>
      <c r="BB7" s="64"/>
    </row>
    <row r="8" s="19" customFormat="1" ht="11.25" customHeight="1" spans="1:54">
      <c r="A8" s="66"/>
      <c r="B8" s="66"/>
      <c r="C8" s="66"/>
      <c r="D8" s="67"/>
      <c r="E8" s="67"/>
      <c r="F8" s="67"/>
      <c r="G8" s="68"/>
      <c r="H8" s="67"/>
      <c r="I8" s="67"/>
      <c r="J8" s="67"/>
      <c r="K8" s="67"/>
      <c r="L8" s="67"/>
      <c r="M8" s="67"/>
      <c r="N8" s="67"/>
      <c r="O8" s="67"/>
      <c r="P8" s="67"/>
      <c r="Q8" s="67" t="s">
        <v>51</v>
      </c>
      <c r="R8" s="67" t="s">
        <v>4893</v>
      </c>
      <c r="S8" s="67" t="s">
        <v>4894</v>
      </c>
      <c r="T8" s="67" t="s">
        <v>4894</v>
      </c>
      <c r="U8" s="67" t="s">
        <v>4895</v>
      </c>
      <c r="V8" s="67" t="s">
        <v>4896</v>
      </c>
      <c r="W8" s="67" t="s">
        <v>4897</v>
      </c>
      <c r="X8" s="67" t="s">
        <v>4894</v>
      </c>
      <c r="Y8" s="67" t="s">
        <v>4896</v>
      </c>
      <c r="Z8" s="67" t="s">
        <v>4895</v>
      </c>
      <c r="AA8" s="67" t="s">
        <v>4894</v>
      </c>
      <c r="AB8" s="67" t="s">
        <v>4898</v>
      </c>
      <c r="AC8" s="69"/>
      <c r="AD8" s="67"/>
      <c r="AE8" s="70"/>
      <c r="AF8" s="71" t="s">
        <v>4899</v>
      </c>
      <c r="AG8" s="67"/>
      <c r="AH8" s="72"/>
      <c r="AI8" s="73"/>
      <c r="AJ8" s="67"/>
      <c r="AK8" s="67"/>
      <c r="AL8" s="67"/>
      <c r="BB8" s="74" t="e">
        <f>WORKDAY("7/16/2026",1,$BB$10:$BB$141)</f>
        <v>#REF!</v>
      </c>
    </row>
    <row r="9" s="19" customFormat="1" ht="12.35" spans="1:54">
      <c r="A9" s="66"/>
      <c r="B9" s="66"/>
      <c r="C9" s="66"/>
      <c r="D9" s="67"/>
      <c r="E9" s="67"/>
      <c r="F9" s="67"/>
      <c r="G9" s="68"/>
      <c r="H9" s="67"/>
      <c r="I9" s="67"/>
      <c r="J9" s="67"/>
      <c r="K9" s="67"/>
      <c r="L9" s="67"/>
      <c r="M9" s="67"/>
      <c r="N9" s="67"/>
      <c r="O9" s="67"/>
      <c r="P9" s="67"/>
      <c r="Q9" s="75" t="s">
        <v>4900</v>
      </c>
      <c r="R9" s="75"/>
      <c r="S9" s="75"/>
      <c r="T9" s="75"/>
      <c r="U9" s="75"/>
      <c r="V9" s="75"/>
      <c r="W9" s="75"/>
      <c r="X9" s="75"/>
      <c r="Y9" s="75"/>
      <c r="Z9" s="75" t="s">
        <v>4899</v>
      </c>
      <c r="AA9" s="75"/>
      <c r="AB9" s="75">
        <v>0.95</v>
      </c>
      <c r="AC9" s="76"/>
      <c r="AD9" s="75"/>
      <c r="AE9" s="77"/>
      <c r="AF9" s="78"/>
      <c r="AG9" s="75"/>
      <c r="AH9" s="79"/>
      <c r="AI9" s="80"/>
      <c r="AJ9" s="75"/>
      <c r="AK9" s="75"/>
      <c r="AL9" s="75"/>
      <c r="BB9" s="74"/>
    </row>
    <row r="10" s="20" customFormat="1" ht="18" customHeight="1" spans="1:54">
      <c r="A10" s="81">
        <v>1</v>
      </c>
      <c r="B10" s="82" t="s">
        <v>4901</v>
      </c>
      <c r="C10" s="83" t="s">
        <v>4902</v>
      </c>
      <c r="D10" s="84" t="s">
        <v>4903</v>
      </c>
      <c r="E10" s="85" t="s">
        <v>4767</v>
      </c>
      <c r="F10" s="86" t="str">
        <f>IF(_xlfn.XLOOKUP(E10,'[36]Before Award'!D:D,'[36]Before Award'!AV:AV,"N/A")="N/A","N","Y")</f>
        <v>N</v>
      </c>
      <c r="G10" s="87" t="s">
        <v>4904</v>
      </c>
      <c r="H10" s="88" t="s">
        <v>4768</v>
      </c>
      <c r="I10" s="85" t="s">
        <v>6</v>
      </c>
      <c r="J10" s="86"/>
      <c r="K10" s="89">
        <f>M12</f>
        <v>0.02</v>
      </c>
      <c r="L10" s="89"/>
      <c r="M10" s="89"/>
      <c r="N10" s="85"/>
      <c r="O10" s="85"/>
      <c r="P10" s="85"/>
      <c r="Q10" s="90" t="s">
        <v>4905</v>
      </c>
      <c r="R10" s="91">
        <f>'Before Award'!U17+5</f>
        <v>46222</v>
      </c>
      <c r="S10" s="91" t="e">
        <f>WORKDAY(R10,INDEX(S$2:S$5,MATCH($I10,$I$2:$I$5,0)),$BB$10:$BB$141)</f>
        <v>#REF!</v>
      </c>
      <c r="T10" s="91" t="e">
        <f>WORKDAY(S10,INDEX(T$2:T$5,MATCH($I10,$I$2:$I$5,0)),$BB$10:$BB$141)</f>
        <v>#REF!</v>
      </c>
      <c r="U10" s="91" t="e">
        <f>T10+60</f>
        <v>#REF!</v>
      </c>
      <c r="V10" s="91"/>
      <c r="W10" s="91">
        <f>AB10-35</f>
        <v>46532</v>
      </c>
      <c r="X10" s="91"/>
      <c r="Y10" s="91"/>
      <c r="Z10" s="91"/>
      <c r="AA10" s="91"/>
      <c r="AB10" s="91">
        <f>'Before Award'!X17</f>
        <v>46567</v>
      </c>
      <c r="AC10" s="92" t="s">
        <v>4906</v>
      </c>
      <c r="AD10" s="93">
        <v>14</v>
      </c>
      <c r="AE10" s="94">
        <v>350</v>
      </c>
      <c r="AF10" s="95" t="e">
        <f>AB11</f>
        <v>#REF!</v>
      </c>
      <c r="AG10" s="96">
        <f>WORKDAY(AH10+1+AI10,-1,$BA$10:$BA$141)</f>
        <v>46567</v>
      </c>
      <c r="AH10" s="97">
        <v>46507</v>
      </c>
      <c r="AI10" s="98">
        <v>60</v>
      </c>
      <c r="AJ10" s="93" t="e">
        <f>AG10-AF10</f>
        <v>#REF!</v>
      </c>
      <c r="AK10" s="99"/>
      <c r="AL10" s="100"/>
      <c r="AM10" s="101">
        <f t="shared" ref="AM10:AW10" si="0">IF(ISERROR(LOOKUP(AM$6,$S10:$AB10,$S$9:$AB$9)),0,(LOOKUP(AM$6,$S10:$AB10,$S$9:$AB$9)))</f>
        <v>0</v>
      </c>
      <c r="AN10" s="102">
        <f t="shared" si="0"/>
        <v>0</v>
      </c>
      <c r="AO10" s="102">
        <f t="shared" si="0"/>
        <v>0</v>
      </c>
      <c r="AP10" s="102">
        <f t="shared" si="0"/>
        <v>0</v>
      </c>
      <c r="AQ10" s="102">
        <f t="shared" si="0"/>
        <v>0</v>
      </c>
      <c r="AR10" s="102">
        <f t="shared" si="0"/>
        <v>0</v>
      </c>
      <c r="AS10" s="102">
        <f t="shared" si="0"/>
        <v>0</v>
      </c>
      <c r="AT10" s="102">
        <f t="shared" si="0"/>
        <v>0</v>
      </c>
      <c r="AU10" s="102">
        <f t="shared" si="0"/>
        <v>0</v>
      </c>
      <c r="AV10" s="102">
        <f t="shared" si="0"/>
        <v>0</v>
      </c>
      <c r="AW10" s="102">
        <f ca="1" t="shared" si="0"/>
        <v>0</v>
      </c>
      <c r="BB10" s="103" t="e" cm="1">
        <f t="array" ref="BB10:BB88">'[36]Equipment List and MR List (3)'!$A$2:$A$80</f>
        <v>#REF!</v>
      </c>
    </row>
    <row r="11" s="20" customFormat="1" ht="18" customHeight="1" spans="1:54">
      <c r="A11" s="104"/>
      <c r="B11" s="105"/>
      <c r="C11" s="106"/>
      <c r="D11" s="107" t="str">
        <f>D10</f>
        <v>MEC</v>
      </c>
      <c r="E11" s="108" t="str">
        <f>E10</f>
        <v>RFQ-001</v>
      </c>
      <c r="F11" s="109" t="str">
        <f>F10</f>
        <v>N</v>
      </c>
      <c r="G11" s="110"/>
      <c r="H11" s="111" t="str">
        <f>H10</f>
        <v>Pedestal Crane</v>
      </c>
      <c r="I11" s="108" t="str">
        <f>I10</f>
        <v>LA</v>
      </c>
      <c r="J11" s="109"/>
      <c r="K11" s="112"/>
      <c r="L11" s="112">
        <f>M12</f>
        <v>0.02</v>
      </c>
      <c r="M11" s="112"/>
      <c r="N11" s="108"/>
      <c r="O11" s="108"/>
      <c r="P11" s="108"/>
      <c r="Q11" s="113" t="s">
        <v>4907</v>
      </c>
      <c r="R11" s="114">
        <f>'Before Award'!U18+5</f>
        <v>46222</v>
      </c>
      <c r="S11" s="115" t="e">
        <f>WORKDAY(IF(R12="",R11,R12),INDEX(S$2:S$5,MATCH($I10,$I$2:$I$5,0)),$BB$10:$BB$141)</f>
        <v>#REF!</v>
      </c>
      <c r="T11" s="115" t="e">
        <f>WORKDAY(IF(S12="",S11,S12),INDEX(T$2:T$5,MATCH($I10,$I$2:$I$5,0)),$BB$10:$BB$141)</f>
        <v>#REF!</v>
      </c>
      <c r="U11" s="115"/>
      <c r="V11" s="115"/>
      <c r="W11" s="115" t="e">
        <f>WORKDAY(IF(V12="",V11,V12),INDEX(W$2:W$5,MATCH($I10,$I$2:$I$5,0)),$BB$10:$BB$141)</f>
        <v>#REF!</v>
      </c>
      <c r="X11" s="115" t="e">
        <f>WORKDAY(IF(W12="",W11,W12),INDEX(X$2:X$5,MATCH($I10,$I$2:$I$5,0)),$BB$10:$BB$141)</f>
        <v>#REF!</v>
      </c>
      <c r="Y11" s="115" t="e">
        <f>WORKDAY(IF(X12="",X11,X12),INDEX(Y$2:Y$5,MATCH($I10,$I$2:$I$5,0)),$BB$10:$BB$141)</f>
        <v>#REF!</v>
      </c>
      <c r="Z11" s="115" t="e">
        <f>WORKDAY(IF(Y12="",Y11,Y12),INDEX(Z$2:Z$5,MATCH($I10,$I$2:$I$5,0)),$BB$10:$BB$141)</f>
        <v>#REF!</v>
      </c>
      <c r="AA11" s="115" t="e">
        <f>WORKDAY(IF(Z12="",X11,Z12),INDEX(AA$2:AA$5,MATCH($I10,$I$2:$I$5,0)),$BB$10:$BB$141)</f>
        <v>#REF!</v>
      </c>
      <c r="AB11" s="116" t="e">
        <f>WORKDAY(AE10+#REF!,0,'[36]Equipment List and MR List (3)'!$A$2:$A$80)</f>
        <v>#REF!</v>
      </c>
      <c r="AC11" s="117"/>
      <c r="AD11" s="118"/>
      <c r="AE11" s="94"/>
      <c r="AF11" s="119"/>
      <c r="AG11" s="120"/>
      <c r="AH11" s="121"/>
      <c r="AI11" s="122"/>
      <c r="AJ11" s="118"/>
      <c r="AK11" s="123"/>
      <c r="AL11" s="124"/>
      <c r="AM11" s="101">
        <f t="shared" ref="AM11:AW11" si="1">IF(ISERROR(LOOKUP(AM$6,$S11:$AB11,$S$9:$AB$9)),0,(LOOKUP(AM$6,$S11:$AB11,$S$9:$AB$9)))</f>
        <v>0</v>
      </c>
      <c r="AN11" s="102">
        <f t="shared" si="1"/>
        <v>0</v>
      </c>
      <c r="AO11" s="102">
        <f t="shared" si="1"/>
        <v>0</v>
      </c>
      <c r="AP11" s="102">
        <f t="shared" si="1"/>
        <v>0</v>
      </c>
      <c r="AQ11" s="102">
        <f t="shared" si="1"/>
        <v>0</v>
      </c>
      <c r="AR11" s="102">
        <f t="shared" si="1"/>
        <v>0</v>
      </c>
      <c r="AS11" s="102">
        <f t="shared" si="1"/>
        <v>0</v>
      </c>
      <c r="AT11" s="102">
        <f t="shared" si="1"/>
        <v>0</v>
      </c>
      <c r="AU11" s="102">
        <f t="shared" si="1"/>
        <v>0</v>
      </c>
      <c r="AV11" s="102">
        <f t="shared" si="1"/>
        <v>0</v>
      </c>
      <c r="AW11" s="102">
        <f ca="1" t="shared" si="1"/>
        <v>0</v>
      </c>
      <c r="BB11" s="103" t="e">
        <v>#REF!</v>
      </c>
    </row>
    <row r="12" s="20" customFormat="1" ht="18" customHeight="1" spans="1:54">
      <c r="A12" s="125"/>
      <c r="B12" s="126"/>
      <c r="C12" s="127"/>
      <c r="D12" s="128" t="str">
        <f>D10</f>
        <v>MEC</v>
      </c>
      <c r="E12" s="129" t="str">
        <f>E10</f>
        <v>RFQ-001</v>
      </c>
      <c r="F12" s="130" t="str">
        <f>F10</f>
        <v>N</v>
      </c>
      <c r="G12" s="131"/>
      <c r="H12" s="111" t="str">
        <f>H10</f>
        <v>Pedestal Crane</v>
      </c>
      <c r="I12" s="129" t="str">
        <f>I10</f>
        <v>LA</v>
      </c>
      <c r="J12" s="130"/>
      <c r="K12" s="132"/>
      <c r="L12" s="132"/>
      <c r="M12" s="132">
        <v>0.02</v>
      </c>
      <c r="N12" s="129"/>
      <c r="O12" s="129"/>
      <c r="P12" s="129"/>
      <c r="Q12" s="133" t="s">
        <v>4908</v>
      </c>
      <c r="R12" s="133"/>
      <c r="S12" s="133"/>
      <c r="T12" s="133"/>
      <c r="U12" s="133"/>
      <c r="V12" s="133"/>
      <c r="W12" s="133"/>
      <c r="X12" s="133"/>
      <c r="Y12" s="133"/>
      <c r="Z12" s="133"/>
      <c r="AA12" s="133"/>
      <c r="AB12" s="133"/>
      <c r="AC12" s="134"/>
      <c r="AD12" s="135"/>
      <c r="AE12" s="94"/>
      <c r="AF12" s="136"/>
      <c r="AG12" s="137"/>
      <c r="AH12" s="138"/>
      <c r="AI12" s="139"/>
      <c r="AJ12" s="135"/>
      <c r="AK12" s="140"/>
      <c r="AL12" s="141"/>
      <c r="AM12" s="142">
        <f t="shared" ref="AM12:AW12" si="2">IF(ISERROR(LOOKUP(AM$6,$S12:$AB12,$S$9:$AB$9)),0,(LOOKUP(AM$6,$S12:$AB12,$S$9:$AB$9)))</f>
        <v>0</v>
      </c>
      <c r="AN12" s="143">
        <f t="shared" si="2"/>
        <v>0</v>
      </c>
      <c r="AO12" s="143">
        <f t="shared" si="2"/>
        <v>0</v>
      </c>
      <c r="AP12" s="143">
        <f t="shared" si="2"/>
        <v>0</v>
      </c>
      <c r="AQ12" s="143">
        <f t="shared" si="2"/>
        <v>0</v>
      </c>
      <c r="AR12" s="143">
        <f t="shared" si="2"/>
        <v>0</v>
      </c>
      <c r="AS12" s="143">
        <f t="shared" si="2"/>
        <v>0</v>
      </c>
      <c r="AT12" s="143">
        <f t="shared" si="2"/>
        <v>0</v>
      </c>
      <c r="AU12" s="143">
        <f t="shared" si="2"/>
        <v>0</v>
      </c>
      <c r="AV12" s="143">
        <f t="shared" si="2"/>
        <v>0</v>
      </c>
      <c r="AW12" s="143">
        <f ca="1" t="shared" si="2"/>
        <v>0</v>
      </c>
      <c r="BB12" s="103" t="e">
        <v>#REF!</v>
      </c>
    </row>
    <row r="13" s="20" customFormat="1" ht="18" customHeight="1" spans="1:54">
      <c r="A13" s="81">
        <f>A10+1</f>
        <v>2</v>
      </c>
      <c r="B13" s="83"/>
      <c r="C13" s="83" t="s">
        <v>4902</v>
      </c>
      <c r="D13" s="84" t="s">
        <v>4903</v>
      </c>
      <c r="E13" s="85" t="s">
        <v>4770</v>
      </c>
      <c r="F13" s="86" t="s">
        <v>72</v>
      </c>
      <c r="G13" s="87" t="s">
        <v>4909</v>
      </c>
      <c r="H13" s="86" t="s">
        <v>70</v>
      </c>
      <c r="I13" s="85" t="s">
        <v>6</v>
      </c>
      <c r="J13" s="86"/>
      <c r="K13" s="89">
        <f>M15</f>
        <v>0.07</v>
      </c>
      <c r="L13" s="89"/>
      <c r="M13" s="89"/>
      <c r="N13" s="85"/>
      <c r="O13" s="85"/>
      <c r="P13" s="85"/>
      <c r="Q13" s="90" t="s">
        <v>4905</v>
      </c>
      <c r="R13" s="91">
        <f>'Before Award'!U20+5</f>
        <v>46398</v>
      </c>
      <c r="S13" s="91" t="e">
        <f>WORKDAY(R13,INDEX(S$2:S$5,MATCH($I13,$I$2:$I$5,0)),$BB$10:$BB$141)</f>
        <v>#REF!</v>
      </c>
      <c r="T13" s="91" t="e">
        <f>WORKDAY(S13,INDEX(T$2:T$5,MATCH($I13,$I$2:$I$5,0)),$BB$10:$BB$141)</f>
        <v>#REF!</v>
      </c>
      <c r="U13" s="91" t="e">
        <f>T13+60</f>
        <v>#REF!</v>
      </c>
      <c r="V13" s="91"/>
      <c r="W13" s="91">
        <f>AB13-35</f>
        <v>46533</v>
      </c>
      <c r="X13" s="91"/>
      <c r="Y13" s="91"/>
      <c r="Z13" s="91"/>
      <c r="AA13" s="91"/>
      <c r="AB13" s="91">
        <f>'Before Award'!X20</f>
        <v>46568</v>
      </c>
      <c r="AC13" s="92" t="s">
        <v>4906</v>
      </c>
      <c r="AD13" s="93">
        <v>14</v>
      </c>
      <c r="AE13" s="144">
        <v>175</v>
      </c>
      <c r="AF13" s="95" t="e">
        <f>AB14</f>
        <v>#REF!</v>
      </c>
      <c r="AG13" s="96">
        <f>WORKDAY(AH13+1,-1,$BA$10:$BA$141)</f>
        <v>46568</v>
      </c>
      <c r="AH13" s="97">
        <v>46568</v>
      </c>
      <c r="AI13" s="98"/>
      <c r="AJ13" s="93" t="e">
        <f>AG13-AF13</f>
        <v>#REF!</v>
      </c>
      <c r="AK13" s="99"/>
      <c r="AL13" s="100"/>
      <c r="AM13" s="101">
        <f t="shared" ref="AM13:AW13" si="3">IF(ISERROR(LOOKUP(AM$6,$S13:$AB13,$S$9:$AB$9)),0,(LOOKUP(AM$6,$S13:$AB13,$S$9:$AB$9)))</f>
        <v>0</v>
      </c>
      <c r="AN13" s="102">
        <f t="shared" si="3"/>
        <v>0</v>
      </c>
      <c r="AO13" s="102">
        <f t="shared" si="3"/>
        <v>0</v>
      </c>
      <c r="AP13" s="102">
        <f t="shared" si="3"/>
        <v>0</v>
      </c>
      <c r="AQ13" s="102">
        <f t="shared" si="3"/>
        <v>0</v>
      </c>
      <c r="AR13" s="102">
        <f t="shared" si="3"/>
        <v>0</v>
      </c>
      <c r="AS13" s="102">
        <f t="shared" si="3"/>
        <v>0</v>
      </c>
      <c r="AT13" s="102">
        <f t="shared" si="3"/>
        <v>0</v>
      </c>
      <c r="AU13" s="102">
        <f t="shared" si="3"/>
        <v>0</v>
      </c>
      <c r="AV13" s="102">
        <f t="shared" si="3"/>
        <v>0</v>
      </c>
      <c r="AW13" s="102">
        <f ca="1" t="shared" si="3"/>
        <v>0</v>
      </c>
      <c r="BB13" s="103" t="e">
        <v>#REF!</v>
      </c>
    </row>
    <row r="14" s="20" customFormat="1" ht="18" customHeight="1" spans="1:54">
      <c r="A14" s="104"/>
      <c r="B14" s="106"/>
      <c r="C14" s="106"/>
      <c r="D14" s="107" t="str">
        <f>D13</f>
        <v>MEC</v>
      </c>
      <c r="E14" s="108" t="str">
        <f>E13</f>
        <v>RFQ-002</v>
      </c>
      <c r="F14" s="109" t="str">
        <f>F13</f>
        <v>N</v>
      </c>
      <c r="G14" s="110"/>
      <c r="H14" s="109" t="str">
        <f>H13</f>
        <v>Material Handling Equipment</v>
      </c>
      <c r="I14" s="108" t="str">
        <f>I13</f>
        <v>LA</v>
      </c>
      <c r="J14" s="109"/>
      <c r="K14" s="112"/>
      <c r="L14" s="112">
        <f>M15</f>
        <v>0.07</v>
      </c>
      <c r="M14" s="112"/>
      <c r="N14" s="108"/>
      <c r="O14" s="108"/>
      <c r="P14" s="108"/>
      <c r="Q14" s="113" t="s">
        <v>4907</v>
      </c>
      <c r="R14" s="114">
        <f>R13</f>
        <v>46398</v>
      </c>
      <c r="S14" s="114" t="e">
        <f>S13</f>
        <v>#REF!</v>
      </c>
      <c r="T14" s="115" t="e">
        <f>T13</f>
        <v>#REF!</v>
      </c>
      <c r="U14" s="115" t="e">
        <f t="shared" ref="U14:Z14" si="4">WORKDAY(IF(T15="",T14,T15),INDEX(U$2:U$5,MATCH($I13,$I$2:$I$5,0)),$BB$10:$BB$141)</f>
        <v>#REF!</v>
      </c>
      <c r="V14" s="115" t="e">
        <f t="shared" si="4"/>
        <v>#REF!</v>
      </c>
      <c r="W14" s="115" t="e">
        <f t="shared" si="4"/>
        <v>#REF!</v>
      </c>
      <c r="X14" s="115" t="e">
        <f t="shared" si="4"/>
        <v>#REF!</v>
      </c>
      <c r="Y14" s="115" t="e">
        <f t="shared" si="4"/>
        <v>#REF!</v>
      </c>
      <c r="Z14" s="115" t="e">
        <f t="shared" si="4"/>
        <v>#REF!</v>
      </c>
      <c r="AA14" s="115" t="e">
        <f>WORKDAY(IF(Z15="",X14,Z15),INDEX(AA$2:AA$5,MATCH($I13,$I$2:$I$5,0)),$BB$10:$BB$141)</f>
        <v>#REF!</v>
      </c>
      <c r="AB14" s="116" t="e">
        <f>WORKDAY(AE13+#REF!,0,'[36]Equipment List and MR List (3)'!$A$2:$A$80)</f>
        <v>#REF!</v>
      </c>
      <c r="AC14" s="117"/>
      <c r="AD14" s="118"/>
      <c r="AE14" s="144"/>
      <c r="AF14" s="119"/>
      <c r="AG14" s="120"/>
      <c r="AH14" s="121"/>
      <c r="AI14" s="122"/>
      <c r="AJ14" s="118"/>
      <c r="AK14" s="123"/>
      <c r="AL14" s="124"/>
      <c r="AM14" s="101">
        <f t="shared" ref="AM14:AW14" si="5">IF(ISERROR(LOOKUP(AM$6,$S14:$AB14,$S$9:$AB$9)),0,(LOOKUP(AM$6,$S14:$AB14,$S$9:$AB$9)))</f>
        <v>0</v>
      </c>
      <c r="AN14" s="102">
        <f t="shared" si="5"/>
        <v>0</v>
      </c>
      <c r="AO14" s="102">
        <f t="shared" si="5"/>
        <v>0</v>
      </c>
      <c r="AP14" s="102">
        <f t="shared" si="5"/>
        <v>0</v>
      </c>
      <c r="AQ14" s="102">
        <f t="shared" si="5"/>
        <v>0</v>
      </c>
      <c r="AR14" s="102">
        <f t="shared" si="5"/>
        <v>0</v>
      </c>
      <c r="AS14" s="102">
        <f t="shared" si="5"/>
        <v>0</v>
      </c>
      <c r="AT14" s="102">
        <f t="shared" si="5"/>
        <v>0</v>
      </c>
      <c r="AU14" s="102">
        <f t="shared" si="5"/>
        <v>0</v>
      </c>
      <c r="AV14" s="102">
        <f t="shared" si="5"/>
        <v>0</v>
      </c>
      <c r="AW14" s="102">
        <f ca="1" t="shared" si="5"/>
        <v>0</v>
      </c>
      <c r="BB14" s="103" t="e">
        <v>#REF!</v>
      </c>
    </row>
    <row r="15" s="20" customFormat="1" ht="18" customHeight="1" spans="1:54">
      <c r="A15" s="125"/>
      <c r="B15" s="127"/>
      <c r="C15" s="127"/>
      <c r="D15" s="128" t="str">
        <f>D13</f>
        <v>MEC</v>
      </c>
      <c r="E15" s="129" t="str">
        <f>E13</f>
        <v>RFQ-002</v>
      </c>
      <c r="F15" s="130" t="str">
        <f>F13</f>
        <v>N</v>
      </c>
      <c r="G15" s="131"/>
      <c r="H15" s="130" t="str">
        <f>H13</f>
        <v>Material Handling Equipment</v>
      </c>
      <c r="I15" s="129" t="str">
        <f>I13</f>
        <v>LA</v>
      </c>
      <c r="J15" s="130"/>
      <c r="K15" s="132"/>
      <c r="L15" s="132"/>
      <c r="M15" s="132">
        <v>0.07</v>
      </c>
      <c r="N15" s="129"/>
      <c r="O15" s="129"/>
      <c r="P15" s="129"/>
      <c r="Q15" s="133" t="s">
        <v>4908</v>
      </c>
      <c r="R15" s="133"/>
      <c r="S15" s="133"/>
      <c r="T15" s="133"/>
      <c r="U15" s="133"/>
      <c r="V15" s="133"/>
      <c r="W15" s="133"/>
      <c r="X15" s="133"/>
      <c r="Y15" s="133"/>
      <c r="Z15" s="133"/>
      <c r="AA15" s="133"/>
      <c r="AB15" s="133"/>
      <c r="AC15" s="134"/>
      <c r="AD15" s="135"/>
      <c r="AE15" s="144"/>
      <c r="AF15" s="136"/>
      <c r="AG15" s="137"/>
      <c r="AH15" s="138"/>
      <c r="AI15" s="139"/>
      <c r="AJ15" s="135"/>
      <c r="AK15" s="140"/>
      <c r="AL15" s="141"/>
      <c r="AM15" s="142">
        <f t="shared" ref="AM15:AW15" si="6">IF(ISERROR(LOOKUP(AM$6,$S15:$AB15,$S$9:$AB$9)),0,(LOOKUP(AM$6,$S15:$AB15,$S$9:$AB$9)))</f>
        <v>0</v>
      </c>
      <c r="AN15" s="143">
        <f t="shared" si="6"/>
        <v>0</v>
      </c>
      <c r="AO15" s="143">
        <f t="shared" si="6"/>
        <v>0</v>
      </c>
      <c r="AP15" s="143">
        <f t="shared" si="6"/>
        <v>0</v>
      </c>
      <c r="AQ15" s="143">
        <f t="shared" si="6"/>
        <v>0</v>
      </c>
      <c r="AR15" s="143">
        <f t="shared" si="6"/>
        <v>0</v>
      </c>
      <c r="AS15" s="143">
        <f t="shared" si="6"/>
        <v>0</v>
      </c>
      <c r="AT15" s="143">
        <f t="shared" si="6"/>
        <v>0</v>
      </c>
      <c r="AU15" s="143">
        <f t="shared" si="6"/>
        <v>0</v>
      </c>
      <c r="AV15" s="143">
        <f t="shared" si="6"/>
        <v>0</v>
      </c>
      <c r="AW15" s="143">
        <f ca="1" t="shared" si="6"/>
        <v>0</v>
      </c>
      <c r="BB15" s="103" t="e">
        <v>#REF!</v>
      </c>
    </row>
    <row r="16" s="20" customFormat="1" ht="18" customHeight="1" spans="1:54">
      <c r="A16" s="81">
        <f>A13+1</f>
        <v>3</v>
      </c>
      <c r="B16" s="82" t="s">
        <v>4910</v>
      </c>
      <c r="C16" s="83" t="s">
        <v>4902</v>
      </c>
      <c r="D16" s="84" t="s">
        <v>4903</v>
      </c>
      <c r="E16" s="85" t="s">
        <v>4771</v>
      </c>
      <c r="F16" s="86" t="s">
        <v>63</v>
      </c>
      <c r="G16" s="87" t="s">
        <v>4911</v>
      </c>
      <c r="H16" s="88" t="s">
        <v>76</v>
      </c>
      <c r="I16" s="85" t="s">
        <v>6</v>
      </c>
      <c r="J16" s="86"/>
      <c r="K16" s="89">
        <f>M18</f>
        <v>0.15</v>
      </c>
      <c r="L16" s="89"/>
      <c r="M16" s="89"/>
      <c r="N16" s="85"/>
      <c r="O16" s="85"/>
      <c r="P16" s="85"/>
      <c r="Q16" s="90" t="s">
        <v>4905</v>
      </c>
      <c r="R16" s="91">
        <f>'Before Award'!U23+5</f>
        <v>46291</v>
      </c>
      <c r="S16" s="91" t="e">
        <f>WORKDAY(R16,INDEX(S$2:S$5,MATCH($I16,$I$2:$I$5,0)),$BB$10:$BB$141)</f>
        <v>#REF!</v>
      </c>
      <c r="T16" s="91" t="e">
        <f>WORKDAY(S16,INDEX(T$2:T$5,MATCH($I16,$I$2:$I$5,0)),$BB$10:$BB$141)</f>
        <v>#REF!</v>
      </c>
      <c r="U16" s="91" t="e">
        <f>T16+60</f>
        <v>#REF!</v>
      </c>
      <c r="V16" s="91"/>
      <c r="W16" s="91">
        <f>AB16-35</f>
        <v>46431</v>
      </c>
      <c r="X16" s="91"/>
      <c r="Y16" s="91"/>
      <c r="Z16" s="91"/>
      <c r="AA16" s="91"/>
      <c r="AB16" s="91">
        <f>'Before Award'!X23</f>
        <v>46466</v>
      </c>
      <c r="AC16" s="92" t="s">
        <v>4906</v>
      </c>
      <c r="AD16" s="93">
        <v>7</v>
      </c>
      <c r="AE16" s="144">
        <v>180</v>
      </c>
      <c r="AF16" s="95" t="e">
        <f>AB17</f>
        <v>#REF!</v>
      </c>
      <c r="AG16" s="96">
        <f>WORKDAY(AH16+1,-1,$BA$10:$BA$141)</f>
        <v>46419</v>
      </c>
      <c r="AH16" s="97">
        <v>46419</v>
      </c>
      <c r="AI16" s="98"/>
      <c r="AJ16" s="93" t="e">
        <f>AG16-AF16</f>
        <v>#REF!</v>
      </c>
      <c r="AK16" s="99"/>
      <c r="AL16" s="100"/>
      <c r="AM16" s="101">
        <f t="shared" ref="AM16:AW16" si="7">IF(ISERROR(LOOKUP(AM$6,$S16:$AB16,$S$9:$AB$9)),0,(LOOKUP(AM$6,$S16:$AB16,$S$9:$AB$9)))</f>
        <v>0</v>
      </c>
      <c r="AN16" s="102">
        <f t="shared" si="7"/>
        <v>0</v>
      </c>
      <c r="AO16" s="102">
        <f t="shared" si="7"/>
        <v>0</v>
      </c>
      <c r="AP16" s="102">
        <f t="shared" si="7"/>
        <v>0</v>
      </c>
      <c r="AQ16" s="102">
        <f t="shared" si="7"/>
        <v>0</v>
      </c>
      <c r="AR16" s="102">
        <f t="shared" si="7"/>
        <v>0</v>
      </c>
      <c r="AS16" s="102">
        <f t="shared" si="7"/>
        <v>0</v>
      </c>
      <c r="AT16" s="102">
        <f t="shared" si="7"/>
        <v>0</v>
      </c>
      <c r="AU16" s="102">
        <f t="shared" si="7"/>
        <v>0</v>
      </c>
      <c r="AV16" s="102">
        <f t="shared" si="7"/>
        <v>0</v>
      </c>
      <c r="AW16" s="102">
        <f ca="1" t="shared" si="7"/>
        <v>0</v>
      </c>
      <c r="BB16" s="103" t="e">
        <v>#REF!</v>
      </c>
    </row>
    <row r="17" s="20" customFormat="1" ht="18" customHeight="1" spans="1:54">
      <c r="A17" s="104"/>
      <c r="B17" s="105"/>
      <c r="C17" s="106"/>
      <c r="D17" s="107" t="str">
        <f>D16</f>
        <v>MEC</v>
      </c>
      <c r="E17" s="108" t="str">
        <f>E16</f>
        <v>RFQ-003</v>
      </c>
      <c r="F17" s="109" t="str">
        <f>F16</f>
        <v>Y</v>
      </c>
      <c r="G17" s="110"/>
      <c r="H17" s="111" t="str">
        <f>H16</f>
        <v>Instrument Gas Filter Coalescer</v>
      </c>
      <c r="I17" s="108" t="str">
        <f>I16</f>
        <v>LA</v>
      </c>
      <c r="J17" s="109"/>
      <c r="K17" s="112"/>
      <c r="L17" s="112">
        <f>M18</f>
        <v>0.15</v>
      </c>
      <c r="M17" s="112"/>
      <c r="N17" s="108"/>
      <c r="O17" s="108"/>
      <c r="P17" s="108"/>
      <c r="Q17" s="113" t="s">
        <v>4907</v>
      </c>
      <c r="R17" s="114">
        <f>R16</f>
        <v>46291</v>
      </c>
      <c r="S17" s="114" t="e">
        <f>S16</f>
        <v>#REF!</v>
      </c>
      <c r="T17" s="115" t="e">
        <f>T16</f>
        <v>#REF!</v>
      </c>
      <c r="U17" s="115" t="e">
        <f t="shared" ref="U17:Z17" si="8">WORKDAY(IF(T18="",T17,T18),INDEX(U$2:U$5,MATCH($I16,$I$2:$I$5,0)),$BB$10:$BB$141)</f>
        <v>#REF!</v>
      </c>
      <c r="V17" s="115" t="e">
        <f t="shared" si="8"/>
        <v>#REF!</v>
      </c>
      <c r="W17" s="115" t="e">
        <f t="shared" si="8"/>
        <v>#REF!</v>
      </c>
      <c r="X17" s="115" t="e">
        <f t="shared" si="8"/>
        <v>#REF!</v>
      </c>
      <c r="Y17" s="115" t="e">
        <f t="shared" si="8"/>
        <v>#REF!</v>
      </c>
      <c r="Z17" s="115" t="e">
        <f t="shared" si="8"/>
        <v>#REF!</v>
      </c>
      <c r="AA17" s="115" t="e">
        <f>WORKDAY(IF(Z18="",X17,Z18),INDEX(AA$2:AA$5,MATCH($I16,$I$2:$I$5,0)),$BB$10:$BB$141)</f>
        <v>#REF!</v>
      </c>
      <c r="AB17" s="116" t="e">
        <f>WORKDAY(AE16+#REF!,0,'[36]Equipment List and MR List (3)'!$A$2:$A$80)</f>
        <v>#REF!</v>
      </c>
      <c r="AC17" s="117"/>
      <c r="AD17" s="118"/>
      <c r="AE17" s="144"/>
      <c r="AF17" s="119"/>
      <c r="AG17" s="120"/>
      <c r="AH17" s="121"/>
      <c r="AI17" s="122"/>
      <c r="AJ17" s="118"/>
      <c r="AK17" s="123"/>
      <c r="AL17" s="124"/>
      <c r="AM17" s="101">
        <f t="shared" ref="AM17:AW17" si="9">IF(ISERROR(LOOKUP(AM$6,$S17:$AB17,$S$9:$AB$9)),0,(LOOKUP(AM$6,$S17:$AB17,$S$9:$AB$9)))</f>
        <v>0</v>
      </c>
      <c r="AN17" s="102">
        <f t="shared" si="9"/>
        <v>0</v>
      </c>
      <c r="AO17" s="102">
        <f t="shared" si="9"/>
        <v>0</v>
      </c>
      <c r="AP17" s="102">
        <f t="shared" si="9"/>
        <v>0</v>
      </c>
      <c r="AQ17" s="102">
        <f t="shared" si="9"/>
        <v>0</v>
      </c>
      <c r="AR17" s="102">
        <f t="shared" si="9"/>
        <v>0</v>
      </c>
      <c r="AS17" s="102">
        <f t="shared" si="9"/>
        <v>0</v>
      </c>
      <c r="AT17" s="102">
        <f t="shared" si="9"/>
        <v>0</v>
      </c>
      <c r="AU17" s="102">
        <f t="shared" si="9"/>
        <v>0</v>
      </c>
      <c r="AV17" s="102">
        <f t="shared" si="9"/>
        <v>0</v>
      </c>
      <c r="AW17" s="102">
        <f ca="1" t="shared" si="9"/>
        <v>0</v>
      </c>
      <c r="BB17" s="103" t="e">
        <v>#REF!</v>
      </c>
    </row>
    <row r="18" s="20" customFormat="1" ht="18" customHeight="1" spans="1:54">
      <c r="A18" s="125"/>
      <c r="B18" s="126"/>
      <c r="C18" s="127"/>
      <c r="D18" s="128" t="str">
        <f>D16</f>
        <v>MEC</v>
      </c>
      <c r="E18" s="129" t="str">
        <f>E16</f>
        <v>RFQ-003</v>
      </c>
      <c r="F18" s="130" t="str">
        <f>F16</f>
        <v>Y</v>
      </c>
      <c r="G18" s="131"/>
      <c r="H18" s="111" t="str">
        <f>H16</f>
        <v>Instrument Gas Filter Coalescer</v>
      </c>
      <c r="I18" s="129" t="str">
        <f>I16</f>
        <v>LA</v>
      </c>
      <c r="J18" s="130"/>
      <c r="K18" s="132"/>
      <c r="L18" s="132"/>
      <c r="M18" s="132">
        <v>0.15</v>
      </c>
      <c r="N18" s="129"/>
      <c r="O18" s="129"/>
      <c r="P18" s="129"/>
      <c r="Q18" s="133" t="s">
        <v>4908</v>
      </c>
      <c r="R18" s="133"/>
      <c r="S18" s="133"/>
      <c r="T18" s="133"/>
      <c r="U18" s="133"/>
      <c r="V18" s="133"/>
      <c r="W18" s="133"/>
      <c r="X18" s="133"/>
      <c r="Y18" s="133"/>
      <c r="Z18" s="133"/>
      <c r="AA18" s="133"/>
      <c r="AB18" s="133"/>
      <c r="AC18" s="134"/>
      <c r="AD18" s="135"/>
      <c r="AE18" s="144"/>
      <c r="AF18" s="136"/>
      <c r="AG18" s="137"/>
      <c r="AH18" s="138"/>
      <c r="AI18" s="139"/>
      <c r="AJ18" s="135"/>
      <c r="AK18" s="140"/>
      <c r="AL18" s="141"/>
      <c r="AM18" s="142">
        <f t="shared" ref="AM18:AW18" si="10">IF(ISERROR(LOOKUP(AM$6,$S18:$AB18,$S$9:$AB$9)),0,(LOOKUP(AM$6,$S18:$AB18,$S$9:$AB$9)))</f>
        <v>0</v>
      </c>
      <c r="AN18" s="143">
        <f t="shared" si="10"/>
        <v>0</v>
      </c>
      <c r="AO18" s="143">
        <f t="shared" si="10"/>
        <v>0</v>
      </c>
      <c r="AP18" s="143">
        <f t="shared" si="10"/>
        <v>0</v>
      </c>
      <c r="AQ18" s="143">
        <f t="shared" si="10"/>
        <v>0</v>
      </c>
      <c r="AR18" s="143">
        <f t="shared" si="10"/>
        <v>0</v>
      </c>
      <c r="AS18" s="143">
        <f t="shared" si="10"/>
        <v>0</v>
      </c>
      <c r="AT18" s="143">
        <f t="shared" si="10"/>
        <v>0</v>
      </c>
      <c r="AU18" s="143">
        <f t="shared" si="10"/>
        <v>0</v>
      </c>
      <c r="AV18" s="143">
        <f t="shared" si="10"/>
        <v>0</v>
      </c>
      <c r="AW18" s="143">
        <f ca="1" t="shared" si="10"/>
        <v>0</v>
      </c>
      <c r="BB18" s="103" t="e">
        <v>#REF!</v>
      </c>
    </row>
    <row r="19" s="20" customFormat="1" ht="16.5" customHeight="1" spans="1:54">
      <c r="A19" s="81">
        <f>A16+1</f>
        <v>4</v>
      </c>
      <c r="B19" s="145" t="s">
        <v>4912</v>
      </c>
      <c r="C19" s="83" t="s">
        <v>4902</v>
      </c>
      <c r="D19" s="84" t="s">
        <v>4903</v>
      </c>
      <c r="E19" s="85" t="s">
        <v>4772</v>
      </c>
      <c r="F19" s="86" t="str">
        <f>IF(_xlfn.XLOOKUP(E19,'[36]Before Award'!D:D,'[36]Before Award'!AV:AV,"N/A")="N/A","N","Y")</f>
        <v>N</v>
      </c>
      <c r="G19" s="87" t="s">
        <v>4913</v>
      </c>
      <c r="H19" s="146" t="s">
        <v>4773</v>
      </c>
      <c r="I19" s="85" t="s">
        <v>6</v>
      </c>
      <c r="J19" s="86"/>
      <c r="K19" s="89">
        <f>M21</f>
        <v>0.02</v>
      </c>
      <c r="L19" s="89"/>
      <c r="M19" s="89"/>
      <c r="N19" s="85"/>
      <c r="O19" s="85"/>
      <c r="P19" s="85"/>
      <c r="Q19" s="90" t="s">
        <v>4905</v>
      </c>
      <c r="R19" s="91">
        <f>'Before Award'!U26+5</f>
        <v>46288</v>
      </c>
      <c r="S19" s="91" t="e">
        <f>WORKDAY(R19,INDEX(S$2:S$5,MATCH($I19,$I$2:$I$5,0)),$BB$10:$BB$141)</f>
        <v>#REF!</v>
      </c>
      <c r="T19" s="91" t="e">
        <f>WORKDAY(S19,INDEX(T$2:T$5,MATCH($I19,$I$2:$I$5,0)),$BB$10:$BB$141)</f>
        <v>#REF!</v>
      </c>
      <c r="U19" s="91" t="e">
        <f>T19+60</f>
        <v>#REF!</v>
      </c>
      <c r="V19" s="91"/>
      <c r="W19" s="91">
        <f>AB19-35</f>
        <v>46431</v>
      </c>
      <c r="X19" s="91"/>
      <c r="Y19" s="91"/>
      <c r="Z19" s="91"/>
      <c r="AA19" s="91"/>
      <c r="AB19" s="91">
        <f>'Before Award'!X26</f>
        <v>46466</v>
      </c>
      <c r="AC19" s="92" t="s">
        <v>4906</v>
      </c>
      <c r="AD19" s="93">
        <v>14</v>
      </c>
      <c r="AE19" s="94">
        <v>336</v>
      </c>
      <c r="AF19" s="95" t="e">
        <f>AB20</f>
        <v>#REF!</v>
      </c>
      <c r="AG19" s="96">
        <f>WORKDAY(AH19+1,-1,$BA$10:$BA$141)</f>
        <v>46416</v>
      </c>
      <c r="AH19" s="97">
        <v>46417</v>
      </c>
      <c r="AI19" s="98"/>
      <c r="AJ19" s="93" t="e">
        <f>AG19-AF19</f>
        <v>#REF!</v>
      </c>
      <c r="AK19" s="99"/>
      <c r="AL19" s="100"/>
      <c r="AM19" s="101">
        <f t="shared" ref="AM19:AW19" si="11">IF(ISERROR(LOOKUP(AM$6,$S19:$AB19,$S$9:$AB$9)),0,(LOOKUP(AM$6,$S19:$AB19,$S$9:$AB$9)))</f>
        <v>0</v>
      </c>
      <c r="AN19" s="102">
        <f t="shared" si="11"/>
        <v>0</v>
      </c>
      <c r="AO19" s="102">
        <f t="shared" si="11"/>
        <v>0</v>
      </c>
      <c r="AP19" s="102">
        <f t="shared" si="11"/>
        <v>0</v>
      </c>
      <c r="AQ19" s="102">
        <f t="shared" si="11"/>
        <v>0</v>
      </c>
      <c r="AR19" s="102">
        <f t="shared" si="11"/>
        <v>0</v>
      </c>
      <c r="AS19" s="102">
        <f t="shared" si="11"/>
        <v>0</v>
      </c>
      <c r="AT19" s="102">
        <f t="shared" si="11"/>
        <v>0</v>
      </c>
      <c r="AU19" s="102">
        <f t="shared" si="11"/>
        <v>0</v>
      </c>
      <c r="AV19" s="102">
        <f t="shared" si="11"/>
        <v>0</v>
      </c>
      <c r="AW19" s="102">
        <f ca="1" t="shared" si="11"/>
        <v>0</v>
      </c>
      <c r="BB19" s="103" t="e">
        <v>#REF!</v>
      </c>
    </row>
    <row r="20" s="20" customFormat="1" ht="16.5" customHeight="1" spans="1:54">
      <c r="A20" s="104"/>
      <c r="B20" s="147"/>
      <c r="C20" s="106"/>
      <c r="D20" s="107" t="str">
        <f>D19</f>
        <v>MEC</v>
      </c>
      <c r="E20" s="108" t="str">
        <f>E19</f>
        <v>RFQ-004</v>
      </c>
      <c r="F20" s="109" t="str">
        <f>F19</f>
        <v>N</v>
      </c>
      <c r="G20" s="110"/>
      <c r="H20" s="148" t="str">
        <f>H19</f>
        <v>Production &amp; Test Seperator</v>
      </c>
      <c r="I20" s="108" t="str">
        <f>I19</f>
        <v>LA</v>
      </c>
      <c r="J20" s="109"/>
      <c r="K20" s="112"/>
      <c r="L20" s="112">
        <f>M21</f>
        <v>0.02</v>
      </c>
      <c r="M20" s="112"/>
      <c r="N20" s="108"/>
      <c r="O20" s="108"/>
      <c r="P20" s="108"/>
      <c r="Q20" s="113" t="s">
        <v>4907</v>
      </c>
      <c r="R20" s="114">
        <f>R19</f>
        <v>46288</v>
      </c>
      <c r="S20" s="149" t="e">
        <f>S19</f>
        <v>#REF!</v>
      </c>
      <c r="T20" s="114" t="e">
        <f>T19</f>
        <v>#REF!</v>
      </c>
      <c r="U20" s="114" t="e">
        <f t="shared" ref="U20:Z20" si="12">WORKDAY(IF(T21="",T20,T21),INDEX(U$2:U$5,MATCH($I19,$I$2:$I$5,0)),$BB$10:$BB$141)</f>
        <v>#REF!</v>
      </c>
      <c r="V20" s="115" t="e">
        <f t="shared" si="12"/>
        <v>#REF!</v>
      </c>
      <c r="W20" s="115" t="e">
        <f t="shared" si="12"/>
        <v>#REF!</v>
      </c>
      <c r="X20" s="115" t="e">
        <f t="shared" si="12"/>
        <v>#REF!</v>
      </c>
      <c r="Y20" s="115" t="e">
        <f t="shared" si="12"/>
        <v>#REF!</v>
      </c>
      <c r="Z20" s="115" t="e">
        <f t="shared" si="12"/>
        <v>#REF!</v>
      </c>
      <c r="AA20" s="115" t="e">
        <f>WORKDAY(IF(Z21="",X20,Z21),INDEX(AA$2:AA$5,MATCH($I19,$I$2:$I$5,0)),$BB$10:$BB$141)</f>
        <v>#REF!</v>
      </c>
      <c r="AB20" s="116" t="e">
        <f>WORKDAY(AE19+#REF!,0,'[36]Equipment List and MR List (3)'!$A$2:$A$80)</f>
        <v>#REF!</v>
      </c>
      <c r="AC20" s="117"/>
      <c r="AD20" s="118"/>
      <c r="AE20" s="94"/>
      <c r="AF20" s="119"/>
      <c r="AG20" s="120"/>
      <c r="AH20" s="121"/>
      <c r="AI20" s="122"/>
      <c r="AJ20" s="118"/>
      <c r="AK20" s="123"/>
      <c r="AL20" s="124"/>
      <c r="AM20" s="101">
        <f t="shared" ref="AM20:AW20" si="13">IF(ISERROR(LOOKUP(AM$6,$S20:$AB20,$S$9:$AB$9)),0,(LOOKUP(AM$6,$S20:$AB20,$S$9:$AB$9)))</f>
        <v>0</v>
      </c>
      <c r="AN20" s="102">
        <f t="shared" si="13"/>
        <v>0</v>
      </c>
      <c r="AO20" s="102">
        <f t="shared" si="13"/>
        <v>0</v>
      </c>
      <c r="AP20" s="102">
        <f t="shared" si="13"/>
        <v>0</v>
      </c>
      <c r="AQ20" s="102">
        <f t="shared" si="13"/>
        <v>0</v>
      </c>
      <c r="AR20" s="102">
        <f t="shared" si="13"/>
        <v>0</v>
      </c>
      <c r="AS20" s="102">
        <f t="shared" si="13"/>
        <v>0</v>
      </c>
      <c r="AT20" s="102">
        <f t="shared" si="13"/>
        <v>0</v>
      </c>
      <c r="AU20" s="102">
        <f t="shared" si="13"/>
        <v>0</v>
      </c>
      <c r="AV20" s="102">
        <f t="shared" si="13"/>
        <v>0</v>
      </c>
      <c r="AW20" s="102">
        <f ca="1" t="shared" si="13"/>
        <v>0</v>
      </c>
      <c r="BB20" s="103" t="e">
        <v>#REF!</v>
      </c>
    </row>
    <row r="21" s="20" customFormat="1" ht="16.5" customHeight="1" spans="1:54">
      <c r="A21" s="125"/>
      <c r="B21" s="150"/>
      <c r="C21" s="127"/>
      <c r="D21" s="128" t="str">
        <f>D19</f>
        <v>MEC</v>
      </c>
      <c r="E21" s="129" t="str">
        <f>E19</f>
        <v>RFQ-004</v>
      </c>
      <c r="F21" s="130" t="str">
        <f>F19</f>
        <v>N</v>
      </c>
      <c r="G21" s="131"/>
      <c r="H21" s="148" t="str">
        <f>H19</f>
        <v>Production &amp; Test Seperator</v>
      </c>
      <c r="I21" s="129" t="str">
        <f>I19</f>
        <v>LA</v>
      </c>
      <c r="J21" s="130"/>
      <c r="K21" s="132"/>
      <c r="L21" s="132"/>
      <c r="M21" s="132">
        <v>0.02</v>
      </c>
      <c r="N21" s="129"/>
      <c r="O21" s="129"/>
      <c r="P21" s="129"/>
      <c r="Q21" s="133" t="s">
        <v>4908</v>
      </c>
      <c r="R21" s="133"/>
      <c r="S21" s="133"/>
      <c r="T21" s="133"/>
      <c r="U21" s="133"/>
      <c r="V21" s="133"/>
      <c r="W21" s="133"/>
      <c r="X21" s="133"/>
      <c r="Y21" s="133"/>
      <c r="Z21" s="133"/>
      <c r="AA21" s="133"/>
      <c r="AB21" s="133"/>
      <c r="AC21" s="134"/>
      <c r="AD21" s="135"/>
      <c r="AE21" s="94"/>
      <c r="AF21" s="136"/>
      <c r="AG21" s="137"/>
      <c r="AH21" s="138"/>
      <c r="AI21" s="139"/>
      <c r="AJ21" s="135"/>
      <c r="AK21" s="140"/>
      <c r="AL21" s="141"/>
      <c r="AM21" s="142">
        <f t="shared" ref="AM21:AW21" si="14">IF(ISERROR(LOOKUP(AM$6,$S21:$AB21,$S$9:$AB$9)),0,(LOOKUP(AM$6,$S21:$AB21,$S$9:$AB$9)))</f>
        <v>0</v>
      </c>
      <c r="AN21" s="143">
        <f t="shared" si="14"/>
        <v>0</v>
      </c>
      <c r="AO21" s="143">
        <f t="shared" si="14"/>
        <v>0</v>
      </c>
      <c r="AP21" s="143">
        <f t="shared" si="14"/>
        <v>0</v>
      </c>
      <c r="AQ21" s="143">
        <f t="shared" si="14"/>
        <v>0</v>
      </c>
      <c r="AR21" s="143">
        <f t="shared" si="14"/>
        <v>0</v>
      </c>
      <c r="AS21" s="143">
        <f t="shared" si="14"/>
        <v>0</v>
      </c>
      <c r="AT21" s="143">
        <f t="shared" si="14"/>
        <v>0</v>
      </c>
      <c r="AU21" s="143">
        <f t="shared" si="14"/>
        <v>0</v>
      </c>
      <c r="AV21" s="143">
        <f t="shared" si="14"/>
        <v>0</v>
      </c>
      <c r="AW21" s="143">
        <f ca="1" t="shared" si="14"/>
        <v>0</v>
      </c>
      <c r="BB21" s="103" t="e">
        <v>#REF!</v>
      </c>
    </row>
    <row r="22" s="20" customFormat="1" ht="16.5" customHeight="1" spans="1:54">
      <c r="A22" s="81">
        <f>A19+1</f>
        <v>5</v>
      </c>
      <c r="B22" s="145" t="s">
        <v>4912</v>
      </c>
      <c r="C22" s="83" t="s">
        <v>4902</v>
      </c>
      <c r="D22" s="84" t="s">
        <v>4914</v>
      </c>
      <c r="E22" s="85" t="s">
        <v>4774</v>
      </c>
      <c r="F22" s="86" t="s">
        <v>63</v>
      </c>
      <c r="G22" s="87" t="s">
        <v>4915</v>
      </c>
      <c r="H22" s="146" t="s">
        <v>4775</v>
      </c>
      <c r="I22" s="85" t="s">
        <v>6</v>
      </c>
      <c r="J22" s="86"/>
      <c r="K22" s="89">
        <f>M24</f>
        <v>0.02</v>
      </c>
      <c r="L22" s="89"/>
      <c r="M22" s="89"/>
      <c r="N22" s="85"/>
      <c r="O22" s="85"/>
      <c r="P22" s="85"/>
      <c r="Q22" s="90" t="s">
        <v>4905</v>
      </c>
      <c r="R22" s="91">
        <f>'Before Award'!U29+5</f>
        <v>46253</v>
      </c>
      <c r="S22" s="91" t="e">
        <f>WORKDAY(R22,INDEX(S$2:S$5,MATCH($I22,$I$2:$I$5,0)),$BB$10:$BB$141)</f>
        <v>#REF!</v>
      </c>
      <c r="T22" s="91" t="e">
        <f>WORKDAY(S22,INDEX(T$2:T$5,MATCH($I22,$I$2:$I$5,0)),$BB$10:$BB$141)</f>
        <v>#REF!</v>
      </c>
      <c r="U22" s="91" t="e">
        <f>T22+60</f>
        <v>#REF!</v>
      </c>
      <c r="V22" s="91"/>
      <c r="W22" s="91">
        <f>AB22-35</f>
        <v>46437</v>
      </c>
      <c r="X22" s="91"/>
      <c r="Y22" s="91"/>
      <c r="Z22" s="91"/>
      <c r="AA22" s="91"/>
      <c r="AB22" s="91">
        <f>'Before Award'!X29</f>
        <v>46472</v>
      </c>
      <c r="AC22" s="92" t="s">
        <v>4906</v>
      </c>
      <c r="AD22" s="93">
        <v>14</v>
      </c>
      <c r="AE22" s="94">
        <v>294</v>
      </c>
      <c r="AF22" s="95" t="e">
        <f>AB23</f>
        <v>#REF!</v>
      </c>
      <c r="AG22" s="96">
        <f>WORKDAY(AH22+1,-1,$BA$10:$BA$141)</f>
        <v>46339</v>
      </c>
      <c r="AH22" s="97">
        <v>46341</v>
      </c>
      <c r="AI22" s="98"/>
      <c r="AJ22" s="93" t="e">
        <f>AG22-AF22</f>
        <v>#REF!</v>
      </c>
      <c r="AK22" s="99"/>
      <c r="AL22" s="100"/>
      <c r="AM22" s="101">
        <f t="shared" ref="AM22:AW22" si="15">IF(ISERROR(LOOKUP(AM$6,$S22:$AB22,$S$9:$AB$9)),0,(LOOKUP(AM$6,$S22:$AB22,$S$9:$AB$9)))</f>
        <v>0</v>
      </c>
      <c r="AN22" s="102">
        <f t="shared" si="15"/>
        <v>0</v>
      </c>
      <c r="AO22" s="102">
        <f t="shared" si="15"/>
        <v>0</v>
      </c>
      <c r="AP22" s="102">
        <f t="shared" si="15"/>
        <v>0</v>
      </c>
      <c r="AQ22" s="102">
        <f t="shared" si="15"/>
        <v>0</v>
      </c>
      <c r="AR22" s="102">
        <f t="shared" si="15"/>
        <v>0</v>
      </c>
      <c r="AS22" s="102">
        <f t="shared" si="15"/>
        <v>0</v>
      </c>
      <c r="AT22" s="102">
        <f t="shared" si="15"/>
        <v>0</v>
      </c>
      <c r="AU22" s="102">
        <f t="shared" si="15"/>
        <v>0</v>
      </c>
      <c r="AV22" s="102">
        <f t="shared" si="15"/>
        <v>0</v>
      </c>
      <c r="AW22" s="102">
        <f ca="1" t="shared" si="15"/>
        <v>0</v>
      </c>
      <c r="BB22" s="103" t="e">
        <v>#REF!</v>
      </c>
    </row>
    <row r="23" s="20" customFormat="1" ht="16.5" customHeight="1" spans="1:54">
      <c r="A23" s="104"/>
      <c r="B23" s="147"/>
      <c r="C23" s="106"/>
      <c r="D23" s="107" t="str">
        <f>D22</f>
        <v>PIP</v>
      </c>
      <c r="E23" s="108" t="str">
        <f>E22</f>
        <v>RFQ-005</v>
      </c>
      <c r="F23" s="109" t="str">
        <f>F22</f>
        <v>Y</v>
      </c>
      <c r="G23" s="110"/>
      <c r="H23" s="148" t="str">
        <f>H22</f>
        <v>Pig Launcher and Receiver</v>
      </c>
      <c r="I23" s="108" t="str">
        <f>I22</f>
        <v>LA</v>
      </c>
      <c r="J23" s="109"/>
      <c r="K23" s="112"/>
      <c r="L23" s="112">
        <f>M24</f>
        <v>0.02</v>
      </c>
      <c r="M23" s="112"/>
      <c r="N23" s="108"/>
      <c r="O23" s="108"/>
      <c r="P23" s="108"/>
      <c r="Q23" s="113" t="s">
        <v>4907</v>
      </c>
      <c r="R23" s="114">
        <f>R22</f>
        <v>46253</v>
      </c>
      <c r="S23" s="114" t="e">
        <f>S22</f>
        <v>#REF!</v>
      </c>
      <c r="T23" s="115" t="e">
        <f>T22</f>
        <v>#REF!</v>
      </c>
      <c r="U23" s="115" t="e">
        <f t="shared" ref="U23:Z23" si="16">WORKDAY(IF(T24="",T23,T24),INDEX(U$2:U$5,MATCH($I22,$I$2:$I$5,0)),$BB$10:$BB$141)</f>
        <v>#REF!</v>
      </c>
      <c r="V23" s="115" t="e">
        <f t="shared" si="16"/>
        <v>#REF!</v>
      </c>
      <c r="W23" s="149" t="e">
        <f t="shared" si="16"/>
        <v>#REF!</v>
      </c>
      <c r="X23" s="115" t="e">
        <f t="shared" si="16"/>
        <v>#REF!</v>
      </c>
      <c r="Y23" s="115" t="e">
        <f t="shared" si="16"/>
        <v>#REF!</v>
      </c>
      <c r="Z23" s="115" t="e">
        <f t="shared" si="16"/>
        <v>#REF!</v>
      </c>
      <c r="AA23" s="115" t="e">
        <f>WORKDAY(IF(Z24="",X23,Z24),INDEX(AA$2:AA$5,MATCH($I22,$I$2:$I$5,0)),$BB$10:$BB$141)</f>
        <v>#REF!</v>
      </c>
      <c r="AB23" s="116" t="e">
        <f>WORKDAY(AE22+#REF!,0,'[36]Equipment List and MR List (3)'!$A$2:$A$80)</f>
        <v>#REF!</v>
      </c>
      <c r="AC23" s="117"/>
      <c r="AD23" s="118"/>
      <c r="AE23" s="94"/>
      <c r="AF23" s="119"/>
      <c r="AG23" s="120"/>
      <c r="AH23" s="121"/>
      <c r="AI23" s="122"/>
      <c r="AJ23" s="118"/>
      <c r="AK23" s="123"/>
      <c r="AL23" s="124"/>
      <c r="AM23" s="101">
        <f t="shared" ref="AM23:AW23" si="17">IF(ISERROR(LOOKUP(AM$6,$S23:$AB23,$S$9:$AB$9)),0,(LOOKUP(AM$6,$S23:$AB23,$S$9:$AB$9)))</f>
        <v>0</v>
      </c>
      <c r="AN23" s="102">
        <f t="shared" si="17"/>
        <v>0</v>
      </c>
      <c r="AO23" s="102">
        <f t="shared" si="17"/>
        <v>0</v>
      </c>
      <c r="AP23" s="102">
        <f t="shared" si="17"/>
        <v>0</v>
      </c>
      <c r="AQ23" s="102">
        <f t="shared" si="17"/>
        <v>0</v>
      </c>
      <c r="AR23" s="102">
        <f t="shared" si="17"/>
        <v>0</v>
      </c>
      <c r="AS23" s="102">
        <f t="shared" si="17"/>
        <v>0</v>
      </c>
      <c r="AT23" s="102">
        <f t="shared" si="17"/>
        <v>0</v>
      </c>
      <c r="AU23" s="102">
        <f t="shared" si="17"/>
        <v>0</v>
      </c>
      <c r="AV23" s="102">
        <f t="shared" si="17"/>
        <v>0</v>
      </c>
      <c r="AW23" s="102">
        <f ca="1" t="shared" si="17"/>
        <v>0</v>
      </c>
      <c r="BB23" s="103" t="e">
        <v>#REF!</v>
      </c>
    </row>
    <row r="24" s="20" customFormat="1" ht="16.5" customHeight="1" spans="1:54">
      <c r="A24" s="125"/>
      <c r="B24" s="150"/>
      <c r="C24" s="127"/>
      <c r="D24" s="128" t="str">
        <f>D22</f>
        <v>PIP</v>
      </c>
      <c r="E24" s="129" t="str">
        <f>E22</f>
        <v>RFQ-005</v>
      </c>
      <c r="F24" s="130" t="str">
        <f>F22</f>
        <v>Y</v>
      </c>
      <c r="G24" s="131"/>
      <c r="H24" s="148" t="str">
        <f>H22</f>
        <v>Pig Launcher and Receiver</v>
      </c>
      <c r="I24" s="129" t="str">
        <f>I22</f>
        <v>LA</v>
      </c>
      <c r="J24" s="130"/>
      <c r="K24" s="132"/>
      <c r="L24" s="132"/>
      <c r="M24" s="132">
        <v>0.02</v>
      </c>
      <c r="N24" s="129"/>
      <c r="O24" s="129"/>
      <c r="P24" s="129"/>
      <c r="Q24" s="133" t="s">
        <v>4908</v>
      </c>
      <c r="R24" s="133"/>
      <c r="S24" s="133"/>
      <c r="T24" s="133"/>
      <c r="U24" s="133"/>
      <c r="V24" s="133"/>
      <c r="W24" s="133"/>
      <c r="X24" s="133"/>
      <c r="Y24" s="133"/>
      <c r="Z24" s="133"/>
      <c r="AA24" s="133"/>
      <c r="AB24" s="133"/>
      <c r="AC24" s="134"/>
      <c r="AD24" s="135"/>
      <c r="AE24" s="94"/>
      <c r="AF24" s="136"/>
      <c r="AG24" s="137"/>
      <c r="AH24" s="138"/>
      <c r="AI24" s="139"/>
      <c r="AJ24" s="135"/>
      <c r="AK24" s="140"/>
      <c r="AL24" s="141"/>
      <c r="AM24" s="142">
        <f t="shared" ref="AM24:AW24" si="18">IF(ISERROR(LOOKUP(AM$6,$S24:$AB24,$S$9:$AB$9)),0,(LOOKUP(AM$6,$S24:$AB24,$S$9:$AB$9)))</f>
        <v>0</v>
      </c>
      <c r="AN24" s="143">
        <f t="shared" si="18"/>
        <v>0</v>
      </c>
      <c r="AO24" s="143">
        <f t="shared" si="18"/>
        <v>0</v>
      </c>
      <c r="AP24" s="143">
        <f t="shared" si="18"/>
        <v>0</v>
      </c>
      <c r="AQ24" s="143">
        <f t="shared" si="18"/>
        <v>0</v>
      </c>
      <c r="AR24" s="143">
        <f t="shared" si="18"/>
        <v>0</v>
      </c>
      <c r="AS24" s="143">
        <f t="shared" si="18"/>
        <v>0</v>
      </c>
      <c r="AT24" s="143">
        <f t="shared" si="18"/>
        <v>0</v>
      </c>
      <c r="AU24" s="143">
        <f t="shared" si="18"/>
        <v>0</v>
      </c>
      <c r="AV24" s="143">
        <f t="shared" si="18"/>
        <v>0</v>
      </c>
      <c r="AW24" s="143">
        <f ca="1" t="shared" si="18"/>
        <v>0</v>
      </c>
      <c r="BB24" s="103" t="e">
        <v>#REF!</v>
      </c>
    </row>
    <row r="25" s="20" customFormat="1" ht="19.5" customHeight="1" spans="1:54">
      <c r="A25" s="81">
        <f>A22+1</f>
        <v>6</v>
      </c>
      <c r="B25" s="82" t="s">
        <v>4916</v>
      </c>
      <c r="C25" s="83" t="s">
        <v>4902</v>
      </c>
      <c r="D25" s="84" t="s">
        <v>4903</v>
      </c>
      <c r="E25" s="85" t="s">
        <v>4776</v>
      </c>
      <c r="F25" s="86" t="s">
        <v>63</v>
      </c>
      <c r="G25" s="87" t="s">
        <v>4917</v>
      </c>
      <c r="H25" s="88" t="s">
        <v>4777</v>
      </c>
      <c r="I25" s="85" t="s">
        <v>6</v>
      </c>
      <c r="J25" s="86"/>
      <c r="K25" s="89">
        <f>M27</f>
        <v>0.01</v>
      </c>
      <c r="L25" s="89"/>
      <c r="M25" s="89"/>
      <c r="N25" s="85"/>
      <c r="O25" s="85"/>
      <c r="P25" s="85"/>
      <c r="Q25" s="90" t="s">
        <v>4905</v>
      </c>
      <c r="R25" s="91">
        <f>'Before Award'!U32+5</f>
        <v>46225</v>
      </c>
      <c r="S25" s="91" t="e">
        <f>WORKDAY(R25,INDEX(S$2:S$5,MATCH($I25,$I$2:$I$5,0)),$BB$10:$BB$141)</f>
        <v>#REF!</v>
      </c>
      <c r="T25" s="91" t="e">
        <f>WORKDAY(S25,INDEX(T$2:T$5,MATCH($I25,$I$2:$I$5,0)),$BB$10:$BB$141)</f>
        <v>#REF!</v>
      </c>
      <c r="U25" s="91" t="e">
        <f>T25+60</f>
        <v>#REF!</v>
      </c>
      <c r="V25" s="91"/>
      <c r="W25" s="91">
        <f>AB25-35</f>
        <v>46409</v>
      </c>
      <c r="X25" s="91"/>
      <c r="Y25" s="91"/>
      <c r="Z25" s="91"/>
      <c r="AA25" s="91"/>
      <c r="AB25" s="91">
        <f>'Before Award'!X32</f>
        <v>46444</v>
      </c>
      <c r="AC25" s="92" t="s">
        <v>4906</v>
      </c>
      <c r="AD25" s="93">
        <v>14</v>
      </c>
      <c r="AE25" s="94">
        <f>32*7</f>
        <v>224</v>
      </c>
      <c r="AF25" s="95" t="e">
        <f>AB26</f>
        <v>#REF!</v>
      </c>
      <c r="AG25" s="96">
        <f>WORKDAY(AH25+1,-1,$BA$10:$BA$141)</f>
        <v>46444</v>
      </c>
      <c r="AH25" s="97">
        <v>46446</v>
      </c>
      <c r="AI25" s="98"/>
      <c r="AJ25" s="93" t="e">
        <f>AG25-AF25</f>
        <v>#REF!</v>
      </c>
      <c r="AK25" s="99"/>
      <c r="AL25" s="100"/>
      <c r="AM25" s="101">
        <f t="shared" ref="AM25:AW25" si="19">IF(ISERROR(LOOKUP(AM$6,$S25:$AB25,$S$9:$AB$9)),0,(LOOKUP(AM$6,$S25:$AB25,$S$9:$AB$9)))</f>
        <v>0</v>
      </c>
      <c r="AN25" s="102">
        <f t="shared" si="19"/>
        <v>0</v>
      </c>
      <c r="AO25" s="102">
        <f t="shared" si="19"/>
        <v>0</v>
      </c>
      <c r="AP25" s="102">
        <f t="shared" si="19"/>
        <v>0</v>
      </c>
      <c r="AQ25" s="102">
        <f t="shared" si="19"/>
        <v>0</v>
      </c>
      <c r="AR25" s="102">
        <f t="shared" si="19"/>
        <v>0</v>
      </c>
      <c r="AS25" s="102">
        <f t="shared" si="19"/>
        <v>0</v>
      </c>
      <c r="AT25" s="102">
        <f t="shared" si="19"/>
        <v>0</v>
      </c>
      <c r="AU25" s="102">
        <f t="shared" si="19"/>
        <v>0</v>
      </c>
      <c r="AV25" s="102">
        <f t="shared" si="19"/>
        <v>0</v>
      </c>
      <c r="AW25" s="102">
        <f ca="1" t="shared" si="19"/>
        <v>0</v>
      </c>
      <c r="BB25" s="103" t="e">
        <v>#REF!</v>
      </c>
    </row>
    <row r="26" s="20" customFormat="1" ht="19.5" customHeight="1" spans="1:54">
      <c r="A26" s="104"/>
      <c r="B26" s="105"/>
      <c r="C26" s="106"/>
      <c r="D26" s="107" t="str">
        <f>D25</f>
        <v>MEC</v>
      </c>
      <c r="E26" s="108" t="str">
        <f>E25</f>
        <v>RFQ-006</v>
      </c>
      <c r="F26" s="109" t="str">
        <f>F25</f>
        <v>Y</v>
      </c>
      <c r="G26" s="110"/>
      <c r="H26" s="111" t="str">
        <f>H25</f>
        <v>Corrosion Inhibitor Injection Pump</v>
      </c>
      <c r="I26" s="108" t="str">
        <f>I25</f>
        <v>LA</v>
      </c>
      <c r="J26" s="109"/>
      <c r="K26" s="112"/>
      <c r="L26" s="112">
        <f>M27</f>
        <v>0.01</v>
      </c>
      <c r="M26" s="112"/>
      <c r="N26" s="108"/>
      <c r="O26" s="108"/>
      <c r="P26" s="108"/>
      <c r="Q26" s="113" t="s">
        <v>4907</v>
      </c>
      <c r="R26" s="114">
        <f>R25</f>
        <v>46225</v>
      </c>
      <c r="S26" s="114" t="e">
        <f>S25</f>
        <v>#REF!</v>
      </c>
      <c r="T26" s="115" t="e">
        <f>T25</f>
        <v>#REF!</v>
      </c>
      <c r="U26" s="115" t="e">
        <f t="shared" ref="U26:Z26" si="20">WORKDAY(IF(T27="",T26,T27),INDEX(U$2:U$5,MATCH($I25,$I$2:$I$5,0)),$BB$10:$BB$141)</f>
        <v>#REF!</v>
      </c>
      <c r="V26" s="115" t="e">
        <f t="shared" si="20"/>
        <v>#REF!</v>
      </c>
      <c r="W26" s="115" t="e">
        <f t="shared" si="20"/>
        <v>#REF!</v>
      </c>
      <c r="X26" s="115" t="e">
        <f t="shared" si="20"/>
        <v>#REF!</v>
      </c>
      <c r="Y26" s="115" t="e">
        <f t="shared" si="20"/>
        <v>#REF!</v>
      </c>
      <c r="Z26" s="115" t="e">
        <f t="shared" si="20"/>
        <v>#REF!</v>
      </c>
      <c r="AA26" s="115" t="e">
        <f>WORKDAY(IF(Z27="",X26,Z27),INDEX(AA$2:AA$5,MATCH($I25,$I$2:$I$5,0)),$BB$10:$BB$141)</f>
        <v>#REF!</v>
      </c>
      <c r="AB26" s="116" t="e">
        <f>WORKDAY(AE25+#REF!,0,'[36]Equipment List and MR List (3)'!$A$2:$A$80)</f>
        <v>#REF!</v>
      </c>
      <c r="AC26" s="117"/>
      <c r="AD26" s="118"/>
      <c r="AE26" s="94"/>
      <c r="AF26" s="119"/>
      <c r="AG26" s="120"/>
      <c r="AH26" s="121"/>
      <c r="AI26" s="122"/>
      <c r="AJ26" s="118"/>
      <c r="AK26" s="123"/>
      <c r="AL26" s="124"/>
      <c r="AM26" s="101">
        <f t="shared" ref="AM26:AW26" si="21">IF(ISERROR(LOOKUP(AM$6,$S26:$AB26,$S$9:$AB$9)),0,(LOOKUP(AM$6,$S26:$AB26,$S$9:$AB$9)))</f>
        <v>0</v>
      </c>
      <c r="AN26" s="102">
        <f t="shared" si="21"/>
        <v>0</v>
      </c>
      <c r="AO26" s="102">
        <f t="shared" si="21"/>
        <v>0</v>
      </c>
      <c r="AP26" s="102">
        <f t="shared" si="21"/>
        <v>0</v>
      </c>
      <c r="AQ26" s="102">
        <f t="shared" si="21"/>
        <v>0</v>
      </c>
      <c r="AR26" s="102">
        <f t="shared" si="21"/>
        <v>0</v>
      </c>
      <c r="AS26" s="102">
        <f t="shared" si="21"/>
        <v>0</v>
      </c>
      <c r="AT26" s="102">
        <f t="shared" si="21"/>
        <v>0</v>
      </c>
      <c r="AU26" s="102">
        <f t="shared" si="21"/>
        <v>0</v>
      </c>
      <c r="AV26" s="102">
        <f t="shared" si="21"/>
        <v>0</v>
      </c>
      <c r="AW26" s="102">
        <f ca="1" t="shared" si="21"/>
        <v>0</v>
      </c>
      <c r="BB26" s="103" t="e">
        <v>#REF!</v>
      </c>
    </row>
    <row r="27" s="20" customFormat="1" ht="19.5" customHeight="1" spans="1:54">
      <c r="A27" s="125"/>
      <c r="B27" s="126"/>
      <c r="C27" s="127"/>
      <c r="D27" s="128" t="str">
        <f>D25</f>
        <v>MEC</v>
      </c>
      <c r="E27" s="129" t="str">
        <f>E25</f>
        <v>RFQ-006</v>
      </c>
      <c r="F27" s="130" t="str">
        <f>F25</f>
        <v>Y</v>
      </c>
      <c r="G27" s="131"/>
      <c r="H27" s="111" t="str">
        <f>H25</f>
        <v>Corrosion Inhibitor Injection Pump</v>
      </c>
      <c r="I27" s="129" t="str">
        <f>I25</f>
        <v>LA</v>
      </c>
      <c r="J27" s="130"/>
      <c r="K27" s="132"/>
      <c r="L27" s="132"/>
      <c r="M27" s="132">
        <v>0.01</v>
      </c>
      <c r="N27" s="129"/>
      <c r="O27" s="129"/>
      <c r="P27" s="129"/>
      <c r="Q27" s="133" t="s">
        <v>4908</v>
      </c>
      <c r="R27" s="133"/>
      <c r="S27" s="133"/>
      <c r="T27" s="133"/>
      <c r="U27" s="133"/>
      <c r="V27" s="133"/>
      <c r="W27" s="133"/>
      <c r="X27" s="133"/>
      <c r="Y27" s="133"/>
      <c r="Z27" s="133"/>
      <c r="AA27" s="133"/>
      <c r="AB27" s="133"/>
      <c r="AC27" s="134"/>
      <c r="AD27" s="135"/>
      <c r="AE27" s="94"/>
      <c r="AF27" s="136"/>
      <c r="AG27" s="137"/>
      <c r="AH27" s="138"/>
      <c r="AI27" s="139"/>
      <c r="AJ27" s="135"/>
      <c r="AK27" s="140"/>
      <c r="AL27" s="141"/>
      <c r="AM27" s="142">
        <f t="shared" ref="AM27:AW27" si="22">IF(ISERROR(LOOKUP(AM$6,$S27:$AB27,$S$9:$AB$9)),0,(LOOKUP(AM$6,$S27:$AB27,$S$9:$AB$9)))</f>
        <v>0</v>
      </c>
      <c r="AN27" s="143">
        <f t="shared" si="22"/>
        <v>0</v>
      </c>
      <c r="AO27" s="143">
        <f t="shared" si="22"/>
        <v>0</v>
      </c>
      <c r="AP27" s="143">
        <f t="shared" si="22"/>
        <v>0</v>
      </c>
      <c r="AQ27" s="143">
        <f t="shared" si="22"/>
        <v>0</v>
      </c>
      <c r="AR27" s="143">
        <f t="shared" si="22"/>
        <v>0</v>
      </c>
      <c r="AS27" s="143">
        <f t="shared" si="22"/>
        <v>0</v>
      </c>
      <c r="AT27" s="143">
        <f t="shared" si="22"/>
        <v>0</v>
      </c>
      <c r="AU27" s="143">
        <f t="shared" si="22"/>
        <v>0</v>
      </c>
      <c r="AV27" s="143">
        <f t="shared" si="22"/>
        <v>0</v>
      </c>
      <c r="AW27" s="143">
        <f ca="1" t="shared" si="22"/>
        <v>0</v>
      </c>
      <c r="BB27" s="103" t="e">
        <v>#REF!</v>
      </c>
    </row>
    <row r="28" s="20" customFormat="1" ht="18" customHeight="1" spans="1:54">
      <c r="A28" s="81">
        <f>A25+1</f>
        <v>7</v>
      </c>
      <c r="B28" s="83"/>
      <c r="C28" s="83" t="s">
        <v>4902</v>
      </c>
      <c r="D28" s="84" t="s">
        <v>4903</v>
      </c>
      <c r="E28" s="85" t="s">
        <v>4778</v>
      </c>
      <c r="F28" s="86" t="s">
        <v>72</v>
      </c>
      <c r="G28" s="87" t="s">
        <v>4917</v>
      </c>
      <c r="H28" s="86" t="s">
        <v>4779</v>
      </c>
      <c r="I28" s="85" t="s">
        <v>6</v>
      </c>
      <c r="J28" s="86"/>
      <c r="K28" s="89">
        <f>M30</f>
        <v>0.02</v>
      </c>
      <c r="L28" s="89"/>
      <c r="M28" s="89"/>
      <c r="N28" s="85"/>
      <c r="O28" s="85"/>
      <c r="P28" s="85"/>
      <c r="Q28" s="90" t="s">
        <v>4905</v>
      </c>
      <c r="R28" s="91">
        <f>'Before Award'!U35+5</f>
        <v>46258</v>
      </c>
      <c r="S28" s="91" t="e">
        <f>WORKDAY(R28,INDEX(S$2:S$5,MATCH($I28,$I$2:$I$5,0)),$BB$10:$BB$141)</f>
        <v>#REF!</v>
      </c>
      <c r="T28" s="91" t="e">
        <f>WORKDAY(S28,INDEX(T$2:T$5,MATCH($I28,$I$2:$I$5,0)),$BB$10:$BB$141)</f>
        <v>#REF!</v>
      </c>
      <c r="U28" s="91" t="e">
        <f>T28+60</f>
        <v>#REF!</v>
      </c>
      <c r="V28" s="91"/>
      <c r="W28" s="91">
        <f>AB28-35</f>
        <v>46442</v>
      </c>
      <c r="X28" s="91"/>
      <c r="Y28" s="91"/>
      <c r="Z28" s="91"/>
      <c r="AA28" s="91"/>
      <c r="AB28" s="91">
        <f>'Before Award'!X35</f>
        <v>46477</v>
      </c>
      <c r="AC28" s="92" t="s">
        <v>4906</v>
      </c>
      <c r="AD28" s="93">
        <v>14</v>
      </c>
      <c r="AE28" s="144">
        <f>32*7</f>
        <v>224</v>
      </c>
      <c r="AF28" s="95" t="e">
        <f>AB29</f>
        <v>#REF!</v>
      </c>
      <c r="AG28" s="96">
        <f>WORKDAY(AH28+1,-1,$BA$10:$BA$141)</f>
        <v>46477</v>
      </c>
      <c r="AH28" s="97">
        <v>46477</v>
      </c>
      <c r="AI28" s="98"/>
      <c r="AJ28" s="93" t="e">
        <f>AG28-AF28</f>
        <v>#REF!</v>
      </c>
      <c r="AK28" s="99"/>
      <c r="AL28" s="100"/>
      <c r="AM28" s="101">
        <f t="shared" ref="AM28:AW28" si="23">IF(ISERROR(LOOKUP(AM$6,$S28:$AB28,$S$9:$AB$9)),0,(LOOKUP(AM$6,$S28:$AB28,$S$9:$AB$9)))</f>
        <v>0</v>
      </c>
      <c r="AN28" s="102">
        <f t="shared" si="23"/>
        <v>0</v>
      </c>
      <c r="AO28" s="102">
        <f t="shared" si="23"/>
        <v>0</v>
      </c>
      <c r="AP28" s="102">
        <f t="shared" si="23"/>
        <v>0</v>
      </c>
      <c r="AQ28" s="102">
        <f t="shared" si="23"/>
        <v>0</v>
      </c>
      <c r="AR28" s="102">
        <f t="shared" si="23"/>
        <v>0</v>
      </c>
      <c r="AS28" s="102">
        <f t="shared" si="23"/>
        <v>0</v>
      </c>
      <c r="AT28" s="102">
        <f t="shared" si="23"/>
        <v>0</v>
      </c>
      <c r="AU28" s="102">
        <f t="shared" si="23"/>
        <v>0</v>
      </c>
      <c r="AV28" s="102">
        <f t="shared" si="23"/>
        <v>0</v>
      </c>
      <c r="AW28" s="102">
        <f ca="1" t="shared" si="23"/>
        <v>0</v>
      </c>
      <c r="BB28" s="103" t="e">
        <v>#REF!</v>
      </c>
    </row>
    <row r="29" s="20" customFormat="1" ht="18" customHeight="1" spans="1:54">
      <c r="A29" s="104"/>
      <c r="B29" s="106"/>
      <c r="C29" s="106"/>
      <c r="D29" s="107" t="str">
        <f>D28</f>
        <v>MEC</v>
      </c>
      <c r="E29" s="108" t="str">
        <f>E28</f>
        <v>RFQ-007</v>
      </c>
      <c r="F29" s="109" t="str">
        <f>F28</f>
        <v>N</v>
      </c>
      <c r="G29" s="110"/>
      <c r="H29" s="109" t="str">
        <f>H28</f>
        <v>Demulsifier/Water Clarifier Injection Pump</v>
      </c>
      <c r="I29" s="108" t="str">
        <f>I28</f>
        <v>LA</v>
      </c>
      <c r="J29" s="109"/>
      <c r="K29" s="112"/>
      <c r="L29" s="112">
        <f>M30</f>
        <v>0.02</v>
      </c>
      <c r="M29" s="112"/>
      <c r="N29" s="108"/>
      <c r="O29" s="108"/>
      <c r="P29" s="108"/>
      <c r="Q29" s="113" t="s">
        <v>4907</v>
      </c>
      <c r="R29" s="114">
        <f>R28</f>
        <v>46258</v>
      </c>
      <c r="S29" s="114" t="e">
        <f>S28</f>
        <v>#REF!</v>
      </c>
      <c r="T29" s="115" t="e">
        <f>T28</f>
        <v>#REF!</v>
      </c>
      <c r="U29" s="115" t="e">
        <f t="shared" ref="U29:Z29" si="24">WORKDAY(IF(T30="",T29,T30),INDEX(U$2:U$5,MATCH($I28,$I$2:$I$5,0)),$BB$10:$BB$141)</f>
        <v>#REF!</v>
      </c>
      <c r="V29" s="115" t="e">
        <f t="shared" si="24"/>
        <v>#REF!</v>
      </c>
      <c r="W29" s="115" t="e">
        <f t="shared" si="24"/>
        <v>#REF!</v>
      </c>
      <c r="X29" s="115" t="e">
        <f t="shared" si="24"/>
        <v>#REF!</v>
      </c>
      <c r="Y29" s="115" t="e">
        <f t="shared" si="24"/>
        <v>#REF!</v>
      </c>
      <c r="Z29" s="115" t="e">
        <f t="shared" si="24"/>
        <v>#REF!</v>
      </c>
      <c r="AA29" s="115" t="e">
        <f>WORKDAY(IF(Z30="",X29,Z30),INDEX(AA$2:AA$5,MATCH($I28,$I$2:$I$5,0)),$BB$10:$BB$141)</f>
        <v>#REF!</v>
      </c>
      <c r="AB29" s="116" t="e">
        <f>WORKDAY(AE28+#REF!,0,'[36]Equipment List and MR List (3)'!$A$2:$A$80)</f>
        <v>#REF!</v>
      </c>
      <c r="AC29" s="117"/>
      <c r="AD29" s="118"/>
      <c r="AE29" s="144"/>
      <c r="AF29" s="119"/>
      <c r="AG29" s="120"/>
      <c r="AH29" s="121"/>
      <c r="AI29" s="122"/>
      <c r="AJ29" s="118"/>
      <c r="AK29" s="123"/>
      <c r="AL29" s="124"/>
      <c r="AM29" s="101">
        <f t="shared" ref="AM29:AW29" si="25">IF(ISERROR(LOOKUP(AM$6,$S29:$AB29,$S$9:$AB$9)),0,(LOOKUP(AM$6,$S29:$AB29,$S$9:$AB$9)))</f>
        <v>0</v>
      </c>
      <c r="AN29" s="102">
        <f t="shared" si="25"/>
        <v>0</v>
      </c>
      <c r="AO29" s="102">
        <f t="shared" si="25"/>
        <v>0</v>
      </c>
      <c r="AP29" s="102">
        <f t="shared" si="25"/>
        <v>0</v>
      </c>
      <c r="AQ29" s="102">
        <f t="shared" si="25"/>
        <v>0</v>
      </c>
      <c r="AR29" s="102">
        <f t="shared" si="25"/>
        <v>0</v>
      </c>
      <c r="AS29" s="102">
        <f t="shared" si="25"/>
        <v>0</v>
      </c>
      <c r="AT29" s="102">
        <f t="shared" si="25"/>
        <v>0</v>
      </c>
      <c r="AU29" s="102">
        <f t="shared" si="25"/>
        <v>0</v>
      </c>
      <c r="AV29" s="102">
        <f t="shared" si="25"/>
        <v>0</v>
      </c>
      <c r="AW29" s="102">
        <f ca="1" t="shared" si="25"/>
        <v>0</v>
      </c>
      <c r="BB29" s="103" t="e">
        <v>#REF!</v>
      </c>
    </row>
    <row r="30" s="20" customFormat="1" ht="18" customHeight="1" spans="1:54">
      <c r="A30" s="125"/>
      <c r="B30" s="127"/>
      <c r="C30" s="127"/>
      <c r="D30" s="128" t="str">
        <f>D28</f>
        <v>MEC</v>
      </c>
      <c r="E30" s="129" t="str">
        <f>E28</f>
        <v>RFQ-007</v>
      </c>
      <c r="F30" s="130" t="str">
        <f>F28</f>
        <v>N</v>
      </c>
      <c r="G30" s="131"/>
      <c r="H30" s="130" t="str">
        <f>H28</f>
        <v>Demulsifier/Water Clarifier Injection Pump</v>
      </c>
      <c r="I30" s="129" t="str">
        <f>I28</f>
        <v>LA</v>
      </c>
      <c r="J30" s="130"/>
      <c r="K30" s="132"/>
      <c r="L30" s="132"/>
      <c r="M30" s="132">
        <v>0.02</v>
      </c>
      <c r="N30" s="129"/>
      <c r="O30" s="129"/>
      <c r="P30" s="129"/>
      <c r="Q30" s="133" t="s">
        <v>4908</v>
      </c>
      <c r="R30" s="133"/>
      <c r="S30" s="151"/>
      <c r="T30" s="151"/>
      <c r="U30" s="151"/>
      <c r="V30" s="151"/>
      <c r="W30" s="151"/>
      <c r="X30" s="151"/>
      <c r="Y30" s="151"/>
      <c r="Z30" s="151"/>
      <c r="AA30" s="151"/>
      <c r="AB30" s="151"/>
      <c r="AC30" s="134"/>
      <c r="AD30" s="135"/>
      <c r="AE30" s="144"/>
      <c r="AF30" s="136"/>
      <c r="AG30" s="137"/>
      <c r="AH30" s="138"/>
      <c r="AI30" s="139"/>
      <c r="AJ30" s="135"/>
      <c r="AK30" s="140"/>
      <c r="AL30" s="141"/>
      <c r="AM30" s="142">
        <f t="shared" ref="AM30:AW30" si="26">IF(ISERROR(LOOKUP(AM$6,$S30:$AB30,$S$9:$AB$9)),0,(LOOKUP(AM$6,$S30:$AB30,$S$9:$AB$9)))</f>
        <v>0</v>
      </c>
      <c r="AN30" s="143">
        <f t="shared" si="26"/>
        <v>0</v>
      </c>
      <c r="AO30" s="143">
        <f t="shared" si="26"/>
        <v>0</v>
      </c>
      <c r="AP30" s="143">
        <f t="shared" si="26"/>
        <v>0</v>
      </c>
      <c r="AQ30" s="143">
        <f t="shared" si="26"/>
        <v>0</v>
      </c>
      <c r="AR30" s="143">
        <f t="shared" si="26"/>
        <v>0</v>
      </c>
      <c r="AS30" s="143">
        <f t="shared" si="26"/>
        <v>0</v>
      </c>
      <c r="AT30" s="143">
        <f t="shared" si="26"/>
        <v>0</v>
      </c>
      <c r="AU30" s="143">
        <f t="shared" si="26"/>
        <v>0</v>
      </c>
      <c r="AV30" s="143">
        <f t="shared" si="26"/>
        <v>0</v>
      </c>
      <c r="AW30" s="143">
        <f ca="1" t="shared" si="26"/>
        <v>0</v>
      </c>
      <c r="BB30" s="103" t="e">
        <v>#REF!</v>
      </c>
    </row>
    <row r="31" s="20" customFormat="1" ht="18" customHeight="1" spans="1:54">
      <c r="A31" s="81">
        <f>A28+1</f>
        <v>8</v>
      </c>
      <c r="B31" s="145" t="s">
        <v>4918</v>
      </c>
      <c r="C31" s="83" t="s">
        <v>4902</v>
      </c>
      <c r="D31" s="84" t="s">
        <v>4903</v>
      </c>
      <c r="E31" s="85" t="s">
        <v>4780</v>
      </c>
      <c r="F31" s="86" t="str">
        <f>IF(_xlfn.XLOOKUP(E31,'[36]Before Award'!D:D,'[36]Before Award'!AV:AV,"N/A")="N/A","N","Y")</f>
        <v>N</v>
      </c>
      <c r="G31" s="87" t="s">
        <v>4919</v>
      </c>
      <c r="H31" s="146" t="s">
        <v>4781</v>
      </c>
      <c r="I31" s="85" t="s">
        <v>6</v>
      </c>
      <c r="J31" s="86"/>
      <c r="K31" s="89">
        <f>M33</f>
        <v>0.01</v>
      </c>
      <c r="L31" s="89"/>
      <c r="M31" s="89"/>
      <c r="N31" s="85"/>
      <c r="O31" s="85"/>
      <c r="P31" s="85"/>
      <c r="Q31" s="90" t="s">
        <v>4905</v>
      </c>
      <c r="R31" s="91">
        <f>'Before Award'!U38+5</f>
        <v>46239</v>
      </c>
      <c r="S31" s="91" t="e">
        <f>WORKDAY(R31,INDEX(S$2:S$5,MATCH($I31,$I$2:$I$5,0)),$BB$10:$BB$141)</f>
        <v>#REF!</v>
      </c>
      <c r="T31" s="91" t="e">
        <f>WORKDAY(S31,INDEX(T$2:T$5,MATCH($I31,$I$2:$I$5,0)),$BB$10:$BB$141)</f>
        <v>#REF!</v>
      </c>
      <c r="U31" s="91" t="e">
        <f>T31+60</f>
        <v>#REF!</v>
      </c>
      <c r="V31" s="91"/>
      <c r="W31" s="91">
        <f>AB31-35</f>
        <v>46381</v>
      </c>
      <c r="X31" s="91"/>
      <c r="Y31" s="91"/>
      <c r="Z31" s="91"/>
      <c r="AA31" s="91"/>
      <c r="AB31" s="91">
        <f>'Before Award'!X38</f>
        <v>46416</v>
      </c>
      <c r="AC31" s="92" t="s">
        <v>4906</v>
      </c>
      <c r="AD31" s="93">
        <v>14</v>
      </c>
      <c r="AE31" s="94">
        <v>280</v>
      </c>
      <c r="AF31" s="95" t="e">
        <f>AB32</f>
        <v>#REF!</v>
      </c>
      <c r="AG31" s="96">
        <f>WORKDAY(AH31+1,-1,$BA$10:$BA$141)</f>
        <v>46416</v>
      </c>
      <c r="AH31" s="97">
        <v>46418</v>
      </c>
      <c r="AI31" s="98"/>
      <c r="AJ31" s="93" t="e">
        <f>AG31-AF31</f>
        <v>#REF!</v>
      </c>
      <c r="AK31" s="99"/>
      <c r="AL31" s="100"/>
      <c r="AM31" s="101">
        <f t="shared" ref="AM31:AW31" si="27">IF(ISERROR(LOOKUP(AM$6,$S31:$AB31,$S$9:$AB$9)),0,(LOOKUP(AM$6,$S31:$AB31,$S$9:$AB$9)))</f>
        <v>0</v>
      </c>
      <c r="AN31" s="102">
        <f t="shared" si="27"/>
        <v>0</v>
      </c>
      <c r="AO31" s="102">
        <f t="shared" si="27"/>
        <v>0</v>
      </c>
      <c r="AP31" s="102">
        <f t="shared" si="27"/>
        <v>0</v>
      </c>
      <c r="AQ31" s="102">
        <f t="shared" si="27"/>
        <v>0</v>
      </c>
      <c r="AR31" s="102">
        <f t="shared" si="27"/>
        <v>0</v>
      </c>
      <c r="AS31" s="102">
        <f t="shared" si="27"/>
        <v>0</v>
      </c>
      <c r="AT31" s="102">
        <f t="shared" si="27"/>
        <v>0</v>
      </c>
      <c r="AU31" s="102">
        <f t="shared" si="27"/>
        <v>0</v>
      </c>
      <c r="AV31" s="102">
        <f t="shared" si="27"/>
        <v>0</v>
      </c>
      <c r="AW31" s="102">
        <f ca="1" t="shared" si="27"/>
        <v>0</v>
      </c>
      <c r="BB31" s="103" t="e">
        <v>#REF!</v>
      </c>
    </row>
    <row r="32" s="20" customFormat="1" ht="18" customHeight="1" spans="1:54">
      <c r="A32" s="104"/>
      <c r="B32" s="147"/>
      <c r="C32" s="106"/>
      <c r="D32" s="107" t="str">
        <f>D31</f>
        <v>MEC</v>
      </c>
      <c r="E32" s="108" t="str">
        <f>E31</f>
        <v>RFQ-008</v>
      </c>
      <c r="F32" s="109" t="str">
        <f>F31</f>
        <v>N</v>
      </c>
      <c r="G32" s="110"/>
      <c r="H32" s="148" t="str">
        <f>H31</f>
        <v>De-Oiler Hydrocyclone</v>
      </c>
      <c r="I32" s="108" t="str">
        <f>I31</f>
        <v>LA</v>
      </c>
      <c r="J32" s="109"/>
      <c r="K32" s="112"/>
      <c r="L32" s="112">
        <f>M33</f>
        <v>0.01</v>
      </c>
      <c r="M32" s="112"/>
      <c r="N32" s="108"/>
      <c r="O32" s="108"/>
      <c r="P32" s="108"/>
      <c r="Q32" s="113" t="s">
        <v>4907</v>
      </c>
      <c r="R32" s="114">
        <f>R31</f>
        <v>46239</v>
      </c>
      <c r="S32" s="114" t="e">
        <f>S31</f>
        <v>#REF!</v>
      </c>
      <c r="T32" s="115" t="e">
        <f>T31</f>
        <v>#REF!</v>
      </c>
      <c r="U32" s="115" t="e">
        <f t="shared" ref="U32:Z32" si="28">WORKDAY(IF(T33="",T32,T33),INDEX(U$2:U$5,MATCH($I31,$I$2:$I$5,0)),$BB$10:$BB$141)</f>
        <v>#REF!</v>
      </c>
      <c r="V32" s="115" t="e">
        <f t="shared" si="28"/>
        <v>#REF!</v>
      </c>
      <c r="W32" s="115" t="e">
        <f t="shared" si="28"/>
        <v>#REF!</v>
      </c>
      <c r="X32" s="115" t="e">
        <f t="shared" si="28"/>
        <v>#REF!</v>
      </c>
      <c r="Y32" s="115" t="e">
        <f t="shared" si="28"/>
        <v>#REF!</v>
      </c>
      <c r="Z32" s="115" t="e">
        <f t="shared" si="28"/>
        <v>#REF!</v>
      </c>
      <c r="AA32" s="115" t="e">
        <f>WORKDAY(IF(Z33="",X32,Z33),INDEX(AA$2:AA$5,MATCH($I31,$I$2:$I$5,0)),$BB$10:$BB$141)</f>
        <v>#REF!</v>
      </c>
      <c r="AB32" s="116" t="e">
        <f>WORKDAY(AE31+#REF!,0,'[36]Equipment List and MR List (3)'!$A$2:$A$80)</f>
        <v>#REF!</v>
      </c>
      <c r="AC32" s="117"/>
      <c r="AD32" s="118"/>
      <c r="AE32" s="94"/>
      <c r="AF32" s="119"/>
      <c r="AG32" s="120"/>
      <c r="AH32" s="121"/>
      <c r="AI32" s="122"/>
      <c r="AJ32" s="118"/>
      <c r="AK32" s="123"/>
      <c r="AL32" s="124"/>
      <c r="AM32" s="101">
        <f t="shared" ref="AM32:AW32" si="29">IF(ISERROR(LOOKUP(AM$6,$S32:$AB32,$S$9:$AB$9)),0,(LOOKUP(AM$6,$S32:$AB32,$S$9:$AB$9)))</f>
        <v>0</v>
      </c>
      <c r="AN32" s="102">
        <f t="shared" si="29"/>
        <v>0</v>
      </c>
      <c r="AO32" s="102">
        <f t="shared" si="29"/>
        <v>0</v>
      </c>
      <c r="AP32" s="102">
        <f t="shared" si="29"/>
        <v>0</v>
      </c>
      <c r="AQ32" s="102">
        <f t="shared" si="29"/>
        <v>0</v>
      </c>
      <c r="AR32" s="102">
        <f t="shared" si="29"/>
        <v>0</v>
      </c>
      <c r="AS32" s="102">
        <f t="shared" si="29"/>
        <v>0</v>
      </c>
      <c r="AT32" s="102">
        <f t="shared" si="29"/>
        <v>0</v>
      </c>
      <c r="AU32" s="102">
        <f t="shared" si="29"/>
        <v>0</v>
      </c>
      <c r="AV32" s="102">
        <f t="shared" si="29"/>
        <v>0</v>
      </c>
      <c r="AW32" s="102">
        <f ca="1" t="shared" si="29"/>
        <v>0</v>
      </c>
      <c r="BB32" s="103" t="e">
        <v>#REF!</v>
      </c>
    </row>
    <row r="33" s="20" customFormat="1" ht="18" customHeight="1" spans="1:54">
      <c r="A33" s="125"/>
      <c r="B33" s="150"/>
      <c r="C33" s="127"/>
      <c r="D33" s="128" t="str">
        <f>D31</f>
        <v>MEC</v>
      </c>
      <c r="E33" s="129" t="str">
        <f>E31</f>
        <v>RFQ-008</v>
      </c>
      <c r="F33" s="130" t="str">
        <f>F31</f>
        <v>N</v>
      </c>
      <c r="G33" s="131"/>
      <c r="H33" s="148" t="str">
        <f>H31</f>
        <v>De-Oiler Hydrocyclone</v>
      </c>
      <c r="I33" s="129" t="str">
        <f>I31</f>
        <v>LA</v>
      </c>
      <c r="J33" s="130"/>
      <c r="K33" s="132"/>
      <c r="L33" s="132"/>
      <c r="M33" s="132">
        <v>0.01</v>
      </c>
      <c r="N33" s="129"/>
      <c r="O33" s="129"/>
      <c r="P33" s="129"/>
      <c r="Q33" s="133" t="s">
        <v>4908</v>
      </c>
      <c r="R33" s="151"/>
      <c r="S33" s="151"/>
      <c r="T33" s="151"/>
      <c r="U33" s="151"/>
      <c r="V33" s="151"/>
      <c r="W33" s="151"/>
      <c r="X33" s="151"/>
      <c r="Y33" s="151"/>
      <c r="Z33" s="151"/>
      <c r="AA33" s="151"/>
      <c r="AB33" s="151"/>
      <c r="AC33" s="134"/>
      <c r="AD33" s="135"/>
      <c r="AE33" s="94"/>
      <c r="AF33" s="136"/>
      <c r="AG33" s="137"/>
      <c r="AH33" s="138"/>
      <c r="AI33" s="139"/>
      <c r="AJ33" s="135"/>
      <c r="AK33" s="140"/>
      <c r="AL33" s="141"/>
      <c r="AM33" s="142">
        <f t="shared" ref="AM33:AW33" si="30">IF(ISERROR(LOOKUP(AM$6,$S33:$AB33,$S$9:$AB$9)),0,(LOOKUP(AM$6,$S33:$AB33,$S$9:$AB$9)))</f>
        <v>0</v>
      </c>
      <c r="AN33" s="143">
        <f t="shared" si="30"/>
        <v>0</v>
      </c>
      <c r="AO33" s="143">
        <f t="shared" si="30"/>
        <v>0</v>
      </c>
      <c r="AP33" s="143">
        <f t="shared" si="30"/>
        <v>0</v>
      </c>
      <c r="AQ33" s="143">
        <f t="shared" si="30"/>
        <v>0</v>
      </c>
      <c r="AR33" s="143">
        <f t="shared" si="30"/>
        <v>0</v>
      </c>
      <c r="AS33" s="143">
        <f t="shared" si="30"/>
        <v>0</v>
      </c>
      <c r="AT33" s="143">
        <f t="shared" si="30"/>
        <v>0</v>
      </c>
      <c r="AU33" s="143">
        <f t="shared" si="30"/>
        <v>0</v>
      </c>
      <c r="AV33" s="143">
        <f t="shared" si="30"/>
        <v>0</v>
      </c>
      <c r="AW33" s="143">
        <f ca="1" t="shared" si="30"/>
        <v>0</v>
      </c>
      <c r="BB33" s="103" t="e">
        <v>#REF!</v>
      </c>
    </row>
    <row r="34" s="20" customFormat="1" ht="18" customHeight="1" spans="1:54">
      <c r="A34" s="81">
        <f>A31+1</f>
        <v>9</v>
      </c>
      <c r="B34" s="145" t="s">
        <v>4920</v>
      </c>
      <c r="C34" s="83" t="s">
        <v>4902</v>
      </c>
      <c r="D34" s="84" t="s">
        <v>4903</v>
      </c>
      <c r="E34" s="85" t="s">
        <v>4783</v>
      </c>
      <c r="F34" s="86" t="str">
        <f>IF(_xlfn.XLOOKUP(E34,'[36]Before Award'!D:D,'[36]Before Award'!AV:AV,"N/A")="N/A","N","Y")</f>
        <v>N</v>
      </c>
      <c r="G34" s="87" t="s">
        <v>4919</v>
      </c>
      <c r="H34" s="146" t="s">
        <v>4784</v>
      </c>
      <c r="I34" s="85" t="s">
        <v>6</v>
      </c>
      <c r="J34" s="86"/>
      <c r="K34" s="89">
        <f>M36</f>
        <v>0.04</v>
      </c>
      <c r="L34" s="89"/>
      <c r="M34" s="89"/>
      <c r="N34" s="85"/>
      <c r="O34" s="85"/>
      <c r="P34" s="85"/>
      <c r="Q34" s="90" t="s">
        <v>4905</v>
      </c>
      <c r="R34" s="91">
        <f>'Before Award'!U41+5</f>
        <v>46239</v>
      </c>
      <c r="S34" s="91" t="e">
        <f>WORKDAY(R34,INDEX(S$2:S$5,MATCH($I34,$I$2:$I$5,0)),$BB$10:$BB$141)</f>
        <v>#REF!</v>
      </c>
      <c r="T34" s="91" t="e">
        <f>WORKDAY(S34,INDEX(T$2:T$5,MATCH($I34,$I$2:$I$5,0)),$BB$10:$BB$141)</f>
        <v>#REF!</v>
      </c>
      <c r="U34" s="91" t="e">
        <f>T34+60</f>
        <v>#REF!</v>
      </c>
      <c r="V34" s="91"/>
      <c r="W34" s="91">
        <f>AB34-35</f>
        <v>46381</v>
      </c>
      <c r="X34" s="91"/>
      <c r="Y34" s="91"/>
      <c r="Z34" s="91"/>
      <c r="AA34" s="91"/>
      <c r="AB34" s="91">
        <f>'Before Award'!X41</f>
        <v>46416</v>
      </c>
      <c r="AC34" s="92" t="s">
        <v>4906</v>
      </c>
      <c r="AD34" s="93">
        <v>14</v>
      </c>
      <c r="AE34" s="94">
        <v>280</v>
      </c>
      <c r="AF34" s="95" t="e">
        <f>AB35</f>
        <v>#REF!</v>
      </c>
      <c r="AG34" s="96">
        <f>WORKDAY(AH34+1,-1,$BA$10:$BA$141)</f>
        <v>46416</v>
      </c>
      <c r="AH34" s="97">
        <v>46418</v>
      </c>
      <c r="AI34" s="98"/>
      <c r="AJ34" s="93" t="e">
        <f>AG34-AF34</f>
        <v>#REF!</v>
      </c>
      <c r="AK34" s="99"/>
      <c r="AL34" s="100"/>
      <c r="AM34" s="101">
        <f t="shared" ref="AM34:AW34" si="31">IF(ISERROR(LOOKUP(AM$6,$S34:$AB34,$S$9:$AB$9)),0,(LOOKUP(AM$6,$S34:$AB34,$S$9:$AB$9)))</f>
        <v>0</v>
      </c>
      <c r="AN34" s="102">
        <f t="shared" si="31"/>
        <v>0</v>
      </c>
      <c r="AO34" s="102">
        <f t="shared" si="31"/>
        <v>0</v>
      </c>
      <c r="AP34" s="102">
        <f t="shared" si="31"/>
        <v>0</v>
      </c>
      <c r="AQ34" s="102">
        <f t="shared" si="31"/>
        <v>0</v>
      </c>
      <c r="AR34" s="102">
        <f t="shared" si="31"/>
        <v>0</v>
      </c>
      <c r="AS34" s="102">
        <f t="shared" si="31"/>
        <v>0</v>
      </c>
      <c r="AT34" s="102">
        <f t="shared" si="31"/>
        <v>0</v>
      </c>
      <c r="AU34" s="102">
        <f t="shared" si="31"/>
        <v>0</v>
      </c>
      <c r="AV34" s="102">
        <f t="shared" si="31"/>
        <v>0</v>
      </c>
      <c r="AW34" s="102">
        <f ca="1" t="shared" si="31"/>
        <v>0</v>
      </c>
      <c r="BB34" s="103" t="e">
        <v>#REF!</v>
      </c>
    </row>
    <row r="35" s="20" customFormat="1" ht="18" customHeight="1" spans="1:54">
      <c r="A35" s="104"/>
      <c r="B35" s="147"/>
      <c r="C35" s="106"/>
      <c r="D35" s="107" t="str">
        <f>D34</f>
        <v>MEC</v>
      </c>
      <c r="E35" s="108" t="str">
        <f>E34</f>
        <v>RFQ-009</v>
      </c>
      <c r="F35" s="109" t="str">
        <f>F34</f>
        <v>N</v>
      </c>
      <c r="G35" s="110"/>
      <c r="H35" s="148" t="str">
        <f>H34</f>
        <v>Degasser</v>
      </c>
      <c r="I35" s="108" t="str">
        <f>I34</f>
        <v>LA</v>
      </c>
      <c r="J35" s="109"/>
      <c r="K35" s="112"/>
      <c r="L35" s="112">
        <f>M36</f>
        <v>0.04</v>
      </c>
      <c r="M35" s="112"/>
      <c r="N35" s="108"/>
      <c r="O35" s="108"/>
      <c r="P35" s="108"/>
      <c r="Q35" s="113" t="s">
        <v>4907</v>
      </c>
      <c r="R35" s="114">
        <f>R34</f>
        <v>46239</v>
      </c>
      <c r="S35" s="114" t="e">
        <f>S34</f>
        <v>#REF!</v>
      </c>
      <c r="T35" s="115" t="e">
        <f>T34</f>
        <v>#REF!</v>
      </c>
      <c r="U35" s="115" t="e">
        <f t="shared" ref="U35:Z35" si="32">WORKDAY(IF(T36="",T35,T36),INDEX(U$2:U$5,MATCH($I34,$I$2:$I$5,0)),$BB$10:$BB$141)</f>
        <v>#REF!</v>
      </c>
      <c r="V35" s="115" t="e">
        <f t="shared" si="32"/>
        <v>#REF!</v>
      </c>
      <c r="W35" s="115" t="e">
        <f t="shared" si="32"/>
        <v>#REF!</v>
      </c>
      <c r="X35" s="115" t="e">
        <f t="shared" si="32"/>
        <v>#REF!</v>
      </c>
      <c r="Y35" s="115" t="e">
        <f t="shared" si="32"/>
        <v>#REF!</v>
      </c>
      <c r="Z35" s="115" t="e">
        <f t="shared" si="32"/>
        <v>#REF!</v>
      </c>
      <c r="AA35" s="115" t="e">
        <f>WORKDAY(IF(Z36="",X35,Z36),INDEX(AA$2:AA$5,MATCH($I34,$I$2:$I$5,0)),$BB$10:$BB$141)</f>
        <v>#REF!</v>
      </c>
      <c r="AB35" s="116" t="e">
        <f>WORKDAY(AE34+#REF!,0,'[36]Equipment List and MR List (3)'!$A$2:$A$80)</f>
        <v>#REF!</v>
      </c>
      <c r="AC35" s="117"/>
      <c r="AD35" s="118"/>
      <c r="AE35" s="94"/>
      <c r="AF35" s="119"/>
      <c r="AG35" s="120"/>
      <c r="AH35" s="121"/>
      <c r="AI35" s="122"/>
      <c r="AJ35" s="118"/>
      <c r="AK35" s="123"/>
      <c r="AL35" s="124"/>
      <c r="AM35" s="101">
        <f t="shared" ref="AM35:AW35" si="33">IF(ISERROR(LOOKUP(AM$6,$S35:$AB35,$S$9:$AB$9)),0,(LOOKUP(AM$6,$S35:$AB35,$S$9:$AB$9)))</f>
        <v>0</v>
      </c>
      <c r="AN35" s="102">
        <f t="shared" si="33"/>
        <v>0</v>
      </c>
      <c r="AO35" s="102">
        <f t="shared" si="33"/>
        <v>0</v>
      </c>
      <c r="AP35" s="102">
        <f t="shared" si="33"/>
        <v>0</v>
      </c>
      <c r="AQ35" s="102">
        <f t="shared" si="33"/>
        <v>0</v>
      </c>
      <c r="AR35" s="102">
        <f t="shared" si="33"/>
        <v>0</v>
      </c>
      <c r="AS35" s="102">
        <f t="shared" si="33"/>
        <v>0</v>
      </c>
      <c r="AT35" s="102">
        <f t="shared" si="33"/>
        <v>0</v>
      </c>
      <c r="AU35" s="102">
        <f t="shared" si="33"/>
        <v>0</v>
      </c>
      <c r="AV35" s="102">
        <f t="shared" si="33"/>
        <v>0</v>
      </c>
      <c r="AW35" s="102">
        <f ca="1" t="shared" si="33"/>
        <v>0</v>
      </c>
      <c r="BB35" s="103" t="e">
        <v>#REF!</v>
      </c>
    </row>
    <row r="36" s="20" customFormat="1" ht="18" customHeight="1" spans="1:54">
      <c r="A36" s="125"/>
      <c r="B36" s="150"/>
      <c r="C36" s="127"/>
      <c r="D36" s="128" t="str">
        <f>D34</f>
        <v>MEC</v>
      </c>
      <c r="E36" s="129" t="str">
        <f>E34</f>
        <v>RFQ-009</v>
      </c>
      <c r="F36" s="130" t="str">
        <f>F34</f>
        <v>N</v>
      </c>
      <c r="G36" s="131"/>
      <c r="H36" s="148" t="str">
        <f>H34</f>
        <v>Degasser</v>
      </c>
      <c r="I36" s="129" t="str">
        <f>I34</f>
        <v>LA</v>
      </c>
      <c r="J36" s="130"/>
      <c r="K36" s="132"/>
      <c r="L36" s="132"/>
      <c r="M36" s="132">
        <v>0.04</v>
      </c>
      <c r="N36" s="129"/>
      <c r="O36" s="129"/>
      <c r="P36" s="129"/>
      <c r="Q36" s="133" t="s">
        <v>4908</v>
      </c>
      <c r="R36" s="151"/>
      <c r="S36" s="151"/>
      <c r="T36" s="151"/>
      <c r="U36" s="151"/>
      <c r="V36" s="151"/>
      <c r="W36" s="151"/>
      <c r="X36" s="151"/>
      <c r="Y36" s="151"/>
      <c r="Z36" s="151"/>
      <c r="AA36" s="151"/>
      <c r="AB36" s="151"/>
      <c r="AC36" s="134"/>
      <c r="AD36" s="135"/>
      <c r="AE36" s="94"/>
      <c r="AF36" s="136"/>
      <c r="AG36" s="137"/>
      <c r="AH36" s="138"/>
      <c r="AI36" s="139"/>
      <c r="AJ36" s="135"/>
      <c r="AK36" s="140"/>
      <c r="AL36" s="141"/>
      <c r="AM36" s="142">
        <f t="shared" ref="AM36:AW36" si="34">IF(ISERROR(LOOKUP(AM$6,$S36:$AB36,$S$9:$AB$9)),0,(LOOKUP(AM$6,$S36:$AB36,$S$9:$AB$9)))</f>
        <v>0</v>
      </c>
      <c r="AN36" s="143">
        <f t="shared" si="34"/>
        <v>0</v>
      </c>
      <c r="AO36" s="143">
        <f t="shared" si="34"/>
        <v>0</v>
      </c>
      <c r="AP36" s="143">
        <f t="shared" si="34"/>
        <v>0</v>
      </c>
      <c r="AQ36" s="143">
        <f t="shared" si="34"/>
        <v>0</v>
      </c>
      <c r="AR36" s="143">
        <f t="shared" si="34"/>
        <v>0</v>
      </c>
      <c r="AS36" s="143">
        <f t="shared" si="34"/>
        <v>0</v>
      </c>
      <c r="AT36" s="143">
        <f t="shared" si="34"/>
        <v>0</v>
      </c>
      <c r="AU36" s="143">
        <f t="shared" si="34"/>
        <v>0</v>
      </c>
      <c r="AV36" s="143">
        <f t="shared" si="34"/>
        <v>0</v>
      </c>
      <c r="AW36" s="143">
        <f ca="1" t="shared" si="34"/>
        <v>0</v>
      </c>
      <c r="BB36" s="103" t="e">
        <v>#REF!</v>
      </c>
    </row>
    <row r="37" s="20" customFormat="1" ht="18.6" customHeight="1" spans="1:54">
      <c r="A37" s="81">
        <f>A34+1</f>
        <v>10</v>
      </c>
      <c r="B37" s="145" t="s">
        <v>4921</v>
      </c>
      <c r="C37" s="83" t="s">
        <v>4902</v>
      </c>
      <c r="D37" s="84" t="s">
        <v>4903</v>
      </c>
      <c r="E37" s="85" t="s">
        <v>4785</v>
      </c>
      <c r="F37" s="86" t="str">
        <f>IF(_xlfn.XLOOKUP(E37,'[36]Before Award'!D:D,'[36]Before Award'!AV:AV,"N/A")="N/A","N","Y")</f>
        <v>N</v>
      </c>
      <c r="G37" s="87" t="s">
        <v>4913</v>
      </c>
      <c r="H37" s="146" t="s">
        <v>101</v>
      </c>
      <c r="I37" s="85" t="s">
        <v>6</v>
      </c>
      <c r="J37" s="86"/>
      <c r="K37" s="89">
        <f>M39</f>
        <v>0.01</v>
      </c>
      <c r="L37" s="89"/>
      <c r="M37" s="89"/>
      <c r="N37" s="85"/>
      <c r="O37" s="85"/>
      <c r="P37" s="85"/>
      <c r="Q37" s="90" t="s">
        <v>4905</v>
      </c>
      <c r="R37" s="91">
        <f>'Before Award'!U44+5</f>
        <v>46239</v>
      </c>
      <c r="S37" s="91" t="e">
        <f>WORKDAY(R37,INDEX(S$2:S$5,MATCH($I37,$I$2:$I$5,0)),$BB$10:$BB$141)</f>
        <v>#REF!</v>
      </c>
      <c r="T37" s="91" t="e">
        <f>WORKDAY(S37,INDEX(T$2:T$5,MATCH($I37,$I$2:$I$5,0)),$BB$10:$BB$141)</f>
        <v>#REF!</v>
      </c>
      <c r="U37" s="91" t="e">
        <f>T37+60</f>
        <v>#REF!</v>
      </c>
      <c r="V37" s="91"/>
      <c r="W37" s="91">
        <f>AB37-35</f>
        <v>46381</v>
      </c>
      <c r="X37" s="91"/>
      <c r="Y37" s="91"/>
      <c r="Z37" s="91"/>
      <c r="AA37" s="91"/>
      <c r="AB37" s="91">
        <f>'Before Award'!X44</f>
        <v>46416</v>
      </c>
      <c r="AC37" s="92" t="s">
        <v>4906</v>
      </c>
      <c r="AD37" s="93">
        <v>14</v>
      </c>
      <c r="AE37" s="94">
        <v>294</v>
      </c>
      <c r="AF37" s="95" t="e">
        <f>AB38</f>
        <v>#REF!</v>
      </c>
      <c r="AG37" s="96">
        <f>WORKDAY(AH37+1,-1,$BA$10:$BA$141)</f>
        <v>46416</v>
      </c>
      <c r="AH37" s="97">
        <v>46418</v>
      </c>
      <c r="AI37" s="98"/>
      <c r="AJ37" s="93" t="e">
        <f>AG37-AF37</f>
        <v>#REF!</v>
      </c>
      <c r="AK37" s="99"/>
      <c r="AL37" s="100"/>
      <c r="AM37" s="101">
        <f t="shared" ref="AM37:AW37" si="35">IF(ISERROR(LOOKUP(AM$6,$S37:$AB37,$S$9:$AB$9)),0,(LOOKUP(AM$6,$S37:$AB37,$S$9:$AB$9)))</f>
        <v>0</v>
      </c>
      <c r="AN37" s="102">
        <f t="shared" si="35"/>
        <v>0</v>
      </c>
      <c r="AO37" s="102">
        <f t="shared" si="35"/>
        <v>0</v>
      </c>
      <c r="AP37" s="102">
        <f t="shared" si="35"/>
        <v>0</v>
      </c>
      <c r="AQ37" s="102">
        <f t="shared" si="35"/>
        <v>0</v>
      </c>
      <c r="AR37" s="102">
        <f t="shared" si="35"/>
        <v>0</v>
      </c>
      <c r="AS37" s="102">
        <f t="shared" si="35"/>
        <v>0</v>
      </c>
      <c r="AT37" s="102">
        <f t="shared" si="35"/>
        <v>0</v>
      </c>
      <c r="AU37" s="102">
        <f t="shared" si="35"/>
        <v>0</v>
      </c>
      <c r="AV37" s="102">
        <f t="shared" si="35"/>
        <v>0</v>
      </c>
      <c r="AW37" s="102">
        <f ca="1" t="shared" si="35"/>
        <v>0</v>
      </c>
      <c r="BB37" s="103" t="e">
        <v>#REF!</v>
      </c>
    </row>
    <row r="38" s="20" customFormat="1" ht="18.6" customHeight="1" spans="1:54">
      <c r="A38" s="104"/>
      <c r="B38" s="147"/>
      <c r="C38" s="106"/>
      <c r="D38" s="107" t="str">
        <f>D37</f>
        <v>MEC</v>
      </c>
      <c r="E38" s="108" t="str">
        <f>E37</f>
        <v>RFQ-010</v>
      </c>
      <c r="F38" s="109" t="str">
        <f>F37</f>
        <v>N</v>
      </c>
      <c r="G38" s="110"/>
      <c r="H38" s="148" t="str">
        <f>H37</f>
        <v>Skim Tank Vessel</v>
      </c>
      <c r="I38" s="108" t="str">
        <f>I37</f>
        <v>LA</v>
      </c>
      <c r="J38" s="109"/>
      <c r="K38" s="112"/>
      <c r="L38" s="112">
        <f>M39</f>
        <v>0.01</v>
      </c>
      <c r="M38" s="112"/>
      <c r="N38" s="108"/>
      <c r="O38" s="108"/>
      <c r="P38" s="108"/>
      <c r="Q38" s="113" t="s">
        <v>4907</v>
      </c>
      <c r="R38" s="114">
        <f>R37</f>
        <v>46239</v>
      </c>
      <c r="S38" s="114" t="e">
        <f>S37</f>
        <v>#REF!</v>
      </c>
      <c r="T38" s="115" t="e">
        <f>T37</f>
        <v>#REF!</v>
      </c>
      <c r="U38" s="115" t="e">
        <f t="shared" ref="U38:Z38" si="36">WORKDAY(IF(T39="",T38,T39),INDEX(U$2:U$5,MATCH($I37,$I$2:$I$5,0)),$BB$10:$BB$141)</f>
        <v>#REF!</v>
      </c>
      <c r="V38" s="115" t="e">
        <f t="shared" si="36"/>
        <v>#REF!</v>
      </c>
      <c r="W38" s="115" t="e">
        <f t="shared" si="36"/>
        <v>#REF!</v>
      </c>
      <c r="X38" s="115" t="e">
        <f t="shared" si="36"/>
        <v>#REF!</v>
      </c>
      <c r="Y38" s="115" t="e">
        <f t="shared" si="36"/>
        <v>#REF!</v>
      </c>
      <c r="Z38" s="115" t="e">
        <f t="shared" si="36"/>
        <v>#REF!</v>
      </c>
      <c r="AA38" s="115" t="e">
        <f>WORKDAY(IF(Z39="",X38,Z39),INDEX(AA$2:AA$5,MATCH($I37,$I$2:$I$5,0)),$BB$10:$BB$141)</f>
        <v>#REF!</v>
      </c>
      <c r="AB38" s="116" t="e">
        <f>WORKDAY(AE37+#REF!,0,'[36]Equipment List and MR List (3)'!$A$2:$A$80)</f>
        <v>#REF!</v>
      </c>
      <c r="AC38" s="117"/>
      <c r="AD38" s="118"/>
      <c r="AE38" s="94"/>
      <c r="AF38" s="119"/>
      <c r="AG38" s="120"/>
      <c r="AH38" s="121"/>
      <c r="AI38" s="122"/>
      <c r="AJ38" s="118"/>
      <c r="AK38" s="123"/>
      <c r="AL38" s="124"/>
      <c r="AM38" s="101">
        <f t="shared" ref="AM38:AW38" si="37">IF(ISERROR(LOOKUP(AM$6,$S38:$AB38,$S$9:$AB$9)),0,(LOOKUP(AM$6,$S38:$AB38,$S$9:$AB$9)))</f>
        <v>0</v>
      </c>
      <c r="AN38" s="102">
        <f t="shared" si="37"/>
        <v>0</v>
      </c>
      <c r="AO38" s="102">
        <f t="shared" si="37"/>
        <v>0</v>
      </c>
      <c r="AP38" s="102">
        <f t="shared" si="37"/>
        <v>0</v>
      </c>
      <c r="AQ38" s="102">
        <f t="shared" si="37"/>
        <v>0</v>
      </c>
      <c r="AR38" s="102">
        <f t="shared" si="37"/>
        <v>0</v>
      </c>
      <c r="AS38" s="102">
        <f t="shared" si="37"/>
        <v>0</v>
      </c>
      <c r="AT38" s="102">
        <f t="shared" si="37"/>
        <v>0</v>
      </c>
      <c r="AU38" s="102">
        <f t="shared" si="37"/>
        <v>0</v>
      </c>
      <c r="AV38" s="102">
        <f t="shared" si="37"/>
        <v>0</v>
      </c>
      <c r="AW38" s="102">
        <f ca="1" t="shared" si="37"/>
        <v>0</v>
      </c>
      <c r="BB38" s="103" t="e">
        <v>#REF!</v>
      </c>
    </row>
    <row r="39" s="20" customFormat="1" ht="18.6" customHeight="1" spans="1:54">
      <c r="A39" s="125"/>
      <c r="B39" s="150"/>
      <c r="C39" s="127"/>
      <c r="D39" s="128" t="str">
        <f>D37</f>
        <v>MEC</v>
      </c>
      <c r="E39" s="129" t="str">
        <f>E37</f>
        <v>RFQ-010</v>
      </c>
      <c r="F39" s="130" t="str">
        <f>F37</f>
        <v>N</v>
      </c>
      <c r="G39" s="131"/>
      <c r="H39" s="148" t="str">
        <f>H37</f>
        <v>Skim Tank Vessel</v>
      </c>
      <c r="I39" s="129" t="str">
        <f>I37</f>
        <v>LA</v>
      </c>
      <c r="J39" s="130"/>
      <c r="K39" s="132"/>
      <c r="L39" s="132"/>
      <c r="M39" s="132">
        <v>0.01</v>
      </c>
      <c r="N39" s="129"/>
      <c r="O39" s="129"/>
      <c r="P39" s="129"/>
      <c r="Q39" s="133" t="s">
        <v>4908</v>
      </c>
      <c r="R39" s="151"/>
      <c r="S39" s="151"/>
      <c r="T39" s="151"/>
      <c r="U39" s="151"/>
      <c r="V39" s="151"/>
      <c r="W39" s="151"/>
      <c r="X39" s="151"/>
      <c r="Y39" s="151"/>
      <c r="Z39" s="151"/>
      <c r="AA39" s="151"/>
      <c r="AB39" s="151"/>
      <c r="AC39" s="134"/>
      <c r="AD39" s="135"/>
      <c r="AE39" s="94"/>
      <c r="AF39" s="136"/>
      <c r="AG39" s="137"/>
      <c r="AH39" s="138"/>
      <c r="AI39" s="139"/>
      <c r="AJ39" s="135"/>
      <c r="AK39" s="140"/>
      <c r="AL39" s="141"/>
      <c r="AM39" s="142">
        <f t="shared" ref="AM39:AW39" si="38">IF(ISERROR(LOOKUP(AM$6,$S39:$AB39,$S$9:$AB$9)),0,(LOOKUP(AM$6,$S39:$AB39,$S$9:$AB$9)))</f>
        <v>0</v>
      </c>
      <c r="AN39" s="143">
        <f t="shared" si="38"/>
        <v>0</v>
      </c>
      <c r="AO39" s="143">
        <f t="shared" si="38"/>
        <v>0</v>
      </c>
      <c r="AP39" s="143">
        <f t="shared" si="38"/>
        <v>0</v>
      </c>
      <c r="AQ39" s="143">
        <f t="shared" si="38"/>
        <v>0</v>
      </c>
      <c r="AR39" s="143">
        <f t="shared" si="38"/>
        <v>0</v>
      </c>
      <c r="AS39" s="143">
        <f t="shared" si="38"/>
        <v>0</v>
      </c>
      <c r="AT39" s="143">
        <f t="shared" si="38"/>
        <v>0</v>
      </c>
      <c r="AU39" s="143">
        <f t="shared" si="38"/>
        <v>0</v>
      </c>
      <c r="AV39" s="143">
        <f t="shared" si="38"/>
        <v>0</v>
      </c>
      <c r="AW39" s="143">
        <f ca="1" t="shared" si="38"/>
        <v>0</v>
      </c>
      <c r="BB39" s="103" t="e">
        <v>#REF!</v>
      </c>
    </row>
    <row r="40" s="20" customFormat="1" ht="18.6" customHeight="1" spans="1:54">
      <c r="A40" s="81">
        <f>A37+1</f>
        <v>11</v>
      </c>
      <c r="B40" s="145" t="s">
        <v>4921</v>
      </c>
      <c r="C40" s="83" t="s">
        <v>4902</v>
      </c>
      <c r="D40" s="84" t="s">
        <v>4903</v>
      </c>
      <c r="E40" s="85" t="s">
        <v>4786</v>
      </c>
      <c r="F40" s="86" t="s">
        <v>63</v>
      </c>
      <c r="G40" s="87" t="s">
        <v>4913</v>
      </c>
      <c r="H40" s="146" t="s">
        <v>104</v>
      </c>
      <c r="I40" s="85" t="s">
        <v>6</v>
      </c>
      <c r="J40" s="86"/>
      <c r="K40" s="89">
        <f>M42</f>
        <v>0.01</v>
      </c>
      <c r="L40" s="89"/>
      <c r="M40" s="89"/>
      <c r="N40" s="85"/>
      <c r="O40" s="85"/>
      <c r="P40" s="85"/>
      <c r="Q40" s="90" t="s">
        <v>4905</v>
      </c>
      <c r="R40" s="91">
        <f>'Before Award'!U47+5</f>
        <v>46260</v>
      </c>
      <c r="S40" s="91" t="e">
        <f>WORKDAY(R40,INDEX(S$2:S$5,MATCH($I40,$I$2:$I$5,0)),$BB$10:$BB$141)</f>
        <v>#REF!</v>
      </c>
      <c r="T40" s="91" t="e">
        <f>WORKDAY(S40,INDEX(T$2:T$5,MATCH($I40,$I$2:$I$5,0)),$BB$10:$BB$141)</f>
        <v>#REF!</v>
      </c>
      <c r="U40" s="91" t="e">
        <f>T40+60</f>
        <v>#REF!</v>
      </c>
      <c r="V40" s="91"/>
      <c r="W40" s="91">
        <f>AB40-35</f>
        <v>46402</v>
      </c>
      <c r="X40" s="91"/>
      <c r="Y40" s="91"/>
      <c r="Z40" s="91"/>
      <c r="AA40" s="91"/>
      <c r="AB40" s="91">
        <f>'Before Award'!X47</f>
        <v>46437</v>
      </c>
      <c r="AC40" s="92" t="s">
        <v>4906</v>
      </c>
      <c r="AD40" s="93">
        <v>14</v>
      </c>
      <c r="AE40" s="94">
        <v>294</v>
      </c>
      <c r="AF40" s="95" t="e">
        <f>AB41</f>
        <v>#REF!</v>
      </c>
      <c r="AG40" s="96">
        <f>WORKDAY(AH40+1,-1,$BA$10:$BA$141)</f>
        <v>46386</v>
      </c>
      <c r="AH40" s="97">
        <v>46386</v>
      </c>
      <c r="AI40" s="98"/>
      <c r="AJ40" s="93" t="e">
        <f>AG40-AF40</f>
        <v>#REF!</v>
      </c>
      <c r="AK40" s="99"/>
      <c r="AL40" s="100"/>
      <c r="AM40" s="101">
        <f t="shared" ref="AM40:AW40" si="39">IF(ISERROR(LOOKUP(AM$6,$S40:$AB40,$S$9:$AB$9)),0,(LOOKUP(AM$6,$S40:$AB40,$S$9:$AB$9)))</f>
        <v>0</v>
      </c>
      <c r="AN40" s="102">
        <f t="shared" si="39"/>
        <v>0</v>
      </c>
      <c r="AO40" s="102">
        <f t="shared" si="39"/>
        <v>0</v>
      </c>
      <c r="AP40" s="102">
        <f t="shared" si="39"/>
        <v>0</v>
      </c>
      <c r="AQ40" s="102">
        <f t="shared" si="39"/>
        <v>0</v>
      </c>
      <c r="AR40" s="102">
        <f t="shared" si="39"/>
        <v>0</v>
      </c>
      <c r="AS40" s="102">
        <f t="shared" si="39"/>
        <v>0</v>
      </c>
      <c r="AT40" s="102">
        <f t="shared" si="39"/>
        <v>0</v>
      </c>
      <c r="AU40" s="102">
        <f t="shared" si="39"/>
        <v>0</v>
      </c>
      <c r="AV40" s="102">
        <f t="shared" si="39"/>
        <v>0</v>
      </c>
      <c r="AW40" s="102">
        <f ca="1" t="shared" si="39"/>
        <v>0</v>
      </c>
      <c r="BB40" s="103" t="e">
        <v>#REF!</v>
      </c>
    </row>
    <row r="41" s="20" customFormat="1" ht="18.6" customHeight="1" spans="1:54">
      <c r="A41" s="104"/>
      <c r="B41" s="147"/>
      <c r="C41" s="106"/>
      <c r="D41" s="107" t="str">
        <f>D40</f>
        <v>MEC</v>
      </c>
      <c r="E41" s="108" t="str">
        <f>E40</f>
        <v>RFQ-011</v>
      </c>
      <c r="F41" s="109" t="str">
        <f>F40</f>
        <v>Y</v>
      </c>
      <c r="G41" s="110"/>
      <c r="H41" s="148" t="str">
        <f>H40</f>
        <v>Closed Drain Sump Vessel</v>
      </c>
      <c r="I41" s="108" t="str">
        <f>I40</f>
        <v>LA</v>
      </c>
      <c r="J41" s="109"/>
      <c r="K41" s="112"/>
      <c r="L41" s="112">
        <f>M42</f>
        <v>0.01</v>
      </c>
      <c r="M41" s="112"/>
      <c r="N41" s="108"/>
      <c r="O41" s="108"/>
      <c r="P41" s="108"/>
      <c r="Q41" s="113" t="s">
        <v>4907</v>
      </c>
      <c r="R41" s="114">
        <f>R40</f>
        <v>46260</v>
      </c>
      <c r="S41" s="114" t="e">
        <f>S40</f>
        <v>#REF!</v>
      </c>
      <c r="T41" s="115" t="e">
        <f>T40</f>
        <v>#REF!</v>
      </c>
      <c r="U41" s="115" t="e">
        <f t="shared" ref="U41:Z41" si="40">WORKDAY(IF(T42="",T41,T42),INDEX(U$2:U$5,MATCH($I40,$I$2:$I$5,0)),$BB$10:$BB$141)</f>
        <v>#REF!</v>
      </c>
      <c r="V41" s="115" t="e">
        <f t="shared" si="40"/>
        <v>#REF!</v>
      </c>
      <c r="W41" s="115" t="e">
        <f t="shared" si="40"/>
        <v>#REF!</v>
      </c>
      <c r="X41" s="115" t="e">
        <f t="shared" si="40"/>
        <v>#REF!</v>
      </c>
      <c r="Y41" s="115" t="e">
        <f t="shared" si="40"/>
        <v>#REF!</v>
      </c>
      <c r="Z41" s="115" t="e">
        <f t="shared" si="40"/>
        <v>#REF!</v>
      </c>
      <c r="AA41" s="115" t="e">
        <f>WORKDAY(IF(Z42="",X41,Z42),INDEX(AA$2:AA$5,MATCH($I40,$I$2:$I$5,0)),$BB$10:$BB$141)</f>
        <v>#REF!</v>
      </c>
      <c r="AB41" s="116" t="e">
        <f>WORKDAY(AE40+#REF!,0,'[36]Equipment List and MR List (3)'!$A$2:$A$80)</f>
        <v>#REF!</v>
      </c>
      <c r="AC41" s="117"/>
      <c r="AD41" s="118"/>
      <c r="AE41" s="94"/>
      <c r="AF41" s="119"/>
      <c r="AG41" s="120"/>
      <c r="AH41" s="121"/>
      <c r="AI41" s="122"/>
      <c r="AJ41" s="118"/>
      <c r="AK41" s="123"/>
      <c r="AL41" s="124"/>
      <c r="AM41" s="101">
        <f t="shared" ref="AM41:AW41" si="41">IF(ISERROR(LOOKUP(AM$6,$S41:$AB41,$S$9:$AB$9)),0,(LOOKUP(AM$6,$S41:$AB41,$S$9:$AB$9)))</f>
        <v>0</v>
      </c>
      <c r="AN41" s="102">
        <f t="shared" si="41"/>
        <v>0</v>
      </c>
      <c r="AO41" s="102">
        <f t="shared" si="41"/>
        <v>0</v>
      </c>
      <c r="AP41" s="102">
        <f t="shared" si="41"/>
        <v>0</v>
      </c>
      <c r="AQ41" s="102">
        <f t="shared" si="41"/>
        <v>0</v>
      </c>
      <c r="AR41" s="102">
        <f t="shared" si="41"/>
        <v>0</v>
      </c>
      <c r="AS41" s="102">
        <f t="shared" si="41"/>
        <v>0</v>
      </c>
      <c r="AT41" s="102">
        <f t="shared" si="41"/>
        <v>0</v>
      </c>
      <c r="AU41" s="102">
        <f t="shared" si="41"/>
        <v>0</v>
      </c>
      <c r="AV41" s="102">
        <f t="shared" si="41"/>
        <v>0</v>
      </c>
      <c r="AW41" s="102">
        <f ca="1" t="shared" si="41"/>
        <v>0</v>
      </c>
      <c r="BB41" s="103" t="e">
        <v>#REF!</v>
      </c>
    </row>
    <row r="42" s="20" customFormat="1" ht="18.6" customHeight="1" spans="1:54">
      <c r="A42" s="125"/>
      <c r="B42" s="150"/>
      <c r="C42" s="127"/>
      <c r="D42" s="128" t="str">
        <f>D40</f>
        <v>MEC</v>
      </c>
      <c r="E42" s="129" t="str">
        <f>E40</f>
        <v>RFQ-011</v>
      </c>
      <c r="F42" s="130" t="str">
        <f>F40</f>
        <v>Y</v>
      </c>
      <c r="G42" s="131"/>
      <c r="H42" s="148" t="str">
        <f>H40</f>
        <v>Closed Drain Sump Vessel</v>
      </c>
      <c r="I42" s="129" t="str">
        <f>I40</f>
        <v>LA</v>
      </c>
      <c r="J42" s="130"/>
      <c r="K42" s="132"/>
      <c r="L42" s="132"/>
      <c r="M42" s="132">
        <v>0.01</v>
      </c>
      <c r="N42" s="129"/>
      <c r="O42" s="129"/>
      <c r="P42" s="129"/>
      <c r="Q42" s="133" t="s">
        <v>4908</v>
      </c>
      <c r="R42" s="151"/>
      <c r="S42" s="151"/>
      <c r="T42" s="151"/>
      <c r="U42" s="151"/>
      <c r="V42" s="151"/>
      <c r="W42" s="151"/>
      <c r="X42" s="151"/>
      <c r="Y42" s="151"/>
      <c r="Z42" s="151"/>
      <c r="AA42" s="151"/>
      <c r="AB42" s="151"/>
      <c r="AC42" s="134"/>
      <c r="AD42" s="135"/>
      <c r="AE42" s="94"/>
      <c r="AF42" s="136"/>
      <c r="AG42" s="137"/>
      <c r="AH42" s="138"/>
      <c r="AI42" s="139"/>
      <c r="AJ42" s="135"/>
      <c r="AK42" s="140"/>
      <c r="AL42" s="141"/>
      <c r="AM42" s="142">
        <f t="shared" ref="AM42:AW42" si="42">IF(ISERROR(LOOKUP(AM$6,$S42:$AB42,$S$9:$AB$9)),0,(LOOKUP(AM$6,$S42:$AB42,$S$9:$AB$9)))</f>
        <v>0</v>
      </c>
      <c r="AN42" s="143">
        <f t="shared" si="42"/>
        <v>0</v>
      </c>
      <c r="AO42" s="143">
        <f t="shared" si="42"/>
        <v>0</v>
      </c>
      <c r="AP42" s="143">
        <f t="shared" si="42"/>
        <v>0</v>
      </c>
      <c r="AQ42" s="143">
        <f t="shared" si="42"/>
        <v>0</v>
      </c>
      <c r="AR42" s="143">
        <f t="shared" si="42"/>
        <v>0</v>
      </c>
      <c r="AS42" s="143">
        <f t="shared" si="42"/>
        <v>0</v>
      </c>
      <c r="AT42" s="143">
        <f t="shared" si="42"/>
        <v>0</v>
      </c>
      <c r="AU42" s="143">
        <f t="shared" si="42"/>
        <v>0</v>
      </c>
      <c r="AV42" s="143">
        <f t="shared" si="42"/>
        <v>0</v>
      </c>
      <c r="AW42" s="143">
        <f ca="1" t="shared" si="42"/>
        <v>0</v>
      </c>
      <c r="BB42" s="103" t="e">
        <v>#REF!</v>
      </c>
    </row>
    <row r="43" s="20" customFormat="1" ht="18.6" customHeight="1" spans="1:54">
      <c r="A43" s="81">
        <f>A40+1</f>
        <v>12</v>
      </c>
      <c r="B43" s="82" t="s">
        <v>4922</v>
      </c>
      <c r="C43" s="83" t="s">
        <v>4902</v>
      </c>
      <c r="D43" s="84" t="s">
        <v>4903</v>
      </c>
      <c r="E43" s="85" t="s">
        <v>4787</v>
      </c>
      <c r="F43" s="86" t="str">
        <f>IF(_xlfn.XLOOKUP(E43,'[36]Before Award'!D:D,'[36]Before Award'!AV:AV,"N/A")="N/A","N","Y")</f>
        <v>N</v>
      </c>
      <c r="G43" s="87" t="s">
        <v>4913</v>
      </c>
      <c r="H43" s="88" t="s">
        <v>4923</v>
      </c>
      <c r="I43" s="85" t="s">
        <v>6</v>
      </c>
      <c r="J43" s="86"/>
      <c r="K43" s="89">
        <f>M45</f>
        <v>0.01</v>
      </c>
      <c r="L43" s="89"/>
      <c r="M43" s="89"/>
      <c r="N43" s="85"/>
      <c r="O43" s="85"/>
      <c r="P43" s="85"/>
      <c r="Q43" s="90" t="s">
        <v>4905</v>
      </c>
      <c r="R43" s="91">
        <f>'Before Award'!U50+5</f>
        <v>46281</v>
      </c>
      <c r="S43" s="91" t="e">
        <f>WORKDAY(R43,INDEX(S$2:S$5,MATCH($I43,$I$2:$I$5,0)),$BB$10:$BB$141)</f>
        <v>#REF!</v>
      </c>
      <c r="T43" s="91" t="e">
        <f>WORKDAY(S43,INDEX(T$2:T$5,MATCH($I43,$I$2:$I$5,0)),$BB$10:$BB$141)</f>
        <v>#REF!</v>
      </c>
      <c r="U43" s="91" t="e">
        <f>T43+60</f>
        <v>#REF!</v>
      </c>
      <c r="V43" s="91"/>
      <c r="W43" s="91">
        <f>AB43-35</f>
        <v>46381</v>
      </c>
      <c r="X43" s="91"/>
      <c r="Y43" s="91"/>
      <c r="Z43" s="91"/>
      <c r="AA43" s="91"/>
      <c r="AB43" s="91">
        <f>'Before Award'!X50</f>
        <v>46416</v>
      </c>
      <c r="AC43" s="92" t="s">
        <v>4906</v>
      </c>
      <c r="AD43" s="93">
        <v>14</v>
      </c>
      <c r="AE43" s="94">
        <v>238</v>
      </c>
      <c r="AF43" s="95" t="e">
        <f>AB44</f>
        <v>#REF!</v>
      </c>
      <c r="AG43" s="96">
        <f>WORKDAY(AH43+1,-1,$BA$10:$BA$141)</f>
        <v>46416</v>
      </c>
      <c r="AH43" s="97">
        <v>46418</v>
      </c>
      <c r="AI43" s="98"/>
      <c r="AJ43" s="93" t="e">
        <f>AG43-AF43</f>
        <v>#REF!</v>
      </c>
      <c r="AK43" s="99"/>
      <c r="AL43" s="100"/>
      <c r="AM43" s="101">
        <f t="shared" ref="AM43:AW43" si="43">IF(ISERROR(LOOKUP(AM$6,$S43:$AB43,$S$9:$AB$9)),0,(LOOKUP(AM$6,$S43:$AB43,$S$9:$AB$9)))</f>
        <v>0</v>
      </c>
      <c r="AN43" s="102">
        <f t="shared" si="43"/>
        <v>0</v>
      </c>
      <c r="AO43" s="102">
        <f t="shared" si="43"/>
        <v>0</v>
      </c>
      <c r="AP43" s="102">
        <f t="shared" si="43"/>
        <v>0</v>
      </c>
      <c r="AQ43" s="102">
        <f t="shared" si="43"/>
        <v>0</v>
      </c>
      <c r="AR43" s="102">
        <f t="shared" si="43"/>
        <v>0</v>
      </c>
      <c r="AS43" s="102">
        <f t="shared" si="43"/>
        <v>0</v>
      </c>
      <c r="AT43" s="102">
        <f t="shared" si="43"/>
        <v>0</v>
      </c>
      <c r="AU43" s="102">
        <f t="shared" si="43"/>
        <v>0</v>
      </c>
      <c r="AV43" s="102">
        <f t="shared" si="43"/>
        <v>0</v>
      </c>
      <c r="AW43" s="102">
        <f ca="1" t="shared" si="43"/>
        <v>0</v>
      </c>
      <c r="BB43" s="103" t="e">
        <v>#REF!</v>
      </c>
    </row>
    <row r="44" s="20" customFormat="1" ht="18.6" customHeight="1" spans="1:54">
      <c r="A44" s="104"/>
      <c r="B44" s="105"/>
      <c r="C44" s="106"/>
      <c r="D44" s="107" t="str">
        <f>D43</f>
        <v>MEC</v>
      </c>
      <c r="E44" s="108" t="str">
        <f>E43</f>
        <v>RFQ-012</v>
      </c>
      <c r="F44" s="109" t="str">
        <f>F43</f>
        <v>N</v>
      </c>
      <c r="G44" s="110"/>
      <c r="H44" s="111" t="str">
        <f>H43</f>
        <v>Diesel Storage Tote Tank</v>
      </c>
      <c r="I44" s="108" t="str">
        <f>I43</f>
        <v>LA</v>
      </c>
      <c r="J44" s="109"/>
      <c r="K44" s="112"/>
      <c r="L44" s="112">
        <f>M45</f>
        <v>0.01</v>
      </c>
      <c r="M44" s="112"/>
      <c r="N44" s="108"/>
      <c r="O44" s="108"/>
      <c r="P44" s="108"/>
      <c r="Q44" s="113" t="s">
        <v>4907</v>
      </c>
      <c r="R44" s="114">
        <f>R43</f>
        <v>46281</v>
      </c>
      <c r="S44" s="114" t="e">
        <f>S43</f>
        <v>#REF!</v>
      </c>
      <c r="T44" s="115" t="e">
        <f>T43</f>
        <v>#REF!</v>
      </c>
      <c r="U44" s="115" t="e">
        <f t="shared" ref="U44:Z44" si="44">WORKDAY(IF(T45="",T44,T45),INDEX(U$2:U$5,MATCH($I43,$I$2:$I$5,0)),$BB$10:$BB$141)</f>
        <v>#REF!</v>
      </c>
      <c r="V44" s="115" t="e">
        <f t="shared" si="44"/>
        <v>#REF!</v>
      </c>
      <c r="W44" s="115" t="e">
        <f t="shared" si="44"/>
        <v>#REF!</v>
      </c>
      <c r="X44" s="115" t="e">
        <f t="shared" si="44"/>
        <v>#REF!</v>
      </c>
      <c r="Y44" s="115" t="e">
        <f t="shared" si="44"/>
        <v>#REF!</v>
      </c>
      <c r="Z44" s="115" t="e">
        <f t="shared" si="44"/>
        <v>#REF!</v>
      </c>
      <c r="AA44" s="115" t="e">
        <f>WORKDAY(IF(Z45="",X44,Z45),INDEX(AA$2:AA$5,MATCH($I43,$I$2:$I$5,0)),$BB$10:$BB$141)</f>
        <v>#REF!</v>
      </c>
      <c r="AB44" s="116" t="e">
        <f>WORKDAY(AE43+#REF!,0,'[36]Equipment List and MR List (3)'!$A$2:$A$80)</f>
        <v>#REF!</v>
      </c>
      <c r="AC44" s="117"/>
      <c r="AD44" s="118"/>
      <c r="AE44" s="94"/>
      <c r="AF44" s="119"/>
      <c r="AG44" s="120"/>
      <c r="AH44" s="121"/>
      <c r="AI44" s="122"/>
      <c r="AJ44" s="118"/>
      <c r="AK44" s="123"/>
      <c r="AL44" s="124"/>
      <c r="AM44" s="101">
        <f t="shared" ref="AM44:AW44" si="45">IF(ISERROR(LOOKUP(AM$6,$S44:$AB44,$S$9:$AB$9)),0,(LOOKUP(AM$6,$S44:$AB44,$S$9:$AB$9)))</f>
        <v>0</v>
      </c>
      <c r="AN44" s="102">
        <f t="shared" si="45"/>
        <v>0</v>
      </c>
      <c r="AO44" s="102">
        <f t="shared" si="45"/>
        <v>0</v>
      </c>
      <c r="AP44" s="102">
        <f t="shared" si="45"/>
        <v>0</v>
      </c>
      <c r="AQ44" s="102">
        <f t="shared" si="45"/>
        <v>0</v>
      </c>
      <c r="AR44" s="102">
        <f t="shared" si="45"/>
        <v>0</v>
      </c>
      <c r="AS44" s="102">
        <f t="shared" si="45"/>
        <v>0</v>
      </c>
      <c r="AT44" s="102">
        <f t="shared" si="45"/>
        <v>0</v>
      </c>
      <c r="AU44" s="102">
        <f t="shared" si="45"/>
        <v>0</v>
      </c>
      <c r="AV44" s="102">
        <f t="shared" si="45"/>
        <v>0</v>
      </c>
      <c r="AW44" s="102">
        <f ca="1" t="shared" si="45"/>
        <v>0</v>
      </c>
      <c r="BB44" s="103" t="e">
        <v>#REF!</v>
      </c>
    </row>
    <row r="45" s="20" customFormat="1" ht="18.6" customHeight="1" spans="1:54">
      <c r="A45" s="125"/>
      <c r="B45" s="126"/>
      <c r="C45" s="127"/>
      <c r="D45" s="128" t="str">
        <f>D43</f>
        <v>MEC</v>
      </c>
      <c r="E45" s="129" t="str">
        <f>E43</f>
        <v>RFQ-012</v>
      </c>
      <c r="F45" s="130" t="str">
        <f>F43</f>
        <v>N</v>
      </c>
      <c r="G45" s="131"/>
      <c r="H45" s="111" t="str">
        <f>H43</f>
        <v>Diesel Storage Tote Tank</v>
      </c>
      <c r="I45" s="129" t="str">
        <f>I43</f>
        <v>LA</v>
      </c>
      <c r="J45" s="130"/>
      <c r="K45" s="132"/>
      <c r="L45" s="132"/>
      <c r="M45" s="132">
        <v>0.01</v>
      </c>
      <c r="N45" s="129"/>
      <c r="O45" s="129"/>
      <c r="P45" s="129"/>
      <c r="Q45" s="133" t="s">
        <v>4908</v>
      </c>
      <c r="R45" s="133"/>
      <c r="S45" s="151"/>
      <c r="T45" s="151"/>
      <c r="U45" s="151"/>
      <c r="V45" s="151"/>
      <c r="W45" s="151"/>
      <c r="X45" s="151"/>
      <c r="Y45" s="151"/>
      <c r="Z45" s="151"/>
      <c r="AA45" s="151"/>
      <c r="AB45" s="151"/>
      <c r="AC45" s="134"/>
      <c r="AD45" s="135"/>
      <c r="AE45" s="94"/>
      <c r="AF45" s="136"/>
      <c r="AG45" s="137"/>
      <c r="AH45" s="138"/>
      <c r="AI45" s="139"/>
      <c r="AJ45" s="135"/>
      <c r="AK45" s="140"/>
      <c r="AL45" s="141"/>
      <c r="AM45" s="142">
        <f t="shared" ref="AM45:AW45" si="46">IF(ISERROR(LOOKUP(AM$6,$S45:$AB45,$S$9:$AB$9)),0,(LOOKUP(AM$6,$S45:$AB45,$S$9:$AB$9)))</f>
        <v>0</v>
      </c>
      <c r="AN45" s="143">
        <f t="shared" si="46"/>
        <v>0</v>
      </c>
      <c r="AO45" s="143">
        <f t="shared" si="46"/>
        <v>0</v>
      </c>
      <c r="AP45" s="143">
        <f t="shared" si="46"/>
        <v>0</v>
      </c>
      <c r="AQ45" s="143">
        <f t="shared" si="46"/>
        <v>0</v>
      </c>
      <c r="AR45" s="143">
        <f t="shared" si="46"/>
        <v>0</v>
      </c>
      <c r="AS45" s="143">
        <f t="shared" si="46"/>
        <v>0</v>
      </c>
      <c r="AT45" s="143">
        <f t="shared" si="46"/>
        <v>0</v>
      </c>
      <c r="AU45" s="143">
        <f t="shared" si="46"/>
        <v>0</v>
      </c>
      <c r="AV45" s="143">
        <f t="shared" si="46"/>
        <v>0</v>
      </c>
      <c r="AW45" s="143">
        <f ca="1" t="shared" si="46"/>
        <v>0</v>
      </c>
      <c r="BB45" s="103" t="e">
        <v>#REF!</v>
      </c>
    </row>
    <row r="46" s="20" customFormat="1" ht="18.6" customHeight="1" spans="1:54">
      <c r="A46" s="81">
        <f>A43+1</f>
        <v>13</v>
      </c>
      <c r="B46" s="82" t="s">
        <v>4922</v>
      </c>
      <c r="C46" s="83" t="s">
        <v>4902</v>
      </c>
      <c r="D46" s="84" t="s">
        <v>4903</v>
      </c>
      <c r="E46" s="85" t="s">
        <v>4789</v>
      </c>
      <c r="F46" s="86" t="str">
        <f>IF(_xlfn.XLOOKUP(E46,'[36]Before Award'!D:D,'[36]Before Award'!AV:AV,"N/A")="N/A","N","Y")</f>
        <v>N</v>
      </c>
      <c r="G46" s="87" t="s">
        <v>4913</v>
      </c>
      <c r="H46" s="88" t="s">
        <v>4924</v>
      </c>
      <c r="I46" s="85" t="s">
        <v>6</v>
      </c>
      <c r="J46" s="86"/>
      <c r="K46" s="89">
        <f>M48</f>
        <v>0.001</v>
      </c>
      <c r="L46" s="89"/>
      <c r="M46" s="89"/>
      <c r="N46" s="85"/>
      <c r="O46" s="85"/>
      <c r="P46" s="85"/>
      <c r="Q46" s="90" t="s">
        <v>4905</v>
      </c>
      <c r="R46" s="91">
        <f>'Before Award'!U53+5</f>
        <v>46319</v>
      </c>
      <c r="S46" s="91" t="e">
        <f>WORKDAY(R46,INDEX(S$2:S$5,MATCH($I46,$I$2:$I$5,0)),$BB$10:$BB$141)</f>
        <v>#REF!</v>
      </c>
      <c r="T46" s="91" t="e">
        <f>WORKDAY(S46,INDEX(T$2:T$5,MATCH($I46,$I$2:$I$5,0)),$BB$10:$BB$141)</f>
        <v>#REF!</v>
      </c>
      <c r="U46" s="91" t="e">
        <f>T46+60</f>
        <v>#REF!</v>
      </c>
      <c r="V46" s="91"/>
      <c r="W46" s="91">
        <f>AB46-35</f>
        <v>46419</v>
      </c>
      <c r="X46" s="91"/>
      <c r="Y46" s="91"/>
      <c r="Z46" s="91"/>
      <c r="AA46" s="91"/>
      <c r="AB46" s="91">
        <f>'Before Award'!X53</f>
        <v>46454</v>
      </c>
      <c r="AC46" s="92" t="s">
        <v>4906</v>
      </c>
      <c r="AD46" s="93">
        <v>14</v>
      </c>
      <c r="AE46" s="94">
        <v>238</v>
      </c>
      <c r="AF46" s="95" t="e">
        <f>AB47</f>
        <v>#REF!</v>
      </c>
      <c r="AG46" s="96">
        <f>WORKDAY(AH46+1,-1,$BA$10:$BA$141)</f>
        <v>46416</v>
      </c>
      <c r="AH46" s="97">
        <v>46418</v>
      </c>
      <c r="AI46" s="98"/>
      <c r="AJ46" s="93" t="e">
        <f>AG46-AF46</f>
        <v>#REF!</v>
      </c>
      <c r="AK46" s="99"/>
      <c r="AL46" s="100"/>
      <c r="AM46" s="101">
        <f t="shared" ref="AM46:AW46" si="47">IF(ISERROR(LOOKUP(AM$6,$S46:$AB46,$S$9:$AB$9)),0,(LOOKUP(AM$6,$S46:$AB46,$S$9:$AB$9)))</f>
        <v>0</v>
      </c>
      <c r="AN46" s="102">
        <f t="shared" si="47"/>
        <v>0</v>
      </c>
      <c r="AO46" s="102">
        <f t="shared" si="47"/>
        <v>0</v>
      </c>
      <c r="AP46" s="102">
        <f t="shared" si="47"/>
        <v>0</v>
      </c>
      <c r="AQ46" s="102">
        <f t="shared" si="47"/>
        <v>0</v>
      </c>
      <c r="AR46" s="102">
        <f t="shared" si="47"/>
        <v>0</v>
      </c>
      <c r="AS46" s="102">
        <f t="shared" si="47"/>
        <v>0</v>
      </c>
      <c r="AT46" s="102">
        <f t="shared" si="47"/>
        <v>0</v>
      </c>
      <c r="AU46" s="102">
        <f t="shared" si="47"/>
        <v>0</v>
      </c>
      <c r="AV46" s="102">
        <f t="shared" si="47"/>
        <v>0</v>
      </c>
      <c r="AW46" s="102">
        <f ca="1" t="shared" si="47"/>
        <v>0</v>
      </c>
      <c r="BB46" s="103" t="e">
        <v>#REF!</v>
      </c>
    </row>
    <row r="47" s="20" customFormat="1" ht="18.6" customHeight="1" spans="1:54">
      <c r="A47" s="104"/>
      <c r="B47" s="105"/>
      <c r="C47" s="106"/>
      <c r="D47" s="107" t="str">
        <f>D46</f>
        <v>MEC</v>
      </c>
      <c r="E47" s="108" t="str">
        <f>E46</f>
        <v>RFQ-013</v>
      </c>
      <c r="F47" s="109" t="str">
        <f>F46</f>
        <v>N</v>
      </c>
      <c r="G47" s="110"/>
      <c r="H47" s="111" t="str">
        <f>H46</f>
        <v>Corrosion Inhibitor Storage Tank</v>
      </c>
      <c r="I47" s="108" t="str">
        <f>I46</f>
        <v>LA</v>
      </c>
      <c r="J47" s="109"/>
      <c r="K47" s="112"/>
      <c r="L47" s="112">
        <f>M48</f>
        <v>0.001</v>
      </c>
      <c r="M47" s="112"/>
      <c r="N47" s="108"/>
      <c r="O47" s="108"/>
      <c r="P47" s="108"/>
      <c r="Q47" s="113" t="s">
        <v>4907</v>
      </c>
      <c r="R47" s="114">
        <f>R46</f>
        <v>46319</v>
      </c>
      <c r="S47" s="114" t="e">
        <f>S46</f>
        <v>#REF!</v>
      </c>
      <c r="T47" s="115" t="e">
        <f>T46</f>
        <v>#REF!</v>
      </c>
      <c r="U47" s="115" t="e">
        <f t="shared" ref="U47:Z47" si="48">WORKDAY(IF(T48="",T47,T48),INDEX(U$2:U$5,MATCH($I46,$I$2:$I$5,0)),$BB$10:$BB$141)</f>
        <v>#REF!</v>
      </c>
      <c r="V47" s="115" t="e">
        <f t="shared" si="48"/>
        <v>#REF!</v>
      </c>
      <c r="W47" s="115" t="e">
        <f t="shared" si="48"/>
        <v>#REF!</v>
      </c>
      <c r="X47" s="115" t="e">
        <f t="shared" si="48"/>
        <v>#REF!</v>
      </c>
      <c r="Y47" s="115" t="e">
        <f t="shared" si="48"/>
        <v>#REF!</v>
      </c>
      <c r="Z47" s="115" t="e">
        <f t="shared" si="48"/>
        <v>#REF!</v>
      </c>
      <c r="AA47" s="115" t="e">
        <f>WORKDAY(IF(Z48="",X47,Z48),INDEX(AA$2:AA$5,MATCH($I46,$I$2:$I$5,0)),$BB$10:$BB$141)</f>
        <v>#REF!</v>
      </c>
      <c r="AB47" s="116" t="e">
        <f>WORKDAY(AE46+#REF!,0,'[36]Equipment List and MR List (3)'!$A$2:$A$80)</f>
        <v>#REF!</v>
      </c>
      <c r="AC47" s="117"/>
      <c r="AD47" s="118"/>
      <c r="AE47" s="94"/>
      <c r="AF47" s="119"/>
      <c r="AG47" s="120"/>
      <c r="AH47" s="121"/>
      <c r="AI47" s="122"/>
      <c r="AJ47" s="118"/>
      <c r="AK47" s="123"/>
      <c r="AL47" s="124"/>
      <c r="AM47" s="101">
        <f t="shared" ref="AM47:AW47" si="49">IF(ISERROR(LOOKUP(AM$6,$S47:$AB47,$S$9:$AB$9)),0,(LOOKUP(AM$6,$S47:$AB47,$S$9:$AB$9)))</f>
        <v>0</v>
      </c>
      <c r="AN47" s="102">
        <f t="shared" si="49"/>
        <v>0</v>
      </c>
      <c r="AO47" s="102">
        <f t="shared" si="49"/>
        <v>0</v>
      </c>
      <c r="AP47" s="102">
        <f t="shared" si="49"/>
        <v>0</v>
      </c>
      <c r="AQ47" s="102">
        <f t="shared" si="49"/>
        <v>0</v>
      </c>
      <c r="AR47" s="102">
        <f t="shared" si="49"/>
        <v>0</v>
      </c>
      <c r="AS47" s="102">
        <f t="shared" si="49"/>
        <v>0</v>
      </c>
      <c r="AT47" s="102">
        <f t="shared" si="49"/>
        <v>0</v>
      </c>
      <c r="AU47" s="102">
        <f t="shared" si="49"/>
        <v>0</v>
      </c>
      <c r="AV47" s="102">
        <f t="shared" si="49"/>
        <v>0</v>
      </c>
      <c r="AW47" s="102">
        <f ca="1" t="shared" si="49"/>
        <v>0</v>
      </c>
      <c r="BB47" s="103" t="e">
        <v>#REF!</v>
      </c>
    </row>
    <row r="48" s="20" customFormat="1" ht="18.6" customHeight="1" spans="1:54">
      <c r="A48" s="125"/>
      <c r="B48" s="126"/>
      <c r="C48" s="127"/>
      <c r="D48" s="128" t="str">
        <f>D46</f>
        <v>MEC</v>
      </c>
      <c r="E48" s="129" t="str">
        <f>E46</f>
        <v>RFQ-013</v>
      </c>
      <c r="F48" s="130" t="str">
        <f>F46</f>
        <v>N</v>
      </c>
      <c r="G48" s="131"/>
      <c r="H48" s="111" t="str">
        <f>H46</f>
        <v>Corrosion Inhibitor Storage Tank</v>
      </c>
      <c r="I48" s="129" t="str">
        <f>I46</f>
        <v>LA</v>
      </c>
      <c r="J48" s="130"/>
      <c r="K48" s="132"/>
      <c r="L48" s="132"/>
      <c r="M48" s="132">
        <v>0.001</v>
      </c>
      <c r="N48" s="129"/>
      <c r="O48" s="129"/>
      <c r="P48" s="129"/>
      <c r="Q48" s="133" t="s">
        <v>4908</v>
      </c>
      <c r="R48" s="133"/>
      <c r="S48" s="151"/>
      <c r="T48" s="151"/>
      <c r="U48" s="151"/>
      <c r="V48" s="151"/>
      <c r="W48" s="151"/>
      <c r="X48" s="151"/>
      <c r="Y48" s="151"/>
      <c r="Z48" s="151"/>
      <c r="AA48" s="151"/>
      <c r="AB48" s="151"/>
      <c r="AC48" s="134"/>
      <c r="AD48" s="135"/>
      <c r="AE48" s="94"/>
      <c r="AF48" s="136"/>
      <c r="AG48" s="137"/>
      <c r="AH48" s="138"/>
      <c r="AI48" s="139"/>
      <c r="AJ48" s="135"/>
      <c r="AK48" s="140"/>
      <c r="AL48" s="141"/>
      <c r="AM48" s="142">
        <f t="shared" ref="AM48:AW48" si="50">IF(ISERROR(LOOKUP(AM$6,$S48:$AB48,$S$9:$AB$9)),0,(LOOKUP(AM$6,$S48:$AB48,$S$9:$AB$9)))</f>
        <v>0</v>
      </c>
      <c r="AN48" s="143">
        <f t="shared" si="50"/>
        <v>0</v>
      </c>
      <c r="AO48" s="143">
        <f t="shared" si="50"/>
        <v>0</v>
      </c>
      <c r="AP48" s="143">
        <f t="shared" si="50"/>
        <v>0</v>
      </c>
      <c r="AQ48" s="143">
        <f t="shared" si="50"/>
        <v>0</v>
      </c>
      <c r="AR48" s="143">
        <f t="shared" si="50"/>
        <v>0</v>
      </c>
      <c r="AS48" s="143">
        <f t="shared" si="50"/>
        <v>0</v>
      </c>
      <c r="AT48" s="143">
        <f t="shared" si="50"/>
        <v>0</v>
      </c>
      <c r="AU48" s="143">
        <f t="shared" si="50"/>
        <v>0</v>
      </c>
      <c r="AV48" s="143">
        <f t="shared" si="50"/>
        <v>0</v>
      </c>
      <c r="AW48" s="143">
        <f ca="1" t="shared" si="50"/>
        <v>0</v>
      </c>
      <c r="BB48" s="103" t="e">
        <v>#REF!</v>
      </c>
    </row>
    <row r="49" s="20" customFormat="1" ht="18" customHeight="1" spans="1:54">
      <c r="A49" s="81">
        <f>A46+1</f>
        <v>14</v>
      </c>
      <c r="B49" s="145" t="s">
        <v>4925</v>
      </c>
      <c r="C49" s="83" t="s">
        <v>4902</v>
      </c>
      <c r="D49" s="84" t="s">
        <v>4903</v>
      </c>
      <c r="E49" s="85" t="s">
        <v>4790</v>
      </c>
      <c r="F49" s="86" t="str">
        <f>IF(_xlfn.XLOOKUP(E49,'[36]Before Award'!D:D,'[36]Before Award'!AV:AV,"N/A")="N/A","N","Y")</f>
        <v>N</v>
      </c>
      <c r="G49" s="87" t="s">
        <v>4926</v>
      </c>
      <c r="H49" s="146" t="s">
        <v>4791</v>
      </c>
      <c r="I49" s="85" t="s">
        <v>6</v>
      </c>
      <c r="J49" s="86"/>
      <c r="K49" s="89">
        <f>M51</f>
        <v>0.01</v>
      </c>
      <c r="L49" s="89"/>
      <c r="M49" s="89"/>
      <c r="N49" s="85"/>
      <c r="O49" s="85"/>
      <c r="P49" s="85"/>
      <c r="Q49" s="90" t="s">
        <v>4905</v>
      </c>
      <c r="R49" s="91">
        <f>'Before Award'!U56+5</f>
        <v>46215</v>
      </c>
      <c r="S49" s="91" t="e">
        <f>WORKDAY(R49,INDEX(S$2:S$5,MATCH($I49,$I$2:$I$5,0)),$BB$10:$BB$141)</f>
        <v>#REF!</v>
      </c>
      <c r="T49" s="91" t="e">
        <f>WORKDAY(S49,INDEX(T$2:T$5,MATCH($I49,$I$2:$I$5,0)),$BB$10:$BB$141)</f>
        <v>#REF!</v>
      </c>
      <c r="U49" s="91" t="e">
        <f>T49+30</f>
        <v>#REF!</v>
      </c>
      <c r="V49" s="91"/>
      <c r="W49" s="91">
        <f>AB49-35</f>
        <v>46399</v>
      </c>
      <c r="X49" s="91"/>
      <c r="Y49" s="91"/>
      <c r="Z49" s="91"/>
      <c r="AA49" s="91"/>
      <c r="AB49" s="91">
        <f>'Before Award'!X56</f>
        <v>46434</v>
      </c>
      <c r="AC49" s="92" t="s">
        <v>4906</v>
      </c>
      <c r="AD49" s="93">
        <v>14</v>
      </c>
      <c r="AE49" s="94">
        <f>32*7</f>
        <v>224</v>
      </c>
      <c r="AF49" s="95" t="e">
        <f>AB50</f>
        <v>#REF!</v>
      </c>
      <c r="AG49" s="96">
        <f>WORKDAY(AH49+1,-1,$BA$10:$BA$141)</f>
        <v>46386</v>
      </c>
      <c r="AH49" s="97">
        <v>46386</v>
      </c>
      <c r="AI49" s="98"/>
      <c r="AJ49" s="93" t="e">
        <f>AG49-AF49</f>
        <v>#REF!</v>
      </c>
      <c r="AK49" s="99"/>
      <c r="AL49" s="100"/>
      <c r="AM49" s="101">
        <f t="shared" ref="AM49:AW49" si="51">IF(ISERROR(LOOKUP(AM$6,$S49:$AB49,$S$9:$AB$9)),0,(LOOKUP(AM$6,$S49:$AB49,$S$9:$AB$9)))</f>
        <v>0</v>
      </c>
      <c r="AN49" s="102">
        <f t="shared" si="51"/>
        <v>0</v>
      </c>
      <c r="AO49" s="102">
        <f t="shared" si="51"/>
        <v>0</v>
      </c>
      <c r="AP49" s="102">
        <f t="shared" si="51"/>
        <v>0</v>
      </c>
      <c r="AQ49" s="102">
        <f t="shared" si="51"/>
        <v>0</v>
      </c>
      <c r="AR49" s="102">
        <f t="shared" si="51"/>
        <v>0</v>
      </c>
      <c r="AS49" s="102">
        <f t="shared" si="51"/>
        <v>0</v>
      </c>
      <c r="AT49" s="102">
        <f t="shared" si="51"/>
        <v>0</v>
      </c>
      <c r="AU49" s="102">
        <f t="shared" si="51"/>
        <v>0</v>
      </c>
      <c r="AV49" s="102">
        <f t="shared" si="51"/>
        <v>0</v>
      </c>
      <c r="AW49" s="102">
        <f ca="1" t="shared" si="51"/>
        <v>0</v>
      </c>
      <c r="BB49" s="103" t="e">
        <v>#REF!</v>
      </c>
    </row>
    <row r="50" s="20" customFormat="1" ht="18" customHeight="1" spans="1:54">
      <c r="A50" s="104"/>
      <c r="B50" s="147"/>
      <c r="C50" s="106"/>
      <c r="D50" s="107" t="str">
        <f>D49</f>
        <v>MEC</v>
      </c>
      <c r="E50" s="108" t="str">
        <f>E49</f>
        <v>RFQ-014</v>
      </c>
      <c r="F50" s="109" t="str">
        <f>F49</f>
        <v>N</v>
      </c>
      <c r="G50" s="110"/>
      <c r="H50" s="148" t="str">
        <f>H49</f>
        <v>Closed Drain Sump Pump</v>
      </c>
      <c r="I50" s="108" t="str">
        <f>I49</f>
        <v>LA</v>
      </c>
      <c r="J50" s="109"/>
      <c r="K50" s="112"/>
      <c r="L50" s="112">
        <f>M51</f>
        <v>0.01</v>
      </c>
      <c r="M50" s="112"/>
      <c r="N50" s="108"/>
      <c r="O50" s="108"/>
      <c r="P50" s="108"/>
      <c r="Q50" s="113" t="s">
        <v>4907</v>
      </c>
      <c r="R50" s="114">
        <f>R49</f>
        <v>46215</v>
      </c>
      <c r="S50" s="114" t="e">
        <f>S49</f>
        <v>#REF!</v>
      </c>
      <c r="T50" s="115" t="e">
        <f>T49</f>
        <v>#REF!</v>
      </c>
      <c r="U50" s="115" t="e">
        <f t="shared" ref="U50:Z50" si="52">WORKDAY(IF(T51="",T50,T51),INDEX(U$2:U$5,MATCH($I49,$I$2:$I$5,0)),$BB$10:$BB$141)</f>
        <v>#REF!</v>
      </c>
      <c r="V50" s="115" t="e">
        <f t="shared" si="52"/>
        <v>#REF!</v>
      </c>
      <c r="W50" s="115" t="e">
        <f t="shared" si="52"/>
        <v>#REF!</v>
      </c>
      <c r="X50" s="115" t="e">
        <f t="shared" si="52"/>
        <v>#REF!</v>
      </c>
      <c r="Y50" s="115" t="e">
        <f t="shared" si="52"/>
        <v>#REF!</v>
      </c>
      <c r="Z50" s="115" t="e">
        <f t="shared" si="52"/>
        <v>#REF!</v>
      </c>
      <c r="AA50" s="115" t="e">
        <f>WORKDAY(IF(Z51="",X50,Z51),INDEX(AA$2:AA$5,MATCH($I49,$I$2:$I$5,0)),$BB$10:$BB$141)</f>
        <v>#REF!</v>
      </c>
      <c r="AB50" s="116" t="e">
        <f>WORKDAY(AE49+#REF!,0,'[36]Equipment List and MR List (3)'!$A$2:$A$80)</f>
        <v>#REF!</v>
      </c>
      <c r="AC50" s="117"/>
      <c r="AD50" s="118"/>
      <c r="AE50" s="94"/>
      <c r="AF50" s="119"/>
      <c r="AG50" s="120"/>
      <c r="AH50" s="121"/>
      <c r="AI50" s="122"/>
      <c r="AJ50" s="118"/>
      <c r="AK50" s="123"/>
      <c r="AL50" s="124"/>
      <c r="AM50" s="101">
        <f t="shared" ref="AM50:AW50" si="53">IF(ISERROR(LOOKUP(AM$6,$S50:$AB50,$S$9:$AB$9)),0,(LOOKUP(AM$6,$S50:$AB50,$S$9:$AB$9)))</f>
        <v>0</v>
      </c>
      <c r="AN50" s="102">
        <f t="shared" si="53"/>
        <v>0</v>
      </c>
      <c r="AO50" s="102">
        <f t="shared" si="53"/>
        <v>0</v>
      </c>
      <c r="AP50" s="102">
        <f t="shared" si="53"/>
        <v>0</v>
      </c>
      <c r="AQ50" s="102">
        <f t="shared" si="53"/>
        <v>0</v>
      </c>
      <c r="AR50" s="102">
        <f t="shared" si="53"/>
        <v>0</v>
      </c>
      <c r="AS50" s="102">
        <f t="shared" si="53"/>
        <v>0</v>
      </c>
      <c r="AT50" s="102">
        <f t="shared" si="53"/>
        <v>0</v>
      </c>
      <c r="AU50" s="102">
        <f t="shared" si="53"/>
        <v>0</v>
      </c>
      <c r="AV50" s="102">
        <f t="shared" si="53"/>
        <v>0</v>
      </c>
      <c r="AW50" s="102">
        <f ca="1" t="shared" si="53"/>
        <v>0</v>
      </c>
      <c r="BB50" s="103" t="e">
        <v>#REF!</v>
      </c>
    </row>
    <row r="51" s="20" customFormat="1" ht="18" customHeight="1" spans="1:54">
      <c r="A51" s="125"/>
      <c r="B51" s="150"/>
      <c r="C51" s="127"/>
      <c r="D51" s="128" t="str">
        <f>D49</f>
        <v>MEC</v>
      </c>
      <c r="E51" s="129" t="str">
        <f>E49</f>
        <v>RFQ-014</v>
      </c>
      <c r="F51" s="130" t="str">
        <f>F49</f>
        <v>N</v>
      </c>
      <c r="G51" s="131"/>
      <c r="H51" s="148" t="str">
        <f>H49</f>
        <v>Closed Drain Sump Pump</v>
      </c>
      <c r="I51" s="129" t="str">
        <f>I49</f>
        <v>LA</v>
      </c>
      <c r="J51" s="130"/>
      <c r="K51" s="132"/>
      <c r="L51" s="132"/>
      <c r="M51" s="132">
        <v>0.01</v>
      </c>
      <c r="N51" s="129"/>
      <c r="O51" s="129"/>
      <c r="P51" s="129"/>
      <c r="Q51" s="133" t="s">
        <v>4908</v>
      </c>
      <c r="R51" s="151"/>
      <c r="S51" s="151"/>
      <c r="T51" s="151"/>
      <c r="U51" s="151"/>
      <c r="V51" s="151"/>
      <c r="W51" s="151"/>
      <c r="X51" s="151"/>
      <c r="Y51" s="151"/>
      <c r="Z51" s="151"/>
      <c r="AA51" s="151"/>
      <c r="AB51" s="151"/>
      <c r="AC51" s="134"/>
      <c r="AD51" s="135"/>
      <c r="AE51" s="94"/>
      <c r="AF51" s="136"/>
      <c r="AG51" s="137"/>
      <c r="AH51" s="138"/>
      <c r="AI51" s="139"/>
      <c r="AJ51" s="135"/>
      <c r="AK51" s="140"/>
      <c r="AL51" s="141"/>
      <c r="AM51" s="142">
        <f t="shared" ref="AM51:AW51" si="54">IF(ISERROR(LOOKUP(AM$6,$S51:$AB51,$S$9:$AB$9)),0,(LOOKUP(AM$6,$S51:$AB51,$S$9:$AB$9)))</f>
        <v>0</v>
      </c>
      <c r="AN51" s="143">
        <f t="shared" si="54"/>
        <v>0</v>
      </c>
      <c r="AO51" s="143">
        <f t="shared" si="54"/>
        <v>0</v>
      </c>
      <c r="AP51" s="143">
        <f t="shared" si="54"/>
        <v>0</v>
      </c>
      <c r="AQ51" s="143">
        <f t="shared" si="54"/>
        <v>0</v>
      </c>
      <c r="AR51" s="143">
        <f t="shared" si="54"/>
        <v>0</v>
      </c>
      <c r="AS51" s="143">
        <f t="shared" si="54"/>
        <v>0</v>
      </c>
      <c r="AT51" s="143">
        <f t="shared" si="54"/>
        <v>0</v>
      </c>
      <c r="AU51" s="143">
        <f t="shared" si="54"/>
        <v>0</v>
      </c>
      <c r="AV51" s="143">
        <f t="shared" si="54"/>
        <v>0</v>
      </c>
      <c r="AW51" s="143">
        <f ca="1" t="shared" si="54"/>
        <v>0</v>
      </c>
      <c r="BB51" s="103" t="e">
        <v>#REF!</v>
      </c>
    </row>
    <row r="52" s="20" customFormat="1" ht="18" customHeight="1" spans="1:54">
      <c r="A52" s="81">
        <f>A49+1</f>
        <v>15</v>
      </c>
      <c r="B52" s="83"/>
      <c r="C52" s="83" t="s">
        <v>4902</v>
      </c>
      <c r="D52" s="84" t="s">
        <v>4903</v>
      </c>
      <c r="E52" s="85" t="s">
        <v>4792</v>
      </c>
      <c r="F52" s="86" t="s">
        <v>72</v>
      </c>
      <c r="G52" s="87" t="s">
        <v>4927</v>
      </c>
      <c r="H52" s="86" t="s">
        <v>4793</v>
      </c>
      <c r="I52" s="85" t="s">
        <v>6</v>
      </c>
      <c r="J52" s="86"/>
      <c r="K52" s="89">
        <f>M54</f>
        <v>0.01</v>
      </c>
      <c r="L52" s="89"/>
      <c r="M52" s="89"/>
      <c r="N52" s="85"/>
      <c r="O52" s="85"/>
      <c r="P52" s="85"/>
      <c r="Q52" s="90" t="s">
        <v>4905</v>
      </c>
      <c r="R52" s="91">
        <f>'Before Award'!U59+5</f>
        <v>46302</v>
      </c>
      <c r="S52" s="91" t="e">
        <f>WORKDAY(R52,INDEX(S$2:S$5,MATCH($I52,$I$2:$I$5,0)),$BB$10:$BB$141)</f>
        <v>#REF!</v>
      </c>
      <c r="T52" s="91" t="e">
        <f>WORKDAY(S52,INDEX(T$2:T$5,MATCH($I52,$I$2:$I$5,0)),$BB$10:$BB$141)</f>
        <v>#REF!</v>
      </c>
      <c r="U52" s="91" t="e">
        <f>T52+30</f>
        <v>#REF!</v>
      </c>
      <c r="V52" s="91"/>
      <c r="W52" s="91">
        <f>AB52-35</f>
        <v>46486</v>
      </c>
      <c r="X52" s="91"/>
      <c r="Y52" s="91"/>
      <c r="Z52" s="91"/>
      <c r="AA52" s="91"/>
      <c r="AB52" s="91">
        <f>'Before Award'!X59</f>
        <v>46521</v>
      </c>
      <c r="AC52" s="92" t="s">
        <v>4906</v>
      </c>
      <c r="AD52" s="93">
        <v>14</v>
      </c>
      <c r="AE52" s="144">
        <f>32*7</f>
        <v>224</v>
      </c>
      <c r="AF52" s="95" t="e">
        <f>AB53</f>
        <v>#REF!</v>
      </c>
      <c r="AG52" s="96">
        <f>WORKDAY(AH52+1,-1,$BA$10:$BA$141)</f>
        <v>46521</v>
      </c>
      <c r="AH52" s="97">
        <v>46522</v>
      </c>
      <c r="AI52" s="98"/>
      <c r="AJ52" s="93" t="e">
        <f>AG52-AF52</f>
        <v>#REF!</v>
      </c>
      <c r="AK52" s="99"/>
      <c r="AL52" s="100"/>
      <c r="AM52" s="101">
        <f t="shared" ref="AM52:AW52" si="55">IF(ISERROR(LOOKUP(AM$6,$S52:$AB52,$S$9:$AB$9)),0,(LOOKUP(AM$6,$S52:$AB52,$S$9:$AB$9)))</f>
        <v>0</v>
      </c>
      <c r="AN52" s="102">
        <f t="shared" si="55"/>
        <v>0</v>
      </c>
      <c r="AO52" s="102">
        <f t="shared" si="55"/>
        <v>0</v>
      </c>
      <c r="AP52" s="102">
        <f t="shared" si="55"/>
        <v>0</v>
      </c>
      <c r="AQ52" s="102">
        <f t="shared" si="55"/>
        <v>0</v>
      </c>
      <c r="AR52" s="102">
        <f t="shared" si="55"/>
        <v>0</v>
      </c>
      <c r="AS52" s="102">
        <f t="shared" si="55"/>
        <v>0</v>
      </c>
      <c r="AT52" s="102">
        <f t="shared" si="55"/>
        <v>0</v>
      </c>
      <c r="AU52" s="102">
        <f t="shared" si="55"/>
        <v>0</v>
      </c>
      <c r="AV52" s="102">
        <f t="shared" si="55"/>
        <v>0</v>
      </c>
      <c r="AW52" s="102">
        <f ca="1" t="shared" si="55"/>
        <v>0</v>
      </c>
      <c r="BB52" s="103" t="e">
        <v>#REF!</v>
      </c>
    </row>
    <row r="53" s="20" customFormat="1" ht="18" customHeight="1" spans="1:54">
      <c r="A53" s="104"/>
      <c r="B53" s="106"/>
      <c r="C53" s="106"/>
      <c r="D53" s="107" t="str">
        <f>D52</f>
        <v>MEC</v>
      </c>
      <c r="E53" s="108" t="str">
        <f>E52</f>
        <v>RFQ-015</v>
      </c>
      <c r="F53" s="109" t="str">
        <f>F52</f>
        <v>N</v>
      </c>
      <c r="G53" s="110"/>
      <c r="H53" s="109" t="str">
        <f>H52</f>
        <v>Diesel Transfer Pump</v>
      </c>
      <c r="I53" s="108" t="str">
        <f>I52</f>
        <v>LA</v>
      </c>
      <c r="J53" s="109"/>
      <c r="K53" s="112"/>
      <c r="L53" s="112">
        <f>M54</f>
        <v>0.01</v>
      </c>
      <c r="M53" s="112"/>
      <c r="N53" s="108"/>
      <c r="O53" s="108"/>
      <c r="P53" s="108"/>
      <c r="Q53" s="113" t="s">
        <v>4907</v>
      </c>
      <c r="R53" s="114">
        <f>R52</f>
        <v>46302</v>
      </c>
      <c r="S53" s="114" t="e">
        <f>S52</f>
        <v>#REF!</v>
      </c>
      <c r="T53" s="115" t="e">
        <f>T52</f>
        <v>#REF!</v>
      </c>
      <c r="U53" s="115" t="e">
        <f t="shared" ref="U53:Z53" si="56">WORKDAY(IF(T54="",T53,T54),INDEX(U$2:U$5,MATCH($I52,$I$2:$I$5,0)),$BB$10:$BB$141)</f>
        <v>#REF!</v>
      </c>
      <c r="V53" s="115" t="e">
        <f t="shared" si="56"/>
        <v>#REF!</v>
      </c>
      <c r="W53" s="115" t="e">
        <f t="shared" si="56"/>
        <v>#REF!</v>
      </c>
      <c r="X53" s="115" t="e">
        <f t="shared" si="56"/>
        <v>#REF!</v>
      </c>
      <c r="Y53" s="115" t="e">
        <f t="shared" si="56"/>
        <v>#REF!</v>
      </c>
      <c r="Z53" s="115" t="e">
        <f t="shared" si="56"/>
        <v>#REF!</v>
      </c>
      <c r="AA53" s="115" t="e">
        <f>WORKDAY(IF(Z54="",X53,Z54),INDEX(AA$2:AA$5,MATCH($I52,$I$2:$I$5,0)),$BB$10:$BB$141)</f>
        <v>#REF!</v>
      </c>
      <c r="AB53" s="116" t="e">
        <f>WORKDAY(AE52+#REF!,0,'[36]Equipment List and MR List (3)'!$A$2:$A$80)</f>
        <v>#REF!</v>
      </c>
      <c r="AC53" s="117"/>
      <c r="AD53" s="118"/>
      <c r="AE53" s="144"/>
      <c r="AF53" s="119"/>
      <c r="AG53" s="120"/>
      <c r="AH53" s="121"/>
      <c r="AI53" s="122"/>
      <c r="AJ53" s="118"/>
      <c r="AK53" s="123"/>
      <c r="AL53" s="124"/>
      <c r="AM53" s="101">
        <f t="shared" ref="AM53:AW53" si="57">IF(ISERROR(LOOKUP(AM$6,$S53:$AB53,$S$9:$AB$9)),0,(LOOKUP(AM$6,$S53:$AB53,$S$9:$AB$9)))</f>
        <v>0</v>
      </c>
      <c r="AN53" s="102">
        <f t="shared" si="57"/>
        <v>0</v>
      </c>
      <c r="AO53" s="102">
        <f t="shared" si="57"/>
        <v>0</v>
      </c>
      <c r="AP53" s="102">
        <f t="shared" si="57"/>
        <v>0</v>
      </c>
      <c r="AQ53" s="102">
        <f t="shared" si="57"/>
        <v>0</v>
      </c>
      <c r="AR53" s="102">
        <f t="shared" si="57"/>
        <v>0</v>
      </c>
      <c r="AS53" s="102">
        <f t="shared" si="57"/>
        <v>0</v>
      </c>
      <c r="AT53" s="102">
        <f t="shared" si="57"/>
        <v>0</v>
      </c>
      <c r="AU53" s="102">
        <f t="shared" si="57"/>
        <v>0</v>
      </c>
      <c r="AV53" s="102">
        <f t="shared" si="57"/>
        <v>0</v>
      </c>
      <c r="AW53" s="102">
        <f ca="1" t="shared" si="57"/>
        <v>0</v>
      </c>
      <c r="BB53" s="103" t="e">
        <v>#REF!</v>
      </c>
    </row>
    <row r="54" s="20" customFormat="1" ht="18" customHeight="1" spans="1:54">
      <c r="A54" s="125"/>
      <c r="B54" s="127"/>
      <c r="C54" s="127"/>
      <c r="D54" s="128" t="str">
        <f>D52</f>
        <v>MEC</v>
      </c>
      <c r="E54" s="129" t="str">
        <f>E52</f>
        <v>RFQ-015</v>
      </c>
      <c r="F54" s="130" t="str">
        <f>F52</f>
        <v>N</v>
      </c>
      <c r="G54" s="131"/>
      <c r="H54" s="130" t="str">
        <f>H52</f>
        <v>Diesel Transfer Pump</v>
      </c>
      <c r="I54" s="129" t="str">
        <f>I52</f>
        <v>LA</v>
      </c>
      <c r="J54" s="130"/>
      <c r="K54" s="132"/>
      <c r="L54" s="132"/>
      <c r="M54" s="132">
        <v>0.01</v>
      </c>
      <c r="N54" s="129"/>
      <c r="O54" s="129"/>
      <c r="P54" s="129"/>
      <c r="Q54" s="133" t="s">
        <v>4908</v>
      </c>
      <c r="R54" s="133"/>
      <c r="S54" s="151"/>
      <c r="T54" s="151"/>
      <c r="U54" s="151"/>
      <c r="V54" s="151"/>
      <c r="W54" s="151"/>
      <c r="X54" s="151"/>
      <c r="Y54" s="151"/>
      <c r="Z54" s="151"/>
      <c r="AA54" s="151"/>
      <c r="AB54" s="151"/>
      <c r="AC54" s="134"/>
      <c r="AD54" s="135"/>
      <c r="AE54" s="144"/>
      <c r="AF54" s="136"/>
      <c r="AG54" s="137"/>
      <c r="AH54" s="138"/>
      <c r="AI54" s="139"/>
      <c r="AJ54" s="135"/>
      <c r="AK54" s="140"/>
      <c r="AL54" s="141"/>
      <c r="AM54" s="142">
        <f t="shared" ref="AM54:AW54" si="58">IF(ISERROR(LOOKUP(AM$6,$S54:$AB54,$S$9:$AB$9)),0,(LOOKUP(AM$6,$S54:$AB54,$S$9:$AB$9)))</f>
        <v>0</v>
      </c>
      <c r="AN54" s="143">
        <f t="shared" si="58"/>
        <v>0</v>
      </c>
      <c r="AO54" s="143">
        <f t="shared" si="58"/>
        <v>0</v>
      </c>
      <c r="AP54" s="143">
        <f t="shared" si="58"/>
        <v>0</v>
      </c>
      <c r="AQ54" s="143">
        <f t="shared" si="58"/>
        <v>0</v>
      </c>
      <c r="AR54" s="143">
        <f t="shared" si="58"/>
        <v>0</v>
      </c>
      <c r="AS54" s="143">
        <f t="shared" si="58"/>
        <v>0</v>
      </c>
      <c r="AT54" s="143">
        <f t="shared" si="58"/>
        <v>0</v>
      </c>
      <c r="AU54" s="143">
        <f t="shared" si="58"/>
        <v>0</v>
      </c>
      <c r="AV54" s="143">
        <f t="shared" si="58"/>
        <v>0</v>
      </c>
      <c r="AW54" s="143">
        <f ca="1" t="shared" si="58"/>
        <v>0</v>
      </c>
      <c r="BB54" s="103" t="e">
        <v>#REF!</v>
      </c>
    </row>
    <row r="55" s="20" customFormat="1" ht="18" customHeight="1" spans="1:54">
      <c r="A55" s="81">
        <f>A52+1</f>
        <v>16</v>
      </c>
      <c r="B55" s="83"/>
      <c r="C55" s="83" t="s">
        <v>4902</v>
      </c>
      <c r="D55" s="84" t="s">
        <v>4903</v>
      </c>
      <c r="E55" s="85" t="s">
        <v>4794</v>
      </c>
      <c r="F55" s="86" t="s">
        <v>72</v>
      </c>
      <c r="G55" s="87" t="s">
        <v>4928</v>
      </c>
      <c r="H55" s="86" t="s">
        <v>4795</v>
      </c>
      <c r="I55" s="85" t="s">
        <v>6</v>
      </c>
      <c r="J55" s="86"/>
      <c r="K55" s="89">
        <f>M57</f>
        <v>0.0005</v>
      </c>
      <c r="L55" s="89"/>
      <c r="M55" s="89"/>
      <c r="N55" s="85"/>
      <c r="O55" s="85"/>
      <c r="P55" s="85"/>
      <c r="Q55" s="90" t="s">
        <v>4905</v>
      </c>
      <c r="R55" s="91">
        <f>'Before Award'!U62+5</f>
        <v>46258</v>
      </c>
      <c r="S55" s="91" t="e">
        <f>WORKDAY(R55,INDEX(S$2:S$5,MATCH($I55,$I$2:$I$5,0)),$BB$10:$BB$141)</f>
        <v>#REF!</v>
      </c>
      <c r="T55" s="91" t="e">
        <f>WORKDAY(S55,INDEX(T$2:T$5,MATCH($I55,$I$2:$I$5,0)),$BB$10:$BB$141)</f>
        <v>#REF!</v>
      </c>
      <c r="U55" s="91" t="e">
        <f>T55+30</f>
        <v>#REF!</v>
      </c>
      <c r="V55" s="91"/>
      <c r="W55" s="91">
        <f>AB55-35</f>
        <v>46442</v>
      </c>
      <c r="X55" s="91"/>
      <c r="Y55" s="91"/>
      <c r="Z55" s="91"/>
      <c r="AA55" s="91"/>
      <c r="AB55" s="91">
        <f>'Before Award'!X62</f>
        <v>46477</v>
      </c>
      <c r="AC55" s="92" t="s">
        <v>4906</v>
      </c>
      <c r="AD55" s="93">
        <v>14</v>
      </c>
      <c r="AE55" s="144">
        <f>32*7</f>
        <v>224</v>
      </c>
      <c r="AF55" s="95" t="e">
        <f>AB56</f>
        <v>#REF!</v>
      </c>
      <c r="AG55" s="96">
        <f>WORKDAY(AH55+1,-1,$BA$10:$BA$141)</f>
        <v>46477</v>
      </c>
      <c r="AH55" s="97">
        <v>46477</v>
      </c>
      <c r="AI55" s="98"/>
      <c r="AJ55" s="93" t="e">
        <f>AG55-AF55</f>
        <v>#REF!</v>
      </c>
      <c r="AK55" s="99"/>
      <c r="AL55" s="100"/>
      <c r="AM55" s="101">
        <f t="shared" ref="AM55:AW55" si="59">IF(ISERROR(LOOKUP(AM$6,$S55:$AB55,$S$9:$AB$9)),0,(LOOKUP(AM$6,$S55:$AB55,$S$9:$AB$9)))</f>
        <v>0</v>
      </c>
      <c r="AN55" s="102">
        <f t="shared" si="59"/>
        <v>0</v>
      </c>
      <c r="AO55" s="102">
        <f t="shared" si="59"/>
        <v>0</v>
      </c>
      <c r="AP55" s="102">
        <f t="shared" si="59"/>
        <v>0</v>
      </c>
      <c r="AQ55" s="102">
        <f t="shared" si="59"/>
        <v>0</v>
      </c>
      <c r="AR55" s="102">
        <f t="shared" si="59"/>
        <v>0</v>
      </c>
      <c r="AS55" s="102">
        <f t="shared" si="59"/>
        <v>0</v>
      </c>
      <c r="AT55" s="102">
        <f t="shared" si="59"/>
        <v>0</v>
      </c>
      <c r="AU55" s="102">
        <f t="shared" si="59"/>
        <v>0</v>
      </c>
      <c r="AV55" s="102">
        <f t="shared" si="59"/>
        <v>0</v>
      </c>
      <c r="AW55" s="102">
        <f ca="1" t="shared" si="59"/>
        <v>0</v>
      </c>
      <c r="BB55" s="103" t="e">
        <v>#REF!</v>
      </c>
    </row>
    <row r="56" s="20" customFormat="1" ht="18" customHeight="1" spans="1:54">
      <c r="A56" s="104"/>
      <c r="B56" s="106"/>
      <c r="C56" s="106"/>
      <c r="D56" s="107" t="str">
        <f>D55</f>
        <v>MEC</v>
      </c>
      <c r="E56" s="108" t="str">
        <f>E55</f>
        <v>RFQ-016</v>
      </c>
      <c r="F56" s="109" t="str">
        <f>F55</f>
        <v>N</v>
      </c>
      <c r="G56" s="110"/>
      <c r="H56" s="109" t="str">
        <f>H55</f>
        <v>Open Drain Caisson Pump</v>
      </c>
      <c r="I56" s="108" t="str">
        <f>I55</f>
        <v>LA</v>
      </c>
      <c r="J56" s="109"/>
      <c r="K56" s="112"/>
      <c r="L56" s="112">
        <f>M57</f>
        <v>0.0005</v>
      </c>
      <c r="M56" s="112"/>
      <c r="N56" s="108"/>
      <c r="O56" s="108"/>
      <c r="P56" s="108"/>
      <c r="Q56" s="113" t="s">
        <v>4907</v>
      </c>
      <c r="R56" s="114">
        <f>R55</f>
        <v>46258</v>
      </c>
      <c r="S56" s="114" t="e">
        <f>S55</f>
        <v>#REF!</v>
      </c>
      <c r="T56" s="115" t="e">
        <f>T55</f>
        <v>#REF!</v>
      </c>
      <c r="U56" s="115" t="e">
        <f t="shared" ref="U56:Z56" si="60">WORKDAY(IF(T57="",T56,T57),INDEX(U$2:U$5,MATCH($I55,$I$2:$I$5,0)),$BB$10:$BB$141)</f>
        <v>#REF!</v>
      </c>
      <c r="V56" s="115" t="e">
        <f t="shared" si="60"/>
        <v>#REF!</v>
      </c>
      <c r="W56" s="115" t="e">
        <f t="shared" si="60"/>
        <v>#REF!</v>
      </c>
      <c r="X56" s="115" t="e">
        <f t="shared" si="60"/>
        <v>#REF!</v>
      </c>
      <c r="Y56" s="115" t="e">
        <f t="shared" si="60"/>
        <v>#REF!</v>
      </c>
      <c r="Z56" s="115" t="e">
        <f t="shared" si="60"/>
        <v>#REF!</v>
      </c>
      <c r="AA56" s="115" t="e">
        <f>WORKDAY(IF(Z57="",X56,Z57),INDEX(AA$2:AA$5,MATCH($I55,$I$2:$I$5,0)),$BB$10:$BB$141)</f>
        <v>#REF!</v>
      </c>
      <c r="AB56" s="116" t="e">
        <f>WORKDAY(AE55+#REF!,0,'[36]Equipment List and MR List (3)'!$A$2:$A$80)</f>
        <v>#REF!</v>
      </c>
      <c r="AC56" s="117"/>
      <c r="AD56" s="118"/>
      <c r="AE56" s="144"/>
      <c r="AF56" s="119"/>
      <c r="AG56" s="120"/>
      <c r="AH56" s="121"/>
      <c r="AI56" s="122"/>
      <c r="AJ56" s="118"/>
      <c r="AK56" s="123"/>
      <c r="AL56" s="124"/>
      <c r="AM56" s="101">
        <f t="shared" ref="AM56:AW56" si="61">IF(ISERROR(LOOKUP(AM$6,$S56:$AB56,$S$9:$AB$9)),0,(LOOKUP(AM$6,$S56:$AB56,$S$9:$AB$9)))</f>
        <v>0</v>
      </c>
      <c r="AN56" s="102">
        <f t="shared" si="61"/>
        <v>0</v>
      </c>
      <c r="AO56" s="102">
        <f t="shared" si="61"/>
        <v>0</v>
      </c>
      <c r="AP56" s="102">
        <f t="shared" si="61"/>
        <v>0</v>
      </c>
      <c r="AQ56" s="102">
        <f t="shared" si="61"/>
        <v>0</v>
      </c>
      <c r="AR56" s="102">
        <f t="shared" si="61"/>
        <v>0</v>
      </c>
      <c r="AS56" s="102">
        <f t="shared" si="61"/>
        <v>0</v>
      </c>
      <c r="AT56" s="102">
        <f t="shared" si="61"/>
        <v>0</v>
      </c>
      <c r="AU56" s="102">
        <f t="shared" si="61"/>
        <v>0</v>
      </c>
      <c r="AV56" s="102">
        <f t="shared" si="61"/>
        <v>0</v>
      </c>
      <c r="AW56" s="102">
        <f ca="1" t="shared" si="61"/>
        <v>0</v>
      </c>
      <c r="BB56" s="103" t="e">
        <v>#REF!</v>
      </c>
    </row>
    <row r="57" s="20" customFormat="1" ht="18" customHeight="1" spans="1:54">
      <c r="A57" s="125"/>
      <c r="B57" s="127"/>
      <c r="C57" s="127"/>
      <c r="D57" s="128" t="str">
        <f>D55</f>
        <v>MEC</v>
      </c>
      <c r="E57" s="129" t="str">
        <f>E55</f>
        <v>RFQ-016</v>
      </c>
      <c r="F57" s="130" t="str">
        <f>F55</f>
        <v>N</v>
      </c>
      <c r="G57" s="131"/>
      <c r="H57" s="130" t="str">
        <f>H55</f>
        <v>Open Drain Caisson Pump</v>
      </c>
      <c r="I57" s="129" t="str">
        <f>I55</f>
        <v>LA</v>
      </c>
      <c r="J57" s="130"/>
      <c r="K57" s="132"/>
      <c r="L57" s="132"/>
      <c r="M57" s="132">
        <v>0.0005</v>
      </c>
      <c r="N57" s="129"/>
      <c r="O57" s="129"/>
      <c r="P57" s="129"/>
      <c r="Q57" s="133" t="s">
        <v>4908</v>
      </c>
      <c r="R57" s="133"/>
      <c r="S57" s="151"/>
      <c r="T57" s="151"/>
      <c r="U57" s="151"/>
      <c r="V57" s="151"/>
      <c r="W57" s="151"/>
      <c r="X57" s="151"/>
      <c r="Y57" s="151"/>
      <c r="Z57" s="151"/>
      <c r="AA57" s="151"/>
      <c r="AB57" s="151"/>
      <c r="AC57" s="134"/>
      <c r="AD57" s="135"/>
      <c r="AE57" s="144"/>
      <c r="AF57" s="136"/>
      <c r="AG57" s="137"/>
      <c r="AH57" s="138"/>
      <c r="AI57" s="139"/>
      <c r="AJ57" s="135"/>
      <c r="AK57" s="140"/>
      <c r="AL57" s="141"/>
      <c r="AM57" s="142">
        <f t="shared" ref="AM57:AW57" si="62">IF(ISERROR(LOOKUP(AM$6,$S57:$AB57,$S$9:$AB$9)),0,(LOOKUP(AM$6,$S57:$AB57,$S$9:$AB$9)))</f>
        <v>0</v>
      </c>
      <c r="AN57" s="143">
        <f t="shared" si="62"/>
        <v>0</v>
      </c>
      <c r="AO57" s="143">
        <f t="shared" si="62"/>
        <v>0</v>
      </c>
      <c r="AP57" s="143">
        <f t="shared" si="62"/>
        <v>0</v>
      </c>
      <c r="AQ57" s="143">
        <f t="shared" si="62"/>
        <v>0</v>
      </c>
      <c r="AR57" s="143">
        <f t="shared" si="62"/>
        <v>0</v>
      </c>
      <c r="AS57" s="143">
        <f t="shared" si="62"/>
        <v>0</v>
      </c>
      <c r="AT57" s="143">
        <f t="shared" si="62"/>
        <v>0</v>
      </c>
      <c r="AU57" s="143">
        <f t="shared" si="62"/>
        <v>0</v>
      </c>
      <c r="AV57" s="143">
        <f t="shared" si="62"/>
        <v>0</v>
      </c>
      <c r="AW57" s="143">
        <f ca="1" t="shared" si="62"/>
        <v>0</v>
      </c>
      <c r="BB57" s="103" t="e">
        <v>#REF!</v>
      </c>
    </row>
    <row r="58" s="20" customFormat="1" ht="20.25" customHeight="1" spans="1:54">
      <c r="A58" s="81">
        <f>A55+1</f>
        <v>17</v>
      </c>
      <c r="B58" s="83"/>
      <c r="C58" s="83" t="s">
        <v>4902</v>
      </c>
      <c r="D58" s="84" t="s">
        <v>4929</v>
      </c>
      <c r="E58" s="85" t="s">
        <v>4796</v>
      </c>
      <c r="F58" s="86" t="s">
        <v>72</v>
      </c>
      <c r="G58" s="87" t="s">
        <v>4930</v>
      </c>
      <c r="H58" s="86" t="s">
        <v>4797</v>
      </c>
      <c r="I58" s="85" t="s">
        <v>8</v>
      </c>
      <c r="J58" s="86"/>
      <c r="K58" s="89">
        <f>M60</f>
        <v>0.001</v>
      </c>
      <c r="L58" s="89"/>
      <c r="M58" s="89"/>
      <c r="N58" s="85"/>
      <c r="O58" s="85"/>
      <c r="P58" s="85"/>
      <c r="Q58" s="90" t="s">
        <v>4905</v>
      </c>
      <c r="R58" s="91">
        <f>'Before Award'!U65+5</f>
        <v>46272</v>
      </c>
      <c r="S58" s="91" t="e">
        <f>WORKDAY(R58,INDEX(S$2:S$5,MATCH($I58,$I$2:$I$5,0)),$BB$10:$BB$141)</f>
        <v>#REF!</v>
      </c>
      <c r="T58" s="91" t="e">
        <f>WORKDAY(S58,INDEX(T$2:T$5,MATCH($I58,$I$2:$I$5,0)),$BB$10:$BB$141)</f>
        <v>#REF!</v>
      </c>
      <c r="U58" s="91" t="e">
        <f>T58+30</f>
        <v>#REF!</v>
      </c>
      <c r="V58" s="91"/>
      <c r="W58" s="91">
        <f>AB58-35</f>
        <v>46470</v>
      </c>
      <c r="X58" s="91"/>
      <c r="Y58" s="91"/>
      <c r="Z58" s="91"/>
      <c r="AA58" s="91"/>
      <c r="AB58" s="91">
        <f>'Before Award'!X65</f>
        <v>46505</v>
      </c>
      <c r="AC58" s="92" t="s">
        <v>4906</v>
      </c>
      <c r="AD58" s="93">
        <v>14</v>
      </c>
      <c r="AE58" s="144">
        <f>34*7</f>
        <v>238</v>
      </c>
      <c r="AF58" s="95" t="e">
        <f>AB59</f>
        <v>#REF!</v>
      </c>
      <c r="AG58" s="96">
        <f>WORKDAY(AH58+1,-1,$BA$10:$BA$141)</f>
        <v>46505</v>
      </c>
      <c r="AH58" s="97">
        <v>46505</v>
      </c>
      <c r="AI58" s="98"/>
      <c r="AJ58" s="93" t="e">
        <f>AG58-AF58</f>
        <v>#REF!</v>
      </c>
      <c r="AK58" s="99"/>
      <c r="AL58" s="100"/>
      <c r="AM58" s="101">
        <f t="shared" ref="AM58:AW58" si="63">IF(ISERROR(LOOKUP(AM$6,$S58:$AB58,$S$9:$AB$9)),0,(LOOKUP(AM$6,$S58:$AB58,$S$9:$AB$9)))</f>
        <v>0</v>
      </c>
      <c r="AN58" s="102">
        <f t="shared" si="63"/>
        <v>0</v>
      </c>
      <c r="AO58" s="102">
        <f t="shared" si="63"/>
        <v>0</v>
      </c>
      <c r="AP58" s="102">
        <f t="shared" si="63"/>
        <v>0</v>
      </c>
      <c r="AQ58" s="102">
        <f t="shared" si="63"/>
        <v>0</v>
      </c>
      <c r="AR58" s="102">
        <f t="shared" si="63"/>
        <v>0</v>
      </c>
      <c r="AS58" s="102">
        <f t="shared" si="63"/>
        <v>0</v>
      </c>
      <c r="AT58" s="102">
        <f t="shared" si="63"/>
        <v>0</v>
      </c>
      <c r="AU58" s="102">
        <f t="shared" si="63"/>
        <v>0</v>
      </c>
      <c r="AV58" s="102">
        <f t="shared" si="63"/>
        <v>0</v>
      </c>
      <c r="AW58" s="102">
        <f ca="1" t="shared" si="63"/>
        <v>0</v>
      </c>
      <c r="BB58" s="103" t="e">
        <v>#REF!</v>
      </c>
    </row>
    <row r="59" s="20" customFormat="1" ht="20.25" customHeight="1" spans="1:54">
      <c r="A59" s="104"/>
      <c r="B59" s="106"/>
      <c r="C59" s="106"/>
      <c r="D59" s="107" t="str">
        <f>D58</f>
        <v>ELE</v>
      </c>
      <c r="E59" s="108" t="str">
        <f>E58</f>
        <v>RFQ-017</v>
      </c>
      <c r="F59" s="109" t="str">
        <f>F58</f>
        <v>N</v>
      </c>
      <c r="G59" s="110"/>
      <c r="H59" s="109" t="str">
        <f>H58</f>
        <v>DC Distribution Board</v>
      </c>
      <c r="I59" s="108" t="str">
        <f>I58</f>
        <v>LC</v>
      </c>
      <c r="J59" s="109"/>
      <c r="K59" s="112"/>
      <c r="L59" s="112">
        <f>M60</f>
        <v>0.001</v>
      </c>
      <c r="M59" s="112"/>
      <c r="N59" s="108"/>
      <c r="O59" s="108"/>
      <c r="P59" s="108"/>
      <c r="Q59" s="113" t="s">
        <v>4907</v>
      </c>
      <c r="R59" s="114">
        <f>R58</f>
        <v>46272</v>
      </c>
      <c r="S59" s="114" t="e">
        <f>S58</f>
        <v>#REF!</v>
      </c>
      <c r="T59" s="115" t="e">
        <f>T58</f>
        <v>#REF!</v>
      </c>
      <c r="U59" s="115" t="e">
        <f t="shared" ref="U59:Z59" si="64">WORKDAY(IF(T60="",T59,T60),INDEX(U$2:U$5,MATCH($I58,$I$2:$I$5,0)),$BB$10:$BB$141)</f>
        <v>#REF!</v>
      </c>
      <c r="V59" s="115" t="e">
        <f t="shared" si="64"/>
        <v>#REF!</v>
      </c>
      <c r="W59" s="115" t="e">
        <f t="shared" si="64"/>
        <v>#REF!</v>
      </c>
      <c r="X59" s="115" t="e">
        <f t="shared" si="64"/>
        <v>#REF!</v>
      </c>
      <c r="Y59" s="115" t="e">
        <f t="shared" si="64"/>
        <v>#REF!</v>
      </c>
      <c r="Z59" s="115" t="e">
        <f t="shared" si="64"/>
        <v>#REF!</v>
      </c>
      <c r="AA59" s="115" t="e">
        <f>WORKDAY(IF(Z60="",X59,Z60),INDEX(AA$2:AA$5,MATCH($I58,$I$2:$I$5,0)),$BB$10:$BB$141)</f>
        <v>#REF!</v>
      </c>
      <c r="AB59" s="116" t="e">
        <f>WORKDAY(AE58+#REF!,0,'[36]Equipment List and MR List (3)'!$A$2:$A$80)</f>
        <v>#REF!</v>
      </c>
      <c r="AC59" s="117"/>
      <c r="AD59" s="118"/>
      <c r="AE59" s="144"/>
      <c r="AF59" s="119"/>
      <c r="AG59" s="120"/>
      <c r="AH59" s="121"/>
      <c r="AI59" s="122"/>
      <c r="AJ59" s="118"/>
      <c r="AK59" s="123"/>
      <c r="AL59" s="124"/>
      <c r="AM59" s="101">
        <f t="shared" ref="AM59:AW59" si="65">IF(ISERROR(LOOKUP(AM$6,$S59:$AB59,$S$9:$AB$9)),0,(LOOKUP(AM$6,$S59:$AB59,$S$9:$AB$9)))</f>
        <v>0</v>
      </c>
      <c r="AN59" s="102">
        <f t="shared" si="65"/>
        <v>0</v>
      </c>
      <c r="AO59" s="102">
        <f t="shared" si="65"/>
        <v>0</v>
      </c>
      <c r="AP59" s="102">
        <f t="shared" si="65"/>
        <v>0</v>
      </c>
      <c r="AQ59" s="102">
        <f t="shared" si="65"/>
        <v>0</v>
      </c>
      <c r="AR59" s="102">
        <f t="shared" si="65"/>
        <v>0</v>
      </c>
      <c r="AS59" s="102">
        <f t="shared" si="65"/>
        <v>0</v>
      </c>
      <c r="AT59" s="102">
        <f t="shared" si="65"/>
        <v>0</v>
      </c>
      <c r="AU59" s="102">
        <f t="shared" si="65"/>
        <v>0</v>
      </c>
      <c r="AV59" s="102">
        <f t="shared" si="65"/>
        <v>0</v>
      </c>
      <c r="AW59" s="102">
        <f ca="1" t="shared" si="65"/>
        <v>0</v>
      </c>
      <c r="BB59" s="103" t="e">
        <v>#REF!</v>
      </c>
    </row>
    <row r="60" s="20" customFormat="1" ht="20.25" customHeight="1" spans="1:54">
      <c r="A60" s="125"/>
      <c r="B60" s="127"/>
      <c r="C60" s="127"/>
      <c r="D60" s="128" t="str">
        <f>D58</f>
        <v>ELE</v>
      </c>
      <c r="E60" s="129" t="str">
        <f>E58</f>
        <v>RFQ-017</v>
      </c>
      <c r="F60" s="130" t="str">
        <f>F58</f>
        <v>N</v>
      </c>
      <c r="G60" s="131"/>
      <c r="H60" s="130" t="str">
        <f>H58</f>
        <v>DC Distribution Board</v>
      </c>
      <c r="I60" s="129" t="str">
        <f>I58</f>
        <v>LC</v>
      </c>
      <c r="J60" s="130"/>
      <c r="K60" s="132"/>
      <c r="L60" s="132"/>
      <c r="M60" s="132">
        <v>0.001</v>
      </c>
      <c r="N60" s="129"/>
      <c r="O60" s="129"/>
      <c r="P60" s="129"/>
      <c r="Q60" s="133" t="s">
        <v>4908</v>
      </c>
      <c r="R60" s="133"/>
      <c r="S60" s="151"/>
      <c r="T60" s="151"/>
      <c r="U60" s="151"/>
      <c r="V60" s="151"/>
      <c r="W60" s="151"/>
      <c r="X60" s="151"/>
      <c r="Y60" s="151"/>
      <c r="Z60" s="151"/>
      <c r="AA60" s="151"/>
      <c r="AB60" s="151"/>
      <c r="AC60" s="134"/>
      <c r="AD60" s="135"/>
      <c r="AE60" s="144"/>
      <c r="AF60" s="136"/>
      <c r="AG60" s="137"/>
      <c r="AH60" s="138"/>
      <c r="AI60" s="139"/>
      <c r="AJ60" s="135"/>
      <c r="AK60" s="140"/>
      <c r="AL60" s="141"/>
      <c r="AM60" s="142">
        <f t="shared" ref="AM60:AW60" si="66">IF(ISERROR(LOOKUP(AM$6,$S60:$AB60,$S$9:$AB$9)),0,(LOOKUP(AM$6,$S60:$AB60,$S$9:$AB$9)))</f>
        <v>0</v>
      </c>
      <c r="AN60" s="143">
        <f t="shared" si="66"/>
        <v>0</v>
      </c>
      <c r="AO60" s="143">
        <f t="shared" si="66"/>
        <v>0</v>
      </c>
      <c r="AP60" s="143">
        <f t="shared" si="66"/>
        <v>0</v>
      </c>
      <c r="AQ60" s="143">
        <f t="shared" si="66"/>
        <v>0</v>
      </c>
      <c r="AR60" s="143">
        <f t="shared" si="66"/>
        <v>0</v>
      </c>
      <c r="AS60" s="143">
        <f t="shared" si="66"/>
        <v>0</v>
      </c>
      <c r="AT60" s="143">
        <f t="shared" si="66"/>
        <v>0</v>
      </c>
      <c r="AU60" s="143">
        <f t="shared" si="66"/>
        <v>0</v>
      </c>
      <c r="AV60" s="143">
        <f t="shared" si="66"/>
        <v>0</v>
      </c>
      <c r="AW60" s="143">
        <f ca="1" t="shared" si="66"/>
        <v>0</v>
      </c>
      <c r="BB60" s="103" t="e">
        <v>#REF!</v>
      </c>
    </row>
    <row r="61" s="20" customFormat="1" ht="22.5" customHeight="1" spans="1:54">
      <c r="A61" s="81">
        <f>A58+1</f>
        <v>18</v>
      </c>
      <c r="B61" s="145" t="s">
        <v>4931</v>
      </c>
      <c r="C61" s="83" t="s">
        <v>4902</v>
      </c>
      <c r="D61" s="84" t="s">
        <v>4929</v>
      </c>
      <c r="E61" s="85" t="s">
        <v>4798</v>
      </c>
      <c r="F61" s="86" t="str">
        <f>IF(_xlfn.XLOOKUP(E61,'[36]Before Award'!D:D,'[36]Before Award'!AV:AV,"N/A")="N/A","N","Y")</f>
        <v>N</v>
      </c>
      <c r="G61" s="87" t="s">
        <v>4932</v>
      </c>
      <c r="H61" s="146" t="s">
        <v>127</v>
      </c>
      <c r="I61" s="85" t="s">
        <v>7</v>
      </c>
      <c r="J61" s="86"/>
      <c r="K61" s="89">
        <f>M63</f>
        <v>0.001</v>
      </c>
      <c r="L61" s="89"/>
      <c r="M61" s="89"/>
      <c r="N61" s="85"/>
      <c r="O61" s="85"/>
      <c r="P61" s="85"/>
      <c r="Q61" s="90" t="s">
        <v>4905</v>
      </c>
      <c r="R61" s="91">
        <f>'Before Award'!U68+5</f>
        <v>46230</v>
      </c>
      <c r="S61" s="91" t="e">
        <f>WORKDAY(R61,INDEX(S$2:S$5,MATCH($I61,$I$2:$I$5,0)),$BB$10:$BB$141)</f>
        <v>#REF!</v>
      </c>
      <c r="T61" s="91" t="e">
        <f>WORKDAY(S61,INDEX(T$2:T$5,MATCH($I61,$I$2:$I$5,0)),$BB$10:$BB$141)</f>
        <v>#REF!</v>
      </c>
      <c r="U61" s="91" t="e">
        <f>T61+30</f>
        <v>#REF!</v>
      </c>
      <c r="V61" s="91"/>
      <c r="W61" s="91">
        <f>AB61-35</f>
        <v>46442</v>
      </c>
      <c r="X61" s="91"/>
      <c r="Y61" s="91"/>
      <c r="Z61" s="91"/>
      <c r="AA61" s="91"/>
      <c r="AB61" s="91">
        <f>'Before Award'!X68</f>
        <v>46477</v>
      </c>
      <c r="AC61" s="92" t="s">
        <v>4906</v>
      </c>
      <c r="AD61" s="93">
        <v>14</v>
      </c>
      <c r="AE61" s="94">
        <f>36*7</f>
        <v>252</v>
      </c>
      <c r="AF61" s="95" t="e">
        <f>AB62</f>
        <v>#REF!</v>
      </c>
      <c r="AG61" s="96">
        <f>WORKDAY(AH61+1,-1,$BA$10:$BA$141)</f>
        <v>46477</v>
      </c>
      <c r="AH61" s="97">
        <v>46477</v>
      </c>
      <c r="AI61" s="98"/>
      <c r="AJ61" s="93" t="e">
        <f>AG61-AF61</f>
        <v>#REF!</v>
      </c>
      <c r="AK61" s="99"/>
      <c r="AL61" s="100"/>
      <c r="AM61" s="101">
        <f t="shared" ref="AM61:AW61" si="67">IF(ISERROR(LOOKUP(AM$6,$S61:$AB61,$S$9:$AB$9)),0,(LOOKUP(AM$6,$S61:$AB61,$S$9:$AB$9)))</f>
        <v>0</v>
      </c>
      <c r="AN61" s="102">
        <f t="shared" si="67"/>
        <v>0</v>
      </c>
      <c r="AO61" s="102">
        <f t="shared" si="67"/>
        <v>0</v>
      </c>
      <c r="AP61" s="102">
        <f t="shared" si="67"/>
        <v>0</v>
      </c>
      <c r="AQ61" s="102">
        <f t="shared" si="67"/>
        <v>0</v>
      </c>
      <c r="AR61" s="102">
        <f t="shared" si="67"/>
        <v>0</v>
      </c>
      <c r="AS61" s="102">
        <f t="shared" si="67"/>
        <v>0</v>
      </c>
      <c r="AT61" s="102">
        <f t="shared" si="67"/>
        <v>0</v>
      </c>
      <c r="AU61" s="102">
        <f t="shared" si="67"/>
        <v>0</v>
      </c>
      <c r="AV61" s="102">
        <f t="shared" si="67"/>
        <v>0</v>
      </c>
      <c r="AW61" s="102">
        <f ca="1" t="shared" si="67"/>
        <v>0</v>
      </c>
      <c r="BB61" s="103" t="e">
        <v>#REF!</v>
      </c>
    </row>
    <row r="62" s="20" customFormat="1" ht="22.5" customHeight="1" spans="1:54">
      <c r="A62" s="104"/>
      <c r="B62" s="147"/>
      <c r="C62" s="106"/>
      <c r="D62" s="107" t="str">
        <f>D61</f>
        <v>ELE</v>
      </c>
      <c r="E62" s="108" t="str">
        <f>E61</f>
        <v>RFQ-018</v>
      </c>
      <c r="F62" s="109" t="str">
        <f>F61</f>
        <v>N</v>
      </c>
      <c r="G62" s="110"/>
      <c r="H62" s="148" t="str">
        <f>H61</f>
        <v>Solar Power System</v>
      </c>
      <c r="I62" s="108" t="str">
        <f>I61</f>
        <v>LB</v>
      </c>
      <c r="J62" s="109"/>
      <c r="K62" s="112"/>
      <c r="L62" s="112">
        <f>M63</f>
        <v>0.001</v>
      </c>
      <c r="M62" s="112"/>
      <c r="N62" s="108"/>
      <c r="O62" s="108"/>
      <c r="P62" s="108"/>
      <c r="Q62" s="113" t="s">
        <v>4907</v>
      </c>
      <c r="R62" s="114">
        <f>R61</f>
        <v>46230</v>
      </c>
      <c r="S62" s="114" t="e">
        <f>S61</f>
        <v>#REF!</v>
      </c>
      <c r="T62" s="115" t="e">
        <f>T61</f>
        <v>#REF!</v>
      </c>
      <c r="U62" s="115" t="e">
        <f t="shared" ref="U62:Z62" si="68">WORKDAY(IF(T63="",T62,T63),INDEX(U$2:U$5,MATCH($I61,$I$2:$I$5,0)),$BB$10:$BB$141)</f>
        <v>#REF!</v>
      </c>
      <c r="V62" s="115" t="e">
        <f t="shared" si="68"/>
        <v>#REF!</v>
      </c>
      <c r="W62" s="115" t="e">
        <f t="shared" si="68"/>
        <v>#REF!</v>
      </c>
      <c r="X62" s="115" t="e">
        <f t="shared" si="68"/>
        <v>#REF!</v>
      </c>
      <c r="Y62" s="115" t="e">
        <f t="shared" si="68"/>
        <v>#REF!</v>
      </c>
      <c r="Z62" s="115" t="e">
        <f t="shared" si="68"/>
        <v>#REF!</v>
      </c>
      <c r="AA62" s="115" t="e">
        <f>WORKDAY(IF(Z63="",X62,Z63),INDEX(AA$2:AA$5,MATCH($I61,$I$2:$I$5,0)),$BB$10:$BB$141)</f>
        <v>#REF!</v>
      </c>
      <c r="AB62" s="116" t="e">
        <f>WORKDAY(AE61+#REF!,0,'[36]Equipment List and MR List (3)'!$A$2:$A$80)</f>
        <v>#REF!</v>
      </c>
      <c r="AC62" s="117"/>
      <c r="AD62" s="118"/>
      <c r="AE62" s="94"/>
      <c r="AF62" s="119"/>
      <c r="AG62" s="120"/>
      <c r="AH62" s="121"/>
      <c r="AI62" s="122"/>
      <c r="AJ62" s="118"/>
      <c r="AK62" s="123"/>
      <c r="AL62" s="124"/>
      <c r="AM62" s="101">
        <f t="shared" ref="AM62:AW62" si="69">IF(ISERROR(LOOKUP(AM$6,$S62:$AB62,$S$9:$AB$9)),0,(LOOKUP(AM$6,$S62:$AB62,$S$9:$AB$9)))</f>
        <v>0</v>
      </c>
      <c r="AN62" s="102">
        <f t="shared" si="69"/>
        <v>0</v>
      </c>
      <c r="AO62" s="102">
        <f t="shared" si="69"/>
        <v>0</v>
      </c>
      <c r="AP62" s="102">
        <f t="shared" si="69"/>
        <v>0</v>
      </c>
      <c r="AQ62" s="102">
        <f t="shared" si="69"/>
        <v>0</v>
      </c>
      <c r="AR62" s="102">
        <f t="shared" si="69"/>
        <v>0</v>
      </c>
      <c r="AS62" s="102">
        <f t="shared" si="69"/>
        <v>0</v>
      </c>
      <c r="AT62" s="102">
        <f t="shared" si="69"/>
        <v>0</v>
      </c>
      <c r="AU62" s="102">
        <f t="shared" si="69"/>
        <v>0</v>
      </c>
      <c r="AV62" s="102">
        <f t="shared" si="69"/>
        <v>0</v>
      </c>
      <c r="AW62" s="102">
        <f ca="1" t="shared" si="69"/>
        <v>0</v>
      </c>
      <c r="BB62" s="103" t="e">
        <v>#REF!</v>
      </c>
    </row>
    <row r="63" s="20" customFormat="1" ht="15" customHeight="1" spans="1:54">
      <c r="A63" s="125"/>
      <c r="B63" s="150"/>
      <c r="C63" s="127"/>
      <c r="D63" s="128" t="str">
        <f>D61</f>
        <v>ELE</v>
      </c>
      <c r="E63" s="129" t="str">
        <f>E61</f>
        <v>RFQ-018</v>
      </c>
      <c r="F63" s="130" t="str">
        <f>F61</f>
        <v>N</v>
      </c>
      <c r="G63" s="131"/>
      <c r="H63" s="148" t="str">
        <f>H61</f>
        <v>Solar Power System</v>
      </c>
      <c r="I63" s="129" t="str">
        <f>I61</f>
        <v>LB</v>
      </c>
      <c r="J63" s="130"/>
      <c r="K63" s="132"/>
      <c r="L63" s="132"/>
      <c r="M63" s="132">
        <v>0.001</v>
      </c>
      <c r="N63" s="129"/>
      <c r="O63" s="129"/>
      <c r="P63" s="129"/>
      <c r="Q63" s="133" t="s">
        <v>4908</v>
      </c>
      <c r="R63" s="151"/>
      <c r="S63" s="151"/>
      <c r="T63" s="151"/>
      <c r="U63" s="151"/>
      <c r="V63" s="151"/>
      <c r="W63" s="151"/>
      <c r="X63" s="151"/>
      <c r="Y63" s="151"/>
      <c r="Z63" s="151"/>
      <c r="AA63" s="151"/>
      <c r="AB63" s="151"/>
      <c r="AC63" s="134"/>
      <c r="AD63" s="135"/>
      <c r="AE63" s="94"/>
      <c r="AF63" s="136"/>
      <c r="AG63" s="137"/>
      <c r="AH63" s="138"/>
      <c r="AI63" s="139"/>
      <c r="AJ63" s="135"/>
      <c r="AK63" s="140"/>
      <c r="AL63" s="141"/>
      <c r="AM63" s="142">
        <f t="shared" ref="AM63:AW63" si="70">IF(ISERROR(LOOKUP(AM$6,$S63:$AB63,$S$9:$AB$9)),0,(LOOKUP(AM$6,$S63:$AB63,$S$9:$AB$9)))</f>
        <v>0</v>
      </c>
      <c r="AN63" s="143">
        <f t="shared" si="70"/>
        <v>0</v>
      </c>
      <c r="AO63" s="143">
        <f t="shared" si="70"/>
        <v>0</v>
      </c>
      <c r="AP63" s="143">
        <f t="shared" si="70"/>
        <v>0</v>
      </c>
      <c r="AQ63" s="143">
        <f t="shared" si="70"/>
        <v>0</v>
      </c>
      <c r="AR63" s="143">
        <f t="shared" si="70"/>
        <v>0</v>
      </c>
      <c r="AS63" s="143">
        <f t="shared" si="70"/>
        <v>0</v>
      </c>
      <c r="AT63" s="143">
        <f t="shared" si="70"/>
        <v>0</v>
      </c>
      <c r="AU63" s="143">
        <f t="shared" si="70"/>
        <v>0</v>
      </c>
      <c r="AV63" s="143">
        <f t="shared" si="70"/>
        <v>0</v>
      </c>
      <c r="AW63" s="143">
        <f ca="1" t="shared" si="70"/>
        <v>0</v>
      </c>
      <c r="BB63" s="103" t="e">
        <v>#REF!</v>
      </c>
    </row>
    <row r="64" s="20" customFormat="1" ht="18" customHeight="1" spans="1:54">
      <c r="A64" s="81">
        <f>A61+1</f>
        <v>19</v>
      </c>
      <c r="B64" s="83"/>
      <c r="C64" s="83" t="s">
        <v>4902</v>
      </c>
      <c r="D64" s="84" t="s">
        <v>4929</v>
      </c>
      <c r="E64" s="85" t="s">
        <v>4799</v>
      </c>
      <c r="F64" s="86" t="s">
        <v>72</v>
      </c>
      <c r="G64" s="87" t="s">
        <v>4933</v>
      </c>
      <c r="H64" s="86" t="s">
        <v>130</v>
      </c>
      <c r="I64" s="85" t="s">
        <v>7</v>
      </c>
      <c r="J64" s="86"/>
      <c r="K64" s="89">
        <f>M66</f>
        <v>0.0015</v>
      </c>
      <c r="L64" s="89"/>
      <c r="M64" s="89"/>
      <c r="N64" s="85"/>
      <c r="O64" s="85"/>
      <c r="P64" s="85"/>
      <c r="Q64" s="90" t="s">
        <v>4905</v>
      </c>
      <c r="R64" s="91">
        <f>'Before Award'!U71+5</f>
        <v>46279</v>
      </c>
      <c r="S64" s="91" t="e">
        <f>WORKDAY(R64,INDEX(S$2:S$5,MATCH($I64,$I$2:$I$5,0)),$BB$10:$BB$141)</f>
        <v>#REF!</v>
      </c>
      <c r="T64" s="91" t="e">
        <f>WORKDAY(S64,INDEX(T$2:T$5,MATCH($I64,$I$2:$I$5,0)),$BB$10:$BB$141)</f>
        <v>#REF!</v>
      </c>
      <c r="U64" s="91" t="e">
        <f>T64+30</f>
        <v>#REF!</v>
      </c>
      <c r="V64" s="91"/>
      <c r="W64" s="91">
        <f>AB64-35</f>
        <v>46533</v>
      </c>
      <c r="X64" s="91"/>
      <c r="Y64" s="91"/>
      <c r="Z64" s="91"/>
      <c r="AA64" s="91"/>
      <c r="AB64" s="91">
        <f>'Before Award'!X71</f>
        <v>46568</v>
      </c>
      <c r="AC64" s="92" t="s">
        <v>4906</v>
      </c>
      <c r="AD64" s="93">
        <v>14</v>
      </c>
      <c r="AE64" s="144">
        <v>294</v>
      </c>
      <c r="AF64" s="95" t="e">
        <f>AB65</f>
        <v>#REF!</v>
      </c>
      <c r="AG64" s="96">
        <f>WORKDAY(AH64+1,-1,$BA$10:$BA$141)</f>
        <v>46598</v>
      </c>
      <c r="AH64" s="97">
        <v>46599</v>
      </c>
      <c r="AI64" s="98"/>
      <c r="AJ64" s="93" t="e">
        <f>AG64-AF64</f>
        <v>#REF!</v>
      </c>
      <c r="AK64" s="99"/>
      <c r="AL64" s="100"/>
      <c r="AM64" s="101">
        <f t="shared" ref="AM64:AW64" si="71">IF(ISERROR(LOOKUP(AM$6,$S64:$AB64,$S$9:$AB$9)),0,(LOOKUP(AM$6,$S64:$AB64,$S$9:$AB$9)))</f>
        <v>0</v>
      </c>
      <c r="AN64" s="102">
        <f t="shared" si="71"/>
        <v>0</v>
      </c>
      <c r="AO64" s="102">
        <f t="shared" si="71"/>
        <v>0</v>
      </c>
      <c r="AP64" s="102">
        <f t="shared" si="71"/>
        <v>0</v>
      </c>
      <c r="AQ64" s="102">
        <f t="shared" si="71"/>
        <v>0</v>
      </c>
      <c r="AR64" s="102">
        <f t="shared" si="71"/>
        <v>0</v>
      </c>
      <c r="AS64" s="102">
        <f t="shared" si="71"/>
        <v>0</v>
      </c>
      <c r="AT64" s="102">
        <f t="shared" si="71"/>
        <v>0</v>
      </c>
      <c r="AU64" s="102">
        <f t="shared" si="71"/>
        <v>0</v>
      </c>
      <c r="AV64" s="102">
        <f t="shared" si="71"/>
        <v>0</v>
      </c>
      <c r="AW64" s="102">
        <f ca="1" t="shared" si="71"/>
        <v>0</v>
      </c>
      <c r="BB64" s="103" t="e">
        <v>#REF!</v>
      </c>
    </row>
    <row r="65" s="20" customFormat="1" ht="18" customHeight="1" spans="1:54">
      <c r="A65" s="104"/>
      <c r="B65" s="106"/>
      <c r="C65" s="106"/>
      <c r="D65" s="107" t="str">
        <f>D64</f>
        <v>ELE</v>
      </c>
      <c r="E65" s="108" t="str">
        <f>E64</f>
        <v>RFQ-019</v>
      </c>
      <c r="F65" s="109" t="str">
        <f>F64</f>
        <v>N</v>
      </c>
      <c r="G65" s="110"/>
      <c r="H65" s="109" t="str">
        <f>H64</f>
        <v>Navigation Aid System</v>
      </c>
      <c r="I65" s="108" t="str">
        <f>I64</f>
        <v>LB</v>
      </c>
      <c r="J65" s="109"/>
      <c r="K65" s="112"/>
      <c r="L65" s="112">
        <f>M66</f>
        <v>0.0015</v>
      </c>
      <c r="M65" s="112"/>
      <c r="N65" s="108"/>
      <c r="O65" s="108"/>
      <c r="P65" s="108"/>
      <c r="Q65" s="113" t="s">
        <v>4907</v>
      </c>
      <c r="R65" s="114">
        <f>R64</f>
        <v>46279</v>
      </c>
      <c r="S65" s="114" t="e">
        <f>S64</f>
        <v>#REF!</v>
      </c>
      <c r="T65" s="115" t="e">
        <f>T64</f>
        <v>#REF!</v>
      </c>
      <c r="U65" s="115" t="e">
        <f t="shared" ref="U65:Z65" si="72">WORKDAY(IF(T66="",T65,T66),INDEX(U$2:U$5,MATCH($I64,$I$2:$I$5,0)),$BB$10:$BB$141)</f>
        <v>#REF!</v>
      </c>
      <c r="V65" s="115" t="e">
        <f t="shared" si="72"/>
        <v>#REF!</v>
      </c>
      <c r="W65" s="115" t="e">
        <f t="shared" si="72"/>
        <v>#REF!</v>
      </c>
      <c r="X65" s="115" t="e">
        <f t="shared" si="72"/>
        <v>#REF!</v>
      </c>
      <c r="Y65" s="115" t="e">
        <f t="shared" si="72"/>
        <v>#REF!</v>
      </c>
      <c r="Z65" s="115" t="e">
        <f t="shared" si="72"/>
        <v>#REF!</v>
      </c>
      <c r="AA65" s="115" t="e">
        <f>WORKDAY(IF(Z66="",X65,Z66),INDEX(AA$2:AA$5,MATCH($I64,$I$2:$I$5,0)),$BB$10:$BB$141)</f>
        <v>#REF!</v>
      </c>
      <c r="AB65" s="116" t="e">
        <f>WORKDAY(AE64+#REF!,0,'[36]Equipment List and MR List (3)'!$A$2:$A$80)</f>
        <v>#REF!</v>
      </c>
      <c r="AC65" s="117"/>
      <c r="AD65" s="118"/>
      <c r="AE65" s="144"/>
      <c r="AF65" s="119"/>
      <c r="AG65" s="120"/>
      <c r="AH65" s="121"/>
      <c r="AI65" s="122"/>
      <c r="AJ65" s="118"/>
      <c r="AK65" s="123"/>
      <c r="AL65" s="124"/>
      <c r="AM65" s="101">
        <f t="shared" ref="AM65:AW65" si="73">IF(ISERROR(LOOKUP(AM$6,$S65:$AB65,$S$9:$AB$9)),0,(LOOKUP(AM$6,$S65:$AB65,$S$9:$AB$9)))</f>
        <v>0</v>
      </c>
      <c r="AN65" s="102">
        <f t="shared" si="73"/>
        <v>0</v>
      </c>
      <c r="AO65" s="102">
        <f t="shared" si="73"/>
        <v>0</v>
      </c>
      <c r="AP65" s="102">
        <f t="shared" si="73"/>
        <v>0</v>
      </c>
      <c r="AQ65" s="102">
        <f t="shared" si="73"/>
        <v>0</v>
      </c>
      <c r="AR65" s="102">
        <f t="shared" si="73"/>
        <v>0</v>
      </c>
      <c r="AS65" s="102">
        <f t="shared" si="73"/>
        <v>0</v>
      </c>
      <c r="AT65" s="102">
        <f t="shared" si="73"/>
        <v>0</v>
      </c>
      <c r="AU65" s="102">
        <f t="shared" si="73"/>
        <v>0</v>
      </c>
      <c r="AV65" s="102">
        <f t="shared" si="73"/>
        <v>0</v>
      </c>
      <c r="AW65" s="102">
        <f ca="1" t="shared" si="73"/>
        <v>0</v>
      </c>
      <c r="BB65" s="103" t="e">
        <v>#REF!</v>
      </c>
    </row>
    <row r="66" s="20" customFormat="1" ht="18" customHeight="1" spans="1:54">
      <c r="A66" s="125"/>
      <c r="B66" s="127"/>
      <c r="C66" s="127"/>
      <c r="D66" s="128" t="str">
        <f>D64</f>
        <v>ELE</v>
      </c>
      <c r="E66" s="129" t="str">
        <f>E64</f>
        <v>RFQ-019</v>
      </c>
      <c r="F66" s="130" t="str">
        <f>F64</f>
        <v>N</v>
      </c>
      <c r="G66" s="131"/>
      <c r="H66" s="130" t="str">
        <f>H64</f>
        <v>Navigation Aid System</v>
      </c>
      <c r="I66" s="129" t="str">
        <f>I64</f>
        <v>LB</v>
      </c>
      <c r="J66" s="130"/>
      <c r="K66" s="132"/>
      <c r="L66" s="132"/>
      <c r="M66" s="132">
        <v>0.0015</v>
      </c>
      <c r="N66" s="129"/>
      <c r="O66" s="129"/>
      <c r="P66" s="129"/>
      <c r="Q66" s="133" t="s">
        <v>4908</v>
      </c>
      <c r="R66" s="133"/>
      <c r="S66" s="151"/>
      <c r="T66" s="151"/>
      <c r="U66" s="151"/>
      <c r="V66" s="151"/>
      <c r="W66" s="151"/>
      <c r="X66" s="151"/>
      <c r="Y66" s="151"/>
      <c r="Z66" s="151"/>
      <c r="AA66" s="151"/>
      <c r="AB66" s="151"/>
      <c r="AC66" s="134"/>
      <c r="AD66" s="135"/>
      <c r="AE66" s="144"/>
      <c r="AF66" s="136"/>
      <c r="AG66" s="137"/>
      <c r="AH66" s="138"/>
      <c r="AI66" s="139"/>
      <c r="AJ66" s="135"/>
      <c r="AK66" s="140"/>
      <c r="AL66" s="141"/>
      <c r="AM66" s="142">
        <f t="shared" ref="AM66:AW66" si="74">IF(ISERROR(LOOKUP(AM$6,$S66:$AB66,$S$9:$AB$9)),0,(LOOKUP(AM$6,$S66:$AB66,$S$9:$AB$9)))</f>
        <v>0</v>
      </c>
      <c r="AN66" s="143">
        <f t="shared" si="74"/>
        <v>0</v>
      </c>
      <c r="AO66" s="143">
        <f t="shared" si="74"/>
        <v>0</v>
      </c>
      <c r="AP66" s="143">
        <f t="shared" si="74"/>
        <v>0</v>
      </c>
      <c r="AQ66" s="143">
        <f t="shared" si="74"/>
        <v>0</v>
      </c>
      <c r="AR66" s="143">
        <f t="shared" si="74"/>
        <v>0</v>
      </c>
      <c r="AS66" s="143">
        <f t="shared" si="74"/>
        <v>0</v>
      </c>
      <c r="AT66" s="143">
        <f t="shared" si="74"/>
        <v>0</v>
      </c>
      <c r="AU66" s="143">
        <f t="shared" si="74"/>
        <v>0</v>
      </c>
      <c r="AV66" s="143">
        <f t="shared" si="74"/>
        <v>0</v>
      </c>
      <c r="AW66" s="143">
        <f ca="1" t="shared" si="74"/>
        <v>0</v>
      </c>
      <c r="BB66" s="103" t="e">
        <v>#REF!</v>
      </c>
    </row>
    <row r="67" s="20" customFormat="1" ht="18" customHeight="1" spans="1:54">
      <c r="A67" s="81">
        <f>A64+1</f>
        <v>20</v>
      </c>
      <c r="B67" s="83"/>
      <c r="C67" s="83" t="s">
        <v>4902</v>
      </c>
      <c r="D67" s="84" t="s">
        <v>4929</v>
      </c>
      <c r="E67" s="85" t="s">
        <v>4800</v>
      </c>
      <c r="F67" s="86" t="s">
        <v>63</v>
      </c>
      <c r="G67" s="87" t="s">
        <v>4933</v>
      </c>
      <c r="H67" s="86" t="s">
        <v>133</v>
      </c>
      <c r="I67" s="85" t="s">
        <v>8</v>
      </c>
      <c r="J67" s="86"/>
      <c r="K67" s="89">
        <f>M69</f>
        <v>0.0005</v>
      </c>
      <c r="L67" s="89"/>
      <c r="M67" s="89"/>
      <c r="N67" s="85"/>
      <c r="O67" s="85"/>
      <c r="P67" s="85"/>
      <c r="Q67" s="90" t="s">
        <v>4905</v>
      </c>
      <c r="R67" s="91">
        <f>'Before Award'!U74+5</f>
        <v>46274</v>
      </c>
      <c r="S67" s="91" t="e">
        <f>WORKDAY(R67,INDEX(S$2:S$5,MATCH($I67,$I$2:$I$5,0)),$BB$10:$BB$141)</f>
        <v>#REF!</v>
      </c>
      <c r="T67" s="91" t="e">
        <f>WORKDAY(S67,INDEX(T$2:T$5,MATCH($I67,$I$2:$I$5,0)),$BB$10:$BB$141)</f>
        <v>#REF!</v>
      </c>
      <c r="U67" s="91" t="e">
        <f>T67+30</f>
        <v>#REF!</v>
      </c>
      <c r="V67" s="91"/>
      <c r="W67" s="91">
        <f>AB67-35</f>
        <v>46486</v>
      </c>
      <c r="X67" s="91"/>
      <c r="Y67" s="91"/>
      <c r="Z67" s="91"/>
      <c r="AA67" s="91"/>
      <c r="AB67" s="91">
        <f>'Before Award'!X74</f>
        <v>46521</v>
      </c>
      <c r="AC67" s="92" t="s">
        <v>4906</v>
      </c>
      <c r="AD67" s="93">
        <v>14</v>
      </c>
      <c r="AE67" s="144">
        <f>36*7</f>
        <v>252</v>
      </c>
      <c r="AF67" s="95" t="e">
        <f>AB68</f>
        <v>#REF!</v>
      </c>
      <c r="AG67" s="96">
        <f>WORKDAY(AH67+1,-1,$BA$10:$BA$141)</f>
        <v>46521</v>
      </c>
      <c r="AH67" s="97">
        <v>46522</v>
      </c>
      <c r="AI67" s="98"/>
      <c r="AJ67" s="93" t="e">
        <f>AG67-AF67</f>
        <v>#REF!</v>
      </c>
      <c r="AK67" s="99"/>
      <c r="AL67" s="100"/>
      <c r="AM67" s="101">
        <f t="shared" ref="AM67:AW67" si="75">IF(ISERROR(LOOKUP(AM$6,$S67:$AB67,$S$9:$AB$9)),0,(LOOKUP(AM$6,$S67:$AB67,$S$9:$AB$9)))</f>
        <v>0</v>
      </c>
      <c r="AN67" s="102">
        <f t="shared" si="75"/>
        <v>0</v>
      </c>
      <c r="AO67" s="102">
        <f t="shared" si="75"/>
        <v>0</v>
      </c>
      <c r="AP67" s="102">
        <f t="shared" si="75"/>
        <v>0</v>
      </c>
      <c r="AQ67" s="102">
        <f t="shared" si="75"/>
        <v>0</v>
      </c>
      <c r="AR67" s="102">
        <f t="shared" si="75"/>
        <v>0</v>
      </c>
      <c r="AS67" s="102">
        <f t="shared" si="75"/>
        <v>0</v>
      </c>
      <c r="AT67" s="102">
        <f t="shared" si="75"/>
        <v>0</v>
      </c>
      <c r="AU67" s="102">
        <f t="shared" si="75"/>
        <v>0</v>
      </c>
      <c r="AV67" s="102">
        <f t="shared" si="75"/>
        <v>0</v>
      </c>
      <c r="AW67" s="102">
        <f ca="1" t="shared" si="75"/>
        <v>0</v>
      </c>
      <c r="BB67" s="103" t="e">
        <v>#REF!</v>
      </c>
    </row>
    <row r="68" s="20" customFormat="1" ht="18" customHeight="1" spans="1:54">
      <c r="A68" s="104"/>
      <c r="B68" s="106"/>
      <c r="C68" s="106"/>
      <c r="D68" s="107" t="str">
        <f>D67</f>
        <v>ELE</v>
      </c>
      <c r="E68" s="108" t="str">
        <f>E67</f>
        <v>RFQ-020</v>
      </c>
      <c r="F68" s="109" t="str">
        <f>F67</f>
        <v>Y</v>
      </c>
      <c r="G68" s="110"/>
      <c r="H68" s="109" t="str">
        <f>H67</f>
        <v>External Battery Charger</v>
      </c>
      <c r="I68" s="108" t="str">
        <f>I67</f>
        <v>LC</v>
      </c>
      <c r="J68" s="109"/>
      <c r="K68" s="112"/>
      <c r="L68" s="112">
        <f>M69</f>
        <v>0.0005</v>
      </c>
      <c r="M68" s="112"/>
      <c r="N68" s="108"/>
      <c r="O68" s="108"/>
      <c r="P68" s="108"/>
      <c r="Q68" s="113" t="s">
        <v>4907</v>
      </c>
      <c r="R68" s="114">
        <f>R67</f>
        <v>46274</v>
      </c>
      <c r="S68" s="114" t="e">
        <f>S67</f>
        <v>#REF!</v>
      </c>
      <c r="T68" s="115" t="e">
        <f>T67</f>
        <v>#REF!</v>
      </c>
      <c r="U68" s="115" t="e">
        <f t="shared" ref="U68:Z68" si="76">WORKDAY(IF(T69="",T68,T69),INDEX(U$2:U$5,MATCH($I67,$I$2:$I$5,0)),$BB$10:$BB$141)</f>
        <v>#REF!</v>
      </c>
      <c r="V68" s="115" t="e">
        <f t="shared" si="76"/>
        <v>#REF!</v>
      </c>
      <c r="W68" s="115" t="e">
        <f t="shared" si="76"/>
        <v>#REF!</v>
      </c>
      <c r="X68" s="115" t="e">
        <f t="shared" si="76"/>
        <v>#REF!</v>
      </c>
      <c r="Y68" s="115" t="e">
        <f t="shared" si="76"/>
        <v>#REF!</v>
      </c>
      <c r="Z68" s="115" t="e">
        <f t="shared" si="76"/>
        <v>#REF!</v>
      </c>
      <c r="AA68" s="115" t="e">
        <f>WORKDAY(IF(Z69="",X68,Z69),INDEX(AA$2:AA$5,MATCH($I67,$I$2:$I$5,0)),$BB$10:$BB$141)</f>
        <v>#REF!</v>
      </c>
      <c r="AB68" s="116" t="e">
        <f>WORKDAY(AE67+#REF!,0,'[36]Equipment List and MR List (3)'!$A$2:$A$80)</f>
        <v>#REF!</v>
      </c>
      <c r="AC68" s="117"/>
      <c r="AD68" s="118"/>
      <c r="AE68" s="144"/>
      <c r="AF68" s="119"/>
      <c r="AG68" s="120"/>
      <c r="AH68" s="121"/>
      <c r="AI68" s="122"/>
      <c r="AJ68" s="118"/>
      <c r="AK68" s="123"/>
      <c r="AL68" s="124"/>
      <c r="AM68" s="101">
        <f t="shared" ref="AM68:AW68" si="77">IF(ISERROR(LOOKUP(AM$6,$S68:$AB68,$S$9:$AB$9)),0,(LOOKUP(AM$6,$S68:$AB68,$S$9:$AB$9)))</f>
        <v>0</v>
      </c>
      <c r="AN68" s="102">
        <f t="shared" si="77"/>
        <v>0</v>
      </c>
      <c r="AO68" s="102">
        <f t="shared" si="77"/>
        <v>0</v>
      </c>
      <c r="AP68" s="102">
        <f t="shared" si="77"/>
        <v>0</v>
      </c>
      <c r="AQ68" s="102">
        <f t="shared" si="77"/>
        <v>0</v>
      </c>
      <c r="AR68" s="102">
        <f t="shared" si="77"/>
        <v>0</v>
      </c>
      <c r="AS68" s="102">
        <f t="shared" si="77"/>
        <v>0</v>
      </c>
      <c r="AT68" s="102">
        <f t="shared" si="77"/>
        <v>0</v>
      </c>
      <c r="AU68" s="102">
        <f t="shared" si="77"/>
        <v>0</v>
      </c>
      <c r="AV68" s="102">
        <f t="shared" si="77"/>
        <v>0</v>
      </c>
      <c r="AW68" s="102">
        <f ca="1" t="shared" si="77"/>
        <v>0</v>
      </c>
      <c r="BB68" s="103" t="e">
        <v>#REF!</v>
      </c>
    </row>
    <row r="69" s="20" customFormat="1" ht="18" customHeight="1" spans="1:54">
      <c r="A69" s="125"/>
      <c r="B69" s="127"/>
      <c r="C69" s="127"/>
      <c r="D69" s="128" t="str">
        <f>D67</f>
        <v>ELE</v>
      </c>
      <c r="E69" s="129" t="str">
        <f>E67</f>
        <v>RFQ-020</v>
      </c>
      <c r="F69" s="130" t="str">
        <f>F67</f>
        <v>Y</v>
      </c>
      <c r="G69" s="131"/>
      <c r="H69" s="130" t="str">
        <f>H67</f>
        <v>External Battery Charger</v>
      </c>
      <c r="I69" s="129" t="str">
        <f>I67</f>
        <v>LC</v>
      </c>
      <c r="J69" s="130"/>
      <c r="K69" s="132"/>
      <c r="L69" s="132"/>
      <c r="M69" s="132">
        <v>0.0005</v>
      </c>
      <c r="N69" s="129"/>
      <c r="O69" s="129"/>
      <c r="P69" s="129"/>
      <c r="Q69" s="133" t="s">
        <v>4908</v>
      </c>
      <c r="R69" s="133"/>
      <c r="S69" s="151"/>
      <c r="T69" s="151"/>
      <c r="U69" s="151"/>
      <c r="V69" s="151"/>
      <c r="W69" s="151"/>
      <c r="X69" s="151"/>
      <c r="Y69" s="151"/>
      <c r="Z69" s="151"/>
      <c r="AA69" s="151"/>
      <c r="AB69" s="151"/>
      <c r="AC69" s="134"/>
      <c r="AD69" s="135"/>
      <c r="AE69" s="144"/>
      <c r="AF69" s="136"/>
      <c r="AG69" s="137"/>
      <c r="AH69" s="138"/>
      <c r="AI69" s="139"/>
      <c r="AJ69" s="135"/>
      <c r="AK69" s="140"/>
      <c r="AL69" s="141"/>
      <c r="AM69" s="142">
        <f t="shared" ref="AM69:AW69" si="78">IF(ISERROR(LOOKUP(AM$6,$S69:$AB69,$S$9:$AB$9)),0,(LOOKUP(AM$6,$S69:$AB69,$S$9:$AB$9)))</f>
        <v>0</v>
      </c>
      <c r="AN69" s="143">
        <f t="shared" si="78"/>
        <v>0</v>
      </c>
      <c r="AO69" s="143">
        <f t="shared" si="78"/>
        <v>0</v>
      </c>
      <c r="AP69" s="143">
        <f t="shared" si="78"/>
        <v>0</v>
      </c>
      <c r="AQ69" s="143">
        <f t="shared" si="78"/>
        <v>0</v>
      </c>
      <c r="AR69" s="143">
        <f t="shared" si="78"/>
        <v>0</v>
      </c>
      <c r="AS69" s="143">
        <f t="shared" si="78"/>
        <v>0</v>
      </c>
      <c r="AT69" s="143">
        <f t="shared" si="78"/>
        <v>0</v>
      </c>
      <c r="AU69" s="143">
        <f t="shared" si="78"/>
        <v>0</v>
      </c>
      <c r="AV69" s="143">
        <f t="shared" si="78"/>
        <v>0</v>
      </c>
      <c r="AW69" s="143">
        <f ca="1" t="shared" si="78"/>
        <v>0</v>
      </c>
      <c r="BB69" s="103" t="e">
        <v>#REF!</v>
      </c>
    </row>
    <row r="70" s="20" customFormat="1" ht="18" customHeight="1" spans="1:54">
      <c r="A70" s="81">
        <f>A67+1</f>
        <v>21</v>
      </c>
      <c r="B70" s="83"/>
      <c r="C70" s="83" t="s">
        <v>4902</v>
      </c>
      <c r="D70" s="84" t="s">
        <v>4934</v>
      </c>
      <c r="E70" s="85" t="s">
        <v>4801</v>
      </c>
      <c r="F70" s="86" t="s">
        <v>72</v>
      </c>
      <c r="G70" s="87" t="s">
        <v>4935</v>
      </c>
      <c r="H70" s="86" t="s">
        <v>135</v>
      </c>
      <c r="I70" s="85" t="s">
        <v>7</v>
      </c>
      <c r="J70" s="86"/>
      <c r="K70" s="89">
        <f>M72</f>
        <v>0.01</v>
      </c>
      <c r="L70" s="89"/>
      <c r="M70" s="89"/>
      <c r="N70" s="85"/>
      <c r="O70" s="85"/>
      <c r="P70" s="85"/>
      <c r="Q70" s="90" t="s">
        <v>4905</v>
      </c>
      <c r="R70" s="91">
        <f>'Before Award'!U77+5</f>
        <v>46340</v>
      </c>
      <c r="S70" s="91" t="e">
        <f>WORKDAY(R70,INDEX(S$2:S$5,MATCH($I70,$I$2:$I$5,0)),$BB$10:$BB$141)</f>
        <v>#REF!</v>
      </c>
      <c r="T70" s="91" t="e">
        <f>WORKDAY(S70,INDEX(T$2:T$5,MATCH($I70,$I$2:$I$5,0)),$BB$10:$BB$141)</f>
        <v>#REF!</v>
      </c>
      <c r="U70" s="91" t="e">
        <f>T70+30</f>
        <v>#REF!</v>
      </c>
      <c r="V70" s="91"/>
      <c r="W70" s="91">
        <f>AB70-35</f>
        <v>46500</v>
      </c>
      <c r="X70" s="91"/>
      <c r="Y70" s="91"/>
      <c r="Z70" s="91"/>
      <c r="AA70" s="91"/>
      <c r="AB70" s="91">
        <f>'Before Award'!X77</f>
        <v>46535</v>
      </c>
      <c r="AC70" s="92" t="s">
        <v>4906</v>
      </c>
      <c r="AD70" s="93">
        <v>7</v>
      </c>
      <c r="AE70" s="144">
        <v>200</v>
      </c>
      <c r="AF70" s="95" t="e">
        <f>AB71</f>
        <v>#REF!</v>
      </c>
      <c r="AG70" s="96">
        <f>WORKDAY(AH70+1,-1,$BA$10:$BA$141)</f>
        <v>46535</v>
      </c>
      <c r="AH70" s="97">
        <v>46537</v>
      </c>
      <c r="AI70" s="98"/>
      <c r="AJ70" s="93" t="e">
        <f>AG70-AF70</f>
        <v>#REF!</v>
      </c>
      <c r="AK70" s="99"/>
      <c r="AL70" s="100"/>
      <c r="AM70" s="101">
        <f t="shared" ref="AM70:AW70" si="79">IF(ISERROR(LOOKUP(AM$6,$S70:$AB70,$S$9:$AB$9)),0,(LOOKUP(AM$6,$S70:$AB70,$S$9:$AB$9)))</f>
        <v>0</v>
      </c>
      <c r="AN70" s="102">
        <f t="shared" si="79"/>
        <v>0</v>
      </c>
      <c r="AO70" s="102">
        <f t="shared" si="79"/>
        <v>0</v>
      </c>
      <c r="AP70" s="102">
        <f t="shared" si="79"/>
        <v>0</v>
      </c>
      <c r="AQ70" s="102">
        <f t="shared" si="79"/>
        <v>0</v>
      </c>
      <c r="AR70" s="102">
        <f t="shared" si="79"/>
        <v>0</v>
      </c>
      <c r="AS70" s="102">
        <f t="shared" si="79"/>
        <v>0</v>
      </c>
      <c r="AT70" s="102">
        <f t="shared" si="79"/>
        <v>0</v>
      </c>
      <c r="AU70" s="102">
        <f t="shared" si="79"/>
        <v>0</v>
      </c>
      <c r="AV70" s="102">
        <f t="shared" si="79"/>
        <v>0</v>
      </c>
      <c r="AW70" s="102">
        <f ca="1" t="shared" si="79"/>
        <v>0</v>
      </c>
      <c r="BB70" s="103" t="e">
        <v>#REF!</v>
      </c>
    </row>
    <row r="71" s="20" customFormat="1" ht="18" customHeight="1" spans="1:54">
      <c r="A71" s="104"/>
      <c r="B71" s="106"/>
      <c r="C71" s="106"/>
      <c r="D71" s="107" t="str">
        <f>D70</f>
        <v>INS</v>
      </c>
      <c r="E71" s="108" t="str">
        <f>E70</f>
        <v>RFQ-021</v>
      </c>
      <c r="F71" s="109" t="str">
        <f>F70</f>
        <v>N</v>
      </c>
      <c r="G71" s="110"/>
      <c r="H71" s="109" t="str">
        <f>H70</f>
        <v>Control Valve</v>
      </c>
      <c r="I71" s="108" t="str">
        <f>I70</f>
        <v>LB</v>
      </c>
      <c r="J71" s="109"/>
      <c r="K71" s="112"/>
      <c r="L71" s="112">
        <f>M72</f>
        <v>0.01</v>
      </c>
      <c r="M71" s="112"/>
      <c r="N71" s="108"/>
      <c r="O71" s="108"/>
      <c r="P71" s="108"/>
      <c r="Q71" s="113" t="s">
        <v>4907</v>
      </c>
      <c r="R71" s="113"/>
      <c r="S71" s="114" t="e">
        <f>S70</f>
        <v>#REF!</v>
      </c>
      <c r="T71" s="115" t="e">
        <f>T70</f>
        <v>#REF!</v>
      </c>
      <c r="U71" s="115" t="e">
        <f t="shared" ref="U71:Z71" si="80">WORKDAY(IF(T72="",T71,T72),INDEX(U$2:U$5,MATCH($I70,$I$2:$I$5,0)),$BB$10:$BB$141)</f>
        <v>#REF!</v>
      </c>
      <c r="V71" s="115" t="e">
        <f t="shared" si="80"/>
        <v>#REF!</v>
      </c>
      <c r="W71" s="115" t="e">
        <f t="shared" si="80"/>
        <v>#REF!</v>
      </c>
      <c r="X71" s="115" t="e">
        <f t="shared" si="80"/>
        <v>#REF!</v>
      </c>
      <c r="Y71" s="115" t="e">
        <f t="shared" si="80"/>
        <v>#REF!</v>
      </c>
      <c r="Z71" s="115" t="e">
        <f t="shared" si="80"/>
        <v>#REF!</v>
      </c>
      <c r="AA71" s="115" t="e">
        <f>WORKDAY(IF(Z72="",X71,Z72),INDEX(AA$2:AA$5,MATCH($I70,$I$2:$I$5,0)),$BB$10:$BB$141)</f>
        <v>#REF!</v>
      </c>
      <c r="AB71" s="116" t="e">
        <f>WORKDAY(AE70+#REF!,0,'[36]Equipment List and MR List (3)'!$A$2:$A$80)</f>
        <v>#REF!</v>
      </c>
      <c r="AC71" s="117"/>
      <c r="AD71" s="118"/>
      <c r="AE71" s="144"/>
      <c r="AF71" s="119"/>
      <c r="AG71" s="120"/>
      <c r="AH71" s="121"/>
      <c r="AI71" s="122"/>
      <c r="AJ71" s="118"/>
      <c r="AK71" s="123"/>
      <c r="AL71" s="124"/>
      <c r="AM71" s="101">
        <f t="shared" ref="AM71:AW71" si="81">IF(ISERROR(LOOKUP(AM$6,$S71:$AB71,$S$9:$AB$9)),0,(LOOKUP(AM$6,$S71:$AB71,$S$9:$AB$9)))</f>
        <v>0</v>
      </c>
      <c r="AN71" s="102">
        <f t="shared" si="81"/>
        <v>0</v>
      </c>
      <c r="AO71" s="102">
        <f t="shared" si="81"/>
        <v>0</v>
      </c>
      <c r="AP71" s="102">
        <f t="shared" si="81"/>
        <v>0</v>
      </c>
      <c r="AQ71" s="102">
        <f t="shared" si="81"/>
        <v>0</v>
      </c>
      <c r="AR71" s="102">
        <f t="shared" si="81"/>
        <v>0</v>
      </c>
      <c r="AS71" s="102">
        <f t="shared" si="81"/>
        <v>0</v>
      </c>
      <c r="AT71" s="102">
        <f t="shared" si="81"/>
        <v>0</v>
      </c>
      <c r="AU71" s="102">
        <f t="shared" si="81"/>
        <v>0</v>
      </c>
      <c r="AV71" s="102">
        <f t="shared" si="81"/>
        <v>0</v>
      </c>
      <c r="AW71" s="102">
        <f ca="1" t="shared" si="81"/>
        <v>0</v>
      </c>
      <c r="BB71" s="103" t="e">
        <v>#REF!</v>
      </c>
    </row>
    <row r="72" s="20" customFormat="1" ht="18" customHeight="1" spans="1:54">
      <c r="A72" s="125"/>
      <c r="B72" s="127"/>
      <c r="C72" s="127"/>
      <c r="D72" s="128" t="str">
        <f>D70</f>
        <v>INS</v>
      </c>
      <c r="E72" s="129" t="str">
        <f>E70</f>
        <v>RFQ-021</v>
      </c>
      <c r="F72" s="130" t="str">
        <f>F70</f>
        <v>N</v>
      </c>
      <c r="G72" s="131"/>
      <c r="H72" s="130" t="str">
        <f>H70</f>
        <v>Control Valve</v>
      </c>
      <c r="I72" s="129" t="str">
        <f>I70</f>
        <v>LB</v>
      </c>
      <c r="J72" s="130"/>
      <c r="K72" s="132"/>
      <c r="L72" s="132"/>
      <c r="M72" s="132">
        <v>0.01</v>
      </c>
      <c r="N72" s="129"/>
      <c r="O72" s="129"/>
      <c r="P72" s="129"/>
      <c r="Q72" s="133" t="s">
        <v>4908</v>
      </c>
      <c r="R72" s="133"/>
      <c r="S72" s="151"/>
      <c r="T72" s="151"/>
      <c r="U72" s="151"/>
      <c r="V72" s="151"/>
      <c r="W72" s="151"/>
      <c r="X72" s="151"/>
      <c r="Y72" s="151"/>
      <c r="Z72" s="151"/>
      <c r="AA72" s="151"/>
      <c r="AB72" s="151"/>
      <c r="AC72" s="134"/>
      <c r="AD72" s="135"/>
      <c r="AE72" s="144"/>
      <c r="AF72" s="136"/>
      <c r="AG72" s="137"/>
      <c r="AH72" s="138"/>
      <c r="AI72" s="139"/>
      <c r="AJ72" s="135"/>
      <c r="AK72" s="140"/>
      <c r="AL72" s="141"/>
      <c r="AM72" s="142">
        <f t="shared" ref="AM72:AW72" si="82">IF(ISERROR(LOOKUP(AM$6,$S72:$AB72,$S$9:$AB$9)),0,(LOOKUP(AM$6,$S72:$AB72,$S$9:$AB$9)))</f>
        <v>0</v>
      </c>
      <c r="AN72" s="143">
        <f t="shared" si="82"/>
        <v>0</v>
      </c>
      <c r="AO72" s="143">
        <f t="shared" si="82"/>
        <v>0</v>
      </c>
      <c r="AP72" s="143">
        <f t="shared" si="82"/>
        <v>0</v>
      </c>
      <c r="AQ72" s="143">
        <f t="shared" si="82"/>
        <v>0</v>
      </c>
      <c r="AR72" s="143">
        <f t="shared" si="82"/>
        <v>0</v>
      </c>
      <c r="AS72" s="143">
        <f t="shared" si="82"/>
        <v>0</v>
      </c>
      <c r="AT72" s="143">
        <f t="shared" si="82"/>
        <v>0</v>
      </c>
      <c r="AU72" s="143">
        <f t="shared" si="82"/>
        <v>0</v>
      </c>
      <c r="AV72" s="143">
        <f t="shared" si="82"/>
        <v>0</v>
      </c>
      <c r="AW72" s="143">
        <f ca="1" t="shared" si="82"/>
        <v>0</v>
      </c>
      <c r="BB72" s="103" t="e">
        <v>#REF!</v>
      </c>
    </row>
    <row r="73" s="20" customFormat="1" ht="18" customHeight="1" spans="1:54">
      <c r="A73" s="81">
        <f>A70+1</f>
        <v>22</v>
      </c>
      <c r="B73" s="83"/>
      <c r="C73" s="83" t="s">
        <v>4902</v>
      </c>
      <c r="D73" s="84" t="s">
        <v>4934</v>
      </c>
      <c r="E73" s="85" t="s">
        <v>4802</v>
      </c>
      <c r="F73" s="86" t="s">
        <v>72</v>
      </c>
      <c r="G73" s="87" t="s">
        <v>4935</v>
      </c>
      <c r="H73" s="86" t="s">
        <v>141</v>
      </c>
      <c r="I73" s="85" t="s">
        <v>7</v>
      </c>
      <c r="J73" s="86"/>
      <c r="K73" s="89">
        <f>M75</f>
        <v>0.01</v>
      </c>
      <c r="L73" s="89"/>
      <c r="M73" s="89"/>
      <c r="N73" s="85"/>
      <c r="O73" s="85"/>
      <c r="P73" s="85"/>
      <c r="Q73" s="90" t="s">
        <v>4905</v>
      </c>
      <c r="R73" s="91">
        <f>'Before Award'!U80+5</f>
        <v>46343</v>
      </c>
      <c r="S73" s="91" t="e">
        <f>WORKDAY(R73,INDEX(S$2:S$5,MATCH($I73,$I$2:$I$5,0)),$BB$10:$BB$141)</f>
        <v>#REF!</v>
      </c>
      <c r="T73" s="91" t="e">
        <f>WORKDAY(S73,INDEX(T$2:T$5,MATCH($I73,$I$2:$I$5,0)),$BB$10:$BB$141)</f>
        <v>#REF!</v>
      </c>
      <c r="U73" s="91" t="e">
        <f>T73+30</f>
        <v>#REF!</v>
      </c>
      <c r="V73" s="91"/>
      <c r="W73" s="91">
        <f>AB73-35</f>
        <v>46503</v>
      </c>
      <c r="X73" s="91"/>
      <c r="Y73" s="91"/>
      <c r="Z73" s="91"/>
      <c r="AA73" s="91"/>
      <c r="AB73" s="91">
        <f>'Before Award'!X80</f>
        <v>46538</v>
      </c>
      <c r="AC73" s="92" t="s">
        <v>4906</v>
      </c>
      <c r="AD73" s="93">
        <v>7</v>
      </c>
      <c r="AE73" s="144">
        <v>200</v>
      </c>
      <c r="AF73" s="95" t="e">
        <f>AB74</f>
        <v>#REF!</v>
      </c>
      <c r="AG73" s="96">
        <f>WORKDAY(AH73+1,-1,$BA$10:$BA$141)</f>
        <v>46538</v>
      </c>
      <c r="AH73" s="97">
        <v>46538</v>
      </c>
      <c r="AI73" s="98"/>
      <c r="AJ73" s="93" t="e">
        <f>AG73-AF73</f>
        <v>#REF!</v>
      </c>
      <c r="AK73" s="99"/>
      <c r="AL73" s="100"/>
      <c r="AM73" s="101">
        <f t="shared" ref="AM73:AW73" si="83">IF(ISERROR(LOOKUP(AM$6,$S73:$AB73,$S$9:$AB$9)),0,(LOOKUP(AM$6,$S73:$AB73,$S$9:$AB$9)))</f>
        <v>0</v>
      </c>
      <c r="AN73" s="102">
        <f t="shared" si="83"/>
        <v>0</v>
      </c>
      <c r="AO73" s="102">
        <f t="shared" si="83"/>
        <v>0</v>
      </c>
      <c r="AP73" s="102">
        <f t="shared" si="83"/>
        <v>0</v>
      </c>
      <c r="AQ73" s="102">
        <f t="shared" si="83"/>
        <v>0</v>
      </c>
      <c r="AR73" s="102">
        <f t="shared" si="83"/>
        <v>0</v>
      </c>
      <c r="AS73" s="102">
        <f t="shared" si="83"/>
        <v>0</v>
      </c>
      <c r="AT73" s="102">
        <f t="shared" si="83"/>
        <v>0</v>
      </c>
      <c r="AU73" s="102">
        <f t="shared" si="83"/>
        <v>0</v>
      </c>
      <c r="AV73" s="102">
        <f t="shared" si="83"/>
        <v>0</v>
      </c>
      <c r="AW73" s="102">
        <f ca="1" t="shared" si="83"/>
        <v>0</v>
      </c>
      <c r="BB73" s="103" t="e">
        <v>#REF!</v>
      </c>
    </row>
    <row r="74" s="20" customFormat="1" ht="18" customHeight="1" spans="1:54">
      <c r="A74" s="104"/>
      <c r="B74" s="106"/>
      <c r="C74" s="106"/>
      <c r="D74" s="107" t="str">
        <f>D73</f>
        <v>INS</v>
      </c>
      <c r="E74" s="108" t="str">
        <f>E73</f>
        <v>RFQ-022</v>
      </c>
      <c r="F74" s="109" t="str">
        <f>F73</f>
        <v>N</v>
      </c>
      <c r="G74" s="110"/>
      <c r="H74" s="109" t="str">
        <f>H73</f>
        <v>Self Regulator Valve</v>
      </c>
      <c r="I74" s="108" t="str">
        <f>I73</f>
        <v>LB</v>
      </c>
      <c r="J74" s="109"/>
      <c r="K74" s="112"/>
      <c r="L74" s="112">
        <f>M75</f>
        <v>0.01</v>
      </c>
      <c r="M74" s="112"/>
      <c r="N74" s="108"/>
      <c r="O74" s="108"/>
      <c r="P74" s="108"/>
      <c r="Q74" s="113" t="s">
        <v>4907</v>
      </c>
      <c r="R74" s="113"/>
      <c r="S74" s="114" t="e">
        <f>S73</f>
        <v>#REF!</v>
      </c>
      <c r="T74" s="115" t="e">
        <f>T73</f>
        <v>#REF!</v>
      </c>
      <c r="U74" s="115" t="e">
        <f t="shared" ref="U74:Z74" si="84">WORKDAY(IF(T75="",T74,T75),INDEX(U$2:U$5,MATCH($I73,$I$2:$I$5,0)),$BB$10:$BB$141)</f>
        <v>#REF!</v>
      </c>
      <c r="V74" s="115" t="e">
        <f t="shared" si="84"/>
        <v>#REF!</v>
      </c>
      <c r="W74" s="115" t="e">
        <f t="shared" si="84"/>
        <v>#REF!</v>
      </c>
      <c r="X74" s="115" t="e">
        <f t="shared" si="84"/>
        <v>#REF!</v>
      </c>
      <c r="Y74" s="115" t="e">
        <f t="shared" si="84"/>
        <v>#REF!</v>
      </c>
      <c r="Z74" s="115" t="e">
        <f t="shared" si="84"/>
        <v>#REF!</v>
      </c>
      <c r="AA74" s="115" t="e">
        <f>WORKDAY(IF(Z75="",X74,Z75),INDEX(AA$2:AA$5,MATCH($I73,$I$2:$I$5,0)),$BB$10:$BB$141)</f>
        <v>#REF!</v>
      </c>
      <c r="AB74" s="116" t="e">
        <f>WORKDAY(AE73+#REF!,0,'[36]Equipment List and MR List (3)'!$A$2:$A$80)</f>
        <v>#REF!</v>
      </c>
      <c r="AC74" s="117"/>
      <c r="AD74" s="118"/>
      <c r="AE74" s="144"/>
      <c r="AF74" s="119"/>
      <c r="AG74" s="120"/>
      <c r="AH74" s="121"/>
      <c r="AI74" s="122"/>
      <c r="AJ74" s="118"/>
      <c r="AK74" s="123"/>
      <c r="AL74" s="124"/>
      <c r="AM74" s="101">
        <f t="shared" ref="AM74:AW74" si="85">IF(ISERROR(LOOKUP(AM$6,$S74:$AB74,$S$9:$AB$9)),0,(LOOKUP(AM$6,$S74:$AB74,$S$9:$AB$9)))</f>
        <v>0</v>
      </c>
      <c r="AN74" s="102">
        <f t="shared" si="85"/>
        <v>0</v>
      </c>
      <c r="AO74" s="102">
        <f t="shared" si="85"/>
        <v>0</v>
      </c>
      <c r="AP74" s="102">
        <f t="shared" si="85"/>
        <v>0</v>
      </c>
      <c r="AQ74" s="102">
        <f t="shared" si="85"/>
        <v>0</v>
      </c>
      <c r="AR74" s="102">
        <f t="shared" si="85"/>
        <v>0</v>
      </c>
      <c r="AS74" s="102">
        <f t="shared" si="85"/>
        <v>0</v>
      </c>
      <c r="AT74" s="102">
        <f t="shared" si="85"/>
        <v>0</v>
      </c>
      <c r="AU74" s="102">
        <f t="shared" si="85"/>
        <v>0</v>
      </c>
      <c r="AV74" s="102">
        <f t="shared" si="85"/>
        <v>0</v>
      </c>
      <c r="AW74" s="102">
        <f ca="1" t="shared" si="85"/>
        <v>0</v>
      </c>
      <c r="BB74" s="103" t="e">
        <v>#REF!</v>
      </c>
    </row>
    <row r="75" s="20" customFormat="1" ht="18" customHeight="1" spans="1:54">
      <c r="A75" s="125"/>
      <c r="B75" s="127"/>
      <c r="C75" s="127"/>
      <c r="D75" s="128" t="str">
        <f>D73</f>
        <v>INS</v>
      </c>
      <c r="E75" s="129" t="str">
        <f>E73</f>
        <v>RFQ-022</v>
      </c>
      <c r="F75" s="130" t="str">
        <f>F73</f>
        <v>N</v>
      </c>
      <c r="G75" s="131"/>
      <c r="H75" s="130" t="str">
        <f>H73</f>
        <v>Self Regulator Valve</v>
      </c>
      <c r="I75" s="129" t="str">
        <f>I73</f>
        <v>LB</v>
      </c>
      <c r="J75" s="130"/>
      <c r="K75" s="132"/>
      <c r="L75" s="132"/>
      <c r="M75" s="132">
        <v>0.01</v>
      </c>
      <c r="N75" s="129"/>
      <c r="O75" s="129"/>
      <c r="P75" s="129"/>
      <c r="Q75" s="133" t="s">
        <v>4908</v>
      </c>
      <c r="R75" s="133"/>
      <c r="S75" s="151"/>
      <c r="T75" s="151"/>
      <c r="U75" s="151"/>
      <c r="V75" s="151"/>
      <c r="W75" s="151"/>
      <c r="X75" s="151"/>
      <c r="Y75" s="151"/>
      <c r="Z75" s="151"/>
      <c r="AA75" s="151"/>
      <c r="AB75" s="151"/>
      <c r="AC75" s="134"/>
      <c r="AD75" s="135"/>
      <c r="AE75" s="144"/>
      <c r="AF75" s="136"/>
      <c r="AG75" s="137"/>
      <c r="AH75" s="138"/>
      <c r="AI75" s="139"/>
      <c r="AJ75" s="135"/>
      <c r="AK75" s="140"/>
      <c r="AL75" s="141"/>
      <c r="AM75" s="142">
        <f t="shared" ref="AM75:AW75" si="86">IF(ISERROR(LOOKUP(AM$6,$S75:$AB75,$S$9:$AB$9)),0,(LOOKUP(AM$6,$S75:$AB75,$S$9:$AB$9)))</f>
        <v>0</v>
      </c>
      <c r="AN75" s="143">
        <f t="shared" si="86"/>
        <v>0</v>
      </c>
      <c r="AO75" s="143">
        <f t="shared" si="86"/>
        <v>0</v>
      </c>
      <c r="AP75" s="143">
        <f t="shared" si="86"/>
        <v>0</v>
      </c>
      <c r="AQ75" s="143">
        <f t="shared" si="86"/>
        <v>0</v>
      </c>
      <c r="AR75" s="143">
        <f t="shared" si="86"/>
        <v>0</v>
      </c>
      <c r="AS75" s="143">
        <f t="shared" si="86"/>
        <v>0</v>
      </c>
      <c r="AT75" s="143">
        <f t="shared" si="86"/>
        <v>0</v>
      </c>
      <c r="AU75" s="143">
        <f t="shared" si="86"/>
        <v>0</v>
      </c>
      <c r="AV75" s="143">
        <f t="shared" si="86"/>
        <v>0</v>
      </c>
      <c r="AW75" s="143">
        <f ca="1" t="shared" si="86"/>
        <v>0</v>
      </c>
      <c r="BB75" s="103" t="e">
        <v>#REF!</v>
      </c>
    </row>
    <row r="76" s="20" customFormat="1" ht="18" customHeight="1" spans="1:54">
      <c r="A76" s="81">
        <f>A73+1</f>
        <v>23</v>
      </c>
      <c r="B76" s="83"/>
      <c r="C76" s="83" t="s">
        <v>4902</v>
      </c>
      <c r="D76" s="84" t="s">
        <v>4934</v>
      </c>
      <c r="E76" s="85" t="s">
        <v>4803</v>
      </c>
      <c r="F76" s="86" t="s">
        <v>72</v>
      </c>
      <c r="G76" s="87" t="s">
        <v>4936</v>
      </c>
      <c r="H76" s="86" t="s">
        <v>144</v>
      </c>
      <c r="I76" s="85" t="s">
        <v>7</v>
      </c>
      <c r="J76" s="86"/>
      <c r="K76" s="89">
        <f>M78</f>
        <v>0.01</v>
      </c>
      <c r="L76" s="89"/>
      <c r="M76" s="89"/>
      <c r="N76" s="85"/>
      <c r="O76" s="85"/>
      <c r="P76" s="85"/>
      <c r="Q76" s="90" t="s">
        <v>4905</v>
      </c>
      <c r="R76" s="91">
        <f>'Before Award'!U83+5</f>
        <v>46235</v>
      </c>
      <c r="S76" s="91" t="e">
        <f>WORKDAY(R76,INDEX(S$2:S$5,MATCH($I76,$I$2:$I$5,0)),$BB$10:$BB$141)</f>
        <v>#REF!</v>
      </c>
      <c r="T76" s="91" t="e">
        <f>WORKDAY(S76,INDEX(T$2:T$5,MATCH($I76,$I$2:$I$5,0)),$BB$10:$BB$141)</f>
        <v>#REF!</v>
      </c>
      <c r="U76" s="91" t="e">
        <f>T76+30</f>
        <v>#REF!</v>
      </c>
      <c r="V76" s="91"/>
      <c r="W76" s="91">
        <f>AB76-35</f>
        <v>46503</v>
      </c>
      <c r="X76" s="91"/>
      <c r="Y76" s="91"/>
      <c r="Z76" s="91"/>
      <c r="AA76" s="91"/>
      <c r="AB76" s="91">
        <f>'Before Award'!X83</f>
        <v>46538</v>
      </c>
      <c r="AC76" s="92" t="s">
        <v>4906</v>
      </c>
      <c r="AD76" s="93">
        <v>7</v>
      </c>
      <c r="AE76" s="94">
        <f>44*7</f>
        <v>308</v>
      </c>
      <c r="AF76" s="95" t="e">
        <f>AB77</f>
        <v>#REF!</v>
      </c>
      <c r="AG76" s="96">
        <f>WORKDAY(AH76+1,-1,$BA$10:$BA$141)</f>
        <v>46538</v>
      </c>
      <c r="AH76" s="97">
        <v>46538</v>
      </c>
      <c r="AI76" s="98"/>
      <c r="AJ76" s="93" t="e">
        <f>AG76-AF76</f>
        <v>#REF!</v>
      </c>
      <c r="AK76" s="99"/>
      <c r="AL76" s="100"/>
      <c r="AM76" s="101">
        <f t="shared" ref="AM76:AW76" si="87">IF(ISERROR(LOOKUP(AM$6,$S76:$AB76,$S$9:$AB$9)),0,(LOOKUP(AM$6,$S76:$AB76,$S$9:$AB$9)))</f>
        <v>0</v>
      </c>
      <c r="AN76" s="102">
        <f t="shared" si="87"/>
        <v>0</v>
      </c>
      <c r="AO76" s="102">
        <f t="shared" si="87"/>
        <v>0</v>
      </c>
      <c r="AP76" s="102">
        <f t="shared" si="87"/>
        <v>0</v>
      </c>
      <c r="AQ76" s="102">
        <f t="shared" si="87"/>
        <v>0</v>
      </c>
      <c r="AR76" s="102">
        <f t="shared" si="87"/>
        <v>0</v>
      </c>
      <c r="AS76" s="102">
        <f t="shared" si="87"/>
        <v>0</v>
      </c>
      <c r="AT76" s="102">
        <f t="shared" si="87"/>
        <v>0</v>
      </c>
      <c r="AU76" s="102">
        <f t="shared" si="87"/>
        <v>0</v>
      </c>
      <c r="AV76" s="102">
        <f t="shared" si="87"/>
        <v>0</v>
      </c>
      <c r="AW76" s="102">
        <f ca="1" t="shared" si="87"/>
        <v>0</v>
      </c>
      <c r="BB76" s="103" t="e">
        <v>#REF!</v>
      </c>
    </row>
    <row r="77" s="20" customFormat="1" ht="18" customHeight="1" spans="1:54">
      <c r="A77" s="104"/>
      <c r="B77" s="106"/>
      <c r="C77" s="106"/>
      <c r="D77" s="107" t="str">
        <f>D76</f>
        <v>INS</v>
      </c>
      <c r="E77" s="108" t="str">
        <f>E76</f>
        <v>RFQ-023</v>
      </c>
      <c r="F77" s="109" t="str">
        <f>F76</f>
        <v>N</v>
      </c>
      <c r="G77" s="110"/>
      <c r="H77" s="109" t="str">
        <f>H76</f>
        <v>Actuated Choke Valve</v>
      </c>
      <c r="I77" s="108" t="str">
        <f>I76</f>
        <v>LB</v>
      </c>
      <c r="J77" s="109"/>
      <c r="K77" s="112"/>
      <c r="L77" s="112">
        <f>M78</f>
        <v>0.01</v>
      </c>
      <c r="M77" s="112"/>
      <c r="N77" s="108"/>
      <c r="O77" s="108"/>
      <c r="P77" s="108"/>
      <c r="Q77" s="113" t="s">
        <v>4907</v>
      </c>
      <c r="R77" s="113"/>
      <c r="S77" s="114" t="e">
        <f>S76</f>
        <v>#REF!</v>
      </c>
      <c r="T77" s="115" t="e">
        <f>T76</f>
        <v>#REF!</v>
      </c>
      <c r="U77" s="115" t="e">
        <f t="shared" ref="U77:Z77" si="88">WORKDAY(IF(T78="",T77,T78),INDEX(U$2:U$5,MATCH($I76,$I$2:$I$5,0)),$BB$10:$BB$141)</f>
        <v>#REF!</v>
      </c>
      <c r="V77" s="115" t="e">
        <f t="shared" si="88"/>
        <v>#REF!</v>
      </c>
      <c r="W77" s="115" t="e">
        <f t="shared" si="88"/>
        <v>#REF!</v>
      </c>
      <c r="X77" s="115" t="e">
        <f t="shared" si="88"/>
        <v>#REF!</v>
      </c>
      <c r="Y77" s="115" t="e">
        <f t="shared" si="88"/>
        <v>#REF!</v>
      </c>
      <c r="Z77" s="115" t="e">
        <f t="shared" si="88"/>
        <v>#REF!</v>
      </c>
      <c r="AA77" s="115" t="e">
        <f>WORKDAY(IF(Z78="",X77,Z78),INDEX(AA$2:AA$5,MATCH($I76,$I$2:$I$5,0)),$BB$10:$BB$141)</f>
        <v>#REF!</v>
      </c>
      <c r="AB77" s="116" t="e">
        <f>WORKDAY(AE76+#REF!,0,'[36]Equipment List and MR List (3)'!$A$2:$A$80)</f>
        <v>#REF!</v>
      </c>
      <c r="AC77" s="117"/>
      <c r="AD77" s="118"/>
      <c r="AE77" s="94"/>
      <c r="AF77" s="119"/>
      <c r="AG77" s="120"/>
      <c r="AH77" s="121"/>
      <c r="AI77" s="122"/>
      <c r="AJ77" s="118"/>
      <c r="AK77" s="123"/>
      <c r="AL77" s="124"/>
      <c r="AM77" s="101">
        <f t="shared" ref="AM77:AW77" si="89">IF(ISERROR(LOOKUP(AM$6,$S77:$AB77,$S$9:$AB$9)),0,(LOOKUP(AM$6,$S77:$AB77,$S$9:$AB$9)))</f>
        <v>0</v>
      </c>
      <c r="AN77" s="102">
        <f t="shared" si="89"/>
        <v>0</v>
      </c>
      <c r="AO77" s="102">
        <f t="shared" si="89"/>
        <v>0</v>
      </c>
      <c r="AP77" s="102">
        <f t="shared" si="89"/>
        <v>0</v>
      </c>
      <c r="AQ77" s="102">
        <f t="shared" si="89"/>
        <v>0</v>
      </c>
      <c r="AR77" s="102">
        <f t="shared" si="89"/>
        <v>0</v>
      </c>
      <c r="AS77" s="102">
        <f t="shared" si="89"/>
        <v>0</v>
      </c>
      <c r="AT77" s="102">
        <f t="shared" si="89"/>
        <v>0</v>
      </c>
      <c r="AU77" s="102">
        <f t="shared" si="89"/>
        <v>0</v>
      </c>
      <c r="AV77" s="102">
        <f t="shared" si="89"/>
        <v>0</v>
      </c>
      <c r="AW77" s="102">
        <f ca="1" t="shared" si="89"/>
        <v>0</v>
      </c>
      <c r="BB77" s="103" t="e">
        <v>#REF!</v>
      </c>
    </row>
    <row r="78" s="20" customFormat="1" ht="18" customHeight="1" spans="1:54">
      <c r="A78" s="125"/>
      <c r="B78" s="127"/>
      <c r="C78" s="127"/>
      <c r="D78" s="128" t="str">
        <f>D76</f>
        <v>INS</v>
      </c>
      <c r="E78" s="129" t="str">
        <f>E76</f>
        <v>RFQ-023</v>
      </c>
      <c r="F78" s="130" t="str">
        <f>F76</f>
        <v>N</v>
      </c>
      <c r="G78" s="131"/>
      <c r="H78" s="130" t="str">
        <f>H76</f>
        <v>Actuated Choke Valve</v>
      </c>
      <c r="I78" s="129" t="str">
        <f>I76</f>
        <v>LB</v>
      </c>
      <c r="J78" s="130"/>
      <c r="K78" s="132"/>
      <c r="L78" s="132"/>
      <c r="M78" s="132">
        <v>0.01</v>
      </c>
      <c r="N78" s="129"/>
      <c r="O78" s="129"/>
      <c r="P78" s="129"/>
      <c r="Q78" s="133" t="s">
        <v>4908</v>
      </c>
      <c r="R78" s="133"/>
      <c r="S78" s="151"/>
      <c r="T78" s="151"/>
      <c r="U78" s="151"/>
      <c r="V78" s="151"/>
      <c r="W78" s="151"/>
      <c r="X78" s="151"/>
      <c r="Y78" s="151"/>
      <c r="Z78" s="151"/>
      <c r="AA78" s="151"/>
      <c r="AB78" s="151"/>
      <c r="AC78" s="134"/>
      <c r="AD78" s="135"/>
      <c r="AE78" s="94"/>
      <c r="AF78" s="136"/>
      <c r="AG78" s="137"/>
      <c r="AH78" s="138"/>
      <c r="AI78" s="139"/>
      <c r="AJ78" s="135"/>
      <c r="AK78" s="140"/>
      <c r="AL78" s="141"/>
      <c r="AM78" s="142">
        <f t="shared" ref="AM78:AW78" si="90">IF(ISERROR(LOOKUP(AM$6,$S78:$AB78,$S$9:$AB$9)),0,(LOOKUP(AM$6,$S78:$AB78,$S$9:$AB$9)))</f>
        <v>0</v>
      </c>
      <c r="AN78" s="143">
        <f t="shared" si="90"/>
        <v>0</v>
      </c>
      <c r="AO78" s="143">
        <f t="shared" si="90"/>
        <v>0</v>
      </c>
      <c r="AP78" s="143">
        <f t="shared" si="90"/>
        <v>0</v>
      </c>
      <c r="AQ78" s="143">
        <f t="shared" si="90"/>
        <v>0</v>
      </c>
      <c r="AR78" s="143">
        <f t="shared" si="90"/>
        <v>0</v>
      </c>
      <c r="AS78" s="143">
        <f t="shared" si="90"/>
        <v>0</v>
      </c>
      <c r="AT78" s="143">
        <f t="shared" si="90"/>
        <v>0</v>
      </c>
      <c r="AU78" s="143">
        <f t="shared" si="90"/>
        <v>0</v>
      </c>
      <c r="AV78" s="143">
        <f t="shared" si="90"/>
        <v>0</v>
      </c>
      <c r="AW78" s="143">
        <f ca="1" t="shared" si="90"/>
        <v>0</v>
      </c>
      <c r="BB78" s="103" t="e">
        <v>#REF!</v>
      </c>
    </row>
    <row r="79" s="20" customFormat="1" ht="18" customHeight="1" spans="1:54">
      <c r="A79" s="81">
        <f>A76+1</f>
        <v>24</v>
      </c>
      <c r="B79" s="83"/>
      <c r="C79" s="83" t="s">
        <v>4902</v>
      </c>
      <c r="D79" s="84" t="s">
        <v>4934</v>
      </c>
      <c r="E79" s="85" t="s">
        <v>4804</v>
      </c>
      <c r="F79" s="86" t="s">
        <v>72</v>
      </c>
      <c r="G79" s="87" t="s">
        <v>4937</v>
      </c>
      <c r="H79" s="86" t="s">
        <v>148</v>
      </c>
      <c r="I79" s="85" t="s">
        <v>7</v>
      </c>
      <c r="J79" s="86"/>
      <c r="K79" s="89">
        <f>M81</f>
        <v>0.01</v>
      </c>
      <c r="L79" s="89"/>
      <c r="M79" s="89"/>
      <c r="N79" s="85"/>
      <c r="O79" s="85"/>
      <c r="P79" s="85"/>
      <c r="Q79" s="90" t="s">
        <v>4905</v>
      </c>
      <c r="R79" s="91">
        <f>'Before Award'!U86+5</f>
        <v>46291</v>
      </c>
      <c r="S79" s="91" t="e">
        <f>WORKDAY(R79,INDEX(S$2:S$5,MATCH($I79,$I$2:$I$5,0)),$BB$10:$BB$141)</f>
        <v>#REF!</v>
      </c>
      <c r="T79" s="91" t="e">
        <f>WORKDAY(S79,INDEX(T$2:T$5,MATCH($I79,$I$2:$I$5,0)),$BB$10:$BB$141)</f>
        <v>#REF!</v>
      </c>
      <c r="U79" s="91" t="e">
        <f>T79+30</f>
        <v>#REF!</v>
      </c>
      <c r="V79" s="91"/>
      <c r="W79" s="91">
        <f>AB79-35</f>
        <v>46503</v>
      </c>
      <c r="X79" s="91"/>
      <c r="Y79" s="91"/>
      <c r="Z79" s="91"/>
      <c r="AA79" s="91"/>
      <c r="AB79" s="91">
        <f>'Before Award'!X86</f>
        <v>46538</v>
      </c>
      <c r="AC79" s="92" t="s">
        <v>4906</v>
      </c>
      <c r="AD79" s="93">
        <v>7</v>
      </c>
      <c r="AE79" s="144">
        <f>36*7</f>
        <v>252</v>
      </c>
      <c r="AF79" s="95" t="e">
        <f>AB80</f>
        <v>#REF!</v>
      </c>
      <c r="AG79" s="96">
        <f>WORKDAY(AH79+1,-1,$BA$10:$BA$141)</f>
        <v>46538</v>
      </c>
      <c r="AH79" s="97">
        <v>46538</v>
      </c>
      <c r="AI79" s="98"/>
      <c r="AJ79" s="93" t="e">
        <f>AG79-AF79</f>
        <v>#REF!</v>
      </c>
      <c r="AK79" s="99"/>
      <c r="AL79" s="100"/>
      <c r="AM79" s="101">
        <f t="shared" ref="AM79:AW79" si="91">IF(ISERROR(LOOKUP(AM$6,$S79:$AB79,$S$9:$AB$9)),0,(LOOKUP(AM$6,$S79:$AB79,$S$9:$AB$9)))</f>
        <v>0</v>
      </c>
      <c r="AN79" s="102">
        <f t="shared" si="91"/>
        <v>0</v>
      </c>
      <c r="AO79" s="102">
        <f t="shared" si="91"/>
        <v>0</v>
      </c>
      <c r="AP79" s="102">
        <f t="shared" si="91"/>
        <v>0</v>
      </c>
      <c r="AQ79" s="102">
        <f t="shared" si="91"/>
        <v>0</v>
      </c>
      <c r="AR79" s="102">
        <f t="shared" si="91"/>
        <v>0</v>
      </c>
      <c r="AS79" s="102">
        <f t="shared" si="91"/>
        <v>0</v>
      </c>
      <c r="AT79" s="102">
        <f t="shared" si="91"/>
        <v>0</v>
      </c>
      <c r="AU79" s="102">
        <f t="shared" si="91"/>
        <v>0</v>
      </c>
      <c r="AV79" s="102">
        <f t="shared" si="91"/>
        <v>0</v>
      </c>
      <c r="AW79" s="102">
        <f ca="1" t="shared" si="91"/>
        <v>0</v>
      </c>
      <c r="BB79" s="103" t="e">
        <v>#REF!</v>
      </c>
    </row>
    <row r="80" s="20" customFormat="1" ht="18" customHeight="1" spans="1:54">
      <c r="A80" s="104"/>
      <c r="B80" s="106"/>
      <c r="C80" s="106"/>
      <c r="D80" s="107" t="str">
        <f>D79</f>
        <v>INS</v>
      </c>
      <c r="E80" s="108" t="str">
        <f>E79</f>
        <v>RFQ-024</v>
      </c>
      <c r="F80" s="109" t="str">
        <f>F79</f>
        <v>N</v>
      </c>
      <c r="G80" s="110"/>
      <c r="H80" s="109" t="str">
        <f>H79</f>
        <v>Actuated Ball Valve</v>
      </c>
      <c r="I80" s="108" t="str">
        <f>I79</f>
        <v>LB</v>
      </c>
      <c r="J80" s="109"/>
      <c r="K80" s="112"/>
      <c r="L80" s="112">
        <f>M81</f>
        <v>0.01</v>
      </c>
      <c r="M80" s="112"/>
      <c r="N80" s="108"/>
      <c r="O80" s="108"/>
      <c r="P80" s="108"/>
      <c r="Q80" s="113" t="s">
        <v>4907</v>
      </c>
      <c r="R80" s="113"/>
      <c r="S80" s="114" t="e">
        <f>S79</f>
        <v>#REF!</v>
      </c>
      <c r="T80" s="115" t="e">
        <f>T79</f>
        <v>#REF!</v>
      </c>
      <c r="U80" s="115" t="e">
        <f t="shared" ref="U80:Z80" si="92">WORKDAY(IF(T81="",T80,T81),INDEX(U$2:U$5,MATCH($I79,$I$2:$I$5,0)),$BB$10:$BB$141)</f>
        <v>#REF!</v>
      </c>
      <c r="V80" s="115" t="e">
        <f t="shared" si="92"/>
        <v>#REF!</v>
      </c>
      <c r="W80" s="115" t="e">
        <f t="shared" si="92"/>
        <v>#REF!</v>
      </c>
      <c r="X80" s="115" t="e">
        <f t="shared" si="92"/>
        <v>#REF!</v>
      </c>
      <c r="Y80" s="115" t="e">
        <f t="shared" si="92"/>
        <v>#REF!</v>
      </c>
      <c r="Z80" s="115" t="e">
        <f t="shared" si="92"/>
        <v>#REF!</v>
      </c>
      <c r="AA80" s="115" t="e">
        <f>WORKDAY(IF(Z81="",X80,Z81),INDEX(AA$2:AA$5,MATCH($I79,$I$2:$I$5,0)),$BB$10:$BB$141)</f>
        <v>#REF!</v>
      </c>
      <c r="AB80" s="116" t="e">
        <f>WORKDAY(AE79+#REF!,0,'[36]Equipment List and MR List (3)'!$A$2:$A$80)</f>
        <v>#REF!</v>
      </c>
      <c r="AC80" s="117"/>
      <c r="AD80" s="118"/>
      <c r="AE80" s="144"/>
      <c r="AF80" s="119"/>
      <c r="AG80" s="120"/>
      <c r="AH80" s="121"/>
      <c r="AI80" s="122"/>
      <c r="AJ80" s="118"/>
      <c r="AK80" s="123"/>
      <c r="AL80" s="124"/>
      <c r="AM80" s="101">
        <f t="shared" ref="AM80:AW80" si="93">IF(ISERROR(LOOKUP(AM$6,$S80:$AB80,$S$9:$AB$9)),0,(LOOKUP(AM$6,$S80:$AB80,$S$9:$AB$9)))</f>
        <v>0</v>
      </c>
      <c r="AN80" s="102">
        <f t="shared" si="93"/>
        <v>0</v>
      </c>
      <c r="AO80" s="102">
        <f t="shared" si="93"/>
        <v>0</v>
      </c>
      <c r="AP80" s="102">
        <f t="shared" si="93"/>
        <v>0</v>
      </c>
      <c r="AQ80" s="102">
        <f t="shared" si="93"/>
        <v>0</v>
      </c>
      <c r="AR80" s="102">
        <f t="shared" si="93"/>
        <v>0</v>
      </c>
      <c r="AS80" s="102">
        <f t="shared" si="93"/>
        <v>0</v>
      </c>
      <c r="AT80" s="102">
        <f t="shared" si="93"/>
        <v>0</v>
      </c>
      <c r="AU80" s="102">
        <f t="shared" si="93"/>
        <v>0</v>
      </c>
      <c r="AV80" s="102">
        <f t="shared" si="93"/>
        <v>0</v>
      </c>
      <c r="AW80" s="102">
        <f ca="1" t="shared" si="93"/>
        <v>0</v>
      </c>
      <c r="BB80" s="103" t="e">
        <v>#REF!</v>
      </c>
    </row>
    <row r="81" s="20" customFormat="1" ht="18" customHeight="1" spans="1:54">
      <c r="A81" s="125"/>
      <c r="B81" s="127"/>
      <c r="C81" s="127"/>
      <c r="D81" s="128" t="str">
        <f>D79</f>
        <v>INS</v>
      </c>
      <c r="E81" s="129" t="str">
        <f>E79</f>
        <v>RFQ-024</v>
      </c>
      <c r="F81" s="130" t="str">
        <f>F79</f>
        <v>N</v>
      </c>
      <c r="G81" s="131"/>
      <c r="H81" s="130" t="str">
        <f>H79</f>
        <v>Actuated Ball Valve</v>
      </c>
      <c r="I81" s="129" t="str">
        <f>I79</f>
        <v>LB</v>
      </c>
      <c r="J81" s="130"/>
      <c r="K81" s="132"/>
      <c r="L81" s="132"/>
      <c r="M81" s="132">
        <v>0.01</v>
      </c>
      <c r="N81" s="129"/>
      <c r="O81" s="129"/>
      <c r="P81" s="129"/>
      <c r="Q81" s="133" t="s">
        <v>4908</v>
      </c>
      <c r="R81" s="133"/>
      <c r="S81" s="151"/>
      <c r="T81" s="151"/>
      <c r="U81" s="151"/>
      <c r="V81" s="151"/>
      <c r="W81" s="151"/>
      <c r="X81" s="151"/>
      <c r="Y81" s="151"/>
      <c r="Z81" s="151"/>
      <c r="AA81" s="151"/>
      <c r="AB81" s="151"/>
      <c r="AC81" s="134"/>
      <c r="AD81" s="135"/>
      <c r="AE81" s="144"/>
      <c r="AF81" s="136"/>
      <c r="AG81" s="137"/>
      <c r="AH81" s="138"/>
      <c r="AI81" s="139"/>
      <c r="AJ81" s="135"/>
      <c r="AK81" s="140"/>
      <c r="AL81" s="141"/>
      <c r="AM81" s="142">
        <f t="shared" ref="AM81:AW81" si="94">IF(ISERROR(LOOKUP(AM$6,$S81:$AB81,$S$9:$AB$9)),0,(LOOKUP(AM$6,$S81:$AB81,$S$9:$AB$9)))</f>
        <v>0</v>
      </c>
      <c r="AN81" s="143">
        <f t="shared" si="94"/>
        <v>0</v>
      </c>
      <c r="AO81" s="143">
        <f t="shared" si="94"/>
        <v>0</v>
      </c>
      <c r="AP81" s="143">
        <f t="shared" si="94"/>
        <v>0</v>
      </c>
      <c r="AQ81" s="143">
        <f t="shared" si="94"/>
        <v>0</v>
      </c>
      <c r="AR81" s="143">
        <f t="shared" si="94"/>
        <v>0</v>
      </c>
      <c r="AS81" s="143">
        <f t="shared" si="94"/>
        <v>0</v>
      </c>
      <c r="AT81" s="143">
        <f t="shared" si="94"/>
        <v>0</v>
      </c>
      <c r="AU81" s="143">
        <f t="shared" si="94"/>
        <v>0</v>
      </c>
      <c r="AV81" s="143">
        <f t="shared" si="94"/>
        <v>0</v>
      </c>
      <c r="AW81" s="143">
        <f ca="1" t="shared" si="94"/>
        <v>0</v>
      </c>
      <c r="BB81" s="103" t="e">
        <v>#REF!</v>
      </c>
    </row>
    <row r="82" s="20" customFormat="1" ht="18" customHeight="1" spans="1:54">
      <c r="A82" s="81">
        <f>A79+1</f>
        <v>25</v>
      </c>
      <c r="B82" s="83"/>
      <c r="C82" s="83" t="s">
        <v>4902</v>
      </c>
      <c r="D82" s="84" t="s">
        <v>4934</v>
      </c>
      <c r="E82" s="85" t="s">
        <v>4805</v>
      </c>
      <c r="F82" s="86" t="str">
        <f>IF(_xlfn.XLOOKUP(E82,'[36]Before Award'!D:D,'[36]Before Award'!AV:AV,"N/A")="N/A","N","Y")</f>
        <v>N</v>
      </c>
      <c r="G82" s="87" t="s">
        <v>4938</v>
      </c>
      <c r="H82" s="86" t="s">
        <v>152</v>
      </c>
      <c r="I82" s="85" t="s">
        <v>7</v>
      </c>
      <c r="J82" s="86"/>
      <c r="K82" s="89">
        <f>M84</f>
        <v>0.01</v>
      </c>
      <c r="L82" s="89"/>
      <c r="M82" s="89"/>
      <c r="N82" s="85"/>
      <c r="O82" s="85"/>
      <c r="P82" s="85"/>
      <c r="Q82" s="90" t="s">
        <v>4905</v>
      </c>
      <c r="R82" s="91">
        <f>'Before Award'!U89+5</f>
        <v>46263</v>
      </c>
      <c r="S82" s="91" t="e">
        <f>WORKDAY(R82,INDEX(S$2:S$5,MATCH($I82,$I$2:$I$5,0)),$BB$10:$BB$141)</f>
        <v>#REF!</v>
      </c>
      <c r="T82" s="91" t="e">
        <f>WORKDAY(S82,INDEX(T$2:T$5,MATCH($I82,$I$2:$I$5,0)),$BB$10:$BB$141)</f>
        <v>#REF!</v>
      </c>
      <c r="U82" s="91" t="e">
        <f>T82+30</f>
        <v>#REF!</v>
      </c>
      <c r="V82" s="91"/>
      <c r="W82" s="91">
        <f>AB82-35</f>
        <v>46503</v>
      </c>
      <c r="X82" s="91"/>
      <c r="Y82" s="91"/>
      <c r="Z82" s="91"/>
      <c r="AA82" s="91"/>
      <c r="AB82" s="91">
        <f>'Before Award'!X89</f>
        <v>46538</v>
      </c>
      <c r="AC82" s="92" t="s">
        <v>4906</v>
      </c>
      <c r="AD82" s="93">
        <v>7</v>
      </c>
      <c r="AE82" s="144">
        <v>280</v>
      </c>
      <c r="AF82" s="95" t="e">
        <f>AB83</f>
        <v>#REF!</v>
      </c>
      <c r="AG82" s="96">
        <f>WORKDAY(AH82+1,-1,$BA$10:$BA$141)</f>
        <v>46538</v>
      </c>
      <c r="AH82" s="97">
        <v>46538</v>
      </c>
      <c r="AI82" s="98"/>
      <c r="AJ82" s="93" t="e">
        <f>AG82-AF82</f>
        <v>#REF!</v>
      </c>
      <c r="AK82" s="99"/>
      <c r="AL82" s="100"/>
      <c r="AM82" s="101">
        <f t="shared" ref="AM82:AW82" si="95">IF(ISERROR(LOOKUP(AM$6,$S82:$AB82,$S$9:$AB$9)),0,(LOOKUP(AM$6,$S82:$AB82,$S$9:$AB$9)))</f>
        <v>0</v>
      </c>
      <c r="AN82" s="102">
        <f t="shared" si="95"/>
        <v>0</v>
      </c>
      <c r="AO82" s="102">
        <f t="shared" si="95"/>
        <v>0</v>
      </c>
      <c r="AP82" s="102">
        <f t="shared" si="95"/>
        <v>0</v>
      </c>
      <c r="AQ82" s="102">
        <f t="shared" si="95"/>
        <v>0</v>
      </c>
      <c r="AR82" s="102">
        <f t="shared" si="95"/>
        <v>0</v>
      </c>
      <c r="AS82" s="102">
        <f t="shared" si="95"/>
        <v>0</v>
      </c>
      <c r="AT82" s="102">
        <f t="shared" si="95"/>
        <v>0</v>
      </c>
      <c r="AU82" s="102">
        <f t="shared" si="95"/>
        <v>0</v>
      </c>
      <c r="AV82" s="102">
        <f t="shared" si="95"/>
        <v>0</v>
      </c>
      <c r="AW82" s="102">
        <f ca="1" t="shared" si="95"/>
        <v>0</v>
      </c>
      <c r="BB82" s="103" t="e">
        <v>#REF!</v>
      </c>
    </row>
    <row r="83" s="20" customFormat="1" ht="18" customHeight="1" spans="1:54">
      <c r="A83" s="104"/>
      <c r="B83" s="106"/>
      <c r="C83" s="106"/>
      <c r="D83" s="107" t="str">
        <f>D82</f>
        <v>INS</v>
      </c>
      <c r="E83" s="108" t="str">
        <f>E82</f>
        <v>RFQ-025</v>
      </c>
      <c r="F83" s="109" t="str">
        <f>F82</f>
        <v>N</v>
      </c>
      <c r="G83" s="110"/>
      <c r="H83" s="109" t="str">
        <f>H82</f>
        <v>Actuated Compact Ball Valve</v>
      </c>
      <c r="I83" s="108" t="str">
        <f>I82</f>
        <v>LB</v>
      </c>
      <c r="J83" s="109"/>
      <c r="K83" s="112"/>
      <c r="L83" s="112">
        <f>M84</f>
        <v>0.01</v>
      </c>
      <c r="M83" s="112"/>
      <c r="N83" s="108"/>
      <c r="O83" s="108"/>
      <c r="P83" s="108"/>
      <c r="Q83" s="113" t="s">
        <v>4907</v>
      </c>
      <c r="R83" s="113"/>
      <c r="S83" s="114" t="e">
        <f>S82</f>
        <v>#REF!</v>
      </c>
      <c r="T83" s="115" t="e">
        <f>T82</f>
        <v>#REF!</v>
      </c>
      <c r="U83" s="115" t="e">
        <f t="shared" ref="U83:Z83" si="96">WORKDAY(IF(T84="",T83,T84),INDEX(U$2:U$5,MATCH($I82,$I$2:$I$5,0)),$BB$10:$BB$141)</f>
        <v>#REF!</v>
      </c>
      <c r="V83" s="115" t="e">
        <f t="shared" si="96"/>
        <v>#REF!</v>
      </c>
      <c r="W83" s="115" t="e">
        <f t="shared" si="96"/>
        <v>#REF!</v>
      </c>
      <c r="X83" s="115" t="e">
        <f t="shared" si="96"/>
        <v>#REF!</v>
      </c>
      <c r="Y83" s="115" t="e">
        <f t="shared" si="96"/>
        <v>#REF!</v>
      </c>
      <c r="Z83" s="115" t="e">
        <f t="shared" si="96"/>
        <v>#REF!</v>
      </c>
      <c r="AA83" s="115" t="e">
        <f>WORKDAY(IF(Z84="",X83,Z84),INDEX(AA$2:AA$5,MATCH($I82,$I$2:$I$5,0)),$BB$10:$BB$141)</f>
        <v>#REF!</v>
      </c>
      <c r="AB83" s="116" t="e">
        <f>WORKDAY(AE82+#REF!,0,'[36]Equipment List and MR List (3)'!$A$2:$A$80)</f>
        <v>#REF!</v>
      </c>
      <c r="AC83" s="117"/>
      <c r="AD83" s="118"/>
      <c r="AE83" s="144"/>
      <c r="AF83" s="119"/>
      <c r="AG83" s="120"/>
      <c r="AH83" s="121"/>
      <c r="AI83" s="122"/>
      <c r="AJ83" s="118"/>
      <c r="AK83" s="123"/>
      <c r="AL83" s="124"/>
      <c r="AM83" s="101">
        <f t="shared" ref="AM83:AW83" si="97">IF(ISERROR(LOOKUP(AM$6,$S83:$AB83,$S$9:$AB$9)),0,(LOOKUP(AM$6,$S83:$AB83,$S$9:$AB$9)))</f>
        <v>0</v>
      </c>
      <c r="AN83" s="102">
        <f t="shared" si="97"/>
        <v>0</v>
      </c>
      <c r="AO83" s="102">
        <f t="shared" si="97"/>
        <v>0</v>
      </c>
      <c r="AP83" s="102">
        <f t="shared" si="97"/>
        <v>0</v>
      </c>
      <c r="AQ83" s="102">
        <f t="shared" si="97"/>
        <v>0</v>
      </c>
      <c r="AR83" s="102">
        <f t="shared" si="97"/>
        <v>0</v>
      </c>
      <c r="AS83" s="102">
        <f t="shared" si="97"/>
        <v>0</v>
      </c>
      <c r="AT83" s="102">
        <f t="shared" si="97"/>
        <v>0</v>
      </c>
      <c r="AU83" s="102">
        <f t="shared" si="97"/>
        <v>0</v>
      </c>
      <c r="AV83" s="102">
        <f t="shared" si="97"/>
        <v>0</v>
      </c>
      <c r="AW83" s="102">
        <f ca="1" t="shared" si="97"/>
        <v>0</v>
      </c>
      <c r="BB83" s="103" t="e">
        <v>#REF!</v>
      </c>
    </row>
    <row r="84" s="20" customFormat="1" ht="18" customHeight="1" spans="1:54">
      <c r="A84" s="125"/>
      <c r="B84" s="127"/>
      <c r="C84" s="127"/>
      <c r="D84" s="128" t="str">
        <f>D82</f>
        <v>INS</v>
      </c>
      <c r="E84" s="129" t="str">
        <f>E82</f>
        <v>RFQ-025</v>
      </c>
      <c r="F84" s="130" t="str">
        <f>F82</f>
        <v>N</v>
      </c>
      <c r="G84" s="131"/>
      <c r="H84" s="130" t="str">
        <f>H82</f>
        <v>Actuated Compact Ball Valve</v>
      </c>
      <c r="I84" s="129" t="str">
        <f>I82</f>
        <v>LB</v>
      </c>
      <c r="J84" s="130"/>
      <c r="K84" s="132"/>
      <c r="L84" s="132"/>
      <c r="M84" s="132">
        <v>0.01</v>
      </c>
      <c r="N84" s="129"/>
      <c r="O84" s="129"/>
      <c r="P84" s="129"/>
      <c r="Q84" s="133" t="s">
        <v>4908</v>
      </c>
      <c r="R84" s="133"/>
      <c r="S84" s="151"/>
      <c r="T84" s="151"/>
      <c r="U84" s="151"/>
      <c r="V84" s="151"/>
      <c r="W84" s="151"/>
      <c r="X84" s="151"/>
      <c r="Y84" s="151"/>
      <c r="Z84" s="151"/>
      <c r="AA84" s="151"/>
      <c r="AB84" s="151"/>
      <c r="AC84" s="134"/>
      <c r="AD84" s="135"/>
      <c r="AE84" s="144"/>
      <c r="AF84" s="136"/>
      <c r="AG84" s="137"/>
      <c r="AH84" s="138"/>
      <c r="AI84" s="139"/>
      <c r="AJ84" s="135"/>
      <c r="AK84" s="140"/>
      <c r="AL84" s="141"/>
      <c r="AM84" s="142">
        <f t="shared" ref="AM84:AW84" si="98">IF(ISERROR(LOOKUP(AM$6,$S84:$AB84,$S$9:$AB$9)),0,(LOOKUP(AM$6,$S84:$AB84,$S$9:$AB$9)))</f>
        <v>0</v>
      </c>
      <c r="AN84" s="143">
        <f t="shared" si="98"/>
        <v>0</v>
      </c>
      <c r="AO84" s="143">
        <f t="shared" si="98"/>
        <v>0</v>
      </c>
      <c r="AP84" s="143">
        <f t="shared" si="98"/>
        <v>0</v>
      </c>
      <c r="AQ84" s="143">
        <f t="shared" si="98"/>
        <v>0</v>
      </c>
      <c r="AR84" s="143">
        <f t="shared" si="98"/>
        <v>0</v>
      </c>
      <c r="AS84" s="143">
        <f t="shared" si="98"/>
        <v>0</v>
      </c>
      <c r="AT84" s="143">
        <f t="shared" si="98"/>
        <v>0</v>
      </c>
      <c r="AU84" s="143">
        <f t="shared" si="98"/>
        <v>0</v>
      </c>
      <c r="AV84" s="143">
        <f t="shared" si="98"/>
        <v>0</v>
      </c>
      <c r="AW84" s="143">
        <f ca="1" t="shared" si="98"/>
        <v>0</v>
      </c>
      <c r="BB84" s="103" t="e">
        <v>#REF!</v>
      </c>
    </row>
    <row r="85" s="20" customFormat="1" ht="18" customHeight="1" spans="1:54">
      <c r="A85" s="81">
        <f>A82+1</f>
        <v>26</v>
      </c>
      <c r="B85" s="83"/>
      <c r="C85" s="83" t="s">
        <v>4902</v>
      </c>
      <c r="D85" s="84" t="s">
        <v>4934</v>
      </c>
      <c r="E85" s="85" t="s">
        <v>4806</v>
      </c>
      <c r="F85" s="86" t="s">
        <v>72</v>
      </c>
      <c r="G85" s="87" t="s">
        <v>4939</v>
      </c>
      <c r="H85" s="86" t="s">
        <v>154</v>
      </c>
      <c r="I85" s="85" t="s">
        <v>7</v>
      </c>
      <c r="J85" s="86"/>
      <c r="K85" s="89">
        <f>M87</f>
        <v>0.02</v>
      </c>
      <c r="L85" s="89"/>
      <c r="M85" s="89"/>
      <c r="N85" s="85"/>
      <c r="O85" s="85"/>
      <c r="P85" s="85"/>
      <c r="Q85" s="90" t="s">
        <v>4905</v>
      </c>
      <c r="R85" s="91">
        <f>'Before Award'!U92+5</f>
        <v>46361</v>
      </c>
      <c r="S85" s="91" t="e">
        <f>WORKDAY(R85,INDEX(S$2:S$5,MATCH($I85,$I$2:$I$5,0)),$BB$10:$BB$141)</f>
        <v>#REF!</v>
      </c>
      <c r="T85" s="91" t="e">
        <f>WORKDAY(S85,INDEX(T$2:T$5,MATCH($I85,$I$2:$I$5,0)),$BB$10:$BB$141)</f>
        <v>#REF!</v>
      </c>
      <c r="U85" s="91" t="e">
        <f>T85+30</f>
        <v>#REF!</v>
      </c>
      <c r="V85" s="91"/>
      <c r="W85" s="91">
        <f>AB85-35</f>
        <v>46503</v>
      </c>
      <c r="X85" s="91"/>
      <c r="Y85" s="91"/>
      <c r="Z85" s="91"/>
      <c r="AA85" s="91"/>
      <c r="AB85" s="91">
        <f>'Before Award'!X92</f>
        <v>46538</v>
      </c>
      <c r="AC85" s="92" t="s">
        <v>4906</v>
      </c>
      <c r="AD85" s="93">
        <v>7</v>
      </c>
      <c r="AE85" s="144">
        <v>184</v>
      </c>
      <c r="AF85" s="95" t="e">
        <f>AB86</f>
        <v>#REF!</v>
      </c>
      <c r="AG85" s="96">
        <f>WORKDAY(AH85+1,-1,$BA$10:$BA$141)</f>
        <v>46538</v>
      </c>
      <c r="AH85" s="97">
        <v>46538</v>
      </c>
      <c r="AI85" s="98"/>
      <c r="AJ85" s="93" t="e">
        <f>AG85-AF85</f>
        <v>#REF!</v>
      </c>
      <c r="AK85" s="99"/>
      <c r="AL85" s="100"/>
      <c r="AM85" s="101">
        <f t="shared" ref="AM85:AW85" si="99">IF(ISERROR(LOOKUP(AM$6,$S85:$AB85,$S$9:$AB$9)),0,(LOOKUP(AM$6,$S85:$AB85,$S$9:$AB$9)))</f>
        <v>0</v>
      </c>
      <c r="AN85" s="102">
        <f t="shared" si="99"/>
        <v>0</v>
      </c>
      <c r="AO85" s="102">
        <f t="shared" si="99"/>
        <v>0</v>
      </c>
      <c r="AP85" s="102">
        <f t="shared" si="99"/>
        <v>0</v>
      </c>
      <c r="AQ85" s="102">
        <f t="shared" si="99"/>
        <v>0</v>
      </c>
      <c r="AR85" s="102">
        <f t="shared" si="99"/>
        <v>0</v>
      </c>
      <c r="AS85" s="102">
        <f t="shared" si="99"/>
        <v>0</v>
      </c>
      <c r="AT85" s="102">
        <f t="shared" si="99"/>
        <v>0</v>
      </c>
      <c r="AU85" s="102">
        <f t="shared" si="99"/>
        <v>0</v>
      </c>
      <c r="AV85" s="102">
        <f t="shared" si="99"/>
        <v>0</v>
      </c>
      <c r="AW85" s="102">
        <f ca="1" t="shared" si="99"/>
        <v>0</v>
      </c>
      <c r="BB85" s="103" t="e">
        <v>#REF!</v>
      </c>
    </row>
    <row r="86" s="20" customFormat="1" ht="18" customHeight="1" spans="1:54">
      <c r="A86" s="104"/>
      <c r="B86" s="106"/>
      <c r="C86" s="106"/>
      <c r="D86" s="107" t="str">
        <f>D85</f>
        <v>INS</v>
      </c>
      <c r="E86" s="108" t="str">
        <f>E85</f>
        <v>RFQ-026</v>
      </c>
      <c r="F86" s="109" t="str">
        <f>F85</f>
        <v>N</v>
      </c>
      <c r="G86" s="110"/>
      <c r="H86" s="109" t="str">
        <f>H85</f>
        <v>Safety Relief Valves</v>
      </c>
      <c r="I86" s="108" t="str">
        <f>I85</f>
        <v>LB</v>
      </c>
      <c r="J86" s="109"/>
      <c r="K86" s="112"/>
      <c r="L86" s="112">
        <f>M87</f>
        <v>0.02</v>
      </c>
      <c r="M86" s="112"/>
      <c r="N86" s="108"/>
      <c r="O86" s="108"/>
      <c r="P86" s="108"/>
      <c r="Q86" s="113" t="s">
        <v>4907</v>
      </c>
      <c r="R86" s="113"/>
      <c r="S86" s="114" t="e">
        <f>S85</f>
        <v>#REF!</v>
      </c>
      <c r="T86" s="115" t="e">
        <f>T85</f>
        <v>#REF!</v>
      </c>
      <c r="U86" s="115" t="e">
        <f t="shared" ref="U86:Z86" si="100">WORKDAY(IF(T87="",T86,T87),INDEX(U$2:U$5,MATCH($I85,$I$2:$I$5,0)),$BB$10:$BB$141)</f>
        <v>#REF!</v>
      </c>
      <c r="V86" s="115" t="e">
        <f t="shared" si="100"/>
        <v>#REF!</v>
      </c>
      <c r="W86" s="115" t="e">
        <f t="shared" si="100"/>
        <v>#REF!</v>
      </c>
      <c r="X86" s="115" t="e">
        <f t="shared" si="100"/>
        <v>#REF!</v>
      </c>
      <c r="Y86" s="115" t="e">
        <f t="shared" si="100"/>
        <v>#REF!</v>
      </c>
      <c r="Z86" s="115" t="e">
        <f t="shared" si="100"/>
        <v>#REF!</v>
      </c>
      <c r="AA86" s="115" t="e">
        <f>WORKDAY(IF(Z87="",X86,Z87),INDEX(AA$2:AA$5,MATCH($I85,$I$2:$I$5,0)),$BB$10:$BB$141)</f>
        <v>#REF!</v>
      </c>
      <c r="AB86" s="116" t="e">
        <f>WORKDAY(AE85+#REF!,0,'[36]Equipment List and MR List (3)'!$A$2:$A$80)</f>
        <v>#REF!</v>
      </c>
      <c r="AC86" s="117"/>
      <c r="AD86" s="118"/>
      <c r="AE86" s="144"/>
      <c r="AF86" s="119"/>
      <c r="AG86" s="120"/>
      <c r="AH86" s="121"/>
      <c r="AI86" s="122"/>
      <c r="AJ86" s="118"/>
      <c r="AK86" s="123"/>
      <c r="AL86" s="124"/>
      <c r="AM86" s="101">
        <f t="shared" ref="AM86:AW86" si="101">IF(ISERROR(LOOKUP(AM$6,$S86:$AB86,$S$9:$AB$9)),0,(LOOKUP(AM$6,$S86:$AB86,$S$9:$AB$9)))</f>
        <v>0</v>
      </c>
      <c r="AN86" s="102">
        <f t="shared" si="101"/>
        <v>0</v>
      </c>
      <c r="AO86" s="102">
        <f t="shared" si="101"/>
        <v>0</v>
      </c>
      <c r="AP86" s="102">
        <f t="shared" si="101"/>
        <v>0</v>
      </c>
      <c r="AQ86" s="102">
        <f t="shared" si="101"/>
        <v>0</v>
      </c>
      <c r="AR86" s="102">
        <f t="shared" si="101"/>
        <v>0</v>
      </c>
      <c r="AS86" s="102">
        <f t="shared" si="101"/>
        <v>0</v>
      </c>
      <c r="AT86" s="102">
        <f t="shared" si="101"/>
        <v>0</v>
      </c>
      <c r="AU86" s="102">
        <f t="shared" si="101"/>
        <v>0</v>
      </c>
      <c r="AV86" s="102">
        <f t="shared" si="101"/>
        <v>0</v>
      </c>
      <c r="AW86" s="102">
        <f ca="1" t="shared" si="101"/>
        <v>0</v>
      </c>
      <c r="BB86" s="103" t="e">
        <v>#REF!</v>
      </c>
    </row>
    <row r="87" s="20" customFormat="1" ht="18" customHeight="1" spans="1:54">
      <c r="A87" s="125"/>
      <c r="B87" s="127"/>
      <c r="C87" s="127"/>
      <c r="D87" s="128" t="str">
        <f>D85</f>
        <v>INS</v>
      </c>
      <c r="E87" s="129" t="str">
        <f>E85</f>
        <v>RFQ-026</v>
      </c>
      <c r="F87" s="130" t="str">
        <f>F85</f>
        <v>N</v>
      </c>
      <c r="G87" s="131"/>
      <c r="H87" s="130" t="str">
        <f>H85</f>
        <v>Safety Relief Valves</v>
      </c>
      <c r="I87" s="129" t="str">
        <f>I85</f>
        <v>LB</v>
      </c>
      <c r="J87" s="130"/>
      <c r="K87" s="132"/>
      <c r="L87" s="132"/>
      <c r="M87" s="132">
        <v>0.02</v>
      </c>
      <c r="N87" s="129"/>
      <c r="O87" s="129"/>
      <c r="P87" s="129"/>
      <c r="Q87" s="133" t="s">
        <v>4908</v>
      </c>
      <c r="R87" s="133"/>
      <c r="S87" s="151"/>
      <c r="T87" s="151"/>
      <c r="U87" s="151"/>
      <c r="V87" s="151"/>
      <c r="W87" s="151"/>
      <c r="X87" s="151"/>
      <c r="Y87" s="151"/>
      <c r="Z87" s="151"/>
      <c r="AA87" s="151"/>
      <c r="AB87" s="151"/>
      <c r="AC87" s="134"/>
      <c r="AD87" s="135"/>
      <c r="AE87" s="144"/>
      <c r="AF87" s="136"/>
      <c r="AG87" s="137"/>
      <c r="AH87" s="138"/>
      <c r="AI87" s="139"/>
      <c r="AJ87" s="135"/>
      <c r="AK87" s="140"/>
      <c r="AL87" s="141"/>
      <c r="AM87" s="142">
        <f t="shared" ref="AM87:AW87" si="102">IF(ISERROR(LOOKUP(AM$6,$S87:$AB87,$S$9:$AB$9)),0,(LOOKUP(AM$6,$S87:$AB87,$S$9:$AB$9)))</f>
        <v>0</v>
      </c>
      <c r="AN87" s="143">
        <f t="shared" si="102"/>
        <v>0</v>
      </c>
      <c r="AO87" s="143">
        <f t="shared" si="102"/>
        <v>0</v>
      </c>
      <c r="AP87" s="143">
        <f t="shared" si="102"/>
        <v>0</v>
      </c>
      <c r="AQ87" s="143">
        <f t="shared" si="102"/>
        <v>0</v>
      </c>
      <c r="AR87" s="143">
        <f t="shared" si="102"/>
        <v>0</v>
      </c>
      <c r="AS87" s="143">
        <f t="shared" si="102"/>
        <v>0</v>
      </c>
      <c r="AT87" s="143">
        <f t="shared" si="102"/>
        <v>0</v>
      </c>
      <c r="AU87" s="143">
        <f t="shared" si="102"/>
        <v>0</v>
      </c>
      <c r="AV87" s="143">
        <f t="shared" si="102"/>
        <v>0</v>
      </c>
      <c r="AW87" s="143">
        <f ca="1" t="shared" si="102"/>
        <v>0</v>
      </c>
      <c r="BB87" s="103" t="e">
        <v>#REF!</v>
      </c>
    </row>
    <row r="88" s="20" customFormat="1" ht="18" customHeight="1" spans="1:54">
      <c r="A88" s="81">
        <f>A85+1</f>
        <v>27</v>
      </c>
      <c r="B88" s="83"/>
      <c r="C88" s="83" t="s">
        <v>4902</v>
      </c>
      <c r="D88" s="84" t="s">
        <v>4934</v>
      </c>
      <c r="E88" s="85" t="s">
        <v>4807</v>
      </c>
      <c r="F88" s="86" t="s">
        <v>72</v>
      </c>
      <c r="G88" s="87" t="s">
        <v>4940</v>
      </c>
      <c r="H88" s="86" t="s">
        <v>158</v>
      </c>
      <c r="I88" s="85" t="s">
        <v>8</v>
      </c>
      <c r="J88" s="86"/>
      <c r="K88" s="89">
        <f>M90</f>
        <v>0.04</v>
      </c>
      <c r="L88" s="89"/>
      <c r="M88" s="89"/>
      <c r="N88" s="85"/>
      <c r="O88" s="85"/>
      <c r="P88" s="85"/>
      <c r="Q88" s="90" t="s">
        <v>4905</v>
      </c>
      <c r="R88" s="91">
        <f>'Before Award'!U95+5</f>
        <v>46398</v>
      </c>
      <c r="S88" s="91" t="e">
        <f>WORKDAY(R88,INDEX(S$2:S$5,MATCH($I88,$I$2:$I$5,0)),$BB$10:$BB$141)</f>
        <v>#REF!</v>
      </c>
      <c r="T88" s="91" t="e">
        <f>WORKDAY(S88,INDEX(T$2:T$5,MATCH($I88,$I$2:$I$5,0)),$BB$10:$BB$141)</f>
        <v>#REF!</v>
      </c>
      <c r="U88" s="91" t="e">
        <f>T88+30</f>
        <v>#REF!</v>
      </c>
      <c r="V88" s="91"/>
      <c r="W88" s="91">
        <f>AB88-35</f>
        <v>46503</v>
      </c>
      <c r="X88" s="91"/>
      <c r="Y88" s="91"/>
      <c r="Z88" s="91"/>
      <c r="AA88" s="91"/>
      <c r="AB88" s="91">
        <f>'Before Award'!X95</f>
        <v>46538</v>
      </c>
      <c r="AC88" s="92" t="s">
        <v>4906</v>
      </c>
      <c r="AD88" s="93">
        <v>7</v>
      </c>
      <c r="AE88" s="144">
        <v>145</v>
      </c>
      <c r="AF88" s="95" t="e">
        <f>AB89</f>
        <v>#REF!</v>
      </c>
      <c r="AG88" s="96">
        <f>WORKDAY(AH88+1,-1,$BA$10:$BA$141)</f>
        <v>46538</v>
      </c>
      <c r="AH88" s="97">
        <v>46538</v>
      </c>
      <c r="AI88" s="98"/>
      <c r="AJ88" s="93" t="e">
        <f>AG88-AF88</f>
        <v>#REF!</v>
      </c>
      <c r="AK88" s="99"/>
      <c r="AL88" s="100"/>
      <c r="AM88" s="101">
        <f t="shared" ref="AM88:AW88" si="103">IF(ISERROR(LOOKUP(AM$6,$S88:$AB88,$S$9:$AB$9)),0,(LOOKUP(AM$6,$S88:$AB88,$S$9:$AB$9)))</f>
        <v>0</v>
      </c>
      <c r="AN88" s="102">
        <f t="shared" si="103"/>
        <v>0</v>
      </c>
      <c r="AO88" s="102">
        <f t="shared" si="103"/>
        <v>0</v>
      </c>
      <c r="AP88" s="102">
        <f t="shared" si="103"/>
        <v>0</v>
      </c>
      <c r="AQ88" s="102">
        <f t="shared" si="103"/>
        <v>0</v>
      </c>
      <c r="AR88" s="102">
        <f t="shared" si="103"/>
        <v>0</v>
      </c>
      <c r="AS88" s="102">
        <f t="shared" si="103"/>
        <v>0</v>
      </c>
      <c r="AT88" s="102">
        <f t="shared" si="103"/>
        <v>0</v>
      </c>
      <c r="AU88" s="102">
        <f t="shared" si="103"/>
        <v>0</v>
      </c>
      <c r="AV88" s="102">
        <f t="shared" si="103"/>
        <v>0</v>
      </c>
      <c r="AW88" s="102">
        <f ca="1" t="shared" si="103"/>
        <v>0</v>
      </c>
      <c r="BB88" s="103" t="e">
        <v>#REF!</v>
      </c>
    </row>
    <row r="89" s="20" customFormat="1" ht="18" customHeight="1" spans="1:54">
      <c r="A89" s="104"/>
      <c r="B89" s="83"/>
      <c r="C89" s="106"/>
      <c r="D89" s="107" t="str">
        <f>D88</f>
        <v>INS</v>
      </c>
      <c r="E89" s="108" t="str">
        <f>E88</f>
        <v>RFQ-027</v>
      </c>
      <c r="F89" s="109" t="str">
        <f>F88</f>
        <v>N</v>
      </c>
      <c r="G89" s="110"/>
      <c r="H89" s="109" t="str">
        <f>H88</f>
        <v>Coriolis Flow Meters </v>
      </c>
      <c r="I89" s="108" t="str">
        <f>I88</f>
        <v>LC</v>
      </c>
      <c r="J89" s="109"/>
      <c r="K89" s="112"/>
      <c r="L89" s="112">
        <f>M90</f>
        <v>0.04</v>
      </c>
      <c r="M89" s="112"/>
      <c r="N89" s="108"/>
      <c r="O89" s="108"/>
      <c r="P89" s="108"/>
      <c r="Q89" s="113" t="s">
        <v>4907</v>
      </c>
      <c r="R89" s="113"/>
      <c r="S89" s="114" t="e">
        <f>S88</f>
        <v>#REF!</v>
      </c>
      <c r="T89" s="115" t="e">
        <f>T88</f>
        <v>#REF!</v>
      </c>
      <c r="U89" s="115" t="e">
        <f t="shared" ref="U89:Z89" si="104">WORKDAY(IF(T90="",T89,T90),INDEX(U$2:U$5,MATCH($I88,$I$2:$I$5,0)),$BB$10:$BB$141)</f>
        <v>#REF!</v>
      </c>
      <c r="V89" s="115" t="e">
        <f t="shared" si="104"/>
        <v>#REF!</v>
      </c>
      <c r="W89" s="115" t="e">
        <f t="shared" si="104"/>
        <v>#REF!</v>
      </c>
      <c r="X89" s="115" t="e">
        <f t="shared" si="104"/>
        <v>#REF!</v>
      </c>
      <c r="Y89" s="115" t="e">
        <f t="shared" si="104"/>
        <v>#REF!</v>
      </c>
      <c r="Z89" s="115" t="e">
        <f t="shared" si="104"/>
        <v>#REF!</v>
      </c>
      <c r="AA89" s="115" t="e">
        <f>WORKDAY(IF(Z90="",X89,Z90),INDEX(AA$2:AA$5,MATCH($I88,$I$2:$I$5,0)),$BB$10:$BB$141)</f>
        <v>#REF!</v>
      </c>
      <c r="AB89" s="116" t="e">
        <f>WORKDAY(AE88+#REF!,0,'[36]Equipment List and MR List (3)'!$A$2:$A$80)</f>
        <v>#REF!</v>
      </c>
      <c r="AC89" s="117"/>
      <c r="AD89" s="118"/>
      <c r="AE89" s="144"/>
      <c r="AF89" s="119"/>
      <c r="AG89" s="120"/>
      <c r="AH89" s="121"/>
      <c r="AI89" s="122"/>
      <c r="AJ89" s="118"/>
      <c r="AK89" s="123"/>
      <c r="AL89" s="124"/>
      <c r="AM89" s="101">
        <f t="shared" ref="AM89:AW89" si="105">IF(ISERROR(LOOKUP(AM$6,$S89:$AB89,$S$9:$AB$9)),0,(LOOKUP(AM$6,$S89:$AB89,$S$9:$AB$9)))</f>
        <v>0</v>
      </c>
      <c r="AN89" s="102">
        <f t="shared" si="105"/>
        <v>0</v>
      </c>
      <c r="AO89" s="102">
        <f t="shared" si="105"/>
        <v>0</v>
      </c>
      <c r="AP89" s="102">
        <f t="shared" si="105"/>
        <v>0</v>
      </c>
      <c r="AQ89" s="102">
        <f t="shared" si="105"/>
        <v>0</v>
      </c>
      <c r="AR89" s="102">
        <f t="shared" si="105"/>
        <v>0</v>
      </c>
      <c r="AS89" s="102">
        <f t="shared" si="105"/>
        <v>0</v>
      </c>
      <c r="AT89" s="102">
        <f t="shared" si="105"/>
        <v>0</v>
      </c>
      <c r="AU89" s="102">
        <f t="shared" si="105"/>
        <v>0</v>
      </c>
      <c r="AV89" s="102">
        <f t="shared" si="105"/>
        <v>0</v>
      </c>
      <c r="AW89" s="102">
        <f ca="1" t="shared" si="105"/>
        <v>0</v>
      </c>
      <c r="BB89" s="103" t="e" cm="1">
        <f t="array" ref="BB89:BB167">'[36]Procurement progress '!$A$2:$A$80</f>
        <v>#REF!</v>
      </c>
    </row>
    <row r="90" s="20" customFormat="1" ht="18" customHeight="1" spans="1:54">
      <c r="A90" s="125"/>
      <c r="B90" s="83"/>
      <c r="C90" s="127"/>
      <c r="D90" s="128" t="str">
        <f>D88</f>
        <v>INS</v>
      </c>
      <c r="E90" s="129" t="str">
        <f>E88</f>
        <v>RFQ-027</v>
      </c>
      <c r="F90" s="130" t="str">
        <f>F88</f>
        <v>N</v>
      </c>
      <c r="G90" s="131"/>
      <c r="H90" s="130" t="str">
        <f>H88</f>
        <v>Coriolis Flow Meters </v>
      </c>
      <c r="I90" s="129" t="str">
        <f>I88</f>
        <v>LC</v>
      </c>
      <c r="J90" s="130"/>
      <c r="K90" s="132"/>
      <c r="L90" s="132"/>
      <c r="M90" s="132">
        <v>0.04</v>
      </c>
      <c r="N90" s="129"/>
      <c r="O90" s="129"/>
      <c r="P90" s="129"/>
      <c r="Q90" s="133" t="s">
        <v>4908</v>
      </c>
      <c r="R90" s="133"/>
      <c r="S90" s="151"/>
      <c r="T90" s="151"/>
      <c r="U90" s="151"/>
      <c r="V90" s="151"/>
      <c r="W90" s="151"/>
      <c r="X90" s="151"/>
      <c r="Y90" s="151"/>
      <c r="Z90" s="151"/>
      <c r="AA90" s="151"/>
      <c r="AB90" s="151"/>
      <c r="AC90" s="134"/>
      <c r="AD90" s="135"/>
      <c r="AE90" s="144"/>
      <c r="AF90" s="136"/>
      <c r="AG90" s="137"/>
      <c r="AH90" s="138"/>
      <c r="AI90" s="139"/>
      <c r="AJ90" s="135"/>
      <c r="AK90" s="140"/>
      <c r="AL90" s="141"/>
      <c r="AM90" s="142">
        <f t="shared" ref="AM90:AW90" si="106">IF(ISERROR(LOOKUP(AM$6,$S90:$AB90,$S$9:$AB$9)),0,(LOOKUP(AM$6,$S90:$AB90,$S$9:$AB$9)))</f>
        <v>0</v>
      </c>
      <c r="AN90" s="143">
        <f t="shared" si="106"/>
        <v>0</v>
      </c>
      <c r="AO90" s="143">
        <f t="shared" si="106"/>
        <v>0</v>
      </c>
      <c r="AP90" s="143">
        <f t="shared" si="106"/>
        <v>0</v>
      </c>
      <c r="AQ90" s="143">
        <f t="shared" si="106"/>
        <v>0</v>
      </c>
      <c r="AR90" s="143">
        <f t="shared" si="106"/>
        <v>0</v>
      </c>
      <c r="AS90" s="143">
        <f t="shared" si="106"/>
        <v>0</v>
      </c>
      <c r="AT90" s="143">
        <f t="shared" si="106"/>
        <v>0</v>
      </c>
      <c r="AU90" s="143">
        <f t="shared" si="106"/>
        <v>0</v>
      </c>
      <c r="AV90" s="143">
        <f t="shared" si="106"/>
        <v>0</v>
      </c>
      <c r="AW90" s="143">
        <f ca="1" t="shared" si="106"/>
        <v>0</v>
      </c>
      <c r="BB90" s="103" t="e">
        <v>#REF!</v>
      </c>
    </row>
    <row r="91" s="20" customFormat="1" ht="18" customHeight="1" spans="1:54">
      <c r="A91" s="81">
        <f>A88+1</f>
        <v>28</v>
      </c>
      <c r="B91" s="145" t="s">
        <v>4941</v>
      </c>
      <c r="C91" s="83" t="s">
        <v>4902</v>
      </c>
      <c r="D91" s="84" t="s">
        <v>4934</v>
      </c>
      <c r="E91" s="85" t="s">
        <v>4808</v>
      </c>
      <c r="F91" s="86" t="s">
        <v>63</v>
      </c>
      <c r="G91" s="87" t="s">
        <v>4942</v>
      </c>
      <c r="H91" s="146" t="s">
        <v>161</v>
      </c>
      <c r="I91" s="85" t="s">
        <v>7</v>
      </c>
      <c r="J91" s="86"/>
      <c r="K91" s="89">
        <f>M93</f>
        <v>0.03</v>
      </c>
      <c r="L91" s="89"/>
      <c r="M91" s="89"/>
      <c r="N91" s="85"/>
      <c r="O91" s="85"/>
      <c r="P91" s="85"/>
      <c r="Q91" s="90" t="s">
        <v>4905</v>
      </c>
      <c r="R91" s="91">
        <f>'Before Award'!U98+5</f>
        <v>46229</v>
      </c>
      <c r="S91" s="91" t="e">
        <f>WORKDAY(R91,INDEX(S$2:S$5,MATCH($I91,$I$2:$I$5,0)),$BB$10:$BB$141)</f>
        <v>#REF!</v>
      </c>
      <c r="T91" s="91" t="e">
        <f>WORKDAY(S91,INDEX(T$2:T$5,MATCH($I91,$I$2:$I$5,0)),$BB$10:$BB$141)</f>
        <v>#REF!</v>
      </c>
      <c r="U91" s="91" t="e">
        <f>T91+30</f>
        <v>#REF!</v>
      </c>
      <c r="V91" s="91"/>
      <c r="W91" s="91">
        <f>AB91-35</f>
        <v>46441</v>
      </c>
      <c r="X91" s="91"/>
      <c r="Y91" s="91"/>
      <c r="Z91" s="91"/>
      <c r="AA91" s="91"/>
      <c r="AB91" s="91">
        <f>'Before Award'!X98</f>
        <v>46476</v>
      </c>
      <c r="AC91" s="92" t="s">
        <v>4906</v>
      </c>
      <c r="AD91" s="93">
        <v>7</v>
      </c>
      <c r="AE91" s="94">
        <v>252</v>
      </c>
      <c r="AF91" s="95" t="e">
        <f>AB92</f>
        <v>#REF!</v>
      </c>
      <c r="AG91" s="96">
        <f>WORKDAY(AH91+1,-1,$BA$10:$BA$141)</f>
        <v>46416</v>
      </c>
      <c r="AH91" s="97">
        <v>46417</v>
      </c>
      <c r="AI91" s="98"/>
      <c r="AJ91" s="93" t="e">
        <f>AG91-AF91</f>
        <v>#REF!</v>
      </c>
      <c r="AK91" s="99"/>
      <c r="AL91" s="100"/>
      <c r="AM91" s="101">
        <f t="shared" ref="AM91:AW91" si="107">IF(ISERROR(LOOKUP(AM$6,$S91:$AB91,$S$9:$AB$9)),0,(LOOKUP(AM$6,$S91:$AB91,$S$9:$AB$9)))</f>
        <v>0</v>
      </c>
      <c r="AN91" s="102">
        <f t="shared" si="107"/>
        <v>0</v>
      </c>
      <c r="AO91" s="102">
        <f t="shared" si="107"/>
        <v>0</v>
      </c>
      <c r="AP91" s="102">
        <f t="shared" si="107"/>
        <v>0</v>
      </c>
      <c r="AQ91" s="102">
        <f t="shared" si="107"/>
        <v>0</v>
      </c>
      <c r="AR91" s="102">
        <f t="shared" si="107"/>
        <v>0</v>
      </c>
      <c r="AS91" s="102">
        <f t="shared" si="107"/>
        <v>0</v>
      </c>
      <c r="AT91" s="102">
        <f t="shared" si="107"/>
        <v>0</v>
      </c>
      <c r="AU91" s="102">
        <f t="shared" si="107"/>
        <v>0</v>
      </c>
      <c r="AV91" s="102">
        <f t="shared" si="107"/>
        <v>0</v>
      </c>
      <c r="AW91" s="102">
        <f ca="1" t="shared" si="107"/>
        <v>0</v>
      </c>
      <c r="BB91" s="103" t="e">
        <v>#REF!</v>
      </c>
    </row>
    <row r="92" s="20" customFormat="1" ht="18" customHeight="1" spans="1:54">
      <c r="A92" s="104"/>
      <c r="B92" s="147"/>
      <c r="C92" s="106"/>
      <c r="D92" s="107" t="str">
        <f>D91</f>
        <v>INS</v>
      </c>
      <c r="E92" s="108" t="str">
        <f>E91</f>
        <v>RFQ-028</v>
      </c>
      <c r="F92" s="109" t="str">
        <f>F91</f>
        <v>Y</v>
      </c>
      <c r="G92" s="110"/>
      <c r="H92" s="148" t="str">
        <f>H91</f>
        <v>Wellhead Control Panel (WHCP)</v>
      </c>
      <c r="I92" s="108" t="str">
        <f>I91</f>
        <v>LB</v>
      </c>
      <c r="J92" s="109"/>
      <c r="K92" s="112"/>
      <c r="L92" s="112">
        <f>M93</f>
        <v>0.03</v>
      </c>
      <c r="M92" s="112"/>
      <c r="N92" s="108"/>
      <c r="O92" s="108"/>
      <c r="P92" s="108"/>
      <c r="Q92" s="113" t="s">
        <v>4907</v>
      </c>
      <c r="R92" s="113"/>
      <c r="S92" s="114" t="e">
        <f>S91</f>
        <v>#REF!</v>
      </c>
      <c r="T92" s="115" t="e">
        <f>T91</f>
        <v>#REF!</v>
      </c>
      <c r="U92" s="115" t="e">
        <f t="shared" ref="U92:Z92" si="108">WORKDAY(IF(T93="",T92,T93),INDEX(U$2:U$5,MATCH($I91,$I$2:$I$5,0)),$BB$10:$BB$141)</f>
        <v>#REF!</v>
      </c>
      <c r="V92" s="115" t="e">
        <f t="shared" si="108"/>
        <v>#REF!</v>
      </c>
      <c r="W92" s="115" t="e">
        <f t="shared" si="108"/>
        <v>#REF!</v>
      </c>
      <c r="X92" s="115" t="e">
        <f t="shared" si="108"/>
        <v>#REF!</v>
      </c>
      <c r="Y92" s="115" t="e">
        <f t="shared" si="108"/>
        <v>#REF!</v>
      </c>
      <c r="Z92" s="115" t="e">
        <f t="shared" si="108"/>
        <v>#REF!</v>
      </c>
      <c r="AA92" s="115" t="e">
        <f>WORKDAY(IF(Z93="",X92,Z93),INDEX(AA$2:AA$5,MATCH($I91,$I$2:$I$5,0)),$BB$10:$BB$141)</f>
        <v>#REF!</v>
      </c>
      <c r="AB92" s="116" t="e">
        <f>WORKDAY(AE91+#REF!,0,'[36]Equipment List and MR List (3)'!$A$2:$A$80)</f>
        <v>#REF!</v>
      </c>
      <c r="AC92" s="117"/>
      <c r="AD92" s="118"/>
      <c r="AE92" s="94"/>
      <c r="AF92" s="119"/>
      <c r="AG92" s="120"/>
      <c r="AH92" s="121"/>
      <c r="AI92" s="122"/>
      <c r="AJ92" s="118"/>
      <c r="AK92" s="123"/>
      <c r="AL92" s="124"/>
      <c r="AM92" s="101">
        <f t="shared" ref="AM92:AW92" si="109">IF(ISERROR(LOOKUP(AM$6,$S92:$AB92,$S$9:$AB$9)),0,(LOOKUP(AM$6,$S92:$AB92,$S$9:$AB$9)))</f>
        <v>0</v>
      </c>
      <c r="AN92" s="102">
        <f t="shared" si="109"/>
        <v>0</v>
      </c>
      <c r="AO92" s="102">
        <f t="shared" si="109"/>
        <v>0</v>
      </c>
      <c r="AP92" s="102">
        <f t="shared" si="109"/>
        <v>0</v>
      </c>
      <c r="AQ92" s="102">
        <f t="shared" si="109"/>
        <v>0</v>
      </c>
      <c r="AR92" s="102">
        <f t="shared" si="109"/>
        <v>0</v>
      </c>
      <c r="AS92" s="102">
        <f t="shared" si="109"/>
        <v>0</v>
      </c>
      <c r="AT92" s="102">
        <f t="shared" si="109"/>
        <v>0</v>
      </c>
      <c r="AU92" s="102">
        <f t="shared" si="109"/>
        <v>0</v>
      </c>
      <c r="AV92" s="102">
        <f t="shared" si="109"/>
        <v>0</v>
      </c>
      <c r="AW92" s="102">
        <f ca="1" t="shared" si="109"/>
        <v>0</v>
      </c>
      <c r="BB92" s="103" t="e">
        <v>#REF!</v>
      </c>
    </row>
    <row r="93" s="20" customFormat="1" ht="18" customHeight="1" spans="1:54">
      <c r="A93" s="125"/>
      <c r="B93" s="150"/>
      <c r="C93" s="127"/>
      <c r="D93" s="128" t="str">
        <f>D91</f>
        <v>INS</v>
      </c>
      <c r="E93" s="129" t="str">
        <f>E91</f>
        <v>RFQ-028</v>
      </c>
      <c r="F93" s="130" t="str">
        <f>F91</f>
        <v>Y</v>
      </c>
      <c r="G93" s="131"/>
      <c r="H93" s="148" t="str">
        <f>H91</f>
        <v>Wellhead Control Panel (WHCP)</v>
      </c>
      <c r="I93" s="129" t="str">
        <f>I91</f>
        <v>LB</v>
      </c>
      <c r="J93" s="130"/>
      <c r="K93" s="132"/>
      <c r="L93" s="132"/>
      <c r="M93" s="132">
        <v>0.03</v>
      </c>
      <c r="N93" s="129"/>
      <c r="O93" s="129"/>
      <c r="P93" s="129"/>
      <c r="Q93" s="133" t="s">
        <v>4908</v>
      </c>
      <c r="R93" s="133"/>
      <c r="S93" s="151"/>
      <c r="T93" s="151"/>
      <c r="U93" s="151"/>
      <c r="V93" s="151"/>
      <c r="W93" s="151"/>
      <c r="X93" s="151"/>
      <c r="Y93" s="151"/>
      <c r="Z93" s="151"/>
      <c r="AA93" s="151"/>
      <c r="AB93" s="151"/>
      <c r="AC93" s="134"/>
      <c r="AD93" s="135"/>
      <c r="AE93" s="94"/>
      <c r="AF93" s="136"/>
      <c r="AG93" s="137"/>
      <c r="AH93" s="138"/>
      <c r="AI93" s="139"/>
      <c r="AJ93" s="135"/>
      <c r="AK93" s="140"/>
      <c r="AL93" s="141"/>
      <c r="AM93" s="142">
        <f t="shared" ref="AM93:AW93" si="110">IF(ISERROR(LOOKUP(AM$6,$S93:$AB93,$S$9:$AB$9)),0,(LOOKUP(AM$6,$S93:$AB93,$S$9:$AB$9)))</f>
        <v>0</v>
      </c>
      <c r="AN93" s="143">
        <f t="shared" si="110"/>
        <v>0</v>
      </c>
      <c r="AO93" s="143">
        <f t="shared" si="110"/>
        <v>0</v>
      </c>
      <c r="AP93" s="143">
        <f t="shared" si="110"/>
        <v>0</v>
      </c>
      <c r="AQ93" s="143">
        <f t="shared" si="110"/>
        <v>0</v>
      </c>
      <c r="AR93" s="143">
        <f t="shared" si="110"/>
        <v>0</v>
      </c>
      <c r="AS93" s="143">
        <f t="shared" si="110"/>
        <v>0</v>
      </c>
      <c r="AT93" s="143">
        <f t="shared" si="110"/>
        <v>0</v>
      </c>
      <c r="AU93" s="143">
        <f t="shared" si="110"/>
        <v>0</v>
      </c>
      <c r="AV93" s="143">
        <f t="shared" si="110"/>
        <v>0</v>
      </c>
      <c r="AW93" s="143">
        <f ca="1" t="shared" si="110"/>
        <v>0</v>
      </c>
      <c r="BB93" s="103" t="e">
        <v>#REF!</v>
      </c>
    </row>
    <row r="94" s="20" customFormat="1" ht="18" customHeight="1" spans="1:54">
      <c r="A94" s="81">
        <f>A91+1</f>
        <v>29</v>
      </c>
      <c r="B94" s="83"/>
      <c r="C94" s="83" t="s">
        <v>4902</v>
      </c>
      <c r="D94" s="84" t="s">
        <v>4934</v>
      </c>
      <c r="E94" s="85" t="s">
        <v>4809</v>
      </c>
      <c r="F94" s="86" t="s">
        <v>72</v>
      </c>
      <c r="G94" s="87" t="s">
        <v>4943</v>
      </c>
      <c r="H94" s="86" t="s">
        <v>165</v>
      </c>
      <c r="I94" s="85" t="s">
        <v>8</v>
      </c>
      <c r="J94" s="86"/>
      <c r="K94" s="89">
        <f>M96</f>
        <v>0.034</v>
      </c>
      <c r="L94" s="89"/>
      <c r="M94" s="89"/>
      <c r="N94" s="85"/>
      <c r="O94" s="85"/>
      <c r="P94" s="85"/>
      <c r="Q94" s="90" t="s">
        <v>4905</v>
      </c>
      <c r="R94" s="91">
        <f>'Before Award'!U101+5</f>
        <v>46417</v>
      </c>
      <c r="S94" s="91" t="e">
        <f>WORKDAY(R94,INDEX(S$2:S$5,MATCH($I94,$I$2:$I$5,0)),$BB$10:$BB$141)</f>
        <v>#REF!</v>
      </c>
      <c r="T94" s="91" t="e">
        <f>WORKDAY(S94,INDEX(T$2:T$5,MATCH($I94,$I$2:$I$5,0)),$BB$10:$BB$141)</f>
        <v>#REF!</v>
      </c>
      <c r="U94" s="91" t="e">
        <f>T94+30</f>
        <v>#REF!</v>
      </c>
      <c r="V94" s="91"/>
      <c r="W94" s="91">
        <f>AB94-35</f>
        <v>46503</v>
      </c>
      <c r="X94" s="91"/>
      <c r="Y94" s="91"/>
      <c r="Z94" s="91"/>
      <c r="AA94" s="91"/>
      <c r="AB94" s="91">
        <f>'Before Award'!X101</f>
        <v>46538</v>
      </c>
      <c r="AC94" s="92" t="s">
        <v>4906</v>
      </c>
      <c r="AD94" s="93">
        <v>7</v>
      </c>
      <c r="AE94" s="144">
        <f>18*7</f>
        <v>126</v>
      </c>
      <c r="AF94" s="95" t="e">
        <f>AB95</f>
        <v>#REF!</v>
      </c>
      <c r="AG94" s="96">
        <f>WORKDAY(AH94+1,-1,$BA$10:$BA$141)</f>
        <v>46538</v>
      </c>
      <c r="AH94" s="97">
        <v>46538</v>
      </c>
      <c r="AI94" s="98"/>
      <c r="AJ94" s="93" t="e">
        <f>AG94-AF94</f>
        <v>#REF!</v>
      </c>
      <c r="AK94" s="99"/>
      <c r="AL94" s="100"/>
      <c r="AM94" s="101">
        <f t="shared" ref="AM94:AW94" si="111">IF(ISERROR(LOOKUP(AM$6,$S94:$AB94,$S$9:$AB$9)),0,(LOOKUP(AM$6,$S94:$AB94,$S$9:$AB$9)))</f>
        <v>0</v>
      </c>
      <c r="AN94" s="102">
        <f t="shared" si="111"/>
        <v>0</v>
      </c>
      <c r="AO94" s="102">
        <f t="shared" si="111"/>
        <v>0</v>
      </c>
      <c r="AP94" s="102">
        <f t="shared" si="111"/>
        <v>0</v>
      </c>
      <c r="AQ94" s="102">
        <f t="shared" si="111"/>
        <v>0</v>
      </c>
      <c r="AR94" s="102">
        <f t="shared" si="111"/>
        <v>0</v>
      </c>
      <c r="AS94" s="102">
        <f t="shared" si="111"/>
        <v>0</v>
      </c>
      <c r="AT94" s="102">
        <f t="shared" si="111"/>
        <v>0</v>
      </c>
      <c r="AU94" s="102">
        <f t="shared" si="111"/>
        <v>0</v>
      </c>
      <c r="AV94" s="102">
        <f t="shared" si="111"/>
        <v>0</v>
      </c>
      <c r="AW94" s="102">
        <f ca="1" t="shared" si="111"/>
        <v>0</v>
      </c>
      <c r="BB94" s="103" t="e">
        <v>#REF!</v>
      </c>
    </row>
    <row r="95" s="20" customFormat="1" ht="18" customHeight="1" spans="1:54">
      <c r="A95" s="104"/>
      <c r="B95" s="106"/>
      <c r="C95" s="106"/>
      <c r="D95" s="107" t="str">
        <f>D94</f>
        <v>INS</v>
      </c>
      <c r="E95" s="108" t="str">
        <f>E94</f>
        <v>RFQ-029</v>
      </c>
      <c r="F95" s="109" t="str">
        <f>F94</f>
        <v>N</v>
      </c>
      <c r="G95" s="110"/>
      <c r="H95" s="109" t="str">
        <f>H94</f>
        <v>Pressure Gauge</v>
      </c>
      <c r="I95" s="108" t="str">
        <f>I94</f>
        <v>LC</v>
      </c>
      <c r="J95" s="109"/>
      <c r="K95" s="112"/>
      <c r="L95" s="112">
        <f>M96</f>
        <v>0.034</v>
      </c>
      <c r="M95" s="112"/>
      <c r="N95" s="108"/>
      <c r="O95" s="108"/>
      <c r="P95" s="108"/>
      <c r="Q95" s="113" t="s">
        <v>4907</v>
      </c>
      <c r="R95" s="113"/>
      <c r="S95" s="114" t="e">
        <f>S94</f>
        <v>#REF!</v>
      </c>
      <c r="T95" s="115" t="e">
        <f>T94</f>
        <v>#REF!</v>
      </c>
      <c r="U95" s="115" t="e">
        <f t="shared" ref="U95:Z95" si="112">WORKDAY(IF(T96="",T95,T96),INDEX(U$2:U$5,MATCH($I94,$I$2:$I$5,0)),$BB$10:$BB$141)</f>
        <v>#REF!</v>
      </c>
      <c r="V95" s="115" t="e">
        <f t="shared" si="112"/>
        <v>#REF!</v>
      </c>
      <c r="W95" s="115" t="e">
        <f t="shared" si="112"/>
        <v>#REF!</v>
      </c>
      <c r="X95" s="115" t="e">
        <f t="shared" si="112"/>
        <v>#REF!</v>
      </c>
      <c r="Y95" s="115" t="e">
        <f t="shared" si="112"/>
        <v>#REF!</v>
      </c>
      <c r="Z95" s="115" t="e">
        <f t="shared" si="112"/>
        <v>#REF!</v>
      </c>
      <c r="AA95" s="115" t="e">
        <f>WORKDAY(IF(Z96="",X95,Z96),INDEX(AA$2:AA$5,MATCH($I94,$I$2:$I$5,0)),$BB$10:$BB$141)</f>
        <v>#REF!</v>
      </c>
      <c r="AB95" s="116" t="e">
        <f>WORKDAY(AE94+#REF!,0,'[36]Equipment List and MR List (3)'!$A$2:$A$80)</f>
        <v>#REF!</v>
      </c>
      <c r="AC95" s="117"/>
      <c r="AD95" s="118"/>
      <c r="AE95" s="144"/>
      <c r="AF95" s="119"/>
      <c r="AG95" s="120"/>
      <c r="AH95" s="121"/>
      <c r="AI95" s="122"/>
      <c r="AJ95" s="118"/>
      <c r="AK95" s="123"/>
      <c r="AL95" s="124"/>
      <c r="AM95" s="101">
        <f t="shared" ref="AM95:AW95" si="113">IF(ISERROR(LOOKUP(AM$6,$S95:$AB95,$S$9:$AB$9)),0,(LOOKUP(AM$6,$S95:$AB95,$S$9:$AB$9)))</f>
        <v>0</v>
      </c>
      <c r="AN95" s="102">
        <f t="shared" si="113"/>
        <v>0</v>
      </c>
      <c r="AO95" s="102">
        <f t="shared" si="113"/>
        <v>0</v>
      </c>
      <c r="AP95" s="102">
        <f t="shared" si="113"/>
        <v>0</v>
      </c>
      <c r="AQ95" s="102">
        <f t="shared" si="113"/>
        <v>0</v>
      </c>
      <c r="AR95" s="102">
        <f t="shared" si="113"/>
        <v>0</v>
      </c>
      <c r="AS95" s="102">
        <f t="shared" si="113"/>
        <v>0</v>
      </c>
      <c r="AT95" s="102">
        <f t="shared" si="113"/>
        <v>0</v>
      </c>
      <c r="AU95" s="102">
        <f t="shared" si="113"/>
        <v>0</v>
      </c>
      <c r="AV95" s="102">
        <f t="shared" si="113"/>
        <v>0</v>
      </c>
      <c r="AW95" s="102">
        <f ca="1" t="shared" si="113"/>
        <v>0</v>
      </c>
      <c r="BB95" s="103" t="e">
        <v>#REF!</v>
      </c>
    </row>
    <row r="96" s="20" customFormat="1" ht="18" customHeight="1" spans="1:54">
      <c r="A96" s="125"/>
      <c r="B96" s="127"/>
      <c r="C96" s="127"/>
      <c r="D96" s="128" t="str">
        <f>D94</f>
        <v>INS</v>
      </c>
      <c r="E96" s="129" t="str">
        <f>E94</f>
        <v>RFQ-029</v>
      </c>
      <c r="F96" s="130" t="str">
        <f>F94</f>
        <v>N</v>
      </c>
      <c r="G96" s="131"/>
      <c r="H96" s="130" t="str">
        <f>H94</f>
        <v>Pressure Gauge</v>
      </c>
      <c r="I96" s="129" t="str">
        <f>I94</f>
        <v>LC</v>
      </c>
      <c r="J96" s="130"/>
      <c r="K96" s="132"/>
      <c r="L96" s="132"/>
      <c r="M96" s="132">
        <v>0.034</v>
      </c>
      <c r="N96" s="129"/>
      <c r="O96" s="129"/>
      <c r="P96" s="129"/>
      <c r="Q96" s="133" t="s">
        <v>4908</v>
      </c>
      <c r="R96" s="133"/>
      <c r="S96" s="151"/>
      <c r="T96" s="151"/>
      <c r="U96" s="151"/>
      <c r="V96" s="151"/>
      <c r="W96" s="151"/>
      <c r="X96" s="151"/>
      <c r="Y96" s="151"/>
      <c r="Z96" s="151"/>
      <c r="AA96" s="151"/>
      <c r="AB96" s="151"/>
      <c r="AC96" s="134"/>
      <c r="AD96" s="135"/>
      <c r="AE96" s="144"/>
      <c r="AF96" s="136"/>
      <c r="AG96" s="137"/>
      <c r="AH96" s="138"/>
      <c r="AI96" s="139"/>
      <c r="AJ96" s="135"/>
      <c r="AK96" s="140"/>
      <c r="AL96" s="141"/>
      <c r="AM96" s="142">
        <f t="shared" ref="AM96:AW96" si="114">IF(ISERROR(LOOKUP(AM$6,$S96:$AB96,$S$9:$AB$9)),0,(LOOKUP(AM$6,$S96:$AB96,$S$9:$AB$9)))</f>
        <v>0</v>
      </c>
      <c r="AN96" s="143">
        <f t="shared" si="114"/>
        <v>0</v>
      </c>
      <c r="AO96" s="143">
        <f t="shared" si="114"/>
        <v>0</v>
      </c>
      <c r="AP96" s="143">
        <f t="shared" si="114"/>
        <v>0</v>
      </c>
      <c r="AQ96" s="143">
        <f t="shared" si="114"/>
        <v>0</v>
      </c>
      <c r="AR96" s="143">
        <f t="shared" si="114"/>
        <v>0</v>
      </c>
      <c r="AS96" s="143">
        <f t="shared" si="114"/>
        <v>0</v>
      </c>
      <c r="AT96" s="143">
        <f t="shared" si="114"/>
        <v>0</v>
      </c>
      <c r="AU96" s="143">
        <f t="shared" si="114"/>
        <v>0</v>
      </c>
      <c r="AV96" s="143">
        <f t="shared" si="114"/>
        <v>0</v>
      </c>
      <c r="AW96" s="143">
        <f ca="1" t="shared" si="114"/>
        <v>0</v>
      </c>
      <c r="BB96" s="103" t="e">
        <v>#REF!</v>
      </c>
    </row>
    <row r="97" s="20" customFormat="1" ht="18" customHeight="1" spans="1:54">
      <c r="A97" s="81">
        <f>A94+1</f>
        <v>30</v>
      </c>
      <c r="B97" s="83"/>
      <c r="C97" s="83" t="s">
        <v>4902</v>
      </c>
      <c r="D97" s="84" t="s">
        <v>4934</v>
      </c>
      <c r="E97" s="85" t="s">
        <v>4810</v>
      </c>
      <c r="F97" s="86" t="s">
        <v>72</v>
      </c>
      <c r="G97" s="87" t="s">
        <v>4944</v>
      </c>
      <c r="H97" s="86" t="s">
        <v>168</v>
      </c>
      <c r="I97" s="85" t="s">
        <v>8</v>
      </c>
      <c r="J97" s="86"/>
      <c r="K97" s="89">
        <f>M99</f>
        <v>0.01</v>
      </c>
      <c r="L97" s="89"/>
      <c r="M97" s="89"/>
      <c r="N97" s="85"/>
      <c r="O97" s="85"/>
      <c r="P97" s="85"/>
      <c r="Q97" s="90" t="s">
        <v>4905</v>
      </c>
      <c r="R97" s="91">
        <f>'Before Award'!U104+5</f>
        <v>46417</v>
      </c>
      <c r="S97" s="91" t="e">
        <f>WORKDAY(R97,INDEX(S$2:S$5,MATCH($I97,$I$2:$I$5,0)),$BB$10:$BB$141)</f>
        <v>#REF!</v>
      </c>
      <c r="T97" s="91" t="e">
        <f>WORKDAY(S97,INDEX(T$2:T$5,MATCH($I97,$I$2:$I$5,0)),$BB$10:$BB$141)</f>
        <v>#REF!</v>
      </c>
      <c r="U97" s="91" t="e">
        <f>T97+30</f>
        <v>#REF!</v>
      </c>
      <c r="V97" s="91"/>
      <c r="W97" s="91">
        <f>AB97-35</f>
        <v>46503</v>
      </c>
      <c r="X97" s="91"/>
      <c r="Y97" s="91"/>
      <c r="Z97" s="91"/>
      <c r="AA97" s="91"/>
      <c r="AB97" s="91">
        <f>'Before Award'!X104</f>
        <v>46538</v>
      </c>
      <c r="AC97" s="92" t="s">
        <v>4906</v>
      </c>
      <c r="AD97" s="93">
        <v>7</v>
      </c>
      <c r="AE97" s="144">
        <f>18*7</f>
        <v>126</v>
      </c>
      <c r="AF97" s="95" t="e">
        <f>AB98</f>
        <v>#REF!</v>
      </c>
      <c r="AG97" s="96">
        <f>WORKDAY(AH97+1,-1,$BA$10:$BA$141)</f>
        <v>46538</v>
      </c>
      <c r="AH97" s="97">
        <v>46538</v>
      </c>
      <c r="AI97" s="98"/>
      <c r="AJ97" s="93" t="e">
        <f>AG97-AF97</f>
        <v>#REF!</v>
      </c>
      <c r="AK97" s="99"/>
      <c r="AL97" s="100"/>
      <c r="AM97" s="101">
        <f t="shared" ref="AM97:AW97" si="115">IF(ISERROR(LOOKUP(AM$6,$S97:$AB97,$S$9:$AB$9)),0,(LOOKUP(AM$6,$S97:$AB97,$S$9:$AB$9)))</f>
        <v>0</v>
      </c>
      <c r="AN97" s="102">
        <f t="shared" si="115"/>
        <v>0</v>
      </c>
      <c r="AO97" s="102">
        <f t="shared" si="115"/>
        <v>0</v>
      </c>
      <c r="AP97" s="102">
        <f t="shared" si="115"/>
        <v>0</v>
      </c>
      <c r="AQ97" s="102">
        <f t="shared" si="115"/>
        <v>0</v>
      </c>
      <c r="AR97" s="102">
        <f t="shared" si="115"/>
        <v>0</v>
      </c>
      <c r="AS97" s="102">
        <f t="shared" si="115"/>
        <v>0</v>
      </c>
      <c r="AT97" s="102">
        <f t="shared" si="115"/>
        <v>0</v>
      </c>
      <c r="AU97" s="102">
        <f t="shared" si="115"/>
        <v>0</v>
      </c>
      <c r="AV97" s="102">
        <f t="shared" si="115"/>
        <v>0</v>
      </c>
      <c r="AW97" s="102">
        <f ca="1" t="shared" si="115"/>
        <v>0</v>
      </c>
      <c r="BB97" s="103" t="e">
        <v>#REF!</v>
      </c>
    </row>
    <row r="98" s="20" customFormat="1" ht="18" customHeight="1" spans="1:54">
      <c r="A98" s="104"/>
      <c r="B98" s="106"/>
      <c r="C98" s="106"/>
      <c r="D98" s="107" t="str">
        <f>D97</f>
        <v>INS</v>
      </c>
      <c r="E98" s="108" t="str">
        <f>E97</f>
        <v>RFQ-030</v>
      </c>
      <c r="F98" s="109" t="str">
        <f>F97</f>
        <v>N</v>
      </c>
      <c r="G98" s="110"/>
      <c r="H98" s="109" t="str">
        <f>H97</f>
        <v>Pressure Transmitter</v>
      </c>
      <c r="I98" s="108" t="str">
        <f>I97</f>
        <v>LC</v>
      </c>
      <c r="J98" s="109"/>
      <c r="K98" s="112"/>
      <c r="L98" s="112">
        <f>M99</f>
        <v>0.01</v>
      </c>
      <c r="M98" s="112"/>
      <c r="N98" s="108"/>
      <c r="O98" s="108"/>
      <c r="P98" s="108"/>
      <c r="Q98" s="113" t="s">
        <v>4907</v>
      </c>
      <c r="R98" s="113"/>
      <c r="S98" s="114" t="e">
        <f>S97</f>
        <v>#REF!</v>
      </c>
      <c r="T98" s="115" t="e">
        <f>T97</f>
        <v>#REF!</v>
      </c>
      <c r="U98" s="115" t="e">
        <f t="shared" ref="U98:Z98" si="116">WORKDAY(IF(T99="",T98,T99),INDEX(U$2:U$5,MATCH($I97,$I$2:$I$5,0)),$BB$10:$BB$141)</f>
        <v>#REF!</v>
      </c>
      <c r="V98" s="115" t="e">
        <f t="shared" si="116"/>
        <v>#REF!</v>
      </c>
      <c r="W98" s="115" t="e">
        <f t="shared" si="116"/>
        <v>#REF!</v>
      </c>
      <c r="X98" s="115" t="e">
        <f t="shared" si="116"/>
        <v>#REF!</v>
      </c>
      <c r="Y98" s="115" t="e">
        <f t="shared" si="116"/>
        <v>#REF!</v>
      </c>
      <c r="Z98" s="115" t="e">
        <f t="shared" si="116"/>
        <v>#REF!</v>
      </c>
      <c r="AA98" s="115" t="e">
        <f>WORKDAY(IF(Z99="",X98,Z99),INDEX(AA$2:AA$5,MATCH($I97,$I$2:$I$5,0)),$BB$10:$BB$141)</f>
        <v>#REF!</v>
      </c>
      <c r="AB98" s="116" t="e">
        <f>WORKDAY(AE97+#REF!,0,'[36]Equipment List and MR List (3)'!$A$2:$A$80)</f>
        <v>#REF!</v>
      </c>
      <c r="AC98" s="117"/>
      <c r="AD98" s="118"/>
      <c r="AE98" s="144"/>
      <c r="AF98" s="119"/>
      <c r="AG98" s="120"/>
      <c r="AH98" s="121"/>
      <c r="AI98" s="122"/>
      <c r="AJ98" s="118"/>
      <c r="AK98" s="123"/>
      <c r="AL98" s="124"/>
      <c r="AM98" s="101">
        <f t="shared" ref="AM98:AW98" si="117">IF(ISERROR(LOOKUP(AM$6,$S98:$AB98,$S$9:$AB$9)),0,(LOOKUP(AM$6,$S98:$AB98,$S$9:$AB$9)))</f>
        <v>0</v>
      </c>
      <c r="AN98" s="102">
        <f t="shared" si="117"/>
        <v>0</v>
      </c>
      <c r="AO98" s="102">
        <f t="shared" si="117"/>
        <v>0</v>
      </c>
      <c r="AP98" s="102">
        <f t="shared" si="117"/>
        <v>0</v>
      </c>
      <c r="AQ98" s="102">
        <f t="shared" si="117"/>
        <v>0</v>
      </c>
      <c r="AR98" s="102">
        <f t="shared" si="117"/>
        <v>0</v>
      </c>
      <c r="AS98" s="102">
        <f t="shared" si="117"/>
        <v>0</v>
      </c>
      <c r="AT98" s="102">
        <f t="shared" si="117"/>
        <v>0</v>
      </c>
      <c r="AU98" s="102">
        <f t="shared" si="117"/>
        <v>0</v>
      </c>
      <c r="AV98" s="102">
        <f t="shared" si="117"/>
        <v>0</v>
      </c>
      <c r="AW98" s="102">
        <f ca="1" t="shared" si="117"/>
        <v>0</v>
      </c>
      <c r="BB98" s="103" t="e">
        <v>#REF!</v>
      </c>
    </row>
    <row r="99" s="20" customFormat="1" ht="18" customHeight="1" spans="1:54">
      <c r="A99" s="125"/>
      <c r="B99" s="127"/>
      <c r="C99" s="127"/>
      <c r="D99" s="128" t="str">
        <f>D97</f>
        <v>INS</v>
      </c>
      <c r="E99" s="129" t="str">
        <f>E97</f>
        <v>RFQ-030</v>
      </c>
      <c r="F99" s="130" t="str">
        <f>F97</f>
        <v>N</v>
      </c>
      <c r="G99" s="131"/>
      <c r="H99" s="130" t="str">
        <f>H97</f>
        <v>Pressure Transmitter</v>
      </c>
      <c r="I99" s="129" t="str">
        <f>I97</f>
        <v>LC</v>
      </c>
      <c r="J99" s="130"/>
      <c r="K99" s="132"/>
      <c r="L99" s="132"/>
      <c r="M99" s="132">
        <v>0.01</v>
      </c>
      <c r="N99" s="129"/>
      <c r="O99" s="129"/>
      <c r="P99" s="129"/>
      <c r="Q99" s="133" t="s">
        <v>4908</v>
      </c>
      <c r="R99" s="133"/>
      <c r="S99" s="151"/>
      <c r="T99" s="151"/>
      <c r="U99" s="151"/>
      <c r="V99" s="151"/>
      <c r="W99" s="151"/>
      <c r="X99" s="151"/>
      <c r="Y99" s="151"/>
      <c r="Z99" s="151"/>
      <c r="AA99" s="151"/>
      <c r="AB99" s="151"/>
      <c r="AC99" s="134"/>
      <c r="AD99" s="135"/>
      <c r="AE99" s="144"/>
      <c r="AF99" s="136"/>
      <c r="AG99" s="137"/>
      <c r="AH99" s="138"/>
      <c r="AI99" s="139"/>
      <c r="AJ99" s="135"/>
      <c r="AK99" s="140"/>
      <c r="AL99" s="141"/>
      <c r="AM99" s="142">
        <f t="shared" ref="AM99:AW99" si="118">IF(ISERROR(LOOKUP(AM$6,$S99:$AB99,$S$9:$AB$9)),0,(LOOKUP(AM$6,$S99:$AB99,$S$9:$AB$9)))</f>
        <v>0</v>
      </c>
      <c r="AN99" s="143">
        <f t="shared" si="118"/>
        <v>0</v>
      </c>
      <c r="AO99" s="143">
        <f t="shared" si="118"/>
        <v>0</v>
      </c>
      <c r="AP99" s="143">
        <f t="shared" si="118"/>
        <v>0</v>
      </c>
      <c r="AQ99" s="143">
        <f t="shared" si="118"/>
        <v>0</v>
      </c>
      <c r="AR99" s="143">
        <f t="shared" si="118"/>
        <v>0</v>
      </c>
      <c r="AS99" s="143">
        <f t="shared" si="118"/>
        <v>0</v>
      </c>
      <c r="AT99" s="143">
        <f t="shared" si="118"/>
        <v>0</v>
      </c>
      <c r="AU99" s="143">
        <f t="shared" si="118"/>
        <v>0</v>
      </c>
      <c r="AV99" s="143">
        <f t="shared" si="118"/>
        <v>0</v>
      </c>
      <c r="AW99" s="143">
        <f ca="1" t="shared" si="118"/>
        <v>0</v>
      </c>
      <c r="BB99" s="103" t="e">
        <v>#REF!</v>
      </c>
    </row>
    <row r="100" s="20" customFormat="1" ht="18" customHeight="1" spans="1:54">
      <c r="A100" s="81">
        <f>A97+1</f>
        <v>31</v>
      </c>
      <c r="B100" s="83"/>
      <c r="C100" s="83" t="s">
        <v>4902</v>
      </c>
      <c r="D100" s="84" t="s">
        <v>4934</v>
      </c>
      <c r="E100" s="85" t="s">
        <v>4811</v>
      </c>
      <c r="F100" s="86" t="s">
        <v>72</v>
      </c>
      <c r="G100" s="87" t="s">
        <v>4945</v>
      </c>
      <c r="H100" s="86" t="s">
        <v>170</v>
      </c>
      <c r="I100" s="85" t="s">
        <v>8</v>
      </c>
      <c r="J100" s="86"/>
      <c r="K100" s="89">
        <f>M102</f>
        <v>0.01</v>
      </c>
      <c r="L100" s="89"/>
      <c r="M100" s="89"/>
      <c r="N100" s="85"/>
      <c r="O100" s="85"/>
      <c r="P100" s="85"/>
      <c r="Q100" s="90" t="s">
        <v>4905</v>
      </c>
      <c r="R100" s="91">
        <f>'Before Award'!U107+5</f>
        <v>46417</v>
      </c>
      <c r="S100" s="91" t="e">
        <f>WORKDAY(R100,INDEX(S$2:S$5,MATCH($I100,$I$2:$I$5,0)),$BB$10:$BB$141)</f>
        <v>#REF!</v>
      </c>
      <c r="T100" s="91" t="e">
        <f>WORKDAY(S100,INDEX(T$2:T$5,MATCH($I100,$I$2:$I$5,0)),$BB$10:$BB$141)</f>
        <v>#REF!</v>
      </c>
      <c r="U100" s="91" t="e">
        <f>T100+30</f>
        <v>#REF!</v>
      </c>
      <c r="V100" s="91"/>
      <c r="W100" s="91">
        <f>AB100-35</f>
        <v>46503</v>
      </c>
      <c r="X100" s="91"/>
      <c r="Y100" s="91"/>
      <c r="Z100" s="91"/>
      <c r="AA100" s="91"/>
      <c r="AB100" s="91">
        <f>'Before Award'!X107</f>
        <v>46538</v>
      </c>
      <c r="AC100" s="92" t="s">
        <v>4906</v>
      </c>
      <c r="AD100" s="93">
        <v>7</v>
      </c>
      <c r="AE100" s="144">
        <f>18*7</f>
        <v>126</v>
      </c>
      <c r="AF100" s="95" t="e">
        <f>AB101</f>
        <v>#REF!</v>
      </c>
      <c r="AG100" s="96">
        <f>WORKDAY(AH100+1,-1,$BA$10:$BA$141)</f>
        <v>46538</v>
      </c>
      <c r="AH100" s="97">
        <v>46538</v>
      </c>
      <c r="AI100" s="98"/>
      <c r="AJ100" s="93" t="e">
        <f>AG100-AF100</f>
        <v>#REF!</v>
      </c>
      <c r="AK100" s="99"/>
      <c r="AL100" s="100"/>
      <c r="AM100" s="101">
        <f t="shared" ref="AM100:AW100" si="119">IF(ISERROR(LOOKUP(AM$6,$S100:$AB100,$S$9:$AB$9)),0,(LOOKUP(AM$6,$S100:$AB100,$S$9:$AB$9)))</f>
        <v>0</v>
      </c>
      <c r="AN100" s="102">
        <f t="shared" si="119"/>
        <v>0</v>
      </c>
      <c r="AO100" s="102">
        <f t="shared" si="119"/>
        <v>0</v>
      </c>
      <c r="AP100" s="102">
        <f t="shared" si="119"/>
        <v>0</v>
      </c>
      <c r="AQ100" s="102">
        <f t="shared" si="119"/>
        <v>0</v>
      </c>
      <c r="AR100" s="102">
        <f t="shared" si="119"/>
        <v>0</v>
      </c>
      <c r="AS100" s="102">
        <f t="shared" si="119"/>
        <v>0</v>
      </c>
      <c r="AT100" s="102">
        <f t="shared" si="119"/>
        <v>0</v>
      </c>
      <c r="AU100" s="102">
        <f t="shared" si="119"/>
        <v>0</v>
      </c>
      <c r="AV100" s="102">
        <f t="shared" si="119"/>
        <v>0</v>
      </c>
      <c r="AW100" s="102">
        <f ca="1" t="shared" si="119"/>
        <v>0</v>
      </c>
      <c r="BB100" s="103" t="e">
        <v>#REF!</v>
      </c>
    </row>
    <row r="101" s="20" customFormat="1" ht="18" customHeight="1" spans="1:54">
      <c r="A101" s="104"/>
      <c r="B101" s="106"/>
      <c r="C101" s="106"/>
      <c r="D101" s="107" t="str">
        <f>D100</f>
        <v>INS</v>
      </c>
      <c r="E101" s="108" t="str">
        <f>E100</f>
        <v>RFQ-031</v>
      </c>
      <c r="F101" s="109" t="str">
        <f>F100</f>
        <v>N</v>
      </c>
      <c r="G101" s="110"/>
      <c r="H101" s="109" t="str">
        <f>H100</f>
        <v>Temperature Gauge</v>
      </c>
      <c r="I101" s="108" t="str">
        <f>I100</f>
        <v>LC</v>
      </c>
      <c r="J101" s="109"/>
      <c r="K101" s="112"/>
      <c r="L101" s="112">
        <f>M102</f>
        <v>0.01</v>
      </c>
      <c r="M101" s="112"/>
      <c r="N101" s="108"/>
      <c r="O101" s="108"/>
      <c r="P101" s="108"/>
      <c r="Q101" s="113" t="s">
        <v>4907</v>
      </c>
      <c r="R101" s="113"/>
      <c r="S101" s="114" t="e">
        <f>S100</f>
        <v>#REF!</v>
      </c>
      <c r="T101" s="115" t="e">
        <f>T100</f>
        <v>#REF!</v>
      </c>
      <c r="U101" s="115" t="e">
        <f t="shared" ref="U101:Z101" si="120">WORKDAY(IF(T102="",T101,T102),INDEX(U$2:U$5,MATCH($I100,$I$2:$I$5,0)),$BB$10:$BB$141)</f>
        <v>#REF!</v>
      </c>
      <c r="V101" s="115" t="e">
        <f t="shared" si="120"/>
        <v>#REF!</v>
      </c>
      <c r="W101" s="115" t="e">
        <f t="shared" si="120"/>
        <v>#REF!</v>
      </c>
      <c r="X101" s="115" t="e">
        <f t="shared" si="120"/>
        <v>#REF!</v>
      </c>
      <c r="Y101" s="115" t="e">
        <f t="shared" si="120"/>
        <v>#REF!</v>
      </c>
      <c r="Z101" s="115" t="e">
        <f t="shared" si="120"/>
        <v>#REF!</v>
      </c>
      <c r="AA101" s="115" t="e">
        <f>WORKDAY(IF(Z102="",X101,Z102),INDEX(AA$2:AA$5,MATCH($I100,$I$2:$I$5,0)),$BB$10:$BB$141)</f>
        <v>#REF!</v>
      </c>
      <c r="AB101" s="116" t="e">
        <f>WORKDAY(AE100+#REF!,0,'[36]Equipment List and MR List (3)'!$A$2:$A$80)</f>
        <v>#REF!</v>
      </c>
      <c r="AC101" s="117"/>
      <c r="AD101" s="118"/>
      <c r="AE101" s="144"/>
      <c r="AF101" s="119"/>
      <c r="AG101" s="120"/>
      <c r="AH101" s="121"/>
      <c r="AI101" s="122"/>
      <c r="AJ101" s="118"/>
      <c r="AK101" s="123"/>
      <c r="AL101" s="124"/>
      <c r="AM101" s="101">
        <f t="shared" ref="AM101:AW101" si="121">IF(ISERROR(LOOKUP(AM$6,$S101:$AB101,$S$9:$AB$9)),0,(LOOKUP(AM$6,$S101:$AB101,$S$9:$AB$9)))</f>
        <v>0</v>
      </c>
      <c r="AN101" s="102">
        <f t="shared" si="121"/>
        <v>0</v>
      </c>
      <c r="AO101" s="102">
        <f t="shared" si="121"/>
        <v>0</v>
      </c>
      <c r="AP101" s="102">
        <f t="shared" si="121"/>
        <v>0</v>
      </c>
      <c r="AQ101" s="102">
        <f t="shared" si="121"/>
        <v>0</v>
      </c>
      <c r="AR101" s="102">
        <f t="shared" si="121"/>
        <v>0</v>
      </c>
      <c r="AS101" s="102">
        <f t="shared" si="121"/>
        <v>0</v>
      </c>
      <c r="AT101" s="102">
        <f t="shared" si="121"/>
        <v>0</v>
      </c>
      <c r="AU101" s="102">
        <f t="shared" si="121"/>
        <v>0</v>
      </c>
      <c r="AV101" s="102">
        <f t="shared" si="121"/>
        <v>0</v>
      </c>
      <c r="AW101" s="102">
        <f ca="1" t="shared" si="121"/>
        <v>0</v>
      </c>
      <c r="BB101" s="103" t="e">
        <v>#REF!</v>
      </c>
    </row>
    <row r="102" s="20" customFormat="1" ht="18" customHeight="1" spans="1:54">
      <c r="A102" s="125"/>
      <c r="B102" s="127"/>
      <c r="C102" s="127"/>
      <c r="D102" s="128" t="str">
        <f>D100</f>
        <v>INS</v>
      </c>
      <c r="E102" s="129" t="str">
        <f>E100</f>
        <v>RFQ-031</v>
      </c>
      <c r="F102" s="130" t="str">
        <f>F100</f>
        <v>N</v>
      </c>
      <c r="G102" s="131"/>
      <c r="H102" s="130" t="str">
        <f>H100</f>
        <v>Temperature Gauge</v>
      </c>
      <c r="I102" s="129" t="str">
        <f>I100</f>
        <v>LC</v>
      </c>
      <c r="J102" s="130"/>
      <c r="K102" s="132"/>
      <c r="L102" s="132"/>
      <c r="M102" s="132">
        <v>0.01</v>
      </c>
      <c r="N102" s="129"/>
      <c r="O102" s="129"/>
      <c r="P102" s="129"/>
      <c r="Q102" s="133" t="s">
        <v>4908</v>
      </c>
      <c r="R102" s="133"/>
      <c r="S102" s="151"/>
      <c r="T102" s="151"/>
      <c r="U102" s="151"/>
      <c r="V102" s="151"/>
      <c r="W102" s="151"/>
      <c r="X102" s="151"/>
      <c r="Y102" s="151"/>
      <c r="Z102" s="151"/>
      <c r="AA102" s="151"/>
      <c r="AB102" s="151"/>
      <c r="AC102" s="134"/>
      <c r="AD102" s="135"/>
      <c r="AE102" s="144"/>
      <c r="AF102" s="136"/>
      <c r="AG102" s="137"/>
      <c r="AH102" s="138"/>
      <c r="AI102" s="139"/>
      <c r="AJ102" s="135"/>
      <c r="AK102" s="140"/>
      <c r="AL102" s="141"/>
      <c r="AM102" s="142">
        <f t="shared" ref="AM102:AW102" si="122">IF(ISERROR(LOOKUP(AM$6,$S102:$AB102,$S$9:$AB$9)),0,(LOOKUP(AM$6,$S102:$AB102,$S$9:$AB$9)))</f>
        <v>0</v>
      </c>
      <c r="AN102" s="143">
        <f t="shared" si="122"/>
        <v>0</v>
      </c>
      <c r="AO102" s="143">
        <f t="shared" si="122"/>
        <v>0</v>
      </c>
      <c r="AP102" s="143">
        <f t="shared" si="122"/>
        <v>0</v>
      </c>
      <c r="AQ102" s="143">
        <f t="shared" si="122"/>
        <v>0</v>
      </c>
      <c r="AR102" s="143">
        <f t="shared" si="122"/>
        <v>0</v>
      </c>
      <c r="AS102" s="143">
        <f t="shared" si="122"/>
        <v>0</v>
      </c>
      <c r="AT102" s="143">
        <f t="shared" si="122"/>
        <v>0</v>
      </c>
      <c r="AU102" s="143">
        <f t="shared" si="122"/>
        <v>0</v>
      </c>
      <c r="AV102" s="143">
        <f t="shared" si="122"/>
        <v>0</v>
      </c>
      <c r="AW102" s="143">
        <f ca="1" t="shared" si="122"/>
        <v>0</v>
      </c>
      <c r="BB102" s="103" t="e">
        <v>#REF!</v>
      </c>
    </row>
    <row r="103" s="20" customFormat="1" ht="18" customHeight="1" spans="1:54">
      <c r="A103" s="81">
        <f>A100+1</f>
        <v>32</v>
      </c>
      <c r="B103" s="83"/>
      <c r="C103" s="83" t="s">
        <v>4902</v>
      </c>
      <c r="D103" s="84" t="s">
        <v>4934</v>
      </c>
      <c r="E103" s="85" t="s">
        <v>4812</v>
      </c>
      <c r="F103" s="86" t="s">
        <v>72</v>
      </c>
      <c r="G103" s="87" t="s">
        <v>4946</v>
      </c>
      <c r="H103" s="86" t="s">
        <v>172</v>
      </c>
      <c r="I103" s="85" t="s">
        <v>8</v>
      </c>
      <c r="J103" s="86"/>
      <c r="K103" s="89">
        <f>M105</f>
        <v>0.02</v>
      </c>
      <c r="L103" s="89"/>
      <c r="M103" s="89"/>
      <c r="N103" s="85"/>
      <c r="O103" s="85"/>
      <c r="P103" s="85"/>
      <c r="Q103" s="90" t="s">
        <v>4905</v>
      </c>
      <c r="R103" s="91">
        <f>'Before Award'!U110+5</f>
        <v>46417</v>
      </c>
      <c r="S103" s="91" t="e">
        <f>WORKDAY(R103,INDEX(S$2:S$5,MATCH($I103,$I$2:$I$5,0)),$BB$10:$BB$141)</f>
        <v>#REF!</v>
      </c>
      <c r="T103" s="91" t="e">
        <f>WORKDAY(S103,INDEX(T$2:T$5,MATCH($I103,$I$2:$I$5,0)),$BB$10:$BB$141)</f>
        <v>#REF!</v>
      </c>
      <c r="U103" s="91" t="e">
        <f>T103+30</f>
        <v>#REF!</v>
      </c>
      <c r="V103" s="91"/>
      <c r="W103" s="91">
        <f>AB103-35</f>
        <v>46503</v>
      </c>
      <c r="X103" s="91"/>
      <c r="Y103" s="91"/>
      <c r="Z103" s="91"/>
      <c r="AA103" s="91"/>
      <c r="AB103" s="91">
        <f>'Before Award'!X110</f>
        <v>46538</v>
      </c>
      <c r="AC103" s="92" t="s">
        <v>4906</v>
      </c>
      <c r="AD103" s="93">
        <v>7</v>
      </c>
      <c r="AE103" s="144">
        <f>18*7</f>
        <v>126</v>
      </c>
      <c r="AF103" s="95" t="e">
        <f>AB104</f>
        <v>#REF!</v>
      </c>
      <c r="AG103" s="96">
        <f>WORKDAY(AH103+1,-1,$BA$10:$BA$141)</f>
        <v>46538</v>
      </c>
      <c r="AH103" s="97">
        <v>46538</v>
      </c>
      <c r="AI103" s="98"/>
      <c r="AJ103" s="93" t="e">
        <f>AG103-AF103</f>
        <v>#REF!</v>
      </c>
      <c r="AK103" s="99"/>
      <c r="AL103" s="100"/>
      <c r="AM103" s="101">
        <f t="shared" ref="AM103:AW103" si="123">IF(ISERROR(LOOKUP(AM$6,$S103:$AB103,$S$9:$AB$9)),0,(LOOKUP(AM$6,$S103:$AB103,$S$9:$AB$9)))</f>
        <v>0</v>
      </c>
      <c r="AN103" s="102">
        <f t="shared" si="123"/>
        <v>0</v>
      </c>
      <c r="AO103" s="102">
        <f t="shared" si="123"/>
        <v>0</v>
      </c>
      <c r="AP103" s="102">
        <f t="shared" si="123"/>
        <v>0</v>
      </c>
      <c r="AQ103" s="102">
        <f t="shared" si="123"/>
        <v>0</v>
      </c>
      <c r="AR103" s="102">
        <f t="shared" si="123"/>
        <v>0</v>
      </c>
      <c r="AS103" s="102">
        <f t="shared" si="123"/>
        <v>0</v>
      </c>
      <c r="AT103" s="102">
        <f t="shared" si="123"/>
        <v>0</v>
      </c>
      <c r="AU103" s="102">
        <f t="shared" si="123"/>
        <v>0</v>
      </c>
      <c r="AV103" s="102">
        <f t="shared" si="123"/>
        <v>0</v>
      </c>
      <c r="AW103" s="102">
        <f ca="1" t="shared" si="123"/>
        <v>0</v>
      </c>
      <c r="BB103" s="103" t="e">
        <v>#REF!</v>
      </c>
    </row>
    <row r="104" s="20" customFormat="1" ht="18" customHeight="1" spans="1:54">
      <c r="A104" s="104"/>
      <c r="B104" s="106"/>
      <c r="C104" s="106"/>
      <c r="D104" s="107" t="str">
        <f>D103</f>
        <v>INS</v>
      </c>
      <c r="E104" s="108" t="str">
        <f>E103</f>
        <v>RFQ-032</v>
      </c>
      <c r="F104" s="109" t="str">
        <f>F103</f>
        <v>N</v>
      </c>
      <c r="G104" s="110"/>
      <c r="H104" s="109" t="str">
        <f>H103</f>
        <v>Temperature Transmitter</v>
      </c>
      <c r="I104" s="108" t="str">
        <f>I103</f>
        <v>LC</v>
      </c>
      <c r="J104" s="109"/>
      <c r="K104" s="112"/>
      <c r="L104" s="112">
        <f>M105</f>
        <v>0.02</v>
      </c>
      <c r="M104" s="112"/>
      <c r="N104" s="108"/>
      <c r="O104" s="108"/>
      <c r="P104" s="108"/>
      <c r="Q104" s="113" t="s">
        <v>4907</v>
      </c>
      <c r="R104" s="113"/>
      <c r="S104" s="114" t="e">
        <f>S103</f>
        <v>#REF!</v>
      </c>
      <c r="T104" s="115" t="e">
        <f>T103</f>
        <v>#REF!</v>
      </c>
      <c r="U104" s="115" t="e">
        <f t="shared" ref="U104:Z104" si="124">WORKDAY(IF(T105="",T104,T105),INDEX(U$2:U$5,MATCH($I103,$I$2:$I$5,0)),$BB$10:$BB$141)</f>
        <v>#REF!</v>
      </c>
      <c r="V104" s="115" t="e">
        <f t="shared" si="124"/>
        <v>#REF!</v>
      </c>
      <c r="W104" s="115" t="e">
        <f t="shared" si="124"/>
        <v>#REF!</v>
      </c>
      <c r="X104" s="115" t="e">
        <f t="shared" si="124"/>
        <v>#REF!</v>
      </c>
      <c r="Y104" s="115" t="e">
        <f t="shared" si="124"/>
        <v>#REF!</v>
      </c>
      <c r="Z104" s="115" t="e">
        <f t="shared" si="124"/>
        <v>#REF!</v>
      </c>
      <c r="AA104" s="115" t="e">
        <f>WORKDAY(IF(Z105="",X104,Z105),INDEX(AA$2:AA$5,MATCH($I103,$I$2:$I$5,0)),$BB$10:$BB$141)</f>
        <v>#REF!</v>
      </c>
      <c r="AB104" s="116" t="e">
        <f>WORKDAY(AE103+#REF!,0,'[36]Equipment List and MR List (3)'!$A$2:$A$80)</f>
        <v>#REF!</v>
      </c>
      <c r="AC104" s="117"/>
      <c r="AD104" s="118"/>
      <c r="AE104" s="144"/>
      <c r="AF104" s="119"/>
      <c r="AG104" s="120"/>
      <c r="AH104" s="121"/>
      <c r="AI104" s="122"/>
      <c r="AJ104" s="118"/>
      <c r="AK104" s="123"/>
      <c r="AL104" s="124"/>
      <c r="AM104" s="101">
        <f t="shared" ref="AM104:AW104" si="125">IF(ISERROR(LOOKUP(AM$6,$S104:$AB104,$S$9:$AB$9)),0,(LOOKUP(AM$6,$S104:$AB104,$S$9:$AB$9)))</f>
        <v>0</v>
      </c>
      <c r="AN104" s="102">
        <f t="shared" si="125"/>
        <v>0</v>
      </c>
      <c r="AO104" s="102">
        <f t="shared" si="125"/>
        <v>0</v>
      </c>
      <c r="AP104" s="102">
        <f t="shared" si="125"/>
        <v>0</v>
      </c>
      <c r="AQ104" s="102">
        <f t="shared" si="125"/>
        <v>0</v>
      </c>
      <c r="AR104" s="102">
        <f t="shared" si="125"/>
        <v>0</v>
      </c>
      <c r="AS104" s="102">
        <f t="shared" si="125"/>
        <v>0</v>
      </c>
      <c r="AT104" s="102">
        <f t="shared" si="125"/>
        <v>0</v>
      </c>
      <c r="AU104" s="102">
        <f t="shared" si="125"/>
        <v>0</v>
      </c>
      <c r="AV104" s="102">
        <f t="shared" si="125"/>
        <v>0</v>
      </c>
      <c r="AW104" s="102">
        <f ca="1" t="shared" si="125"/>
        <v>0</v>
      </c>
      <c r="BB104" s="103" t="e">
        <v>#REF!</v>
      </c>
    </row>
    <row r="105" s="20" customFormat="1" ht="18" customHeight="1" spans="1:54">
      <c r="A105" s="125"/>
      <c r="B105" s="127"/>
      <c r="C105" s="127"/>
      <c r="D105" s="128" t="str">
        <f>D103</f>
        <v>INS</v>
      </c>
      <c r="E105" s="129" t="str">
        <f>E103</f>
        <v>RFQ-032</v>
      </c>
      <c r="F105" s="130" t="str">
        <f>F103</f>
        <v>N</v>
      </c>
      <c r="G105" s="131"/>
      <c r="H105" s="130" t="str">
        <f>H103</f>
        <v>Temperature Transmitter</v>
      </c>
      <c r="I105" s="129" t="str">
        <f>I103</f>
        <v>LC</v>
      </c>
      <c r="J105" s="130"/>
      <c r="K105" s="132"/>
      <c r="L105" s="132"/>
      <c r="M105" s="132">
        <v>0.02</v>
      </c>
      <c r="N105" s="129"/>
      <c r="O105" s="129"/>
      <c r="P105" s="129"/>
      <c r="Q105" s="133" t="s">
        <v>4908</v>
      </c>
      <c r="R105" s="133"/>
      <c r="S105" s="151"/>
      <c r="T105" s="151"/>
      <c r="U105" s="151"/>
      <c r="V105" s="151"/>
      <c r="W105" s="151"/>
      <c r="X105" s="151"/>
      <c r="Y105" s="151"/>
      <c r="Z105" s="151"/>
      <c r="AA105" s="151"/>
      <c r="AB105" s="151"/>
      <c r="AC105" s="134"/>
      <c r="AD105" s="135"/>
      <c r="AE105" s="144"/>
      <c r="AF105" s="136"/>
      <c r="AG105" s="137"/>
      <c r="AH105" s="138"/>
      <c r="AI105" s="139"/>
      <c r="AJ105" s="135"/>
      <c r="AK105" s="140"/>
      <c r="AL105" s="141"/>
      <c r="AM105" s="142">
        <f t="shared" ref="AM105:AW105" si="126">IF(ISERROR(LOOKUP(AM$6,$S105:$AB105,$S$9:$AB$9)),0,(LOOKUP(AM$6,$S105:$AB105,$S$9:$AB$9)))</f>
        <v>0</v>
      </c>
      <c r="AN105" s="143">
        <f t="shared" si="126"/>
        <v>0</v>
      </c>
      <c r="AO105" s="143">
        <f t="shared" si="126"/>
        <v>0</v>
      </c>
      <c r="AP105" s="143">
        <f t="shared" si="126"/>
        <v>0</v>
      </c>
      <c r="AQ105" s="143">
        <f t="shared" si="126"/>
        <v>0</v>
      </c>
      <c r="AR105" s="143">
        <f t="shared" si="126"/>
        <v>0</v>
      </c>
      <c r="AS105" s="143">
        <f t="shared" si="126"/>
        <v>0</v>
      </c>
      <c r="AT105" s="143">
        <f t="shared" si="126"/>
        <v>0</v>
      </c>
      <c r="AU105" s="143">
        <f t="shared" si="126"/>
        <v>0</v>
      </c>
      <c r="AV105" s="143">
        <f t="shared" si="126"/>
        <v>0</v>
      </c>
      <c r="AW105" s="143">
        <f ca="1" t="shared" si="126"/>
        <v>0</v>
      </c>
      <c r="BB105" s="103" t="e">
        <v>#REF!</v>
      </c>
    </row>
    <row r="106" s="20" customFormat="1" ht="18" customHeight="1" spans="1:54">
      <c r="A106" s="81">
        <f>A103+1</f>
        <v>33</v>
      </c>
      <c r="B106" s="83"/>
      <c r="C106" s="83" t="s">
        <v>4902</v>
      </c>
      <c r="D106" s="84" t="s">
        <v>4934</v>
      </c>
      <c r="E106" s="85" t="s">
        <v>4813</v>
      </c>
      <c r="F106" s="86" t="s">
        <v>72</v>
      </c>
      <c r="G106" s="87" t="s">
        <v>4947</v>
      </c>
      <c r="H106" s="86" t="s">
        <v>174</v>
      </c>
      <c r="I106" s="85" t="s">
        <v>8</v>
      </c>
      <c r="J106" s="86"/>
      <c r="K106" s="89">
        <f>M108</f>
        <v>0.04</v>
      </c>
      <c r="L106" s="89"/>
      <c r="M106" s="89"/>
      <c r="N106" s="85"/>
      <c r="O106" s="85"/>
      <c r="P106" s="85"/>
      <c r="Q106" s="90" t="s">
        <v>4905</v>
      </c>
      <c r="R106" s="91">
        <f>'Before Award'!U113+5</f>
        <v>46417</v>
      </c>
      <c r="S106" s="91" t="e">
        <f>WORKDAY(R106,INDEX(S$2:S$5,MATCH($I106,$I$2:$I$5,0)),$BB$10:$BB$141)</f>
        <v>#REF!</v>
      </c>
      <c r="T106" s="91" t="e">
        <f>WORKDAY(S106,INDEX(T$2:T$5,MATCH($I106,$I$2:$I$5,0)),$BB$10:$BB$141)</f>
        <v>#REF!</v>
      </c>
      <c r="U106" s="91" t="e">
        <f>T106+30</f>
        <v>#REF!</v>
      </c>
      <c r="V106" s="91"/>
      <c r="W106" s="91">
        <f>AB106-35</f>
        <v>46503</v>
      </c>
      <c r="X106" s="91"/>
      <c r="Y106" s="91"/>
      <c r="Z106" s="91"/>
      <c r="AA106" s="91"/>
      <c r="AB106" s="91">
        <f>'Before Award'!X113</f>
        <v>46538</v>
      </c>
      <c r="AC106" s="92" t="s">
        <v>4906</v>
      </c>
      <c r="AD106" s="93">
        <v>7</v>
      </c>
      <c r="AE106" s="144">
        <f t="shared" ref="AE106" si="127">18*7</f>
        <v>126</v>
      </c>
      <c r="AF106" s="95" t="e">
        <f>AB107</f>
        <v>#REF!</v>
      </c>
      <c r="AG106" s="96">
        <f>WORKDAY(AH106+1,-1,$BA$10:$BA$141)</f>
        <v>46538</v>
      </c>
      <c r="AH106" s="97">
        <v>46538</v>
      </c>
      <c r="AI106" s="98"/>
      <c r="AJ106" s="93" t="e">
        <f>AG106-AF106</f>
        <v>#REF!</v>
      </c>
      <c r="AK106" s="99"/>
      <c r="AL106" s="100"/>
      <c r="AM106" s="101">
        <f t="shared" ref="AM106:AW106" si="128">IF(ISERROR(LOOKUP(AM$6,$S106:$AB106,$S$9:$AB$9)),0,(LOOKUP(AM$6,$S106:$AB106,$S$9:$AB$9)))</f>
        <v>0</v>
      </c>
      <c r="AN106" s="102">
        <f t="shared" si="128"/>
        <v>0</v>
      </c>
      <c r="AO106" s="102">
        <f t="shared" si="128"/>
        <v>0</v>
      </c>
      <c r="AP106" s="102">
        <f t="shared" si="128"/>
        <v>0</v>
      </c>
      <c r="AQ106" s="102">
        <f t="shared" si="128"/>
        <v>0</v>
      </c>
      <c r="AR106" s="102">
        <f t="shared" si="128"/>
        <v>0</v>
      </c>
      <c r="AS106" s="102">
        <f t="shared" si="128"/>
        <v>0</v>
      </c>
      <c r="AT106" s="102">
        <f t="shared" si="128"/>
        <v>0</v>
      </c>
      <c r="AU106" s="102">
        <f t="shared" si="128"/>
        <v>0</v>
      </c>
      <c r="AV106" s="102">
        <f t="shared" si="128"/>
        <v>0</v>
      </c>
      <c r="AW106" s="102">
        <f ca="1" t="shared" si="128"/>
        <v>0</v>
      </c>
      <c r="BB106" s="103" t="e">
        <v>#REF!</v>
      </c>
    </row>
    <row r="107" s="20" customFormat="1" ht="18" customHeight="1" spans="1:54">
      <c r="A107" s="104"/>
      <c r="B107" s="106"/>
      <c r="C107" s="106"/>
      <c r="D107" s="107" t="str">
        <f>D106</f>
        <v>INS</v>
      </c>
      <c r="E107" s="108" t="str">
        <f>E106</f>
        <v>RFQ-033</v>
      </c>
      <c r="F107" s="109" t="str">
        <f>F106</f>
        <v>N</v>
      </c>
      <c r="G107" s="110"/>
      <c r="H107" s="109" t="str">
        <f>H106</f>
        <v>Vortex Flow Meter</v>
      </c>
      <c r="I107" s="108" t="str">
        <f>I106</f>
        <v>LC</v>
      </c>
      <c r="J107" s="109"/>
      <c r="K107" s="112"/>
      <c r="L107" s="112">
        <f>M108</f>
        <v>0.04</v>
      </c>
      <c r="M107" s="112"/>
      <c r="N107" s="108"/>
      <c r="O107" s="108"/>
      <c r="P107" s="108"/>
      <c r="Q107" s="113" t="s">
        <v>4907</v>
      </c>
      <c r="R107" s="113"/>
      <c r="S107" s="114" t="e">
        <f>S106</f>
        <v>#REF!</v>
      </c>
      <c r="T107" s="115" t="e">
        <f>T106</f>
        <v>#REF!</v>
      </c>
      <c r="U107" s="115" t="e">
        <f t="shared" ref="U107:Z107" si="129">WORKDAY(IF(T108="",T107,T108),INDEX(U$2:U$5,MATCH($I106,$I$2:$I$5,0)),$BB$10:$BB$141)</f>
        <v>#REF!</v>
      </c>
      <c r="V107" s="115" t="e">
        <f t="shared" si="129"/>
        <v>#REF!</v>
      </c>
      <c r="W107" s="115" t="e">
        <f t="shared" si="129"/>
        <v>#REF!</v>
      </c>
      <c r="X107" s="115" t="e">
        <f t="shared" si="129"/>
        <v>#REF!</v>
      </c>
      <c r="Y107" s="115" t="e">
        <f t="shared" si="129"/>
        <v>#REF!</v>
      </c>
      <c r="Z107" s="115" t="e">
        <f t="shared" si="129"/>
        <v>#REF!</v>
      </c>
      <c r="AA107" s="115" t="e">
        <f>WORKDAY(IF(Z108="",X107,Z108),INDEX(AA$2:AA$5,MATCH($I106,$I$2:$I$5,0)),$BB$10:$BB$141)</f>
        <v>#REF!</v>
      </c>
      <c r="AB107" s="116" t="e">
        <f>WORKDAY(AE106+#REF!,0,'[36]Equipment List and MR List (3)'!$A$2:$A$80)</f>
        <v>#REF!</v>
      </c>
      <c r="AC107" s="117"/>
      <c r="AD107" s="118"/>
      <c r="AE107" s="144"/>
      <c r="AF107" s="119"/>
      <c r="AG107" s="120"/>
      <c r="AH107" s="121"/>
      <c r="AI107" s="122"/>
      <c r="AJ107" s="118"/>
      <c r="AK107" s="123"/>
      <c r="AL107" s="124"/>
      <c r="AM107" s="101">
        <f t="shared" ref="AM107:AW107" si="130">IF(ISERROR(LOOKUP(AM$6,$S107:$AB107,$S$9:$AB$9)),0,(LOOKUP(AM$6,$S107:$AB107,$S$9:$AB$9)))</f>
        <v>0</v>
      </c>
      <c r="AN107" s="102">
        <f t="shared" si="130"/>
        <v>0</v>
      </c>
      <c r="AO107" s="102">
        <f t="shared" si="130"/>
        <v>0</v>
      </c>
      <c r="AP107" s="102">
        <f t="shared" si="130"/>
        <v>0</v>
      </c>
      <c r="AQ107" s="102">
        <f t="shared" si="130"/>
        <v>0</v>
      </c>
      <c r="AR107" s="102">
        <f t="shared" si="130"/>
        <v>0</v>
      </c>
      <c r="AS107" s="102">
        <f t="shared" si="130"/>
        <v>0</v>
      </c>
      <c r="AT107" s="102">
        <f t="shared" si="130"/>
        <v>0</v>
      </c>
      <c r="AU107" s="102">
        <f t="shared" si="130"/>
        <v>0</v>
      </c>
      <c r="AV107" s="102">
        <f t="shared" si="130"/>
        <v>0</v>
      </c>
      <c r="AW107" s="102">
        <f ca="1" t="shared" si="130"/>
        <v>0</v>
      </c>
      <c r="BB107" s="103" t="e">
        <v>#REF!</v>
      </c>
    </row>
    <row r="108" s="20" customFormat="1" ht="18" customHeight="1" spans="1:54">
      <c r="A108" s="125"/>
      <c r="B108" s="127"/>
      <c r="C108" s="127"/>
      <c r="D108" s="128" t="str">
        <f>D106</f>
        <v>INS</v>
      </c>
      <c r="E108" s="129" t="str">
        <f>E106</f>
        <v>RFQ-033</v>
      </c>
      <c r="F108" s="130" t="str">
        <f>F106</f>
        <v>N</v>
      </c>
      <c r="G108" s="131"/>
      <c r="H108" s="130" t="str">
        <f>H106</f>
        <v>Vortex Flow Meter</v>
      </c>
      <c r="I108" s="129" t="str">
        <f>I106</f>
        <v>LC</v>
      </c>
      <c r="J108" s="130"/>
      <c r="K108" s="132"/>
      <c r="L108" s="132"/>
      <c r="M108" s="132">
        <v>0.04</v>
      </c>
      <c r="N108" s="129"/>
      <c r="O108" s="129"/>
      <c r="P108" s="129"/>
      <c r="Q108" s="133" t="s">
        <v>4908</v>
      </c>
      <c r="R108" s="133"/>
      <c r="S108" s="151"/>
      <c r="T108" s="151"/>
      <c r="U108" s="151"/>
      <c r="V108" s="151"/>
      <c r="W108" s="151"/>
      <c r="X108" s="151"/>
      <c r="Y108" s="151"/>
      <c r="Z108" s="151"/>
      <c r="AA108" s="151"/>
      <c r="AB108" s="151"/>
      <c r="AC108" s="134"/>
      <c r="AD108" s="135"/>
      <c r="AE108" s="144"/>
      <c r="AF108" s="136"/>
      <c r="AG108" s="137"/>
      <c r="AH108" s="138"/>
      <c r="AI108" s="139"/>
      <c r="AJ108" s="135"/>
      <c r="AK108" s="140"/>
      <c r="AL108" s="141"/>
      <c r="AM108" s="142">
        <f t="shared" ref="AM108:AW108" si="131">IF(ISERROR(LOOKUP(AM$6,$S108:$AB108,$S$9:$AB$9)),0,(LOOKUP(AM$6,$S108:$AB108,$S$9:$AB$9)))</f>
        <v>0</v>
      </c>
      <c r="AN108" s="143">
        <f t="shared" si="131"/>
        <v>0</v>
      </c>
      <c r="AO108" s="143">
        <f t="shared" si="131"/>
        <v>0</v>
      </c>
      <c r="AP108" s="143">
        <f t="shared" si="131"/>
        <v>0</v>
      </c>
      <c r="AQ108" s="143">
        <f t="shared" si="131"/>
        <v>0</v>
      </c>
      <c r="AR108" s="143">
        <f t="shared" si="131"/>
        <v>0</v>
      </c>
      <c r="AS108" s="143">
        <f t="shared" si="131"/>
        <v>0</v>
      </c>
      <c r="AT108" s="143">
        <f t="shared" si="131"/>
        <v>0</v>
      </c>
      <c r="AU108" s="143">
        <f t="shared" si="131"/>
        <v>0</v>
      </c>
      <c r="AV108" s="143">
        <f t="shared" si="131"/>
        <v>0</v>
      </c>
      <c r="AW108" s="143">
        <f ca="1" t="shared" si="131"/>
        <v>0</v>
      </c>
      <c r="BB108" s="103" t="e">
        <v>#REF!</v>
      </c>
    </row>
    <row r="109" s="20" customFormat="1" ht="18" customHeight="1" spans="1:54">
      <c r="A109" s="81">
        <f>A106+1</f>
        <v>34</v>
      </c>
      <c r="B109" s="83"/>
      <c r="C109" s="83" t="s">
        <v>4902</v>
      </c>
      <c r="D109" s="84" t="s">
        <v>4934</v>
      </c>
      <c r="E109" s="85" t="s">
        <v>4814</v>
      </c>
      <c r="F109" s="86" t="s">
        <v>72</v>
      </c>
      <c r="G109" s="87" t="s">
        <v>4948</v>
      </c>
      <c r="H109" s="86" t="s">
        <v>4815</v>
      </c>
      <c r="I109" s="85" t="s">
        <v>8</v>
      </c>
      <c r="J109" s="86"/>
      <c r="K109" s="89">
        <f>M111</f>
        <v>0.01</v>
      </c>
      <c r="L109" s="89"/>
      <c r="M109" s="89"/>
      <c r="N109" s="85"/>
      <c r="O109" s="85"/>
      <c r="P109" s="85"/>
      <c r="Q109" s="90" t="s">
        <v>4905</v>
      </c>
      <c r="R109" s="91">
        <f>'Before Award'!U116+5</f>
        <v>46417</v>
      </c>
      <c r="S109" s="91" t="e">
        <f>WORKDAY(R109,INDEX(S$2:S$5,MATCH($I109,$I$2:$I$5,0)),$BB$10:$BB$141)</f>
        <v>#REF!</v>
      </c>
      <c r="T109" s="91" t="e">
        <f>WORKDAY(S109,INDEX(T$2:T$5,MATCH($I109,$I$2:$I$5,0)),$BB$10:$BB$141)</f>
        <v>#REF!</v>
      </c>
      <c r="U109" s="91" t="e">
        <f>T109+30</f>
        <v>#REF!</v>
      </c>
      <c r="V109" s="91"/>
      <c r="W109" s="91">
        <f>AB109-35</f>
        <v>46503</v>
      </c>
      <c r="X109" s="91"/>
      <c r="Y109" s="91"/>
      <c r="Z109" s="91"/>
      <c r="AA109" s="91"/>
      <c r="AB109" s="91">
        <f>'Before Award'!X116</f>
        <v>46538</v>
      </c>
      <c r="AC109" s="92" t="s">
        <v>4906</v>
      </c>
      <c r="AD109" s="93">
        <v>7</v>
      </c>
      <c r="AE109" s="144">
        <f t="shared" ref="AE109" si="132">18*7</f>
        <v>126</v>
      </c>
      <c r="AF109" s="95" t="e">
        <f>AB110</f>
        <v>#REF!</v>
      </c>
      <c r="AG109" s="96">
        <f>WORKDAY(AH109+1,-1,$BA$10:$BA$141)</f>
        <v>46538</v>
      </c>
      <c r="AH109" s="97">
        <v>46538</v>
      </c>
      <c r="AI109" s="98"/>
      <c r="AJ109" s="93" t="e">
        <f>AG109-AF109</f>
        <v>#REF!</v>
      </c>
      <c r="AK109" s="99"/>
      <c r="AL109" s="100"/>
      <c r="AM109" s="101">
        <f t="shared" ref="AM109:AW109" si="133">IF(ISERROR(LOOKUP(AM$6,$S109:$AB109,$S$9:$AB$9)),0,(LOOKUP(AM$6,$S109:$AB109,$S$9:$AB$9)))</f>
        <v>0</v>
      </c>
      <c r="AN109" s="102">
        <f t="shared" si="133"/>
        <v>0</v>
      </c>
      <c r="AO109" s="102">
        <f t="shared" si="133"/>
        <v>0</v>
      </c>
      <c r="AP109" s="102">
        <f t="shared" si="133"/>
        <v>0</v>
      </c>
      <c r="AQ109" s="102">
        <f t="shared" si="133"/>
        <v>0</v>
      </c>
      <c r="AR109" s="102">
        <f t="shared" si="133"/>
        <v>0</v>
      </c>
      <c r="AS109" s="102">
        <f t="shared" si="133"/>
        <v>0</v>
      </c>
      <c r="AT109" s="102">
        <f t="shared" si="133"/>
        <v>0</v>
      </c>
      <c r="AU109" s="102">
        <f t="shared" si="133"/>
        <v>0</v>
      </c>
      <c r="AV109" s="102">
        <f t="shared" si="133"/>
        <v>0</v>
      </c>
      <c r="AW109" s="102">
        <f ca="1" t="shared" si="133"/>
        <v>0</v>
      </c>
      <c r="BB109" s="103" t="e">
        <v>#REF!</v>
      </c>
    </row>
    <row r="110" s="20" customFormat="1" ht="18" customHeight="1" spans="1:54">
      <c r="A110" s="104"/>
      <c r="B110" s="106"/>
      <c r="C110" s="106"/>
      <c r="D110" s="107" t="str">
        <f>D109</f>
        <v>INS</v>
      </c>
      <c r="E110" s="108" t="str">
        <f>E109</f>
        <v>RFQ-034</v>
      </c>
      <c r="F110" s="109" t="str">
        <f>F109</f>
        <v>N</v>
      </c>
      <c r="G110" s="110"/>
      <c r="H110" s="109" t="str">
        <f>H109</f>
        <v>Level Transmitter and Gauge</v>
      </c>
      <c r="I110" s="108" t="str">
        <f>I109</f>
        <v>LC</v>
      </c>
      <c r="J110" s="109"/>
      <c r="K110" s="112"/>
      <c r="L110" s="112">
        <f>M111</f>
        <v>0.01</v>
      </c>
      <c r="M110" s="112"/>
      <c r="N110" s="108"/>
      <c r="O110" s="108"/>
      <c r="P110" s="108"/>
      <c r="Q110" s="113" t="s">
        <v>4907</v>
      </c>
      <c r="R110" s="113"/>
      <c r="S110" s="114" t="e">
        <f>S109</f>
        <v>#REF!</v>
      </c>
      <c r="T110" s="115" t="e">
        <f>T109</f>
        <v>#REF!</v>
      </c>
      <c r="U110" s="115" t="e">
        <f t="shared" ref="U110:Z110" si="134">WORKDAY(IF(T111="",T110,T111),INDEX(U$2:U$5,MATCH($I109,$I$2:$I$5,0)),$BB$10:$BB$141)</f>
        <v>#REF!</v>
      </c>
      <c r="V110" s="115" t="e">
        <f t="shared" si="134"/>
        <v>#REF!</v>
      </c>
      <c r="W110" s="115" t="e">
        <f t="shared" si="134"/>
        <v>#REF!</v>
      </c>
      <c r="X110" s="115" t="e">
        <f t="shared" si="134"/>
        <v>#REF!</v>
      </c>
      <c r="Y110" s="115" t="e">
        <f t="shared" si="134"/>
        <v>#REF!</v>
      </c>
      <c r="Z110" s="115" t="e">
        <f t="shared" si="134"/>
        <v>#REF!</v>
      </c>
      <c r="AA110" s="115" t="e">
        <f>WORKDAY(IF(Z111="",X110,Z111),INDEX(AA$2:AA$5,MATCH($I109,$I$2:$I$5,0)),$BB$10:$BB$141)</f>
        <v>#REF!</v>
      </c>
      <c r="AB110" s="116" t="e">
        <f>WORKDAY(AE109+#REF!,0,'[36]Equipment List and MR List (3)'!$A$2:$A$80)</f>
        <v>#REF!</v>
      </c>
      <c r="AC110" s="117"/>
      <c r="AD110" s="118"/>
      <c r="AE110" s="144"/>
      <c r="AF110" s="119"/>
      <c r="AG110" s="120"/>
      <c r="AH110" s="121"/>
      <c r="AI110" s="122"/>
      <c r="AJ110" s="118"/>
      <c r="AK110" s="123"/>
      <c r="AL110" s="124"/>
      <c r="AM110" s="101">
        <f t="shared" ref="AM110:AW110" si="135">IF(ISERROR(LOOKUP(AM$6,$S110:$AB110,$S$9:$AB$9)),0,(LOOKUP(AM$6,$S110:$AB110,$S$9:$AB$9)))</f>
        <v>0</v>
      </c>
      <c r="AN110" s="102">
        <f t="shared" si="135"/>
        <v>0</v>
      </c>
      <c r="AO110" s="102">
        <f t="shared" si="135"/>
        <v>0</v>
      </c>
      <c r="AP110" s="102">
        <f t="shared" si="135"/>
        <v>0</v>
      </c>
      <c r="AQ110" s="102">
        <f t="shared" si="135"/>
        <v>0</v>
      </c>
      <c r="AR110" s="102">
        <f t="shared" si="135"/>
        <v>0</v>
      </c>
      <c r="AS110" s="102">
        <f t="shared" si="135"/>
        <v>0</v>
      </c>
      <c r="AT110" s="102">
        <f t="shared" si="135"/>
        <v>0</v>
      </c>
      <c r="AU110" s="102">
        <f t="shared" si="135"/>
        <v>0</v>
      </c>
      <c r="AV110" s="102">
        <f t="shared" si="135"/>
        <v>0</v>
      </c>
      <c r="AW110" s="102">
        <f ca="1" t="shared" si="135"/>
        <v>0</v>
      </c>
      <c r="BB110" s="103" t="e">
        <v>#REF!</v>
      </c>
    </row>
    <row r="111" s="20" customFormat="1" ht="18" customHeight="1" spans="1:54">
      <c r="A111" s="125"/>
      <c r="B111" s="127"/>
      <c r="C111" s="127"/>
      <c r="D111" s="128" t="str">
        <f>D109</f>
        <v>INS</v>
      </c>
      <c r="E111" s="129" t="str">
        <f>E109</f>
        <v>RFQ-034</v>
      </c>
      <c r="F111" s="130" t="str">
        <f>F109</f>
        <v>N</v>
      </c>
      <c r="G111" s="131"/>
      <c r="H111" s="130" t="str">
        <f>H109</f>
        <v>Level Transmitter and Gauge</v>
      </c>
      <c r="I111" s="129" t="str">
        <f>I109</f>
        <v>LC</v>
      </c>
      <c r="J111" s="130"/>
      <c r="K111" s="132"/>
      <c r="L111" s="132"/>
      <c r="M111" s="132">
        <v>0.01</v>
      </c>
      <c r="N111" s="129"/>
      <c r="O111" s="129"/>
      <c r="P111" s="129"/>
      <c r="Q111" s="133" t="s">
        <v>4908</v>
      </c>
      <c r="R111" s="133"/>
      <c r="S111" s="151"/>
      <c r="T111" s="151"/>
      <c r="U111" s="151"/>
      <c r="V111" s="151"/>
      <c r="W111" s="151"/>
      <c r="X111" s="151"/>
      <c r="Y111" s="151"/>
      <c r="Z111" s="151"/>
      <c r="AA111" s="151"/>
      <c r="AB111" s="151"/>
      <c r="AC111" s="134"/>
      <c r="AD111" s="135"/>
      <c r="AE111" s="144"/>
      <c r="AF111" s="136"/>
      <c r="AG111" s="137"/>
      <c r="AH111" s="138"/>
      <c r="AI111" s="139"/>
      <c r="AJ111" s="135"/>
      <c r="AK111" s="140"/>
      <c r="AL111" s="141"/>
      <c r="AM111" s="142">
        <f t="shared" ref="AM111:AW111" si="136">IF(ISERROR(LOOKUP(AM$6,$S111:$AB111,$S$9:$AB$9)),0,(LOOKUP(AM$6,$S111:$AB111,$S$9:$AB$9)))</f>
        <v>0</v>
      </c>
      <c r="AN111" s="143">
        <f t="shared" si="136"/>
        <v>0</v>
      </c>
      <c r="AO111" s="143">
        <f t="shared" si="136"/>
        <v>0</v>
      </c>
      <c r="AP111" s="143">
        <f t="shared" si="136"/>
        <v>0</v>
      </c>
      <c r="AQ111" s="143">
        <f t="shared" si="136"/>
        <v>0</v>
      </c>
      <c r="AR111" s="143">
        <f t="shared" si="136"/>
        <v>0</v>
      </c>
      <c r="AS111" s="143">
        <f t="shared" si="136"/>
        <v>0</v>
      </c>
      <c r="AT111" s="143">
        <f t="shared" si="136"/>
        <v>0</v>
      </c>
      <c r="AU111" s="143">
        <f t="shared" si="136"/>
        <v>0</v>
      </c>
      <c r="AV111" s="143">
        <f t="shared" si="136"/>
        <v>0</v>
      </c>
      <c r="AW111" s="143">
        <f ca="1" t="shared" si="136"/>
        <v>0</v>
      </c>
      <c r="BB111" s="103" t="e">
        <v>#REF!</v>
      </c>
    </row>
    <row r="112" s="20" customFormat="1" ht="18" customHeight="1" spans="1:54">
      <c r="A112" s="81">
        <f>A109+1</f>
        <v>35</v>
      </c>
      <c r="B112" s="83"/>
      <c r="C112" s="83" t="s">
        <v>4902</v>
      </c>
      <c r="D112" s="84" t="s">
        <v>4934</v>
      </c>
      <c r="E112" s="85" t="s">
        <v>4816</v>
      </c>
      <c r="F112" s="86" t="s">
        <v>72</v>
      </c>
      <c r="G112" s="87" t="s">
        <v>4949</v>
      </c>
      <c r="H112" s="86" t="s">
        <v>179</v>
      </c>
      <c r="I112" s="85" t="s">
        <v>8</v>
      </c>
      <c r="J112" s="86"/>
      <c r="K112" s="89">
        <f>M114</f>
        <v>0.005</v>
      </c>
      <c r="L112" s="89"/>
      <c r="M112" s="89"/>
      <c r="N112" s="85"/>
      <c r="O112" s="85"/>
      <c r="P112" s="85"/>
      <c r="Q112" s="90" t="s">
        <v>4905</v>
      </c>
      <c r="R112" s="91">
        <f>'Before Award'!U119+5</f>
        <v>46417</v>
      </c>
      <c r="S112" s="91" t="e">
        <f>WORKDAY(R112,INDEX(S$2:S$5,MATCH($I112,$I$2:$I$5,0)),$BB$10:$BB$141)</f>
        <v>#REF!</v>
      </c>
      <c r="T112" s="91" t="e">
        <f>WORKDAY(S112,INDEX(T$2:T$5,MATCH($I112,$I$2:$I$5,0)),$BB$10:$BB$141)</f>
        <v>#REF!</v>
      </c>
      <c r="U112" s="91" t="e">
        <f>T112+30</f>
        <v>#REF!</v>
      </c>
      <c r="V112" s="91"/>
      <c r="W112" s="91">
        <f>AB112-35</f>
        <v>46503</v>
      </c>
      <c r="X112" s="91"/>
      <c r="Y112" s="91"/>
      <c r="Z112" s="91"/>
      <c r="AA112" s="91"/>
      <c r="AB112" s="91">
        <f>'Before Award'!X119</f>
        <v>46538</v>
      </c>
      <c r="AC112" s="92" t="s">
        <v>4906</v>
      </c>
      <c r="AD112" s="93">
        <v>7</v>
      </c>
      <c r="AE112" s="144">
        <f>18*7</f>
        <v>126</v>
      </c>
      <c r="AF112" s="95" t="e">
        <f>AB113</f>
        <v>#REF!</v>
      </c>
      <c r="AG112" s="96">
        <f>WORKDAY(AH112+1,-1,$BA$10:$BA$141)</f>
        <v>46538</v>
      </c>
      <c r="AH112" s="97">
        <v>46538</v>
      </c>
      <c r="AI112" s="98"/>
      <c r="AJ112" s="93" t="e">
        <f>AG112-AF112</f>
        <v>#REF!</v>
      </c>
      <c r="AK112" s="99"/>
      <c r="AL112" s="100"/>
      <c r="AM112" s="101">
        <f t="shared" ref="AM112:AW112" si="137">IF(ISERROR(LOOKUP(AM$6,$S112:$AB112,$S$9:$AB$9)),0,(LOOKUP(AM$6,$S112:$AB112,$S$9:$AB$9)))</f>
        <v>0</v>
      </c>
      <c r="AN112" s="102">
        <f t="shared" si="137"/>
        <v>0</v>
      </c>
      <c r="AO112" s="102">
        <f t="shared" si="137"/>
        <v>0</v>
      </c>
      <c r="AP112" s="102">
        <f t="shared" si="137"/>
        <v>0</v>
      </c>
      <c r="AQ112" s="102">
        <f t="shared" si="137"/>
        <v>0</v>
      </c>
      <c r="AR112" s="102">
        <f t="shared" si="137"/>
        <v>0</v>
      </c>
      <c r="AS112" s="102">
        <f t="shared" si="137"/>
        <v>0</v>
      </c>
      <c r="AT112" s="102">
        <f t="shared" si="137"/>
        <v>0</v>
      </c>
      <c r="AU112" s="102">
        <f t="shared" si="137"/>
        <v>0</v>
      </c>
      <c r="AV112" s="102">
        <f t="shared" si="137"/>
        <v>0</v>
      </c>
      <c r="AW112" s="102">
        <f ca="1" t="shared" si="137"/>
        <v>0</v>
      </c>
      <c r="BB112" s="103" t="e">
        <v>#REF!</v>
      </c>
    </row>
    <row r="113" s="20" customFormat="1" ht="18" customHeight="1" spans="1:54">
      <c r="A113" s="104"/>
      <c r="B113" s="106"/>
      <c r="C113" s="106"/>
      <c r="D113" s="107" t="str">
        <f>D112</f>
        <v>INS</v>
      </c>
      <c r="E113" s="108" t="str">
        <f>E112</f>
        <v>RFQ-035</v>
      </c>
      <c r="F113" s="109" t="str">
        <f>F112</f>
        <v>N</v>
      </c>
      <c r="G113" s="110"/>
      <c r="H113" s="109" t="str">
        <f>H112</f>
        <v>Pig Signaller</v>
      </c>
      <c r="I113" s="108" t="str">
        <f>I112</f>
        <v>LC</v>
      </c>
      <c r="J113" s="109"/>
      <c r="K113" s="112"/>
      <c r="L113" s="112">
        <f>M114</f>
        <v>0.005</v>
      </c>
      <c r="M113" s="112"/>
      <c r="N113" s="108"/>
      <c r="O113" s="108"/>
      <c r="P113" s="108"/>
      <c r="Q113" s="113" t="s">
        <v>4907</v>
      </c>
      <c r="R113" s="113"/>
      <c r="S113" s="114" t="e">
        <f>S112</f>
        <v>#REF!</v>
      </c>
      <c r="T113" s="115" t="e">
        <f>T112</f>
        <v>#REF!</v>
      </c>
      <c r="U113" s="115" t="e">
        <f t="shared" ref="U113:Z113" si="138">WORKDAY(IF(T114="",T113,T114),INDEX(U$2:U$5,MATCH($I112,$I$2:$I$5,0)),$BB$10:$BB$141)</f>
        <v>#REF!</v>
      </c>
      <c r="V113" s="115" t="e">
        <f t="shared" si="138"/>
        <v>#REF!</v>
      </c>
      <c r="W113" s="115" t="e">
        <f t="shared" si="138"/>
        <v>#REF!</v>
      </c>
      <c r="X113" s="115" t="e">
        <f t="shared" si="138"/>
        <v>#REF!</v>
      </c>
      <c r="Y113" s="115" t="e">
        <f t="shared" si="138"/>
        <v>#REF!</v>
      </c>
      <c r="Z113" s="115" t="e">
        <f t="shared" si="138"/>
        <v>#REF!</v>
      </c>
      <c r="AA113" s="115" t="e">
        <f>WORKDAY(IF(Z114="",X113,Z114),INDEX(AA$2:AA$5,MATCH($I112,$I$2:$I$5,0)),$BB$10:$BB$141)</f>
        <v>#REF!</v>
      </c>
      <c r="AB113" s="116" t="e">
        <f>WORKDAY(AE112+#REF!,0,'[36]Equipment List and MR List (3)'!$A$2:$A$80)</f>
        <v>#REF!</v>
      </c>
      <c r="AC113" s="117"/>
      <c r="AD113" s="118"/>
      <c r="AE113" s="144"/>
      <c r="AF113" s="119"/>
      <c r="AG113" s="120"/>
      <c r="AH113" s="121"/>
      <c r="AI113" s="122"/>
      <c r="AJ113" s="118"/>
      <c r="AK113" s="123"/>
      <c r="AL113" s="124"/>
      <c r="AM113" s="101">
        <f t="shared" ref="AM113:AW113" si="139">IF(ISERROR(LOOKUP(AM$6,$S113:$AB113,$S$9:$AB$9)),0,(LOOKUP(AM$6,$S113:$AB113,$S$9:$AB$9)))</f>
        <v>0</v>
      </c>
      <c r="AN113" s="102">
        <f t="shared" si="139"/>
        <v>0</v>
      </c>
      <c r="AO113" s="102">
        <f t="shared" si="139"/>
        <v>0</v>
      </c>
      <c r="AP113" s="102">
        <f t="shared" si="139"/>
        <v>0</v>
      </c>
      <c r="AQ113" s="102">
        <f t="shared" si="139"/>
        <v>0</v>
      </c>
      <c r="AR113" s="102">
        <f t="shared" si="139"/>
        <v>0</v>
      </c>
      <c r="AS113" s="102">
        <f t="shared" si="139"/>
        <v>0</v>
      </c>
      <c r="AT113" s="102">
        <f t="shared" si="139"/>
        <v>0</v>
      </c>
      <c r="AU113" s="102">
        <f t="shared" si="139"/>
        <v>0</v>
      </c>
      <c r="AV113" s="102">
        <f t="shared" si="139"/>
        <v>0</v>
      </c>
      <c r="AW113" s="102">
        <f ca="1" t="shared" si="139"/>
        <v>0</v>
      </c>
      <c r="BB113" s="103" t="e">
        <v>#REF!</v>
      </c>
    </row>
    <row r="114" s="20" customFormat="1" ht="18" customHeight="1" spans="1:54">
      <c r="A114" s="125"/>
      <c r="B114" s="127"/>
      <c r="C114" s="127"/>
      <c r="D114" s="128" t="str">
        <f>D112</f>
        <v>INS</v>
      </c>
      <c r="E114" s="129" t="str">
        <f>E112</f>
        <v>RFQ-035</v>
      </c>
      <c r="F114" s="130" t="str">
        <f>F112</f>
        <v>N</v>
      </c>
      <c r="G114" s="131"/>
      <c r="H114" s="130" t="str">
        <f>H112</f>
        <v>Pig Signaller</v>
      </c>
      <c r="I114" s="129" t="str">
        <f>I112</f>
        <v>LC</v>
      </c>
      <c r="J114" s="130"/>
      <c r="K114" s="132"/>
      <c r="L114" s="132"/>
      <c r="M114" s="132">
        <v>0.005</v>
      </c>
      <c r="N114" s="129"/>
      <c r="O114" s="129"/>
      <c r="P114" s="129"/>
      <c r="Q114" s="133" t="s">
        <v>4908</v>
      </c>
      <c r="R114" s="133"/>
      <c r="S114" s="151"/>
      <c r="T114" s="151"/>
      <c r="U114" s="151"/>
      <c r="V114" s="151"/>
      <c r="W114" s="151"/>
      <c r="X114" s="151"/>
      <c r="Y114" s="151"/>
      <c r="Z114" s="151"/>
      <c r="AA114" s="151"/>
      <c r="AB114" s="151"/>
      <c r="AC114" s="134"/>
      <c r="AD114" s="135"/>
      <c r="AE114" s="144"/>
      <c r="AF114" s="136"/>
      <c r="AG114" s="137"/>
      <c r="AH114" s="138"/>
      <c r="AI114" s="139"/>
      <c r="AJ114" s="135"/>
      <c r="AK114" s="140"/>
      <c r="AL114" s="141"/>
      <c r="AM114" s="142">
        <f t="shared" ref="AM114:AW114" si="140">IF(ISERROR(LOOKUP(AM$6,$S114:$AB114,$S$9:$AB$9)),0,(LOOKUP(AM$6,$S114:$AB114,$S$9:$AB$9)))</f>
        <v>0</v>
      </c>
      <c r="AN114" s="143">
        <f t="shared" si="140"/>
        <v>0</v>
      </c>
      <c r="AO114" s="143">
        <f t="shared" si="140"/>
        <v>0</v>
      </c>
      <c r="AP114" s="143">
        <f t="shared" si="140"/>
        <v>0</v>
      </c>
      <c r="AQ114" s="143">
        <f t="shared" si="140"/>
        <v>0</v>
      </c>
      <c r="AR114" s="143">
        <f t="shared" si="140"/>
        <v>0</v>
      </c>
      <c r="AS114" s="143">
        <f t="shared" si="140"/>
        <v>0</v>
      </c>
      <c r="AT114" s="143">
        <f t="shared" si="140"/>
        <v>0</v>
      </c>
      <c r="AU114" s="143">
        <f t="shared" si="140"/>
        <v>0</v>
      </c>
      <c r="AV114" s="143">
        <f t="shared" si="140"/>
        <v>0</v>
      </c>
      <c r="AW114" s="143">
        <f ca="1" t="shared" si="140"/>
        <v>0</v>
      </c>
      <c r="BB114" s="103" t="e">
        <v>#REF!</v>
      </c>
    </row>
    <row r="115" s="20" customFormat="1" ht="18" customHeight="1" spans="1:54">
      <c r="A115" s="81">
        <f>A112+1</f>
        <v>36</v>
      </c>
      <c r="B115" s="83"/>
      <c r="C115" s="83" t="s">
        <v>4902</v>
      </c>
      <c r="D115" s="84" t="s">
        <v>4934</v>
      </c>
      <c r="E115" s="85" t="s">
        <v>4817</v>
      </c>
      <c r="F115" s="86" t="s">
        <v>72</v>
      </c>
      <c r="G115" s="87" t="s">
        <v>4950</v>
      </c>
      <c r="H115" s="86" t="s">
        <v>183</v>
      </c>
      <c r="I115" s="85" t="s">
        <v>8</v>
      </c>
      <c r="J115" s="86"/>
      <c r="K115" s="89">
        <f>M117</f>
        <v>0.005</v>
      </c>
      <c r="L115" s="89"/>
      <c r="M115" s="89"/>
      <c r="N115" s="85"/>
      <c r="O115" s="85"/>
      <c r="P115" s="85"/>
      <c r="Q115" s="90" t="s">
        <v>4905</v>
      </c>
      <c r="R115" s="91">
        <f>'Before Award'!U122+5</f>
        <v>46389</v>
      </c>
      <c r="S115" s="91" t="e">
        <f>WORKDAY(R115,INDEX(S$2:S$5,MATCH($I115,$I$2:$I$5,0)),$BB$10:$BB$141)</f>
        <v>#REF!</v>
      </c>
      <c r="T115" s="91" t="e">
        <f>WORKDAY(S115,INDEX(T$2:T$5,MATCH($I115,$I$2:$I$5,0)),$BB$10:$BB$141)</f>
        <v>#REF!</v>
      </c>
      <c r="U115" s="91" t="e">
        <f>T115+30</f>
        <v>#REF!</v>
      </c>
      <c r="V115" s="91"/>
      <c r="W115" s="91">
        <f>AB115-35</f>
        <v>46503</v>
      </c>
      <c r="X115" s="91"/>
      <c r="Y115" s="91"/>
      <c r="Z115" s="91"/>
      <c r="AA115" s="91"/>
      <c r="AB115" s="91">
        <f>'Before Award'!X122</f>
        <v>46538</v>
      </c>
      <c r="AC115" s="92" t="s">
        <v>4906</v>
      </c>
      <c r="AD115" s="93">
        <v>7</v>
      </c>
      <c r="AE115" s="144">
        <v>154</v>
      </c>
      <c r="AF115" s="95" t="e">
        <f>AB116</f>
        <v>#REF!</v>
      </c>
      <c r="AG115" s="96">
        <f>WORKDAY(AH115+1,-1,$BA$10:$BA$141)</f>
        <v>46538</v>
      </c>
      <c r="AH115" s="97">
        <v>46538</v>
      </c>
      <c r="AI115" s="98"/>
      <c r="AJ115" s="93" t="e">
        <f>AG115-AF115</f>
        <v>#REF!</v>
      </c>
      <c r="AK115" s="99"/>
      <c r="AL115" s="100"/>
      <c r="AM115" s="101">
        <f t="shared" ref="AM115:AW115" si="141">IF(ISERROR(LOOKUP(AM$6,$S115:$AB115,$S$9:$AB$9)),0,(LOOKUP(AM$6,$S115:$AB115,$S$9:$AB$9)))</f>
        <v>0</v>
      </c>
      <c r="AN115" s="102">
        <f t="shared" si="141"/>
        <v>0</v>
      </c>
      <c r="AO115" s="102">
        <f t="shared" si="141"/>
        <v>0</v>
      </c>
      <c r="AP115" s="102">
        <f t="shared" si="141"/>
        <v>0</v>
      </c>
      <c r="AQ115" s="102">
        <f t="shared" si="141"/>
        <v>0</v>
      </c>
      <c r="AR115" s="102">
        <f t="shared" si="141"/>
        <v>0</v>
      </c>
      <c r="AS115" s="102">
        <f t="shared" si="141"/>
        <v>0</v>
      </c>
      <c r="AT115" s="102">
        <f t="shared" si="141"/>
        <v>0</v>
      </c>
      <c r="AU115" s="102">
        <f t="shared" si="141"/>
        <v>0</v>
      </c>
      <c r="AV115" s="102">
        <f t="shared" si="141"/>
        <v>0</v>
      </c>
      <c r="AW115" s="102">
        <f ca="1" t="shared" si="141"/>
        <v>0</v>
      </c>
      <c r="BB115" s="103" t="e">
        <v>#REF!</v>
      </c>
    </row>
    <row r="116" s="20" customFormat="1" ht="18" customHeight="1" spans="1:54">
      <c r="A116" s="104"/>
      <c r="B116" s="106"/>
      <c r="C116" s="106"/>
      <c r="D116" s="107" t="str">
        <f>D115</f>
        <v>INS</v>
      </c>
      <c r="E116" s="108" t="str">
        <f>E115</f>
        <v>RFQ-036</v>
      </c>
      <c r="F116" s="109" t="str">
        <f>F115</f>
        <v>N</v>
      </c>
      <c r="G116" s="110"/>
      <c r="H116" s="109" t="str">
        <f>H115</f>
        <v>Rrestriction Orifice</v>
      </c>
      <c r="I116" s="108" t="str">
        <f>I115</f>
        <v>LC</v>
      </c>
      <c r="J116" s="109"/>
      <c r="K116" s="112"/>
      <c r="L116" s="112">
        <f>M117</f>
        <v>0.005</v>
      </c>
      <c r="M116" s="112"/>
      <c r="N116" s="108"/>
      <c r="O116" s="108"/>
      <c r="P116" s="108"/>
      <c r="Q116" s="113" t="s">
        <v>4907</v>
      </c>
      <c r="R116" s="113"/>
      <c r="S116" s="114" t="e">
        <f>S115</f>
        <v>#REF!</v>
      </c>
      <c r="T116" s="115" t="e">
        <f>T115</f>
        <v>#REF!</v>
      </c>
      <c r="U116" s="115" t="e">
        <f t="shared" ref="U116:Z116" si="142">WORKDAY(IF(T117="",T116,T117),INDEX(U$2:U$5,MATCH($I115,$I$2:$I$5,0)),$BB$10:$BB$141)</f>
        <v>#REF!</v>
      </c>
      <c r="V116" s="115" t="e">
        <f t="shared" si="142"/>
        <v>#REF!</v>
      </c>
      <c r="W116" s="115" t="e">
        <f t="shared" si="142"/>
        <v>#REF!</v>
      </c>
      <c r="X116" s="115" t="e">
        <f t="shared" si="142"/>
        <v>#REF!</v>
      </c>
      <c r="Y116" s="115" t="e">
        <f t="shared" si="142"/>
        <v>#REF!</v>
      </c>
      <c r="Z116" s="115" t="e">
        <f t="shared" si="142"/>
        <v>#REF!</v>
      </c>
      <c r="AA116" s="115" t="e">
        <f>WORKDAY(IF(Z117="",X116,Z117),INDEX(AA$2:AA$5,MATCH($I115,$I$2:$I$5,0)),$BB$10:$BB$141)</f>
        <v>#REF!</v>
      </c>
      <c r="AB116" s="116" t="e">
        <f>WORKDAY(AE115+#REF!,0,'[36]Equipment List and MR List (3)'!$A$2:$A$80)</f>
        <v>#REF!</v>
      </c>
      <c r="AC116" s="117"/>
      <c r="AD116" s="118"/>
      <c r="AE116" s="144"/>
      <c r="AF116" s="119"/>
      <c r="AG116" s="120"/>
      <c r="AH116" s="121"/>
      <c r="AI116" s="122"/>
      <c r="AJ116" s="118"/>
      <c r="AK116" s="123"/>
      <c r="AL116" s="124"/>
      <c r="AM116" s="101">
        <f t="shared" ref="AM116:AW116" si="143">IF(ISERROR(LOOKUP(AM$6,$S116:$AB116,$S$9:$AB$9)),0,(LOOKUP(AM$6,$S116:$AB116,$S$9:$AB$9)))</f>
        <v>0</v>
      </c>
      <c r="AN116" s="102">
        <f t="shared" si="143"/>
        <v>0</v>
      </c>
      <c r="AO116" s="102">
        <f t="shared" si="143"/>
        <v>0</v>
      </c>
      <c r="AP116" s="102">
        <f t="shared" si="143"/>
        <v>0</v>
      </c>
      <c r="AQ116" s="102">
        <f t="shared" si="143"/>
        <v>0</v>
      </c>
      <c r="AR116" s="102">
        <f t="shared" si="143"/>
        <v>0</v>
      </c>
      <c r="AS116" s="102">
        <f t="shared" si="143"/>
        <v>0</v>
      </c>
      <c r="AT116" s="102">
        <f t="shared" si="143"/>
        <v>0</v>
      </c>
      <c r="AU116" s="102">
        <f t="shared" si="143"/>
        <v>0</v>
      </c>
      <c r="AV116" s="102">
        <f t="shared" si="143"/>
        <v>0</v>
      </c>
      <c r="AW116" s="102">
        <f ca="1" t="shared" si="143"/>
        <v>0</v>
      </c>
      <c r="BB116" s="103" t="e">
        <v>#REF!</v>
      </c>
    </row>
    <row r="117" s="20" customFormat="1" ht="18" customHeight="1" spans="1:54">
      <c r="A117" s="125"/>
      <c r="B117" s="127"/>
      <c r="C117" s="127"/>
      <c r="D117" s="128" t="str">
        <f>D115</f>
        <v>INS</v>
      </c>
      <c r="E117" s="129" t="str">
        <f>E115</f>
        <v>RFQ-036</v>
      </c>
      <c r="F117" s="130" t="str">
        <f>F115</f>
        <v>N</v>
      </c>
      <c r="G117" s="131"/>
      <c r="H117" s="130" t="str">
        <f>H115</f>
        <v>Rrestriction Orifice</v>
      </c>
      <c r="I117" s="129" t="str">
        <f>I115</f>
        <v>LC</v>
      </c>
      <c r="J117" s="130"/>
      <c r="K117" s="132"/>
      <c r="L117" s="132"/>
      <c r="M117" s="132">
        <v>0.005</v>
      </c>
      <c r="N117" s="129"/>
      <c r="O117" s="129"/>
      <c r="P117" s="129"/>
      <c r="Q117" s="133" t="s">
        <v>4908</v>
      </c>
      <c r="R117" s="133"/>
      <c r="S117" s="151"/>
      <c r="T117" s="151"/>
      <c r="U117" s="151"/>
      <c r="V117" s="151"/>
      <c r="W117" s="151"/>
      <c r="X117" s="151"/>
      <c r="Y117" s="151"/>
      <c r="Z117" s="151"/>
      <c r="AA117" s="151"/>
      <c r="AB117" s="151"/>
      <c r="AC117" s="134"/>
      <c r="AD117" s="135"/>
      <c r="AE117" s="144"/>
      <c r="AF117" s="136"/>
      <c r="AG117" s="137"/>
      <c r="AH117" s="138"/>
      <c r="AI117" s="139"/>
      <c r="AJ117" s="135"/>
      <c r="AK117" s="140"/>
      <c r="AL117" s="141"/>
      <c r="AM117" s="142">
        <f t="shared" ref="AM117:AW117" si="144">IF(ISERROR(LOOKUP(AM$6,$S117:$AB117,$S$9:$AB$9)),0,(LOOKUP(AM$6,$S117:$AB117,$S$9:$AB$9)))</f>
        <v>0</v>
      </c>
      <c r="AN117" s="143">
        <f t="shared" si="144"/>
        <v>0</v>
      </c>
      <c r="AO117" s="143">
        <f t="shared" si="144"/>
        <v>0</v>
      </c>
      <c r="AP117" s="143">
        <f t="shared" si="144"/>
        <v>0</v>
      </c>
      <c r="AQ117" s="143">
        <f t="shared" si="144"/>
        <v>0</v>
      </c>
      <c r="AR117" s="143">
        <f t="shared" si="144"/>
        <v>0</v>
      </c>
      <c r="AS117" s="143">
        <f t="shared" si="144"/>
        <v>0</v>
      </c>
      <c r="AT117" s="143">
        <f t="shared" si="144"/>
        <v>0</v>
      </c>
      <c r="AU117" s="143">
        <f t="shared" si="144"/>
        <v>0</v>
      </c>
      <c r="AV117" s="143">
        <f t="shared" si="144"/>
        <v>0</v>
      </c>
      <c r="AW117" s="143">
        <f ca="1" t="shared" si="144"/>
        <v>0</v>
      </c>
      <c r="BB117" s="103" t="e">
        <v>#REF!</v>
      </c>
    </row>
    <row r="118" s="20" customFormat="1" ht="18" customHeight="1" spans="1:54">
      <c r="A118" s="81">
        <f>A115+1</f>
        <v>37</v>
      </c>
      <c r="B118" s="83"/>
      <c r="C118" s="83" t="s">
        <v>4902</v>
      </c>
      <c r="D118" s="84" t="s">
        <v>4934</v>
      </c>
      <c r="E118" s="85" t="s">
        <v>4818</v>
      </c>
      <c r="F118" s="86" t="s">
        <v>72</v>
      </c>
      <c r="G118" s="87" t="s">
        <v>4951</v>
      </c>
      <c r="H118" s="86" t="s">
        <v>185</v>
      </c>
      <c r="I118" s="85" t="s">
        <v>7</v>
      </c>
      <c r="J118" s="86"/>
      <c r="K118" s="89">
        <f>M120</f>
        <v>0.005</v>
      </c>
      <c r="L118" s="89"/>
      <c r="M118" s="89"/>
      <c r="N118" s="85"/>
      <c r="O118" s="85"/>
      <c r="P118" s="85"/>
      <c r="Q118" s="90" t="s">
        <v>4905</v>
      </c>
      <c r="R118" s="91">
        <f>'Before Award'!U125+5</f>
        <v>46291</v>
      </c>
      <c r="S118" s="91" t="e">
        <f>WORKDAY(R118,INDEX(S$2:S$5,MATCH($I118,$I$2:$I$5,0)),$BB$10:$BB$141)</f>
        <v>#REF!</v>
      </c>
      <c r="T118" s="91" t="e">
        <f>WORKDAY(S118,INDEX(T$2:T$5,MATCH($I118,$I$2:$I$5,0)),$BB$10:$BB$141)</f>
        <v>#REF!</v>
      </c>
      <c r="U118" s="91" t="e">
        <f>T118+30</f>
        <v>#REF!</v>
      </c>
      <c r="V118" s="91"/>
      <c r="W118" s="91">
        <f>AB118-35</f>
        <v>46503</v>
      </c>
      <c r="X118" s="91"/>
      <c r="Y118" s="91"/>
      <c r="Z118" s="91"/>
      <c r="AA118" s="91"/>
      <c r="AB118" s="91">
        <f>'Before Award'!X125</f>
        <v>46538</v>
      </c>
      <c r="AC118" s="92" t="s">
        <v>4906</v>
      </c>
      <c r="AD118" s="93">
        <v>7</v>
      </c>
      <c r="AE118" s="144">
        <f>36*7</f>
        <v>252</v>
      </c>
      <c r="AF118" s="95" t="e">
        <f>AB119</f>
        <v>#REF!</v>
      </c>
      <c r="AG118" s="96">
        <f>WORKDAY(AH118+1,-1,$BA$10:$BA$141)</f>
        <v>46538</v>
      </c>
      <c r="AH118" s="97">
        <v>46538</v>
      </c>
      <c r="AI118" s="98"/>
      <c r="AJ118" s="93" t="e">
        <f>AG118-AF118</f>
        <v>#REF!</v>
      </c>
      <c r="AK118" s="99"/>
      <c r="AL118" s="100"/>
      <c r="AM118" s="101">
        <f t="shared" ref="AM118:AW118" si="145">IF(ISERROR(LOOKUP(AM$6,$S118:$AB118,$S$9:$AB$9)),0,(LOOKUP(AM$6,$S118:$AB118,$S$9:$AB$9)))</f>
        <v>0</v>
      </c>
      <c r="AN118" s="102">
        <f t="shared" si="145"/>
        <v>0</v>
      </c>
      <c r="AO118" s="102">
        <f t="shared" si="145"/>
        <v>0</v>
      </c>
      <c r="AP118" s="102">
        <f t="shared" si="145"/>
        <v>0</v>
      </c>
      <c r="AQ118" s="102">
        <f t="shared" si="145"/>
        <v>0</v>
      </c>
      <c r="AR118" s="102">
        <f t="shared" si="145"/>
        <v>0</v>
      </c>
      <c r="AS118" s="102">
        <f t="shared" si="145"/>
        <v>0</v>
      </c>
      <c r="AT118" s="102">
        <f t="shared" si="145"/>
        <v>0</v>
      </c>
      <c r="AU118" s="102">
        <f t="shared" si="145"/>
        <v>0</v>
      </c>
      <c r="AV118" s="102">
        <f t="shared" si="145"/>
        <v>0</v>
      </c>
      <c r="AW118" s="102">
        <f ca="1" t="shared" si="145"/>
        <v>0</v>
      </c>
      <c r="BB118" s="103" t="e">
        <v>#REF!</v>
      </c>
    </row>
    <row r="119" s="20" customFormat="1" ht="18" customHeight="1" spans="1:54">
      <c r="A119" s="104"/>
      <c r="B119" s="106"/>
      <c r="C119" s="106"/>
      <c r="D119" s="107" t="str">
        <f>D118</f>
        <v>INS</v>
      </c>
      <c r="E119" s="108" t="str">
        <f>E118</f>
        <v>RFQ-037</v>
      </c>
      <c r="F119" s="109" t="str">
        <f>F118</f>
        <v>N</v>
      </c>
      <c r="G119" s="110"/>
      <c r="H119" s="109" t="str">
        <f>H118</f>
        <v>PLC System</v>
      </c>
      <c r="I119" s="108" t="str">
        <f>I118</f>
        <v>LB</v>
      </c>
      <c r="J119" s="109"/>
      <c r="K119" s="112"/>
      <c r="L119" s="112">
        <f>M120</f>
        <v>0.005</v>
      </c>
      <c r="M119" s="112"/>
      <c r="N119" s="108"/>
      <c r="O119" s="108"/>
      <c r="P119" s="108"/>
      <c r="Q119" s="113" t="s">
        <v>4907</v>
      </c>
      <c r="R119" s="113"/>
      <c r="S119" s="114" t="e">
        <f>S118</f>
        <v>#REF!</v>
      </c>
      <c r="T119" s="115" t="e">
        <f>T118</f>
        <v>#REF!</v>
      </c>
      <c r="U119" s="115" t="e">
        <f t="shared" ref="U119:Z119" si="146">WORKDAY(IF(T120="",T119,T120),INDEX(U$2:U$5,MATCH($I118,$I$2:$I$5,0)),$BB$10:$BB$141)</f>
        <v>#REF!</v>
      </c>
      <c r="V119" s="115" t="e">
        <f t="shared" si="146"/>
        <v>#REF!</v>
      </c>
      <c r="W119" s="115" t="e">
        <f t="shared" si="146"/>
        <v>#REF!</v>
      </c>
      <c r="X119" s="115" t="e">
        <f t="shared" si="146"/>
        <v>#REF!</v>
      </c>
      <c r="Y119" s="115" t="e">
        <f t="shared" si="146"/>
        <v>#REF!</v>
      </c>
      <c r="Z119" s="115" t="e">
        <f t="shared" si="146"/>
        <v>#REF!</v>
      </c>
      <c r="AA119" s="115" t="e">
        <f>WORKDAY(IF(Z120="",X119,Z120),INDEX(AA$2:AA$5,MATCH($I118,$I$2:$I$5,0)),$BB$10:$BB$141)</f>
        <v>#REF!</v>
      </c>
      <c r="AB119" s="116" t="e">
        <f>WORKDAY(AE118+#REF!,0,'[36]Equipment List and MR List (3)'!$A$2:$A$80)</f>
        <v>#REF!</v>
      </c>
      <c r="AC119" s="117"/>
      <c r="AD119" s="118"/>
      <c r="AE119" s="144"/>
      <c r="AF119" s="119"/>
      <c r="AG119" s="120"/>
      <c r="AH119" s="121"/>
      <c r="AI119" s="122"/>
      <c r="AJ119" s="118"/>
      <c r="AK119" s="123"/>
      <c r="AL119" s="124"/>
      <c r="AM119" s="101">
        <f t="shared" ref="AM119:AW119" si="147">IF(ISERROR(LOOKUP(AM$6,$S119:$AB119,$S$9:$AB$9)),0,(LOOKUP(AM$6,$S119:$AB119,$S$9:$AB$9)))</f>
        <v>0</v>
      </c>
      <c r="AN119" s="102">
        <f t="shared" si="147"/>
        <v>0</v>
      </c>
      <c r="AO119" s="102">
        <f t="shared" si="147"/>
        <v>0</v>
      </c>
      <c r="AP119" s="102">
        <f t="shared" si="147"/>
        <v>0</v>
      </c>
      <c r="AQ119" s="102">
        <f t="shared" si="147"/>
        <v>0</v>
      </c>
      <c r="AR119" s="102">
        <f t="shared" si="147"/>
        <v>0</v>
      </c>
      <c r="AS119" s="102">
        <f t="shared" si="147"/>
        <v>0</v>
      </c>
      <c r="AT119" s="102">
        <f t="shared" si="147"/>
        <v>0</v>
      </c>
      <c r="AU119" s="102">
        <f t="shared" si="147"/>
        <v>0</v>
      </c>
      <c r="AV119" s="102">
        <f t="shared" si="147"/>
        <v>0</v>
      </c>
      <c r="AW119" s="102">
        <f ca="1" t="shared" si="147"/>
        <v>0</v>
      </c>
      <c r="BB119" s="103" t="e">
        <v>#REF!</v>
      </c>
    </row>
    <row r="120" s="20" customFormat="1" ht="18" customHeight="1" spans="1:54">
      <c r="A120" s="125"/>
      <c r="B120" s="127"/>
      <c r="C120" s="127"/>
      <c r="D120" s="128" t="str">
        <f>D118</f>
        <v>INS</v>
      </c>
      <c r="E120" s="129" t="str">
        <f>E118</f>
        <v>RFQ-037</v>
      </c>
      <c r="F120" s="130" t="str">
        <f>F118</f>
        <v>N</v>
      </c>
      <c r="G120" s="131"/>
      <c r="H120" s="130" t="str">
        <f>H118</f>
        <v>PLC System</v>
      </c>
      <c r="I120" s="129" t="str">
        <f>I118</f>
        <v>LB</v>
      </c>
      <c r="J120" s="130"/>
      <c r="K120" s="132"/>
      <c r="L120" s="132"/>
      <c r="M120" s="132">
        <v>0.005</v>
      </c>
      <c r="N120" s="129"/>
      <c r="O120" s="129"/>
      <c r="P120" s="129"/>
      <c r="Q120" s="133" t="s">
        <v>4908</v>
      </c>
      <c r="R120" s="133"/>
      <c r="S120" s="151"/>
      <c r="T120" s="151"/>
      <c r="U120" s="151"/>
      <c r="V120" s="151"/>
      <c r="W120" s="151"/>
      <c r="X120" s="151"/>
      <c r="Y120" s="151"/>
      <c r="Z120" s="151"/>
      <c r="AA120" s="151"/>
      <c r="AB120" s="151"/>
      <c r="AC120" s="134"/>
      <c r="AD120" s="135"/>
      <c r="AE120" s="144"/>
      <c r="AF120" s="136"/>
      <c r="AG120" s="137"/>
      <c r="AH120" s="138"/>
      <c r="AI120" s="139"/>
      <c r="AJ120" s="135"/>
      <c r="AK120" s="140"/>
      <c r="AL120" s="141"/>
      <c r="AM120" s="142">
        <f t="shared" ref="AM120:AW120" si="148">IF(ISERROR(LOOKUP(AM$6,$S120:$AB120,$S$9:$AB$9)),0,(LOOKUP(AM$6,$S120:$AB120,$S$9:$AB$9)))</f>
        <v>0</v>
      </c>
      <c r="AN120" s="143">
        <f t="shared" si="148"/>
        <v>0</v>
      </c>
      <c r="AO120" s="143">
        <f t="shared" si="148"/>
        <v>0</v>
      </c>
      <c r="AP120" s="143">
        <f t="shared" si="148"/>
        <v>0</v>
      </c>
      <c r="AQ120" s="143">
        <f t="shared" si="148"/>
        <v>0</v>
      </c>
      <c r="AR120" s="143">
        <f t="shared" si="148"/>
        <v>0</v>
      </c>
      <c r="AS120" s="143">
        <f t="shared" si="148"/>
        <v>0</v>
      </c>
      <c r="AT120" s="143">
        <f t="shared" si="148"/>
        <v>0</v>
      </c>
      <c r="AU120" s="143">
        <f t="shared" si="148"/>
        <v>0</v>
      </c>
      <c r="AV120" s="143">
        <f t="shared" si="148"/>
        <v>0</v>
      </c>
      <c r="AW120" s="143">
        <f ca="1" t="shared" si="148"/>
        <v>0</v>
      </c>
      <c r="BB120" s="103" t="e">
        <v>#REF!</v>
      </c>
    </row>
    <row r="121" s="20" customFormat="1" ht="18" customHeight="1" spans="1:54">
      <c r="A121" s="81">
        <f>A118+1</f>
        <v>38</v>
      </c>
      <c r="B121" s="83"/>
      <c r="C121" s="83" t="s">
        <v>4902</v>
      </c>
      <c r="D121" s="84" t="s">
        <v>4934</v>
      </c>
      <c r="E121" s="85" t="s">
        <v>4819</v>
      </c>
      <c r="F121" s="86" t="s">
        <v>72</v>
      </c>
      <c r="G121" s="87" t="s">
        <v>4952</v>
      </c>
      <c r="H121" s="86" t="s">
        <v>4820</v>
      </c>
      <c r="I121" s="85" t="s">
        <v>8</v>
      </c>
      <c r="J121" s="86"/>
      <c r="K121" s="89">
        <f>M123</f>
        <v>0.005</v>
      </c>
      <c r="L121" s="89"/>
      <c r="M121" s="89"/>
      <c r="N121" s="85"/>
      <c r="O121" s="85"/>
      <c r="P121" s="85"/>
      <c r="Q121" s="90" t="s">
        <v>4905</v>
      </c>
      <c r="R121" s="91">
        <f>'Before Award'!U128+5</f>
        <v>46412</v>
      </c>
      <c r="S121" s="91" t="e">
        <f>WORKDAY(R121,INDEX(S$2:S$5,MATCH($I121,$I$2:$I$5,0)),$BB$10:$BB$141)</f>
        <v>#REF!</v>
      </c>
      <c r="T121" s="91" t="e">
        <f>WORKDAY(S121,INDEX(T$2:T$5,MATCH($I121,$I$2:$I$5,0)),$BB$10:$BB$141)</f>
        <v>#REF!</v>
      </c>
      <c r="U121" s="91" t="e">
        <f>T121+30</f>
        <v>#REF!</v>
      </c>
      <c r="V121" s="91"/>
      <c r="W121" s="91">
        <f>AB121-35</f>
        <v>46503</v>
      </c>
      <c r="X121" s="91"/>
      <c r="Y121" s="91"/>
      <c r="Z121" s="91"/>
      <c r="AA121" s="91"/>
      <c r="AB121" s="91">
        <f>'Before Award'!X128</f>
        <v>46538</v>
      </c>
      <c r="AC121" s="92" t="s">
        <v>4906</v>
      </c>
      <c r="AD121" s="93">
        <v>7</v>
      </c>
      <c r="AE121" s="144">
        <v>131</v>
      </c>
      <c r="AF121" s="95" t="e">
        <f>AB122</f>
        <v>#REF!</v>
      </c>
      <c r="AG121" s="96">
        <f>WORKDAY(AH121+1,-1,$BA$10:$BA$141)</f>
        <v>46538</v>
      </c>
      <c r="AH121" s="97">
        <v>46538</v>
      </c>
      <c r="AI121" s="98"/>
      <c r="AJ121" s="93" t="e">
        <f>AG121-AF121</f>
        <v>#REF!</v>
      </c>
      <c r="AK121" s="99"/>
      <c r="AL121" s="100"/>
      <c r="AM121" s="101">
        <f t="shared" ref="AM121:AW121" si="149">IF(ISERROR(LOOKUP(AM$6,$S121:$AB121,$S$9:$AB$9)),0,(LOOKUP(AM$6,$S121:$AB121,$S$9:$AB$9)))</f>
        <v>0</v>
      </c>
      <c r="AN121" s="102">
        <f t="shared" si="149"/>
        <v>0</v>
      </c>
      <c r="AO121" s="102">
        <f t="shared" si="149"/>
        <v>0</v>
      </c>
      <c r="AP121" s="102">
        <f t="shared" si="149"/>
        <v>0</v>
      </c>
      <c r="AQ121" s="102">
        <f t="shared" si="149"/>
        <v>0</v>
      </c>
      <c r="AR121" s="102">
        <f t="shared" si="149"/>
        <v>0</v>
      </c>
      <c r="AS121" s="102">
        <f t="shared" si="149"/>
        <v>0</v>
      </c>
      <c r="AT121" s="102">
        <f t="shared" si="149"/>
        <v>0</v>
      </c>
      <c r="AU121" s="102">
        <f t="shared" si="149"/>
        <v>0</v>
      </c>
      <c r="AV121" s="102">
        <f t="shared" si="149"/>
        <v>0</v>
      </c>
      <c r="AW121" s="102">
        <f ca="1" t="shared" si="149"/>
        <v>0</v>
      </c>
      <c r="BB121" s="103" t="e">
        <v>#REF!</v>
      </c>
    </row>
    <row r="122" s="20" customFormat="1" ht="18" customHeight="1" spans="1:54">
      <c r="A122" s="104"/>
      <c r="B122" s="106"/>
      <c r="C122" s="106"/>
      <c r="D122" s="107" t="str">
        <f>D121</f>
        <v>INS</v>
      </c>
      <c r="E122" s="108" t="str">
        <f>E121</f>
        <v>RFQ-038</v>
      </c>
      <c r="F122" s="109" t="str">
        <f>F121</f>
        <v>N</v>
      </c>
      <c r="G122" s="110"/>
      <c r="H122" s="109" t="str">
        <f>H121</f>
        <v>Fire and Gas Detector</v>
      </c>
      <c r="I122" s="108" t="str">
        <f>I121</f>
        <v>LC</v>
      </c>
      <c r="J122" s="109"/>
      <c r="K122" s="112"/>
      <c r="L122" s="112">
        <f>M123</f>
        <v>0.005</v>
      </c>
      <c r="M122" s="112"/>
      <c r="N122" s="108"/>
      <c r="O122" s="108"/>
      <c r="P122" s="108"/>
      <c r="Q122" s="113" t="s">
        <v>4907</v>
      </c>
      <c r="R122" s="113"/>
      <c r="S122" s="114" t="e">
        <f>S121</f>
        <v>#REF!</v>
      </c>
      <c r="T122" s="115" t="e">
        <f>T121</f>
        <v>#REF!</v>
      </c>
      <c r="U122" s="115" t="e">
        <f t="shared" ref="U122:Z122" si="150">WORKDAY(IF(T123="",T122,T123),INDEX(U$2:U$5,MATCH($I121,$I$2:$I$5,0)),$BB$10:$BB$141)</f>
        <v>#REF!</v>
      </c>
      <c r="V122" s="115" t="e">
        <f t="shared" si="150"/>
        <v>#REF!</v>
      </c>
      <c r="W122" s="115" t="e">
        <f t="shared" si="150"/>
        <v>#REF!</v>
      </c>
      <c r="X122" s="115" t="e">
        <f t="shared" si="150"/>
        <v>#REF!</v>
      </c>
      <c r="Y122" s="115" t="e">
        <f t="shared" si="150"/>
        <v>#REF!</v>
      </c>
      <c r="Z122" s="115" t="e">
        <f t="shared" si="150"/>
        <v>#REF!</v>
      </c>
      <c r="AA122" s="115" t="e">
        <f>WORKDAY(IF(Z123="",X122,Z123),INDEX(AA$2:AA$5,MATCH($I121,$I$2:$I$5,0)),$BB$10:$BB$141)</f>
        <v>#REF!</v>
      </c>
      <c r="AB122" s="116" t="e">
        <f>WORKDAY(AE121+#REF!,0,'[36]Equipment List and MR List (3)'!$A$2:$A$80)</f>
        <v>#REF!</v>
      </c>
      <c r="AC122" s="117"/>
      <c r="AD122" s="118"/>
      <c r="AE122" s="144"/>
      <c r="AF122" s="119"/>
      <c r="AG122" s="120"/>
      <c r="AH122" s="121"/>
      <c r="AI122" s="122"/>
      <c r="AJ122" s="118"/>
      <c r="AK122" s="123"/>
      <c r="AL122" s="124"/>
      <c r="AM122" s="101">
        <f t="shared" ref="AM122:AW122" si="151">IF(ISERROR(LOOKUP(AM$6,$S122:$AB122,$S$9:$AB$9)),0,(LOOKUP(AM$6,$S122:$AB122,$S$9:$AB$9)))</f>
        <v>0</v>
      </c>
      <c r="AN122" s="102">
        <f t="shared" si="151"/>
        <v>0</v>
      </c>
      <c r="AO122" s="102">
        <f t="shared" si="151"/>
        <v>0</v>
      </c>
      <c r="AP122" s="102">
        <f t="shared" si="151"/>
        <v>0</v>
      </c>
      <c r="AQ122" s="102">
        <f t="shared" si="151"/>
        <v>0</v>
      </c>
      <c r="AR122" s="102">
        <f t="shared" si="151"/>
        <v>0</v>
      </c>
      <c r="AS122" s="102">
        <f t="shared" si="151"/>
        <v>0</v>
      </c>
      <c r="AT122" s="102">
        <f t="shared" si="151"/>
        <v>0</v>
      </c>
      <c r="AU122" s="102">
        <f t="shared" si="151"/>
        <v>0</v>
      </c>
      <c r="AV122" s="102">
        <f t="shared" si="151"/>
        <v>0</v>
      </c>
      <c r="AW122" s="102">
        <f ca="1" t="shared" si="151"/>
        <v>0</v>
      </c>
      <c r="BB122" s="103" t="e">
        <v>#REF!</v>
      </c>
    </row>
    <row r="123" s="20" customFormat="1" ht="18" customHeight="1" spans="1:54">
      <c r="A123" s="125"/>
      <c r="B123" s="127"/>
      <c r="C123" s="127"/>
      <c r="D123" s="128" t="str">
        <f>D121</f>
        <v>INS</v>
      </c>
      <c r="E123" s="129" t="str">
        <f>E121</f>
        <v>RFQ-038</v>
      </c>
      <c r="F123" s="130" t="str">
        <f>F121</f>
        <v>N</v>
      </c>
      <c r="G123" s="131"/>
      <c r="H123" s="130" t="str">
        <f>H121</f>
        <v>Fire and Gas Detector</v>
      </c>
      <c r="I123" s="129" t="str">
        <f>I121</f>
        <v>LC</v>
      </c>
      <c r="J123" s="130"/>
      <c r="K123" s="132"/>
      <c r="L123" s="132"/>
      <c r="M123" s="132">
        <v>0.005</v>
      </c>
      <c r="N123" s="129"/>
      <c r="O123" s="129"/>
      <c r="P123" s="129"/>
      <c r="Q123" s="133" t="s">
        <v>4908</v>
      </c>
      <c r="R123" s="133"/>
      <c r="S123" s="151"/>
      <c r="T123" s="151"/>
      <c r="U123" s="151"/>
      <c r="V123" s="151"/>
      <c r="W123" s="151"/>
      <c r="X123" s="151"/>
      <c r="Y123" s="151"/>
      <c r="Z123" s="151"/>
      <c r="AA123" s="151"/>
      <c r="AB123" s="151"/>
      <c r="AC123" s="134"/>
      <c r="AD123" s="135"/>
      <c r="AE123" s="144"/>
      <c r="AF123" s="136"/>
      <c r="AG123" s="137"/>
      <c r="AH123" s="138"/>
      <c r="AI123" s="139"/>
      <c r="AJ123" s="135"/>
      <c r="AK123" s="140"/>
      <c r="AL123" s="141"/>
      <c r="AM123" s="142">
        <f t="shared" ref="AM123:AW123" si="152">IF(ISERROR(LOOKUP(AM$6,$S123:$AB123,$S$9:$AB$9)),0,(LOOKUP(AM$6,$S123:$AB123,$S$9:$AB$9)))</f>
        <v>0</v>
      </c>
      <c r="AN123" s="143">
        <f t="shared" si="152"/>
        <v>0</v>
      </c>
      <c r="AO123" s="143">
        <f t="shared" si="152"/>
        <v>0</v>
      </c>
      <c r="AP123" s="143">
        <f t="shared" si="152"/>
        <v>0</v>
      </c>
      <c r="AQ123" s="143">
        <f t="shared" si="152"/>
        <v>0</v>
      </c>
      <c r="AR123" s="143">
        <f t="shared" si="152"/>
        <v>0</v>
      </c>
      <c r="AS123" s="143">
        <f t="shared" si="152"/>
        <v>0</v>
      </c>
      <c r="AT123" s="143">
        <f t="shared" si="152"/>
        <v>0</v>
      </c>
      <c r="AU123" s="143">
        <f t="shared" si="152"/>
        <v>0</v>
      </c>
      <c r="AV123" s="143">
        <f t="shared" si="152"/>
        <v>0</v>
      </c>
      <c r="AW123" s="143">
        <f ca="1" t="shared" si="152"/>
        <v>0</v>
      </c>
      <c r="BB123" s="103" t="e">
        <v>#REF!</v>
      </c>
    </row>
    <row r="124" s="20" customFormat="1" ht="18" customHeight="1" spans="1:54">
      <c r="A124" s="81">
        <f>A121+1</f>
        <v>39</v>
      </c>
      <c r="B124" s="83"/>
      <c r="C124" s="83" t="s">
        <v>4902</v>
      </c>
      <c r="D124" s="84" t="s">
        <v>4934</v>
      </c>
      <c r="E124" s="85" t="s">
        <v>4821</v>
      </c>
      <c r="F124" s="86" t="s">
        <v>72</v>
      </c>
      <c r="G124" s="87" t="s">
        <v>4953</v>
      </c>
      <c r="H124" s="86" t="s">
        <v>4822</v>
      </c>
      <c r="I124" s="85" t="s">
        <v>8</v>
      </c>
      <c r="J124" s="86"/>
      <c r="K124" s="89">
        <f>M126</f>
        <v>0.005</v>
      </c>
      <c r="L124" s="89"/>
      <c r="M124" s="89"/>
      <c r="N124" s="85"/>
      <c r="O124" s="85"/>
      <c r="P124" s="85"/>
      <c r="Q124" s="90" t="s">
        <v>4905</v>
      </c>
      <c r="R124" s="91">
        <f>'Before Award'!U131+5</f>
        <v>46417</v>
      </c>
      <c r="S124" s="91" t="e">
        <f>WORKDAY(R124,INDEX(S$2:S$5,MATCH($I124,$I$2:$I$5,0)),$BB$10:$BB$141)</f>
        <v>#REF!</v>
      </c>
      <c r="T124" s="91" t="e">
        <f>WORKDAY(S124,INDEX(T$2:T$5,MATCH($I124,$I$2:$I$5,0)),$BB$10:$BB$141)</f>
        <v>#REF!</v>
      </c>
      <c r="U124" s="91" t="e">
        <f>T124+30</f>
        <v>#REF!</v>
      </c>
      <c r="V124" s="91"/>
      <c r="W124" s="91">
        <f>AB124-35</f>
        <v>46503</v>
      </c>
      <c r="X124" s="91"/>
      <c r="Y124" s="91"/>
      <c r="Z124" s="91"/>
      <c r="AA124" s="91"/>
      <c r="AB124" s="91">
        <f>'Before Award'!X131</f>
        <v>46538</v>
      </c>
      <c r="AC124" s="92" t="s">
        <v>4906</v>
      </c>
      <c r="AD124" s="93">
        <v>7</v>
      </c>
      <c r="AE124" s="144">
        <f>18*7</f>
        <v>126</v>
      </c>
      <c r="AF124" s="95" t="e">
        <f>AB125</f>
        <v>#REF!</v>
      </c>
      <c r="AG124" s="96">
        <f>WORKDAY(AH124+1,-1,$BA$10:$BA$141)</f>
        <v>46538</v>
      </c>
      <c r="AH124" s="97">
        <v>46538</v>
      </c>
      <c r="AI124" s="98"/>
      <c r="AJ124" s="93" t="e">
        <f>AG124-AF124</f>
        <v>#REF!</v>
      </c>
      <c r="AK124" s="99"/>
      <c r="AL124" s="100"/>
      <c r="AM124" s="101">
        <f t="shared" ref="AM124:AW124" si="153">IF(ISERROR(LOOKUP(AM$6,$S124:$AB124,$S$9:$AB$9)),0,(LOOKUP(AM$6,$S124:$AB124,$S$9:$AB$9)))</f>
        <v>0</v>
      </c>
      <c r="AN124" s="102">
        <f t="shared" si="153"/>
        <v>0</v>
      </c>
      <c r="AO124" s="102">
        <f t="shared" si="153"/>
        <v>0</v>
      </c>
      <c r="AP124" s="102">
        <f t="shared" si="153"/>
        <v>0</v>
      </c>
      <c r="AQ124" s="102">
        <f t="shared" si="153"/>
        <v>0</v>
      </c>
      <c r="AR124" s="102">
        <f t="shared" si="153"/>
        <v>0</v>
      </c>
      <c r="AS124" s="102">
        <f t="shared" si="153"/>
        <v>0</v>
      </c>
      <c r="AT124" s="102">
        <f t="shared" si="153"/>
        <v>0</v>
      </c>
      <c r="AU124" s="102">
        <f t="shared" si="153"/>
        <v>0</v>
      </c>
      <c r="AV124" s="102">
        <f t="shared" si="153"/>
        <v>0</v>
      </c>
      <c r="AW124" s="102">
        <f ca="1" t="shared" si="153"/>
        <v>0</v>
      </c>
      <c r="BB124" s="103" t="e">
        <v>#REF!</v>
      </c>
    </row>
    <row r="125" s="20" customFormat="1" ht="18" customHeight="1" spans="1:54">
      <c r="A125" s="104"/>
      <c r="B125" s="106"/>
      <c r="C125" s="106"/>
      <c r="D125" s="107" t="str">
        <f>D124</f>
        <v>INS</v>
      </c>
      <c r="E125" s="108" t="str">
        <f>E124</f>
        <v>RFQ-039</v>
      </c>
      <c r="F125" s="109" t="str">
        <f>F124</f>
        <v>N</v>
      </c>
      <c r="G125" s="110"/>
      <c r="H125" s="109" t="str">
        <f>H124</f>
        <v>Dip Tape Level Indicator</v>
      </c>
      <c r="I125" s="108" t="str">
        <f>I124</f>
        <v>LC</v>
      </c>
      <c r="J125" s="109"/>
      <c r="K125" s="112"/>
      <c r="L125" s="112">
        <f>M126</f>
        <v>0.005</v>
      </c>
      <c r="M125" s="112"/>
      <c r="N125" s="108"/>
      <c r="O125" s="108"/>
      <c r="P125" s="108"/>
      <c r="Q125" s="113" t="s">
        <v>4907</v>
      </c>
      <c r="R125" s="113"/>
      <c r="S125" s="114" t="e">
        <f>S124</f>
        <v>#REF!</v>
      </c>
      <c r="T125" s="115" t="e">
        <f>T124</f>
        <v>#REF!</v>
      </c>
      <c r="U125" s="115" t="e">
        <f t="shared" ref="U125:Z125" si="154">WORKDAY(IF(T126="",T125,T126),INDEX(U$2:U$5,MATCH($I124,$I$2:$I$5,0)),$BB$10:$BB$141)</f>
        <v>#REF!</v>
      </c>
      <c r="V125" s="115" t="e">
        <f t="shared" si="154"/>
        <v>#REF!</v>
      </c>
      <c r="W125" s="115" t="e">
        <f t="shared" si="154"/>
        <v>#REF!</v>
      </c>
      <c r="X125" s="115" t="e">
        <f t="shared" si="154"/>
        <v>#REF!</v>
      </c>
      <c r="Y125" s="115" t="e">
        <f t="shared" si="154"/>
        <v>#REF!</v>
      </c>
      <c r="Z125" s="115" t="e">
        <f t="shared" si="154"/>
        <v>#REF!</v>
      </c>
      <c r="AA125" s="115" t="e">
        <f>WORKDAY(IF(Z126="",X125,Z126),INDEX(AA$2:AA$5,MATCH($I124,$I$2:$I$5,0)),$BB$10:$BB$141)</f>
        <v>#REF!</v>
      </c>
      <c r="AB125" s="116" t="e">
        <f>WORKDAY(AE124+#REF!,0,'[36]Equipment List and MR List (3)'!$A$2:$A$80)</f>
        <v>#REF!</v>
      </c>
      <c r="AC125" s="117"/>
      <c r="AD125" s="118"/>
      <c r="AE125" s="144"/>
      <c r="AF125" s="119"/>
      <c r="AG125" s="120"/>
      <c r="AH125" s="121"/>
      <c r="AI125" s="122"/>
      <c r="AJ125" s="118"/>
      <c r="AK125" s="123"/>
      <c r="AL125" s="124"/>
      <c r="AM125" s="101">
        <f t="shared" ref="AM125:AW125" si="155">IF(ISERROR(LOOKUP(AM$6,$S125:$AB125,$S$9:$AB$9)),0,(LOOKUP(AM$6,$S125:$AB125,$S$9:$AB$9)))</f>
        <v>0</v>
      </c>
      <c r="AN125" s="102">
        <f t="shared" si="155"/>
        <v>0</v>
      </c>
      <c r="AO125" s="102">
        <f t="shared" si="155"/>
        <v>0</v>
      </c>
      <c r="AP125" s="102">
        <f t="shared" si="155"/>
        <v>0</v>
      </c>
      <c r="AQ125" s="102">
        <f t="shared" si="155"/>
        <v>0</v>
      </c>
      <c r="AR125" s="102">
        <f t="shared" si="155"/>
        <v>0</v>
      </c>
      <c r="AS125" s="102">
        <f t="shared" si="155"/>
        <v>0</v>
      </c>
      <c r="AT125" s="102">
        <f t="shared" si="155"/>
        <v>0</v>
      </c>
      <c r="AU125" s="102">
        <f t="shared" si="155"/>
        <v>0</v>
      </c>
      <c r="AV125" s="102">
        <f t="shared" si="155"/>
        <v>0</v>
      </c>
      <c r="AW125" s="102">
        <f ca="1" t="shared" si="155"/>
        <v>0</v>
      </c>
      <c r="BB125" s="103" t="e">
        <v>#REF!</v>
      </c>
    </row>
    <row r="126" s="20" customFormat="1" ht="18" customHeight="1" spans="1:54">
      <c r="A126" s="125"/>
      <c r="B126" s="127"/>
      <c r="C126" s="127"/>
      <c r="D126" s="128" t="str">
        <f>D124</f>
        <v>INS</v>
      </c>
      <c r="E126" s="129" t="str">
        <f>E124</f>
        <v>RFQ-039</v>
      </c>
      <c r="F126" s="130" t="str">
        <f>F124</f>
        <v>N</v>
      </c>
      <c r="G126" s="131"/>
      <c r="H126" s="130" t="str">
        <f>H124</f>
        <v>Dip Tape Level Indicator</v>
      </c>
      <c r="I126" s="129" t="str">
        <f>I124</f>
        <v>LC</v>
      </c>
      <c r="J126" s="130"/>
      <c r="K126" s="132"/>
      <c r="L126" s="132"/>
      <c r="M126" s="132">
        <v>0.005</v>
      </c>
      <c r="N126" s="129"/>
      <c r="O126" s="129"/>
      <c r="P126" s="129"/>
      <c r="Q126" s="133" t="s">
        <v>4908</v>
      </c>
      <c r="R126" s="133"/>
      <c r="S126" s="151"/>
      <c r="T126" s="151"/>
      <c r="U126" s="151"/>
      <c r="V126" s="151"/>
      <c r="W126" s="151"/>
      <c r="X126" s="151"/>
      <c r="Y126" s="151"/>
      <c r="Z126" s="151"/>
      <c r="AA126" s="151"/>
      <c r="AB126" s="151"/>
      <c r="AC126" s="134"/>
      <c r="AD126" s="135"/>
      <c r="AE126" s="144"/>
      <c r="AF126" s="136"/>
      <c r="AG126" s="137"/>
      <c r="AH126" s="138"/>
      <c r="AI126" s="139"/>
      <c r="AJ126" s="135"/>
      <c r="AK126" s="140"/>
      <c r="AL126" s="141"/>
      <c r="AM126" s="142">
        <f t="shared" ref="AM126:AW126" si="156">IF(ISERROR(LOOKUP(AM$6,$S126:$AB126,$S$9:$AB$9)),0,(LOOKUP(AM$6,$S126:$AB126,$S$9:$AB$9)))</f>
        <v>0</v>
      </c>
      <c r="AN126" s="143">
        <f t="shared" si="156"/>
        <v>0</v>
      </c>
      <c r="AO126" s="143">
        <f t="shared" si="156"/>
        <v>0</v>
      </c>
      <c r="AP126" s="143">
        <f t="shared" si="156"/>
        <v>0</v>
      </c>
      <c r="AQ126" s="143">
        <f t="shared" si="156"/>
        <v>0</v>
      </c>
      <c r="AR126" s="143">
        <f t="shared" si="156"/>
        <v>0</v>
      </c>
      <c r="AS126" s="143">
        <f t="shared" si="156"/>
        <v>0</v>
      </c>
      <c r="AT126" s="143">
        <f t="shared" si="156"/>
        <v>0</v>
      </c>
      <c r="AU126" s="143">
        <f t="shared" si="156"/>
        <v>0</v>
      </c>
      <c r="AV126" s="143">
        <f t="shared" si="156"/>
        <v>0</v>
      </c>
      <c r="AW126" s="143">
        <f ca="1" t="shared" si="156"/>
        <v>0</v>
      </c>
      <c r="BB126" s="103" t="e">
        <v>#REF!</v>
      </c>
    </row>
    <row r="127" s="20" customFormat="1" ht="18" customHeight="1" spans="1:54">
      <c r="A127" s="81">
        <f>A124+1</f>
        <v>40</v>
      </c>
      <c r="B127" s="83"/>
      <c r="C127" s="83" t="s">
        <v>4902</v>
      </c>
      <c r="D127" s="84" t="s">
        <v>4934</v>
      </c>
      <c r="E127" s="85" t="s">
        <v>4823</v>
      </c>
      <c r="F127" s="86" t="s">
        <v>72</v>
      </c>
      <c r="G127" s="87" t="s">
        <v>4954</v>
      </c>
      <c r="H127" s="86" t="s">
        <v>191</v>
      </c>
      <c r="I127" s="85" t="s">
        <v>8</v>
      </c>
      <c r="J127" s="86"/>
      <c r="K127" s="89">
        <f>M129</f>
        <v>0.005</v>
      </c>
      <c r="L127" s="89"/>
      <c r="M127" s="89"/>
      <c r="N127" s="85"/>
      <c r="O127" s="85"/>
      <c r="P127" s="85"/>
      <c r="Q127" s="90" t="s">
        <v>4905</v>
      </c>
      <c r="R127" s="91">
        <f>'Before Award'!U134+5</f>
        <v>46417</v>
      </c>
      <c r="S127" s="91" t="e">
        <f>WORKDAY(R127,INDEX(S$2:S$5,MATCH($I127,$I$2:$I$5,0)),$BB$10:$BB$141)</f>
        <v>#REF!</v>
      </c>
      <c r="T127" s="91" t="e">
        <f>WORKDAY(S127,INDEX(T$2:T$5,MATCH($I127,$I$2:$I$5,0)),$BB$10:$BB$141)</f>
        <v>#REF!</v>
      </c>
      <c r="U127" s="91" t="e">
        <f>T127+30</f>
        <v>#REF!</v>
      </c>
      <c r="V127" s="91"/>
      <c r="W127" s="91">
        <f>AB127-35</f>
        <v>46503</v>
      </c>
      <c r="X127" s="91"/>
      <c r="Y127" s="91"/>
      <c r="Z127" s="91"/>
      <c r="AA127" s="91"/>
      <c r="AB127" s="91">
        <f>'Before Award'!X134</f>
        <v>46538</v>
      </c>
      <c r="AC127" s="92" t="s">
        <v>4906</v>
      </c>
      <c r="AD127" s="93">
        <v>7</v>
      </c>
      <c r="AE127" s="144">
        <f>18*7</f>
        <v>126</v>
      </c>
      <c r="AF127" s="95" t="e">
        <f>AB128</f>
        <v>#REF!</v>
      </c>
      <c r="AG127" s="96">
        <f>WORKDAY(AH127+1,-1,$BA$10:$BA$141)</f>
        <v>46538</v>
      </c>
      <c r="AH127" s="97">
        <v>46538</v>
      </c>
      <c r="AI127" s="98"/>
      <c r="AJ127" s="93" t="e">
        <f>AG127-AF127</f>
        <v>#REF!</v>
      </c>
      <c r="AK127" s="99"/>
      <c r="AL127" s="100"/>
      <c r="AM127" s="101">
        <f t="shared" ref="AM127:AW127" si="157">IF(ISERROR(LOOKUP(AM$6,$S127:$AB127,$S$9:$AB$9)),0,(LOOKUP(AM$6,$S127:$AB127,$S$9:$AB$9)))</f>
        <v>0</v>
      </c>
      <c r="AN127" s="102">
        <f t="shared" si="157"/>
        <v>0</v>
      </c>
      <c r="AO127" s="102">
        <f t="shared" si="157"/>
        <v>0</v>
      </c>
      <c r="AP127" s="102">
        <f t="shared" si="157"/>
        <v>0</v>
      </c>
      <c r="AQ127" s="102">
        <f t="shared" si="157"/>
        <v>0</v>
      </c>
      <c r="AR127" s="102">
        <f t="shared" si="157"/>
        <v>0</v>
      </c>
      <c r="AS127" s="102">
        <f t="shared" si="157"/>
        <v>0</v>
      </c>
      <c r="AT127" s="102">
        <f t="shared" si="157"/>
        <v>0</v>
      </c>
      <c r="AU127" s="102">
        <f t="shared" si="157"/>
        <v>0</v>
      </c>
      <c r="AV127" s="102">
        <f t="shared" si="157"/>
        <v>0</v>
      </c>
      <c r="AW127" s="102">
        <f ca="1" t="shared" si="157"/>
        <v>0</v>
      </c>
      <c r="BB127" s="103" t="e">
        <v>#REF!</v>
      </c>
    </row>
    <row r="128" s="20" customFormat="1" ht="18" customHeight="1" spans="1:54">
      <c r="A128" s="104"/>
      <c r="B128" s="106"/>
      <c r="C128" s="106"/>
      <c r="D128" s="107" t="str">
        <f>D127</f>
        <v>INS</v>
      </c>
      <c r="E128" s="108" t="str">
        <f>E127</f>
        <v>RFQ-040</v>
      </c>
      <c r="F128" s="109" t="str">
        <f>F127</f>
        <v>N</v>
      </c>
      <c r="G128" s="110"/>
      <c r="H128" s="109" t="str">
        <f>H127</f>
        <v>Position Limit Switches</v>
      </c>
      <c r="I128" s="108" t="str">
        <f>I127</f>
        <v>LC</v>
      </c>
      <c r="J128" s="109"/>
      <c r="K128" s="112"/>
      <c r="L128" s="112">
        <f>M129</f>
        <v>0.005</v>
      </c>
      <c r="M128" s="112"/>
      <c r="N128" s="108"/>
      <c r="O128" s="108"/>
      <c r="P128" s="108"/>
      <c r="Q128" s="113" t="s">
        <v>4907</v>
      </c>
      <c r="R128" s="113"/>
      <c r="S128" s="114" t="e">
        <f>S127</f>
        <v>#REF!</v>
      </c>
      <c r="T128" s="115" t="e">
        <f>T127</f>
        <v>#REF!</v>
      </c>
      <c r="U128" s="115" t="e">
        <f t="shared" ref="U128:Z128" si="158">WORKDAY(IF(T129="",T128,T129),INDEX(U$2:U$5,MATCH($I127,$I$2:$I$5,0)),$BB$10:$BB$141)</f>
        <v>#REF!</v>
      </c>
      <c r="V128" s="115" t="e">
        <f t="shared" si="158"/>
        <v>#REF!</v>
      </c>
      <c r="W128" s="115" t="e">
        <f t="shared" si="158"/>
        <v>#REF!</v>
      </c>
      <c r="X128" s="115" t="e">
        <f t="shared" si="158"/>
        <v>#REF!</v>
      </c>
      <c r="Y128" s="115" t="e">
        <f t="shared" si="158"/>
        <v>#REF!</v>
      </c>
      <c r="Z128" s="115" t="e">
        <f t="shared" si="158"/>
        <v>#REF!</v>
      </c>
      <c r="AA128" s="115" t="e">
        <f>WORKDAY(IF(Z129="",X128,Z129),INDEX(AA$2:AA$5,MATCH($I127,$I$2:$I$5,0)),$BB$10:$BB$141)</f>
        <v>#REF!</v>
      </c>
      <c r="AB128" s="116" t="e">
        <f>WORKDAY(AE127+#REF!,0,'[36]Equipment List and MR List (3)'!$A$2:$A$80)</f>
        <v>#REF!</v>
      </c>
      <c r="AC128" s="117"/>
      <c r="AD128" s="118"/>
      <c r="AE128" s="144"/>
      <c r="AF128" s="119"/>
      <c r="AG128" s="120"/>
      <c r="AH128" s="121"/>
      <c r="AI128" s="122"/>
      <c r="AJ128" s="118"/>
      <c r="AK128" s="123"/>
      <c r="AL128" s="124"/>
      <c r="AM128" s="101">
        <f t="shared" ref="AM128:AW128" si="159">IF(ISERROR(LOOKUP(AM$6,$S128:$AB128,$S$9:$AB$9)),0,(LOOKUP(AM$6,$S128:$AB128,$S$9:$AB$9)))</f>
        <v>0</v>
      </c>
      <c r="AN128" s="102">
        <f t="shared" si="159"/>
        <v>0</v>
      </c>
      <c r="AO128" s="102">
        <f t="shared" si="159"/>
        <v>0</v>
      </c>
      <c r="AP128" s="102">
        <f t="shared" si="159"/>
        <v>0</v>
      </c>
      <c r="AQ128" s="102">
        <f t="shared" si="159"/>
        <v>0</v>
      </c>
      <c r="AR128" s="102">
        <f t="shared" si="159"/>
        <v>0</v>
      </c>
      <c r="AS128" s="102">
        <f t="shared" si="159"/>
        <v>0</v>
      </c>
      <c r="AT128" s="102">
        <f t="shared" si="159"/>
        <v>0</v>
      </c>
      <c r="AU128" s="102">
        <f t="shared" si="159"/>
        <v>0</v>
      </c>
      <c r="AV128" s="102">
        <f t="shared" si="159"/>
        <v>0</v>
      </c>
      <c r="AW128" s="102">
        <f ca="1" t="shared" si="159"/>
        <v>0</v>
      </c>
      <c r="BB128" s="103" t="e">
        <v>#REF!</v>
      </c>
    </row>
    <row r="129" s="20" customFormat="1" ht="18" customHeight="1" spans="1:54">
      <c r="A129" s="125"/>
      <c r="B129" s="127"/>
      <c r="C129" s="127"/>
      <c r="D129" s="128" t="str">
        <f>D127</f>
        <v>INS</v>
      </c>
      <c r="E129" s="129" t="str">
        <f>E127</f>
        <v>RFQ-040</v>
      </c>
      <c r="F129" s="130" t="str">
        <f>F127</f>
        <v>N</v>
      </c>
      <c r="G129" s="131"/>
      <c r="H129" s="130" t="str">
        <f>H127</f>
        <v>Position Limit Switches</v>
      </c>
      <c r="I129" s="129" t="str">
        <f>I127</f>
        <v>LC</v>
      </c>
      <c r="J129" s="130"/>
      <c r="K129" s="132"/>
      <c r="L129" s="132"/>
      <c r="M129" s="132">
        <v>0.005</v>
      </c>
      <c r="N129" s="129"/>
      <c r="O129" s="129"/>
      <c r="P129" s="129"/>
      <c r="Q129" s="133" t="s">
        <v>4908</v>
      </c>
      <c r="R129" s="133"/>
      <c r="S129" s="151"/>
      <c r="T129" s="151"/>
      <c r="U129" s="151"/>
      <c r="V129" s="151"/>
      <c r="W129" s="151"/>
      <c r="X129" s="151"/>
      <c r="Y129" s="151"/>
      <c r="Z129" s="151"/>
      <c r="AA129" s="151"/>
      <c r="AB129" s="151"/>
      <c r="AC129" s="134"/>
      <c r="AD129" s="135"/>
      <c r="AE129" s="144"/>
      <c r="AF129" s="136"/>
      <c r="AG129" s="137"/>
      <c r="AH129" s="138"/>
      <c r="AI129" s="139"/>
      <c r="AJ129" s="135"/>
      <c r="AK129" s="140"/>
      <c r="AL129" s="141"/>
      <c r="AM129" s="142">
        <f t="shared" ref="AM129:AW129" si="160">IF(ISERROR(LOOKUP(AM$6,$S129:$AB129,$S$9:$AB$9)),0,(LOOKUP(AM$6,$S129:$AB129,$S$9:$AB$9)))</f>
        <v>0</v>
      </c>
      <c r="AN129" s="143">
        <f t="shared" si="160"/>
        <v>0</v>
      </c>
      <c r="AO129" s="143">
        <f t="shared" si="160"/>
        <v>0</v>
      </c>
      <c r="AP129" s="143">
        <f t="shared" si="160"/>
        <v>0</v>
      </c>
      <c r="AQ129" s="143">
        <f t="shared" si="160"/>
        <v>0</v>
      </c>
      <c r="AR129" s="143">
        <f t="shared" si="160"/>
        <v>0</v>
      </c>
      <c r="AS129" s="143">
        <f t="shared" si="160"/>
        <v>0</v>
      </c>
      <c r="AT129" s="143">
        <f t="shared" si="160"/>
        <v>0</v>
      </c>
      <c r="AU129" s="143">
        <f t="shared" si="160"/>
        <v>0</v>
      </c>
      <c r="AV129" s="143">
        <f t="shared" si="160"/>
        <v>0</v>
      </c>
      <c r="AW129" s="143">
        <f ca="1" t="shared" si="160"/>
        <v>0</v>
      </c>
      <c r="BB129" s="103" t="e">
        <v>#REF!</v>
      </c>
    </row>
    <row r="130" s="20" customFormat="1" ht="18" customHeight="1" spans="1:54">
      <c r="A130" s="81">
        <f>A127+1</f>
        <v>41</v>
      </c>
      <c r="B130" s="83"/>
      <c r="C130" s="83" t="s">
        <v>4902</v>
      </c>
      <c r="D130" s="84" t="s">
        <v>4934</v>
      </c>
      <c r="E130" s="85" t="s">
        <v>4824</v>
      </c>
      <c r="F130" s="86" t="s">
        <v>72</v>
      </c>
      <c r="G130" s="87" t="s">
        <v>4955</v>
      </c>
      <c r="H130" s="86" t="s">
        <v>194</v>
      </c>
      <c r="I130" s="85" t="s">
        <v>8</v>
      </c>
      <c r="J130" s="86"/>
      <c r="K130" s="89">
        <f>M132</f>
        <v>0.005</v>
      </c>
      <c r="L130" s="89"/>
      <c r="M130" s="89"/>
      <c r="N130" s="85"/>
      <c r="O130" s="85"/>
      <c r="P130" s="85"/>
      <c r="Q130" s="90" t="s">
        <v>4905</v>
      </c>
      <c r="R130" s="91">
        <f>'Before Award'!U137+5</f>
        <v>46333</v>
      </c>
      <c r="S130" s="91" t="e">
        <f>WORKDAY(R130,INDEX(S$2:S$5,MATCH($I130,$I$2:$I$5,0)),$BB$10:$BB$141)</f>
        <v>#REF!</v>
      </c>
      <c r="T130" s="91" t="e">
        <f>WORKDAY(S130,INDEX(T$2:T$5,MATCH($I130,$I$2:$I$5,0)),$BB$10:$BB$141)</f>
        <v>#REF!</v>
      </c>
      <c r="U130" s="91" t="e">
        <f>T130+30</f>
        <v>#REF!</v>
      </c>
      <c r="V130" s="91"/>
      <c r="W130" s="91">
        <f>AB130-35</f>
        <v>46503</v>
      </c>
      <c r="X130" s="91"/>
      <c r="Y130" s="91"/>
      <c r="Z130" s="91"/>
      <c r="AA130" s="91"/>
      <c r="AB130" s="91">
        <f>'Before Award'!X137</f>
        <v>46538</v>
      </c>
      <c r="AC130" s="92" t="s">
        <v>4906</v>
      </c>
      <c r="AD130" s="93">
        <v>7</v>
      </c>
      <c r="AE130" s="144">
        <f>30*7</f>
        <v>210</v>
      </c>
      <c r="AF130" s="95" t="e">
        <f>AB131</f>
        <v>#REF!</v>
      </c>
      <c r="AG130" s="96">
        <f>WORKDAY(AH130+1,-1,$BA$10:$BA$141)</f>
        <v>46538</v>
      </c>
      <c r="AH130" s="97">
        <v>46538</v>
      </c>
      <c r="AI130" s="98"/>
      <c r="AJ130" s="93" t="e">
        <f>AG130-AF130</f>
        <v>#REF!</v>
      </c>
      <c r="AK130" s="99"/>
      <c r="AL130" s="100"/>
      <c r="AM130" s="101">
        <f t="shared" ref="AM130:AW130" si="161">IF(ISERROR(LOOKUP(AM$6,$S130:$AB130,$S$9:$AB$9)),0,(LOOKUP(AM$6,$S130:$AB130,$S$9:$AB$9)))</f>
        <v>0</v>
      </c>
      <c r="AN130" s="102">
        <f t="shared" si="161"/>
        <v>0</v>
      </c>
      <c r="AO130" s="102">
        <f t="shared" si="161"/>
        <v>0</v>
      </c>
      <c r="AP130" s="102">
        <f t="shared" si="161"/>
        <v>0</v>
      </c>
      <c r="AQ130" s="102">
        <f t="shared" si="161"/>
        <v>0</v>
      </c>
      <c r="AR130" s="102">
        <f t="shared" si="161"/>
        <v>0</v>
      </c>
      <c r="AS130" s="102">
        <f t="shared" si="161"/>
        <v>0</v>
      </c>
      <c r="AT130" s="102">
        <f t="shared" si="161"/>
        <v>0</v>
      </c>
      <c r="AU130" s="102">
        <f t="shared" si="161"/>
        <v>0</v>
      </c>
      <c r="AV130" s="102">
        <f t="shared" si="161"/>
        <v>0</v>
      </c>
      <c r="AW130" s="102">
        <f ca="1" t="shared" si="161"/>
        <v>0</v>
      </c>
      <c r="BB130" s="103" t="e">
        <v>#REF!</v>
      </c>
    </row>
    <row r="131" s="20" customFormat="1" ht="18" customHeight="1" spans="1:54">
      <c r="A131" s="104"/>
      <c r="B131" s="106"/>
      <c r="C131" s="106"/>
      <c r="D131" s="107" t="str">
        <f>D130</f>
        <v>INS</v>
      </c>
      <c r="E131" s="108" t="str">
        <f>E130</f>
        <v>RFQ-041</v>
      </c>
      <c r="F131" s="109" t="str">
        <f>F130</f>
        <v>N</v>
      </c>
      <c r="G131" s="110"/>
      <c r="H131" s="109" t="str">
        <f>H130</f>
        <v>Guided Wave Radar Level Transmitter</v>
      </c>
      <c r="I131" s="108" t="str">
        <f>I130</f>
        <v>LC</v>
      </c>
      <c r="J131" s="109"/>
      <c r="K131" s="112"/>
      <c r="L131" s="112">
        <f>M132</f>
        <v>0.005</v>
      </c>
      <c r="M131" s="112"/>
      <c r="N131" s="108"/>
      <c r="O131" s="108"/>
      <c r="P131" s="108"/>
      <c r="Q131" s="113" t="s">
        <v>4907</v>
      </c>
      <c r="R131" s="113"/>
      <c r="S131" s="114" t="e">
        <f>S130</f>
        <v>#REF!</v>
      </c>
      <c r="T131" s="115" t="e">
        <f>T130</f>
        <v>#REF!</v>
      </c>
      <c r="U131" s="115" t="e">
        <f t="shared" ref="U131:Z131" si="162">WORKDAY(IF(T132="",T131,T132),INDEX(U$2:U$5,MATCH($I130,$I$2:$I$5,0)),$BB$10:$BB$141)</f>
        <v>#REF!</v>
      </c>
      <c r="V131" s="115" t="e">
        <f t="shared" si="162"/>
        <v>#REF!</v>
      </c>
      <c r="W131" s="115" t="e">
        <f t="shared" si="162"/>
        <v>#REF!</v>
      </c>
      <c r="X131" s="115" t="e">
        <f t="shared" si="162"/>
        <v>#REF!</v>
      </c>
      <c r="Y131" s="115" t="e">
        <f t="shared" si="162"/>
        <v>#REF!</v>
      </c>
      <c r="Z131" s="115" t="e">
        <f t="shared" si="162"/>
        <v>#REF!</v>
      </c>
      <c r="AA131" s="115" t="e">
        <f>WORKDAY(IF(Z132="",X131,Z132),INDEX(AA$2:AA$5,MATCH($I130,$I$2:$I$5,0)),$BB$10:$BB$141)</f>
        <v>#REF!</v>
      </c>
      <c r="AB131" s="116" t="e">
        <f>WORKDAY(AE130+#REF!,0,'[36]Equipment List and MR List (3)'!$A$2:$A$80)</f>
        <v>#REF!</v>
      </c>
      <c r="AC131" s="117"/>
      <c r="AD131" s="118"/>
      <c r="AE131" s="144"/>
      <c r="AF131" s="119"/>
      <c r="AG131" s="120"/>
      <c r="AH131" s="121"/>
      <c r="AI131" s="122"/>
      <c r="AJ131" s="118"/>
      <c r="AK131" s="123"/>
      <c r="AL131" s="124"/>
      <c r="AM131" s="101">
        <f t="shared" ref="AM131:AW131" si="163">IF(ISERROR(LOOKUP(AM$6,$S131:$AB131,$S$9:$AB$9)),0,(LOOKUP(AM$6,$S131:$AB131,$S$9:$AB$9)))</f>
        <v>0</v>
      </c>
      <c r="AN131" s="102">
        <f t="shared" si="163"/>
        <v>0</v>
      </c>
      <c r="AO131" s="102">
        <f t="shared" si="163"/>
        <v>0</v>
      </c>
      <c r="AP131" s="102">
        <f t="shared" si="163"/>
        <v>0</v>
      </c>
      <c r="AQ131" s="102">
        <f t="shared" si="163"/>
        <v>0</v>
      </c>
      <c r="AR131" s="102">
        <f t="shared" si="163"/>
        <v>0</v>
      </c>
      <c r="AS131" s="102">
        <f t="shared" si="163"/>
        <v>0</v>
      </c>
      <c r="AT131" s="102">
        <f t="shared" si="163"/>
        <v>0</v>
      </c>
      <c r="AU131" s="102">
        <f t="shared" si="163"/>
        <v>0</v>
      </c>
      <c r="AV131" s="102">
        <f t="shared" si="163"/>
        <v>0</v>
      </c>
      <c r="AW131" s="102">
        <f ca="1" t="shared" si="163"/>
        <v>0</v>
      </c>
      <c r="BB131" s="103" t="e">
        <v>#REF!</v>
      </c>
    </row>
    <row r="132" s="20" customFormat="1" ht="18" customHeight="1" spans="1:54">
      <c r="A132" s="125"/>
      <c r="B132" s="127"/>
      <c r="C132" s="127"/>
      <c r="D132" s="128" t="str">
        <f>D130</f>
        <v>INS</v>
      </c>
      <c r="E132" s="129" t="str">
        <f>E130</f>
        <v>RFQ-041</v>
      </c>
      <c r="F132" s="130" t="str">
        <f>F130</f>
        <v>N</v>
      </c>
      <c r="G132" s="131"/>
      <c r="H132" s="130" t="str">
        <f>H130</f>
        <v>Guided Wave Radar Level Transmitter</v>
      </c>
      <c r="I132" s="129" t="str">
        <f>I130</f>
        <v>LC</v>
      </c>
      <c r="J132" s="130"/>
      <c r="K132" s="132"/>
      <c r="L132" s="132"/>
      <c r="M132" s="132">
        <v>0.005</v>
      </c>
      <c r="N132" s="129"/>
      <c r="O132" s="129"/>
      <c r="P132" s="129"/>
      <c r="Q132" s="133" t="s">
        <v>4908</v>
      </c>
      <c r="R132" s="133"/>
      <c r="S132" s="151"/>
      <c r="T132" s="151"/>
      <c r="U132" s="151"/>
      <c r="V132" s="151"/>
      <c r="W132" s="151"/>
      <c r="X132" s="151"/>
      <c r="Y132" s="151"/>
      <c r="Z132" s="151"/>
      <c r="AA132" s="151"/>
      <c r="AB132" s="151"/>
      <c r="AC132" s="134"/>
      <c r="AD132" s="135"/>
      <c r="AE132" s="144"/>
      <c r="AF132" s="136"/>
      <c r="AG132" s="137"/>
      <c r="AH132" s="138"/>
      <c r="AI132" s="139"/>
      <c r="AJ132" s="135"/>
      <c r="AK132" s="140"/>
      <c r="AL132" s="141"/>
      <c r="AM132" s="142">
        <f t="shared" ref="AM132:AW132" si="164">IF(ISERROR(LOOKUP(AM$6,$S132:$AB132,$S$9:$AB$9)),0,(LOOKUP(AM$6,$S132:$AB132,$S$9:$AB$9)))</f>
        <v>0</v>
      </c>
      <c r="AN132" s="143">
        <f t="shared" si="164"/>
        <v>0</v>
      </c>
      <c r="AO132" s="143">
        <f t="shared" si="164"/>
        <v>0</v>
      </c>
      <c r="AP132" s="143">
        <f t="shared" si="164"/>
        <v>0</v>
      </c>
      <c r="AQ132" s="143">
        <f t="shared" si="164"/>
        <v>0</v>
      </c>
      <c r="AR132" s="143">
        <f t="shared" si="164"/>
        <v>0</v>
      </c>
      <c r="AS132" s="143">
        <f t="shared" si="164"/>
        <v>0</v>
      </c>
      <c r="AT132" s="143">
        <f t="shared" si="164"/>
        <v>0</v>
      </c>
      <c r="AU132" s="143">
        <f t="shared" si="164"/>
        <v>0</v>
      </c>
      <c r="AV132" s="143">
        <f t="shared" si="164"/>
        <v>0</v>
      </c>
      <c r="AW132" s="143">
        <f ca="1" t="shared" si="164"/>
        <v>0</v>
      </c>
      <c r="BB132" s="103" t="e">
        <v>#REF!</v>
      </c>
    </row>
    <row r="133" s="20" customFormat="1" ht="18" customHeight="1" spans="1:54">
      <c r="A133" s="81">
        <f>A130+1</f>
        <v>42</v>
      </c>
      <c r="B133" s="83"/>
      <c r="C133" s="83" t="s">
        <v>4902</v>
      </c>
      <c r="D133" s="84" t="s">
        <v>4934</v>
      </c>
      <c r="E133" s="85" t="s">
        <v>4825</v>
      </c>
      <c r="F133" s="86" t="s">
        <v>72</v>
      </c>
      <c r="G133" s="87" t="s">
        <v>4956</v>
      </c>
      <c r="H133" s="86" t="s">
        <v>4826</v>
      </c>
      <c r="I133" s="85" t="s">
        <v>8</v>
      </c>
      <c r="J133" s="86"/>
      <c r="K133" s="89">
        <f>M135</f>
        <v>0.002</v>
      </c>
      <c r="L133" s="89"/>
      <c r="M133" s="89"/>
      <c r="N133" s="85"/>
      <c r="O133" s="85"/>
      <c r="P133" s="85"/>
      <c r="Q133" s="90" t="s">
        <v>4905</v>
      </c>
      <c r="R133" s="91">
        <f>'Before Award'!U140+5</f>
        <v>46375</v>
      </c>
      <c r="S133" s="91" t="e">
        <f>WORKDAY(R133,INDEX(S$2:S$5,MATCH($I133,$I$2:$I$5,0)),$BB$10:$BB$141)</f>
        <v>#REF!</v>
      </c>
      <c r="T133" s="91" t="e">
        <f>WORKDAY(S133,INDEX(T$2:T$5,MATCH($I133,$I$2:$I$5,0)),$BB$10:$BB$141)</f>
        <v>#REF!</v>
      </c>
      <c r="U133" s="91" t="e">
        <f>T133+30</f>
        <v>#REF!</v>
      </c>
      <c r="V133" s="91"/>
      <c r="W133" s="91">
        <f>AB133-35</f>
        <v>46503</v>
      </c>
      <c r="X133" s="91"/>
      <c r="Y133" s="91"/>
      <c r="Z133" s="91"/>
      <c r="AA133" s="91"/>
      <c r="AB133" s="91">
        <f>'Before Award'!X140</f>
        <v>46538</v>
      </c>
      <c r="AC133" s="92" t="s">
        <v>4906</v>
      </c>
      <c r="AD133" s="93">
        <v>7</v>
      </c>
      <c r="AE133" s="144">
        <f>24*7</f>
        <v>168</v>
      </c>
      <c r="AF133" s="95" t="e">
        <f>AB134</f>
        <v>#REF!</v>
      </c>
      <c r="AG133" s="96">
        <f>WORKDAY(AH133+1,-1,$BA$10:$BA$141)</f>
        <v>46538</v>
      </c>
      <c r="AH133" s="97">
        <v>46538</v>
      </c>
      <c r="AI133" s="98"/>
      <c r="AJ133" s="93" t="e">
        <f>AG133-AF133</f>
        <v>#REF!</v>
      </c>
      <c r="AK133" s="99"/>
      <c r="AL133" s="100"/>
      <c r="AM133" s="101">
        <f t="shared" ref="AM133:AW133" si="165">IF(ISERROR(LOOKUP(AM$6,$S133:$AB133,$S$9:$AB$9)),0,(LOOKUP(AM$6,$S133:$AB133,$S$9:$AB$9)))</f>
        <v>0</v>
      </c>
      <c r="AN133" s="102">
        <f t="shared" si="165"/>
        <v>0</v>
      </c>
      <c r="AO133" s="102">
        <f t="shared" si="165"/>
        <v>0</v>
      </c>
      <c r="AP133" s="102">
        <f t="shared" si="165"/>
        <v>0</v>
      </c>
      <c r="AQ133" s="102">
        <f t="shared" si="165"/>
        <v>0</v>
      </c>
      <c r="AR133" s="102">
        <f t="shared" si="165"/>
        <v>0</v>
      </c>
      <c r="AS133" s="102">
        <f t="shared" si="165"/>
        <v>0</v>
      </c>
      <c r="AT133" s="102">
        <f t="shared" si="165"/>
        <v>0</v>
      </c>
      <c r="AU133" s="102">
        <f t="shared" si="165"/>
        <v>0</v>
      </c>
      <c r="AV133" s="102">
        <f t="shared" si="165"/>
        <v>0</v>
      </c>
      <c r="AW133" s="102">
        <f ca="1" t="shared" si="165"/>
        <v>0</v>
      </c>
      <c r="BB133" s="103" t="e">
        <v>#REF!</v>
      </c>
    </row>
    <row r="134" s="20" customFormat="1" ht="18" customHeight="1" spans="1:54">
      <c r="A134" s="104"/>
      <c r="B134" s="106"/>
      <c r="C134" s="106"/>
      <c r="D134" s="107" t="str">
        <f>D133</f>
        <v>INS</v>
      </c>
      <c r="E134" s="108" t="str">
        <f>E133</f>
        <v>RFQ-042</v>
      </c>
      <c r="F134" s="109" t="str">
        <f>F133</f>
        <v>N</v>
      </c>
      <c r="G134" s="110"/>
      <c r="H134" s="109" t="str">
        <f>H133</f>
        <v>Oil in Water Analyzer</v>
      </c>
      <c r="I134" s="108" t="str">
        <f>I133</f>
        <v>LC</v>
      </c>
      <c r="J134" s="109"/>
      <c r="K134" s="112"/>
      <c r="L134" s="112">
        <f>M135</f>
        <v>0.002</v>
      </c>
      <c r="M134" s="112"/>
      <c r="N134" s="108"/>
      <c r="O134" s="108"/>
      <c r="P134" s="108"/>
      <c r="Q134" s="113" t="s">
        <v>4907</v>
      </c>
      <c r="R134" s="113"/>
      <c r="S134" s="114" t="e">
        <f>S133</f>
        <v>#REF!</v>
      </c>
      <c r="T134" s="115" t="e">
        <f>T133</f>
        <v>#REF!</v>
      </c>
      <c r="U134" s="115" t="e">
        <f t="shared" ref="U134:Z134" si="166">WORKDAY(IF(T135="",T134,T135),INDEX(U$2:U$5,MATCH($I133,$I$2:$I$5,0)),$BB$10:$BB$141)</f>
        <v>#REF!</v>
      </c>
      <c r="V134" s="115" t="e">
        <f t="shared" si="166"/>
        <v>#REF!</v>
      </c>
      <c r="W134" s="115" t="e">
        <f t="shared" si="166"/>
        <v>#REF!</v>
      </c>
      <c r="X134" s="115" t="e">
        <f t="shared" si="166"/>
        <v>#REF!</v>
      </c>
      <c r="Y134" s="115" t="e">
        <f t="shared" si="166"/>
        <v>#REF!</v>
      </c>
      <c r="Z134" s="115" t="e">
        <f t="shared" si="166"/>
        <v>#REF!</v>
      </c>
      <c r="AA134" s="115" t="e">
        <f>WORKDAY(IF(Z135="",X134,Z135),INDEX(AA$2:AA$5,MATCH($I133,$I$2:$I$5,0)),$BB$10:$BB$141)</f>
        <v>#REF!</v>
      </c>
      <c r="AB134" s="116" t="e">
        <f>WORKDAY(AE133+#REF!,0,'[36]Equipment List and MR List (3)'!$A$2:$A$80)</f>
        <v>#REF!</v>
      </c>
      <c r="AC134" s="117"/>
      <c r="AD134" s="118"/>
      <c r="AE134" s="144"/>
      <c r="AF134" s="119"/>
      <c r="AG134" s="120"/>
      <c r="AH134" s="121"/>
      <c r="AI134" s="122"/>
      <c r="AJ134" s="118"/>
      <c r="AK134" s="123"/>
      <c r="AL134" s="124"/>
      <c r="AM134" s="101">
        <f t="shared" ref="AM134:AW134" si="167">IF(ISERROR(LOOKUP(AM$6,$S134:$AB134,$S$9:$AB$9)),0,(LOOKUP(AM$6,$S134:$AB134,$S$9:$AB$9)))</f>
        <v>0</v>
      </c>
      <c r="AN134" s="102">
        <f t="shared" si="167"/>
        <v>0</v>
      </c>
      <c r="AO134" s="102">
        <f t="shared" si="167"/>
        <v>0</v>
      </c>
      <c r="AP134" s="102">
        <f t="shared" si="167"/>
        <v>0</v>
      </c>
      <c r="AQ134" s="102">
        <f t="shared" si="167"/>
        <v>0</v>
      </c>
      <c r="AR134" s="102">
        <f t="shared" si="167"/>
        <v>0</v>
      </c>
      <c r="AS134" s="102">
        <f t="shared" si="167"/>
        <v>0</v>
      </c>
      <c r="AT134" s="102">
        <f t="shared" si="167"/>
        <v>0</v>
      </c>
      <c r="AU134" s="102">
        <f t="shared" si="167"/>
        <v>0</v>
      </c>
      <c r="AV134" s="102">
        <f t="shared" si="167"/>
        <v>0</v>
      </c>
      <c r="AW134" s="102">
        <f ca="1" t="shared" si="167"/>
        <v>0</v>
      </c>
      <c r="BB134" s="103" t="e">
        <v>#REF!</v>
      </c>
    </row>
    <row r="135" s="20" customFormat="1" ht="18" customHeight="1" spans="1:54">
      <c r="A135" s="125"/>
      <c r="B135" s="127"/>
      <c r="C135" s="127"/>
      <c r="D135" s="128" t="str">
        <f>D133</f>
        <v>INS</v>
      </c>
      <c r="E135" s="129" t="str">
        <f>E133</f>
        <v>RFQ-042</v>
      </c>
      <c r="F135" s="130" t="str">
        <f>F133</f>
        <v>N</v>
      </c>
      <c r="G135" s="131"/>
      <c r="H135" s="130" t="str">
        <f>H133</f>
        <v>Oil in Water Analyzer</v>
      </c>
      <c r="I135" s="129" t="str">
        <f>I133</f>
        <v>LC</v>
      </c>
      <c r="J135" s="130"/>
      <c r="K135" s="132"/>
      <c r="L135" s="132"/>
      <c r="M135" s="132">
        <v>0.002</v>
      </c>
      <c r="N135" s="129"/>
      <c r="O135" s="129"/>
      <c r="P135" s="129"/>
      <c r="Q135" s="133" t="s">
        <v>4908</v>
      </c>
      <c r="R135" s="133"/>
      <c r="S135" s="151"/>
      <c r="T135" s="151"/>
      <c r="U135" s="151"/>
      <c r="V135" s="151"/>
      <c r="W135" s="151"/>
      <c r="X135" s="151"/>
      <c r="Y135" s="151"/>
      <c r="Z135" s="151"/>
      <c r="AA135" s="151"/>
      <c r="AB135" s="151"/>
      <c r="AC135" s="134"/>
      <c r="AD135" s="135"/>
      <c r="AE135" s="144"/>
      <c r="AF135" s="136"/>
      <c r="AG135" s="137"/>
      <c r="AH135" s="138"/>
      <c r="AI135" s="139"/>
      <c r="AJ135" s="135"/>
      <c r="AK135" s="140"/>
      <c r="AL135" s="141"/>
      <c r="AM135" s="142">
        <f t="shared" ref="AM135:AW135" si="168">IF(ISERROR(LOOKUP(AM$6,$S135:$AB135,$S$9:$AB$9)),0,(LOOKUP(AM$6,$S135:$AB135,$S$9:$AB$9)))</f>
        <v>0</v>
      </c>
      <c r="AN135" s="143">
        <f t="shared" si="168"/>
        <v>0</v>
      </c>
      <c r="AO135" s="143">
        <f t="shared" si="168"/>
        <v>0</v>
      </c>
      <c r="AP135" s="143">
        <f t="shared" si="168"/>
        <v>0</v>
      </c>
      <c r="AQ135" s="143">
        <f t="shared" si="168"/>
        <v>0</v>
      </c>
      <c r="AR135" s="143">
        <f t="shared" si="168"/>
        <v>0</v>
      </c>
      <c r="AS135" s="143">
        <f t="shared" si="168"/>
        <v>0</v>
      </c>
      <c r="AT135" s="143">
        <f t="shared" si="168"/>
        <v>0</v>
      </c>
      <c r="AU135" s="143">
        <f t="shared" si="168"/>
        <v>0</v>
      </c>
      <c r="AV135" s="143">
        <f t="shared" si="168"/>
        <v>0</v>
      </c>
      <c r="AW135" s="143">
        <f ca="1" t="shared" si="168"/>
        <v>0</v>
      </c>
      <c r="BB135" s="103" t="e">
        <v>#REF!</v>
      </c>
    </row>
    <row r="136" s="20" customFormat="1" ht="18" customHeight="1" spans="1:54">
      <c r="A136" s="81">
        <f>A133+1</f>
        <v>43</v>
      </c>
      <c r="B136" s="83"/>
      <c r="C136" s="83" t="s">
        <v>4902</v>
      </c>
      <c r="D136" s="84" t="s">
        <v>4934</v>
      </c>
      <c r="E136" s="85" t="s">
        <v>4827</v>
      </c>
      <c r="F136" s="86" t="s">
        <v>72</v>
      </c>
      <c r="G136" s="87" t="s">
        <v>4957</v>
      </c>
      <c r="H136" s="86" t="s">
        <v>199</v>
      </c>
      <c r="I136" s="85" t="s">
        <v>8</v>
      </c>
      <c r="J136" s="86"/>
      <c r="K136" s="89">
        <f>M138</f>
        <v>0.005</v>
      </c>
      <c r="L136" s="89"/>
      <c r="M136" s="89"/>
      <c r="N136" s="85"/>
      <c r="O136" s="85"/>
      <c r="P136" s="85"/>
      <c r="Q136" s="90" t="s">
        <v>4905</v>
      </c>
      <c r="R136" s="91">
        <f>'Before Award'!U143+5</f>
        <v>46483</v>
      </c>
      <c r="S136" s="91" t="e">
        <f>WORKDAY(R136,INDEX(S$2:S$5,MATCH($I136,$I$2:$I$5,0)),$BB$10:$BB$141)</f>
        <v>#REF!</v>
      </c>
      <c r="T136" s="91" t="e">
        <f>WORKDAY(S136,INDEX(T$2:T$5,MATCH($I136,$I$2:$I$5,0)),$BB$10:$BB$141)</f>
        <v>#REF!</v>
      </c>
      <c r="U136" s="91" t="e">
        <f>T136+30</f>
        <v>#REF!</v>
      </c>
      <c r="V136" s="91"/>
      <c r="W136" s="91">
        <f>AB136-35</f>
        <v>46503</v>
      </c>
      <c r="X136" s="91"/>
      <c r="Y136" s="91"/>
      <c r="Z136" s="91"/>
      <c r="AA136" s="91"/>
      <c r="AB136" s="91">
        <f>'Before Award'!X143</f>
        <v>46538</v>
      </c>
      <c r="AC136" s="92" t="s">
        <v>4906</v>
      </c>
      <c r="AD136" s="93">
        <v>7</v>
      </c>
      <c r="AE136" s="144">
        <v>60</v>
      </c>
      <c r="AF136" s="95" t="e">
        <f>AB137</f>
        <v>#REF!</v>
      </c>
      <c r="AG136" s="96">
        <f>WORKDAY(AH136+1,-1,$BA$10:$BA$141)</f>
        <v>46538</v>
      </c>
      <c r="AH136" s="97">
        <v>46538</v>
      </c>
      <c r="AI136" s="98"/>
      <c r="AJ136" s="93" t="e">
        <f>AG136-AF136</f>
        <v>#REF!</v>
      </c>
      <c r="AK136" s="99"/>
      <c r="AL136" s="100"/>
      <c r="AM136" s="101">
        <f t="shared" ref="AM136:AW136" si="169">IF(ISERROR(LOOKUP(AM$6,$S136:$AB136,$S$9:$AB$9)),0,(LOOKUP(AM$6,$S136:$AB136,$S$9:$AB$9)))</f>
        <v>0</v>
      </c>
      <c r="AN136" s="102">
        <f t="shared" si="169"/>
        <v>0</v>
      </c>
      <c r="AO136" s="102">
        <f t="shared" si="169"/>
        <v>0</v>
      </c>
      <c r="AP136" s="102">
        <f t="shared" si="169"/>
        <v>0</v>
      </c>
      <c r="AQ136" s="102">
        <f t="shared" si="169"/>
        <v>0</v>
      </c>
      <c r="AR136" s="102">
        <f t="shared" si="169"/>
        <v>0</v>
      </c>
      <c r="AS136" s="102">
        <f t="shared" si="169"/>
        <v>0</v>
      </c>
      <c r="AT136" s="102">
        <f t="shared" si="169"/>
        <v>0</v>
      </c>
      <c r="AU136" s="102">
        <f t="shared" si="169"/>
        <v>0</v>
      </c>
      <c r="AV136" s="102">
        <f t="shared" si="169"/>
        <v>0</v>
      </c>
      <c r="AW136" s="102">
        <f ca="1" t="shared" si="169"/>
        <v>0</v>
      </c>
      <c r="BB136" s="103" t="e">
        <v>#REF!</v>
      </c>
    </row>
    <row r="137" s="20" customFormat="1" ht="18" customHeight="1" spans="1:54">
      <c r="A137" s="104"/>
      <c r="B137" s="106"/>
      <c r="C137" s="106"/>
      <c r="D137" s="107" t="str">
        <f>D136</f>
        <v>INS</v>
      </c>
      <c r="E137" s="108" t="str">
        <f>E136</f>
        <v>RFQ-043</v>
      </c>
      <c r="F137" s="109" t="str">
        <f>F136</f>
        <v>N</v>
      </c>
      <c r="G137" s="110"/>
      <c r="H137" s="109" t="str">
        <f>H136</f>
        <v>Level Switch</v>
      </c>
      <c r="I137" s="108" t="str">
        <f>I136</f>
        <v>LC</v>
      </c>
      <c r="J137" s="109"/>
      <c r="K137" s="112"/>
      <c r="L137" s="112">
        <f>M138</f>
        <v>0.005</v>
      </c>
      <c r="M137" s="112"/>
      <c r="N137" s="108"/>
      <c r="O137" s="108"/>
      <c r="P137" s="108"/>
      <c r="Q137" s="113" t="s">
        <v>4907</v>
      </c>
      <c r="R137" s="113"/>
      <c r="S137" s="114" t="e">
        <f>S136</f>
        <v>#REF!</v>
      </c>
      <c r="T137" s="115" t="e">
        <f>T136</f>
        <v>#REF!</v>
      </c>
      <c r="U137" s="115" t="e">
        <f t="shared" ref="U137:Z137" si="170">WORKDAY(IF(T138="",T137,T138),INDEX(U$2:U$5,MATCH($I136,$I$2:$I$5,0)),$BB$10:$BB$141)</f>
        <v>#REF!</v>
      </c>
      <c r="V137" s="115" t="e">
        <f t="shared" si="170"/>
        <v>#REF!</v>
      </c>
      <c r="W137" s="115" t="e">
        <f t="shared" si="170"/>
        <v>#REF!</v>
      </c>
      <c r="X137" s="115" t="e">
        <f t="shared" si="170"/>
        <v>#REF!</v>
      </c>
      <c r="Y137" s="115" t="e">
        <f t="shared" si="170"/>
        <v>#REF!</v>
      </c>
      <c r="Z137" s="115" t="e">
        <f t="shared" si="170"/>
        <v>#REF!</v>
      </c>
      <c r="AA137" s="115" t="e">
        <f>WORKDAY(IF(Z138="",X137,Z138),INDEX(AA$2:AA$5,MATCH($I136,$I$2:$I$5,0)),$BB$10:$BB$141)</f>
        <v>#REF!</v>
      </c>
      <c r="AB137" s="116" t="e">
        <f>WORKDAY(AE136+#REF!,0,'[36]Equipment List and MR List (3)'!$A$2:$A$80)</f>
        <v>#REF!</v>
      </c>
      <c r="AC137" s="117"/>
      <c r="AD137" s="118"/>
      <c r="AE137" s="144"/>
      <c r="AF137" s="119"/>
      <c r="AG137" s="120"/>
      <c r="AH137" s="121"/>
      <c r="AI137" s="122"/>
      <c r="AJ137" s="118"/>
      <c r="AK137" s="123"/>
      <c r="AL137" s="124"/>
      <c r="AM137" s="101">
        <f t="shared" ref="AM137:AW137" si="171">IF(ISERROR(LOOKUP(AM$6,$S137:$AB137,$S$9:$AB$9)),0,(LOOKUP(AM$6,$S137:$AB137,$S$9:$AB$9)))</f>
        <v>0</v>
      </c>
      <c r="AN137" s="102">
        <f t="shared" si="171"/>
        <v>0</v>
      </c>
      <c r="AO137" s="102">
        <f t="shared" si="171"/>
        <v>0</v>
      </c>
      <c r="AP137" s="102">
        <f t="shared" si="171"/>
        <v>0</v>
      </c>
      <c r="AQ137" s="102">
        <f t="shared" si="171"/>
        <v>0</v>
      </c>
      <c r="AR137" s="102">
        <f t="shared" si="171"/>
        <v>0</v>
      </c>
      <c r="AS137" s="102">
        <f t="shared" si="171"/>
        <v>0</v>
      </c>
      <c r="AT137" s="102">
        <f t="shared" si="171"/>
        <v>0</v>
      </c>
      <c r="AU137" s="102">
        <f t="shared" si="171"/>
        <v>0</v>
      </c>
      <c r="AV137" s="102">
        <f t="shared" si="171"/>
        <v>0</v>
      </c>
      <c r="AW137" s="102">
        <f ca="1" t="shared" si="171"/>
        <v>0</v>
      </c>
      <c r="BB137" s="103" t="e">
        <v>#REF!</v>
      </c>
    </row>
    <row r="138" s="20" customFormat="1" ht="18" customHeight="1" spans="1:54">
      <c r="A138" s="125"/>
      <c r="B138" s="127"/>
      <c r="C138" s="127"/>
      <c r="D138" s="128" t="str">
        <f>D136</f>
        <v>INS</v>
      </c>
      <c r="E138" s="129" t="str">
        <f>E136</f>
        <v>RFQ-043</v>
      </c>
      <c r="F138" s="130" t="str">
        <f>F136</f>
        <v>N</v>
      </c>
      <c r="G138" s="131"/>
      <c r="H138" s="130" t="str">
        <f>H136</f>
        <v>Level Switch</v>
      </c>
      <c r="I138" s="129" t="str">
        <f>I136</f>
        <v>LC</v>
      </c>
      <c r="J138" s="130"/>
      <c r="K138" s="132"/>
      <c r="L138" s="132"/>
      <c r="M138" s="132">
        <v>0.005</v>
      </c>
      <c r="N138" s="129"/>
      <c r="O138" s="129"/>
      <c r="P138" s="129"/>
      <c r="Q138" s="133" t="s">
        <v>4908</v>
      </c>
      <c r="R138" s="133"/>
      <c r="S138" s="151"/>
      <c r="T138" s="151"/>
      <c r="U138" s="151"/>
      <c r="V138" s="151"/>
      <c r="W138" s="151"/>
      <c r="X138" s="151"/>
      <c r="Y138" s="151"/>
      <c r="Z138" s="151"/>
      <c r="AA138" s="151"/>
      <c r="AB138" s="151"/>
      <c r="AC138" s="134"/>
      <c r="AD138" s="135"/>
      <c r="AE138" s="144"/>
      <c r="AF138" s="136"/>
      <c r="AG138" s="137"/>
      <c r="AH138" s="138"/>
      <c r="AI138" s="139"/>
      <c r="AJ138" s="135"/>
      <c r="AK138" s="140"/>
      <c r="AL138" s="141"/>
      <c r="AM138" s="142">
        <f t="shared" ref="AM138:AW138" si="172">IF(ISERROR(LOOKUP(AM$6,$S138:$AB138,$S$9:$AB$9)),0,(LOOKUP(AM$6,$S138:$AB138,$S$9:$AB$9)))</f>
        <v>0</v>
      </c>
      <c r="AN138" s="143">
        <f t="shared" si="172"/>
        <v>0</v>
      </c>
      <c r="AO138" s="143">
        <f t="shared" si="172"/>
        <v>0</v>
      </c>
      <c r="AP138" s="143">
        <f t="shared" si="172"/>
        <v>0</v>
      </c>
      <c r="AQ138" s="143">
        <f t="shared" si="172"/>
        <v>0</v>
      </c>
      <c r="AR138" s="143">
        <f t="shared" si="172"/>
        <v>0</v>
      </c>
      <c r="AS138" s="143">
        <f t="shared" si="172"/>
        <v>0</v>
      </c>
      <c r="AT138" s="143">
        <f t="shared" si="172"/>
        <v>0</v>
      </c>
      <c r="AU138" s="143">
        <f t="shared" si="172"/>
        <v>0</v>
      </c>
      <c r="AV138" s="143">
        <f t="shared" si="172"/>
        <v>0</v>
      </c>
      <c r="AW138" s="143">
        <f ca="1" t="shared" si="172"/>
        <v>0</v>
      </c>
      <c r="BB138" s="103" t="e">
        <v>#REF!</v>
      </c>
    </row>
    <row r="139" s="20" customFormat="1" ht="18" customHeight="1" spans="1:54">
      <c r="A139" s="81">
        <f>A136+1</f>
        <v>44</v>
      </c>
      <c r="B139" s="83"/>
      <c r="C139" s="83" t="s">
        <v>4902</v>
      </c>
      <c r="D139" s="84" t="s">
        <v>4934</v>
      </c>
      <c r="E139" s="85" t="s">
        <v>4828</v>
      </c>
      <c r="F139" s="86" t="s">
        <v>72</v>
      </c>
      <c r="G139" s="87" t="s">
        <v>4958</v>
      </c>
      <c r="H139" s="86" t="s">
        <v>4829</v>
      </c>
      <c r="I139" s="85" t="s">
        <v>8</v>
      </c>
      <c r="J139" s="86"/>
      <c r="K139" s="89">
        <f>M141</f>
        <v>0.005</v>
      </c>
      <c r="L139" s="89"/>
      <c r="M139" s="89"/>
      <c r="N139" s="85"/>
      <c r="O139" s="85"/>
      <c r="P139" s="85"/>
      <c r="Q139" s="90" t="s">
        <v>4905</v>
      </c>
      <c r="R139" s="91">
        <f>'Before Award'!U146+5</f>
        <v>46483</v>
      </c>
      <c r="S139" s="91" t="e">
        <f>WORKDAY(R139,INDEX(S$2:S$5,MATCH($I139,$I$2:$I$5,0)),$BB$10:$BB$141)</f>
        <v>#REF!</v>
      </c>
      <c r="T139" s="91" t="e">
        <f>WORKDAY(S139,INDEX(T$2:T$5,MATCH($I139,$I$2:$I$5,0)),$BB$10:$BB$141)</f>
        <v>#REF!</v>
      </c>
      <c r="U139" s="91" t="e">
        <f>T139+30</f>
        <v>#REF!</v>
      </c>
      <c r="V139" s="91"/>
      <c r="W139" s="91">
        <f>AB139-35</f>
        <v>46503</v>
      </c>
      <c r="X139" s="91"/>
      <c r="Y139" s="91"/>
      <c r="Z139" s="91"/>
      <c r="AA139" s="91"/>
      <c r="AB139" s="91">
        <f>'Before Award'!X146</f>
        <v>46538</v>
      </c>
      <c r="AC139" s="92" t="s">
        <v>4906</v>
      </c>
      <c r="AD139" s="93">
        <v>7</v>
      </c>
      <c r="AE139" s="144">
        <v>60</v>
      </c>
      <c r="AF139" s="95" t="e">
        <f>AB140</f>
        <v>#REF!</v>
      </c>
      <c r="AG139" s="96">
        <f>WORKDAY(AH139+1,-1,$BA$10:$BA$141)</f>
        <v>46538</v>
      </c>
      <c r="AH139" s="97">
        <v>46538</v>
      </c>
      <c r="AI139" s="98"/>
      <c r="AJ139" s="93" t="e">
        <f>AG139-AF139</f>
        <v>#REF!</v>
      </c>
      <c r="AK139" s="99"/>
      <c r="AL139" s="100"/>
      <c r="AM139" s="101">
        <f t="shared" ref="AM139:AW139" si="173">IF(ISERROR(LOOKUP(AM$6,$S139:$AB139,$S$9:$AB$9)),0,(LOOKUP(AM$6,$S139:$AB139,$S$9:$AB$9)))</f>
        <v>0</v>
      </c>
      <c r="AN139" s="102">
        <f t="shared" si="173"/>
        <v>0</v>
      </c>
      <c r="AO139" s="102">
        <f t="shared" si="173"/>
        <v>0</v>
      </c>
      <c r="AP139" s="102">
        <f t="shared" si="173"/>
        <v>0</v>
      </c>
      <c r="AQ139" s="102">
        <f t="shared" si="173"/>
        <v>0</v>
      </c>
      <c r="AR139" s="102">
        <f t="shared" si="173"/>
        <v>0</v>
      </c>
      <c r="AS139" s="102">
        <f t="shared" si="173"/>
        <v>0</v>
      </c>
      <c r="AT139" s="102">
        <f t="shared" si="173"/>
        <v>0</v>
      </c>
      <c r="AU139" s="102">
        <f t="shared" si="173"/>
        <v>0</v>
      </c>
      <c r="AV139" s="102">
        <f t="shared" si="173"/>
        <v>0</v>
      </c>
      <c r="AW139" s="102">
        <f ca="1" t="shared" si="173"/>
        <v>0</v>
      </c>
      <c r="BB139" s="103" t="e">
        <v>#REF!</v>
      </c>
    </row>
    <row r="140" s="20" customFormat="1" ht="18" customHeight="1" spans="1:54">
      <c r="A140" s="104"/>
      <c r="B140" s="106"/>
      <c r="C140" s="106"/>
      <c r="D140" s="107" t="str">
        <f>D139</f>
        <v>INS</v>
      </c>
      <c r="E140" s="108" t="str">
        <f>E139</f>
        <v>RFQ-044</v>
      </c>
      <c r="F140" s="109" t="str">
        <f>F139</f>
        <v>N</v>
      </c>
      <c r="G140" s="110"/>
      <c r="H140" s="109" t="str">
        <f>H139</f>
        <v>Flow Switch</v>
      </c>
      <c r="I140" s="108" t="str">
        <f>I139</f>
        <v>LC</v>
      </c>
      <c r="J140" s="109"/>
      <c r="K140" s="112"/>
      <c r="L140" s="112">
        <f>M141</f>
        <v>0.005</v>
      </c>
      <c r="M140" s="112"/>
      <c r="N140" s="108"/>
      <c r="O140" s="108"/>
      <c r="P140" s="108"/>
      <c r="Q140" s="113" t="s">
        <v>4907</v>
      </c>
      <c r="R140" s="113"/>
      <c r="S140" s="114" t="e">
        <f>S139</f>
        <v>#REF!</v>
      </c>
      <c r="T140" s="115" t="e">
        <f>T139</f>
        <v>#REF!</v>
      </c>
      <c r="U140" s="115" t="e">
        <f t="shared" ref="U140:Z140" si="174">WORKDAY(IF(T141="",T140,T141),INDEX(U$2:U$5,MATCH($I139,$I$2:$I$5,0)),$BB$10:$BB$141)</f>
        <v>#REF!</v>
      </c>
      <c r="V140" s="115" t="e">
        <f t="shared" si="174"/>
        <v>#REF!</v>
      </c>
      <c r="W140" s="115" t="e">
        <f t="shared" si="174"/>
        <v>#REF!</v>
      </c>
      <c r="X140" s="115" t="e">
        <f t="shared" si="174"/>
        <v>#REF!</v>
      </c>
      <c r="Y140" s="115" t="e">
        <f t="shared" si="174"/>
        <v>#REF!</v>
      </c>
      <c r="Z140" s="115" t="e">
        <f t="shared" si="174"/>
        <v>#REF!</v>
      </c>
      <c r="AA140" s="115" t="e">
        <f>WORKDAY(IF(Z141="",X140,Z141),INDEX(AA$2:AA$5,MATCH($I139,$I$2:$I$5,0)),$BB$10:$BB$141)</f>
        <v>#REF!</v>
      </c>
      <c r="AB140" s="116" t="e">
        <f>WORKDAY(AE139+#REF!,0,'[36]Equipment List and MR List (3)'!$A$2:$A$80)</f>
        <v>#REF!</v>
      </c>
      <c r="AC140" s="117"/>
      <c r="AD140" s="118"/>
      <c r="AE140" s="144"/>
      <c r="AF140" s="119"/>
      <c r="AG140" s="120"/>
      <c r="AH140" s="121"/>
      <c r="AI140" s="122"/>
      <c r="AJ140" s="118"/>
      <c r="AK140" s="123"/>
      <c r="AL140" s="124"/>
      <c r="AM140" s="101">
        <f t="shared" ref="AM140:AW140" si="175">IF(ISERROR(LOOKUP(AM$6,$S140:$AB140,$S$9:$AB$9)),0,(LOOKUP(AM$6,$S140:$AB140,$S$9:$AB$9)))</f>
        <v>0</v>
      </c>
      <c r="AN140" s="102">
        <f t="shared" si="175"/>
        <v>0</v>
      </c>
      <c r="AO140" s="102">
        <f t="shared" si="175"/>
        <v>0</v>
      </c>
      <c r="AP140" s="102">
        <f t="shared" si="175"/>
        <v>0</v>
      </c>
      <c r="AQ140" s="102">
        <f t="shared" si="175"/>
        <v>0</v>
      </c>
      <c r="AR140" s="102">
        <f t="shared" si="175"/>
        <v>0</v>
      </c>
      <c r="AS140" s="102">
        <f t="shared" si="175"/>
        <v>0</v>
      </c>
      <c r="AT140" s="102">
        <f t="shared" si="175"/>
        <v>0</v>
      </c>
      <c r="AU140" s="102">
        <f t="shared" si="175"/>
        <v>0</v>
      </c>
      <c r="AV140" s="102">
        <f t="shared" si="175"/>
        <v>0</v>
      </c>
      <c r="AW140" s="102">
        <f ca="1" t="shared" si="175"/>
        <v>0</v>
      </c>
      <c r="BB140" s="103" t="e">
        <v>#REF!</v>
      </c>
    </row>
    <row r="141" s="20" customFormat="1" ht="18" customHeight="1" spans="1:54">
      <c r="A141" s="125"/>
      <c r="B141" s="127"/>
      <c r="C141" s="127"/>
      <c r="D141" s="128" t="str">
        <f>D139</f>
        <v>INS</v>
      </c>
      <c r="E141" s="129" t="str">
        <f>E139</f>
        <v>RFQ-044</v>
      </c>
      <c r="F141" s="130" t="str">
        <f>F139</f>
        <v>N</v>
      </c>
      <c r="G141" s="131"/>
      <c r="H141" s="130" t="str">
        <f>H139</f>
        <v>Flow Switch</v>
      </c>
      <c r="I141" s="129" t="str">
        <f>I139</f>
        <v>LC</v>
      </c>
      <c r="J141" s="130"/>
      <c r="K141" s="132"/>
      <c r="L141" s="132"/>
      <c r="M141" s="132">
        <v>0.005</v>
      </c>
      <c r="N141" s="129"/>
      <c r="O141" s="129"/>
      <c r="P141" s="129"/>
      <c r="Q141" s="133" t="s">
        <v>4908</v>
      </c>
      <c r="R141" s="133"/>
      <c r="S141" s="151"/>
      <c r="T141" s="151"/>
      <c r="U141" s="151"/>
      <c r="V141" s="151"/>
      <c r="W141" s="151"/>
      <c r="X141" s="151"/>
      <c r="Y141" s="151"/>
      <c r="Z141" s="151"/>
      <c r="AA141" s="151"/>
      <c r="AB141" s="151"/>
      <c r="AC141" s="134"/>
      <c r="AD141" s="135"/>
      <c r="AE141" s="144"/>
      <c r="AF141" s="136"/>
      <c r="AG141" s="137"/>
      <c r="AH141" s="138"/>
      <c r="AI141" s="139"/>
      <c r="AJ141" s="135"/>
      <c r="AK141" s="140"/>
      <c r="AL141" s="141"/>
      <c r="AM141" s="142">
        <f t="shared" ref="AM141:AW141" si="176">IF(ISERROR(LOOKUP(AM$6,$S141:$AB141,$S$9:$AB$9)),0,(LOOKUP(AM$6,$S141:$AB141,$S$9:$AB$9)))</f>
        <v>0</v>
      </c>
      <c r="AN141" s="143">
        <f t="shared" si="176"/>
        <v>0</v>
      </c>
      <c r="AO141" s="143">
        <f t="shared" si="176"/>
        <v>0</v>
      </c>
      <c r="AP141" s="143">
        <f t="shared" si="176"/>
        <v>0</v>
      </c>
      <c r="AQ141" s="143">
        <f t="shared" si="176"/>
        <v>0</v>
      </c>
      <c r="AR141" s="143">
        <f t="shared" si="176"/>
        <v>0</v>
      </c>
      <c r="AS141" s="143">
        <f t="shared" si="176"/>
        <v>0</v>
      </c>
      <c r="AT141" s="143">
        <f t="shared" si="176"/>
        <v>0</v>
      </c>
      <c r="AU141" s="143">
        <f t="shared" si="176"/>
        <v>0</v>
      </c>
      <c r="AV141" s="143">
        <f t="shared" si="176"/>
        <v>0</v>
      </c>
      <c r="AW141" s="143">
        <f ca="1" t="shared" si="176"/>
        <v>0</v>
      </c>
      <c r="BB141" s="103" t="e">
        <v>#REF!</v>
      </c>
    </row>
    <row r="142" s="20" customFormat="1" ht="18" customHeight="1" spans="1:54">
      <c r="A142" s="81">
        <f>A139+1</f>
        <v>45</v>
      </c>
      <c r="B142" s="83"/>
      <c r="C142" s="83" t="s">
        <v>4902</v>
      </c>
      <c r="D142" s="84" t="s">
        <v>4934</v>
      </c>
      <c r="E142" s="85" t="s">
        <v>4830</v>
      </c>
      <c r="F142" s="86" t="s">
        <v>72</v>
      </c>
      <c r="G142" s="87" t="s">
        <v>4951</v>
      </c>
      <c r="H142" s="86" t="s">
        <v>202</v>
      </c>
      <c r="I142" s="85" t="s">
        <v>7</v>
      </c>
      <c r="J142" s="86"/>
      <c r="K142" s="89">
        <f>M144</f>
        <v>0.002</v>
      </c>
      <c r="L142" s="89"/>
      <c r="M142" s="89"/>
      <c r="N142" s="85"/>
      <c r="O142" s="85"/>
      <c r="P142" s="85"/>
      <c r="Q142" s="90" t="s">
        <v>4905</v>
      </c>
      <c r="R142" s="91">
        <f>'Before Award'!U149+5</f>
        <v>46291</v>
      </c>
      <c r="S142" s="91" t="e">
        <f>WORKDAY(R142,INDEX(S$2:S$5,MATCH($I142,$I$2:$I$5,0)),$BB$10:$BB$141)</f>
        <v>#REF!</v>
      </c>
      <c r="T142" s="91" t="e">
        <f>WORKDAY(S142,INDEX(T$2:T$5,MATCH($I142,$I$2:$I$5,0)),$BB$10:$BB$141)</f>
        <v>#REF!</v>
      </c>
      <c r="U142" s="91" t="e">
        <f>T142+30</f>
        <v>#REF!</v>
      </c>
      <c r="V142" s="91"/>
      <c r="W142" s="91">
        <f>AB142-35</f>
        <v>46503</v>
      </c>
      <c r="X142" s="91"/>
      <c r="Y142" s="91"/>
      <c r="Z142" s="91"/>
      <c r="AA142" s="91"/>
      <c r="AB142" s="91">
        <f>'Before Award'!X149</f>
        <v>46538</v>
      </c>
      <c r="AC142" s="92" t="s">
        <v>4906</v>
      </c>
      <c r="AD142" s="93">
        <v>7</v>
      </c>
      <c r="AE142" s="144">
        <f>36*7</f>
        <v>252</v>
      </c>
      <c r="AF142" s="95" t="e">
        <f>AB143</f>
        <v>#REF!</v>
      </c>
      <c r="AG142" s="96">
        <f>WORKDAY(AH142+1,-1,$BA$10:$BA$141)</f>
        <v>46538</v>
      </c>
      <c r="AH142" s="97">
        <v>46538</v>
      </c>
      <c r="AI142" s="98"/>
      <c r="AJ142" s="93" t="e">
        <f>AG142-AF142</f>
        <v>#REF!</v>
      </c>
      <c r="AK142" s="99"/>
      <c r="AL142" s="100"/>
      <c r="AM142" s="101">
        <f t="shared" ref="AM142:AW142" si="177">IF(ISERROR(LOOKUP(AM$6,$S142:$AB142,$S$9:$AB$9)),0,(LOOKUP(AM$6,$S142:$AB142,$S$9:$AB$9)))</f>
        <v>0</v>
      </c>
      <c r="AN142" s="102">
        <f t="shared" si="177"/>
        <v>0</v>
      </c>
      <c r="AO142" s="102">
        <f t="shared" si="177"/>
        <v>0</v>
      </c>
      <c r="AP142" s="102">
        <f t="shared" si="177"/>
        <v>0</v>
      </c>
      <c r="AQ142" s="102">
        <f t="shared" si="177"/>
        <v>0</v>
      </c>
      <c r="AR142" s="102">
        <f t="shared" si="177"/>
        <v>0</v>
      </c>
      <c r="AS142" s="102">
        <f t="shared" si="177"/>
        <v>0</v>
      </c>
      <c r="AT142" s="102">
        <f t="shared" si="177"/>
        <v>0</v>
      </c>
      <c r="AU142" s="102">
        <f t="shared" si="177"/>
        <v>0</v>
      </c>
      <c r="AV142" s="102">
        <f t="shared" si="177"/>
        <v>0</v>
      </c>
      <c r="AW142" s="102">
        <f ca="1" t="shared" si="177"/>
        <v>0</v>
      </c>
      <c r="BB142" s="103" t="e">
        <v>#REF!</v>
      </c>
    </row>
    <row r="143" s="20" customFormat="1" ht="18" customHeight="1" spans="1:54">
      <c r="A143" s="104"/>
      <c r="B143" s="106"/>
      <c r="C143" s="106"/>
      <c r="D143" s="107" t="str">
        <f>D142</f>
        <v>INS</v>
      </c>
      <c r="E143" s="108" t="str">
        <f>E142</f>
        <v>RFQ-045</v>
      </c>
      <c r="F143" s="109" t="str">
        <f>F142</f>
        <v>N</v>
      </c>
      <c r="G143" s="110"/>
      <c r="H143" s="109" t="str">
        <f>H142</f>
        <v>SCADA System</v>
      </c>
      <c r="I143" s="108" t="str">
        <f>I142</f>
        <v>LB</v>
      </c>
      <c r="J143" s="109"/>
      <c r="K143" s="112"/>
      <c r="L143" s="112">
        <f>M144</f>
        <v>0.002</v>
      </c>
      <c r="M143" s="112"/>
      <c r="N143" s="108"/>
      <c r="O143" s="108"/>
      <c r="P143" s="108"/>
      <c r="Q143" s="113" t="s">
        <v>4907</v>
      </c>
      <c r="R143" s="113"/>
      <c r="S143" s="114" t="e">
        <f>S142</f>
        <v>#REF!</v>
      </c>
      <c r="T143" s="115" t="e">
        <f>T142</f>
        <v>#REF!</v>
      </c>
      <c r="U143" s="115" t="e">
        <f t="shared" ref="U143:Z143" si="178">WORKDAY(IF(T144="",T143,T144),INDEX(U$2:U$5,MATCH($I142,$I$2:$I$5,0)),$BB$10:$BB$141)</f>
        <v>#REF!</v>
      </c>
      <c r="V143" s="115" t="e">
        <f t="shared" si="178"/>
        <v>#REF!</v>
      </c>
      <c r="W143" s="115" t="e">
        <f t="shared" si="178"/>
        <v>#REF!</v>
      </c>
      <c r="X143" s="115" t="e">
        <f t="shared" si="178"/>
        <v>#REF!</v>
      </c>
      <c r="Y143" s="115" t="e">
        <f t="shared" si="178"/>
        <v>#REF!</v>
      </c>
      <c r="Z143" s="115" t="e">
        <f t="shared" si="178"/>
        <v>#REF!</v>
      </c>
      <c r="AA143" s="115" t="e">
        <f>WORKDAY(IF(Z144="",X143,Z144),INDEX(AA$2:AA$5,MATCH($I142,$I$2:$I$5,0)),$BB$10:$BB$141)</f>
        <v>#REF!</v>
      </c>
      <c r="AB143" s="116" t="e">
        <f>WORKDAY(AE142+#REF!,0,'[36]Equipment List and MR List (3)'!$A$2:$A$80)</f>
        <v>#REF!</v>
      </c>
      <c r="AC143" s="117"/>
      <c r="AD143" s="118"/>
      <c r="AE143" s="144"/>
      <c r="AF143" s="119"/>
      <c r="AG143" s="120"/>
      <c r="AH143" s="121"/>
      <c r="AI143" s="122"/>
      <c r="AJ143" s="118"/>
      <c r="AK143" s="123"/>
      <c r="AL143" s="124"/>
      <c r="AM143" s="101">
        <f t="shared" ref="AM143:AW143" si="179">IF(ISERROR(LOOKUP(AM$6,$S143:$AB143,$S$9:$AB$9)),0,(LOOKUP(AM$6,$S143:$AB143,$S$9:$AB$9)))</f>
        <v>0</v>
      </c>
      <c r="AN143" s="102">
        <f t="shared" si="179"/>
        <v>0</v>
      </c>
      <c r="AO143" s="102">
        <f t="shared" si="179"/>
        <v>0</v>
      </c>
      <c r="AP143" s="102">
        <f t="shared" si="179"/>
        <v>0</v>
      </c>
      <c r="AQ143" s="102">
        <f t="shared" si="179"/>
        <v>0</v>
      </c>
      <c r="AR143" s="102">
        <f t="shared" si="179"/>
        <v>0</v>
      </c>
      <c r="AS143" s="102">
        <f t="shared" si="179"/>
        <v>0</v>
      </c>
      <c r="AT143" s="102">
        <f t="shared" si="179"/>
        <v>0</v>
      </c>
      <c r="AU143" s="102">
        <f t="shared" si="179"/>
        <v>0</v>
      </c>
      <c r="AV143" s="102">
        <f t="shared" si="179"/>
        <v>0</v>
      </c>
      <c r="AW143" s="102">
        <f ca="1" t="shared" si="179"/>
        <v>0</v>
      </c>
      <c r="BB143" s="103" t="e">
        <v>#REF!</v>
      </c>
    </row>
    <row r="144" s="20" customFormat="1" ht="18" customHeight="1" spans="1:54">
      <c r="A144" s="125"/>
      <c r="B144" s="127"/>
      <c r="C144" s="127"/>
      <c r="D144" s="128" t="str">
        <f>D142</f>
        <v>INS</v>
      </c>
      <c r="E144" s="129" t="str">
        <f>E142</f>
        <v>RFQ-045</v>
      </c>
      <c r="F144" s="130" t="str">
        <f>F142</f>
        <v>N</v>
      </c>
      <c r="G144" s="131"/>
      <c r="H144" s="130" t="str">
        <f>H142</f>
        <v>SCADA System</v>
      </c>
      <c r="I144" s="129" t="str">
        <f>I142</f>
        <v>LB</v>
      </c>
      <c r="J144" s="130"/>
      <c r="K144" s="132"/>
      <c r="L144" s="132"/>
      <c r="M144" s="132">
        <v>0.002</v>
      </c>
      <c r="N144" s="129"/>
      <c r="O144" s="129"/>
      <c r="P144" s="129"/>
      <c r="Q144" s="133" t="s">
        <v>4908</v>
      </c>
      <c r="R144" s="133"/>
      <c r="S144" s="151"/>
      <c r="T144" s="151"/>
      <c r="U144" s="151"/>
      <c r="V144" s="151"/>
      <c r="W144" s="151"/>
      <c r="X144" s="151"/>
      <c r="Y144" s="151"/>
      <c r="Z144" s="151"/>
      <c r="AA144" s="151"/>
      <c r="AB144" s="151"/>
      <c r="AC144" s="134"/>
      <c r="AD144" s="135"/>
      <c r="AE144" s="144"/>
      <c r="AF144" s="136"/>
      <c r="AG144" s="137"/>
      <c r="AH144" s="138"/>
      <c r="AI144" s="139"/>
      <c r="AJ144" s="135"/>
      <c r="AK144" s="140"/>
      <c r="AL144" s="141"/>
      <c r="AM144" s="142">
        <f t="shared" ref="AM144:AW144" si="180">IF(ISERROR(LOOKUP(AM$6,$S144:$AB144,$S$9:$AB$9)),0,(LOOKUP(AM$6,$S144:$AB144,$S$9:$AB$9)))</f>
        <v>0</v>
      </c>
      <c r="AN144" s="143">
        <f t="shared" si="180"/>
        <v>0</v>
      </c>
      <c r="AO144" s="143">
        <f t="shared" si="180"/>
        <v>0</v>
      </c>
      <c r="AP144" s="143">
        <f t="shared" si="180"/>
        <v>0</v>
      </c>
      <c r="AQ144" s="143">
        <f t="shared" si="180"/>
        <v>0</v>
      </c>
      <c r="AR144" s="143">
        <f t="shared" si="180"/>
        <v>0</v>
      </c>
      <c r="AS144" s="143">
        <f t="shared" si="180"/>
        <v>0</v>
      </c>
      <c r="AT144" s="143">
        <f t="shared" si="180"/>
        <v>0</v>
      </c>
      <c r="AU144" s="143">
        <f t="shared" si="180"/>
        <v>0</v>
      </c>
      <c r="AV144" s="143">
        <f t="shared" si="180"/>
        <v>0</v>
      </c>
      <c r="AW144" s="143">
        <f ca="1" t="shared" si="180"/>
        <v>0</v>
      </c>
      <c r="BB144" s="103" t="e">
        <v>#REF!</v>
      </c>
    </row>
    <row r="145" s="20" customFormat="1" ht="18" customHeight="1" spans="1:54">
      <c r="A145" s="81">
        <f>A142+1</f>
        <v>46</v>
      </c>
      <c r="B145" s="83"/>
      <c r="C145" s="83" t="s">
        <v>4902</v>
      </c>
      <c r="D145" s="84" t="s">
        <v>4934</v>
      </c>
      <c r="E145" s="85" t="s">
        <v>4831</v>
      </c>
      <c r="F145" s="86" t="s">
        <v>63</v>
      </c>
      <c r="G145" s="87" t="s">
        <v>4959</v>
      </c>
      <c r="H145" s="86" t="s">
        <v>4832</v>
      </c>
      <c r="I145" s="85" t="s">
        <v>8</v>
      </c>
      <c r="J145" s="86"/>
      <c r="K145" s="89">
        <f>M147</f>
        <v>0.002</v>
      </c>
      <c r="L145" s="89"/>
      <c r="M145" s="89"/>
      <c r="N145" s="85"/>
      <c r="O145" s="85"/>
      <c r="P145" s="85"/>
      <c r="Q145" s="90" t="s">
        <v>4905</v>
      </c>
      <c r="R145" s="91">
        <f>'Before Award'!U152+5</f>
        <v>46249</v>
      </c>
      <c r="S145" s="91" t="e">
        <f>WORKDAY(R145,INDEX(S$2:S$5,MATCH($I145,$I$2:$I$5,0)),$BB$10:$BB$141)</f>
        <v>#REF!</v>
      </c>
      <c r="T145" s="91" t="e">
        <f>WORKDAY(S145,INDEX(T$2:T$5,MATCH($I145,$I$2:$I$5,0)),$BB$10:$BB$141)</f>
        <v>#REF!</v>
      </c>
      <c r="U145" s="91" t="e">
        <f>T145+30</f>
        <v>#REF!</v>
      </c>
      <c r="V145" s="91"/>
      <c r="W145" s="91">
        <f>AB145-35</f>
        <v>46503</v>
      </c>
      <c r="X145" s="91"/>
      <c r="Y145" s="91"/>
      <c r="Z145" s="91"/>
      <c r="AA145" s="91"/>
      <c r="AB145" s="91">
        <f>'Before Award'!X152</f>
        <v>46538</v>
      </c>
      <c r="AC145" s="92" t="s">
        <v>4906</v>
      </c>
      <c r="AD145" s="93">
        <v>7</v>
      </c>
      <c r="AE145" s="144">
        <v>294</v>
      </c>
      <c r="AF145" s="95" t="e">
        <f>AB146</f>
        <v>#REF!</v>
      </c>
      <c r="AG145" s="96">
        <f>WORKDAY(AH145+1,-1,$BA$10:$BA$141)</f>
        <v>46538</v>
      </c>
      <c r="AH145" s="97">
        <v>46538</v>
      </c>
      <c r="AI145" s="98"/>
      <c r="AJ145" s="93" t="e">
        <f>AG145-AF145</f>
        <v>#REF!</v>
      </c>
      <c r="AK145" s="99"/>
      <c r="AL145" s="100"/>
      <c r="AM145" s="101">
        <f t="shared" ref="AM145:AW145" si="181">IF(ISERROR(LOOKUP(AM$6,$S145:$AB145,$S$9:$AB$9)),0,(LOOKUP(AM$6,$S145:$AB145,$S$9:$AB$9)))</f>
        <v>0</v>
      </c>
      <c r="AN145" s="102">
        <f t="shared" si="181"/>
        <v>0</v>
      </c>
      <c r="AO145" s="102">
        <f t="shared" si="181"/>
        <v>0</v>
      </c>
      <c r="AP145" s="102">
        <f t="shared" si="181"/>
        <v>0</v>
      </c>
      <c r="AQ145" s="102">
        <f t="shared" si="181"/>
        <v>0</v>
      </c>
      <c r="AR145" s="102">
        <f t="shared" si="181"/>
        <v>0</v>
      </c>
      <c r="AS145" s="102">
        <f t="shared" si="181"/>
        <v>0</v>
      </c>
      <c r="AT145" s="102">
        <f t="shared" si="181"/>
        <v>0</v>
      </c>
      <c r="AU145" s="102">
        <f t="shared" si="181"/>
        <v>0</v>
      </c>
      <c r="AV145" s="102">
        <f t="shared" si="181"/>
        <v>0</v>
      </c>
      <c r="AW145" s="102">
        <f ca="1" t="shared" si="181"/>
        <v>0</v>
      </c>
      <c r="BB145" s="103" t="e">
        <v>#REF!</v>
      </c>
    </row>
    <row r="146" s="20" customFormat="1" ht="18" customHeight="1" spans="1:54">
      <c r="A146" s="104"/>
      <c r="B146" s="106"/>
      <c r="C146" s="106"/>
      <c r="D146" s="107" t="str">
        <f>D145</f>
        <v>INS</v>
      </c>
      <c r="E146" s="108" t="str">
        <f>E145</f>
        <v>RFQ-046</v>
      </c>
      <c r="F146" s="109" t="str">
        <f>F145</f>
        <v>Y</v>
      </c>
      <c r="G146" s="110"/>
      <c r="H146" s="109" t="str">
        <f>H145</f>
        <v>Telecommunication System (WiMAX, Telephone, Marine Radio)</v>
      </c>
      <c r="I146" s="108" t="str">
        <f>I145</f>
        <v>LC</v>
      </c>
      <c r="J146" s="109"/>
      <c r="K146" s="112"/>
      <c r="L146" s="112">
        <f>M147</f>
        <v>0.002</v>
      </c>
      <c r="M146" s="112"/>
      <c r="N146" s="108"/>
      <c r="O146" s="108"/>
      <c r="P146" s="108"/>
      <c r="Q146" s="113" t="s">
        <v>4907</v>
      </c>
      <c r="R146" s="113"/>
      <c r="S146" s="114" t="e">
        <f>S145</f>
        <v>#REF!</v>
      </c>
      <c r="T146" s="115" t="e">
        <f>T145</f>
        <v>#REF!</v>
      </c>
      <c r="U146" s="115" t="e">
        <f t="shared" ref="U146:Z146" si="182">WORKDAY(IF(T147="",T146,T147),INDEX(U$2:U$5,MATCH($I145,$I$2:$I$5,0)),$BB$10:$BB$141)</f>
        <v>#REF!</v>
      </c>
      <c r="V146" s="115" t="e">
        <f t="shared" si="182"/>
        <v>#REF!</v>
      </c>
      <c r="W146" s="115" t="e">
        <f t="shared" si="182"/>
        <v>#REF!</v>
      </c>
      <c r="X146" s="115" t="e">
        <f t="shared" si="182"/>
        <v>#REF!</v>
      </c>
      <c r="Y146" s="115" t="e">
        <f t="shared" si="182"/>
        <v>#REF!</v>
      </c>
      <c r="Z146" s="115" t="e">
        <f t="shared" si="182"/>
        <v>#REF!</v>
      </c>
      <c r="AA146" s="115" t="e">
        <f>WORKDAY(IF(Z147="",X146,Z147),INDEX(AA$2:AA$5,MATCH($I145,$I$2:$I$5,0)),$BB$10:$BB$141)</f>
        <v>#REF!</v>
      </c>
      <c r="AB146" s="116" t="e">
        <f>WORKDAY(AE145+#REF!,0,'[36]Equipment List and MR List (3)'!$A$2:$A$80)</f>
        <v>#REF!</v>
      </c>
      <c r="AC146" s="117"/>
      <c r="AD146" s="118"/>
      <c r="AE146" s="144"/>
      <c r="AF146" s="119"/>
      <c r="AG146" s="120"/>
      <c r="AH146" s="121"/>
      <c r="AI146" s="122"/>
      <c r="AJ146" s="118"/>
      <c r="AK146" s="123"/>
      <c r="AL146" s="124"/>
      <c r="AM146" s="101">
        <f t="shared" ref="AM146:AW146" si="183">IF(ISERROR(LOOKUP(AM$6,$S146:$AB146,$S$9:$AB$9)),0,(LOOKUP(AM$6,$S146:$AB146,$S$9:$AB$9)))</f>
        <v>0</v>
      </c>
      <c r="AN146" s="102">
        <f t="shared" si="183"/>
        <v>0</v>
      </c>
      <c r="AO146" s="102">
        <f t="shared" si="183"/>
        <v>0</v>
      </c>
      <c r="AP146" s="102">
        <f t="shared" si="183"/>
        <v>0</v>
      </c>
      <c r="AQ146" s="102">
        <f t="shared" si="183"/>
        <v>0</v>
      </c>
      <c r="AR146" s="102">
        <f t="shared" si="183"/>
        <v>0</v>
      </c>
      <c r="AS146" s="102">
        <f t="shared" si="183"/>
        <v>0</v>
      </c>
      <c r="AT146" s="102">
        <f t="shared" si="183"/>
        <v>0</v>
      </c>
      <c r="AU146" s="102">
        <f t="shared" si="183"/>
        <v>0</v>
      </c>
      <c r="AV146" s="102">
        <f t="shared" si="183"/>
        <v>0</v>
      </c>
      <c r="AW146" s="102">
        <f ca="1" t="shared" si="183"/>
        <v>0</v>
      </c>
      <c r="BB146" s="103" t="e">
        <v>#REF!</v>
      </c>
    </row>
    <row r="147" s="20" customFormat="1" ht="18" customHeight="1" spans="1:54">
      <c r="A147" s="125"/>
      <c r="B147" s="127"/>
      <c r="C147" s="127"/>
      <c r="D147" s="128" t="str">
        <f>D145</f>
        <v>INS</v>
      </c>
      <c r="E147" s="129" t="str">
        <f>E145</f>
        <v>RFQ-046</v>
      </c>
      <c r="F147" s="130" t="str">
        <f>F145</f>
        <v>Y</v>
      </c>
      <c r="G147" s="131"/>
      <c r="H147" s="130" t="str">
        <f>H145</f>
        <v>Telecommunication System (WiMAX, Telephone, Marine Radio)</v>
      </c>
      <c r="I147" s="129" t="str">
        <f>I145</f>
        <v>LC</v>
      </c>
      <c r="J147" s="130"/>
      <c r="K147" s="132"/>
      <c r="L147" s="132"/>
      <c r="M147" s="132">
        <v>0.002</v>
      </c>
      <c r="N147" s="129"/>
      <c r="O147" s="129"/>
      <c r="P147" s="129"/>
      <c r="Q147" s="133" t="s">
        <v>4908</v>
      </c>
      <c r="R147" s="133"/>
      <c r="S147" s="151"/>
      <c r="T147" s="151"/>
      <c r="U147" s="151"/>
      <c r="V147" s="151"/>
      <c r="W147" s="151"/>
      <c r="X147" s="151"/>
      <c r="Y147" s="151"/>
      <c r="Z147" s="151"/>
      <c r="AA147" s="151"/>
      <c r="AB147" s="151"/>
      <c r="AC147" s="134"/>
      <c r="AD147" s="135"/>
      <c r="AE147" s="144"/>
      <c r="AF147" s="136"/>
      <c r="AG147" s="137"/>
      <c r="AH147" s="138"/>
      <c r="AI147" s="139"/>
      <c r="AJ147" s="135"/>
      <c r="AK147" s="140"/>
      <c r="AL147" s="141"/>
      <c r="AM147" s="142">
        <f t="shared" ref="AM147:AW147" si="184">IF(ISERROR(LOOKUP(AM$6,$S147:$AB147,$S$9:$AB$9)),0,(LOOKUP(AM$6,$S147:$AB147,$S$9:$AB$9)))</f>
        <v>0</v>
      </c>
      <c r="AN147" s="143">
        <f t="shared" si="184"/>
        <v>0</v>
      </c>
      <c r="AO147" s="143">
        <f t="shared" si="184"/>
        <v>0</v>
      </c>
      <c r="AP147" s="143">
        <f t="shared" si="184"/>
        <v>0</v>
      </c>
      <c r="AQ147" s="143">
        <f t="shared" si="184"/>
        <v>0</v>
      </c>
      <c r="AR147" s="143">
        <f t="shared" si="184"/>
        <v>0</v>
      </c>
      <c r="AS147" s="143">
        <f t="shared" si="184"/>
        <v>0</v>
      </c>
      <c r="AT147" s="143">
        <f t="shared" si="184"/>
        <v>0</v>
      </c>
      <c r="AU147" s="143">
        <f t="shared" si="184"/>
        <v>0</v>
      </c>
      <c r="AV147" s="143">
        <f t="shared" si="184"/>
        <v>0</v>
      </c>
      <c r="AW147" s="143">
        <f ca="1" t="shared" si="184"/>
        <v>0</v>
      </c>
      <c r="BB147" s="103" t="e">
        <v>#REF!</v>
      </c>
    </row>
    <row r="148" s="20" customFormat="1" ht="18" customHeight="1" spans="1:54">
      <c r="A148" s="81">
        <f>A145+1</f>
        <v>47</v>
      </c>
      <c r="B148" s="83"/>
      <c r="C148" s="83" t="s">
        <v>4902</v>
      </c>
      <c r="D148" s="84" t="s">
        <v>4934</v>
      </c>
      <c r="E148" s="85" t="s">
        <v>4833</v>
      </c>
      <c r="F148" s="86" t="s">
        <v>72</v>
      </c>
      <c r="G148" s="87" t="s">
        <v>4960</v>
      </c>
      <c r="H148" s="86" t="s">
        <v>4834</v>
      </c>
      <c r="I148" s="85" t="s">
        <v>8</v>
      </c>
      <c r="J148" s="86"/>
      <c r="K148" s="89">
        <f>M150</f>
        <v>0.001</v>
      </c>
      <c r="L148" s="89"/>
      <c r="M148" s="89"/>
      <c r="N148" s="85"/>
      <c r="O148" s="85"/>
      <c r="P148" s="85"/>
      <c r="Q148" s="90" t="s">
        <v>4905</v>
      </c>
      <c r="R148" s="91">
        <f>'Before Award'!U155+5</f>
        <v>46370</v>
      </c>
      <c r="S148" s="91" t="e">
        <f>WORKDAY(R148,INDEX(S$2:S$5,MATCH($I148,$I$2:$I$5,0)),$BB$10:$BB$141)</f>
        <v>#REF!</v>
      </c>
      <c r="T148" s="91" t="e">
        <f>WORKDAY(S148,INDEX(T$2:T$5,MATCH($I148,$I$2:$I$5,0)),$BB$10:$BB$141)</f>
        <v>#REF!</v>
      </c>
      <c r="U148" s="91" t="e">
        <f>T148+30</f>
        <v>#REF!</v>
      </c>
      <c r="V148" s="91"/>
      <c r="W148" s="91">
        <f>AB148-35</f>
        <v>46442</v>
      </c>
      <c r="X148" s="91"/>
      <c r="Y148" s="91"/>
      <c r="Z148" s="91"/>
      <c r="AA148" s="91"/>
      <c r="AB148" s="91">
        <f>'Before Award'!X155</f>
        <v>46477</v>
      </c>
      <c r="AC148" s="92" t="s">
        <v>4906</v>
      </c>
      <c r="AD148" s="93">
        <v>7</v>
      </c>
      <c r="AE148" s="144">
        <f>16*7</f>
        <v>112</v>
      </c>
      <c r="AF148" s="95" t="e">
        <f>AB149</f>
        <v>#REF!</v>
      </c>
      <c r="AG148" s="96">
        <f>WORKDAY(AH148+1,-1,$BA$10:$BA$141)</f>
        <v>46477</v>
      </c>
      <c r="AH148" s="97">
        <v>46477</v>
      </c>
      <c r="AI148" s="98"/>
      <c r="AJ148" s="93" t="e">
        <f>AG148-AF148</f>
        <v>#REF!</v>
      </c>
      <c r="AK148" s="99"/>
      <c r="AL148" s="100"/>
      <c r="AM148" s="101">
        <f t="shared" ref="AM148:AW148" si="185">IF(ISERROR(LOOKUP(AM$6,$S148:$AB148,$S$9:$AB$9)),0,(LOOKUP(AM$6,$S148:$AB148,$S$9:$AB$9)))</f>
        <v>0</v>
      </c>
      <c r="AN148" s="102">
        <f t="shared" si="185"/>
        <v>0</v>
      </c>
      <c r="AO148" s="102">
        <f t="shared" si="185"/>
        <v>0</v>
      </c>
      <c r="AP148" s="102">
        <f t="shared" si="185"/>
        <v>0</v>
      </c>
      <c r="AQ148" s="102">
        <f t="shared" si="185"/>
        <v>0</v>
      </c>
      <c r="AR148" s="102">
        <f t="shared" si="185"/>
        <v>0</v>
      </c>
      <c r="AS148" s="102">
        <f t="shared" si="185"/>
        <v>0</v>
      </c>
      <c r="AT148" s="102">
        <f t="shared" si="185"/>
        <v>0</v>
      </c>
      <c r="AU148" s="102">
        <f t="shared" si="185"/>
        <v>0</v>
      </c>
      <c r="AV148" s="102">
        <f t="shared" si="185"/>
        <v>0</v>
      </c>
      <c r="AW148" s="102">
        <f ca="1" t="shared" si="185"/>
        <v>0</v>
      </c>
      <c r="BB148" s="103" t="e">
        <v>#REF!</v>
      </c>
    </row>
    <row r="149" s="20" customFormat="1" ht="18" customHeight="1" spans="1:54">
      <c r="A149" s="104"/>
      <c r="B149" s="106"/>
      <c r="C149" s="106"/>
      <c r="D149" s="107" t="str">
        <f>D148</f>
        <v>INS</v>
      </c>
      <c r="E149" s="108" t="str">
        <f>E148</f>
        <v>RFQ-047</v>
      </c>
      <c r="F149" s="109" t="str">
        <f>F148</f>
        <v>N</v>
      </c>
      <c r="G149" s="110"/>
      <c r="H149" s="109" t="s">
        <v>4834</v>
      </c>
      <c r="I149" s="108" t="str">
        <f>I148</f>
        <v>LC</v>
      </c>
      <c r="J149" s="109"/>
      <c r="K149" s="112"/>
      <c r="L149" s="112">
        <f>M150</f>
        <v>0.001</v>
      </c>
      <c r="M149" s="112"/>
      <c r="N149" s="108"/>
      <c r="O149" s="108"/>
      <c r="P149" s="108"/>
      <c r="Q149" s="113" t="s">
        <v>4907</v>
      </c>
      <c r="R149" s="113"/>
      <c r="S149" s="114" t="e">
        <f>S148</f>
        <v>#REF!</v>
      </c>
      <c r="T149" s="115" t="e">
        <f>T148</f>
        <v>#REF!</v>
      </c>
      <c r="U149" s="115" t="e">
        <f t="shared" ref="U149:Z149" si="186">WORKDAY(IF(T150="",T149,T150),INDEX(U$2:U$5,MATCH($I148,$I$2:$I$5,0)),$BB$10:$BB$141)</f>
        <v>#REF!</v>
      </c>
      <c r="V149" s="115" t="e">
        <f t="shared" si="186"/>
        <v>#REF!</v>
      </c>
      <c r="W149" s="115" t="e">
        <f t="shared" si="186"/>
        <v>#REF!</v>
      </c>
      <c r="X149" s="115" t="e">
        <f t="shared" si="186"/>
        <v>#REF!</v>
      </c>
      <c r="Y149" s="115" t="e">
        <f t="shared" si="186"/>
        <v>#REF!</v>
      </c>
      <c r="Z149" s="115" t="e">
        <f t="shared" si="186"/>
        <v>#REF!</v>
      </c>
      <c r="AA149" s="115" t="e">
        <f>WORKDAY(IF(Z150="",X149,Z150),INDEX(AA$2:AA$5,MATCH($I148,$I$2:$I$5,0)),$BB$10:$BB$141)</f>
        <v>#REF!</v>
      </c>
      <c r="AB149" s="116" t="e">
        <f>WORKDAY(AE148+#REF!,0,'[36]Equipment List and MR List (3)'!$A$2:$A$80)</f>
        <v>#REF!</v>
      </c>
      <c r="AC149" s="117"/>
      <c r="AD149" s="118"/>
      <c r="AE149" s="144"/>
      <c r="AF149" s="119"/>
      <c r="AG149" s="120"/>
      <c r="AH149" s="121"/>
      <c r="AI149" s="122"/>
      <c r="AJ149" s="118"/>
      <c r="AK149" s="123"/>
      <c r="AL149" s="124"/>
      <c r="AM149" s="101">
        <f t="shared" ref="AM149:AW149" si="187">IF(ISERROR(LOOKUP(AM$6,$S149:$AB149,$S$9:$AB$9)),0,(LOOKUP(AM$6,$S149:$AB149,$S$9:$AB$9)))</f>
        <v>0</v>
      </c>
      <c r="AN149" s="102">
        <f t="shared" si="187"/>
        <v>0</v>
      </c>
      <c r="AO149" s="102">
        <f t="shared" si="187"/>
        <v>0</v>
      </c>
      <c r="AP149" s="102">
        <f t="shared" si="187"/>
        <v>0</v>
      </c>
      <c r="AQ149" s="102">
        <f t="shared" si="187"/>
        <v>0</v>
      </c>
      <c r="AR149" s="102">
        <f t="shared" si="187"/>
        <v>0</v>
      </c>
      <c r="AS149" s="102">
        <f t="shared" si="187"/>
        <v>0</v>
      </c>
      <c r="AT149" s="102">
        <f t="shared" si="187"/>
        <v>0</v>
      </c>
      <c r="AU149" s="102">
        <f t="shared" si="187"/>
        <v>0</v>
      </c>
      <c r="AV149" s="102">
        <f t="shared" si="187"/>
        <v>0</v>
      </c>
      <c r="AW149" s="102">
        <f ca="1" t="shared" si="187"/>
        <v>0</v>
      </c>
      <c r="BB149" s="103" t="e">
        <v>#REF!</v>
      </c>
    </row>
    <row r="150" s="20" customFormat="1" ht="18" customHeight="1" spans="1:54">
      <c r="A150" s="125"/>
      <c r="B150" s="127"/>
      <c r="C150" s="127"/>
      <c r="D150" s="128" t="str">
        <f>D148</f>
        <v>INS</v>
      </c>
      <c r="E150" s="129" t="str">
        <f>E148</f>
        <v>RFQ-047</v>
      </c>
      <c r="F150" s="130" t="str">
        <f>F148</f>
        <v>N</v>
      </c>
      <c r="G150" s="131"/>
      <c r="H150" s="130" t="str">
        <f>H148</f>
        <v>Marine Racon</v>
      </c>
      <c r="I150" s="129" t="str">
        <f>I148</f>
        <v>LC</v>
      </c>
      <c r="J150" s="130"/>
      <c r="K150" s="132"/>
      <c r="L150" s="132"/>
      <c r="M150" s="132">
        <v>0.001</v>
      </c>
      <c r="N150" s="129"/>
      <c r="O150" s="129"/>
      <c r="P150" s="129"/>
      <c r="Q150" s="133" t="s">
        <v>4908</v>
      </c>
      <c r="R150" s="133"/>
      <c r="S150" s="151"/>
      <c r="T150" s="151"/>
      <c r="U150" s="151"/>
      <c r="V150" s="151"/>
      <c r="W150" s="151"/>
      <c r="X150" s="151"/>
      <c r="Y150" s="151"/>
      <c r="Z150" s="151"/>
      <c r="AA150" s="151"/>
      <c r="AB150" s="151"/>
      <c r="AC150" s="134"/>
      <c r="AD150" s="135"/>
      <c r="AE150" s="144"/>
      <c r="AF150" s="136"/>
      <c r="AG150" s="137"/>
      <c r="AH150" s="138"/>
      <c r="AI150" s="139"/>
      <c r="AJ150" s="135"/>
      <c r="AK150" s="140"/>
      <c r="AL150" s="141"/>
      <c r="AM150" s="142">
        <f t="shared" ref="AM150:AW150" si="188">IF(ISERROR(LOOKUP(AM$6,$S150:$AB150,$S$9:$AB$9)),0,(LOOKUP(AM$6,$S150:$AB150,$S$9:$AB$9)))</f>
        <v>0</v>
      </c>
      <c r="AN150" s="143">
        <f t="shared" si="188"/>
        <v>0</v>
      </c>
      <c r="AO150" s="143">
        <f t="shared" si="188"/>
        <v>0</v>
      </c>
      <c r="AP150" s="143">
        <f t="shared" si="188"/>
        <v>0</v>
      </c>
      <c r="AQ150" s="143">
        <f t="shared" si="188"/>
        <v>0</v>
      </c>
      <c r="AR150" s="143">
        <f t="shared" si="188"/>
        <v>0</v>
      </c>
      <c r="AS150" s="143">
        <f t="shared" si="188"/>
        <v>0</v>
      </c>
      <c r="AT150" s="143">
        <f t="shared" si="188"/>
        <v>0</v>
      </c>
      <c r="AU150" s="143">
        <f t="shared" si="188"/>
        <v>0</v>
      </c>
      <c r="AV150" s="143">
        <f t="shared" si="188"/>
        <v>0</v>
      </c>
      <c r="AW150" s="143">
        <f ca="1" t="shared" si="188"/>
        <v>0</v>
      </c>
      <c r="BB150" s="103" t="e">
        <v>#REF!</v>
      </c>
    </row>
    <row r="151" s="20" customFormat="1" ht="18" customHeight="1" spans="1:54">
      <c r="A151" s="81">
        <f>A148+1</f>
        <v>48</v>
      </c>
      <c r="B151" s="83"/>
      <c r="C151" s="83" t="s">
        <v>4902</v>
      </c>
      <c r="D151" s="84" t="s">
        <v>4914</v>
      </c>
      <c r="E151" s="85" t="s">
        <v>4835</v>
      </c>
      <c r="F151" s="86" t="s">
        <v>72</v>
      </c>
      <c r="G151" s="87" t="s">
        <v>4961</v>
      </c>
      <c r="H151" s="86" t="s">
        <v>4836</v>
      </c>
      <c r="I151" s="85" t="s">
        <v>8</v>
      </c>
      <c r="J151" s="86"/>
      <c r="K151" s="89">
        <f>M153</f>
        <v>0.001</v>
      </c>
      <c r="L151" s="89"/>
      <c r="M151" s="89"/>
      <c r="N151" s="85"/>
      <c r="O151" s="85"/>
      <c r="P151" s="85"/>
      <c r="Q151" s="90" t="s">
        <v>4905</v>
      </c>
      <c r="R151" s="91">
        <f>'Before Award'!U158+5</f>
        <v>46269</v>
      </c>
      <c r="S151" s="91" t="e">
        <f>WORKDAY(R151,INDEX(S$2:S$5,MATCH($I151,$I$2:$I$5,0)),$BB$10:$BB$141)</f>
        <v>#REF!</v>
      </c>
      <c r="T151" s="91" t="e">
        <f>WORKDAY(S151,INDEX(T$2:T$5,MATCH($I151,$I$2:$I$5,0)),$BB$10:$BB$141)</f>
        <v>#REF!</v>
      </c>
      <c r="U151" s="91" t="e">
        <f>T151+30</f>
        <v>#REF!</v>
      </c>
      <c r="V151" s="91"/>
      <c r="W151" s="91">
        <f>AB151-35</f>
        <v>46412</v>
      </c>
      <c r="X151" s="91"/>
      <c r="Y151" s="91"/>
      <c r="Z151" s="91"/>
      <c r="AA151" s="91"/>
      <c r="AB151" s="91">
        <f>'Before Award'!X158</f>
        <v>46447</v>
      </c>
      <c r="AC151" s="92" t="s">
        <v>4906</v>
      </c>
      <c r="AD151" s="93">
        <v>7</v>
      </c>
      <c r="AE151" s="152">
        <v>183</v>
      </c>
      <c r="AF151" s="95" t="e">
        <f>AB152</f>
        <v>#REF!</v>
      </c>
      <c r="AG151" s="96">
        <f>WORKDAY(AH151+1,-1,$BA$10:$BA$141)</f>
        <v>46538</v>
      </c>
      <c r="AH151" s="97">
        <v>46538</v>
      </c>
      <c r="AI151" s="98"/>
      <c r="AJ151" s="93" t="e">
        <f>AG151-AF151</f>
        <v>#REF!</v>
      </c>
      <c r="AK151" s="99"/>
      <c r="AL151" s="100"/>
      <c r="AM151" s="101">
        <f t="shared" ref="AM151:AW151" si="189">IF(ISERROR(LOOKUP(AM$6,$S151:$AB151,$S$9:$AB$9)),0,(LOOKUP(AM$6,$S151:$AB151,$S$9:$AB$9)))</f>
        <v>0</v>
      </c>
      <c r="AN151" s="102">
        <f t="shared" si="189"/>
        <v>0</v>
      </c>
      <c r="AO151" s="102">
        <f t="shared" si="189"/>
        <v>0</v>
      </c>
      <c r="AP151" s="102">
        <f t="shared" si="189"/>
        <v>0</v>
      </c>
      <c r="AQ151" s="102">
        <f t="shared" si="189"/>
        <v>0</v>
      </c>
      <c r="AR151" s="102">
        <f t="shared" si="189"/>
        <v>0</v>
      </c>
      <c r="AS151" s="102">
        <f t="shared" si="189"/>
        <v>0</v>
      </c>
      <c r="AT151" s="102">
        <f t="shared" si="189"/>
        <v>0</v>
      </c>
      <c r="AU151" s="102">
        <f t="shared" si="189"/>
        <v>0</v>
      </c>
      <c r="AV151" s="102">
        <f t="shared" si="189"/>
        <v>0</v>
      </c>
      <c r="AW151" s="102">
        <f ca="1" t="shared" si="189"/>
        <v>0</v>
      </c>
      <c r="BB151" s="103" t="e">
        <v>#REF!</v>
      </c>
    </row>
    <row r="152" s="20" customFormat="1" ht="18" customHeight="1" spans="1:54">
      <c r="A152" s="104"/>
      <c r="B152" s="106"/>
      <c r="C152" s="106"/>
      <c r="D152" s="107" t="str">
        <f>D151</f>
        <v>PIP</v>
      </c>
      <c r="E152" s="108" t="str">
        <f>E151</f>
        <v>RFQ-048</v>
      </c>
      <c r="F152" s="109" t="str">
        <f>F151</f>
        <v>N</v>
      </c>
      <c r="G152" s="110"/>
      <c r="H152" s="109" t="str">
        <f>H151</f>
        <v>BALL VALVE (FLANGE END)</v>
      </c>
      <c r="I152" s="108" t="str">
        <f>I151</f>
        <v>LC</v>
      </c>
      <c r="J152" s="109"/>
      <c r="K152" s="112"/>
      <c r="L152" s="112">
        <f>M153</f>
        <v>0.001</v>
      </c>
      <c r="M152" s="112"/>
      <c r="N152" s="108"/>
      <c r="O152" s="108"/>
      <c r="P152" s="108"/>
      <c r="Q152" s="113" t="s">
        <v>4907</v>
      </c>
      <c r="R152" s="113"/>
      <c r="S152" s="114" t="e">
        <f>S151</f>
        <v>#REF!</v>
      </c>
      <c r="T152" s="115" t="e">
        <f>T151</f>
        <v>#REF!</v>
      </c>
      <c r="U152" s="115" t="e">
        <f t="shared" ref="U152:Z152" si="190">WORKDAY(IF(T153="",T152,T153),INDEX(U$2:U$5,MATCH($I151,$I$2:$I$5,0)),$BB$10:$BB$141)</f>
        <v>#REF!</v>
      </c>
      <c r="V152" s="115" t="e">
        <f t="shared" si="190"/>
        <v>#REF!</v>
      </c>
      <c r="W152" s="115" t="e">
        <f t="shared" si="190"/>
        <v>#REF!</v>
      </c>
      <c r="X152" s="115" t="e">
        <f t="shared" si="190"/>
        <v>#REF!</v>
      </c>
      <c r="Y152" s="115" t="e">
        <f t="shared" si="190"/>
        <v>#REF!</v>
      </c>
      <c r="Z152" s="115" t="e">
        <f t="shared" si="190"/>
        <v>#REF!</v>
      </c>
      <c r="AA152" s="115" t="e">
        <f>WORKDAY(IF(Z153="",X152,Z153),INDEX(AA$2:AA$5,MATCH($I151,$I$2:$I$5,0)),$BB$10:$BB$141)</f>
        <v>#REF!</v>
      </c>
      <c r="AB152" s="116" t="e">
        <f>WORKDAY(AE151+#REF!,0,'[36]Equipment List and MR List (3)'!$A$2:$A$80)</f>
        <v>#REF!</v>
      </c>
      <c r="AC152" s="117"/>
      <c r="AD152" s="118"/>
      <c r="AE152" s="152"/>
      <c r="AF152" s="119"/>
      <c r="AG152" s="120"/>
      <c r="AH152" s="121"/>
      <c r="AI152" s="122"/>
      <c r="AJ152" s="118"/>
      <c r="AK152" s="123"/>
      <c r="AL152" s="124"/>
      <c r="AM152" s="101">
        <f t="shared" ref="AM152:AW152" si="191">IF(ISERROR(LOOKUP(AM$6,$S152:$AB152,$S$9:$AB$9)),0,(LOOKUP(AM$6,$S152:$AB152,$S$9:$AB$9)))</f>
        <v>0</v>
      </c>
      <c r="AN152" s="102">
        <f t="shared" si="191"/>
        <v>0</v>
      </c>
      <c r="AO152" s="102">
        <f t="shared" si="191"/>
        <v>0</v>
      </c>
      <c r="AP152" s="102">
        <f t="shared" si="191"/>
        <v>0</v>
      </c>
      <c r="AQ152" s="102">
        <f t="shared" si="191"/>
        <v>0</v>
      </c>
      <c r="AR152" s="102">
        <f t="shared" si="191"/>
        <v>0</v>
      </c>
      <c r="AS152" s="102">
        <f t="shared" si="191"/>
        <v>0</v>
      </c>
      <c r="AT152" s="102">
        <f t="shared" si="191"/>
        <v>0</v>
      </c>
      <c r="AU152" s="102">
        <f t="shared" si="191"/>
        <v>0</v>
      </c>
      <c r="AV152" s="102">
        <f t="shared" si="191"/>
        <v>0</v>
      </c>
      <c r="AW152" s="102">
        <f ca="1" t="shared" si="191"/>
        <v>0</v>
      </c>
      <c r="BB152" s="103" t="e">
        <v>#REF!</v>
      </c>
    </row>
    <row r="153" s="20" customFormat="1" ht="18" customHeight="1" spans="1:54">
      <c r="A153" s="125"/>
      <c r="B153" s="127"/>
      <c r="C153" s="127"/>
      <c r="D153" s="128" t="str">
        <f>D151</f>
        <v>PIP</v>
      </c>
      <c r="E153" s="129" t="str">
        <f>E151</f>
        <v>RFQ-048</v>
      </c>
      <c r="F153" s="130" t="str">
        <f>F151</f>
        <v>N</v>
      </c>
      <c r="G153" s="131"/>
      <c r="H153" s="130" t="str">
        <f>H151</f>
        <v>BALL VALVE (FLANGE END)</v>
      </c>
      <c r="I153" s="129" t="str">
        <f>I151</f>
        <v>LC</v>
      </c>
      <c r="J153" s="130"/>
      <c r="K153" s="132"/>
      <c r="L153" s="132"/>
      <c r="M153" s="132">
        <v>0.001</v>
      </c>
      <c r="N153" s="129"/>
      <c r="O153" s="129"/>
      <c r="P153" s="129"/>
      <c r="Q153" s="133" t="s">
        <v>4908</v>
      </c>
      <c r="R153" s="133"/>
      <c r="S153" s="151"/>
      <c r="T153" s="151"/>
      <c r="U153" s="151"/>
      <c r="V153" s="151"/>
      <c r="W153" s="151"/>
      <c r="X153" s="151"/>
      <c r="Y153" s="151"/>
      <c r="Z153" s="151"/>
      <c r="AA153" s="151"/>
      <c r="AB153" s="151"/>
      <c r="AC153" s="134"/>
      <c r="AD153" s="135"/>
      <c r="AE153" s="152"/>
      <c r="AF153" s="136"/>
      <c r="AG153" s="137"/>
      <c r="AH153" s="138"/>
      <c r="AI153" s="139"/>
      <c r="AJ153" s="135"/>
      <c r="AK153" s="140"/>
      <c r="AL153" s="141"/>
      <c r="AM153" s="142">
        <f t="shared" ref="AM153:AW153" si="192">IF(ISERROR(LOOKUP(AM$6,$S153:$AB153,$S$9:$AB$9)),0,(LOOKUP(AM$6,$S153:$AB153,$S$9:$AB$9)))</f>
        <v>0</v>
      </c>
      <c r="AN153" s="143">
        <f t="shared" si="192"/>
        <v>0</v>
      </c>
      <c r="AO153" s="143">
        <f t="shared" si="192"/>
        <v>0</v>
      </c>
      <c r="AP153" s="143">
        <f t="shared" si="192"/>
        <v>0</v>
      </c>
      <c r="AQ153" s="143">
        <f t="shared" si="192"/>
        <v>0</v>
      </c>
      <c r="AR153" s="143">
        <f t="shared" si="192"/>
        <v>0</v>
      </c>
      <c r="AS153" s="143">
        <f t="shared" si="192"/>
        <v>0</v>
      </c>
      <c r="AT153" s="143">
        <f t="shared" si="192"/>
        <v>0</v>
      </c>
      <c r="AU153" s="143">
        <f t="shared" si="192"/>
        <v>0</v>
      </c>
      <c r="AV153" s="143">
        <f t="shared" si="192"/>
        <v>0</v>
      </c>
      <c r="AW153" s="143">
        <f ca="1" t="shared" si="192"/>
        <v>0</v>
      </c>
      <c r="BB153" s="103" t="e">
        <v>#REF!</v>
      </c>
    </row>
    <row r="154" s="20" customFormat="1" ht="18" customHeight="1" spans="1:54">
      <c r="A154" s="81">
        <f>A151+1</f>
        <v>49</v>
      </c>
      <c r="B154" s="83"/>
      <c r="C154" s="83" t="s">
        <v>4902</v>
      </c>
      <c r="D154" s="84" t="s">
        <v>4914</v>
      </c>
      <c r="E154" s="85" t="s">
        <v>4837</v>
      </c>
      <c r="F154" s="86" t="s">
        <v>72</v>
      </c>
      <c r="G154" s="87" t="s">
        <v>4961</v>
      </c>
      <c r="H154" s="86" t="s">
        <v>4838</v>
      </c>
      <c r="I154" s="85" t="s">
        <v>8</v>
      </c>
      <c r="J154" s="86"/>
      <c r="K154" s="89">
        <f>M156</f>
        <v>0.01</v>
      </c>
      <c r="L154" s="89"/>
      <c r="M154" s="89"/>
      <c r="N154" s="85"/>
      <c r="O154" s="85"/>
      <c r="P154" s="85"/>
      <c r="Q154" s="90" t="s">
        <v>4905</v>
      </c>
      <c r="R154" s="91">
        <f>'Before Award'!U161+5</f>
        <v>46269</v>
      </c>
      <c r="S154" s="91" t="e">
        <f>WORKDAY(R154,INDEX(S$2:S$5,MATCH($I154,$I$2:$I$5,0)),$BB$10:$BB$141)</f>
        <v>#REF!</v>
      </c>
      <c r="T154" s="91" t="e">
        <f>WORKDAY(S154,INDEX(T$2:T$5,MATCH($I154,$I$2:$I$5,0)),$BB$10:$BB$141)</f>
        <v>#REF!</v>
      </c>
      <c r="U154" s="91" t="e">
        <f>T154+30</f>
        <v>#REF!</v>
      </c>
      <c r="V154" s="91"/>
      <c r="W154" s="91">
        <f>AB154-35</f>
        <v>46412</v>
      </c>
      <c r="X154" s="91"/>
      <c r="Y154" s="91"/>
      <c r="Z154" s="91"/>
      <c r="AA154" s="91"/>
      <c r="AB154" s="91">
        <f>'Before Award'!X161</f>
        <v>46447</v>
      </c>
      <c r="AC154" s="92" t="s">
        <v>4906</v>
      </c>
      <c r="AD154" s="93">
        <v>7</v>
      </c>
      <c r="AE154" s="152">
        <v>183</v>
      </c>
      <c r="AF154" s="95" t="e">
        <f>AB155</f>
        <v>#REF!</v>
      </c>
      <c r="AG154" s="96">
        <f>WORKDAY(AH154+1,-1,$BA$10:$BA$141)</f>
        <v>46538</v>
      </c>
      <c r="AH154" s="97">
        <v>46538</v>
      </c>
      <c r="AI154" s="98"/>
      <c r="AJ154" s="93" t="e">
        <f>AG154-AF154</f>
        <v>#REF!</v>
      </c>
      <c r="AK154" s="99"/>
      <c r="AL154" s="100"/>
      <c r="AM154" s="101">
        <f t="shared" ref="AM154:AW154" si="193">IF(ISERROR(LOOKUP(AM$6,$S154:$AB154,$S$9:$AB$9)),0,(LOOKUP(AM$6,$S154:$AB154,$S$9:$AB$9)))</f>
        <v>0</v>
      </c>
      <c r="AN154" s="102">
        <f t="shared" si="193"/>
        <v>0</v>
      </c>
      <c r="AO154" s="102">
        <f t="shared" si="193"/>
        <v>0</v>
      </c>
      <c r="AP154" s="102">
        <f t="shared" si="193"/>
        <v>0</v>
      </c>
      <c r="AQ154" s="102">
        <f t="shared" si="193"/>
        <v>0</v>
      </c>
      <c r="AR154" s="102">
        <f t="shared" si="193"/>
        <v>0</v>
      </c>
      <c r="AS154" s="102">
        <f t="shared" si="193"/>
        <v>0</v>
      </c>
      <c r="AT154" s="102">
        <f t="shared" si="193"/>
        <v>0</v>
      </c>
      <c r="AU154" s="102">
        <f t="shared" si="193"/>
        <v>0</v>
      </c>
      <c r="AV154" s="102">
        <f t="shared" si="193"/>
        <v>0</v>
      </c>
      <c r="AW154" s="102">
        <f ca="1" t="shared" si="193"/>
        <v>0</v>
      </c>
      <c r="BB154" s="103" t="e">
        <v>#REF!</v>
      </c>
    </row>
    <row r="155" s="20" customFormat="1" ht="18" customHeight="1" spans="1:54">
      <c r="A155" s="104"/>
      <c r="B155" s="106"/>
      <c r="C155" s="106"/>
      <c r="D155" s="107" t="str">
        <f>D154</f>
        <v>PIP</v>
      </c>
      <c r="E155" s="108" t="str">
        <f>E154</f>
        <v>RFQ-049</v>
      </c>
      <c r="F155" s="109" t="str">
        <f>F154</f>
        <v>N</v>
      </c>
      <c r="G155" s="110"/>
      <c r="H155" s="109" t="str">
        <f>H154</f>
        <v>GLOBE VALVE (FLANGE END)</v>
      </c>
      <c r="I155" s="108" t="str">
        <f>I154</f>
        <v>LC</v>
      </c>
      <c r="J155" s="109"/>
      <c r="K155" s="112"/>
      <c r="L155" s="112">
        <f>M156</f>
        <v>0.01</v>
      </c>
      <c r="M155" s="112"/>
      <c r="N155" s="108"/>
      <c r="O155" s="108"/>
      <c r="P155" s="108"/>
      <c r="Q155" s="113" t="s">
        <v>4907</v>
      </c>
      <c r="R155" s="113"/>
      <c r="S155" s="114" t="e">
        <f>S154</f>
        <v>#REF!</v>
      </c>
      <c r="T155" s="115" t="e">
        <f>T154</f>
        <v>#REF!</v>
      </c>
      <c r="U155" s="115" t="e">
        <f t="shared" ref="U155:Z155" si="194">WORKDAY(IF(T156="",T155,T156),INDEX(U$2:U$5,MATCH($I154,$I$2:$I$5,0)),$BB$10:$BB$141)</f>
        <v>#REF!</v>
      </c>
      <c r="V155" s="115" t="e">
        <f t="shared" si="194"/>
        <v>#REF!</v>
      </c>
      <c r="W155" s="115" t="e">
        <f t="shared" si="194"/>
        <v>#REF!</v>
      </c>
      <c r="X155" s="115" t="e">
        <f t="shared" si="194"/>
        <v>#REF!</v>
      </c>
      <c r="Y155" s="115" t="e">
        <f t="shared" si="194"/>
        <v>#REF!</v>
      </c>
      <c r="Z155" s="115" t="e">
        <f t="shared" si="194"/>
        <v>#REF!</v>
      </c>
      <c r="AA155" s="115" t="e">
        <f>WORKDAY(IF(Z156="",X155,Z156),INDEX(AA$2:AA$5,MATCH($I154,$I$2:$I$5,0)),$BB$10:$BB$141)</f>
        <v>#REF!</v>
      </c>
      <c r="AB155" s="116" t="e">
        <f>WORKDAY(AE154+#REF!,0,'[36]Equipment List and MR List (3)'!$A$2:$A$80)</f>
        <v>#REF!</v>
      </c>
      <c r="AC155" s="117"/>
      <c r="AD155" s="118"/>
      <c r="AE155" s="152"/>
      <c r="AF155" s="119"/>
      <c r="AG155" s="120"/>
      <c r="AH155" s="121"/>
      <c r="AI155" s="122"/>
      <c r="AJ155" s="118"/>
      <c r="AK155" s="123"/>
      <c r="AL155" s="124"/>
      <c r="AM155" s="101">
        <f t="shared" ref="AM155:AW155" si="195">IF(ISERROR(LOOKUP(AM$6,$S155:$AB155,$S$9:$AB$9)),0,(LOOKUP(AM$6,$S155:$AB155,$S$9:$AB$9)))</f>
        <v>0</v>
      </c>
      <c r="AN155" s="102">
        <f t="shared" si="195"/>
        <v>0</v>
      </c>
      <c r="AO155" s="102">
        <f t="shared" si="195"/>
        <v>0</v>
      </c>
      <c r="AP155" s="102">
        <f t="shared" si="195"/>
        <v>0</v>
      </c>
      <c r="AQ155" s="102">
        <f t="shared" si="195"/>
        <v>0</v>
      </c>
      <c r="AR155" s="102">
        <f t="shared" si="195"/>
        <v>0</v>
      </c>
      <c r="AS155" s="102">
        <f t="shared" si="195"/>
        <v>0</v>
      </c>
      <c r="AT155" s="102">
        <f t="shared" si="195"/>
        <v>0</v>
      </c>
      <c r="AU155" s="102">
        <f t="shared" si="195"/>
        <v>0</v>
      </c>
      <c r="AV155" s="102">
        <f t="shared" si="195"/>
        <v>0</v>
      </c>
      <c r="AW155" s="102">
        <f ca="1" t="shared" si="195"/>
        <v>0</v>
      </c>
      <c r="BB155" s="103" t="e">
        <v>#REF!</v>
      </c>
    </row>
    <row r="156" s="20" customFormat="1" ht="18" customHeight="1" spans="1:54">
      <c r="A156" s="125"/>
      <c r="B156" s="127"/>
      <c r="C156" s="127"/>
      <c r="D156" s="128" t="str">
        <f>D154</f>
        <v>PIP</v>
      </c>
      <c r="E156" s="129" t="str">
        <f>E154</f>
        <v>RFQ-049</v>
      </c>
      <c r="F156" s="130" t="str">
        <f>F154</f>
        <v>N</v>
      </c>
      <c r="G156" s="131"/>
      <c r="H156" s="130" t="str">
        <f>H154</f>
        <v>GLOBE VALVE (FLANGE END)</v>
      </c>
      <c r="I156" s="129" t="str">
        <f>I154</f>
        <v>LC</v>
      </c>
      <c r="J156" s="130"/>
      <c r="K156" s="132"/>
      <c r="L156" s="132"/>
      <c r="M156" s="132">
        <v>0.01</v>
      </c>
      <c r="N156" s="129"/>
      <c r="O156" s="129"/>
      <c r="P156" s="129"/>
      <c r="Q156" s="133" t="s">
        <v>4908</v>
      </c>
      <c r="R156" s="133"/>
      <c r="S156" s="151"/>
      <c r="T156" s="151"/>
      <c r="U156" s="151"/>
      <c r="V156" s="151"/>
      <c r="W156" s="151"/>
      <c r="X156" s="151"/>
      <c r="Y156" s="151"/>
      <c r="Z156" s="151"/>
      <c r="AA156" s="151"/>
      <c r="AB156" s="151"/>
      <c r="AC156" s="134"/>
      <c r="AD156" s="135"/>
      <c r="AE156" s="152"/>
      <c r="AF156" s="136"/>
      <c r="AG156" s="137"/>
      <c r="AH156" s="138"/>
      <c r="AI156" s="139"/>
      <c r="AJ156" s="135"/>
      <c r="AK156" s="140"/>
      <c r="AL156" s="141"/>
      <c r="AM156" s="142">
        <f t="shared" ref="AM156:AW156" si="196">IF(ISERROR(LOOKUP(AM$6,$S156:$AB156,$S$9:$AB$9)),0,(LOOKUP(AM$6,$S156:$AB156,$S$9:$AB$9)))</f>
        <v>0</v>
      </c>
      <c r="AN156" s="143">
        <f t="shared" si="196"/>
        <v>0</v>
      </c>
      <c r="AO156" s="143">
        <f t="shared" si="196"/>
        <v>0</v>
      </c>
      <c r="AP156" s="143">
        <f t="shared" si="196"/>
        <v>0</v>
      </c>
      <c r="AQ156" s="143">
        <f t="shared" si="196"/>
        <v>0</v>
      </c>
      <c r="AR156" s="143">
        <f t="shared" si="196"/>
        <v>0</v>
      </c>
      <c r="AS156" s="143">
        <f t="shared" si="196"/>
        <v>0</v>
      </c>
      <c r="AT156" s="143">
        <f t="shared" si="196"/>
        <v>0</v>
      </c>
      <c r="AU156" s="143">
        <f t="shared" si="196"/>
        <v>0</v>
      </c>
      <c r="AV156" s="143">
        <f t="shared" si="196"/>
        <v>0</v>
      </c>
      <c r="AW156" s="143">
        <f ca="1" t="shared" si="196"/>
        <v>0</v>
      </c>
      <c r="BB156" s="103" t="e">
        <v>#REF!</v>
      </c>
    </row>
    <row r="157" s="20" customFormat="1" ht="18" customHeight="1" spans="1:54">
      <c r="A157" s="81">
        <f>A154+1</f>
        <v>50</v>
      </c>
      <c r="B157" s="83"/>
      <c r="C157" s="83" t="s">
        <v>4902</v>
      </c>
      <c r="D157" s="84" t="s">
        <v>4914</v>
      </c>
      <c r="E157" s="85" t="s">
        <v>4839</v>
      </c>
      <c r="F157" s="86" t="s">
        <v>72</v>
      </c>
      <c r="G157" s="87" t="s">
        <v>4961</v>
      </c>
      <c r="H157" s="86" t="s">
        <v>4840</v>
      </c>
      <c r="I157" s="85" t="s">
        <v>8</v>
      </c>
      <c r="J157" s="86"/>
      <c r="K157" s="89">
        <f>M159</f>
        <v>0.0005</v>
      </c>
      <c r="L157" s="89"/>
      <c r="M157" s="89"/>
      <c r="N157" s="85"/>
      <c r="O157" s="85"/>
      <c r="P157" s="85"/>
      <c r="Q157" s="90" t="s">
        <v>4905</v>
      </c>
      <c r="R157" s="91">
        <f>'Before Award'!U164+5</f>
        <v>46269</v>
      </c>
      <c r="S157" s="91" t="e">
        <f>WORKDAY(R157,INDEX(S$2:S$5,MATCH($I157,$I$2:$I$5,0)),$BB$10:$BB$141)</f>
        <v>#REF!</v>
      </c>
      <c r="T157" s="91" t="e">
        <f>WORKDAY(S157,INDEX(T$2:T$5,MATCH($I157,$I$2:$I$5,0)),$BB$10:$BB$141)</f>
        <v>#REF!</v>
      </c>
      <c r="U157" s="91" t="e">
        <f>T157+30</f>
        <v>#REF!</v>
      </c>
      <c r="V157" s="91"/>
      <c r="W157" s="91">
        <f>AB157-35</f>
        <v>46412</v>
      </c>
      <c r="X157" s="91"/>
      <c r="Y157" s="91"/>
      <c r="Z157" s="91"/>
      <c r="AA157" s="91"/>
      <c r="AB157" s="91">
        <f>'Before Award'!X164</f>
        <v>46447</v>
      </c>
      <c r="AC157" s="92" t="s">
        <v>4906</v>
      </c>
      <c r="AD157" s="93">
        <v>7</v>
      </c>
      <c r="AE157" s="152">
        <v>183</v>
      </c>
      <c r="AF157" s="95" t="e">
        <f>AB158</f>
        <v>#REF!</v>
      </c>
      <c r="AG157" s="96">
        <f>WORKDAY(AH157+1,-1,$BA$10:$BA$141)</f>
        <v>46538</v>
      </c>
      <c r="AH157" s="97">
        <v>46538</v>
      </c>
      <c r="AI157" s="98"/>
      <c r="AJ157" s="93" t="e">
        <f>AG157-AF157</f>
        <v>#REF!</v>
      </c>
      <c r="AK157" s="99"/>
      <c r="AL157" s="100"/>
      <c r="AM157" s="101">
        <f t="shared" ref="AM157:AW157" si="197">IF(ISERROR(LOOKUP(AM$6,$S157:$AB157,$S$9:$AB$9)),0,(LOOKUP(AM$6,$S157:$AB157,$S$9:$AB$9)))</f>
        <v>0</v>
      </c>
      <c r="AN157" s="102">
        <f t="shared" si="197"/>
        <v>0</v>
      </c>
      <c r="AO157" s="102">
        <f t="shared" si="197"/>
        <v>0</v>
      </c>
      <c r="AP157" s="102">
        <f t="shared" si="197"/>
        <v>0</v>
      </c>
      <c r="AQ157" s="102">
        <f t="shared" si="197"/>
        <v>0</v>
      </c>
      <c r="AR157" s="102">
        <f t="shared" si="197"/>
        <v>0</v>
      </c>
      <c r="AS157" s="102">
        <f t="shared" si="197"/>
        <v>0</v>
      </c>
      <c r="AT157" s="102">
        <f t="shared" si="197"/>
        <v>0</v>
      </c>
      <c r="AU157" s="102">
        <f t="shared" si="197"/>
        <v>0</v>
      </c>
      <c r="AV157" s="102">
        <f t="shared" si="197"/>
        <v>0</v>
      </c>
      <c r="AW157" s="102">
        <f ca="1" t="shared" si="197"/>
        <v>0</v>
      </c>
      <c r="BB157" s="103" t="e">
        <v>#REF!</v>
      </c>
    </row>
    <row r="158" s="20" customFormat="1" ht="18" customHeight="1" spans="1:54">
      <c r="A158" s="104"/>
      <c r="B158" s="106"/>
      <c r="C158" s="106"/>
      <c r="D158" s="107" t="str">
        <f>D157</f>
        <v>PIP</v>
      </c>
      <c r="E158" s="108" t="str">
        <f>E157</f>
        <v>RFQ-050</v>
      </c>
      <c r="F158" s="109" t="str">
        <f>F157</f>
        <v>N</v>
      </c>
      <c r="G158" s="110"/>
      <c r="H158" s="109" t="str">
        <f>H157</f>
        <v>GLOBE VALVE (WELDED END)</v>
      </c>
      <c r="I158" s="108" t="str">
        <f>I157</f>
        <v>LC</v>
      </c>
      <c r="J158" s="109"/>
      <c r="K158" s="112"/>
      <c r="L158" s="112">
        <f>M159</f>
        <v>0.0005</v>
      </c>
      <c r="M158" s="112"/>
      <c r="N158" s="108"/>
      <c r="O158" s="108"/>
      <c r="P158" s="108"/>
      <c r="Q158" s="113" t="s">
        <v>4907</v>
      </c>
      <c r="R158" s="113"/>
      <c r="S158" s="114" t="e">
        <f>S157</f>
        <v>#REF!</v>
      </c>
      <c r="T158" s="115" t="e">
        <f>T157</f>
        <v>#REF!</v>
      </c>
      <c r="U158" s="115" t="e">
        <f t="shared" ref="U158:Z158" si="198">WORKDAY(IF(T159="",T158,T159),INDEX(U$2:U$5,MATCH($I157,$I$2:$I$5,0)),$BB$10:$BB$141)</f>
        <v>#REF!</v>
      </c>
      <c r="V158" s="115" t="e">
        <f t="shared" si="198"/>
        <v>#REF!</v>
      </c>
      <c r="W158" s="115" t="e">
        <f t="shared" si="198"/>
        <v>#REF!</v>
      </c>
      <c r="X158" s="115" t="e">
        <f t="shared" si="198"/>
        <v>#REF!</v>
      </c>
      <c r="Y158" s="115" t="e">
        <f t="shared" si="198"/>
        <v>#REF!</v>
      </c>
      <c r="Z158" s="115" t="e">
        <f t="shared" si="198"/>
        <v>#REF!</v>
      </c>
      <c r="AA158" s="115" t="e">
        <f>WORKDAY(IF(Z159="",X158,Z159),INDEX(AA$2:AA$5,MATCH($I157,$I$2:$I$5,0)),$BB$10:$BB$141)</f>
        <v>#REF!</v>
      </c>
      <c r="AB158" s="116" t="e">
        <f>WORKDAY(AE157+#REF!,0,'[36]Equipment List and MR List (3)'!$A$2:$A$80)</f>
        <v>#REF!</v>
      </c>
      <c r="AC158" s="117"/>
      <c r="AD158" s="118"/>
      <c r="AE158" s="152"/>
      <c r="AF158" s="119"/>
      <c r="AG158" s="120"/>
      <c r="AH158" s="121"/>
      <c r="AI158" s="122"/>
      <c r="AJ158" s="118"/>
      <c r="AK158" s="123"/>
      <c r="AL158" s="124"/>
      <c r="AM158" s="101">
        <f t="shared" ref="AM158:AW158" si="199">IF(ISERROR(LOOKUP(AM$6,$S158:$AB158,$S$9:$AB$9)),0,(LOOKUP(AM$6,$S158:$AB158,$S$9:$AB$9)))</f>
        <v>0</v>
      </c>
      <c r="AN158" s="102">
        <f t="shared" si="199"/>
        <v>0</v>
      </c>
      <c r="AO158" s="102">
        <f t="shared" si="199"/>
        <v>0</v>
      </c>
      <c r="AP158" s="102">
        <f t="shared" si="199"/>
        <v>0</v>
      </c>
      <c r="AQ158" s="102">
        <f t="shared" si="199"/>
        <v>0</v>
      </c>
      <c r="AR158" s="102">
        <f t="shared" si="199"/>
        <v>0</v>
      </c>
      <c r="AS158" s="102">
        <f t="shared" si="199"/>
        <v>0</v>
      </c>
      <c r="AT158" s="102">
        <f t="shared" si="199"/>
        <v>0</v>
      </c>
      <c r="AU158" s="102">
        <f t="shared" si="199"/>
        <v>0</v>
      </c>
      <c r="AV158" s="102">
        <f t="shared" si="199"/>
        <v>0</v>
      </c>
      <c r="AW158" s="102">
        <f ca="1" t="shared" si="199"/>
        <v>0</v>
      </c>
      <c r="BB158" s="103" t="e">
        <v>#REF!</v>
      </c>
    </row>
    <row r="159" s="20" customFormat="1" ht="18" customHeight="1" spans="1:54">
      <c r="A159" s="125"/>
      <c r="B159" s="127"/>
      <c r="C159" s="127"/>
      <c r="D159" s="128" t="str">
        <f>D157</f>
        <v>PIP</v>
      </c>
      <c r="E159" s="129" t="str">
        <f>E157</f>
        <v>RFQ-050</v>
      </c>
      <c r="F159" s="130" t="str">
        <f>F157</f>
        <v>N</v>
      </c>
      <c r="G159" s="131"/>
      <c r="H159" s="130" t="str">
        <f>H157</f>
        <v>GLOBE VALVE (WELDED END)</v>
      </c>
      <c r="I159" s="129" t="str">
        <f>I157</f>
        <v>LC</v>
      </c>
      <c r="J159" s="130"/>
      <c r="K159" s="132"/>
      <c r="L159" s="132"/>
      <c r="M159" s="132">
        <v>0.0005</v>
      </c>
      <c r="N159" s="129"/>
      <c r="O159" s="129"/>
      <c r="P159" s="129"/>
      <c r="Q159" s="133" t="s">
        <v>4908</v>
      </c>
      <c r="R159" s="133"/>
      <c r="S159" s="151"/>
      <c r="T159" s="151"/>
      <c r="U159" s="151"/>
      <c r="V159" s="151"/>
      <c r="W159" s="151"/>
      <c r="X159" s="151"/>
      <c r="Y159" s="151"/>
      <c r="Z159" s="151"/>
      <c r="AA159" s="151"/>
      <c r="AB159" s="151"/>
      <c r="AC159" s="134"/>
      <c r="AD159" s="135"/>
      <c r="AE159" s="152"/>
      <c r="AF159" s="136"/>
      <c r="AG159" s="137"/>
      <c r="AH159" s="138"/>
      <c r="AI159" s="139"/>
      <c r="AJ159" s="135"/>
      <c r="AK159" s="140"/>
      <c r="AL159" s="141"/>
      <c r="AM159" s="142">
        <f t="shared" ref="AM159:AW159" si="200">IF(ISERROR(LOOKUP(AM$6,$S159:$AB159,$S$9:$AB$9)),0,(LOOKUP(AM$6,$S159:$AB159,$S$9:$AB$9)))</f>
        <v>0</v>
      </c>
      <c r="AN159" s="143">
        <f t="shared" si="200"/>
        <v>0</v>
      </c>
      <c r="AO159" s="143">
        <f t="shared" si="200"/>
        <v>0</v>
      </c>
      <c r="AP159" s="143">
        <f t="shared" si="200"/>
        <v>0</v>
      </c>
      <c r="AQ159" s="143">
        <f t="shared" si="200"/>
        <v>0</v>
      </c>
      <c r="AR159" s="143">
        <f t="shared" si="200"/>
        <v>0</v>
      </c>
      <c r="AS159" s="143">
        <f t="shared" si="200"/>
        <v>0</v>
      </c>
      <c r="AT159" s="143">
        <f t="shared" si="200"/>
        <v>0</v>
      </c>
      <c r="AU159" s="143">
        <f t="shared" si="200"/>
        <v>0</v>
      </c>
      <c r="AV159" s="143">
        <f t="shared" si="200"/>
        <v>0</v>
      </c>
      <c r="AW159" s="143">
        <f ca="1" t="shared" si="200"/>
        <v>0</v>
      </c>
      <c r="BB159" s="103" t="e">
        <v>#REF!</v>
      </c>
    </row>
    <row r="160" s="20" customFormat="1" ht="18" customHeight="1" spans="1:54">
      <c r="A160" s="81">
        <f>A157+1</f>
        <v>51</v>
      </c>
      <c r="B160" s="83"/>
      <c r="C160" s="83" t="s">
        <v>4902</v>
      </c>
      <c r="D160" s="84" t="s">
        <v>4914</v>
      </c>
      <c r="E160" s="85" t="s">
        <v>4841</v>
      </c>
      <c r="F160" s="86" t="s">
        <v>72</v>
      </c>
      <c r="G160" s="87" t="s">
        <v>4961</v>
      </c>
      <c r="H160" s="86" t="s">
        <v>4842</v>
      </c>
      <c r="I160" s="85" t="s">
        <v>8</v>
      </c>
      <c r="J160" s="86"/>
      <c r="K160" s="89">
        <f>M162</f>
        <v>0.001</v>
      </c>
      <c r="L160" s="89"/>
      <c r="M160" s="89"/>
      <c r="N160" s="85"/>
      <c r="O160" s="85"/>
      <c r="P160" s="85"/>
      <c r="Q160" s="90" t="s">
        <v>4905</v>
      </c>
      <c r="R160" s="91">
        <f>'Before Award'!U167+5</f>
        <v>46269</v>
      </c>
      <c r="S160" s="91" t="e">
        <f>WORKDAY(R160,INDEX(S$2:S$5,MATCH($I160,$I$2:$I$5,0)),$BB$10:$BB$141)</f>
        <v>#REF!</v>
      </c>
      <c r="T160" s="91" t="e">
        <f>WORKDAY(S160,INDEX(T$2:T$5,MATCH($I160,$I$2:$I$5,0)),$BB$10:$BB$141)</f>
        <v>#REF!</v>
      </c>
      <c r="U160" s="91" t="e">
        <f>T160+30</f>
        <v>#REF!</v>
      </c>
      <c r="V160" s="91"/>
      <c r="W160" s="91">
        <f>AB160-35</f>
        <v>46412</v>
      </c>
      <c r="X160" s="91"/>
      <c r="Y160" s="91"/>
      <c r="Z160" s="91"/>
      <c r="AA160" s="91"/>
      <c r="AB160" s="91">
        <f>'Before Award'!X167</f>
        <v>46447</v>
      </c>
      <c r="AC160" s="92" t="s">
        <v>4906</v>
      </c>
      <c r="AD160" s="93">
        <v>7</v>
      </c>
      <c r="AE160" s="152">
        <v>183</v>
      </c>
      <c r="AF160" s="95" t="e">
        <f>AB161</f>
        <v>#REF!</v>
      </c>
      <c r="AG160" s="96">
        <f>WORKDAY(AH160+1,-1,$BA$10:$BA$141)</f>
        <v>46538</v>
      </c>
      <c r="AH160" s="97">
        <v>46538</v>
      </c>
      <c r="AI160" s="98"/>
      <c r="AJ160" s="93" t="e">
        <f>AG160-AF160</f>
        <v>#REF!</v>
      </c>
      <c r="AK160" s="99"/>
      <c r="AL160" s="100"/>
      <c r="AM160" s="101">
        <f t="shared" ref="AM160:AW160" si="201">IF(ISERROR(LOOKUP(AM$6,$S160:$AB160,$S$9:$AB$9)),0,(LOOKUP(AM$6,$S160:$AB160,$S$9:$AB$9)))</f>
        <v>0</v>
      </c>
      <c r="AN160" s="102">
        <f t="shared" si="201"/>
        <v>0</v>
      </c>
      <c r="AO160" s="102">
        <f t="shared" si="201"/>
        <v>0</v>
      </c>
      <c r="AP160" s="102">
        <f t="shared" si="201"/>
        <v>0</v>
      </c>
      <c r="AQ160" s="102">
        <f t="shared" si="201"/>
        <v>0</v>
      </c>
      <c r="AR160" s="102">
        <f t="shared" si="201"/>
        <v>0</v>
      </c>
      <c r="AS160" s="102">
        <f t="shared" si="201"/>
        <v>0</v>
      </c>
      <c r="AT160" s="102">
        <f t="shared" si="201"/>
        <v>0</v>
      </c>
      <c r="AU160" s="102">
        <f t="shared" si="201"/>
        <v>0</v>
      </c>
      <c r="AV160" s="102">
        <f t="shared" si="201"/>
        <v>0</v>
      </c>
      <c r="AW160" s="102">
        <f ca="1" t="shared" si="201"/>
        <v>0</v>
      </c>
      <c r="BB160" s="103" t="e">
        <v>#REF!</v>
      </c>
    </row>
    <row r="161" s="20" customFormat="1" ht="18" customHeight="1" spans="1:54">
      <c r="A161" s="104"/>
      <c r="B161" s="106"/>
      <c r="C161" s="106"/>
      <c r="D161" s="107" t="str">
        <f>D160</f>
        <v>PIP</v>
      </c>
      <c r="E161" s="108" t="str">
        <f>E160</f>
        <v>RFQ-051</v>
      </c>
      <c r="F161" s="109" t="str">
        <f>F160</f>
        <v>N</v>
      </c>
      <c r="G161" s="110"/>
      <c r="H161" s="109" t="str">
        <f>H160</f>
        <v>CHECK VALVE (FLANGE END)</v>
      </c>
      <c r="I161" s="108" t="str">
        <f>I160</f>
        <v>LC</v>
      </c>
      <c r="J161" s="109"/>
      <c r="K161" s="112"/>
      <c r="L161" s="112">
        <f>M162</f>
        <v>0.001</v>
      </c>
      <c r="M161" s="112"/>
      <c r="N161" s="108"/>
      <c r="O161" s="108"/>
      <c r="P161" s="108"/>
      <c r="Q161" s="113" t="s">
        <v>4907</v>
      </c>
      <c r="R161" s="113"/>
      <c r="S161" s="114" t="e">
        <f>S160</f>
        <v>#REF!</v>
      </c>
      <c r="T161" s="115" t="e">
        <f>T160</f>
        <v>#REF!</v>
      </c>
      <c r="U161" s="115" t="e">
        <f t="shared" ref="U161:Z161" si="202">WORKDAY(IF(T162="",T161,T162),INDEX(U$2:U$5,MATCH($I160,$I$2:$I$5,0)),$BB$10:$BB$141)</f>
        <v>#REF!</v>
      </c>
      <c r="V161" s="115" t="e">
        <f t="shared" si="202"/>
        <v>#REF!</v>
      </c>
      <c r="W161" s="115" t="e">
        <f t="shared" si="202"/>
        <v>#REF!</v>
      </c>
      <c r="X161" s="115" t="e">
        <f t="shared" si="202"/>
        <v>#REF!</v>
      </c>
      <c r="Y161" s="115" t="e">
        <f t="shared" si="202"/>
        <v>#REF!</v>
      </c>
      <c r="Z161" s="115" t="e">
        <f t="shared" si="202"/>
        <v>#REF!</v>
      </c>
      <c r="AA161" s="115" t="e">
        <f>WORKDAY(IF(Z162="",X161,Z162),INDEX(AA$2:AA$5,MATCH($I160,$I$2:$I$5,0)),$BB$10:$BB$141)</f>
        <v>#REF!</v>
      </c>
      <c r="AB161" s="116" t="e">
        <f>WORKDAY(AE160+#REF!,0,'[36]Equipment List and MR List (3)'!$A$2:$A$80)</f>
        <v>#REF!</v>
      </c>
      <c r="AC161" s="117"/>
      <c r="AD161" s="118"/>
      <c r="AE161" s="152"/>
      <c r="AF161" s="119"/>
      <c r="AG161" s="120"/>
      <c r="AH161" s="121"/>
      <c r="AI161" s="122"/>
      <c r="AJ161" s="118"/>
      <c r="AK161" s="123"/>
      <c r="AL161" s="124"/>
      <c r="AM161" s="101">
        <f t="shared" ref="AM161:AW161" si="203">IF(ISERROR(LOOKUP(AM$6,$S161:$AB161,$S$9:$AB$9)),0,(LOOKUP(AM$6,$S161:$AB161,$S$9:$AB$9)))</f>
        <v>0</v>
      </c>
      <c r="AN161" s="102">
        <f t="shared" si="203"/>
        <v>0</v>
      </c>
      <c r="AO161" s="102">
        <f t="shared" si="203"/>
        <v>0</v>
      </c>
      <c r="AP161" s="102">
        <f t="shared" si="203"/>
        <v>0</v>
      </c>
      <c r="AQ161" s="102">
        <f t="shared" si="203"/>
        <v>0</v>
      </c>
      <c r="AR161" s="102">
        <f t="shared" si="203"/>
        <v>0</v>
      </c>
      <c r="AS161" s="102">
        <f t="shared" si="203"/>
        <v>0</v>
      </c>
      <c r="AT161" s="102">
        <f t="shared" si="203"/>
        <v>0</v>
      </c>
      <c r="AU161" s="102">
        <f t="shared" si="203"/>
        <v>0</v>
      </c>
      <c r="AV161" s="102">
        <f t="shared" si="203"/>
        <v>0</v>
      </c>
      <c r="AW161" s="102">
        <f ca="1" t="shared" si="203"/>
        <v>0</v>
      </c>
      <c r="BB161" s="103" t="e">
        <v>#REF!</v>
      </c>
    </row>
    <row r="162" s="20" customFormat="1" ht="18" customHeight="1" spans="1:54">
      <c r="A162" s="125"/>
      <c r="B162" s="127"/>
      <c r="C162" s="127"/>
      <c r="D162" s="128" t="str">
        <f>D160</f>
        <v>PIP</v>
      </c>
      <c r="E162" s="129" t="str">
        <f>E160</f>
        <v>RFQ-051</v>
      </c>
      <c r="F162" s="130" t="str">
        <f>F160</f>
        <v>N</v>
      </c>
      <c r="G162" s="131"/>
      <c r="H162" s="130" t="str">
        <f>H160</f>
        <v>CHECK VALVE (FLANGE END)</v>
      </c>
      <c r="I162" s="129" t="str">
        <f>I160</f>
        <v>LC</v>
      </c>
      <c r="J162" s="130"/>
      <c r="K162" s="132"/>
      <c r="L162" s="132"/>
      <c r="M162" s="132">
        <v>0.001</v>
      </c>
      <c r="N162" s="129"/>
      <c r="O162" s="129"/>
      <c r="P162" s="129"/>
      <c r="Q162" s="133" t="s">
        <v>4908</v>
      </c>
      <c r="R162" s="133"/>
      <c r="S162" s="151"/>
      <c r="T162" s="151"/>
      <c r="U162" s="151"/>
      <c r="V162" s="151"/>
      <c r="W162" s="151"/>
      <c r="X162" s="151"/>
      <c r="Y162" s="151"/>
      <c r="Z162" s="151"/>
      <c r="AA162" s="151"/>
      <c r="AB162" s="151"/>
      <c r="AC162" s="134"/>
      <c r="AD162" s="135"/>
      <c r="AE162" s="152"/>
      <c r="AF162" s="136"/>
      <c r="AG162" s="137"/>
      <c r="AH162" s="138"/>
      <c r="AI162" s="139"/>
      <c r="AJ162" s="135"/>
      <c r="AK162" s="140"/>
      <c r="AL162" s="141"/>
      <c r="AM162" s="142">
        <f t="shared" ref="AM162:AW162" si="204">IF(ISERROR(LOOKUP(AM$6,$S162:$AB162,$S$9:$AB$9)),0,(LOOKUP(AM$6,$S162:$AB162,$S$9:$AB$9)))</f>
        <v>0</v>
      </c>
      <c r="AN162" s="143">
        <f t="shared" si="204"/>
        <v>0</v>
      </c>
      <c r="AO162" s="143">
        <f t="shared" si="204"/>
        <v>0</v>
      </c>
      <c r="AP162" s="143">
        <f t="shared" si="204"/>
        <v>0</v>
      </c>
      <c r="AQ162" s="143">
        <f t="shared" si="204"/>
        <v>0</v>
      </c>
      <c r="AR162" s="143">
        <f t="shared" si="204"/>
        <v>0</v>
      </c>
      <c r="AS162" s="143">
        <f t="shared" si="204"/>
        <v>0</v>
      </c>
      <c r="AT162" s="143">
        <f t="shared" si="204"/>
        <v>0</v>
      </c>
      <c r="AU162" s="143">
        <f t="shared" si="204"/>
        <v>0</v>
      </c>
      <c r="AV162" s="143">
        <f t="shared" si="204"/>
        <v>0</v>
      </c>
      <c r="AW162" s="143">
        <f ca="1" t="shared" si="204"/>
        <v>0</v>
      </c>
      <c r="BB162" s="103" t="e">
        <v>#REF!</v>
      </c>
    </row>
    <row r="163" s="20" customFormat="1" ht="18" customHeight="1" spans="1:54">
      <c r="A163" s="81">
        <f>A160+1</f>
        <v>52</v>
      </c>
      <c r="B163" s="83"/>
      <c r="C163" s="83" t="s">
        <v>4902</v>
      </c>
      <c r="D163" s="84" t="s">
        <v>4934</v>
      </c>
      <c r="E163" s="85" t="s">
        <v>4843</v>
      </c>
      <c r="F163" s="86" t="s">
        <v>72</v>
      </c>
      <c r="G163" s="87" t="s">
        <v>4961</v>
      </c>
      <c r="H163" s="86" t="s">
        <v>4844</v>
      </c>
      <c r="I163" s="85" t="s">
        <v>8</v>
      </c>
      <c r="J163" s="86"/>
      <c r="K163" s="89">
        <f>M165</f>
        <v>0.001</v>
      </c>
      <c r="L163" s="89"/>
      <c r="M163" s="89"/>
      <c r="N163" s="85"/>
      <c r="O163" s="85"/>
      <c r="P163" s="85"/>
      <c r="Q163" s="90" t="s">
        <v>4905</v>
      </c>
      <c r="R163" s="91">
        <f>'Before Award'!U170+5</f>
        <v>46269</v>
      </c>
      <c r="S163" s="91" t="e">
        <f>WORKDAY(R163,INDEX(S$2:S$5,MATCH($I163,$I$2:$I$5,0)),$BB$10:$BB$141)</f>
        <v>#REF!</v>
      </c>
      <c r="T163" s="91" t="e">
        <f>WORKDAY(S163,INDEX(T$2:T$5,MATCH($I163,$I$2:$I$5,0)),$BB$10:$BB$141)</f>
        <v>#REF!</v>
      </c>
      <c r="U163" s="91" t="e">
        <f>T163+30</f>
        <v>#REF!</v>
      </c>
      <c r="V163" s="91"/>
      <c r="W163" s="91">
        <f>AB163-35</f>
        <v>46412</v>
      </c>
      <c r="X163" s="91"/>
      <c r="Y163" s="91"/>
      <c r="Z163" s="91"/>
      <c r="AA163" s="91"/>
      <c r="AB163" s="91">
        <f>'Before Award'!X170</f>
        <v>46447</v>
      </c>
      <c r="AC163" s="92" t="s">
        <v>4906</v>
      </c>
      <c r="AD163" s="93">
        <v>7</v>
      </c>
      <c r="AE163" s="152">
        <v>183</v>
      </c>
      <c r="AF163" s="95" t="e">
        <f>AB164</f>
        <v>#REF!</v>
      </c>
      <c r="AG163" s="96">
        <f>WORKDAY(AH163+1,-1,$BA$10:$BA$141)</f>
        <v>46538</v>
      </c>
      <c r="AH163" s="97">
        <v>46538</v>
      </c>
      <c r="AI163" s="98"/>
      <c r="AJ163" s="93" t="e">
        <f>AG163-AF163</f>
        <v>#REF!</v>
      </c>
      <c r="AK163" s="99"/>
      <c r="AL163" s="100"/>
      <c r="AM163" s="101">
        <f t="shared" ref="AM163:AW163" si="205">IF(ISERROR(LOOKUP(AM$6,$S163:$AB163,$S$9:$AB$9)),0,(LOOKUP(AM$6,$S163:$AB163,$S$9:$AB$9)))</f>
        <v>0</v>
      </c>
      <c r="AN163" s="102">
        <f t="shared" si="205"/>
        <v>0</v>
      </c>
      <c r="AO163" s="102">
        <f t="shared" si="205"/>
        <v>0</v>
      </c>
      <c r="AP163" s="102">
        <f t="shared" si="205"/>
        <v>0</v>
      </c>
      <c r="AQ163" s="102">
        <f t="shared" si="205"/>
        <v>0</v>
      </c>
      <c r="AR163" s="102">
        <f t="shared" si="205"/>
        <v>0</v>
      </c>
      <c r="AS163" s="102">
        <f t="shared" si="205"/>
        <v>0</v>
      </c>
      <c r="AT163" s="102">
        <f t="shared" si="205"/>
        <v>0</v>
      </c>
      <c r="AU163" s="102">
        <f t="shared" si="205"/>
        <v>0</v>
      </c>
      <c r="AV163" s="102">
        <f t="shared" si="205"/>
        <v>0</v>
      </c>
      <c r="AW163" s="102">
        <f ca="1" t="shared" si="205"/>
        <v>0</v>
      </c>
      <c r="BB163" s="103" t="e">
        <v>#REF!</v>
      </c>
    </row>
    <row r="164" s="20" customFormat="1" ht="18" customHeight="1" spans="1:54">
      <c r="A164" s="104"/>
      <c r="B164" s="106"/>
      <c r="C164" s="106"/>
      <c r="D164" s="107" t="s">
        <v>4914</v>
      </c>
      <c r="E164" s="108" t="str">
        <f>E163</f>
        <v>RFQ-052</v>
      </c>
      <c r="F164" s="109" t="str">
        <f>F163</f>
        <v>N</v>
      </c>
      <c r="G164" s="110"/>
      <c r="H164" s="109" t="str">
        <f>H163</f>
        <v>CHECK VALVE (WELDED END)</v>
      </c>
      <c r="I164" s="108" t="str">
        <f>I163</f>
        <v>LC</v>
      </c>
      <c r="J164" s="109"/>
      <c r="K164" s="112"/>
      <c r="L164" s="112">
        <f>M165</f>
        <v>0.001</v>
      </c>
      <c r="M164" s="112"/>
      <c r="N164" s="108"/>
      <c r="O164" s="108"/>
      <c r="P164" s="108"/>
      <c r="Q164" s="113" t="s">
        <v>4907</v>
      </c>
      <c r="R164" s="113"/>
      <c r="S164" s="114" t="e">
        <f>S163</f>
        <v>#REF!</v>
      </c>
      <c r="T164" s="115" t="e">
        <f>T163</f>
        <v>#REF!</v>
      </c>
      <c r="U164" s="115" t="e">
        <f t="shared" ref="U164:Z164" si="206">WORKDAY(IF(T165="",T164,T165),INDEX(U$2:U$5,MATCH($I163,$I$2:$I$5,0)),$BB$10:$BB$141)</f>
        <v>#REF!</v>
      </c>
      <c r="V164" s="115" t="e">
        <f t="shared" si="206"/>
        <v>#REF!</v>
      </c>
      <c r="W164" s="115" t="e">
        <f t="shared" si="206"/>
        <v>#REF!</v>
      </c>
      <c r="X164" s="115" t="e">
        <f t="shared" si="206"/>
        <v>#REF!</v>
      </c>
      <c r="Y164" s="115" t="e">
        <f t="shared" si="206"/>
        <v>#REF!</v>
      </c>
      <c r="Z164" s="115" t="e">
        <f t="shared" si="206"/>
        <v>#REF!</v>
      </c>
      <c r="AA164" s="115" t="e">
        <f>WORKDAY(IF(Z165="",X164,Z165),INDEX(AA$2:AA$5,MATCH($I163,$I$2:$I$5,0)),$BB$10:$BB$141)</f>
        <v>#REF!</v>
      </c>
      <c r="AB164" s="116" t="e">
        <f>WORKDAY(AE163+#REF!,0,'[36]Equipment List and MR List (3)'!$A$2:$A$80)</f>
        <v>#REF!</v>
      </c>
      <c r="AC164" s="117"/>
      <c r="AD164" s="118"/>
      <c r="AE164" s="152"/>
      <c r="AF164" s="119"/>
      <c r="AG164" s="120"/>
      <c r="AH164" s="121"/>
      <c r="AI164" s="122"/>
      <c r="AJ164" s="118"/>
      <c r="AK164" s="123"/>
      <c r="AL164" s="124"/>
      <c r="AM164" s="101">
        <f t="shared" ref="AM164:AW164" si="207">IF(ISERROR(LOOKUP(AM$6,$S164:$AB164,$S$9:$AB$9)),0,(LOOKUP(AM$6,$S164:$AB164,$S$9:$AB$9)))</f>
        <v>0</v>
      </c>
      <c r="AN164" s="102">
        <f t="shared" si="207"/>
        <v>0</v>
      </c>
      <c r="AO164" s="102">
        <f t="shared" si="207"/>
        <v>0</v>
      </c>
      <c r="AP164" s="102">
        <f t="shared" si="207"/>
        <v>0</v>
      </c>
      <c r="AQ164" s="102">
        <f t="shared" si="207"/>
        <v>0</v>
      </c>
      <c r="AR164" s="102">
        <f t="shared" si="207"/>
        <v>0</v>
      </c>
      <c r="AS164" s="102">
        <f t="shared" si="207"/>
        <v>0</v>
      </c>
      <c r="AT164" s="102">
        <f t="shared" si="207"/>
        <v>0</v>
      </c>
      <c r="AU164" s="102">
        <f t="shared" si="207"/>
        <v>0</v>
      </c>
      <c r="AV164" s="102">
        <f t="shared" si="207"/>
        <v>0</v>
      </c>
      <c r="AW164" s="102">
        <f ca="1" t="shared" si="207"/>
        <v>0</v>
      </c>
      <c r="BB164" s="103" t="e">
        <v>#REF!</v>
      </c>
    </row>
    <row r="165" s="20" customFormat="1" ht="18" customHeight="1" spans="1:54">
      <c r="A165" s="125"/>
      <c r="B165" s="127"/>
      <c r="C165" s="127"/>
      <c r="D165" s="128" t="str">
        <f>D163</f>
        <v>INS</v>
      </c>
      <c r="E165" s="129" t="str">
        <f>E163</f>
        <v>RFQ-052</v>
      </c>
      <c r="F165" s="130" t="str">
        <f>F163</f>
        <v>N</v>
      </c>
      <c r="G165" s="131"/>
      <c r="H165" s="130" t="str">
        <f>H163</f>
        <v>CHECK VALVE (WELDED END)</v>
      </c>
      <c r="I165" s="129" t="str">
        <f>I163</f>
        <v>LC</v>
      </c>
      <c r="J165" s="130"/>
      <c r="K165" s="132"/>
      <c r="L165" s="132"/>
      <c r="M165" s="132">
        <v>0.001</v>
      </c>
      <c r="N165" s="129"/>
      <c r="O165" s="129"/>
      <c r="P165" s="129"/>
      <c r="Q165" s="133" t="s">
        <v>4908</v>
      </c>
      <c r="R165" s="133"/>
      <c r="S165" s="151"/>
      <c r="T165" s="151"/>
      <c r="U165" s="151"/>
      <c r="V165" s="151"/>
      <c r="W165" s="151"/>
      <c r="X165" s="151"/>
      <c r="Y165" s="151"/>
      <c r="Z165" s="151"/>
      <c r="AA165" s="151"/>
      <c r="AB165" s="151"/>
      <c r="AC165" s="134"/>
      <c r="AD165" s="135"/>
      <c r="AE165" s="152"/>
      <c r="AF165" s="136"/>
      <c r="AG165" s="137"/>
      <c r="AH165" s="138"/>
      <c r="AI165" s="139"/>
      <c r="AJ165" s="135"/>
      <c r="AK165" s="140"/>
      <c r="AL165" s="141"/>
      <c r="AM165" s="142">
        <f t="shared" ref="AM165:AW165" si="208">IF(ISERROR(LOOKUP(AM$6,$S165:$AB165,$S$9:$AB$9)),0,(LOOKUP(AM$6,$S165:$AB165,$S$9:$AB$9)))</f>
        <v>0</v>
      </c>
      <c r="AN165" s="143">
        <f t="shared" si="208"/>
        <v>0</v>
      </c>
      <c r="AO165" s="143">
        <f t="shared" si="208"/>
        <v>0</v>
      </c>
      <c r="AP165" s="143">
        <f t="shared" si="208"/>
        <v>0</v>
      </c>
      <c r="AQ165" s="143">
        <f t="shared" si="208"/>
        <v>0</v>
      </c>
      <c r="AR165" s="143">
        <f t="shared" si="208"/>
        <v>0</v>
      </c>
      <c r="AS165" s="143">
        <f t="shared" si="208"/>
        <v>0</v>
      </c>
      <c r="AT165" s="143">
        <f t="shared" si="208"/>
        <v>0</v>
      </c>
      <c r="AU165" s="143">
        <f t="shared" si="208"/>
        <v>0</v>
      </c>
      <c r="AV165" s="143">
        <f t="shared" si="208"/>
        <v>0</v>
      </c>
      <c r="AW165" s="143">
        <f ca="1" t="shared" si="208"/>
        <v>0</v>
      </c>
      <c r="BB165" s="103" t="e">
        <v>#REF!</v>
      </c>
    </row>
    <row r="166" s="20" customFormat="1" ht="18" customHeight="1" spans="1:54">
      <c r="A166" s="81">
        <f>A163+1</f>
        <v>53</v>
      </c>
      <c r="B166" s="83"/>
      <c r="C166" s="83" t="s">
        <v>4902</v>
      </c>
      <c r="D166" s="84" t="s">
        <v>4914</v>
      </c>
      <c r="E166" s="85" t="s">
        <v>4845</v>
      </c>
      <c r="F166" s="86" t="s">
        <v>72</v>
      </c>
      <c r="G166" s="87" t="s">
        <v>4961</v>
      </c>
      <c r="H166" s="86" t="s">
        <v>4846</v>
      </c>
      <c r="I166" s="85" t="s">
        <v>7</v>
      </c>
      <c r="J166" s="86"/>
      <c r="K166" s="89">
        <f>M168</f>
        <v>0.001</v>
      </c>
      <c r="L166" s="89"/>
      <c r="M166" s="89"/>
      <c r="N166" s="85"/>
      <c r="O166" s="85"/>
      <c r="P166" s="85"/>
      <c r="Q166" s="90" t="s">
        <v>4905</v>
      </c>
      <c r="R166" s="91">
        <f>'Before Award'!U173+5</f>
        <v>46242</v>
      </c>
      <c r="S166" s="91" t="e">
        <f>WORKDAY(R166,INDEX(S$2:S$5,MATCH($I166,$I$2:$I$5,0)),$BB$10:$BB$141)</f>
        <v>#REF!</v>
      </c>
      <c r="T166" s="91" t="e">
        <f>WORKDAY(S166,INDEX(T$2:T$5,MATCH($I166,$I$2:$I$5,0)),$BB$10:$BB$141)</f>
        <v>#REF!</v>
      </c>
      <c r="U166" s="91" t="e">
        <f>T166+30</f>
        <v>#REF!</v>
      </c>
      <c r="V166" s="91"/>
      <c r="W166" s="91">
        <f>AB166-35</f>
        <v>46412</v>
      </c>
      <c r="X166" s="91"/>
      <c r="Y166" s="91"/>
      <c r="Z166" s="91"/>
      <c r="AA166" s="91"/>
      <c r="AB166" s="91">
        <f>'Before Award'!X173</f>
        <v>46447</v>
      </c>
      <c r="AC166" s="92" t="s">
        <v>4906</v>
      </c>
      <c r="AD166" s="93">
        <v>7</v>
      </c>
      <c r="AE166" s="152">
        <v>183</v>
      </c>
      <c r="AF166" s="95" t="e">
        <f>AB167</f>
        <v>#REF!</v>
      </c>
      <c r="AG166" s="96">
        <f>WORKDAY(AH166+1,-1,$BA$10:$BA$141)</f>
        <v>46538</v>
      </c>
      <c r="AH166" s="97">
        <v>46538</v>
      </c>
      <c r="AI166" s="98"/>
      <c r="AJ166" s="93" t="e">
        <f>AG166-AF166</f>
        <v>#REF!</v>
      </c>
      <c r="AK166" s="99"/>
      <c r="AL166" s="100"/>
      <c r="AM166" s="101">
        <f t="shared" ref="AM166:AW166" si="209">IF(ISERROR(LOOKUP(AM$6,$S166:$AB166,$S$9:$AB$9)),0,(LOOKUP(AM$6,$S166:$AB166,$S$9:$AB$9)))</f>
        <v>0</v>
      </c>
      <c r="AN166" s="102">
        <f t="shared" si="209"/>
        <v>0</v>
      </c>
      <c r="AO166" s="102">
        <f t="shared" si="209"/>
        <v>0</v>
      </c>
      <c r="AP166" s="102">
        <f t="shared" si="209"/>
        <v>0</v>
      </c>
      <c r="AQ166" s="102">
        <f t="shared" si="209"/>
        <v>0</v>
      </c>
      <c r="AR166" s="102">
        <f t="shared" si="209"/>
        <v>0</v>
      </c>
      <c r="AS166" s="102">
        <f t="shared" si="209"/>
        <v>0</v>
      </c>
      <c r="AT166" s="102">
        <f t="shared" si="209"/>
        <v>0</v>
      </c>
      <c r="AU166" s="102">
        <f t="shared" si="209"/>
        <v>0</v>
      </c>
      <c r="AV166" s="102">
        <f t="shared" si="209"/>
        <v>0</v>
      </c>
      <c r="AW166" s="102">
        <f ca="1" t="shared" si="209"/>
        <v>0</v>
      </c>
      <c r="BB166" s="103" t="e">
        <v>#REF!</v>
      </c>
    </row>
    <row r="167" s="20" customFormat="1" ht="18" customHeight="1" spans="1:54">
      <c r="A167" s="104"/>
      <c r="B167" s="106"/>
      <c r="C167" s="106"/>
      <c r="D167" s="107" t="str">
        <f>D166</f>
        <v>PIP</v>
      </c>
      <c r="E167" s="108" t="str">
        <f>E166</f>
        <v>RFQ-053</v>
      </c>
      <c r="F167" s="109" t="str">
        <f>F166</f>
        <v>N</v>
      </c>
      <c r="G167" s="110"/>
      <c r="H167" s="109" t="str">
        <f>H166</f>
        <v>COMPACT CHECK VALVE (WELDED END)</v>
      </c>
      <c r="I167" s="108" t="str">
        <f>I166</f>
        <v>LB</v>
      </c>
      <c r="J167" s="109"/>
      <c r="K167" s="112"/>
      <c r="L167" s="112">
        <f>M168</f>
        <v>0.001</v>
      </c>
      <c r="M167" s="112"/>
      <c r="N167" s="108"/>
      <c r="O167" s="108"/>
      <c r="P167" s="108"/>
      <c r="Q167" s="113" t="s">
        <v>4907</v>
      </c>
      <c r="R167" s="113"/>
      <c r="S167" s="114" t="e">
        <f>S166</f>
        <v>#REF!</v>
      </c>
      <c r="T167" s="115" t="e">
        <f>T166</f>
        <v>#REF!</v>
      </c>
      <c r="U167" s="115" t="e">
        <f t="shared" ref="U167:Z167" si="210">WORKDAY(IF(T168="",T167,T168),INDEX(U$2:U$5,MATCH($I166,$I$2:$I$5,0)),$BB$10:$BB$141)</f>
        <v>#REF!</v>
      </c>
      <c r="V167" s="115" t="e">
        <f t="shared" si="210"/>
        <v>#REF!</v>
      </c>
      <c r="W167" s="115" t="e">
        <f t="shared" si="210"/>
        <v>#REF!</v>
      </c>
      <c r="X167" s="115" t="e">
        <f t="shared" si="210"/>
        <v>#REF!</v>
      </c>
      <c r="Y167" s="115" t="e">
        <f t="shared" si="210"/>
        <v>#REF!</v>
      </c>
      <c r="Z167" s="115" t="e">
        <f t="shared" si="210"/>
        <v>#REF!</v>
      </c>
      <c r="AA167" s="115" t="e">
        <f>WORKDAY(IF(Z168="",X167,Z168),INDEX(AA$2:AA$5,MATCH($I166,$I$2:$I$5,0)),$BB$10:$BB$141)</f>
        <v>#REF!</v>
      </c>
      <c r="AB167" s="116" t="e">
        <f>WORKDAY(AE166+#REF!,0,'[36]Equipment List and MR List (3)'!$A$2:$A$80)</f>
        <v>#REF!</v>
      </c>
      <c r="AC167" s="117"/>
      <c r="AD167" s="118"/>
      <c r="AE167" s="152"/>
      <c r="AF167" s="119"/>
      <c r="AG167" s="120"/>
      <c r="AH167" s="121"/>
      <c r="AI167" s="122"/>
      <c r="AJ167" s="118"/>
      <c r="AK167" s="123"/>
      <c r="AL167" s="124"/>
      <c r="AM167" s="101">
        <f t="shared" ref="AM167:AW167" si="211">IF(ISERROR(LOOKUP(AM$6,$S167:$AB167,$S$9:$AB$9)),0,(LOOKUP(AM$6,$S167:$AB167,$S$9:$AB$9)))</f>
        <v>0</v>
      </c>
      <c r="AN167" s="102">
        <f t="shared" si="211"/>
        <v>0</v>
      </c>
      <c r="AO167" s="102">
        <f t="shared" si="211"/>
        <v>0</v>
      </c>
      <c r="AP167" s="102">
        <f t="shared" si="211"/>
        <v>0</v>
      </c>
      <c r="AQ167" s="102">
        <f t="shared" si="211"/>
        <v>0</v>
      </c>
      <c r="AR167" s="102">
        <f t="shared" si="211"/>
        <v>0</v>
      </c>
      <c r="AS167" s="102">
        <f t="shared" si="211"/>
        <v>0</v>
      </c>
      <c r="AT167" s="102">
        <f t="shared" si="211"/>
        <v>0</v>
      </c>
      <c r="AU167" s="102">
        <f t="shared" si="211"/>
        <v>0</v>
      </c>
      <c r="AV167" s="102">
        <f t="shared" si="211"/>
        <v>0</v>
      </c>
      <c r="AW167" s="102">
        <f ca="1" t="shared" si="211"/>
        <v>0</v>
      </c>
      <c r="BB167" s="103" t="e">
        <v>#REF!</v>
      </c>
    </row>
    <row r="168" s="20" customFormat="1" ht="18" customHeight="1" spans="1:54">
      <c r="A168" s="125"/>
      <c r="B168" s="127"/>
      <c r="C168" s="127"/>
      <c r="D168" s="128" t="str">
        <f>D166</f>
        <v>PIP</v>
      </c>
      <c r="E168" s="129" t="str">
        <f>E166</f>
        <v>RFQ-053</v>
      </c>
      <c r="F168" s="130" t="str">
        <f>F166</f>
        <v>N</v>
      </c>
      <c r="G168" s="131"/>
      <c r="H168" s="130" t="str">
        <f>H166</f>
        <v>COMPACT CHECK VALVE (WELDED END)</v>
      </c>
      <c r="I168" s="129" t="str">
        <f>I166</f>
        <v>LB</v>
      </c>
      <c r="J168" s="130"/>
      <c r="K168" s="132"/>
      <c r="L168" s="132"/>
      <c r="M168" s="132">
        <v>0.001</v>
      </c>
      <c r="N168" s="129"/>
      <c r="O168" s="129"/>
      <c r="P168" s="129"/>
      <c r="Q168" s="133" t="s">
        <v>4908</v>
      </c>
      <c r="R168" s="133"/>
      <c r="S168" s="151"/>
      <c r="T168" s="151"/>
      <c r="U168" s="151"/>
      <c r="V168" s="151"/>
      <c r="W168" s="151"/>
      <c r="X168" s="151"/>
      <c r="Y168" s="151"/>
      <c r="Z168" s="151"/>
      <c r="AA168" s="151"/>
      <c r="AB168" s="151"/>
      <c r="AC168" s="134"/>
      <c r="AD168" s="135"/>
      <c r="AE168" s="152"/>
      <c r="AF168" s="136"/>
      <c r="AG168" s="137"/>
      <c r="AH168" s="138"/>
      <c r="AI168" s="139"/>
      <c r="AJ168" s="135"/>
      <c r="AK168" s="140"/>
      <c r="AL168" s="141"/>
      <c r="AM168" s="142">
        <f t="shared" ref="AM168:AW168" si="212">IF(ISERROR(LOOKUP(AM$6,$S168:$AB168,$S$9:$AB$9)),0,(LOOKUP(AM$6,$S168:$AB168,$S$9:$AB$9)))</f>
        <v>0</v>
      </c>
      <c r="AN168" s="143">
        <f t="shared" si="212"/>
        <v>0</v>
      </c>
      <c r="AO168" s="143">
        <f t="shared" si="212"/>
        <v>0</v>
      </c>
      <c r="AP168" s="143">
        <f t="shared" si="212"/>
        <v>0</v>
      </c>
      <c r="AQ168" s="143">
        <f t="shared" si="212"/>
        <v>0</v>
      </c>
      <c r="AR168" s="143">
        <f t="shared" si="212"/>
        <v>0</v>
      </c>
      <c r="AS168" s="143">
        <f t="shared" si="212"/>
        <v>0</v>
      </c>
      <c r="AT168" s="143">
        <f t="shared" si="212"/>
        <v>0</v>
      </c>
      <c r="AU168" s="143">
        <f t="shared" si="212"/>
        <v>0</v>
      </c>
      <c r="AV168" s="143">
        <f t="shared" si="212"/>
        <v>0</v>
      </c>
      <c r="AW168" s="143">
        <f ca="1" t="shared" si="212"/>
        <v>0</v>
      </c>
      <c r="BB168" s="103"/>
    </row>
    <row r="169" s="20" customFormat="1" ht="18" customHeight="1" spans="1:54">
      <c r="A169" s="81">
        <f>A166+1</f>
        <v>54</v>
      </c>
      <c r="B169" s="145" t="s">
        <v>4962</v>
      </c>
      <c r="C169" s="83" t="s">
        <v>4902</v>
      </c>
      <c r="D169" s="84" t="s">
        <v>4963</v>
      </c>
      <c r="E169" s="85" t="s">
        <v>4964</v>
      </c>
      <c r="F169" s="86" t="str">
        <f>IF(_xlfn.XLOOKUP(E169,'[36]Before Award'!D:D,'[36]Before Award'!AV:AV,"N/A")="N/A","N","Y")</f>
        <v>N</v>
      </c>
      <c r="G169" s="87"/>
      <c r="H169" s="146" t="s">
        <v>4847</v>
      </c>
      <c r="I169" s="85" t="s">
        <v>6</v>
      </c>
      <c r="J169" s="86"/>
      <c r="K169" s="89">
        <f>M171</f>
        <v>0.001</v>
      </c>
      <c r="L169" s="89"/>
      <c r="M169" s="89"/>
      <c r="N169" s="85"/>
      <c r="O169" s="85"/>
      <c r="P169" s="85"/>
      <c r="Q169" s="90" t="s">
        <v>4905</v>
      </c>
      <c r="R169" s="91">
        <f>'Before Award'!U176+5</f>
        <v>46129</v>
      </c>
      <c r="S169" s="91" t="e">
        <f>WORKDAY(R169,INDEX(S$2:S$5,MATCH($I169,$I$2:$I$5,0)),$BB$10:$BB$141)</f>
        <v>#REF!</v>
      </c>
      <c r="T169" s="91" t="e">
        <f>WORKDAY(S169,INDEX(T$2:T$5,MATCH($I169,$I$2:$I$5,0)),$BB$10:$BB$141)</f>
        <v>#REF!</v>
      </c>
      <c r="U169" s="91" t="e">
        <f>T169+10</f>
        <v>#REF!</v>
      </c>
      <c r="V169" s="91"/>
      <c r="W169" s="91">
        <f>AB169-35</f>
        <v>46209</v>
      </c>
      <c r="X169" s="91"/>
      <c r="Y169" s="91"/>
      <c r="Z169" s="91"/>
      <c r="AA169" s="91"/>
      <c r="AB169" s="91">
        <f>'Before Award'!X176</f>
        <v>46244</v>
      </c>
      <c r="AC169" s="92" t="s">
        <v>4906</v>
      </c>
      <c r="AD169" s="93">
        <v>7</v>
      </c>
      <c r="AE169" s="94">
        <v>84</v>
      </c>
      <c r="AF169" s="95" t="e">
        <f>AB170</f>
        <v>#REF!</v>
      </c>
      <c r="AG169" s="96">
        <f>WORKDAY(AH169+1,-1,$BA$10:$BA$141)</f>
        <v>46244</v>
      </c>
      <c r="AH169" s="97">
        <v>46244</v>
      </c>
      <c r="AI169" s="98"/>
      <c r="AJ169" s="93" t="e">
        <f>AG169-AF169</f>
        <v>#REF!</v>
      </c>
      <c r="AK169" s="99"/>
      <c r="AL169" s="100"/>
      <c r="AM169" s="101">
        <f t="shared" ref="AM169:AW169" si="213">IF(ISERROR(LOOKUP(AM$6,$S169:$AB169,$S$9:$AB$9)),0,(LOOKUP(AM$6,$S169:$AB169,$S$9:$AB$9)))</f>
        <v>0</v>
      </c>
      <c r="AN169" s="102">
        <f t="shared" si="213"/>
        <v>0</v>
      </c>
      <c r="AO169" s="102">
        <f t="shared" si="213"/>
        <v>0</v>
      </c>
      <c r="AP169" s="102">
        <f t="shared" si="213"/>
        <v>0</v>
      </c>
      <c r="AQ169" s="102">
        <f t="shared" si="213"/>
        <v>0</v>
      </c>
      <c r="AR169" s="102">
        <f t="shared" si="213"/>
        <v>0</v>
      </c>
      <c r="AS169" s="102">
        <f t="shared" si="213"/>
        <v>0</v>
      </c>
      <c r="AT169" s="102">
        <f t="shared" si="213"/>
        <v>0</v>
      </c>
      <c r="AU169" s="102">
        <f t="shared" si="213"/>
        <v>0</v>
      </c>
      <c r="AV169" s="102">
        <f t="shared" si="213"/>
        <v>0</v>
      </c>
      <c r="AW169" s="102">
        <f ca="1" t="shared" si="213"/>
        <v>0.95</v>
      </c>
      <c r="BB169" s="103"/>
    </row>
    <row r="170" s="20" customFormat="1" ht="18" customHeight="1" spans="1:54">
      <c r="A170" s="104"/>
      <c r="B170" s="147"/>
      <c r="C170" s="106"/>
      <c r="D170" s="107" t="str">
        <f>D169</f>
        <v>STR</v>
      </c>
      <c r="E170" s="108" t="str">
        <f>E169</f>
        <v>RFQ-054</v>
      </c>
      <c r="F170" s="109" t="str">
        <f>F169</f>
        <v>N</v>
      </c>
      <c r="G170" s="110"/>
      <c r="H170" s="148" t="str">
        <f>H169</f>
        <v>Primary Steel - Plate</v>
      </c>
      <c r="I170" s="108" t="str">
        <f>I169</f>
        <v>LA</v>
      </c>
      <c r="J170" s="109"/>
      <c r="K170" s="112"/>
      <c r="L170" s="112">
        <f>M171</f>
        <v>0.001</v>
      </c>
      <c r="M170" s="112"/>
      <c r="N170" s="108"/>
      <c r="O170" s="108"/>
      <c r="P170" s="108"/>
      <c r="Q170" s="113" t="s">
        <v>4907</v>
      </c>
      <c r="R170" s="113"/>
      <c r="S170" s="114" t="e">
        <f>S169</f>
        <v>#REF!</v>
      </c>
      <c r="T170" s="115" t="e">
        <f>T169</f>
        <v>#REF!</v>
      </c>
      <c r="U170" s="115" t="e">
        <f t="shared" ref="U170:Z170" si="214">WORKDAY(IF(T171="",T170,T171),INDEX(U$2:U$5,MATCH($I169,$I$2:$I$5,0)),$BB$10:$BB$141)</f>
        <v>#REF!</v>
      </c>
      <c r="V170" s="115" t="e">
        <f t="shared" si="214"/>
        <v>#REF!</v>
      </c>
      <c r="W170" s="115" t="e">
        <f t="shared" si="214"/>
        <v>#REF!</v>
      </c>
      <c r="X170" s="115" t="e">
        <f t="shared" si="214"/>
        <v>#REF!</v>
      </c>
      <c r="Y170" s="115" t="e">
        <f t="shared" si="214"/>
        <v>#REF!</v>
      </c>
      <c r="Z170" s="115" t="e">
        <f t="shared" si="214"/>
        <v>#REF!</v>
      </c>
      <c r="AA170" s="115" t="e">
        <f>WORKDAY(IF(Z171="",X170,Z171),INDEX(AA$2:AA$5,MATCH($I169,$I$2:$I$5,0)),$BB$10:$BB$141)</f>
        <v>#REF!</v>
      </c>
      <c r="AB170" s="116" t="e">
        <f>WORKDAY(AE169+#REF!,0,'[36]Equipment List and MR List (3)'!$A$2:$A$80)</f>
        <v>#REF!</v>
      </c>
      <c r="AC170" s="117"/>
      <c r="AD170" s="118"/>
      <c r="AE170" s="94"/>
      <c r="AF170" s="119"/>
      <c r="AG170" s="120"/>
      <c r="AH170" s="121"/>
      <c r="AI170" s="122"/>
      <c r="AJ170" s="118"/>
      <c r="AK170" s="123"/>
      <c r="AL170" s="124"/>
      <c r="AM170" s="101">
        <f t="shared" ref="AM170:AW170" si="215">IF(ISERROR(LOOKUP(AM$6,$S170:$AB170,$S$9:$AB$9)),0,(LOOKUP(AM$6,$S170:$AB170,$S$9:$AB$9)))</f>
        <v>0</v>
      </c>
      <c r="AN170" s="102">
        <f t="shared" si="215"/>
        <v>0</v>
      </c>
      <c r="AO170" s="102">
        <f t="shared" si="215"/>
        <v>0</v>
      </c>
      <c r="AP170" s="102">
        <f t="shared" si="215"/>
        <v>0</v>
      </c>
      <c r="AQ170" s="102">
        <f t="shared" si="215"/>
        <v>0</v>
      </c>
      <c r="AR170" s="102">
        <f t="shared" si="215"/>
        <v>0</v>
      </c>
      <c r="AS170" s="102">
        <f t="shared" si="215"/>
        <v>0</v>
      </c>
      <c r="AT170" s="102">
        <f t="shared" si="215"/>
        <v>0</v>
      </c>
      <c r="AU170" s="102">
        <f t="shared" si="215"/>
        <v>0</v>
      </c>
      <c r="AV170" s="102">
        <f t="shared" si="215"/>
        <v>0</v>
      </c>
      <c r="AW170" s="102">
        <f ca="1" t="shared" si="215"/>
        <v>0</v>
      </c>
      <c r="BB170" s="103"/>
    </row>
    <row r="171" s="20" customFormat="1" ht="18" customHeight="1" spans="1:54">
      <c r="A171" s="125"/>
      <c r="B171" s="150"/>
      <c r="C171" s="127"/>
      <c r="D171" s="128" t="str">
        <f>D169</f>
        <v>STR</v>
      </c>
      <c r="E171" s="129" t="str">
        <f>E169</f>
        <v>RFQ-054</v>
      </c>
      <c r="F171" s="130" t="str">
        <f>F169</f>
        <v>N</v>
      </c>
      <c r="G171" s="131"/>
      <c r="H171" s="148" t="str">
        <f>H169</f>
        <v>Primary Steel - Plate</v>
      </c>
      <c r="I171" s="129" t="str">
        <f>I169</f>
        <v>LA</v>
      </c>
      <c r="J171" s="130"/>
      <c r="K171" s="132"/>
      <c r="L171" s="132"/>
      <c r="M171" s="132">
        <v>0.001</v>
      </c>
      <c r="N171" s="129"/>
      <c r="O171" s="129"/>
      <c r="P171" s="129"/>
      <c r="Q171" s="133" t="s">
        <v>4908</v>
      </c>
      <c r="R171" s="133"/>
      <c r="S171" s="151"/>
      <c r="T171" s="151"/>
      <c r="U171" s="151"/>
      <c r="V171" s="151"/>
      <c r="W171" s="151"/>
      <c r="X171" s="151"/>
      <c r="Y171" s="151"/>
      <c r="Z171" s="151"/>
      <c r="AA171" s="151"/>
      <c r="AB171" s="151"/>
      <c r="AC171" s="134"/>
      <c r="AD171" s="135"/>
      <c r="AE171" s="94"/>
      <c r="AF171" s="136"/>
      <c r="AG171" s="137"/>
      <c r="AH171" s="138"/>
      <c r="AI171" s="139"/>
      <c r="AJ171" s="135"/>
      <c r="AK171" s="140"/>
      <c r="AL171" s="141"/>
      <c r="AM171" s="142">
        <f t="shared" ref="AM171:AW171" si="216">IF(ISERROR(LOOKUP(AM$6,$S171:$AB171,$S$9:$AB$9)),0,(LOOKUP(AM$6,$S171:$AB171,$S$9:$AB$9)))</f>
        <v>0</v>
      </c>
      <c r="AN171" s="143">
        <f t="shared" si="216"/>
        <v>0</v>
      </c>
      <c r="AO171" s="143">
        <f t="shared" si="216"/>
        <v>0</v>
      </c>
      <c r="AP171" s="143">
        <f t="shared" si="216"/>
        <v>0</v>
      </c>
      <c r="AQ171" s="143">
        <f t="shared" si="216"/>
        <v>0</v>
      </c>
      <c r="AR171" s="143">
        <f t="shared" si="216"/>
        <v>0</v>
      </c>
      <c r="AS171" s="143">
        <f t="shared" si="216"/>
        <v>0</v>
      </c>
      <c r="AT171" s="143">
        <f t="shared" si="216"/>
        <v>0</v>
      </c>
      <c r="AU171" s="143">
        <f t="shared" si="216"/>
        <v>0</v>
      </c>
      <c r="AV171" s="143">
        <f t="shared" si="216"/>
        <v>0</v>
      </c>
      <c r="AW171" s="143">
        <f ca="1" t="shared" si="216"/>
        <v>0</v>
      </c>
      <c r="BB171" s="103"/>
    </row>
    <row r="172" s="20" customFormat="1" ht="18" customHeight="1" spans="1:54">
      <c r="A172" s="81">
        <f>A169+1</f>
        <v>55</v>
      </c>
      <c r="B172" s="145" t="s">
        <v>4962</v>
      </c>
      <c r="C172" s="83" t="s">
        <v>4902</v>
      </c>
      <c r="D172" s="84" t="s">
        <v>4963</v>
      </c>
      <c r="E172" s="85" t="s">
        <v>4964</v>
      </c>
      <c r="F172" s="86" t="str">
        <f>IF(_xlfn.XLOOKUP(E172,'[36]Before Award'!D:D,'[36]Before Award'!AV:AV,"N/A")="N/A","N","Y")</f>
        <v>N</v>
      </c>
      <c r="G172" s="87"/>
      <c r="H172" s="146" t="s">
        <v>4850</v>
      </c>
      <c r="I172" s="85" t="s">
        <v>6</v>
      </c>
      <c r="J172" s="86"/>
      <c r="K172" s="89">
        <f>M174</f>
        <v>0.001</v>
      </c>
      <c r="L172" s="89"/>
      <c r="M172" s="89"/>
      <c r="N172" s="85"/>
      <c r="O172" s="85"/>
      <c r="P172" s="85"/>
      <c r="Q172" s="90" t="s">
        <v>4905</v>
      </c>
      <c r="R172" s="91">
        <f>'Before Award'!U179+5</f>
        <v>46129</v>
      </c>
      <c r="S172" s="91" t="e">
        <f>WORKDAY(R172,INDEX(S$2:S$5,MATCH($I172,$I$2:$I$5,0)),$BB$10:$BB$141)</f>
        <v>#REF!</v>
      </c>
      <c r="T172" s="91" t="e">
        <f>WORKDAY(S172,INDEX(T$2:T$5,MATCH($I172,$I$2:$I$5,0)),$BB$10:$BB$141)</f>
        <v>#REF!</v>
      </c>
      <c r="U172" s="91" t="e">
        <f>T172+10</f>
        <v>#REF!</v>
      </c>
      <c r="V172" s="91"/>
      <c r="W172" s="91">
        <f>AB172-35</f>
        <v>46209</v>
      </c>
      <c r="X172" s="91"/>
      <c r="Y172" s="91"/>
      <c r="Z172" s="91"/>
      <c r="AA172" s="91"/>
      <c r="AB172" s="91">
        <f>'Before Award'!X179</f>
        <v>46244</v>
      </c>
      <c r="AC172" s="92" t="s">
        <v>4906</v>
      </c>
      <c r="AD172" s="93">
        <v>7</v>
      </c>
      <c r="AE172" s="94">
        <f>19*7</f>
        <v>133</v>
      </c>
      <c r="AF172" s="95" t="e">
        <f>AB173</f>
        <v>#REF!</v>
      </c>
      <c r="AG172" s="96">
        <f>WORKDAY(AH172+1,-1,$BA$10:$BA$141)</f>
        <v>46244</v>
      </c>
      <c r="AH172" s="97">
        <v>46244</v>
      </c>
      <c r="AI172" s="98"/>
      <c r="AJ172" s="93" t="e">
        <f>AG172-AF172</f>
        <v>#REF!</v>
      </c>
      <c r="AK172" s="99"/>
      <c r="AL172" s="100"/>
      <c r="AM172" s="101">
        <f t="shared" ref="AM172:AW172" si="217">IF(ISERROR(LOOKUP(AM$6,$S172:$AB172,$S$9:$AB$9)),0,(LOOKUP(AM$6,$S172:$AB172,$S$9:$AB$9)))</f>
        <v>0</v>
      </c>
      <c r="AN172" s="102">
        <f t="shared" si="217"/>
        <v>0</v>
      </c>
      <c r="AO172" s="102">
        <f t="shared" si="217"/>
        <v>0</v>
      </c>
      <c r="AP172" s="102">
        <f t="shared" si="217"/>
        <v>0</v>
      </c>
      <c r="AQ172" s="102">
        <f t="shared" si="217"/>
        <v>0</v>
      </c>
      <c r="AR172" s="102">
        <f t="shared" si="217"/>
        <v>0</v>
      </c>
      <c r="AS172" s="102">
        <f t="shared" si="217"/>
        <v>0</v>
      </c>
      <c r="AT172" s="102">
        <f t="shared" si="217"/>
        <v>0</v>
      </c>
      <c r="AU172" s="102">
        <f t="shared" si="217"/>
        <v>0</v>
      </c>
      <c r="AV172" s="102">
        <f t="shared" si="217"/>
        <v>0</v>
      </c>
      <c r="AW172" s="102">
        <f ca="1" t="shared" si="217"/>
        <v>0.95</v>
      </c>
      <c r="BB172" s="103"/>
    </row>
    <row r="173" s="20" customFormat="1" ht="18" customHeight="1" spans="1:54">
      <c r="A173" s="104"/>
      <c r="B173" s="147"/>
      <c r="C173" s="106"/>
      <c r="D173" s="107" t="str">
        <f>D172</f>
        <v>STR</v>
      </c>
      <c r="E173" s="108" t="str">
        <f>E172</f>
        <v>RFQ-054</v>
      </c>
      <c r="F173" s="109" t="str">
        <f>F172</f>
        <v>N</v>
      </c>
      <c r="G173" s="110"/>
      <c r="H173" s="148" t="str">
        <f>H172</f>
        <v>Primary Steel - Beam</v>
      </c>
      <c r="I173" s="108" t="str">
        <f>I172</f>
        <v>LA</v>
      </c>
      <c r="J173" s="109"/>
      <c r="K173" s="112"/>
      <c r="L173" s="112">
        <f>M174</f>
        <v>0.001</v>
      </c>
      <c r="M173" s="112"/>
      <c r="N173" s="108"/>
      <c r="O173" s="108"/>
      <c r="P173" s="108"/>
      <c r="Q173" s="113" t="s">
        <v>4907</v>
      </c>
      <c r="R173" s="113"/>
      <c r="S173" s="114" t="e">
        <f>S172</f>
        <v>#REF!</v>
      </c>
      <c r="T173" s="115" t="e">
        <f>T172</f>
        <v>#REF!</v>
      </c>
      <c r="U173" s="115" t="e">
        <f t="shared" ref="U173:Z173" si="218">WORKDAY(IF(T174="",T173,T174),INDEX(U$2:U$5,MATCH($I172,$I$2:$I$5,0)),$BB$10:$BB$141)</f>
        <v>#REF!</v>
      </c>
      <c r="V173" s="115" t="e">
        <f t="shared" si="218"/>
        <v>#REF!</v>
      </c>
      <c r="W173" s="115" t="e">
        <f t="shared" si="218"/>
        <v>#REF!</v>
      </c>
      <c r="X173" s="115" t="e">
        <f t="shared" si="218"/>
        <v>#REF!</v>
      </c>
      <c r="Y173" s="115" t="e">
        <f t="shared" si="218"/>
        <v>#REF!</v>
      </c>
      <c r="Z173" s="115" t="e">
        <f t="shared" si="218"/>
        <v>#REF!</v>
      </c>
      <c r="AA173" s="115" t="e">
        <f>WORKDAY(IF(Z174="",X173,Z174),INDEX(AA$2:AA$5,MATCH($I172,$I$2:$I$5,0)),$BB$10:$BB$141)</f>
        <v>#REF!</v>
      </c>
      <c r="AB173" s="116" t="e">
        <f>WORKDAY(AE172+#REF!,0,'[36]Equipment List and MR List (3)'!$A$2:$A$80)</f>
        <v>#REF!</v>
      </c>
      <c r="AC173" s="117"/>
      <c r="AD173" s="118"/>
      <c r="AE173" s="94"/>
      <c r="AF173" s="119"/>
      <c r="AG173" s="120"/>
      <c r="AH173" s="121"/>
      <c r="AI173" s="122"/>
      <c r="AJ173" s="118"/>
      <c r="AK173" s="123"/>
      <c r="AL173" s="124"/>
      <c r="AM173" s="101">
        <f t="shared" ref="AM173:AW173" si="219">IF(ISERROR(LOOKUP(AM$6,$S173:$AB173,$S$9:$AB$9)),0,(LOOKUP(AM$6,$S173:$AB173,$S$9:$AB$9)))</f>
        <v>0</v>
      </c>
      <c r="AN173" s="102">
        <f t="shared" si="219"/>
        <v>0</v>
      </c>
      <c r="AO173" s="102">
        <f t="shared" si="219"/>
        <v>0</v>
      </c>
      <c r="AP173" s="102">
        <f t="shared" si="219"/>
        <v>0</v>
      </c>
      <c r="AQ173" s="102">
        <f t="shared" si="219"/>
        <v>0</v>
      </c>
      <c r="AR173" s="102">
        <f t="shared" si="219"/>
        <v>0</v>
      </c>
      <c r="AS173" s="102">
        <f t="shared" si="219"/>
        <v>0</v>
      </c>
      <c r="AT173" s="102">
        <f t="shared" si="219"/>
        <v>0</v>
      </c>
      <c r="AU173" s="102">
        <f t="shared" si="219"/>
        <v>0</v>
      </c>
      <c r="AV173" s="102">
        <f t="shared" si="219"/>
        <v>0</v>
      </c>
      <c r="AW173" s="102">
        <f ca="1" t="shared" si="219"/>
        <v>0</v>
      </c>
      <c r="BB173" s="103"/>
    </row>
    <row r="174" s="20" customFormat="1" ht="18" customHeight="1" spans="1:54">
      <c r="A174" s="125"/>
      <c r="B174" s="150"/>
      <c r="C174" s="127"/>
      <c r="D174" s="128" t="str">
        <f>D172</f>
        <v>STR</v>
      </c>
      <c r="E174" s="129" t="str">
        <f>E172</f>
        <v>RFQ-054</v>
      </c>
      <c r="F174" s="130" t="str">
        <f>F172</f>
        <v>N</v>
      </c>
      <c r="G174" s="131"/>
      <c r="H174" s="148" t="str">
        <f>H172</f>
        <v>Primary Steel - Beam</v>
      </c>
      <c r="I174" s="129" t="str">
        <f>I172</f>
        <v>LA</v>
      </c>
      <c r="J174" s="130"/>
      <c r="K174" s="132"/>
      <c r="L174" s="132"/>
      <c r="M174" s="132">
        <v>0.001</v>
      </c>
      <c r="N174" s="129"/>
      <c r="O174" s="129"/>
      <c r="P174" s="129"/>
      <c r="Q174" s="133" t="s">
        <v>4908</v>
      </c>
      <c r="R174" s="133"/>
      <c r="S174" s="151"/>
      <c r="T174" s="151"/>
      <c r="U174" s="151"/>
      <c r="V174" s="151"/>
      <c r="W174" s="151"/>
      <c r="X174" s="151"/>
      <c r="Y174" s="151"/>
      <c r="Z174" s="151"/>
      <c r="AA174" s="151"/>
      <c r="AB174" s="151"/>
      <c r="AC174" s="134"/>
      <c r="AD174" s="135"/>
      <c r="AE174" s="94"/>
      <c r="AF174" s="136"/>
      <c r="AG174" s="137"/>
      <c r="AH174" s="138"/>
      <c r="AI174" s="139"/>
      <c r="AJ174" s="135"/>
      <c r="AK174" s="140"/>
      <c r="AL174" s="141"/>
      <c r="AM174" s="142">
        <f t="shared" ref="AM174:AW174" si="220">IF(ISERROR(LOOKUP(AM$6,$S174:$AB174,$S$9:$AB$9)),0,(LOOKUP(AM$6,$S174:$AB174,$S$9:$AB$9)))</f>
        <v>0</v>
      </c>
      <c r="AN174" s="143">
        <f t="shared" si="220"/>
        <v>0</v>
      </c>
      <c r="AO174" s="143">
        <f t="shared" si="220"/>
        <v>0</v>
      </c>
      <c r="AP174" s="143">
        <f t="shared" si="220"/>
        <v>0</v>
      </c>
      <c r="AQ174" s="143">
        <f t="shared" si="220"/>
        <v>0</v>
      </c>
      <c r="AR174" s="143">
        <f t="shared" si="220"/>
        <v>0</v>
      </c>
      <c r="AS174" s="143">
        <f t="shared" si="220"/>
        <v>0</v>
      </c>
      <c r="AT174" s="143">
        <f t="shared" si="220"/>
        <v>0</v>
      </c>
      <c r="AU174" s="143">
        <f t="shared" si="220"/>
        <v>0</v>
      </c>
      <c r="AV174" s="143">
        <f t="shared" si="220"/>
        <v>0</v>
      </c>
      <c r="AW174" s="143">
        <f ca="1" t="shared" si="220"/>
        <v>0</v>
      </c>
      <c r="BB174" s="103"/>
    </row>
    <row r="175" s="20" customFormat="1" ht="18" customHeight="1" spans="1:54">
      <c r="A175" s="81">
        <f>A172+1</f>
        <v>56</v>
      </c>
      <c r="B175" s="145" t="s">
        <v>4962</v>
      </c>
      <c r="C175" s="83" t="s">
        <v>4902</v>
      </c>
      <c r="D175" s="84" t="s">
        <v>4963</v>
      </c>
      <c r="E175" s="85" t="s">
        <v>4964</v>
      </c>
      <c r="F175" s="86" t="str">
        <f>IF(_xlfn.XLOOKUP(E175,'[36]Before Award'!D:D,'[36]Before Award'!AV:AV,"N/A")="N/A","N","Y")</f>
        <v>N</v>
      </c>
      <c r="G175" s="87"/>
      <c r="H175" s="146" t="s">
        <v>4965</v>
      </c>
      <c r="I175" s="85" t="s">
        <v>6</v>
      </c>
      <c r="J175" s="86"/>
      <c r="K175" s="89">
        <f>M177</f>
        <v>0.001</v>
      </c>
      <c r="L175" s="89"/>
      <c r="M175" s="89"/>
      <c r="N175" s="85"/>
      <c r="O175" s="85"/>
      <c r="P175" s="85"/>
      <c r="Q175" s="90" t="s">
        <v>4905</v>
      </c>
      <c r="R175" s="91">
        <f>'Before Award'!U182+5</f>
        <v>46147</v>
      </c>
      <c r="S175" s="91" t="e">
        <f>WORKDAY(R175,INDEX(S$2:S$5,MATCH($I175,$I$2:$I$5,0)),$BB$10:$BB$141)</f>
        <v>#REF!</v>
      </c>
      <c r="T175" s="91" t="e">
        <f>WORKDAY(S175,INDEX(T$2:T$5,MATCH($I175,$I$2:$I$5,0)),$BB$10:$BB$141)</f>
        <v>#REF!</v>
      </c>
      <c r="U175" s="91" t="e">
        <f>T175+10</f>
        <v>#REF!</v>
      </c>
      <c r="V175" s="91"/>
      <c r="W175" s="91">
        <f>AB175-35</f>
        <v>46240</v>
      </c>
      <c r="X175" s="91"/>
      <c r="Y175" s="91"/>
      <c r="Z175" s="91"/>
      <c r="AA175" s="91"/>
      <c r="AB175" s="91">
        <f>'Before Award'!X182</f>
        <v>46275</v>
      </c>
      <c r="AC175" s="92" t="s">
        <v>4906</v>
      </c>
      <c r="AD175" s="93">
        <v>7</v>
      </c>
      <c r="AE175" s="94">
        <f>24*8</f>
        <v>192</v>
      </c>
      <c r="AF175" s="95" t="e">
        <f>AB176</f>
        <v>#REF!</v>
      </c>
      <c r="AG175" s="96">
        <f>WORKDAY(AH175+1,-1,$BA$10:$BA$141)</f>
        <v>46244</v>
      </c>
      <c r="AH175" s="97">
        <v>46244</v>
      </c>
      <c r="AI175" s="98"/>
      <c r="AJ175" s="93" t="e">
        <f>AG175-AF175</f>
        <v>#REF!</v>
      </c>
      <c r="AK175" s="99"/>
      <c r="AL175" s="100"/>
      <c r="AM175" s="101">
        <f t="shared" ref="AM175:AW175" si="221">IF(ISERROR(LOOKUP(AM$6,$S175:$AB175,$S$9:$AB$9)),0,(LOOKUP(AM$6,$S175:$AB175,$S$9:$AB$9)))</f>
        <v>0</v>
      </c>
      <c r="AN175" s="102">
        <f t="shared" si="221"/>
        <v>0</v>
      </c>
      <c r="AO175" s="102">
        <f t="shared" si="221"/>
        <v>0</v>
      </c>
      <c r="AP175" s="102">
        <f t="shared" si="221"/>
        <v>0</v>
      </c>
      <c r="AQ175" s="102">
        <f t="shared" si="221"/>
        <v>0</v>
      </c>
      <c r="AR175" s="102">
        <f t="shared" si="221"/>
        <v>0</v>
      </c>
      <c r="AS175" s="102">
        <f t="shared" si="221"/>
        <v>0</v>
      </c>
      <c r="AT175" s="102">
        <f t="shared" si="221"/>
        <v>0</v>
      </c>
      <c r="AU175" s="102">
        <f t="shared" si="221"/>
        <v>0</v>
      </c>
      <c r="AV175" s="102">
        <f t="shared" si="221"/>
        <v>0</v>
      </c>
      <c r="AW175" s="102">
        <f ca="1" t="shared" si="221"/>
        <v>0.95</v>
      </c>
      <c r="BB175" s="103"/>
    </row>
    <row r="176" s="20" customFormat="1" ht="18" customHeight="1" spans="1:54">
      <c r="A176" s="104"/>
      <c r="B176" s="147"/>
      <c r="C176" s="106"/>
      <c r="D176" s="107" t="str">
        <f>D175</f>
        <v>STR</v>
      </c>
      <c r="E176" s="108" t="str">
        <f>E175</f>
        <v>RFQ-054</v>
      </c>
      <c r="F176" s="109" t="str">
        <f>F175</f>
        <v>N</v>
      </c>
      <c r="G176" s="110"/>
      <c r="H176" s="148" t="str">
        <f>H175</f>
        <v>Primary Steel - Seamless</v>
      </c>
      <c r="I176" s="108" t="str">
        <f>I175</f>
        <v>LA</v>
      </c>
      <c r="J176" s="109"/>
      <c r="K176" s="112"/>
      <c r="L176" s="112">
        <f>M177</f>
        <v>0.001</v>
      </c>
      <c r="M176" s="112"/>
      <c r="N176" s="108"/>
      <c r="O176" s="108"/>
      <c r="P176" s="108"/>
      <c r="Q176" s="113" t="s">
        <v>4907</v>
      </c>
      <c r="R176" s="113"/>
      <c r="S176" s="114" t="e">
        <f>S175</f>
        <v>#REF!</v>
      </c>
      <c r="T176" s="115" t="e">
        <f>T175</f>
        <v>#REF!</v>
      </c>
      <c r="U176" s="115" t="e">
        <f t="shared" ref="U176:Z176" si="222">WORKDAY(IF(T177="",T176,T177),INDEX(U$2:U$5,MATCH($I175,$I$2:$I$5,0)),$BB$10:$BB$141)</f>
        <v>#REF!</v>
      </c>
      <c r="V176" s="115" t="e">
        <f t="shared" si="222"/>
        <v>#REF!</v>
      </c>
      <c r="W176" s="115" t="e">
        <f t="shared" si="222"/>
        <v>#REF!</v>
      </c>
      <c r="X176" s="115" t="e">
        <f t="shared" si="222"/>
        <v>#REF!</v>
      </c>
      <c r="Y176" s="115" t="e">
        <f t="shared" si="222"/>
        <v>#REF!</v>
      </c>
      <c r="Z176" s="115" t="e">
        <f t="shared" si="222"/>
        <v>#REF!</v>
      </c>
      <c r="AA176" s="115" t="e">
        <f>WORKDAY(IF(Z177="",X176,Z177),INDEX(AA$2:AA$5,MATCH($I175,$I$2:$I$5,0)),$BB$10:$BB$141)</f>
        <v>#REF!</v>
      </c>
      <c r="AB176" s="116" t="e">
        <f>WORKDAY(AE175+#REF!,0,'[36]Equipment List and MR List (3)'!$A$2:$A$80)</f>
        <v>#REF!</v>
      </c>
      <c r="AC176" s="117"/>
      <c r="AD176" s="118"/>
      <c r="AE176" s="94"/>
      <c r="AF176" s="119"/>
      <c r="AG176" s="120"/>
      <c r="AH176" s="121"/>
      <c r="AI176" s="122"/>
      <c r="AJ176" s="118"/>
      <c r="AK176" s="123"/>
      <c r="AL176" s="124"/>
      <c r="AM176" s="101">
        <f t="shared" ref="AM176:AW176" si="223">IF(ISERROR(LOOKUP(AM$6,$S176:$AB176,$S$9:$AB$9)),0,(LOOKUP(AM$6,$S176:$AB176,$S$9:$AB$9)))</f>
        <v>0</v>
      </c>
      <c r="AN176" s="102">
        <f t="shared" si="223"/>
        <v>0</v>
      </c>
      <c r="AO176" s="102">
        <f t="shared" si="223"/>
        <v>0</v>
      </c>
      <c r="AP176" s="102">
        <f t="shared" si="223"/>
        <v>0</v>
      </c>
      <c r="AQ176" s="102">
        <f t="shared" si="223"/>
        <v>0</v>
      </c>
      <c r="AR176" s="102">
        <f t="shared" si="223"/>
        <v>0</v>
      </c>
      <c r="AS176" s="102">
        <f t="shared" si="223"/>
        <v>0</v>
      </c>
      <c r="AT176" s="102">
        <f t="shared" si="223"/>
        <v>0</v>
      </c>
      <c r="AU176" s="102">
        <f t="shared" si="223"/>
        <v>0</v>
      </c>
      <c r="AV176" s="102">
        <f t="shared" si="223"/>
        <v>0</v>
      </c>
      <c r="AW176" s="102">
        <f ca="1" t="shared" si="223"/>
        <v>0</v>
      </c>
      <c r="BB176" s="103"/>
    </row>
    <row r="177" s="20" customFormat="1" ht="18" customHeight="1" spans="1:54">
      <c r="A177" s="125"/>
      <c r="B177" s="150"/>
      <c r="C177" s="127"/>
      <c r="D177" s="128" t="str">
        <f>D175</f>
        <v>STR</v>
      </c>
      <c r="E177" s="129" t="str">
        <f>E175</f>
        <v>RFQ-054</v>
      </c>
      <c r="F177" s="130" t="str">
        <f>F175</f>
        <v>N</v>
      </c>
      <c r="G177" s="131"/>
      <c r="H177" s="148" t="str">
        <f>H175</f>
        <v>Primary Steel - Seamless</v>
      </c>
      <c r="I177" s="129" t="str">
        <f>I175</f>
        <v>LA</v>
      </c>
      <c r="J177" s="130"/>
      <c r="K177" s="132"/>
      <c r="L177" s="132"/>
      <c r="M177" s="132">
        <v>0.001</v>
      </c>
      <c r="N177" s="129"/>
      <c r="O177" s="129"/>
      <c r="P177" s="129"/>
      <c r="Q177" s="133" t="s">
        <v>4908</v>
      </c>
      <c r="R177" s="133"/>
      <c r="S177" s="151"/>
      <c r="T177" s="151"/>
      <c r="U177" s="151"/>
      <c r="V177" s="151"/>
      <c r="W177" s="151"/>
      <c r="X177" s="151"/>
      <c r="Y177" s="151"/>
      <c r="Z177" s="151"/>
      <c r="AA177" s="151"/>
      <c r="AB177" s="151"/>
      <c r="AC177" s="134"/>
      <c r="AD177" s="135"/>
      <c r="AE177" s="94"/>
      <c r="AF177" s="136"/>
      <c r="AG177" s="137"/>
      <c r="AH177" s="138"/>
      <c r="AI177" s="139"/>
      <c r="AJ177" s="135"/>
      <c r="AK177" s="140"/>
      <c r="AL177" s="141"/>
      <c r="AM177" s="142">
        <f t="shared" ref="AM177:AW177" si="224">IF(ISERROR(LOOKUP(AM$6,$S177:$AB177,$S$9:$AB$9)),0,(LOOKUP(AM$6,$S177:$AB177,$S$9:$AB$9)))</f>
        <v>0</v>
      </c>
      <c r="AN177" s="143">
        <f t="shared" si="224"/>
        <v>0</v>
      </c>
      <c r="AO177" s="143">
        <f t="shared" si="224"/>
        <v>0</v>
      </c>
      <c r="AP177" s="143">
        <f t="shared" si="224"/>
        <v>0</v>
      </c>
      <c r="AQ177" s="143">
        <f t="shared" si="224"/>
        <v>0</v>
      </c>
      <c r="AR177" s="143">
        <f t="shared" si="224"/>
        <v>0</v>
      </c>
      <c r="AS177" s="143">
        <f t="shared" si="224"/>
        <v>0</v>
      </c>
      <c r="AT177" s="143">
        <f t="shared" si="224"/>
        <v>0</v>
      </c>
      <c r="AU177" s="143">
        <f t="shared" si="224"/>
        <v>0</v>
      </c>
      <c r="AV177" s="143">
        <f t="shared" si="224"/>
        <v>0</v>
      </c>
      <c r="AW177" s="143">
        <f ca="1" t="shared" si="224"/>
        <v>0</v>
      </c>
      <c r="BB177" s="103"/>
    </row>
    <row r="178" s="21" customFormat="1" ht="18" customHeight="1" spans="1:54">
      <c r="A178" s="81">
        <f>A175+1</f>
        <v>57</v>
      </c>
      <c r="B178" s="145" t="s">
        <v>4962</v>
      </c>
      <c r="C178" s="83" t="s">
        <v>4902</v>
      </c>
      <c r="D178" s="84" t="s">
        <v>4929</v>
      </c>
      <c r="E178" s="153" t="s">
        <v>4964</v>
      </c>
      <c r="F178" s="154" t="s">
        <v>72</v>
      </c>
      <c r="G178" s="87"/>
      <c r="H178" s="146" t="s">
        <v>4966</v>
      </c>
      <c r="I178" s="85" t="s">
        <v>6</v>
      </c>
      <c r="J178" s="154"/>
      <c r="K178" s="155">
        <f>M180</f>
        <v>0.001</v>
      </c>
      <c r="L178" s="155"/>
      <c r="M178" s="155"/>
      <c r="N178" s="153"/>
      <c r="O178" s="153"/>
      <c r="P178" s="153"/>
      <c r="Q178" s="156" t="s">
        <v>4905</v>
      </c>
      <c r="R178" s="91" t="e">
        <f>'Before Award'!#REF!+5</f>
        <v>#REF!</v>
      </c>
      <c r="S178" s="91" t="e">
        <f>WORKDAY(R178,INDEX(S$2:S$5,MATCH($I178,$I$2:$I$5,0)),$BB$10:$BB$141)</f>
        <v>#REF!</v>
      </c>
      <c r="T178" s="91" t="e">
        <f>WORKDAY(S178,INDEX(T$2:T$5,MATCH($I178,$I$2:$I$5,0)),$BB$10:$BB$141)</f>
        <v>#REF!</v>
      </c>
      <c r="U178" s="91" t="e">
        <f>T178+10</f>
        <v>#REF!</v>
      </c>
      <c r="V178" s="91"/>
      <c r="W178" s="91" t="e">
        <f>AB178-35</f>
        <v>#REF!</v>
      </c>
      <c r="X178" s="91"/>
      <c r="Y178" s="91"/>
      <c r="Z178" s="91"/>
      <c r="AA178" s="91"/>
      <c r="AB178" s="91" t="e">
        <f>'Before Award'!#REF!</f>
        <v>#REF!</v>
      </c>
      <c r="AC178" s="92" t="s">
        <v>4906</v>
      </c>
      <c r="AD178" s="93">
        <v>7</v>
      </c>
      <c r="AE178" s="94">
        <v>141</v>
      </c>
      <c r="AF178" s="95" t="e">
        <f>AB179</f>
        <v>#REF!</v>
      </c>
      <c r="AG178" s="96"/>
      <c r="AH178" s="97"/>
      <c r="AI178" s="98"/>
      <c r="AJ178" s="93" t="e">
        <f>AG178-AF178</f>
        <v>#REF!</v>
      </c>
      <c r="AK178" s="157"/>
      <c r="AL178" s="158"/>
      <c r="AM178" s="159">
        <f t="shared" ref="AM178:AW178" si="225">IF(ISERROR(LOOKUP(AM$6,$S178:$AB178,$S$9:$AB$9)),0,(LOOKUP(AM$6,$S178:$AB178,$S$9:$AB$9)))</f>
        <v>0</v>
      </c>
      <c r="AN178" s="160">
        <f t="shared" si="225"/>
        <v>0</v>
      </c>
      <c r="AO178" s="160">
        <f t="shared" si="225"/>
        <v>0</v>
      </c>
      <c r="AP178" s="160">
        <f t="shared" si="225"/>
        <v>0</v>
      </c>
      <c r="AQ178" s="160">
        <f t="shared" si="225"/>
        <v>0</v>
      </c>
      <c r="AR178" s="160">
        <f t="shared" si="225"/>
        <v>0</v>
      </c>
      <c r="AS178" s="160">
        <f t="shared" si="225"/>
        <v>0</v>
      </c>
      <c r="AT178" s="160">
        <f t="shared" si="225"/>
        <v>0</v>
      </c>
      <c r="AU178" s="160">
        <f t="shared" si="225"/>
        <v>0</v>
      </c>
      <c r="AV178" s="160">
        <f t="shared" si="225"/>
        <v>0</v>
      </c>
      <c r="AW178" s="160">
        <f ca="1" t="shared" si="225"/>
        <v>0</v>
      </c>
      <c r="BB178" s="161"/>
    </row>
    <row r="179" s="21" customFormat="1" ht="18" customHeight="1" spans="1:54">
      <c r="A179" s="104"/>
      <c r="B179" s="147"/>
      <c r="C179" s="106"/>
      <c r="D179" s="107" t="str">
        <f>D178</f>
        <v>ELE</v>
      </c>
      <c r="E179" s="162" t="str">
        <f>E178</f>
        <v>RFQ-054</v>
      </c>
      <c r="F179" s="163" t="str">
        <f>F178</f>
        <v>N</v>
      </c>
      <c r="G179" s="110"/>
      <c r="H179" s="148" t="str">
        <f>H178</f>
        <v>Primary Steel - Welding</v>
      </c>
      <c r="I179" s="108" t="str">
        <f>I178</f>
        <v>LA</v>
      </c>
      <c r="J179" s="163"/>
      <c r="K179" s="164"/>
      <c r="L179" s="164">
        <f>M180</f>
        <v>0.001</v>
      </c>
      <c r="M179" s="164"/>
      <c r="N179" s="162"/>
      <c r="O179" s="162"/>
      <c r="P179" s="162"/>
      <c r="Q179" s="165" t="s">
        <v>4907</v>
      </c>
      <c r="R179" s="165"/>
      <c r="S179" s="166" t="e">
        <f>S178</f>
        <v>#REF!</v>
      </c>
      <c r="T179" s="167" t="e">
        <f>T178</f>
        <v>#REF!</v>
      </c>
      <c r="U179" s="167" t="e">
        <f>WORKDAY(IF(T180="",T179,T180),INDEX(U$2:U$5,MATCH($I178,$I$2:$I$5,0)),$BB$10:$BB$141)</f>
        <v>#REF!</v>
      </c>
      <c r="V179" s="167" t="e">
        <f>WORKDAY(IF(U180="",U179,U180),INDEX(V$2:V$5,MATCH($I178,$I$2:$I$5,0)),$BB$10:$BB$141)</f>
        <v>#REF!</v>
      </c>
      <c r="W179" s="167" t="e">
        <f>WORKDAY(IF(V180="",V179,V180),INDEX(W$2:W$5,MATCH($I178,$I$2:$I$5,0)),$BB$10:$BB$141)</f>
        <v>#REF!</v>
      </c>
      <c r="X179" s="167" t="e">
        <f>WORKDAY(IF(#REF!="",#REF!,#REF!),INDEX(X$2:X$5,MATCH($I178,$I$2:$I$5,0)),$BB$10:$BB$141)</f>
        <v>#REF!</v>
      </c>
      <c r="Y179" s="167" t="e">
        <f>WORKDAY(IF(X180="",X179,X180),INDEX(Y$2:Y$5,MATCH($I178,$I$2:$I$5,0)),$BB$10:$BB$141)</f>
        <v>#REF!</v>
      </c>
      <c r="Z179" s="167" t="e">
        <f>WORKDAY(IF(Y180="",Y179,Y180),INDEX(Z$2:Z$5,MATCH($I178,$I$2:$I$5,0)),$BB$10:$BB$141)</f>
        <v>#REF!</v>
      </c>
      <c r="AA179" s="167" t="e">
        <f>WORKDAY(IF(Z180="",Z179,Z180),INDEX(AA$2:AA$5,MATCH($I178,$I$2:$I$5,0)),$BB$10:$BB$141)</f>
        <v>#REF!</v>
      </c>
      <c r="AB179" s="168" t="e">
        <f>AE178+#REF!</f>
        <v>#REF!</v>
      </c>
      <c r="AC179" s="117"/>
      <c r="AD179" s="118"/>
      <c r="AE179" s="94"/>
      <c r="AF179" s="119"/>
      <c r="AG179" s="120"/>
      <c r="AH179" s="121"/>
      <c r="AI179" s="122"/>
      <c r="AJ179" s="118"/>
      <c r="AK179" s="169"/>
      <c r="AL179" s="170"/>
      <c r="AM179" s="159">
        <f t="shared" ref="AM179:AW179" si="226">IF(ISERROR(LOOKUP(AM$6,$S179:$AB179,$S$9:$AB$9)),0,(LOOKUP(AM$6,$S179:$AB179,$S$9:$AB$9)))</f>
        <v>0</v>
      </c>
      <c r="AN179" s="160">
        <f t="shared" si="226"/>
        <v>0</v>
      </c>
      <c r="AO179" s="160">
        <f t="shared" si="226"/>
        <v>0</v>
      </c>
      <c r="AP179" s="160">
        <f t="shared" si="226"/>
        <v>0</v>
      </c>
      <c r="AQ179" s="160">
        <f t="shared" si="226"/>
        <v>0</v>
      </c>
      <c r="AR179" s="160">
        <f t="shared" si="226"/>
        <v>0</v>
      </c>
      <c r="AS179" s="160">
        <f t="shared" si="226"/>
        <v>0</v>
      </c>
      <c r="AT179" s="160">
        <f t="shared" si="226"/>
        <v>0</v>
      </c>
      <c r="AU179" s="160">
        <f t="shared" si="226"/>
        <v>0</v>
      </c>
      <c r="AV179" s="160">
        <f t="shared" si="226"/>
        <v>0</v>
      </c>
      <c r="AW179" s="160">
        <f ca="1" t="shared" si="226"/>
        <v>0</v>
      </c>
      <c r="BB179" s="161"/>
    </row>
    <row r="180" s="21" customFormat="1" ht="18" customHeight="1" spans="1:54">
      <c r="A180" s="125"/>
      <c r="B180" s="150"/>
      <c r="C180" s="127"/>
      <c r="D180" s="128" t="str">
        <f>D178</f>
        <v>ELE</v>
      </c>
      <c r="E180" s="171" t="str">
        <f>E178</f>
        <v>RFQ-054</v>
      </c>
      <c r="F180" s="172" t="str">
        <f>F178</f>
        <v>N</v>
      </c>
      <c r="G180" s="131"/>
      <c r="H180" s="148" t="str">
        <f>H178</f>
        <v>Primary Steel - Welding</v>
      </c>
      <c r="I180" s="129" t="str">
        <f>I178</f>
        <v>LA</v>
      </c>
      <c r="J180" s="172"/>
      <c r="K180" s="173"/>
      <c r="L180" s="173"/>
      <c r="M180" s="173">
        <v>0.001</v>
      </c>
      <c r="N180" s="171"/>
      <c r="O180" s="171"/>
      <c r="P180" s="171"/>
      <c r="Q180" s="174" t="s">
        <v>4908</v>
      </c>
      <c r="R180" s="174"/>
      <c r="S180" s="175"/>
      <c r="T180" s="175"/>
      <c r="U180" s="175"/>
      <c r="V180" s="175"/>
      <c r="W180" s="175"/>
      <c r="X180" s="175"/>
      <c r="Y180" s="175"/>
      <c r="Z180" s="175"/>
      <c r="AA180" s="175"/>
      <c r="AB180" s="175"/>
      <c r="AC180" s="134"/>
      <c r="AD180" s="135"/>
      <c r="AE180" s="94"/>
      <c r="AF180" s="136"/>
      <c r="AG180" s="137"/>
      <c r="AH180" s="138"/>
      <c r="AI180" s="139"/>
      <c r="AJ180" s="135"/>
      <c r="AK180" s="176"/>
      <c r="AL180" s="177"/>
      <c r="AM180" s="178">
        <f t="shared" ref="AM180:AW180" si="227">IF(ISERROR(LOOKUP(AM$6,$S180:$AB180,$S$9:$AB$9)),0,(LOOKUP(AM$6,$S180:$AB180,$S$9:$AB$9)))</f>
        <v>0</v>
      </c>
      <c r="AN180" s="179">
        <f t="shared" si="227"/>
        <v>0</v>
      </c>
      <c r="AO180" s="179">
        <f t="shared" si="227"/>
        <v>0</v>
      </c>
      <c r="AP180" s="179">
        <f t="shared" si="227"/>
        <v>0</v>
      </c>
      <c r="AQ180" s="179">
        <f t="shared" si="227"/>
        <v>0</v>
      </c>
      <c r="AR180" s="179">
        <f t="shared" si="227"/>
        <v>0</v>
      </c>
      <c r="AS180" s="179">
        <f t="shared" si="227"/>
        <v>0</v>
      </c>
      <c r="AT180" s="179">
        <f t="shared" si="227"/>
        <v>0</v>
      </c>
      <c r="AU180" s="179">
        <f t="shared" si="227"/>
        <v>0</v>
      </c>
      <c r="AV180" s="179">
        <f t="shared" si="227"/>
        <v>0</v>
      </c>
      <c r="AW180" s="179">
        <f ca="1" t="shared" si="227"/>
        <v>0</v>
      </c>
      <c r="BB180" s="161"/>
    </row>
    <row r="181" s="21" customFormat="1" ht="18" customHeight="1" spans="1:54">
      <c r="A181" s="81">
        <f>A178+1</f>
        <v>58</v>
      </c>
      <c r="B181" s="180" t="s">
        <v>4967</v>
      </c>
      <c r="C181" s="83" t="s">
        <v>4902</v>
      </c>
      <c r="D181" s="84" t="s">
        <v>4929</v>
      </c>
      <c r="E181" s="153" t="s">
        <v>4964</v>
      </c>
      <c r="F181" s="154" t="s">
        <v>72</v>
      </c>
      <c r="G181" s="87"/>
      <c r="H181" s="86" t="s">
        <v>4968</v>
      </c>
      <c r="I181" s="153" t="s">
        <v>9</v>
      </c>
      <c r="J181" s="154"/>
      <c r="K181" s="155">
        <f>M183</f>
        <v>0.001</v>
      </c>
      <c r="L181" s="155"/>
      <c r="M181" s="155"/>
      <c r="N181" s="153"/>
      <c r="O181" s="153"/>
      <c r="P181" s="153"/>
      <c r="Q181" s="156" t="s">
        <v>4905</v>
      </c>
      <c r="R181" s="156"/>
      <c r="S181" s="181" t="e">
        <f>WORKDAY(T181,-INDEX(T$2:T$5,MATCH($I181,$I$2:$I$5,0)),'[36]Equipment List and MR List (3)'!$A$2:$A$80)</f>
        <v>#REF!</v>
      </c>
      <c r="T181" s="181" t="e">
        <f>WORKDAY(U181,-INDEX(U$2:U$5,MATCH($I181,$I$2:$I$5,0)),$BB$10:$BB$141)</f>
        <v>#REF!</v>
      </c>
      <c r="U181" s="181" t="e">
        <f>WORKDAY(V181,-INDEX(V$2:V$5,MATCH($I181,$I$2:$I$5,0)),$BB$10:$BB$141)</f>
        <v>#REF!</v>
      </c>
      <c r="V181" s="181" t="e">
        <f>WORKDAY(W181,-INDEX(W$2:W$5,MATCH($I181,$I$2:$I$5,0)),$BB$10:$BB$141)</f>
        <v>#REF!</v>
      </c>
      <c r="W181" s="181" t="e">
        <f>WORKDAY(#REF!,-INDEX(#REF!,MATCH($I181,$I$2:$I$5,0)),$BB$10:$BB$141)</f>
        <v>#REF!</v>
      </c>
      <c r="X181" s="181" t="e">
        <f>WORKDAY(Y181,-INDEX(Y$2:Y$5,MATCH($I181,$I$2:$I$5,0)),$BB$10:$BB$141)</f>
        <v>#REF!</v>
      </c>
      <c r="Y181" s="181" t="e">
        <f>WORKDAY(Z181,-INDEX(Z$2:Z$5,MATCH($I181,$I$2:$I$5,0)),$BB$10:$BB$141)</f>
        <v>#REF!</v>
      </c>
      <c r="Z181" s="181" t="e">
        <f>WORKDAY(AA181,-INDEX(AA$2:AA$5,MATCH($I181,$I$2:$I$5,0)),$BB$10:$BB$141)</f>
        <v>#REF!</v>
      </c>
      <c r="AA181" s="181" t="e">
        <f>WORKDAY(#REF!,-INDEX(#REF!,MATCH($I181,$I$2:$I$5,0)),$BB$10:$BB$141)</f>
        <v>#REF!</v>
      </c>
      <c r="AB181" s="181">
        <f>WORKDAY(AG181,0,'[36]Equipment List and MR List (3)'!$A$2:$A$80)</f>
        <v>0</v>
      </c>
      <c r="AC181" s="92" t="s">
        <v>4906</v>
      </c>
      <c r="AD181" s="93">
        <v>7</v>
      </c>
      <c r="AE181" s="182">
        <v>175</v>
      </c>
      <c r="AF181" s="95" t="e">
        <f>AB182</f>
        <v>#REF!</v>
      </c>
      <c r="AG181" s="96"/>
      <c r="AH181" s="97"/>
      <c r="AI181" s="98"/>
      <c r="AJ181" s="93" t="e">
        <f>AG181-AF181</f>
        <v>#REF!</v>
      </c>
      <c r="AK181" s="157"/>
      <c r="AL181" s="158"/>
      <c r="AM181" s="159">
        <f t="shared" ref="AM181:AW181" si="228">IF(ISERROR(LOOKUP(AM$6,$S181:$AB181,$S$9:$AB$9)),0,(LOOKUP(AM$6,$S181:$AB181,$S$9:$AB$9)))</f>
        <v>0.95</v>
      </c>
      <c r="AN181" s="160">
        <f t="shared" si="228"/>
        <v>0.95</v>
      </c>
      <c r="AO181" s="160">
        <f t="shared" si="228"/>
        <v>0.95</v>
      </c>
      <c r="AP181" s="160">
        <f t="shared" si="228"/>
        <v>0.95</v>
      </c>
      <c r="AQ181" s="160">
        <f t="shared" si="228"/>
        <v>0.95</v>
      </c>
      <c r="AR181" s="160">
        <f t="shared" si="228"/>
        <v>0.95</v>
      </c>
      <c r="AS181" s="160">
        <f t="shared" si="228"/>
        <v>0.95</v>
      </c>
      <c r="AT181" s="160">
        <f t="shared" si="228"/>
        <v>0.95</v>
      </c>
      <c r="AU181" s="160">
        <f t="shared" si="228"/>
        <v>0.95</v>
      </c>
      <c r="AV181" s="160">
        <f t="shared" si="228"/>
        <v>0.95</v>
      </c>
      <c r="AW181" s="160">
        <f ca="1" t="shared" si="228"/>
        <v>0.95</v>
      </c>
      <c r="BB181" s="161"/>
    </row>
    <row r="182" s="21" customFormat="1" ht="18" customHeight="1" spans="1:54">
      <c r="A182" s="104"/>
      <c r="B182" s="183"/>
      <c r="C182" s="106"/>
      <c r="D182" s="107" t="str">
        <f>D181</f>
        <v>ELE</v>
      </c>
      <c r="E182" s="162" t="str">
        <f>E181</f>
        <v>RFQ-054</v>
      </c>
      <c r="F182" s="163" t="str">
        <f>F181</f>
        <v>N</v>
      </c>
      <c r="G182" s="110"/>
      <c r="H182" s="109" t="str">
        <f>H181</f>
        <v>JUNCTION BOX AND RECEPTACLES</v>
      </c>
      <c r="I182" s="162" t="str">
        <f>I181</f>
        <v>LD</v>
      </c>
      <c r="J182" s="163"/>
      <c r="K182" s="164"/>
      <c r="L182" s="164">
        <f>M183</f>
        <v>0.001</v>
      </c>
      <c r="M182" s="164"/>
      <c r="N182" s="162"/>
      <c r="O182" s="162"/>
      <c r="P182" s="162"/>
      <c r="Q182" s="165" t="s">
        <v>4907</v>
      </c>
      <c r="R182" s="165"/>
      <c r="S182" s="166" t="e">
        <f>S181</f>
        <v>#REF!</v>
      </c>
      <c r="T182" s="167" t="e">
        <f>T181</f>
        <v>#REF!</v>
      </c>
      <c r="U182" s="167" t="e">
        <f>WORKDAY(IF(T183="",T182,T183),INDEX(U$2:U$5,MATCH($I181,$I$2:$I$5,0)),$BB$10:$BB$141)</f>
        <v>#REF!</v>
      </c>
      <c r="V182" s="167" t="e">
        <f>WORKDAY(IF(U183="",U182,U183),INDEX(V$2:V$5,MATCH($I181,$I$2:$I$5,0)),$BB$10:$BB$141)</f>
        <v>#REF!</v>
      </c>
      <c r="W182" s="167" t="e">
        <f>WORKDAY(IF(V183="",V182,V183),INDEX(W$2:W$5,MATCH($I181,$I$2:$I$5,0)),$BB$10:$BB$141)</f>
        <v>#REF!</v>
      </c>
      <c r="X182" s="167" t="e">
        <f>WORKDAY(IF(#REF!="",#REF!,#REF!),INDEX(X$2:X$5,MATCH($I181,$I$2:$I$5,0)),$BB$10:$BB$141)</f>
        <v>#REF!</v>
      </c>
      <c r="Y182" s="167" t="e">
        <f>WORKDAY(IF(X183="",X182,X183),INDEX(Y$2:Y$5,MATCH($I181,$I$2:$I$5,0)),$BB$10:$BB$141)</f>
        <v>#REF!</v>
      </c>
      <c r="Z182" s="167" t="e">
        <f>WORKDAY(IF(Y183="",Y182,Y183),INDEX(Z$2:Z$5,MATCH($I181,$I$2:$I$5,0)),$BB$10:$BB$141)</f>
        <v>#REF!</v>
      </c>
      <c r="AA182" s="167" t="e">
        <f>WORKDAY(IF(Z183="",Z182,Z183),INDEX(AA$2:AA$5,MATCH($I181,$I$2:$I$5,0)),$BB$10:$BB$141)</f>
        <v>#REF!</v>
      </c>
      <c r="AB182" s="168" t="e">
        <f>AE181+#REF!</f>
        <v>#REF!</v>
      </c>
      <c r="AC182" s="117"/>
      <c r="AD182" s="118"/>
      <c r="AE182" s="184"/>
      <c r="AF182" s="119"/>
      <c r="AG182" s="120"/>
      <c r="AH182" s="121"/>
      <c r="AI182" s="122"/>
      <c r="AJ182" s="118"/>
      <c r="AK182" s="169"/>
      <c r="AL182" s="170"/>
      <c r="AM182" s="159">
        <f t="shared" ref="AM182:AW182" si="229">IF(ISERROR(LOOKUP(AM$6,$S182:$AB182,$S$9:$AB$9)),0,(LOOKUP(AM$6,$S182:$AB182,$S$9:$AB$9)))</f>
        <v>0</v>
      </c>
      <c r="AN182" s="160">
        <f t="shared" si="229"/>
        <v>0</v>
      </c>
      <c r="AO182" s="160">
        <f t="shared" si="229"/>
        <v>0</v>
      </c>
      <c r="AP182" s="160">
        <f t="shared" si="229"/>
        <v>0</v>
      </c>
      <c r="AQ182" s="160">
        <f t="shared" si="229"/>
        <v>0</v>
      </c>
      <c r="AR182" s="160">
        <f t="shared" si="229"/>
        <v>0</v>
      </c>
      <c r="AS182" s="160">
        <f t="shared" si="229"/>
        <v>0</v>
      </c>
      <c r="AT182" s="160">
        <f t="shared" si="229"/>
        <v>0</v>
      </c>
      <c r="AU182" s="160">
        <f t="shared" si="229"/>
        <v>0</v>
      </c>
      <c r="AV182" s="160">
        <f t="shared" si="229"/>
        <v>0</v>
      </c>
      <c r="AW182" s="160">
        <f ca="1" t="shared" si="229"/>
        <v>0</v>
      </c>
      <c r="BB182" s="161"/>
    </row>
    <row r="183" s="21" customFormat="1" ht="18" customHeight="1" spans="1:54">
      <c r="A183" s="125"/>
      <c r="B183" s="185"/>
      <c r="C183" s="127"/>
      <c r="D183" s="128" t="str">
        <f>D181</f>
        <v>ELE</v>
      </c>
      <c r="E183" s="171" t="str">
        <f>E181</f>
        <v>RFQ-054</v>
      </c>
      <c r="F183" s="172" t="str">
        <f>F181</f>
        <v>N</v>
      </c>
      <c r="G183" s="131"/>
      <c r="H183" s="130" t="str">
        <f>H181</f>
        <v>JUNCTION BOX AND RECEPTACLES</v>
      </c>
      <c r="I183" s="171" t="str">
        <f>I181</f>
        <v>LD</v>
      </c>
      <c r="J183" s="172"/>
      <c r="K183" s="173"/>
      <c r="L183" s="173"/>
      <c r="M183" s="173">
        <v>0.001</v>
      </c>
      <c r="N183" s="171"/>
      <c r="O183" s="171"/>
      <c r="P183" s="171"/>
      <c r="Q183" s="174" t="s">
        <v>4908</v>
      </c>
      <c r="R183" s="174"/>
      <c r="S183" s="175"/>
      <c r="T183" s="175"/>
      <c r="U183" s="175"/>
      <c r="V183" s="175"/>
      <c r="W183" s="175"/>
      <c r="X183" s="175"/>
      <c r="Y183" s="175"/>
      <c r="Z183" s="175"/>
      <c r="AA183" s="175"/>
      <c r="AB183" s="175"/>
      <c r="AC183" s="134"/>
      <c r="AD183" s="135"/>
      <c r="AE183" s="186"/>
      <c r="AF183" s="136"/>
      <c r="AG183" s="137"/>
      <c r="AH183" s="138"/>
      <c r="AI183" s="139"/>
      <c r="AJ183" s="135"/>
      <c r="AK183" s="176"/>
      <c r="AL183" s="177"/>
      <c r="AM183" s="178">
        <f t="shared" ref="AM183:AW183" si="230">IF(ISERROR(LOOKUP(AM$6,$S183:$AB183,$S$9:$AB$9)),0,(LOOKUP(AM$6,$S183:$AB183,$S$9:$AB$9)))</f>
        <v>0</v>
      </c>
      <c r="AN183" s="179">
        <f t="shared" si="230"/>
        <v>0</v>
      </c>
      <c r="AO183" s="179">
        <f t="shared" si="230"/>
        <v>0</v>
      </c>
      <c r="AP183" s="179">
        <f t="shared" si="230"/>
        <v>0</v>
      </c>
      <c r="AQ183" s="179">
        <f t="shared" si="230"/>
        <v>0</v>
      </c>
      <c r="AR183" s="179">
        <f t="shared" si="230"/>
        <v>0</v>
      </c>
      <c r="AS183" s="179">
        <f t="shared" si="230"/>
        <v>0</v>
      </c>
      <c r="AT183" s="179">
        <f t="shared" si="230"/>
        <v>0</v>
      </c>
      <c r="AU183" s="179">
        <f t="shared" si="230"/>
        <v>0</v>
      </c>
      <c r="AV183" s="179">
        <f t="shared" si="230"/>
        <v>0</v>
      </c>
      <c r="AW183" s="179">
        <f ca="1" t="shared" si="230"/>
        <v>0</v>
      </c>
      <c r="BB183" s="161"/>
    </row>
    <row r="184" s="21" customFormat="1" ht="18" customHeight="1" spans="1:54">
      <c r="A184" s="81">
        <f>A181+1</f>
        <v>59</v>
      </c>
      <c r="B184" s="180" t="s">
        <v>4967</v>
      </c>
      <c r="C184" s="83" t="s">
        <v>4902</v>
      </c>
      <c r="D184" s="84" t="s">
        <v>4929</v>
      </c>
      <c r="E184" s="153" t="s">
        <v>4964</v>
      </c>
      <c r="F184" s="154" t="s">
        <v>72</v>
      </c>
      <c r="G184" s="87"/>
      <c r="H184" s="86" t="s">
        <v>4969</v>
      </c>
      <c r="I184" s="153" t="s">
        <v>9</v>
      </c>
      <c r="J184" s="154"/>
      <c r="K184" s="155">
        <f>M186</f>
        <v>0.001</v>
      </c>
      <c r="L184" s="155"/>
      <c r="M184" s="155"/>
      <c r="N184" s="153"/>
      <c r="O184" s="153"/>
      <c r="P184" s="153"/>
      <c r="Q184" s="156" t="s">
        <v>4905</v>
      </c>
      <c r="R184" s="156"/>
      <c r="S184" s="181" t="e">
        <f>WORKDAY(T184,-INDEX(T$2:T$5,MATCH($I184,$I$2:$I$5,0)),'[36]Equipment List and MR List (3)'!$A$2:$A$80)</f>
        <v>#REF!</v>
      </c>
      <c r="T184" s="181" t="e">
        <f>WORKDAY(U184,-INDEX(U$2:U$5,MATCH($I184,$I$2:$I$5,0)),$BB$10:$BB$141)</f>
        <v>#REF!</v>
      </c>
      <c r="U184" s="181" t="e">
        <f>WORKDAY(V184,-INDEX(V$2:V$5,MATCH($I184,$I$2:$I$5,0)),$BB$10:$BB$141)</f>
        <v>#REF!</v>
      </c>
      <c r="V184" s="181" t="e">
        <f>WORKDAY(W184,-INDEX(W$2:W$5,MATCH($I184,$I$2:$I$5,0)),$BB$10:$BB$141)</f>
        <v>#REF!</v>
      </c>
      <c r="W184" s="181" t="e">
        <f>WORKDAY(#REF!,-INDEX(#REF!,MATCH($I184,$I$2:$I$5,0)),$BB$10:$BB$141)</f>
        <v>#REF!</v>
      </c>
      <c r="X184" s="181" t="e">
        <f>WORKDAY(Y184,-INDEX(Y$2:Y$5,MATCH($I184,$I$2:$I$5,0)),$BB$10:$BB$141)</f>
        <v>#REF!</v>
      </c>
      <c r="Y184" s="181" t="e">
        <f>WORKDAY(Z184,-INDEX(Z$2:Z$5,MATCH($I184,$I$2:$I$5,0)),$BB$10:$BB$141)</f>
        <v>#REF!</v>
      </c>
      <c r="Z184" s="181" t="e">
        <f>WORKDAY(AA184,-INDEX(AA$2:AA$5,MATCH($I184,$I$2:$I$5,0)),$BB$10:$BB$141)</f>
        <v>#REF!</v>
      </c>
      <c r="AA184" s="181" t="e">
        <f>WORKDAY(#REF!,-INDEX(#REF!,MATCH($I184,$I$2:$I$5,0)),$BB$10:$BB$141)</f>
        <v>#REF!</v>
      </c>
      <c r="AB184" s="181">
        <f>WORKDAY(AG184,0,'[36]Equipment List and MR List (3)'!$A$2:$A$80)</f>
        <v>0</v>
      </c>
      <c r="AC184" s="92" t="s">
        <v>4906</v>
      </c>
      <c r="AD184" s="93">
        <v>7</v>
      </c>
      <c r="AE184" s="182">
        <v>123</v>
      </c>
      <c r="AF184" s="95" t="e">
        <f>AB185</f>
        <v>#REF!</v>
      </c>
      <c r="AG184" s="96"/>
      <c r="AH184" s="97"/>
      <c r="AI184" s="98"/>
      <c r="AJ184" s="93" t="e">
        <f>AG184-AF184</f>
        <v>#REF!</v>
      </c>
      <c r="AK184" s="157"/>
      <c r="AL184" s="158"/>
      <c r="AM184" s="159">
        <f t="shared" ref="AM184:AW184" si="231">IF(ISERROR(LOOKUP(AM$6,$S184:$AB184,$S$9:$AB$9)),0,(LOOKUP(AM$6,$S184:$AB184,$S$9:$AB$9)))</f>
        <v>0.95</v>
      </c>
      <c r="AN184" s="160">
        <f t="shared" si="231"/>
        <v>0.95</v>
      </c>
      <c r="AO184" s="160">
        <f t="shared" si="231"/>
        <v>0.95</v>
      </c>
      <c r="AP184" s="160">
        <f t="shared" si="231"/>
        <v>0.95</v>
      </c>
      <c r="AQ184" s="160">
        <f t="shared" si="231"/>
        <v>0.95</v>
      </c>
      <c r="AR184" s="160">
        <f t="shared" si="231"/>
        <v>0.95</v>
      </c>
      <c r="AS184" s="160">
        <f t="shared" si="231"/>
        <v>0.95</v>
      </c>
      <c r="AT184" s="160">
        <f t="shared" si="231"/>
        <v>0.95</v>
      </c>
      <c r="AU184" s="160">
        <f t="shared" si="231"/>
        <v>0.95</v>
      </c>
      <c r="AV184" s="160">
        <f t="shared" si="231"/>
        <v>0.95</v>
      </c>
      <c r="AW184" s="160">
        <f ca="1" t="shared" si="231"/>
        <v>0.95</v>
      </c>
      <c r="BB184" s="161"/>
    </row>
    <row r="185" s="21" customFormat="1" ht="18" customHeight="1" spans="1:54">
      <c r="A185" s="104"/>
      <c r="B185" s="183"/>
      <c r="C185" s="106"/>
      <c r="D185" s="107" t="str">
        <f>D184</f>
        <v>ELE</v>
      </c>
      <c r="E185" s="162" t="str">
        <f>E184</f>
        <v>RFQ-054</v>
      </c>
      <c r="F185" s="163" t="str">
        <f>F184</f>
        <v>N</v>
      </c>
      <c r="G185" s="110"/>
      <c r="H185" s="109" t="str">
        <f>H184</f>
        <v>CABLE GLAND</v>
      </c>
      <c r="I185" s="162" t="str">
        <f>I184</f>
        <v>LD</v>
      </c>
      <c r="J185" s="163"/>
      <c r="K185" s="164"/>
      <c r="L185" s="164">
        <f>M186</f>
        <v>0.001</v>
      </c>
      <c r="M185" s="164"/>
      <c r="N185" s="162"/>
      <c r="O185" s="162"/>
      <c r="P185" s="162"/>
      <c r="Q185" s="165" t="s">
        <v>4907</v>
      </c>
      <c r="R185" s="165"/>
      <c r="S185" s="166" t="e">
        <f>S184</f>
        <v>#REF!</v>
      </c>
      <c r="T185" s="167" t="e">
        <f>T184</f>
        <v>#REF!</v>
      </c>
      <c r="U185" s="167" t="e">
        <f>WORKDAY(IF(T186="",T185,T186),INDEX(U$2:U$5,MATCH($I184,$I$2:$I$5,0)),$BB$10:$BB$141)</f>
        <v>#REF!</v>
      </c>
      <c r="V185" s="167" t="e">
        <f>WORKDAY(IF(U186="",U185,U186),INDEX(V$2:V$5,MATCH($I184,$I$2:$I$5,0)),$BB$10:$BB$141)</f>
        <v>#REF!</v>
      </c>
      <c r="W185" s="167" t="e">
        <f>WORKDAY(IF(V186="",V185,V186),INDEX(W$2:W$5,MATCH($I184,$I$2:$I$5,0)),$BB$10:$BB$141)</f>
        <v>#REF!</v>
      </c>
      <c r="X185" s="167" t="e">
        <f>WORKDAY(IF(#REF!="",#REF!,#REF!),INDEX(X$2:X$5,MATCH($I184,$I$2:$I$5,0)),$BB$10:$BB$141)</f>
        <v>#REF!</v>
      </c>
      <c r="Y185" s="167" t="e">
        <f>WORKDAY(IF(X186="",X185,X186),INDEX(Y$2:Y$5,MATCH($I184,$I$2:$I$5,0)),$BB$10:$BB$141)</f>
        <v>#REF!</v>
      </c>
      <c r="Z185" s="167" t="e">
        <f>WORKDAY(IF(Y186="",Y185,Y186),INDEX(Z$2:Z$5,MATCH($I184,$I$2:$I$5,0)),$BB$10:$BB$141)</f>
        <v>#REF!</v>
      </c>
      <c r="AA185" s="167" t="e">
        <f>WORKDAY(IF(Z186="",Z185,Z186),INDEX(AA$2:AA$5,MATCH($I184,$I$2:$I$5,0)),$BB$10:$BB$141)</f>
        <v>#REF!</v>
      </c>
      <c r="AB185" s="168" t="e">
        <f>AE184+#REF!</f>
        <v>#REF!</v>
      </c>
      <c r="AC185" s="117"/>
      <c r="AD185" s="118"/>
      <c r="AE185" s="184"/>
      <c r="AF185" s="119"/>
      <c r="AG185" s="120"/>
      <c r="AH185" s="121"/>
      <c r="AI185" s="122"/>
      <c r="AJ185" s="118"/>
      <c r="AK185" s="169"/>
      <c r="AL185" s="170"/>
      <c r="AM185" s="159">
        <f t="shared" ref="AM185:AW185" si="232">IF(ISERROR(LOOKUP(AM$6,$S185:$AB185,$S$9:$AB$9)),0,(LOOKUP(AM$6,$S185:$AB185,$S$9:$AB$9)))</f>
        <v>0</v>
      </c>
      <c r="AN185" s="160">
        <f t="shared" si="232"/>
        <v>0</v>
      </c>
      <c r="AO185" s="160">
        <f t="shared" si="232"/>
        <v>0</v>
      </c>
      <c r="AP185" s="160">
        <f t="shared" si="232"/>
        <v>0</v>
      </c>
      <c r="AQ185" s="160">
        <f t="shared" si="232"/>
        <v>0</v>
      </c>
      <c r="AR185" s="160">
        <f t="shared" si="232"/>
        <v>0</v>
      </c>
      <c r="AS185" s="160">
        <f t="shared" si="232"/>
        <v>0</v>
      </c>
      <c r="AT185" s="160">
        <f t="shared" si="232"/>
        <v>0</v>
      </c>
      <c r="AU185" s="160">
        <f t="shared" si="232"/>
        <v>0</v>
      </c>
      <c r="AV185" s="160">
        <f t="shared" si="232"/>
        <v>0</v>
      </c>
      <c r="AW185" s="160">
        <f ca="1" t="shared" si="232"/>
        <v>0</v>
      </c>
      <c r="BB185" s="161"/>
    </row>
    <row r="186" s="21" customFormat="1" ht="18" customHeight="1" spans="1:54">
      <c r="A186" s="125"/>
      <c r="B186" s="185"/>
      <c r="C186" s="127"/>
      <c r="D186" s="128" t="str">
        <f>D184</f>
        <v>ELE</v>
      </c>
      <c r="E186" s="171" t="str">
        <f>E184</f>
        <v>RFQ-054</v>
      </c>
      <c r="F186" s="172" t="str">
        <f>F184</f>
        <v>N</v>
      </c>
      <c r="G186" s="131"/>
      <c r="H186" s="130" t="str">
        <f>H184</f>
        <v>CABLE GLAND</v>
      </c>
      <c r="I186" s="171" t="str">
        <f>I184</f>
        <v>LD</v>
      </c>
      <c r="J186" s="172"/>
      <c r="K186" s="173"/>
      <c r="L186" s="173"/>
      <c r="M186" s="173">
        <v>0.001</v>
      </c>
      <c r="N186" s="171"/>
      <c r="O186" s="171"/>
      <c r="P186" s="171"/>
      <c r="Q186" s="174" t="s">
        <v>4908</v>
      </c>
      <c r="R186" s="174"/>
      <c r="S186" s="175"/>
      <c r="T186" s="175"/>
      <c r="U186" s="175"/>
      <c r="V186" s="175"/>
      <c r="W186" s="175"/>
      <c r="X186" s="175"/>
      <c r="Y186" s="175"/>
      <c r="Z186" s="175"/>
      <c r="AA186" s="175"/>
      <c r="AB186" s="175"/>
      <c r="AC186" s="134"/>
      <c r="AD186" s="135"/>
      <c r="AE186" s="186"/>
      <c r="AF186" s="136"/>
      <c r="AG186" s="137"/>
      <c r="AH186" s="138"/>
      <c r="AI186" s="139"/>
      <c r="AJ186" s="135"/>
      <c r="AK186" s="176"/>
      <c r="AL186" s="177"/>
      <c r="AM186" s="178">
        <f t="shared" ref="AM186:AW186" si="233">IF(ISERROR(LOOKUP(AM$6,$S186:$AB186,$S$9:$AB$9)),0,(LOOKUP(AM$6,$S186:$AB186,$S$9:$AB$9)))</f>
        <v>0</v>
      </c>
      <c r="AN186" s="179">
        <f t="shared" si="233"/>
        <v>0</v>
      </c>
      <c r="AO186" s="179">
        <f t="shared" si="233"/>
        <v>0</v>
      </c>
      <c r="AP186" s="179">
        <f t="shared" si="233"/>
        <v>0</v>
      </c>
      <c r="AQ186" s="179">
        <f t="shared" si="233"/>
        <v>0</v>
      </c>
      <c r="AR186" s="179">
        <f t="shared" si="233"/>
        <v>0</v>
      </c>
      <c r="AS186" s="179">
        <f t="shared" si="233"/>
        <v>0</v>
      </c>
      <c r="AT186" s="179">
        <f t="shared" si="233"/>
        <v>0</v>
      </c>
      <c r="AU186" s="179">
        <f t="shared" si="233"/>
        <v>0</v>
      </c>
      <c r="AV186" s="179">
        <f t="shared" si="233"/>
        <v>0</v>
      </c>
      <c r="AW186" s="179">
        <f ca="1" t="shared" si="233"/>
        <v>0</v>
      </c>
      <c r="BB186" s="161"/>
    </row>
    <row r="187" s="21" customFormat="1" ht="18" customHeight="1" spans="1:54">
      <c r="A187" s="81">
        <f>A184+1</f>
        <v>60</v>
      </c>
      <c r="B187" s="180" t="s">
        <v>4967</v>
      </c>
      <c r="C187" s="83" t="s">
        <v>4902</v>
      </c>
      <c r="D187" s="84" t="s">
        <v>4929</v>
      </c>
      <c r="E187" s="153" t="s">
        <v>4964</v>
      </c>
      <c r="F187" s="154" t="s">
        <v>72</v>
      </c>
      <c r="G187" s="87"/>
      <c r="H187" s="86" t="s">
        <v>4970</v>
      </c>
      <c r="I187" s="153" t="s">
        <v>9</v>
      </c>
      <c r="J187" s="154"/>
      <c r="K187" s="155">
        <f>M189</f>
        <v>0.001</v>
      </c>
      <c r="L187" s="155"/>
      <c r="M187" s="155"/>
      <c r="N187" s="153"/>
      <c r="O187" s="153"/>
      <c r="P187" s="153"/>
      <c r="Q187" s="156" t="s">
        <v>4905</v>
      </c>
      <c r="R187" s="156"/>
      <c r="S187" s="181" t="e">
        <f>WORKDAY(T187,-INDEX(T$2:T$5,MATCH($I187,$I$2:$I$5,0)),'[36]Equipment List and MR List (3)'!$A$2:$A$80)</f>
        <v>#REF!</v>
      </c>
      <c r="T187" s="181" t="e">
        <f>WORKDAY(U187,-INDEX(U$2:U$5,MATCH($I187,$I$2:$I$5,0)),$BB$10:$BB$141)</f>
        <v>#REF!</v>
      </c>
      <c r="U187" s="181" t="e">
        <f>WORKDAY(V187,-INDEX(V$2:V$5,MATCH($I187,$I$2:$I$5,0)),$BB$10:$BB$141)</f>
        <v>#REF!</v>
      </c>
      <c r="V187" s="181" t="e">
        <f>WORKDAY(W187,-INDEX(W$2:W$5,MATCH($I187,$I$2:$I$5,0)),$BB$10:$BB$141)</f>
        <v>#REF!</v>
      </c>
      <c r="W187" s="181" t="e">
        <f>WORKDAY(#REF!,-INDEX(#REF!,MATCH($I187,$I$2:$I$5,0)),$BB$10:$BB$141)</f>
        <v>#REF!</v>
      </c>
      <c r="X187" s="181" t="e">
        <f>WORKDAY(Y187,-INDEX(Y$2:Y$5,MATCH($I187,$I$2:$I$5,0)),$BB$10:$BB$141)</f>
        <v>#REF!</v>
      </c>
      <c r="Y187" s="181" t="e">
        <f>WORKDAY(Z187,-INDEX(Z$2:Z$5,MATCH($I187,$I$2:$I$5,0)),$BB$10:$BB$141)</f>
        <v>#REF!</v>
      </c>
      <c r="Z187" s="181" t="e">
        <f>WORKDAY(AA187,-INDEX(AA$2:AA$5,MATCH($I187,$I$2:$I$5,0)),$BB$10:$BB$141)</f>
        <v>#REF!</v>
      </c>
      <c r="AA187" s="181" t="e">
        <f>WORKDAY(#REF!,-INDEX(#REF!,MATCH($I187,$I$2:$I$5,0)),$BB$10:$BB$141)</f>
        <v>#REF!</v>
      </c>
      <c r="AB187" s="181">
        <f>WORKDAY(AG187,0,'[36]Equipment List and MR List (3)'!$A$2:$A$80)</f>
        <v>0</v>
      </c>
      <c r="AC187" s="92" t="s">
        <v>4906</v>
      </c>
      <c r="AD187" s="93">
        <v>7</v>
      </c>
      <c r="AE187" s="182">
        <v>175</v>
      </c>
      <c r="AF187" s="95" t="e">
        <f>AB188</f>
        <v>#REF!</v>
      </c>
      <c r="AG187" s="96"/>
      <c r="AH187" s="97"/>
      <c r="AI187" s="98"/>
      <c r="AJ187" s="93" t="e">
        <f>AG187-AF187</f>
        <v>#REF!</v>
      </c>
      <c r="AK187" s="157"/>
      <c r="AL187" s="158"/>
      <c r="AM187" s="159">
        <f t="shared" ref="AM187:AW187" si="234">IF(ISERROR(LOOKUP(AM$6,$S187:$AB187,$S$9:$AB$9)),0,(LOOKUP(AM$6,$S187:$AB187,$S$9:$AB$9)))</f>
        <v>0.95</v>
      </c>
      <c r="AN187" s="160">
        <f t="shared" si="234"/>
        <v>0.95</v>
      </c>
      <c r="AO187" s="160">
        <f t="shared" si="234"/>
        <v>0.95</v>
      </c>
      <c r="AP187" s="160">
        <f t="shared" si="234"/>
        <v>0.95</v>
      </c>
      <c r="AQ187" s="160">
        <f t="shared" si="234"/>
        <v>0.95</v>
      </c>
      <c r="AR187" s="160">
        <f t="shared" si="234"/>
        <v>0.95</v>
      </c>
      <c r="AS187" s="160">
        <f t="shared" si="234"/>
        <v>0.95</v>
      </c>
      <c r="AT187" s="160">
        <f t="shared" si="234"/>
        <v>0.95</v>
      </c>
      <c r="AU187" s="160">
        <f t="shared" si="234"/>
        <v>0.95</v>
      </c>
      <c r="AV187" s="160">
        <f t="shared" si="234"/>
        <v>0.95</v>
      </c>
      <c r="AW187" s="160">
        <f ca="1" t="shared" si="234"/>
        <v>0.95</v>
      </c>
      <c r="BB187" s="161"/>
    </row>
    <row r="188" s="21" customFormat="1" ht="18" customHeight="1" spans="1:54">
      <c r="A188" s="104"/>
      <c r="B188" s="183"/>
      <c r="C188" s="106"/>
      <c r="D188" s="107" t="str">
        <f>D187</f>
        <v>ELE</v>
      </c>
      <c r="E188" s="162" t="str">
        <f>E187</f>
        <v>RFQ-054</v>
      </c>
      <c r="F188" s="163" t="str">
        <f>F187</f>
        <v>N</v>
      </c>
      <c r="G188" s="110"/>
      <c r="H188" s="109" t="str">
        <f>H187</f>
        <v>ELECTRICAL CABLE LADDER / TRAY</v>
      </c>
      <c r="I188" s="162" t="str">
        <f>I187</f>
        <v>LD</v>
      </c>
      <c r="J188" s="163"/>
      <c r="K188" s="164"/>
      <c r="L188" s="164">
        <f>M189</f>
        <v>0.001</v>
      </c>
      <c r="M188" s="164"/>
      <c r="N188" s="162"/>
      <c r="O188" s="162"/>
      <c r="P188" s="162"/>
      <c r="Q188" s="165" t="s">
        <v>4907</v>
      </c>
      <c r="R188" s="165"/>
      <c r="S188" s="166" t="e">
        <f>S187</f>
        <v>#REF!</v>
      </c>
      <c r="T188" s="167" t="e">
        <f>T187</f>
        <v>#REF!</v>
      </c>
      <c r="U188" s="167" t="e">
        <f>WORKDAY(IF(T189="",T188,T189),INDEX(U$2:U$5,MATCH($I187,$I$2:$I$5,0)),$BB$10:$BB$141)</f>
        <v>#REF!</v>
      </c>
      <c r="V188" s="167" t="e">
        <f>WORKDAY(IF(U189="",U188,U189),INDEX(V$2:V$5,MATCH($I187,$I$2:$I$5,0)),$BB$10:$BB$141)</f>
        <v>#REF!</v>
      </c>
      <c r="W188" s="167" t="e">
        <f>WORKDAY(IF(V189="",V188,V189),INDEX(W$2:W$5,MATCH($I187,$I$2:$I$5,0)),$BB$10:$BB$141)</f>
        <v>#REF!</v>
      </c>
      <c r="X188" s="167" t="e">
        <f>WORKDAY(IF(#REF!="",#REF!,#REF!),INDEX(X$2:X$5,MATCH($I187,$I$2:$I$5,0)),$BB$10:$BB$141)</f>
        <v>#REF!</v>
      </c>
      <c r="Y188" s="167" t="e">
        <f>WORKDAY(IF(X189="",X188,X189),INDEX(Y$2:Y$5,MATCH($I187,$I$2:$I$5,0)),$BB$10:$BB$141)</f>
        <v>#REF!</v>
      </c>
      <c r="Z188" s="167" t="e">
        <f>WORKDAY(IF(Y189="",Y188,Y189),INDEX(Z$2:Z$5,MATCH($I187,$I$2:$I$5,0)),$BB$10:$BB$141)</f>
        <v>#REF!</v>
      </c>
      <c r="AA188" s="167" t="e">
        <f>WORKDAY(IF(Z189="",Z188,Z189),INDEX(AA$2:AA$5,MATCH($I187,$I$2:$I$5,0)),$BB$10:$BB$141)</f>
        <v>#REF!</v>
      </c>
      <c r="AB188" s="168" t="e">
        <f>AE187+#REF!</f>
        <v>#REF!</v>
      </c>
      <c r="AC188" s="117"/>
      <c r="AD188" s="118"/>
      <c r="AE188" s="184"/>
      <c r="AF188" s="119"/>
      <c r="AG188" s="120"/>
      <c r="AH188" s="121"/>
      <c r="AI188" s="122"/>
      <c r="AJ188" s="118"/>
      <c r="AK188" s="169"/>
      <c r="AL188" s="170"/>
      <c r="AM188" s="159">
        <f t="shared" ref="AM188:AW188" si="235">IF(ISERROR(LOOKUP(AM$6,$S188:$AB188,$S$9:$AB$9)),0,(LOOKUP(AM$6,$S188:$AB188,$S$9:$AB$9)))</f>
        <v>0</v>
      </c>
      <c r="AN188" s="160">
        <f t="shared" si="235"/>
        <v>0</v>
      </c>
      <c r="AO188" s="160">
        <f t="shared" si="235"/>
        <v>0</v>
      </c>
      <c r="AP188" s="160">
        <f t="shared" si="235"/>
        <v>0</v>
      </c>
      <c r="AQ188" s="160">
        <f t="shared" si="235"/>
        <v>0</v>
      </c>
      <c r="AR188" s="160">
        <f t="shared" si="235"/>
        <v>0</v>
      </c>
      <c r="AS188" s="160">
        <f t="shared" si="235"/>
        <v>0</v>
      </c>
      <c r="AT188" s="160">
        <f t="shared" si="235"/>
        <v>0</v>
      </c>
      <c r="AU188" s="160">
        <f t="shared" si="235"/>
        <v>0</v>
      </c>
      <c r="AV188" s="160">
        <f t="shared" si="235"/>
        <v>0</v>
      </c>
      <c r="AW188" s="160">
        <f ca="1" t="shared" si="235"/>
        <v>0</v>
      </c>
      <c r="BB188" s="161"/>
    </row>
    <row r="189" s="21" customFormat="1" ht="18" customHeight="1" spans="1:54">
      <c r="A189" s="125"/>
      <c r="B189" s="185"/>
      <c r="C189" s="127"/>
      <c r="D189" s="128" t="str">
        <f>D187</f>
        <v>ELE</v>
      </c>
      <c r="E189" s="171" t="str">
        <f>E187</f>
        <v>RFQ-054</v>
      </c>
      <c r="F189" s="172" t="str">
        <f>F187</f>
        <v>N</v>
      </c>
      <c r="G189" s="131"/>
      <c r="H189" s="130" t="str">
        <f>H187</f>
        <v>ELECTRICAL CABLE LADDER / TRAY</v>
      </c>
      <c r="I189" s="171" t="str">
        <f>I187</f>
        <v>LD</v>
      </c>
      <c r="J189" s="172"/>
      <c r="K189" s="173"/>
      <c r="L189" s="173"/>
      <c r="M189" s="173">
        <v>0.001</v>
      </c>
      <c r="N189" s="171"/>
      <c r="O189" s="171"/>
      <c r="P189" s="171"/>
      <c r="Q189" s="174" t="s">
        <v>4908</v>
      </c>
      <c r="R189" s="174"/>
      <c r="S189" s="175"/>
      <c r="T189" s="175"/>
      <c r="U189" s="175"/>
      <c r="V189" s="175"/>
      <c r="W189" s="175"/>
      <c r="X189" s="175"/>
      <c r="Y189" s="175"/>
      <c r="Z189" s="175"/>
      <c r="AA189" s="175"/>
      <c r="AB189" s="175"/>
      <c r="AC189" s="134"/>
      <c r="AD189" s="135"/>
      <c r="AE189" s="186"/>
      <c r="AF189" s="136"/>
      <c r="AG189" s="137"/>
      <c r="AH189" s="138"/>
      <c r="AI189" s="139"/>
      <c r="AJ189" s="135"/>
      <c r="AK189" s="176"/>
      <c r="AL189" s="177"/>
      <c r="AM189" s="178">
        <f t="shared" ref="AM189:AW189" si="236">IF(ISERROR(LOOKUP(AM$6,$S189:$AB189,$S$9:$AB$9)),0,(LOOKUP(AM$6,$S189:$AB189,$S$9:$AB$9)))</f>
        <v>0</v>
      </c>
      <c r="AN189" s="179">
        <f t="shared" si="236"/>
        <v>0</v>
      </c>
      <c r="AO189" s="179">
        <f t="shared" si="236"/>
        <v>0</v>
      </c>
      <c r="AP189" s="179">
        <f t="shared" si="236"/>
        <v>0</v>
      </c>
      <c r="AQ189" s="179">
        <f t="shared" si="236"/>
        <v>0</v>
      </c>
      <c r="AR189" s="179">
        <f t="shared" si="236"/>
        <v>0</v>
      </c>
      <c r="AS189" s="179">
        <f t="shared" si="236"/>
        <v>0</v>
      </c>
      <c r="AT189" s="179">
        <f t="shared" si="236"/>
        <v>0</v>
      </c>
      <c r="AU189" s="179">
        <f t="shared" si="236"/>
        <v>0</v>
      </c>
      <c r="AV189" s="179">
        <f t="shared" si="236"/>
        <v>0</v>
      </c>
      <c r="AW189" s="179">
        <f ca="1" t="shared" si="236"/>
        <v>0</v>
      </c>
      <c r="BB189" s="161"/>
    </row>
    <row r="190" s="21" customFormat="1" ht="18" customHeight="1" spans="1:54">
      <c r="A190" s="81">
        <f>A187+1</f>
        <v>61</v>
      </c>
      <c r="B190" s="180" t="s">
        <v>4967</v>
      </c>
      <c r="C190" s="83" t="s">
        <v>4902</v>
      </c>
      <c r="D190" s="84" t="s">
        <v>4929</v>
      </c>
      <c r="E190" s="153" t="s">
        <v>4964</v>
      </c>
      <c r="F190" s="154" t="s">
        <v>72</v>
      </c>
      <c r="G190" s="87"/>
      <c r="H190" s="86" t="s">
        <v>4971</v>
      </c>
      <c r="I190" s="153" t="s">
        <v>9</v>
      </c>
      <c r="J190" s="154"/>
      <c r="K190" s="155">
        <f>M192</f>
        <v>0.001</v>
      </c>
      <c r="L190" s="155"/>
      <c r="M190" s="155"/>
      <c r="N190" s="153"/>
      <c r="O190" s="153"/>
      <c r="P190" s="153"/>
      <c r="Q190" s="156" t="s">
        <v>4905</v>
      </c>
      <c r="R190" s="156"/>
      <c r="S190" s="181" t="e">
        <f>WORKDAY(T190,-INDEX(T$2:T$5,MATCH($I190,$I$2:$I$5,0)),'[36]Equipment List and MR List (3)'!$A$2:$A$80)</f>
        <v>#REF!</v>
      </c>
      <c r="T190" s="181" t="e">
        <f>WORKDAY(U190,-INDEX(U$2:U$5,MATCH($I190,$I$2:$I$5,0)),$BB$10:$BB$141)</f>
        <v>#REF!</v>
      </c>
      <c r="U190" s="181" t="e">
        <f>WORKDAY(V190,-INDEX(V$2:V$5,MATCH($I190,$I$2:$I$5,0)),$BB$10:$BB$141)</f>
        <v>#REF!</v>
      </c>
      <c r="V190" s="181" t="e">
        <f>WORKDAY(W190,-INDEX(W$2:W$5,MATCH($I190,$I$2:$I$5,0)),$BB$10:$BB$141)</f>
        <v>#REF!</v>
      </c>
      <c r="W190" s="181" t="e">
        <f>WORKDAY(#REF!,-INDEX(#REF!,MATCH($I190,$I$2:$I$5,0)),$BB$10:$BB$141)</f>
        <v>#REF!</v>
      </c>
      <c r="X190" s="181" t="e">
        <f>WORKDAY(Y190,-INDEX(Y$2:Y$5,MATCH($I190,$I$2:$I$5,0)),$BB$10:$BB$141)</f>
        <v>#REF!</v>
      </c>
      <c r="Y190" s="181" t="e">
        <f>WORKDAY(Z190,-INDEX(Z$2:Z$5,MATCH($I190,$I$2:$I$5,0)),$BB$10:$BB$141)</f>
        <v>#REF!</v>
      </c>
      <c r="Z190" s="181" t="e">
        <f>WORKDAY(AA190,-INDEX(AA$2:AA$5,MATCH($I190,$I$2:$I$5,0)),$BB$10:$BB$141)</f>
        <v>#REF!</v>
      </c>
      <c r="AA190" s="181" t="e">
        <f>WORKDAY(#REF!,-INDEX(#REF!,MATCH($I190,$I$2:$I$5,0)),$BB$10:$BB$141)</f>
        <v>#REF!</v>
      </c>
      <c r="AB190" s="181">
        <f>WORKDAY(AG190,0,'[36]Equipment List and MR List (3)'!$A$2:$A$80)</f>
        <v>0</v>
      </c>
      <c r="AC190" s="92" t="s">
        <v>4906</v>
      </c>
      <c r="AD190" s="93">
        <v>7</v>
      </c>
      <c r="AE190" s="182"/>
      <c r="AF190" s="95" t="e">
        <f>AB191</f>
        <v>#REF!</v>
      </c>
      <c r="AG190" s="96"/>
      <c r="AH190" s="97"/>
      <c r="AI190" s="98"/>
      <c r="AJ190" s="93" t="e">
        <f>AG190-AF190</f>
        <v>#REF!</v>
      </c>
      <c r="AK190" s="157"/>
      <c r="AL190" s="158"/>
      <c r="AM190" s="159">
        <f t="shared" ref="AM190:AW190" si="237">IF(ISERROR(LOOKUP(AM$6,$S190:$AB190,$S$9:$AB$9)),0,(LOOKUP(AM$6,$S190:$AB190,$S$9:$AB$9)))</f>
        <v>0.95</v>
      </c>
      <c r="AN190" s="160">
        <f t="shared" si="237"/>
        <v>0.95</v>
      </c>
      <c r="AO190" s="160">
        <f t="shared" si="237"/>
        <v>0.95</v>
      </c>
      <c r="AP190" s="160">
        <f t="shared" si="237"/>
        <v>0.95</v>
      </c>
      <c r="AQ190" s="160">
        <f t="shared" si="237"/>
        <v>0.95</v>
      </c>
      <c r="AR190" s="160">
        <f t="shared" si="237"/>
        <v>0.95</v>
      </c>
      <c r="AS190" s="160">
        <f t="shared" si="237"/>
        <v>0.95</v>
      </c>
      <c r="AT190" s="160">
        <f t="shared" si="237"/>
        <v>0.95</v>
      </c>
      <c r="AU190" s="160">
        <f t="shared" si="237"/>
        <v>0.95</v>
      </c>
      <c r="AV190" s="160">
        <f t="shared" si="237"/>
        <v>0.95</v>
      </c>
      <c r="AW190" s="160">
        <f ca="1" t="shared" si="237"/>
        <v>0.95</v>
      </c>
      <c r="BB190" s="161"/>
    </row>
    <row r="191" s="21" customFormat="1" ht="18" customHeight="1" spans="1:54">
      <c r="A191" s="104"/>
      <c r="B191" s="183"/>
      <c r="C191" s="106"/>
      <c r="D191" s="107" t="str">
        <f>D190</f>
        <v>ELE</v>
      </c>
      <c r="E191" s="162" t="str">
        <f>E190</f>
        <v>RFQ-054</v>
      </c>
      <c r="F191" s="163" t="str">
        <f>F190</f>
        <v>N</v>
      </c>
      <c r="G191" s="110"/>
      <c r="H191" s="109" t="str">
        <f>H190</f>
        <v>EARTHING SYSTEM</v>
      </c>
      <c r="I191" s="162" t="str">
        <f>I190</f>
        <v>LD</v>
      </c>
      <c r="J191" s="163"/>
      <c r="K191" s="164"/>
      <c r="L191" s="164">
        <f>M192</f>
        <v>0.001</v>
      </c>
      <c r="M191" s="164"/>
      <c r="N191" s="162"/>
      <c r="O191" s="162"/>
      <c r="P191" s="162"/>
      <c r="Q191" s="165" t="s">
        <v>4907</v>
      </c>
      <c r="R191" s="165"/>
      <c r="S191" s="166" t="e">
        <f>S190</f>
        <v>#REF!</v>
      </c>
      <c r="T191" s="167" t="e">
        <f>T190</f>
        <v>#REF!</v>
      </c>
      <c r="U191" s="167" t="e">
        <f>WORKDAY(IF(T192="",T191,T192),INDEX(U$2:U$5,MATCH($I190,$I$2:$I$5,0)),$BB$10:$BB$141)</f>
        <v>#REF!</v>
      </c>
      <c r="V191" s="167" t="e">
        <f>WORKDAY(IF(U192="",U191,U192),INDEX(V$2:V$5,MATCH($I190,$I$2:$I$5,0)),$BB$10:$BB$141)</f>
        <v>#REF!</v>
      </c>
      <c r="W191" s="167" t="e">
        <f>WORKDAY(IF(V192="",V191,V192),INDEX(W$2:W$5,MATCH($I190,$I$2:$I$5,0)),$BB$10:$BB$141)</f>
        <v>#REF!</v>
      </c>
      <c r="X191" s="167" t="e">
        <f>WORKDAY(IF(#REF!="",#REF!,#REF!),INDEX(X$2:X$5,MATCH($I190,$I$2:$I$5,0)),$BB$10:$BB$141)</f>
        <v>#REF!</v>
      </c>
      <c r="Y191" s="167" t="e">
        <f>WORKDAY(IF(X192="",X191,X192),INDEX(Y$2:Y$5,MATCH($I190,$I$2:$I$5,0)),$BB$10:$BB$141)</f>
        <v>#REF!</v>
      </c>
      <c r="Z191" s="167" t="e">
        <f>WORKDAY(IF(Y192="",Y191,Y192),INDEX(Z$2:Z$5,MATCH($I190,$I$2:$I$5,0)),$BB$10:$BB$141)</f>
        <v>#REF!</v>
      </c>
      <c r="AA191" s="167" t="e">
        <f>WORKDAY(IF(Z192="",Z191,Z192),INDEX(AA$2:AA$5,MATCH($I190,$I$2:$I$5,0)),$BB$10:$BB$141)</f>
        <v>#REF!</v>
      </c>
      <c r="AB191" s="168" t="e">
        <f>AE190+#REF!</f>
        <v>#REF!</v>
      </c>
      <c r="AC191" s="117"/>
      <c r="AD191" s="118"/>
      <c r="AE191" s="184"/>
      <c r="AF191" s="119"/>
      <c r="AG191" s="120"/>
      <c r="AH191" s="121"/>
      <c r="AI191" s="122"/>
      <c r="AJ191" s="118"/>
      <c r="AK191" s="169"/>
      <c r="AL191" s="170"/>
      <c r="AM191" s="159">
        <f t="shared" ref="AM191:AW191" si="238">IF(ISERROR(LOOKUP(AM$6,$S191:$AB191,$S$9:$AB$9)),0,(LOOKUP(AM$6,$S191:$AB191,$S$9:$AB$9)))</f>
        <v>0</v>
      </c>
      <c r="AN191" s="160">
        <f t="shared" si="238"/>
        <v>0</v>
      </c>
      <c r="AO191" s="160">
        <f t="shared" si="238"/>
        <v>0</v>
      </c>
      <c r="AP191" s="160">
        <f t="shared" si="238"/>
        <v>0</v>
      </c>
      <c r="AQ191" s="160">
        <f t="shared" si="238"/>
        <v>0</v>
      </c>
      <c r="AR191" s="160">
        <f t="shared" si="238"/>
        <v>0</v>
      </c>
      <c r="AS191" s="160">
        <f t="shared" si="238"/>
        <v>0</v>
      </c>
      <c r="AT191" s="160">
        <f t="shared" si="238"/>
        <v>0</v>
      </c>
      <c r="AU191" s="160">
        <f t="shared" si="238"/>
        <v>0</v>
      </c>
      <c r="AV191" s="160">
        <f t="shared" si="238"/>
        <v>0</v>
      </c>
      <c r="AW191" s="160">
        <f ca="1" t="shared" si="238"/>
        <v>0</v>
      </c>
      <c r="BB191" s="161"/>
    </row>
    <row r="192" s="21" customFormat="1" ht="18" customHeight="1" spans="1:54">
      <c r="A192" s="125"/>
      <c r="B192" s="185"/>
      <c r="C192" s="127"/>
      <c r="D192" s="128" t="str">
        <f>D190</f>
        <v>ELE</v>
      </c>
      <c r="E192" s="171" t="str">
        <f>E190</f>
        <v>RFQ-054</v>
      </c>
      <c r="F192" s="172" t="str">
        <f>F190</f>
        <v>N</v>
      </c>
      <c r="G192" s="131"/>
      <c r="H192" s="130" t="str">
        <f>H190</f>
        <v>EARTHING SYSTEM</v>
      </c>
      <c r="I192" s="171" t="str">
        <f>I190</f>
        <v>LD</v>
      </c>
      <c r="J192" s="172"/>
      <c r="K192" s="173"/>
      <c r="L192" s="173"/>
      <c r="M192" s="173">
        <v>0.001</v>
      </c>
      <c r="N192" s="171"/>
      <c r="O192" s="171"/>
      <c r="P192" s="171"/>
      <c r="Q192" s="174" t="s">
        <v>4908</v>
      </c>
      <c r="R192" s="174"/>
      <c r="S192" s="175"/>
      <c r="T192" s="175"/>
      <c r="U192" s="175"/>
      <c r="V192" s="175"/>
      <c r="W192" s="175"/>
      <c r="X192" s="175"/>
      <c r="Y192" s="175"/>
      <c r="Z192" s="175"/>
      <c r="AA192" s="175"/>
      <c r="AB192" s="175"/>
      <c r="AC192" s="134"/>
      <c r="AD192" s="135"/>
      <c r="AE192" s="186"/>
      <c r="AF192" s="136"/>
      <c r="AG192" s="137"/>
      <c r="AH192" s="138"/>
      <c r="AI192" s="139"/>
      <c r="AJ192" s="135"/>
      <c r="AK192" s="176"/>
      <c r="AL192" s="177"/>
      <c r="AM192" s="178">
        <f t="shared" ref="AM192:AW192" si="239">IF(ISERROR(LOOKUP(AM$6,$S192:$AB192,$S$9:$AB$9)),0,(LOOKUP(AM$6,$S192:$AB192,$S$9:$AB$9)))</f>
        <v>0</v>
      </c>
      <c r="AN192" s="179">
        <f t="shared" si="239"/>
        <v>0</v>
      </c>
      <c r="AO192" s="179">
        <f t="shared" si="239"/>
        <v>0</v>
      </c>
      <c r="AP192" s="179">
        <f t="shared" si="239"/>
        <v>0</v>
      </c>
      <c r="AQ192" s="179">
        <f t="shared" si="239"/>
        <v>0</v>
      </c>
      <c r="AR192" s="179">
        <f t="shared" si="239"/>
        <v>0</v>
      </c>
      <c r="AS192" s="179">
        <f t="shared" si="239"/>
        <v>0</v>
      </c>
      <c r="AT192" s="179">
        <f t="shared" si="239"/>
        <v>0</v>
      </c>
      <c r="AU192" s="179">
        <f t="shared" si="239"/>
        <v>0</v>
      </c>
      <c r="AV192" s="179">
        <f t="shared" si="239"/>
        <v>0</v>
      </c>
      <c r="AW192" s="179">
        <f ca="1" t="shared" si="239"/>
        <v>0</v>
      </c>
      <c r="BB192" s="161"/>
    </row>
    <row r="193" s="21" customFormat="1" ht="18" customHeight="1" spans="1:54">
      <c r="A193" s="81">
        <f>A190+1</f>
        <v>62</v>
      </c>
      <c r="B193" s="180" t="s">
        <v>4967</v>
      </c>
      <c r="C193" s="83" t="s">
        <v>4902</v>
      </c>
      <c r="D193" s="84" t="s">
        <v>4929</v>
      </c>
      <c r="E193" s="153" t="s">
        <v>4964</v>
      </c>
      <c r="F193" s="154" t="s">
        <v>72</v>
      </c>
      <c r="G193" s="87"/>
      <c r="H193" s="86" t="s">
        <v>4972</v>
      </c>
      <c r="I193" s="153" t="s">
        <v>9</v>
      </c>
      <c r="J193" s="154"/>
      <c r="K193" s="155">
        <f>M195</f>
        <v>0.001</v>
      </c>
      <c r="L193" s="155"/>
      <c r="M193" s="155"/>
      <c r="N193" s="153"/>
      <c r="O193" s="153"/>
      <c r="P193" s="153"/>
      <c r="Q193" s="156" t="s">
        <v>4905</v>
      </c>
      <c r="R193" s="156"/>
      <c r="S193" s="181" t="e">
        <f>WORKDAY(T193,-INDEX(T$2:T$5,MATCH($I193,$I$2:$I$5,0)),'[36]Equipment List and MR List (3)'!$A$2:$A$80)</f>
        <v>#REF!</v>
      </c>
      <c r="T193" s="181" t="e">
        <f>WORKDAY(U193,-INDEX(U$2:U$5,MATCH($I193,$I$2:$I$5,0)),$BB$10:$BB$141)</f>
        <v>#REF!</v>
      </c>
      <c r="U193" s="181" t="e">
        <f>WORKDAY(V193,-INDEX(V$2:V$5,MATCH($I193,$I$2:$I$5,0)),$BB$10:$BB$141)</f>
        <v>#REF!</v>
      </c>
      <c r="V193" s="181" t="e">
        <f>WORKDAY(W193,-INDEX(W$2:W$5,MATCH($I193,$I$2:$I$5,0)),$BB$10:$BB$141)</f>
        <v>#REF!</v>
      </c>
      <c r="W193" s="181" t="e">
        <f>WORKDAY(#REF!,-INDEX(#REF!,MATCH($I193,$I$2:$I$5,0)),$BB$10:$BB$141)</f>
        <v>#REF!</v>
      </c>
      <c r="X193" s="181" t="e">
        <f>WORKDAY(Y193,-INDEX(Y$2:Y$5,MATCH($I193,$I$2:$I$5,0)),$BB$10:$BB$141)</f>
        <v>#REF!</v>
      </c>
      <c r="Y193" s="181" t="e">
        <f>WORKDAY(Z193,-INDEX(Z$2:Z$5,MATCH($I193,$I$2:$I$5,0)),$BB$10:$BB$141)</f>
        <v>#REF!</v>
      </c>
      <c r="Z193" s="181" t="e">
        <f>WORKDAY(AA193,-INDEX(AA$2:AA$5,MATCH($I193,$I$2:$I$5,0)),$BB$10:$BB$141)</f>
        <v>#REF!</v>
      </c>
      <c r="AA193" s="181" t="e">
        <f>WORKDAY(#REF!,-INDEX(#REF!,MATCH($I193,$I$2:$I$5,0)),$BB$10:$BB$141)</f>
        <v>#REF!</v>
      </c>
      <c r="AB193" s="181">
        <f>WORKDAY(AG193,0,'[36]Equipment List and MR List (3)'!$A$2:$A$80)</f>
        <v>0</v>
      </c>
      <c r="AC193" s="92" t="s">
        <v>4906</v>
      </c>
      <c r="AD193" s="93">
        <v>7</v>
      </c>
      <c r="AE193" s="182">
        <v>123</v>
      </c>
      <c r="AF193" s="95" t="e">
        <f>AB194</f>
        <v>#REF!</v>
      </c>
      <c r="AG193" s="96"/>
      <c r="AH193" s="97"/>
      <c r="AI193" s="98"/>
      <c r="AJ193" s="93" t="e">
        <f>AG193-AF193</f>
        <v>#REF!</v>
      </c>
      <c r="AK193" s="157"/>
      <c r="AL193" s="158"/>
      <c r="AM193" s="159">
        <f t="shared" ref="AM193:AW193" si="240">IF(ISERROR(LOOKUP(AM$6,$S193:$AB193,$S$9:$AB$9)),0,(LOOKUP(AM$6,$S193:$AB193,$S$9:$AB$9)))</f>
        <v>0.95</v>
      </c>
      <c r="AN193" s="160">
        <f t="shared" si="240"/>
        <v>0.95</v>
      </c>
      <c r="AO193" s="160">
        <f t="shared" si="240"/>
        <v>0.95</v>
      </c>
      <c r="AP193" s="160">
        <f t="shared" si="240"/>
        <v>0.95</v>
      </c>
      <c r="AQ193" s="160">
        <f t="shared" si="240"/>
        <v>0.95</v>
      </c>
      <c r="AR193" s="160">
        <f t="shared" si="240"/>
        <v>0.95</v>
      </c>
      <c r="AS193" s="160">
        <f t="shared" si="240"/>
        <v>0.95</v>
      </c>
      <c r="AT193" s="160">
        <f t="shared" si="240"/>
        <v>0.95</v>
      </c>
      <c r="AU193" s="160">
        <f t="shared" si="240"/>
        <v>0.95</v>
      </c>
      <c r="AV193" s="160">
        <f t="shared" si="240"/>
        <v>0.95</v>
      </c>
      <c r="AW193" s="160">
        <f ca="1" t="shared" si="240"/>
        <v>0.95</v>
      </c>
      <c r="BB193" s="161"/>
    </row>
    <row r="194" s="21" customFormat="1" ht="18" customHeight="1" spans="1:54">
      <c r="A194" s="104"/>
      <c r="B194" s="183"/>
      <c r="C194" s="106"/>
      <c r="D194" s="107" t="str">
        <f>D193</f>
        <v>ELE</v>
      </c>
      <c r="E194" s="162" t="str">
        <f>E193</f>
        <v>RFQ-054</v>
      </c>
      <c r="F194" s="163" t="str">
        <f>F193</f>
        <v>N</v>
      </c>
      <c r="G194" s="110"/>
      <c r="H194" s="109" t="str">
        <f>H193</f>
        <v>MULTI-CABLE TRANSIT (MCT)</v>
      </c>
      <c r="I194" s="162" t="str">
        <f>I193</f>
        <v>LD</v>
      </c>
      <c r="J194" s="163"/>
      <c r="K194" s="164"/>
      <c r="L194" s="164">
        <f>M195</f>
        <v>0.001</v>
      </c>
      <c r="M194" s="164"/>
      <c r="N194" s="162"/>
      <c r="O194" s="162"/>
      <c r="P194" s="162"/>
      <c r="Q194" s="165" t="s">
        <v>4907</v>
      </c>
      <c r="R194" s="165"/>
      <c r="S194" s="166" t="e">
        <f>S193</f>
        <v>#REF!</v>
      </c>
      <c r="T194" s="167" t="e">
        <f>T193</f>
        <v>#REF!</v>
      </c>
      <c r="U194" s="167" t="e">
        <f>WORKDAY(IF(T195="",T194,T195),INDEX(U$2:U$5,MATCH($I193,$I$2:$I$5,0)),$BB$10:$BB$141)</f>
        <v>#REF!</v>
      </c>
      <c r="V194" s="167" t="e">
        <f>WORKDAY(IF(U195="",U194,U195),INDEX(V$2:V$5,MATCH($I193,$I$2:$I$5,0)),$BB$10:$BB$141)</f>
        <v>#REF!</v>
      </c>
      <c r="W194" s="167" t="e">
        <f>WORKDAY(IF(V195="",V194,V195),INDEX(W$2:W$5,MATCH($I193,$I$2:$I$5,0)),$BB$10:$BB$141)</f>
        <v>#REF!</v>
      </c>
      <c r="X194" s="167" t="e">
        <f>WORKDAY(IF(#REF!="",#REF!,#REF!),INDEX(X$2:X$5,MATCH($I193,$I$2:$I$5,0)),$BB$10:$BB$141)</f>
        <v>#REF!</v>
      </c>
      <c r="Y194" s="167" t="e">
        <f>WORKDAY(IF(X195="",X194,X195),INDEX(Y$2:Y$5,MATCH($I193,$I$2:$I$5,0)),$BB$10:$BB$141)</f>
        <v>#REF!</v>
      </c>
      <c r="Z194" s="167" t="e">
        <f>WORKDAY(IF(Y195="",Y194,Y195),INDEX(Z$2:Z$5,MATCH($I193,$I$2:$I$5,0)),$BB$10:$BB$141)</f>
        <v>#REF!</v>
      </c>
      <c r="AA194" s="167" t="e">
        <f>WORKDAY(IF(Z195="",Z194,Z195),INDEX(AA$2:AA$5,MATCH($I193,$I$2:$I$5,0)),$BB$10:$BB$141)</f>
        <v>#REF!</v>
      </c>
      <c r="AB194" s="168" t="e">
        <f>AE193+#REF!</f>
        <v>#REF!</v>
      </c>
      <c r="AC194" s="117"/>
      <c r="AD194" s="118"/>
      <c r="AE194" s="184"/>
      <c r="AF194" s="119"/>
      <c r="AG194" s="120"/>
      <c r="AH194" s="121"/>
      <c r="AI194" s="122"/>
      <c r="AJ194" s="118"/>
      <c r="AK194" s="169"/>
      <c r="AL194" s="170"/>
      <c r="AM194" s="159">
        <f t="shared" ref="AM194:AW194" si="241">IF(ISERROR(LOOKUP(AM$6,$S194:$AB194,$S$9:$AB$9)),0,(LOOKUP(AM$6,$S194:$AB194,$S$9:$AB$9)))</f>
        <v>0</v>
      </c>
      <c r="AN194" s="160">
        <f t="shared" si="241"/>
        <v>0</v>
      </c>
      <c r="AO194" s="160">
        <f t="shared" si="241"/>
        <v>0</v>
      </c>
      <c r="AP194" s="160">
        <f t="shared" si="241"/>
        <v>0</v>
      </c>
      <c r="AQ194" s="160">
        <f t="shared" si="241"/>
        <v>0</v>
      </c>
      <c r="AR194" s="160">
        <f t="shared" si="241"/>
        <v>0</v>
      </c>
      <c r="AS194" s="160">
        <f t="shared" si="241"/>
        <v>0</v>
      </c>
      <c r="AT194" s="160">
        <f t="shared" si="241"/>
        <v>0</v>
      </c>
      <c r="AU194" s="160">
        <f t="shared" si="241"/>
        <v>0</v>
      </c>
      <c r="AV194" s="160">
        <f t="shared" si="241"/>
        <v>0</v>
      </c>
      <c r="AW194" s="160">
        <f ca="1" t="shared" si="241"/>
        <v>0</v>
      </c>
      <c r="BB194" s="161"/>
    </row>
    <row r="195" s="21" customFormat="1" ht="18" customHeight="1" spans="1:54">
      <c r="A195" s="125"/>
      <c r="B195" s="185"/>
      <c r="C195" s="127"/>
      <c r="D195" s="128" t="str">
        <f>D193</f>
        <v>ELE</v>
      </c>
      <c r="E195" s="171" t="str">
        <f>E193</f>
        <v>RFQ-054</v>
      </c>
      <c r="F195" s="172" t="str">
        <f>F193</f>
        <v>N</v>
      </c>
      <c r="G195" s="131"/>
      <c r="H195" s="130" t="str">
        <f>H193</f>
        <v>MULTI-CABLE TRANSIT (MCT)</v>
      </c>
      <c r="I195" s="171" t="str">
        <f>I193</f>
        <v>LD</v>
      </c>
      <c r="J195" s="172"/>
      <c r="K195" s="173"/>
      <c r="L195" s="173"/>
      <c r="M195" s="173">
        <v>0.001</v>
      </c>
      <c r="N195" s="171"/>
      <c r="O195" s="171"/>
      <c r="P195" s="171"/>
      <c r="Q195" s="174" t="s">
        <v>4908</v>
      </c>
      <c r="R195" s="174"/>
      <c r="S195" s="175"/>
      <c r="T195" s="175"/>
      <c r="U195" s="175"/>
      <c r="V195" s="175"/>
      <c r="W195" s="175"/>
      <c r="X195" s="175"/>
      <c r="Y195" s="175"/>
      <c r="Z195" s="175"/>
      <c r="AA195" s="175"/>
      <c r="AB195" s="175"/>
      <c r="AC195" s="134"/>
      <c r="AD195" s="135"/>
      <c r="AE195" s="186"/>
      <c r="AF195" s="136"/>
      <c r="AG195" s="137"/>
      <c r="AH195" s="138"/>
      <c r="AI195" s="139"/>
      <c r="AJ195" s="135"/>
      <c r="AK195" s="176"/>
      <c r="AL195" s="177"/>
      <c r="AM195" s="178">
        <f t="shared" ref="AM195:AW195" si="242">IF(ISERROR(LOOKUP(AM$6,$S195:$AB195,$S$9:$AB$9)),0,(LOOKUP(AM$6,$S195:$AB195,$S$9:$AB$9)))</f>
        <v>0</v>
      </c>
      <c r="AN195" s="179">
        <f t="shared" si="242"/>
        <v>0</v>
      </c>
      <c r="AO195" s="179">
        <f t="shared" si="242"/>
        <v>0</v>
      </c>
      <c r="AP195" s="179">
        <f t="shared" si="242"/>
        <v>0</v>
      </c>
      <c r="AQ195" s="179">
        <f t="shared" si="242"/>
        <v>0</v>
      </c>
      <c r="AR195" s="179">
        <f t="shared" si="242"/>
        <v>0</v>
      </c>
      <c r="AS195" s="179">
        <f t="shared" si="242"/>
        <v>0</v>
      </c>
      <c r="AT195" s="179">
        <f t="shared" si="242"/>
        <v>0</v>
      </c>
      <c r="AU195" s="179">
        <f t="shared" si="242"/>
        <v>0</v>
      </c>
      <c r="AV195" s="179">
        <f t="shared" si="242"/>
        <v>0</v>
      </c>
      <c r="AW195" s="179">
        <f ca="1" t="shared" si="242"/>
        <v>0</v>
      </c>
      <c r="BB195" s="161"/>
    </row>
    <row r="196" s="21" customFormat="1" ht="18" customHeight="1" spans="1:54">
      <c r="A196" s="81">
        <f>A193+1</f>
        <v>63</v>
      </c>
      <c r="B196" s="180" t="s">
        <v>4967</v>
      </c>
      <c r="C196" s="83" t="s">
        <v>4902</v>
      </c>
      <c r="D196" s="84" t="s">
        <v>4929</v>
      </c>
      <c r="E196" s="153" t="s">
        <v>4964</v>
      </c>
      <c r="F196" s="154" t="s">
        <v>72</v>
      </c>
      <c r="G196" s="87"/>
      <c r="H196" s="86" t="s">
        <v>4973</v>
      </c>
      <c r="I196" s="153" t="s">
        <v>9</v>
      </c>
      <c r="J196" s="154"/>
      <c r="K196" s="155">
        <f>M198</f>
        <v>0.001</v>
      </c>
      <c r="L196" s="155"/>
      <c r="M196" s="155"/>
      <c r="N196" s="153"/>
      <c r="O196" s="153"/>
      <c r="P196" s="153"/>
      <c r="Q196" s="156" t="s">
        <v>4905</v>
      </c>
      <c r="R196" s="156"/>
      <c r="S196" s="181" t="e">
        <f>WORKDAY(T196,-INDEX(T$2:T$5,MATCH($I196,$I$2:$I$5,0)),'[36]Equipment List and MR List (3)'!$A$2:$A$80)</f>
        <v>#REF!</v>
      </c>
      <c r="T196" s="181" t="e">
        <f>WORKDAY(U196,-INDEX(U$2:U$5,MATCH($I196,$I$2:$I$5,0)),$BB$10:$BB$141)</f>
        <v>#REF!</v>
      </c>
      <c r="U196" s="181" t="e">
        <f>WORKDAY(V196,-INDEX(V$2:V$5,MATCH($I196,$I$2:$I$5,0)),$BB$10:$BB$141)</f>
        <v>#REF!</v>
      </c>
      <c r="V196" s="181" t="e">
        <f>WORKDAY(W196,-INDEX(W$2:W$5,MATCH($I196,$I$2:$I$5,0)),$BB$10:$BB$141)</f>
        <v>#REF!</v>
      </c>
      <c r="W196" s="181" t="e">
        <f>WORKDAY(#REF!,-INDEX(#REF!,MATCH($I196,$I$2:$I$5,0)),$BB$10:$BB$141)</f>
        <v>#REF!</v>
      </c>
      <c r="X196" s="181" t="e">
        <f>WORKDAY(Y196,-INDEX(Y$2:Y$5,MATCH($I196,$I$2:$I$5,0)),$BB$10:$BB$141)</f>
        <v>#REF!</v>
      </c>
      <c r="Y196" s="181" t="e">
        <f>WORKDAY(Z196,-INDEX(Z$2:Z$5,MATCH($I196,$I$2:$I$5,0)),$BB$10:$BB$141)</f>
        <v>#REF!</v>
      </c>
      <c r="Z196" s="181" t="e">
        <f>WORKDAY(AA196,-INDEX(AA$2:AA$5,MATCH($I196,$I$2:$I$5,0)),$BB$10:$BB$141)</f>
        <v>#REF!</v>
      </c>
      <c r="AA196" s="181" t="e">
        <f>WORKDAY(#REF!,-INDEX(#REF!,MATCH($I196,$I$2:$I$5,0)),$BB$10:$BB$141)</f>
        <v>#REF!</v>
      </c>
      <c r="AB196" s="181">
        <f>WORKDAY(AG196,0,'[36]Equipment List and MR List (3)'!$A$2:$A$80)</f>
        <v>0</v>
      </c>
      <c r="AC196" s="92" t="s">
        <v>4906</v>
      </c>
      <c r="AD196" s="93">
        <v>7</v>
      </c>
      <c r="AE196" s="182">
        <v>104</v>
      </c>
      <c r="AF196" s="95" t="e">
        <f>AB197</f>
        <v>#REF!</v>
      </c>
      <c r="AG196" s="96"/>
      <c r="AH196" s="97"/>
      <c r="AI196" s="98"/>
      <c r="AJ196" s="93" t="e">
        <f>AG196-AF196</f>
        <v>#REF!</v>
      </c>
      <c r="AK196" s="157"/>
      <c r="AL196" s="158"/>
      <c r="AM196" s="159">
        <f t="shared" ref="AM196:AW196" si="243">IF(ISERROR(LOOKUP(AM$6,$S196:$AB196,$S$9:$AB$9)),0,(LOOKUP(AM$6,$S196:$AB196,$S$9:$AB$9)))</f>
        <v>0.95</v>
      </c>
      <c r="AN196" s="160">
        <f t="shared" si="243"/>
        <v>0.95</v>
      </c>
      <c r="AO196" s="160">
        <f t="shared" si="243"/>
        <v>0.95</v>
      </c>
      <c r="AP196" s="160">
        <f t="shared" si="243"/>
        <v>0.95</v>
      </c>
      <c r="AQ196" s="160">
        <f t="shared" si="243"/>
        <v>0.95</v>
      </c>
      <c r="AR196" s="160">
        <f t="shared" si="243"/>
        <v>0.95</v>
      </c>
      <c r="AS196" s="160">
        <f t="shared" si="243"/>
        <v>0.95</v>
      </c>
      <c r="AT196" s="160">
        <f t="shared" si="243"/>
        <v>0.95</v>
      </c>
      <c r="AU196" s="160">
        <f t="shared" si="243"/>
        <v>0.95</v>
      </c>
      <c r="AV196" s="160">
        <f t="shared" si="243"/>
        <v>0.95</v>
      </c>
      <c r="AW196" s="160">
        <f ca="1" t="shared" si="243"/>
        <v>0.95</v>
      </c>
      <c r="BB196" s="161"/>
    </row>
    <row r="197" s="21" customFormat="1" ht="18" customHeight="1" spans="1:54">
      <c r="A197" s="104"/>
      <c r="B197" s="183"/>
      <c r="C197" s="106"/>
      <c r="D197" s="107" t="str">
        <f>D196</f>
        <v>ELE</v>
      </c>
      <c r="E197" s="162" t="str">
        <f>E196</f>
        <v>RFQ-054</v>
      </c>
      <c r="F197" s="163" t="str">
        <f>F196</f>
        <v>N</v>
      </c>
      <c r="G197" s="110"/>
      <c r="H197" s="109" t="str">
        <f>H196</f>
        <v>ELECTRICAL CABLE</v>
      </c>
      <c r="I197" s="162" t="str">
        <f>I196</f>
        <v>LD</v>
      </c>
      <c r="J197" s="163"/>
      <c r="K197" s="164"/>
      <c r="L197" s="164">
        <f>M198</f>
        <v>0.001</v>
      </c>
      <c r="M197" s="164"/>
      <c r="N197" s="162"/>
      <c r="O197" s="162"/>
      <c r="P197" s="162"/>
      <c r="Q197" s="165" t="s">
        <v>4907</v>
      </c>
      <c r="R197" s="165"/>
      <c r="S197" s="166" t="e">
        <f>S196</f>
        <v>#REF!</v>
      </c>
      <c r="T197" s="167" t="e">
        <f>T196</f>
        <v>#REF!</v>
      </c>
      <c r="U197" s="167" t="e">
        <f>WORKDAY(IF(T198="",T197,T198),INDEX(U$2:U$5,MATCH($I196,$I$2:$I$5,0)),$BB$10:$BB$141)</f>
        <v>#REF!</v>
      </c>
      <c r="V197" s="167" t="e">
        <f>WORKDAY(IF(U198="",U197,U198),INDEX(V$2:V$5,MATCH($I196,$I$2:$I$5,0)),$BB$10:$BB$141)</f>
        <v>#REF!</v>
      </c>
      <c r="W197" s="167" t="e">
        <f>WORKDAY(IF(V198="",V197,V198),INDEX(W$2:W$5,MATCH($I196,$I$2:$I$5,0)),$BB$10:$BB$141)</f>
        <v>#REF!</v>
      </c>
      <c r="X197" s="167" t="e">
        <f>WORKDAY(IF(#REF!="",#REF!,#REF!),INDEX(X$2:X$5,MATCH($I196,$I$2:$I$5,0)),$BB$10:$BB$141)</f>
        <v>#REF!</v>
      </c>
      <c r="Y197" s="167" t="e">
        <f>WORKDAY(IF(X198="",X197,X198),INDEX(Y$2:Y$5,MATCH($I196,$I$2:$I$5,0)),$BB$10:$BB$141)</f>
        <v>#REF!</v>
      </c>
      <c r="Z197" s="167" t="e">
        <f>WORKDAY(IF(Y198="",Y197,Y198),INDEX(Z$2:Z$5,MATCH($I196,$I$2:$I$5,0)),$BB$10:$BB$141)</f>
        <v>#REF!</v>
      </c>
      <c r="AA197" s="167" t="e">
        <f>WORKDAY(IF(Z198="",Z197,Z198),INDEX(AA$2:AA$5,MATCH($I196,$I$2:$I$5,0)),$BB$10:$BB$141)</f>
        <v>#REF!</v>
      </c>
      <c r="AB197" s="168" t="e">
        <f>AE196+#REF!</f>
        <v>#REF!</v>
      </c>
      <c r="AC197" s="117"/>
      <c r="AD197" s="118"/>
      <c r="AE197" s="184"/>
      <c r="AF197" s="119"/>
      <c r="AG197" s="120"/>
      <c r="AH197" s="121"/>
      <c r="AI197" s="122"/>
      <c r="AJ197" s="118"/>
      <c r="AK197" s="169"/>
      <c r="AL197" s="170"/>
      <c r="AM197" s="159">
        <f t="shared" ref="AM197:AW197" si="244">IF(ISERROR(LOOKUP(AM$6,$S197:$AB197,$S$9:$AB$9)),0,(LOOKUP(AM$6,$S197:$AB197,$S$9:$AB$9)))</f>
        <v>0</v>
      </c>
      <c r="AN197" s="160">
        <f t="shared" si="244"/>
        <v>0</v>
      </c>
      <c r="AO197" s="160">
        <f t="shared" si="244"/>
        <v>0</v>
      </c>
      <c r="AP197" s="160">
        <f t="shared" si="244"/>
        <v>0</v>
      </c>
      <c r="AQ197" s="160">
        <f t="shared" si="244"/>
        <v>0</v>
      </c>
      <c r="AR197" s="160">
        <f t="shared" si="244"/>
        <v>0</v>
      </c>
      <c r="AS197" s="160">
        <f t="shared" si="244"/>
        <v>0</v>
      </c>
      <c r="AT197" s="160">
        <f t="shared" si="244"/>
        <v>0</v>
      </c>
      <c r="AU197" s="160">
        <f t="shared" si="244"/>
        <v>0</v>
      </c>
      <c r="AV197" s="160">
        <f t="shared" si="244"/>
        <v>0</v>
      </c>
      <c r="AW197" s="160">
        <f ca="1" t="shared" si="244"/>
        <v>0</v>
      </c>
      <c r="BB197" s="161"/>
    </row>
    <row r="198" s="21" customFormat="1" ht="18" customHeight="1" spans="1:54">
      <c r="A198" s="125"/>
      <c r="B198" s="185"/>
      <c r="C198" s="127"/>
      <c r="D198" s="128" t="str">
        <f>D196</f>
        <v>ELE</v>
      </c>
      <c r="E198" s="171" t="str">
        <f>E196</f>
        <v>RFQ-054</v>
      </c>
      <c r="F198" s="172" t="str">
        <f>F196</f>
        <v>N</v>
      </c>
      <c r="G198" s="131"/>
      <c r="H198" s="130" t="str">
        <f>H196</f>
        <v>ELECTRICAL CABLE</v>
      </c>
      <c r="I198" s="171" t="str">
        <f>I196</f>
        <v>LD</v>
      </c>
      <c r="J198" s="172"/>
      <c r="K198" s="173"/>
      <c r="L198" s="173"/>
      <c r="M198" s="173">
        <v>0.001</v>
      </c>
      <c r="N198" s="171"/>
      <c r="O198" s="171"/>
      <c r="P198" s="171"/>
      <c r="Q198" s="174" t="s">
        <v>4908</v>
      </c>
      <c r="R198" s="174"/>
      <c r="S198" s="175"/>
      <c r="T198" s="175"/>
      <c r="U198" s="175"/>
      <c r="V198" s="175"/>
      <c r="W198" s="175"/>
      <c r="X198" s="175"/>
      <c r="Y198" s="175"/>
      <c r="Z198" s="175"/>
      <c r="AA198" s="175"/>
      <c r="AB198" s="175"/>
      <c r="AC198" s="134"/>
      <c r="AD198" s="135"/>
      <c r="AE198" s="186"/>
      <c r="AF198" s="136"/>
      <c r="AG198" s="137"/>
      <c r="AH198" s="138"/>
      <c r="AI198" s="139"/>
      <c r="AJ198" s="135"/>
      <c r="AK198" s="176"/>
      <c r="AL198" s="177"/>
      <c r="AM198" s="178">
        <f t="shared" ref="AM198:AW198" si="245">IF(ISERROR(LOOKUP(AM$6,$S198:$AB198,$S$9:$AB$9)),0,(LOOKUP(AM$6,$S198:$AB198,$S$9:$AB$9)))</f>
        <v>0</v>
      </c>
      <c r="AN198" s="179">
        <f t="shared" si="245"/>
        <v>0</v>
      </c>
      <c r="AO198" s="179">
        <f t="shared" si="245"/>
        <v>0</v>
      </c>
      <c r="AP198" s="179">
        <f t="shared" si="245"/>
        <v>0</v>
      </c>
      <c r="AQ198" s="179">
        <f t="shared" si="245"/>
        <v>0</v>
      </c>
      <c r="AR198" s="179">
        <f t="shared" si="245"/>
        <v>0</v>
      </c>
      <c r="AS198" s="179">
        <f t="shared" si="245"/>
        <v>0</v>
      </c>
      <c r="AT198" s="179">
        <f t="shared" si="245"/>
        <v>0</v>
      </c>
      <c r="AU198" s="179">
        <f t="shared" si="245"/>
        <v>0</v>
      </c>
      <c r="AV198" s="179">
        <f t="shared" si="245"/>
        <v>0</v>
      </c>
      <c r="AW198" s="179">
        <f ca="1" t="shared" si="245"/>
        <v>0</v>
      </c>
      <c r="BB198" s="161"/>
    </row>
    <row r="199" s="21" customFormat="1" ht="18" customHeight="1" spans="1:54">
      <c r="A199" s="81">
        <f>A196+1</f>
        <v>64</v>
      </c>
      <c r="B199" s="180" t="s">
        <v>4967</v>
      </c>
      <c r="C199" s="83" t="s">
        <v>4902</v>
      </c>
      <c r="D199" s="84" t="s">
        <v>4929</v>
      </c>
      <c r="E199" s="153" t="s">
        <v>4964</v>
      </c>
      <c r="F199" s="154" t="s">
        <v>72</v>
      </c>
      <c r="G199" s="87"/>
      <c r="H199" s="86" t="s">
        <v>4974</v>
      </c>
      <c r="I199" s="153" t="s">
        <v>9</v>
      </c>
      <c r="J199" s="154"/>
      <c r="K199" s="155">
        <f>M201</f>
        <v>0.001</v>
      </c>
      <c r="L199" s="155"/>
      <c r="M199" s="155"/>
      <c r="N199" s="153"/>
      <c r="O199" s="153"/>
      <c r="P199" s="153"/>
      <c r="Q199" s="156" t="s">
        <v>4905</v>
      </c>
      <c r="R199" s="156"/>
      <c r="S199" s="181" t="e">
        <f>WORKDAY(T199,-INDEX(T$2:T$5,MATCH($I199,$I$2:$I$5,0)),'[36]Equipment List and MR List (3)'!$A$2:$A$80)</f>
        <v>#REF!</v>
      </c>
      <c r="T199" s="181" t="e">
        <f>WORKDAY(U199,-INDEX(U$2:U$5,MATCH($I199,$I$2:$I$5,0)),$BB$10:$BB$141)</f>
        <v>#REF!</v>
      </c>
      <c r="U199" s="181" t="e">
        <f>WORKDAY(V199,-INDEX(V$2:V$5,MATCH($I199,$I$2:$I$5,0)),$BB$10:$BB$141)</f>
        <v>#REF!</v>
      </c>
      <c r="V199" s="181" t="e">
        <f>WORKDAY(W199,-INDEX(W$2:W$5,MATCH($I199,$I$2:$I$5,0)),$BB$10:$BB$141)</f>
        <v>#REF!</v>
      </c>
      <c r="W199" s="181" t="e">
        <f>WORKDAY(#REF!,-INDEX(#REF!,MATCH($I199,$I$2:$I$5,0)),$BB$10:$BB$141)</f>
        <v>#REF!</v>
      </c>
      <c r="X199" s="181" t="e">
        <f>WORKDAY(Y199,-INDEX(Y$2:Y$5,MATCH($I199,$I$2:$I$5,0)),$BB$10:$BB$141)</f>
        <v>#REF!</v>
      </c>
      <c r="Y199" s="181" t="e">
        <f>WORKDAY(Z199,-INDEX(Z$2:Z$5,MATCH($I199,$I$2:$I$5,0)),$BB$10:$BB$141)</f>
        <v>#REF!</v>
      </c>
      <c r="Z199" s="181" t="e">
        <f>WORKDAY(AA199,-INDEX(AA$2:AA$5,MATCH($I199,$I$2:$I$5,0)),$BB$10:$BB$141)</f>
        <v>#REF!</v>
      </c>
      <c r="AA199" s="181" t="e">
        <f>WORKDAY(#REF!,-INDEX(#REF!,MATCH($I199,$I$2:$I$5,0)),$BB$10:$BB$141)</f>
        <v>#REF!</v>
      </c>
      <c r="AB199" s="181">
        <f>WORKDAY(AG199,0,'[36]Equipment List and MR List (3)'!$A$2:$A$80)</f>
        <v>0</v>
      </c>
      <c r="AC199" s="92" t="s">
        <v>4906</v>
      </c>
      <c r="AD199" s="93">
        <v>7</v>
      </c>
      <c r="AE199" s="182"/>
      <c r="AF199" s="95" t="e">
        <f>AB200</f>
        <v>#REF!</v>
      </c>
      <c r="AG199" s="96"/>
      <c r="AH199" s="97"/>
      <c r="AI199" s="98"/>
      <c r="AJ199" s="93" t="e">
        <f>AG199-AF199</f>
        <v>#REF!</v>
      </c>
      <c r="AK199" s="157"/>
      <c r="AL199" s="158"/>
      <c r="AM199" s="159">
        <f t="shared" ref="AM199:AW199" si="246">IF(ISERROR(LOOKUP(AM$6,$S199:$AB199,$S$9:$AB$9)),0,(LOOKUP(AM$6,$S199:$AB199,$S$9:$AB$9)))</f>
        <v>0.95</v>
      </c>
      <c r="AN199" s="160">
        <f t="shared" si="246"/>
        <v>0.95</v>
      </c>
      <c r="AO199" s="160">
        <f t="shared" si="246"/>
        <v>0.95</v>
      </c>
      <c r="AP199" s="160">
        <f t="shared" si="246"/>
        <v>0.95</v>
      </c>
      <c r="AQ199" s="160">
        <f t="shared" si="246"/>
        <v>0.95</v>
      </c>
      <c r="AR199" s="160">
        <f t="shared" si="246"/>
        <v>0.95</v>
      </c>
      <c r="AS199" s="160">
        <f t="shared" si="246"/>
        <v>0.95</v>
      </c>
      <c r="AT199" s="160">
        <f t="shared" si="246"/>
        <v>0.95</v>
      </c>
      <c r="AU199" s="160">
        <f t="shared" si="246"/>
        <v>0.95</v>
      </c>
      <c r="AV199" s="160">
        <f t="shared" si="246"/>
        <v>0.95</v>
      </c>
      <c r="AW199" s="160">
        <f ca="1" t="shared" si="246"/>
        <v>0.95</v>
      </c>
      <c r="BB199" s="161"/>
    </row>
    <row r="200" s="21" customFormat="1" ht="18" customHeight="1" spans="1:54">
      <c r="A200" s="104"/>
      <c r="B200" s="183"/>
      <c r="C200" s="106"/>
      <c r="D200" s="107" t="str">
        <f>D199</f>
        <v>ELE</v>
      </c>
      <c r="E200" s="162" t="str">
        <f>E199</f>
        <v>RFQ-054</v>
      </c>
      <c r="F200" s="163" t="str">
        <f>F199</f>
        <v>N</v>
      </c>
      <c r="G200" s="110"/>
      <c r="H200" s="109" t="str">
        <f>H199</f>
        <v>NAVIGATIONAL AIDS LANTERN AND FOG HORN</v>
      </c>
      <c r="I200" s="162" t="str">
        <f>I199</f>
        <v>LD</v>
      </c>
      <c r="J200" s="163"/>
      <c r="K200" s="164"/>
      <c r="L200" s="164">
        <f>M201</f>
        <v>0.001</v>
      </c>
      <c r="M200" s="164"/>
      <c r="N200" s="162"/>
      <c r="O200" s="162"/>
      <c r="P200" s="162"/>
      <c r="Q200" s="165" t="s">
        <v>4907</v>
      </c>
      <c r="R200" s="165"/>
      <c r="S200" s="166" t="e">
        <f>S199</f>
        <v>#REF!</v>
      </c>
      <c r="T200" s="167" t="e">
        <f>T199</f>
        <v>#REF!</v>
      </c>
      <c r="U200" s="167" t="e">
        <f>WORKDAY(IF(T201="",T200,T201),INDEX(U$2:U$5,MATCH($I199,$I$2:$I$5,0)),$BB$10:$BB$141)</f>
        <v>#REF!</v>
      </c>
      <c r="V200" s="167" t="e">
        <f>WORKDAY(IF(U201="",U200,U201),INDEX(V$2:V$5,MATCH($I199,$I$2:$I$5,0)),$BB$10:$BB$141)</f>
        <v>#REF!</v>
      </c>
      <c r="W200" s="167" t="e">
        <f>WORKDAY(IF(V201="",V200,V201),INDEX(W$2:W$5,MATCH($I199,$I$2:$I$5,0)),$BB$10:$BB$141)</f>
        <v>#REF!</v>
      </c>
      <c r="X200" s="167" t="e">
        <f>WORKDAY(IF(#REF!="",#REF!,#REF!),INDEX(X$2:X$5,MATCH($I199,$I$2:$I$5,0)),$BB$10:$BB$141)</f>
        <v>#REF!</v>
      </c>
      <c r="Y200" s="167" t="e">
        <f>WORKDAY(IF(X201="",X200,X201),INDEX(Y$2:Y$5,MATCH($I199,$I$2:$I$5,0)),$BB$10:$BB$141)</f>
        <v>#REF!</v>
      </c>
      <c r="Z200" s="167" t="e">
        <f>WORKDAY(IF(Y201="",Y200,Y201),INDEX(Z$2:Z$5,MATCH($I199,$I$2:$I$5,0)),$BB$10:$BB$141)</f>
        <v>#REF!</v>
      </c>
      <c r="AA200" s="167" t="e">
        <f>WORKDAY(IF(Z201="",Z200,Z201),INDEX(AA$2:AA$5,MATCH($I199,$I$2:$I$5,0)),$BB$10:$BB$141)</f>
        <v>#REF!</v>
      </c>
      <c r="AB200" s="168" t="e">
        <f>AE199+#REF!</f>
        <v>#REF!</v>
      </c>
      <c r="AC200" s="117"/>
      <c r="AD200" s="118"/>
      <c r="AE200" s="184"/>
      <c r="AF200" s="119"/>
      <c r="AG200" s="120"/>
      <c r="AH200" s="121"/>
      <c r="AI200" s="122"/>
      <c r="AJ200" s="118"/>
      <c r="AK200" s="169"/>
      <c r="AL200" s="170"/>
      <c r="AM200" s="159">
        <f t="shared" ref="AM200:AW200" si="247">IF(ISERROR(LOOKUP(AM$6,$S200:$AB200,$S$9:$AB$9)),0,(LOOKUP(AM$6,$S200:$AB200,$S$9:$AB$9)))</f>
        <v>0</v>
      </c>
      <c r="AN200" s="160">
        <f t="shared" si="247"/>
        <v>0</v>
      </c>
      <c r="AO200" s="160">
        <f t="shared" si="247"/>
        <v>0</v>
      </c>
      <c r="AP200" s="160">
        <f t="shared" si="247"/>
        <v>0</v>
      </c>
      <c r="AQ200" s="160">
        <f t="shared" si="247"/>
        <v>0</v>
      </c>
      <c r="AR200" s="160">
        <f t="shared" si="247"/>
        <v>0</v>
      </c>
      <c r="AS200" s="160">
        <f t="shared" si="247"/>
        <v>0</v>
      </c>
      <c r="AT200" s="160">
        <f t="shared" si="247"/>
        <v>0</v>
      </c>
      <c r="AU200" s="160">
        <f t="shared" si="247"/>
        <v>0</v>
      </c>
      <c r="AV200" s="160">
        <f t="shared" si="247"/>
        <v>0</v>
      </c>
      <c r="AW200" s="160">
        <f ca="1" t="shared" si="247"/>
        <v>0</v>
      </c>
      <c r="BB200" s="161"/>
    </row>
    <row r="201" s="21" customFormat="1" ht="18" customHeight="1" spans="1:54">
      <c r="A201" s="125"/>
      <c r="B201" s="185"/>
      <c r="C201" s="127"/>
      <c r="D201" s="128" t="str">
        <f>D199</f>
        <v>ELE</v>
      </c>
      <c r="E201" s="171" t="str">
        <f>E199</f>
        <v>RFQ-054</v>
      </c>
      <c r="F201" s="172" t="str">
        <f>F199</f>
        <v>N</v>
      </c>
      <c r="G201" s="131"/>
      <c r="H201" s="130" t="str">
        <f>H199</f>
        <v>NAVIGATIONAL AIDS LANTERN AND FOG HORN</v>
      </c>
      <c r="I201" s="171" t="str">
        <f>I199</f>
        <v>LD</v>
      </c>
      <c r="J201" s="172"/>
      <c r="K201" s="173"/>
      <c r="L201" s="173"/>
      <c r="M201" s="173">
        <v>0.001</v>
      </c>
      <c r="N201" s="171"/>
      <c r="O201" s="171"/>
      <c r="P201" s="171"/>
      <c r="Q201" s="174" t="s">
        <v>4908</v>
      </c>
      <c r="R201" s="174"/>
      <c r="S201" s="175"/>
      <c r="T201" s="175"/>
      <c r="U201" s="175"/>
      <c r="V201" s="175"/>
      <c r="W201" s="175"/>
      <c r="X201" s="175"/>
      <c r="Y201" s="175"/>
      <c r="Z201" s="175"/>
      <c r="AA201" s="175"/>
      <c r="AB201" s="175"/>
      <c r="AC201" s="134"/>
      <c r="AD201" s="135"/>
      <c r="AE201" s="186"/>
      <c r="AF201" s="136"/>
      <c r="AG201" s="137"/>
      <c r="AH201" s="138"/>
      <c r="AI201" s="139"/>
      <c r="AJ201" s="135"/>
      <c r="AK201" s="176"/>
      <c r="AL201" s="177"/>
      <c r="AM201" s="178">
        <f t="shared" ref="AM201:AW201" si="248">IF(ISERROR(LOOKUP(AM$6,$S201:$AB201,$S$9:$AB$9)),0,(LOOKUP(AM$6,$S201:$AB201,$S$9:$AB$9)))</f>
        <v>0</v>
      </c>
      <c r="AN201" s="179">
        <f t="shared" si="248"/>
        <v>0</v>
      </c>
      <c r="AO201" s="179">
        <f t="shared" si="248"/>
        <v>0</v>
      </c>
      <c r="AP201" s="179">
        <f t="shared" si="248"/>
        <v>0</v>
      </c>
      <c r="AQ201" s="179">
        <f t="shared" si="248"/>
        <v>0</v>
      </c>
      <c r="AR201" s="179">
        <f t="shared" si="248"/>
        <v>0</v>
      </c>
      <c r="AS201" s="179">
        <f t="shared" si="248"/>
        <v>0</v>
      </c>
      <c r="AT201" s="179">
        <f t="shared" si="248"/>
        <v>0</v>
      </c>
      <c r="AU201" s="179">
        <f t="shared" si="248"/>
        <v>0</v>
      </c>
      <c r="AV201" s="179">
        <f t="shared" si="248"/>
        <v>0</v>
      </c>
      <c r="AW201" s="179">
        <f ca="1" t="shared" si="248"/>
        <v>0</v>
      </c>
      <c r="BB201" s="161"/>
    </row>
    <row r="202" s="21" customFormat="1" ht="18" customHeight="1" spans="1:54">
      <c r="A202" s="81">
        <f>A199+1</f>
        <v>65</v>
      </c>
      <c r="B202" s="180" t="s">
        <v>4967</v>
      </c>
      <c r="C202" s="83" t="s">
        <v>4902</v>
      </c>
      <c r="D202" s="84" t="s">
        <v>4929</v>
      </c>
      <c r="E202" s="153" t="s">
        <v>4964</v>
      </c>
      <c r="F202" s="154" t="s">
        <v>72</v>
      </c>
      <c r="G202" s="87"/>
      <c r="H202" s="86" t="s">
        <v>4975</v>
      </c>
      <c r="I202" s="153" t="s">
        <v>9</v>
      </c>
      <c r="J202" s="154"/>
      <c r="K202" s="155">
        <f>M204</f>
        <v>0.001</v>
      </c>
      <c r="L202" s="155"/>
      <c r="M202" s="155"/>
      <c r="N202" s="153"/>
      <c r="O202" s="153"/>
      <c r="P202" s="153"/>
      <c r="Q202" s="156" t="s">
        <v>4905</v>
      </c>
      <c r="R202" s="156"/>
      <c r="S202" s="181" t="e">
        <f>WORKDAY(T202,-INDEX(T$2:T$5,MATCH($I202,$I$2:$I$5,0)),'[36]Equipment List and MR List (3)'!$A$2:$A$80)</f>
        <v>#REF!</v>
      </c>
      <c r="T202" s="181" t="e">
        <f>WORKDAY(U202,-INDEX(U$2:U$5,MATCH($I202,$I$2:$I$5,0)),$BB$10:$BB$141)</f>
        <v>#REF!</v>
      </c>
      <c r="U202" s="181" t="e">
        <f>WORKDAY(V202,-INDEX(V$2:V$5,MATCH($I202,$I$2:$I$5,0)),$BB$10:$BB$141)</f>
        <v>#REF!</v>
      </c>
      <c r="V202" s="181" t="e">
        <f>WORKDAY(W202,-INDEX(W$2:W$5,MATCH($I202,$I$2:$I$5,0)),$BB$10:$BB$141)</f>
        <v>#REF!</v>
      </c>
      <c r="W202" s="181" t="e">
        <f>WORKDAY(#REF!,-INDEX(#REF!,MATCH($I202,$I$2:$I$5,0)),$BB$10:$BB$141)</f>
        <v>#REF!</v>
      </c>
      <c r="X202" s="181" t="e">
        <f>WORKDAY(Y202,-INDEX(Y$2:Y$5,MATCH($I202,$I$2:$I$5,0)),$BB$10:$BB$141)</f>
        <v>#REF!</v>
      </c>
      <c r="Y202" s="181" t="e">
        <f>WORKDAY(Z202,-INDEX(Z$2:Z$5,MATCH($I202,$I$2:$I$5,0)),$BB$10:$BB$141)</f>
        <v>#REF!</v>
      </c>
      <c r="Z202" s="181" t="e">
        <f>WORKDAY(AA202,-INDEX(AA$2:AA$5,MATCH($I202,$I$2:$I$5,0)),$BB$10:$BB$141)</f>
        <v>#REF!</v>
      </c>
      <c r="AA202" s="181" t="e">
        <f>WORKDAY(#REF!,-INDEX(#REF!,MATCH($I202,$I$2:$I$5,0)),$BB$10:$BB$141)</f>
        <v>#REF!</v>
      </c>
      <c r="AB202" s="181">
        <f>WORKDAY(AG202,0,'[36]Equipment List and MR List (3)'!$A$2:$A$80)</f>
        <v>0</v>
      </c>
      <c r="AC202" s="92" t="s">
        <v>4906</v>
      </c>
      <c r="AD202" s="93">
        <v>7</v>
      </c>
      <c r="AE202" s="182"/>
      <c r="AF202" s="95" t="e">
        <f>AB203</f>
        <v>#REF!</v>
      </c>
      <c r="AG202" s="96"/>
      <c r="AH202" s="97"/>
      <c r="AI202" s="98"/>
      <c r="AJ202" s="93" t="e">
        <f>AG202-AF202</f>
        <v>#REF!</v>
      </c>
      <c r="AK202" s="157"/>
      <c r="AL202" s="158"/>
      <c r="AM202" s="159">
        <f t="shared" ref="AM202:AW202" si="249">IF(ISERROR(LOOKUP(AM$6,$S202:$AB202,$S$9:$AB$9)),0,(LOOKUP(AM$6,$S202:$AB202,$S$9:$AB$9)))</f>
        <v>0.95</v>
      </c>
      <c r="AN202" s="160">
        <f t="shared" si="249"/>
        <v>0.95</v>
      </c>
      <c r="AO202" s="160">
        <f t="shared" si="249"/>
        <v>0.95</v>
      </c>
      <c r="AP202" s="160">
        <f t="shared" si="249"/>
        <v>0.95</v>
      </c>
      <c r="AQ202" s="160">
        <f t="shared" si="249"/>
        <v>0.95</v>
      </c>
      <c r="AR202" s="160">
        <f t="shared" si="249"/>
        <v>0.95</v>
      </c>
      <c r="AS202" s="160">
        <f t="shared" si="249"/>
        <v>0.95</v>
      </c>
      <c r="AT202" s="160">
        <f t="shared" si="249"/>
        <v>0.95</v>
      </c>
      <c r="AU202" s="160">
        <f t="shared" si="249"/>
        <v>0.95</v>
      </c>
      <c r="AV202" s="160">
        <f t="shared" si="249"/>
        <v>0.95</v>
      </c>
      <c r="AW202" s="160">
        <f ca="1" t="shared" si="249"/>
        <v>0.95</v>
      </c>
      <c r="BB202" s="161"/>
    </row>
    <row r="203" s="21" customFormat="1" ht="18" customHeight="1" spans="1:54">
      <c r="A203" s="104"/>
      <c r="B203" s="183"/>
      <c r="C203" s="106"/>
      <c r="D203" s="107" t="str">
        <f>D202</f>
        <v>ELE</v>
      </c>
      <c r="E203" s="162" t="str">
        <f>E202</f>
        <v>RFQ-054</v>
      </c>
      <c r="F203" s="163" t="str">
        <f>F202</f>
        <v>N</v>
      </c>
      <c r="G203" s="110"/>
      <c r="H203" s="109" t="str">
        <f>H202</f>
        <v>FLASHING BEACON AND WARNING SIREN</v>
      </c>
      <c r="I203" s="162" t="str">
        <f>I202</f>
        <v>LD</v>
      </c>
      <c r="J203" s="163"/>
      <c r="K203" s="164"/>
      <c r="L203" s="164">
        <f>M204</f>
        <v>0.001</v>
      </c>
      <c r="M203" s="164"/>
      <c r="N203" s="162"/>
      <c r="O203" s="162"/>
      <c r="P203" s="162"/>
      <c r="Q203" s="165" t="s">
        <v>4907</v>
      </c>
      <c r="R203" s="165"/>
      <c r="S203" s="166" t="e">
        <f>S202</f>
        <v>#REF!</v>
      </c>
      <c r="T203" s="167" t="e">
        <f>T202</f>
        <v>#REF!</v>
      </c>
      <c r="U203" s="167" t="e">
        <f>WORKDAY(IF(T204="",T203,T204),INDEX(U$2:U$5,MATCH($I202,$I$2:$I$5,0)),$BB$10:$BB$141)</f>
        <v>#REF!</v>
      </c>
      <c r="V203" s="167" t="e">
        <f>WORKDAY(IF(U204="",U203,U204),INDEX(V$2:V$5,MATCH($I202,$I$2:$I$5,0)),$BB$10:$BB$141)</f>
        <v>#REF!</v>
      </c>
      <c r="W203" s="167" t="e">
        <f>WORKDAY(IF(V204="",V203,V204),INDEX(W$2:W$5,MATCH($I202,$I$2:$I$5,0)),$BB$10:$BB$141)</f>
        <v>#REF!</v>
      </c>
      <c r="X203" s="167" t="e">
        <f>WORKDAY(IF(#REF!="",#REF!,#REF!),INDEX(X$2:X$5,MATCH($I202,$I$2:$I$5,0)),$BB$10:$BB$141)</f>
        <v>#REF!</v>
      </c>
      <c r="Y203" s="167" t="e">
        <f>WORKDAY(IF(X204="",X203,X204),INDEX(Y$2:Y$5,MATCH($I202,$I$2:$I$5,0)),$BB$10:$BB$141)</f>
        <v>#REF!</v>
      </c>
      <c r="Z203" s="167" t="e">
        <f>WORKDAY(IF(Y204="",Y203,Y204),INDEX(Z$2:Z$5,MATCH($I202,$I$2:$I$5,0)),$BB$10:$BB$141)</f>
        <v>#REF!</v>
      </c>
      <c r="AA203" s="167" t="e">
        <f>WORKDAY(IF(Z204="",Z203,Z204),INDEX(AA$2:AA$5,MATCH($I202,$I$2:$I$5,0)),$BB$10:$BB$141)</f>
        <v>#REF!</v>
      </c>
      <c r="AB203" s="168" t="e">
        <f>AE202+#REF!</f>
        <v>#REF!</v>
      </c>
      <c r="AC203" s="117"/>
      <c r="AD203" s="118"/>
      <c r="AE203" s="184"/>
      <c r="AF203" s="119"/>
      <c r="AG203" s="120"/>
      <c r="AH203" s="121"/>
      <c r="AI203" s="122"/>
      <c r="AJ203" s="118"/>
      <c r="AK203" s="169"/>
      <c r="AL203" s="170"/>
      <c r="AM203" s="159">
        <f t="shared" ref="AM203:AW203" si="250">IF(ISERROR(LOOKUP(AM$6,$S203:$AB203,$S$9:$AB$9)),0,(LOOKUP(AM$6,$S203:$AB203,$S$9:$AB$9)))</f>
        <v>0</v>
      </c>
      <c r="AN203" s="160">
        <f t="shared" si="250"/>
        <v>0</v>
      </c>
      <c r="AO203" s="160">
        <f t="shared" si="250"/>
        <v>0</v>
      </c>
      <c r="AP203" s="160">
        <f t="shared" si="250"/>
        <v>0</v>
      </c>
      <c r="AQ203" s="160">
        <f t="shared" si="250"/>
        <v>0</v>
      </c>
      <c r="AR203" s="160">
        <f t="shared" si="250"/>
        <v>0</v>
      </c>
      <c r="AS203" s="160">
        <f t="shared" si="250"/>
        <v>0</v>
      </c>
      <c r="AT203" s="160">
        <f t="shared" si="250"/>
        <v>0</v>
      </c>
      <c r="AU203" s="160">
        <f t="shared" si="250"/>
        <v>0</v>
      </c>
      <c r="AV203" s="160">
        <f t="shared" si="250"/>
        <v>0</v>
      </c>
      <c r="AW203" s="160">
        <f ca="1" t="shared" si="250"/>
        <v>0</v>
      </c>
      <c r="BB203" s="161"/>
    </row>
    <row r="204" s="21" customFormat="1" ht="18" customHeight="1" spans="1:54">
      <c r="A204" s="125"/>
      <c r="B204" s="185"/>
      <c r="C204" s="127"/>
      <c r="D204" s="128" t="str">
        <f>D202</f>
        <v>ELE</v>
      </c>
      <c r="E204" s="171" t="str">
        <f>E202</f>
        <v>RFQ-054</v>
      </c>
      <c r="F204" s="172" t="str">
        <f>F202</f>
        <v>N</v>
      </c>
      <c r="G204" s="131"/>
      <c r="H204" s="130" t="str">
        <f>H202</f>
        <v>FLASHING BEACON AND WARNING SIREN</v>
      </c>
      <c r="I204" s="171" t="str">
        <f>I202</f>
        <v>LD</v>
      </c>
      <c r="J204" s="172"/>
      <c r="K204" s="173"/>
      <c r="L204" s="173"/>
      <c r="M204" s="173">
        <v>0.001</v>
      </c>
      <c r="N204" s="171"/>
      <c r="O204" s="171"/>
      <c r="P204" s="171"/>
      <c r="Q204" s="174" t="s">
        <v>4908</v>
      </c>
      <c r="R204" s="174"/>
      <c r="S204" s="175"/>
      <c r="T204" s="175"/>
      <c r="U204" s="175"/>
      <c r="V204" s="175"/>
      <c r="W204" s="175"/>
      <c r="X204" s="175"/>
      <c r="Y204" s="175"/>
      <c r="Z204" s="175"/>
      <c r="AA204" s="175"/>
      <c r="AB204" s="175"/>
      <c r="AC204" s="134"/>
      <c r="AD204" s="135"/>
      <c r="AE204" s="186"/>
      <c r="AF204" s="136"/>
      <c r="AG204" s="137"/>
      <c r="AH204" s="138"/>
      <c r="AI204" s="139"/>
      <c r="AJ204" s="135"/>
      <c r="AK204" s="176"/>
      <c r="AL204" s="177"/>
      <c r="AM204" s="178">
        <f t="shared" ref="AM204:AW204" si="251">IF(ISERROR(LOOKUP(AM$6,$S204:$AB204,$S$9:$AB$9)),0,(LOOKUP(AM$6,$S204:$AB204,$S$9:$AB$9)))</f>
        <v>0</v>
      </c>
      <c r="AN204" s="179">
        <f t="shared" si="251"/>
        <v>0</v>
      </c>
      <c r="AO204" s="179">
        <f t="shared" si="251"/>
        <v>0</v>
      </c>
      <c r="AP204" s="179">
        <f t="shared" si="251"/>
        <v>0</v>
      </c>
      <c r="AQ204" s="179">
        <f t="shared" si="251"/>
        <v>0</v>
      </c>
      <c r="AR204" s="179">
        <f t="shared" si="251"/>
        <v>0</v>
      </c>
      <c r="AS204" s="179">
        <f t="shared" si="251"/>
        <v>0</v>
      </c>
      <c r="AT204" s="179">
        <f t="shared" si="251"/>
        <v>0</v>
      </c>
      <c r="AU204" s="179">
        <f t="shared" si="251"/>
        <v>0</v>
      </c>
      <c r="AV204" s="179">
        <f t="shared" si="251"/>
        <v>0</v>
      </c>
      <c r="AW204" s="179">
        <f ca="1" t="shared" si="251"/>
        <v>0</v>
      </c>
      <c r="BB204" s="161"/>
    </row>
    <row r="205" s="21" customFormat="1" ht="18" customHeight="1" spans="1:54">
      <c r="A205" s="81">
        <f>A202+1</f>
        <v>66</v>
      </c>
      <c r="B205" s="180" t="s">
        <v>4967</v>
      </c>
      <c r="C205" s="83" t="s">
        <v>4902</v>
      </c>
      <c r="D205" s="84" t="s">
        <v>4929</v>
      </c>
      <c r="E205" s="153" t="s">
        <v>4964</v>
      </c>
      <c r="F205" s="154" t="s">
        <v>72</v>
      </c>
      <c r="G205" s="87"/>
      <c r="H205" s="86" t="s">
        <v>4976</v>
      </c>
      <c r="I205" s="153" t="s">
        <v>9</v>
      </c>
      <c r="J205" s="154"/>
      <c r="K205" s="155">
        <f>M207</f>
        <v>0.001</v>
      </c>
      <c r="L205" s="155"/>
      <c r="M205" s="155"/>
      <c r="N205" s="153"/>
      <c r="O205" s="153"/>
      <c r="P205" s="153"/>
      <c r="Q205" s="156" t="s">
        <v>4905</v>
      </c>
      <c r="R205" s="156"/>
      <c r="S205" s="181" t="e">
        <f>WORKDAY(T205,-INDEX(T$2:T$5,MATCH($I205,$I$2:$I$5,0)),'[36]Equipment List and MR List (3)'!$A$2:$A$80)</f>
        <v>#REF!</v>
      </c>
      <c r="T205" s="181" t="e">
        <f>WORKDAY(U205,-INDEX(U$2:U$5,MATCH($I205,$I$2:$I$5,0)),$BB$10:$BB$141)</f>
        <v>#REF!</v>
      </c>
      <c r="U205" s="181" t="e">
        <f>WORKDAY(V205,-INDEX(V$2:V$5,MATCH($I205,$I$2:$I$5,0)),$BB$10:$BB$141)</f>
        <v>#REF!</v>
      </c>
      <c r="V205" s="181" t="e">
        <f>WORKDAY(W205,-INDEX(W$2:W$5,MATCH($I205,$I$2:$I$5,0)),$BB$10:$BB$141)</f>
        <v>#REF!</v>
      </c>
      <c r="W205" s="181" t="e">
        <f>WORKDAY(#REF!,-INDEX(#REF!,MATCH($I205,$I$2:$I$5,0)),$BB$10:$BB$141)</f>
        <v>#REF!</v>
      </c>
      <c r="X205" s="181" t="e">
        <f>WORKDAY(Y205,-INDEX(Y$2:Y$5,MATCH($I205,$I$2:$I$5,0)),$BB$10:$BB$141)</f>
        <v>#REF!</v>
      </c>
      <c r="Y205" s="181" t="e">
        <f>WORKDAY(Z205,-INDEX(Z$2:Z$5,MATCH($I205,$I$2:$I$5,0)),$BB$10:$BB$141)</f>
        <v>#REF!</v>
      </c>
      <c r="Z205" s="181" t="e">
        <f>WORKDAY(AA205,-INDEX(AA$2:AA$5,MATCH($I205,$I$2:$I$5,0)),$BB$10:$BB$141)</f>
        <v>#REF!</v>
      </c>
      <c r="AA205" s="181" t="e">
        <f>WORKDAY(#REF!,-INDEX(#REF!,MATCH($I205,$I$2:$I$5,0)),$BB$10:$BB$141)</f>
        <v>#REF!</v>
      </c>
      <c r="AB205" s="181">
        <f>WORKDAY(AG205,0,'[36]Equipment List and MR List (3)'!$A$2:$A$80)</f>
        <v>0</v>
      </c>
      <c r="AC205" s="92" t="s">
        <v>4906</v>
      </c>
      <c r="AD205" s="93">
        <v>7</v>
      </c>
      <c r="AE205" s="182"/>
      <c r="AF205" s="95" t="e">
        <f>AB206</f>
        <v>#REF!</v>
      </c>
      <c r="AG205" s="96"/>
      <c r="AH205" s="97"/>
      <c r="AI205" s="98"/>
      <c r="AJ205" s="93" t="e">
        <f>AG205-AF205</f>
        <v>#REF!</v>
      </c>
      <c r="AK205" s="157"/>
      <c r="AL205" s="158"/>
      <c r="AM205" s="159">
        <f t="shared" ref="AM205:AW205" si="252">IF(ISERROR(LOOKUP(AM$6,$S205:$AB205,$S$9:$AB$9)),0,(LOOKUP(AM$6,$S205:$AB205,$S$9:$AB$9)))</f>
        <v>0.95</v>
      </c>
      <c r="AN205" s="160">
        <f t="shared" si="252"/>
        <v>0.95</v>
      </c>
      <c r="AO205" s="160">
        <f t="shared" si="252"/>
        <v>0.95</v>
      </c>
      <c r="AP205" s="160">
        <f t="shared" si="252"/>
        <v>0.95</v>
      </c>
      <c r="AQ205" s="160">
        <f t="shared" si="252"/>
        <v>0.95</v>
      </c>
      <c r="AR205" s="160">
        <f t="shared" si="252"/>
        <v>0.95</v>
      </c>
      <c r="AS205" s="160">
        <f t="shared" si="252"/>
        <v>0.95</v>
      </c>
      <c r="AT205" s="160">
        <f t="shared" si="252"/>
        <v>0.95</v>
      </c>
      <c r="AU205" s="160">
        <f t="shared" si="252"/>
        <v>0.95</v>
      </c>
      <c r="AV205" s="160">
        <f t="shared" si="252"/>
        <v>0.95</v>
      </c>
      <c r="AW205" s="160">
        <f ca="1" t="shared" si="252"/>
        <v>0.95</v>
      </c>
      <c r="BB205" s="161"/>
    </row>
    <row r="206" s="21" customFormat="1" ht="18" customHeight="1" spans="1:54">
      <c r="A206" s="104"/>
      <c r="B206" s="183"/>
      <c r="C206" s="106"/>
      <c r="D206" s="107" t="str">
        <f>D205</f>
        <v>ELE</v>
      </c>
      <c r="E206" s="162" t="str">
        <f>E205</f>
        <v>RFQ-054</v>
      </c>
      <c r="F206" s="163" t="str">
        <f>F205</f>
        <v>N</v>
      </c>
      <c r="G206" s="110"/>
      <c r="H206" s="109" t="str">
        <f>H205</f>
        <v>PRESERVATION AND SEA-FASTENING MATERIAL</v>
      </c>
      <c r="I206" s="162" t="str">
        <f>I205</f>
        <v>LD</v>
      </c>
      <c r="J206" s="163"/>
      <c r="K206" s="164"/>
      <c r="L206" s="164">
        <f>M207</f>
        <v>0.001</v>
      </c>
      <c r="M206" s="164"/>
      <c r="N206" s="162"/>
      <c r="O206" s="162"/>
      <c r="P206" s="162"/>
      <c r="Q206" s="165" t="s">
        <v>4907</v>
      </c>
      <c r="R206" s="165"/>
      <c r="S206" s="166" t="e">
        <f>S205</f>
        <v>#REF!</v>
      </c>
      <c r="T206" s="167" t="e">
        <f>T205</f>
        <v>#REF!</v>
      </c>
      <c r="U206" s="167" t="e">
        <f>WORKDAY(IF(T207="",T206,T207),INDEX(U$2:U$5,MATCH($I205,$I$2:$I$5,0)),$BB$10:$BB$141)</f>
        <v>#REF!</v>
      </c>
      <c r="V206" s="167" t="e">
        <f>WORKDAY(IF(U207="",U206,U207),INDEX(V$2:V$5,MATCH($I205,$I$2:$I$5,0)),$BB$10:$BB$141)</f>
        <v>#REF!</v>
      </c>
      <c r="W206" s="167" t="e">
        <f>WORKDAY(IF(V207="",V206,V207),INDEX(W$2:W$5,MATCH($I205,$I$2:$I$5,0)),$BB$10:$BB$141)</f>
        <v>#REF!</v>
      </c>
      <c r="X206" s="167" t="e">
        <f>WORKDAY(IF(#REF!="",#REF!,#REF!),INDEX(X$2:X$5,MATCH($I205,$I$2:$I$5,0)),$BB$10:$BB$141)</f>
        <v>#REF!</v>
      </c>
      <c r="Y206" s="167" t="e">
        <f>WORKDAY(IF(X207="",X206,X207),INDEX(Y$2:Y$5,MATCH($I205,$I$2:$I$5,0)),$BB$10:$BB$141)</f>
        <v>#REF!</v>
      </c>
      <c r="Z206" s="167" t="e">
        <f>WORKDAY(IF(Y207="",Y206,Y207),INDEX(Z$2:Z$5,MATCH($I205,$I$2:$I$5,0)),$BB$10:$BB$141)</f>
        <v>#REF!</v>
      </c>
      <c r="AA206" s="167" t="e">
        <f>WORKDAY(IF(Z207="",Z206,Z207),INDEX(AA$2:AA$5,MATCH($I205,$I$2:$I$5,0)),$BB$10:$BB$141)</f>
        <v>#REF!</v>
      </c>
      <c r="AB206" s="168" t="e">
        <f>AE205+#REF!</f>
        <v>#REF!</v>
      </c>
      <c r="AC206" s="117"/>
      <c r="AD206" s="118"/>
      <c r="AE206" s="184"/>
      <c r="AF206" s="119"/>
      <c r="AG206" s="120"/>
      <c r="AH206" s="121"/>
      <c r="AI206" s="122"/>
      <c r="AJ206" s="118"/>
      <c r="AK206" s="169"/>
      <c r="AL206" s="170"/>
      <c r="AM206" s="159">
        <f t="shared" ref="AM206:AW206" si="253">IF(ISERROR(LOOKUP(AM$6,$S206:$AB206,$S$9:$AB$9)),0,(LOOKUP(AM$6,$S206:$AB206,$S$9:$AB$9)))</f>
        <v>0</v>
      </c>
      <c r="AN206" s="160">
        <f t="shared" si="253"/>
        <v>0</v>
      </c>
      <c r="AO206" s="160">
        <f t="shared" si="253"/>
        <v>0</v>
      </c>
      <c r="AP206" s="160">
        <f t="shared" si="253"/>
        <v>0</v>
      </c>
      <c r="AQ206" s="160">
        <f t="shared" si="253"/>
        <v>0</v>
      </c>
      <c r="AR206" s="160">
        <f t="shared" si="253"/>
        <v>0</v>
      </c>
      <c r="AS206" s="160">
        <f t="shared" si="253"/>
        <v>0</v>
      </c>
      <c r="AT206" s="160">
        <f t="shared" si="253"/>
        <v>0</v>
      </c>
      <c r="AU206" s="160">
        <f t="shared" si="253"/>
        <v>0</v>
      </c>
      <c r="AV206" s="160">
        <f t="shared" si="253"/>
        <v>0</v>
      </c>
      <c r="AW206" s="160">
        <f ca="1" t="shared" si="253"/>
        <v>0</v>
      </c>
      <c r="BB206" s="161"/>
    </row>
    <row r="207" s="21" customFormat="1" ht="18" customHeight="1" spans="1:54">
      <c r="A207" s="125"/>
      <c r="B207" s="185"/>
      <c r="C207" s="127"/>
      <c r="D207" s="128" t="str">
        <f>D205</f>
        <v>ELE</v>
      </c>
      <c r="E207" s="171" t="str">
        <f>E205</f>
        <v>RFQ-054</v>
      </c>
      <c r="F207" s="172" t="str">
        <f>F205</f>
        <v>N</v>
      </c>
      <c r="G207" s="131"/>
      <c r="H207" s="130" t="str">
        <f>H205</f>
        <v>PRESERVATION AND SEA-FASTENING MATERIAL</v>
      </c>
      <c r="I207" s="171" t="str">
        <f>I205</f>
        <v>LD</v>
      </c>
      <c r="J207" s="172"/>
      <c r="K207" s="173"/>
      <c r="L207" s="173"/>
      <c r="M207" s="173">
        <v>0.001</v>
      </c>
      <c r="N207" s="171"/>
      <c r="O207" s="171"/>
      <c r="P207" s="171"/>
      <c r="Q207" s="174" t="s">
        <v>4908</v>
      </c>
      <c r="R207" s="174"/>
      <c r="S207" s="175"/>
      <c r="T207" s="175"/>
      <c r="U207" s="175"/>
      <c r="V207" s="175"/>
      <c r="W207" s="175"/>
      <c r="X207" s="175"/>
      <c r="Y207" s="175"/>
      <c r="Z207" s="175"/>
      <c r="AA207" s="175"/>
      <c r="AB207" s="175"/>
      <c r="AC207" s="134"/>
      <c r="AD207" s="135"/>
      <c r="AE207" s="186"/>
      <c r="AF207" s="136"/>
      <c r="AG207" s="137"/>
      <c r="AH207" s="138"/>
      <c r="AI207" s="139"/>
      <c r="AJ207" s="135"/>
      <c r="AK207" s="176"/>
      <c r="AL207" s="177"/>
      <c r="AM207" s="178">
        <f t="shared" ref="AM207:AW207" si="254">IF(ISERROR(LOOKUP(AM$6,$S207:$AB207,$S$9:$AB$9)),0,(LOOKUP(AM$6,$S207:$AB207,$S$9:$AB$9)))</f>
        <v>0</v>
      </c>
      <c r="AN207" s="179">
        <f t="shared" si="254"/>
        <v>0</v>
      </c>
      <c r="AO207" s="179">
        <f t="shared" si="254"/>
        <v>0</v>
      </c>
      <c r="AP207" s="179">
        <f t="shared" si="254"/>
        <v>0</v>
      </c>
      <c r="AQ207" s="179">
        <f t="shared" si="254"/>
        <v>0</v>
      </c>
      <c r="AR207" s="179">
        <f t="shared" si="254"/>
        <v>0</v>
      </c>
      <c r="AS207" s="179">
        <f t="shared" si="254"/>
        <v>0</v>
      </c>
      <c r="AT207" s="179">
        <f t="shared" si="254"/>
        <v>0</v>
      </c>
      <c r="AU207" s="179">
        <f t="shared" si="254"/>
        <v>0</v>
      </c>
      <c r="AV207" s="179">
        <f t="shared" si="254"/>
        <v>0</v>
      </c>
      <c r="AW207" s="179">
        <f ca="1" t="shared" si="254"/>
        <v>0</v>
      </c>
      <c r="BB207" s="161"/>
    </row>
    <row r="208" s="21" customFormat="1" ht="18" customHeight="1" spans="1:54">
      <c r="A208" s="81">
        <f>A205+1</f>
        <v>67</v>
      </c>
      <c r="B208" s="180" t="s">
        <v>4967</v>
      </c>
      <c r="C208" s="83" t="s">
        <v>4902</v>
      </c>
      <c r="D208" s="84" t="s">
        <v>4914</v>
      </c>
      <c r="E208" s="153" t="s">
        <v>4964</v>
      </c>
      <c r="F208" s="154" t="s">
        <v>72</v>
      </c>
      <c r="G208" s="187"/>
      <c r="H208" s="109" t="s">
        <v>4977</v>
      </c>
      <c r="I208" s="153" t="s">
        <v>9</v>
      </c>
      <c r="J208" s="154"/>
      <c r="K208" s="155">
        <f>M210</f>
        <v>0.001</v>
      </c>
      <c r="L208" s="155"/>
      <c r="M208" s="155"/>
      <c r="N208" s="153"/>
      <c r="O208" s="153"/>
      <c r="P208" s="153"/>
      <c r="Q208" s="156" t="s">
        <v>4905</v>
      </c>
      <c r="R208" s="156"/>
      <c r="S208" s="181" t="e">
        <f>WORKDAY(T208,-INDEX(T$2:T$5,MATCH($I208,$I$2:$I$5,0)),'[36]Equipment List and MR List (3)'!$A$2:$A$80)</f>
        <v>#REF!</v>
      </c>
      <c r="T208" s="181" t="e">
        <f>WORKDAY(U208,-INDEX(U$2:U$5,MATCH($I208,$I$2:$I$5,0)),$BB$10:$BB$141)</f>
        <v>#REF!</v>
      </c>
      <c r="U208" s="181" t="e">
        <f>WORKDAY(V208,-INDEX(V$2:V$5,MATCH($I208,$I$2:$I$5,0)),$BB$10:$BB$141)</f>
        <v>#REF!</v>
      </c>
      <c r="V208" s="181" t="e">
        <f>WORKDAY(W208,-INDEX(W$2:W$5,MATCH($I208,$I$2:$I$5,0)),$BB$10:$BB$141)</f>
        <v>#REF!</v>
      </c>
      <c r="W208" s="181" t="e">
        <f>WORKDAY(#REF!,-INDEX(#REF!,MATCH($I208,$I$2:$I$5,0)),$BB$10:$BB$141)</f>
        <v>#REF!</v>
      </c>
      <c r="X208" s="181" t="e">
        <f>WORKDAY(Y208,-INDEX(Y$2:Y$5,MATCH($I208,$I$2:$I$5,0)),$BB$10:$BB$141)</f>
        <v>#REF!</v>
      </c>
      <c r="Y208" s="181" t="e">
        <f>WORKDAY(Z208,-INDEX(Z$2:Z$5,MATCH($I208,$I$2:$I$5,0)),$BB$10:$BB$141)</f>
        <v>#REF!</v>
      </c>
      <c r="Z208" s="181" t="e">
        <f>WORKDAY(AA208,-INDEX(AA$2:AA$5,MATCH($I208,$I$2:$I$5,0)),$BB$10:$BB$141)</f>
        <v>#REF!</v>
      </c>
      <c r="AA208" s="181" t="e">
        <f>WORKDAY(#REF!,-INDEX(#REF!,MATCH($I208,$I$2:$I$5,0)),$BB$10:$BB$141)</f>
        <v>#REF!</v>
      </c>
      <c r="AB208" s="181">
        <f>WORKDAY(AG208,0,'[36]Equipment List and MR List (3)'!$A$2:$A$80)</f>
        <v>0</v>
      </c>
      <c r="AC208" s="92" t="s">
        <v>4906</v>
      </c>
      <c r="AD208" s="93">
        <v>7</v>
      </c>
      <c r="AE208" s="182">
        <v>69</v>
      </c>
      <c r="AF208" s="95" t="e">
        <f>AB209</f>
        <v>#REF!</v>
      </c>
      <c r="AG208" s="96"/>
      <c r="AH208" s="97"/>
      <c r="AI208" s="98"/>
      <c r="AJ208" s="93" t="e">
        <f>AG208-AF208</f>
        <v>#REF!</v>
      </c>
      <c r="AK208" s="157"/>
      <c r="AL208" s="158"/>
      <c r="AM208" s="159">
        <f t="shared" ref="AM208:AW208" si="255">IF(ISERROR(LOOKUP(AM$6,$S208:$AB208,$S$9:$AB$9)),0,(LOOKUP(AM$6,$S208:$AB208,$S$9:$AB$9)))</f>
        <v>0.95</v>
      </c>
      <c r="AN208" s="160">
        <f t="shared" si="255"/>
        <v>0.95</v>
      </c>
      <c r="AO208" s="160">
        <f t="shared" si="255"/>
        <v>0.95</v>
      </c>
      <c r="AP208" s="160">
        <f t="shared" si="255"/>
        <v>0.95</v>
      </c>
      <c r="AQ208" s="160">
        <f t="shared" si="255"/>
        <v>0.95</v>
      </c>
      <c r="AR208" s="160">
        <f t="shared" si="255"/>
        <v>0.95</v>
      </c>
      <c r="AS208" s="160">
        <f t="shared" si="255"/>
        <v>0.95</v>
      </c>
      <c r="AT208" s="160">
        <f t="shared" si="255"/>
        <v>0.95</v>
      </c>
      <c r="AU208" s="160">
        <f t="shared" si="255"/>
        <v>0.95</v>
      </c>
      <c r="AV208" s="160">
        <f t="shared" si="255"/>
        <v>0.95</v>
      </c>
      <c r="AW208" s="160">
        <f ca="1" t="shared" si="255"/>
        <v>0.95</v>
      </c>
      <c r="BB208" s="161"/>
    </row>
    <row r="209" s="21" customFormat="1" ht="18" customHeight="1" spans="1:54">
      <c r="A209" s="104"/>
      <c r="B209" s="183"/>
      <c r="C209" s="106"/>
      <c r="D209" s="107" t="str">
        <f>D208</f>
        <v>PIP</v>
      </c>
      <c r="E209" s="162" t="str">
        <f>E208</f>
        <v>RFQ-054</v>
      </c>
      <c r="F209" s="163" t="str">
        <f>F208</f>
        <v>N</v>
      </c>
      <c r="G209" s="188"/>
      <c r="H209" s="109" t="str">
        <f>H208</f>
        <v>PIPING SURPPORT</v>
      </c>
      <c r="I209" s="162" t="str">
        <f>I208</f>
        <v>LD</v>
      </c>
      <c r="J209" s="163"/>
      <c r="K209" s="164"/>
      <c r="L209" s="164">
        <f>M210</f>
        <v>0.001</v>
      </c>
      <c r="M209" s="164"/>
      <c r="N209" s="162"/>
      <c r="O209" s="162"/>
      <c r="P209" s="162"/>
      <c r="Q209" s="165" t="s">
        <v>4907</v>
      </c>
      <c r="R209" s="165"/>
      <c r="S209" s="166" t="e">
        <f>S208</f>
        <v>#REF!</v>
      </c>
      <c r="T209" s="167" t="e">
        <f>T208</f>
        <v>#REF!</v>
      </c>
      <c r="U209" s="167" t="e">
        <f>WORKDAY(IF(T210="",T209,T210),INDEX(U$2:U$5,MATCH($I208,$I$2:$I$5,0)),$BB$10:$BB$141)</f>
        <v>#REF!</v>
      </c>
      <c r="V209" s="167" t="e">
        <f>WORKDAY(IF(U210="",U209,U210),INDEX(V$2:V$5,MATCH($I208,$I$2:$I$5,0)),$BB$10:$BB$141)</f>
        <v>#REF!</v>
      </c>
      <c r="W209" s="167" t="e">
        <f>WORKDAY(IF(V210="",V209,V210),INDEX(W$2:W$5,MATCH($I208,$I$2:$I$5,0)),$BB$10:$BB$141)</f>
        <v>#REF!</v>
      </c>
      <c r="X209" s="167" t="e">
        <f>WORKDAY(IF(#REF!="",#REF!,#REF!),INDEX(X$2:X$5,MATCH($I208,$I$2:$I$5,0)),$BB$10:$BB$141)</f>
        <v>#REF!</v>
      </c>
      <c r="Y209" s="167" t="e">
        <f>WORKDAY(IF(X210="",X209,X210),INDEX(Y$2:Y$5,MATCH($I208,$I$2:$I$5,0)),$BB$10:$BB$141)</f>
        <v>#REF!</v>
      </c>
      <c r="Z209" s="167" t="e">
        <f>WORKDAY(IF(Y210="",Y209,Y210),INDEX(Z$2:Z$5,MATCH($I208,$I$2:$I$5,0)),$BB$10:$BB$141)</f>
        <v>#REF!</v>
      </c>
      <c r="AA209" s="167" t="e">
        <f>WORKDAY(IF(Z210="",Z209,Z210),INDEX(AA$2:AA$5,MATCH($I208,$I$2:$I$5,0)),$BB$10:$BB$141)</f>
        <v>#REF!</v>
      </c>
      <c r="AB209" s="168" t="e">
        <f>AE208+#REF!</f>
        <v>#REF!</v>
      </c>
      <c r="AC209" s="117"/>
      <c r="AD209" s="118"/>
      <c r="AE209" s="184"/>
      <c r="AF209" s="119"/>
      <c r="AG209" s="120"/>
      <c r="AH209" s="121"/>
      <c r="AI209" s="122"/>
      <c r="AJ209" s="118"/>
      <c r="AK209" s="169"/>
      <c r="AL209" s="170"/>
      <c r="AM209" s="159">
        <f t="shared" ref="AM209:AW209" si="256">IF(ISERROR(LOOKUP(AM$6,$S209:$AB209,$S$9:$AB$9)),0,(LOOKUP(AM$6,$S209:$AB209,$S$9:$AB$9)))</f>
        <v>0</v>
      </c>
      <c r="AN209" s="160">
        <f t="shared" si="256"/>
        <v>0</v>
      </c>
      <c r="AO209" s="160">
        <f t="shared" si="256"/>
        <v>0</v>
      </c>
      <c r="AP209" s="160">
        <f t="shared" si="256"/>
        <v>0</v>
      </c>
      <c r="AQ209" s="160">
        <f t="shared" si="256"/>
        <v>0</v>
      </c>
      <c r="AR209" s="160">
        <f t="shared" si="256"/>
        <v>0</v>
      </c>
      <c r="AS209" s="160">
        <f t="shared" si="256"/>
        <v>0</v>
      </c>
      <c r="AT209" s="160">
        <f t="shared" si="256"/>
        <v>0</v>
      </c>
      <c r="AU209" s="160">
        <f t="shared" si="256"/>
        <v>0</v>
      </c>
      <c r="AV209" s="160">
        <f t="shared" si="256"/>
        <v>0</v>
      </c>
      <c r="AW209" s="160">
        <f ca="1" t="shared" si="256"/>
        <v>0</v>
      </c>
      <c r="BB209" s="161"/>
    </row>
    <row r="210" s="21" customFormat="1" ht="18" customHeight="1" spans="1:54">
      <c r="A210" s="125"/>
      <c r="B210" s="185"/>
      <c r="C210" s="127"/>
      <c r="D210" s="128" t="str">
        <f>D208</f>
        <v>PIP</v>
      </c>
      <c r="E210" s="171" t="str">
        <f>E208</f>
        <v>RFQ-054</v>
      </c>
      <c r="F210" s="172" t="str">
        <f>F208</f>
        <v>N</v>
      </c>
      <c r="G210" s="189"/>
      <c r="H210" s="109" t="str">
        <f>H208</f>
        <v>PIPING SURPPORT</v>
      </c>
      <c r="I210" s="171" t="str">
        <f>I208</f>
        <v>LD</v>
      </c>
      <c r="J210" s="172"/>
      <c r="K210" s="173"/>
      <c r="L210" s="173"/>
      <c r="M210" s="173">
        <v>0.001</v>
      </c>
      <c r="N210" s="171"/>
      <c r="O210" s="171"/>
      <c r="P210" s="171"/>
      <c r="Q210" s="174" t="s">
        <v>4908</v>
      </c>
      <c r="R210" s="174"/>
      <c r="S210" s="175"/>
      <c r="T210" s="175"/>
      <c r="U210" s="175"/>
      <c r="V210" s="175"/>
      <c r="W210" s="175"/>
      <c r="X210" s="175"/>
      <c r="Y210" s="175"/>
      <c r="Z210" s="175"/>
      <c r="AA210" s="175"/>
      <c r="AB210" s="175"/>
      <c r="AC210" s="134"/>
      <c r="AD210" s="135"/>
      <c r="AE210" s="186"/>
      <c r="AF210" s="136"/>
      <c r="AG210" s="137"/>
      <c r="AH210" s="138"/>
      <c r="AI210" s="139"/>
      <c r="AJ210" s="135"/>
      <c r="AK210" s="176"/>
      <c r="AL210" s="177"/>
      <c r="AM210" s="178">
        <f t="shared" ref="AM210:AW210" si="257">IF(ISERROR(LOOKUP(AM$6,$S210:$AB210,$S$9:$AB$9)),0,(LOOKUP(AM$6,$S210:$AB210,$S$9:$AB$9)))</f>
        <v>0</v>
      </c>
      <c r="AN210" s="179">
        <f t="shared" si="257"/>
        <v>0</v>
      </c>
      <c r="AO210" s="179">
        <f t="shared" si="257"/>
        <v>0</v>
      </c>
      <c r="AP210" s="179">
        <f t="shared" si="257"/>
        <v>0</v>
      </c>
      <c r="AQ210" s="179">
        <f t="shared" si="257"/>
        <v>0</v>
      </c>
      <c r="AR210" s="179">
        <f t="shared" si="257"/>
        <v>0</v>
      </c>
      <c r="AS210" s="179">
        <f t="shared" si="257"/>
        <v>0</v>
      </c>
      <c r="AT210" s="179">
        <f t="shared" si="257"/>
        <v>0</v>
      </c>
      <c r="AU210" s="179">
        <f t="shared" si="257"/>
        <v>0</v>
      </c>
      <c r="AV210" s="179">
        <f t="shared" si="257"/>
        <v>0</v>
      </c>
      <c r="AW210" s="179">
        <f ca="1" t="shared" si="257"/>
        <v>0</v>
      </c>
      <c r="BB210" s="161"/>
    </row>
    <row r="211" s="21" customFormat="1" ht="18" customHeight="1" spans="1:54">
      <c r="A211" s="81">
        <f>A208+1</f>
        <v>68</v>
      </c>
      <c r="B211" s="180" t="s">
        <v>4967</v>
      </c>
      <c r="C211" s="83" t="s">
        <v>4902</v>
      </c>
      <c r="D211" s="84" t="s">
        <v>4914</v>
      </c>
      <c r="E211" s="153" t="s">
        <v>4964</v>
      </c>
      <c r="F211" s="154" t="s">
        <v>72</v>
      </c>
      <c r="G211" s="187"/>
      <c r="H211" s="190" t="s">
        <v>343</v>
      </c>
      <c r="I211" s="153" t="s">
        <v>9</v>
      </c>
      <c r="J211" s="154"/>
      <c r="K211" s="155">
        <f>M213</f>
        <v>0.001</v>
      </c>
      <c r="L211" s="155"/>
      <c r="M211" s="155"/>
      <c r="N211" s="153"/>
      <c r="O211" s="153"/>
      <c r="P211" s="153"/>
      <c r="Q211" s="156" t="s">
        <v>4905</v>
      </c>
      <c r="R211" s="156"/>
      <c r="S211" s="181" t="e">
        <f>WORKDAY(T211,-INDEX(T$2:T$5,MATCH($I211,$I$2:$I$5,0)),'[36]Equipment List and MR List (3)'!$A$2:$A$80)</f>
        <v>#REF!</v>
      </c>
      <c r="T211" s="181" t="e">
        <f>WORKDAY(U211,-INDEX(U$2:U$5,MATCH($I211,$I$2:$I$5,0)),$BB$10:$BB$141)</f>
        <v>#REF!</v>
      </c>
      <c r="U211" s="181" t="e">
        <f>WORKDAY(V211,-INDEX(V$2:V$5,MATCH($I211,$I$2:$I$5,0)),$BB$10:$BB$141)</f>
        <v>#REF!</v>
      </c>
      <c r="V211" s="181" t="e">
        <f>WORKDAY(W211,-INDEX(W$2:W$5,MATCH($I211,$I$2:$I$5,0)),$BB$10:$BB$141)</f>
        <v>#REF!</v>
      </c>
      <c r="W211" s="181" t="e">
        <f>WORKDAY(#REF!,-INDEX(#REF!,MATCH($I211,$I$2:$I$5,0)),$BB$10:$BB$141)</f>
        <v>#REF!</v>
      </c>
      <c r="X211" s="181" t="e">
        <f>WORKDAY(Y211,-INDEX(Y$2:Y$5,MATCH($I211,$I$2:$I$5,0)),$BB$10:$BB$141)</f>
        <v>#REF!</v>
      </c>
      <c r="Y211" s="181" t="e">
        <f>WORKDAY(Z211,-INDEX(Z$2:Z$5,MATCH($I211,$I$2:$I$5,0)),$BB$10:$BB$141)</f>
        <v>#REF!</v>
      </c>
      <c r="Z211" s="181" t="e">
        <f>WORKDAY(AA211,-INDEX(AA$2:AA$5,MATCH($I211,$I$2:$I$5,0)),$BB$10:$BB$141)</f>
        <v>#REF!</v>
      </c>
      <c r="AA211" s="181" t="e">
        <f>WORKDAY(#REF!,-INDEX(#REF!,MATCH($I211,$I$2:$I$5,0)),$BB$10:$BB$141)</f>
        <v>#REF!</v>
      </c>
      <c r="AB211" s="181">
        <f>WORKDAY(AG211,0,'[36]Equipment List and MR List (3)'!$A$2:$A$80)</f>
        <v>0</v>
      </c>
      <c r="AC211" s="92" t="s">
        <v>4906</v>
      </c>
      <c r="AD211" s="93">
        <v>7</v>
      </c>
      <c r="AE211" s="182">
        <v>151</v>
      </c>
      <c r="AF211" s="95" t="e">
        <f>AB212</f>
        <v>#REF!</v>
      </c>
      <c r="AG211" s="96"/>
      <c r="AH211" s="97"/>
      <c r="AI211" s="98"/>
      <c r="AJ211" s="93" t="e">
        <f>AG211-AF211</f>
        <v>#REF!</v>
      </c>
      <c r="AK211" s="157"/>
      <c r="AL211" s="158"/>
      <c r="AM211" s="159">
        <f t="shared" ref="AM211:AW211" si="258">IF(ISERROR(LOOKUP(AM$6,$S211:$AB211,$S$9:$AB$9)),0,(LOOKUP(AM$6,$S211:$AB211,$S$9:$AB$9)))</f>
        <v>0.95</v>
      </c>
      <c r="AN211" s="160">
        <f t="shared" si="258"/>
        <v>0.95</v>
      </c>
      <c r="AO211" s="160">
        <f t="shared" si="258"/>
        <v>0.95</v>
      </c>
      <c r="AP211" s="160">
        <f t="shared" si="258"/>
        <v>0.95</v>
      </c>
      <c r="AQ211" s="160">
        <f t="shared" si="258"/>
        <v>0.95</v>
      </c>
      <c r="AR211" s="160">
        <f t="shared" si="258"/>
        <v>0.95</v>
      </c>
      <c r="AS211" s="160">
        <f t="shared" si="258"/>
        <v>0.95</v>
      </c>
      <c r="AT211" s="160">
        <f t="shared" si="258"/>
        <v>0.95</v>
      </c>
      <c r="AU211" s="160">
        <f t="shared" si="258"/>
        <v>0.95</v>
      </c>
      <c r="AV211" s="160">
        <f t="shared" si="258"/>
        <v>0.95</v>
      </c>
      <c r="AW211" s="160">
        <f ca="1" t="shared" si="258"/>
        <v>0.95</v>
      </c>
      <c r="BB211" s="161"/>
    </row>
    <row r="212" s="21" customFormat="1" ht="18" customHeight="1" spans="1:54">
      <c r="A212" s="104"/>
      <c r="B212" s="183"/>
      <c r="C212" s="106"/>
      <c r="D212" s="107" t="str">
        <f>D211</f>
        <v>PIP</v>
      </c>
      <c r="E212" s="162" t="str">
        <f>E211</f>
        <v>RFQ-054</v>
      </c>
      <c r="F212" s="163" t="str">
        <f>F211</f>
        <v>N</v>
      </c>
      <c r="G212" s="188"/>
      <c r="H212" s="191" t="str">
        <f>H211</f>
        <v>Strainer</v>
      </c>
      <c r="I212" s="162" t="str">
        <f>I211</f>
        <v>LD</v>
      </c>
      <c r="J212" s="163"/>
      <c r="K212" s="164"/>
      <c r="L212" s="164">
        <f>M213</f>
        <v>0.001</v>
      </c>
      <c r="M212" s="164"/>
      <c r="N212" s="162"/>
      <c r="O212" s="162"/>
      <c r="P212" s="162"/>
      <c r="Q212" s="165" t="s">
        <v>4907</v>
      </c>
      <c r="R212" s="165"/>
      <c r="S212" s="166" t="e">
        <f>S211</f>
        <v>#REF!</v>
      </c>
      <c r="T212" s="167" t="e">
        <f>T211</f>
        <v>#REF!</v>
      </c>
      <c r="U212" s="167" t="e">
        <f>WORKDAY(IF(T213="",T212,T213),INDEX(U$2:U$5,MATCH($I211,$I$2:$I$5,0)),$BB$10:$BB$141)</f>
        <v>#REF!</v>
      </c>
      <c r="V212" s="167" t="e">
        <f>WORKDAY(IF(U213="",U212,U213),INDEX(V$2:V$5,MATCH($I211,$I$2:$I$5,0)),$BB$10:$BB$141)</f>
        <v>#REF!</v>
      </c>
      <c r="W212" s="167" t="e">
        <f>WORKDAY(IF(V213="",V212,V213),INDEX(W$2:W$5,MATCH($I211,$I$2:$I$5,0)),$BB$10:$BB$141)</f>
        <v>#REF!</v>
      </c>
      <c r="X212" s="167" t="e">
        <f>WORKDAY(IF(#REF!="",#REF!,#REF!),INDEX(X$2:X$5,MATCH($I211,$I$2:$I$5,0)),$BB$10:$BB$141)</f>
        <v>#REF!</v>
      </c>
      <c r="Y212" s="167" t="e">
        <f>WORKDAY(IF(X213="",X212,X213),INDEX(Y$2:Y$5,MATCH($I211,$I$2:$I$5,0)),$BB$10:$BB$141)</f>
        <v>#REF!</v>
      </c>
      <c r="Z212" s="167" t="e">
        <f>WORKDAY(IF(Y213="",Y212,Y213),INDEX(Z$2:Z$5,MATCH($I211,$I$2:$I$5,0)),$BB$10:$BB$141)</f>
        <v>#REF!</v>
      </c>
      <c r="AA212" s="167" t="e">
        <f>WORKDAY(IF(Z213="",Z212,Z213),INDEX(AA$2:AA$5,MATCH($I211,$I$2:$I$5,0)),$BB$10:$BB$141)</f>
        <v>#REF!</v>
      </c>
      <c r="AB212" s="168" t="e">
        <f>AE211+#REF!</f>
        <v>#REF!</v>
      </c>
      <c r="AC212" s="117"/>
      <c r="AD212" s="118"/>
      <c r="AE212" s="184"/>
      <c r="AF212" s="119"/>
      <c r="AG212" s="120"/>
      <c r="AH212" s="121"/>
      <c r="AI212" s="122"/>
      <c r="AJ212" s="118"/>
      <c r="AK212" s="169"/>
      <c r="AL212" s="170"/>
      <c r="AM212" s="159">
        <f t="shared" ref="AM212:AW212" si="259">IF(ISERROR(LOOKUP(AM$6,$S212:$AB212,$S$9:$AB$9)),0,(LOOKUP(AM$6,$S212:$AB212,$S$9:$AB$9)))</f>
        <v>0</v>
      </c>
      <c r="AN212" s="160">
        <f t="shared" si="259"/>
        <v>0</v>
      </c>
      <c r="AO212" s="160">
        <f t="shared" si="259"/>
        <v>0</v>
      </c>
      <c r="AP212" s="160">
        <f t="shared" si="259"/>
        <v>0</v>
      </c>
      <c r="AQ212" s="160">
        <f t="shared" si="259"/>
        <v>0</v>
      </c>
      <c r="AR212" s="160">
        <f t="shared" si="259"/>
        <v>0</v>
      </c>
      <c r="AS212" s="160">
        <f t="shared" si="259"/>
        <v>0</v>
      </c>
      <c r="AT212" s="160">
        <f t="shared" si="259"/>
        <v>0</v>
      </c>
      <c r="AU212" s="160">
        <f t="shared" si="259"/>
        <v>0</v>
      </c>
      <c r="AV212" s="160">
        <f t="shared" si="259"/>
        <v>0</v>
      </c>
      <c r="AW212" s="160">
        <f ca="1" t="shared" si="259"/>
        <v>0</v>
      </c>
      <c r="BB212" s="161"/>
    </row>
    <row r="213" s="21" customFormat="1" ht="18" customHeight="1" spans="1:54">
      <c r="A213" s="125"/>
      <c r="B213" s="185"/>
      <c r="C213" s="127"/>
      <c r="D213" s="128" t="str">
        <f>D211</f>
        <v>PIP</v>
      </c>
      <c r="E213" s="171" t="str">
        <f>E211</f>
        <v>RFQ-054</v>
      </c>
      <c r="F213" s="172" t="str">
        <f>F211</f>
        <v>N</v>
      </c>
      <c r="G213" s="189"/>
      <c r="H213" s="192" t="str">
        <f>H211</f>
        <v>Strainer</v>
      </c>
      <c r="I213" s="171" t="str">
        <f>I211</f>
        <v>LD</v>
      </c>
      <c r="J213" s="172"/>
      <c r="K213" s="173"/>
      <c r="L213" s="173"/>
      <c r="M213" s="173">
        <v>0.001</v>
      </c>
      <c r="N213" s="171"/>
      <c r="O213" s="171"/>
      <c r="P213" s="171"/>
      <c r="Q213" s="174" t="s">
        <v>4908</v>
      </c>
      <c r="R213" s="174"/>
      <c r="S213" s="175"/>
      <c r="T213" s="175"/>
      <c r="U213" s="175"/>
      <c r="V213" s="175"/>
      <c r="W213" s="175"/>
      <c r="X213" s="175"/>
      <c r="Y213" s="175"/>
      <c r="Z213" s="175"/>
      <c r="AA213" s="175"/>
      <c r="AB213" s="175"/>
      <c r="AC213" s="134"/>
      <c r="AD213" s="135"/>
      <c r="AE213" s="186"/>
      <c r="AF213" s="136"/>
      <c r="AG213" s="137"/>
      <c r="AH213" s="138"/>
      <c r="AI213" s="139"/>
      <c r="AJ213" s="135"/>
      <c r="AK213" s="176"/>
      <c r="AL213" s="177"/>
      <c r="AM213" s="178">
        <f t="shared" ref="AM213:AW213" si="260">IF(ISERROR(LOOKUP(AM$6,$S213:$AB213,$S$9:$AB$9)),0,(LOOKUP(AM$6,$S213:$AB213,$S$9:$AB$9)))</f>
        <v>0</v>
      </c>
      <c r="AN213" s="179">
        <f t="shared" si="260"/>
        <v>0</v>
      </c>
      <c r="AO213" s="179">
        <f t="shared" si="260"/>
        <v>0</v>
      </c>
      <c r="AP213" s="179">
        <f t="shared" si="260"/>
        <v>0</v>
      </c>
      <c r="AQ213" s="179">
        <f t="shared" si="260"/>
        <v>0</v>
      </c>
      <c r="AR213" s="179">
        <f t="shared" si="260"/>
        <v>0</v>
      </c>
      <c r="AS213" s="179">
        <f t="shared" si="260"/>
        <v>0</v>
      </c>
      <c r="AT213" s="179">
        <f t="shared" si="260"/>
        <v>0</v>
      </c>
      <c r="AU213" s="179">
        <f t="shared" si="260"/>
        <v>0</v>
      </c>
      <c r="AV213" s="179">
        <f t="shared" si="260"/>
        <v>0</v>
      </c>
      <c r="AW213" s="179">
        <f ca="1" t="shared" si="260"/>
        <v>0</v>
      </c>
      <c r="BB213" s="161"/>
    </row>
    <row r="214" s="21" customFormat="1" ht="18" customHeight="1" spans="1:54">
      <c r="A214" s="81">
        <f>A211+1</f>
        <v>69</v>
      </c>
      <c r="B214" s="180" t="s">
        <v>4967</v>
      </c>
      <c r="C214" s="83" t="s">
        <v>4902</v>
      </c>
      <c r="D214" s="84" t="s">
        <v>4914</v>
      </c>
      <c r="E214" s="153" t="s">
        <v>4964</v>
      </c>
      <c r="F214" s="154" t="s">
        <v>72</v>
      </c>
      <c r="G214" s="187"/>
      <c r="H214" s="190" t="s">
        <v>4978</v>
      </c>
      <c r="I214" s="153" t="s">
        <v>9</v>
      </c>
      <c r="J214" s="154"/>
      <c r="K214" s="155">
        <f>M216</f>
        <v>0.001</v>
      </c>
      <c r="L214" s="155"/>
      <c r="M214" s="155"/>
      <c r="N214" s="153"/>
      <c r="O214" s="153"/>
      <c r="P214" s="153"/>
      <c r="Q214" s="156" t="s">
        <v>4905</v>
      </c>
      <c r="R214" s="156"/>
      <c r="S214" s="181" t="e">
        <f>WORKDAY(T214,-INDEX(T$2:T$5,MATCH($I214,$I$2:$I$5,0)),'[36]Equipment List and MR List (3)'!$A$2:$A$80)</f>
        <v>#REF!</v>
      </c>
      <c r="T214" s="181" t="e">
        <f>WORKDAY(U214,-INDEX(U$2:U$5,MATCH($I214,$I$2:$I$5,0)),$BB$10:$BB$141)</f>
        <v>#REF!</v>
      </c>
      <c r="U214" s="181" t="e">
        <f>WORKDAY(V214,-INDEX(V$2:V$5,MATCH($I214,$I$2:$I$5,0)),$BB$10:$BB$141)</f>
        <v>#REF!</v>
      </c>
      <c r="V214" s="181" t="e">
        <f>WORKDAY(W214,-INDEX(W$2:W$5,MATCH($I214,$I$2:$I$5,0)),$BB$10:$BB$141)</f>
        <v>#REF!</v>
      </c>
      <c r="W214" s="181" t="e">
        <f>WORKDAY(#REF!,-INDEX(#REF!,MATCH($I214,$I$2:$I$5,0)),$BB$10:$BB$141)</f>
        <v>#REF!</v>
      </c>
      <c r="X214" s="181" t="e">
        <f>WORKDAY(Y214,-INDEX(Y$2:Y$5,MATCH($I214,$I$2:$I$5,0)),$BB$10:$BB$141)</f>
        <v>#REF!</v>
      </c>
      <c r="Y214" s="181" t="e">
        <f>WORKDAY(Z214,-INDEX(Z$2:Z$5,MATCH($I214,$I$2:$I$5,0)),$BB$10:$BB$141)</f>
        <v>#REF!</v>
      </c>
      <c r="Z214" s="181" t="e">
        <f>WORKDAY(AA214,-INDEX(AA$2:AA$5,MATCH($I214,$I$2:$I$5,0)),$BB$10:$BB$141)</f>
        <v>#REF!</v>
      </c>
      <c r="AA214" s="181" t="e">
        <f>WORKDAY(#REF!,-INDEX(#REF!,MATCH($I214,$I$2:$I$5,0)),$BB$10:$BB$141)</f>
        <v>#REF!</v>
      </c>
      <c r="AB214" s="181">
        <f>WORKDAY(AG214,0,'[36]Equipment List and MR List (3)'!$A$2:$A$80)</f>
        <v>0</v>
      </c>
      <c r="AC214" s="92" t="s">
        <v>4906</v>
      </c>
      <c r="AD214" s="93">
        <v>7</v>
      </c>
      <c r="AE214" s="182">
        <v>100</v>
      </c>
      <c r="AF214" s="95" t="e">
        <f>AB215</f>
        <v>#REF!</v>
      </c>
      <c r="AG214" s="96"/>
      <c r="AH214" s="97"/>
      <c r="AI214" s="98"/>
      <c r="AJ214" s="93" t="e">
        <f>AG214-AF214</f>
        <v>#REF!</v>
      </c>
      <c r="AK214" s="157"/>
      <c r="AL214" s="158"/>
      <c r="AM214" s="159">
        <f t="shared" ref="AM214:AW214" si="261">IF(ISERROR(LOOKUP(AM$6,$S214:$AB214,$S$9:$AB$9)),0,(LOOKUP(AM$6,$S214:$AB214,$S$9:$AB$9)))</f>
        <v>0.95</v>
      </c>
      <c r="AN214" s="160">
        <f t="shared" si="261"/>
        <v>0.95</v>
      </c>
      <c r="AO214" s="160">
        <f t="shared" si="261"/>
        <v>0.95</v>
      </c>
      <c r="AP214" s="160">
        <f t="shared" si="261"/>
        <v>0.95</v>
      </c>
      <c r="AQ214" s="160">
        <f t="shared" si="261"/>
        <v>0.95</v>
      </c>
      <c r="AR214" s="160">
        <f t="shared" si="261"/>
        <v>0.95</v>
      </c>
      <c r="AS214" s="160">
        <f t="shared" si="261"/>
        <v>0.95</v>
      </c>
      <c r="AT214" s="160">
        <f t="shared" si="261"/>
        <v>0.95</v>
      </c>
      <c r="AU214" s="160">
        <f t="shared" si="261"/>
        <v>0.95</v>
      </c>
      <c r="AV214" s="160">
        <f t="shared" si="261"/>
        <v>0.95</v>
      </c>
      <c r="AW214" s="160">
        <f ca="1" t="shared" si="261"/>
        <v>0.95</v>
      </c>
      <c r="BB214" s="161"/>
    </row>
    <row r="215" s="21" customFormat="1" ht="18" customHeight="1" spans="1:54">
      <c r="A215" s="104"/>
      <c r="B215" s="183"/>
      <c r="C215" s="106"/>
      <c r="D215" s="107" t="str">
        <f>D214</f>
        <v>PIP</v>
      </c>
      <c r="E215" s="162" t="str">
        <f>E214</f>
        <v>RFQ-054</v>
      </c>
      <c r="F215" s="163" t="str">
        <f>F214</f>
        <v>N</v>
      </c>
      <c r="G215" s="188"/>
      <c r="H215" s="191" t="str">
        <f>H214</f>
        <v>BOLT &amp; NUTS</v>
      </c>
      <c r="I215" s="162" t="str">
        <f>I214</f>
        <v>LD</v>
      </c>
      <c r="J215" s="163"/>
      <c r="K215" s="164"/>
      <c r="L215" s="164">
        <f>M216</f>
        <v>0.001</v>
      </c>
      <c r="M215" s="164"/>
      <c r="N215" s="162"/>
      <c r="O215" s="162"/>
      <c r="P215" s="162"/>
      <c r="Q215" s="165" t="s">
        <v>4907</v>
      </c>
      <c r="R215" s="165"/>
      <c r="S215" s="166" t="e">
        <f>S214</f>
        <v>#REF!</v>
      </c>
      <c r="T215" s="167" t="e">
        <f>T214</f>
        <v>#REF!</v>
      </c>
      <c r="U215" s="167" t="e">
        <f>WORKDAY(IF(T216="",T215,T216),INDEX(U$2:U$5,MATCH($I214,$I$2:$I$5,0)),$BB$10:$BB$141)</f>
        <v>#REF!</v>
      </c>
      <c r="V215" s="167" t="e">
        <f>WORKDAY(IF(U216="",U215,U216),INDEX(V$2:V$5,MATCH($I214,$I$2:$I$5,0)),$BB$10:$BB$141)</f>
        <v>#REF!</v>
      </c>
      <c r="W215" s="167" t="e">
        <f>WORKDAY(IF(V216="",V215,V216),INDEX(W$2:W$5,MATCH($I214,$I$2:$I$5,0)),$BB$10:$BB$141)</f>
        <v>#REF!</v>
      </c>
      <c r="X215" s="167" t="e">
        <f>WORKDAY(IF(#REF!="",#REF!,#REF!),INDEX(X$2:X$5,MATCH($I214,$I$2:$I$5,0)),$BB$10:$BB$141)</f>
        <v>#REF!</v>
      </c>
      <c r="Y215" s="167" t="e">
        <f>WORKDAY(IF(X216="",X215,X216),INDEX(Y$2:Y$5,MATCH($I214,$I$2:$I$5,0)),$BB$10:$BB$141)</f>
        <v>#REF!</v>
      </c>
      <c r="Z215" s="167" t="e">
        <f>WORKDAY(IF(Y216="",Y215,Y216),INDEX(Z$2:Z$5,MATCH($I214,$I$2:$I$5,0)),$BB$10:$BB$141)</f>
        <v>#REF!</v>
      </c>
      <c r="AA215" s="167" t="e">
        <f>WORKDAY(IF(Z216="",Z215,Z216),INDEX(AA$2:AA$5,MATCH($I214,$I$2:$I$5,0)),$BB$10:$BB$141)</f>
        <v>#REF!</v>
      </c>
      <c r="AB215" s="168" t="e">
        <f>AE214+#REF!</f>
        <v>#REF!</v>
      </c>
      <c r="AC215" s="117"/>
      <c r="AD215" s="118"/>
      <c r="AE215" s="184"/>
      <c r="AF215" s="119"/>
      <c r="AG215" s="120"/>
      <c r="AH215" s="121"/>
      <c r="AI215" s="122"/>
      <c r="AJ215" s="118"/>
      <c r="AK215" s="169"/>
      <c r="AL215" s="170"/>
      <c r="AM215" s="159">
        <f t="shared" ref="AM215:AW215" si="262">IF(ISERROR(LOOKUP(AM$6,$S215:$AB215,$S$9:$AB$9)),0,(LOOKUP(AM$6,$S215:$AB215,$S$9:$AB$9)))</f>
        <v>0</v>
      </c>
      <c r="AN215" s="160">
        <f t="shared" si="262"/>
        <v>0</v>
      </c>
      <c r="AO215" s="160">
        <f t="shared" si="262"/>
        <v>0</v>
      </c>
      <c r="AP215" s="160">
        <f t="shared" si="262"/>
        <v>0</v>
      </c>
      <c r="AQ215" s="160">
        <f t="shared" si="262"/>
        <v>0</v>
      </c>
      <c r="AR215" s="160">
        <f t="shared" si="262"/>
        <v>0</v>
      </c>
      <c r="AS215" s="160">
        <f t="shared" si="262"/>
        <v>0</v>
      </c>
      <c r="AT215" s="160">
        <f t="shared" si="262"/>
        <v>0</v>
      </c>
      <c r="AU215" s="160">
        <f t="shared" si="262"/>
        <v>0</v>
      </c>
      <c r="AV215" s="160">
        <f t="shared" si="262"/>
        <v>0</v>
      </c>
      <c r="AW215" s="160">
        <f ca="1" t="shared" si="262"/>
        <v>0</v>
      </c>
      <c r="BB215" s="161"/>
    </row>
    <row r="216" s="21" customFormat="1" ht="18" customHeight="1" spans="1:54">
      <c r="A216" s="125"/>
      <c r="B216" s="185"/>
      <c r="C216" s="127"/>
      <c r="D216" s="128" t="str">
        <f>D214</f>
        <v>PIP</v>
      </c>
      <c r="E216" s="171" t="str">
        <f>E214</f>
        <v>RFQ-054</v>
      </c>
      <c r="F216" s="172" t="str">
        <f>F214</f>
        <v>N</v>
      </c>
      <c r="G216" s="189"/>
      <c r="H216" s="192" t="str">
        <f>H214</f>
        <v>BOLT &amp; NUTS</v>
      </c>
      <c r="I216" s="171" t="str">
        <f>I214</f>
        <v>LD</v>
      </c>
      <c r="J216" s="172"/>
      <c r="K216" s="173"/>
      <c r="L216" s="173"/>
      <c r="M216" s="173">
        <v>0.001</v>
      </c>
      <c r="N216" s="171"/>
      <c r="O216" s="171"/>
      <c r="P216" s="171"/>
      <c r="Q216" s="174" t="s">
        <v>4908</v>
      </c>
      <c r="R216" s="174"/>
      <c r="S216" s="175"/>
      <c r="T216" s="175"/>
      <c r="U216" s="175"/>
      <c r="V216" s="175"/>
      <c r="W216" s="175"/>
      <c r="X216" s="175"/>
      <c r="Y216" s="175"/>
      <c r="Z216" s="175"/>
      <c r="AA216" s="175"/>
      <c r="AB216" s="175"/>
      <c r="AC216" s="134"/>
      <c r="AD216" s="135"/>
      <c r="AE216" s="186"/>
      <c r="AF216" s="136"/>
      <c r="AG216" s="137"/>
      <c r="AH216" s="138"/>
      <c r="AI216" s="139"/>
      <c r="AJ216" s="135"/>
      <c r="AK216" s="176"/>
      <c r="AL216" s="177"/>
      <c r="AM216" s="178">
        <f t="shared" ref="AM216:AW216" si="263">IF(ISERROR(LOOKUP(AM$6,$S216:$AB216,$S$9:$AB$9)),0,(LOOKUP(AM$6,$S216:$AB216,$S$9:$AB$9)))</f>
        <v>0</v>
      </c>
      <c r="AN216" s="179">
        <f t="shared" si="263"/>
        <v>0</v>
      </c>
      <c r="AO216" s="179">
        <f t="shared" si="263"/>
        <v>0</v>
      </c>
      <c r="AP216" s="179">
        <f t="shared" si="263"/>
        <v>0</v>
      </c>
      <c r="AQ216" s="179">
        <f t="shared" si="263"/>
        <v>0</v>
      </c>
      <c r="AR216" s="179">
        <f t="shared" si="263"/>
        <v>0</v>
      </c>
      <c r="AS216" s="179">
        <f t="shared" si="263"/>
        <v>0</v>
      </c>
      <c r="AT216" s="179">
        <f t="shared" si="263"/>
        <v>0</v>
      </c>
      <c r="AU216" s="179">
        <f t="shared" si="263"/>
        <v>0</v>
      </c>
      <c r="AV216" s="179">
        <f t="shared" si="263"/>
        <v>0</v>
      </c>
      <c r="AW216" s="179">
        <f ca="1" t="shared" si="263"/>
        <v>0</v>
      </c>
      <c r="BB216" s="161"/>
    </row>
    <row r="217" s="21" customFormat="1" ht="18" customHeight="1" spans="1:54">
      <c r="A217" s="81">
        <f>A214+1</f>
        <v>70</v>
      </c>
      <c r="B217" s="180" t="s">
        <v>4967</v>
      </c>
      <c r="C217" s="83" t="s">
        <v>4902</v>
      </c>
      <c r="D217" s="84" t="s">
        <v>4914</v>
      </c>
      <c r="E217" s="153" t="s">
        <v>4964</v>
      </c>
      <c r="F217" s="154" t="s">
        <v>72</v>
      </c>
      <c r="G217" s="187"/>
      <c r="H217" s="190" t="s">
        <v>4979</v>
      </c>
      <c r="I217" s="153" t="s">
        <v>9</v>
      </c>
      <c r="J217" s="154"/>
      <c r="K217" s="155">
        <f>M219</f>
        <v>0.001</v>
      </c>
      <c r="L217" s="155"/>
      <c r="M217" s="155"/>
      <c r="N217" s="153"/>
      <c r="O217" s="153"/>
      <c r="P217" s="153"/>
      <c r="Q217" s="156" t="s">
        <v>4905</v>
      </c>
      <c r="R217" s="156"/>
      <c r="S217" s="181" t="e">
        <f>WORKDAY(T217,-INDEX(T$2:T$5,MATCH($I217,$I$2:$I$5,0)),'[36]Equipment List and MR List (3)'!$A$2:$A$80)</f>
        <v>#REF!</v>
      </c>
      <c r="T217" s="181" t="e">
        <f>WORKDAY(U217,-INDEX(U$2:U$5,MATCH($I217,$I$2:$I$5,0)),$BB$10:$BB$141)</f>
        <v>#REF!</v>
      </c>
      <c r="U217" s="181" t="e">
        <f>WORKDAY(V217,-INDEX(V$2:V$5,MATCH($I217,$I$2:$I$5,0)),$BB$10:$BB$141)</f>
        <v>#REF!</v>
      </c>
      <c r="V217" s="181" t="e">
        <f>WORKDAY(W217,-INDEX(W$2:W$5,MATCH($I217,$I$2:$I$5,0)),$BB$10:$BB$141)</f>
        <v>#REF!</v>
      </c>
      <c r="W217" s="181" t="e">
        <f>WORKDAY(#REF!,-INDEX(#REF!,MATCH($I217,$I$2:$I$5,0)),$BB$10:$BB$141)</f>
        <v>#REF!</v>
      </c>
      <c r="X217" s="181" t="e">
        <f>WORKDAY(Y217,-INDEX(Y$2:Y$5,MATCH($I217,$I$2:$I$5,0)),$BB$10:$BB$141)</f>
        <v>#REF!</v>
      </c>
      <c r="Y217" s="181" t="e">
        <f>WORKDAY(Z217,-INDEX(Z$2:Z$5,MATCH($I217,$I$2:$I$5,0)),$BB$10:$BB$141)</f>
        <v>#REF!</v>
      </c>
      <c r="Z217" s="181" t="e">
        <f>WORKDAY(AA217,-INDEX(AA$2:AA$5,MATCH($I217,$I$2:$I$5,0)),$BB$10:$BB$141)</f>
        <v>#REF!</v>
      </c>
      <c r="AA217" s="181" t="e">
        <f>WORKDAY(#REF!,-INDEX(#REF!,MATCH($I217,$I$2:$I$5,0)),$BB$10:$BB$141)</f>
        <v>#REF!</v>
      </c>
      <c r="AB217" s="181">
        <f>WORKDAY(AG217,0,'[36]Equipment List and MR List (3)'!$A$2:$A$80)</f>
        <v>0</v>
      </c>
      <c r="AC217" s="92" t="s">
        <v>4906</v>
      </c>
      <c r="AD217" s="93">
        <v>7</v>
      </c>
      <c r="AE217" s="182">
        <v>100</v>
      </c>
      <c r="AF217" s="95" t="e">
        <f>AB218</f>
        <v>#REF!</v>
      </c>
      <c r="AG217" s="96"/>
      <c r="AH217" s="97"/>
      <c r="AI217" s="98"/>
      <c r="AJ217" s="93" t="e">
        <f>AG217-AF217</f>
        <v>#REF!</v>
      </c>
      <c r="AK217" s="157"/>
      <c r="AL217" s="158"/>
      <c r="AM217" s="159">
        <f t="shared" ref="AM217:AW217" si="264">IF(ISERROR(LOOKUP(AM$6,$S217:$AB217,$S$9:$AB$9)),0,(LOOKUP(AM$6,$S217:$AB217,$S$9:$AB$9)))</f>
        <v>0.95</v>
      </c>
      <c r="AN217" s="160">
        <f t="shared" si="264"/>
        <v>0.95</v>
      </c>
      <c r="AO217" s="160">
        <f t="shared" si="264"/>
        <v>0.95</v>
      </c>
      <c r="AP217" s="160">
        <f t="shared" si="264"/>
        <v>0.95</v>
      </c>
      <c r="AQ217" s="160">
        <f t="shared" si="264"/>
        <v>0.95</v>
      </c>
      <c r="AR217" s="160">
        <f t="shared" si="264"/>
        <v>0.95</v>
      </c>
      <c r="AS217" s="160">
        <f t="shared" si="264"/>
        <v>0.95</v>
      </c>
      <c r="AT217" s="160">
        <f t="shared" si="264"/>
        <v>0.95</v>
      </c>
      <c r="AU217" s="160">
        <f t="shared" si="264"/>
        <v>0.95</v>
      </c>
      <c r="AV217" s="160">
        <f t="shared" si="264"/>
        <v>0.95</v>
      </c>
      <c r="AW217" s="160">
        <f ca="1" t="shared" si="264"/>
        <v>0.95</v>
      </c>
      <c r="BB217" s="161"/>
    </row>
    <row r="218" s="21" customFormat="1" ht="18" customHeight="1" spans="1:54">
      <c r="A218" s="104"/>
      <c r="B218" s="183"/>
      <c r="C218" s="106"/>
      <c r="D218" s="107" t="str">
        <f>D217</f>
        <v>PIP</v>
      </c>
      <c r="E218" s="162" t="str">
        <f>E217</f>
        <v>RFQ-054</v>
      </c>
      <c r="F218" s="163" t="str">
        <f>F217</f>
        <v>N</v>
      </c>
      <c r="G218" s="188"/>
      <c r="H218" s="191" t="str">
        <f>H217</f>
        <v>CS FITTING</v>
      </c>
      <c r="I218" s="162" t="str">
        <f>I217</f>
        <v>LD</v>
      </c>
      <c r="J218" s="163"/>
      <c r="K218" s="164"/>
      <c r="L218" s="164">
        <f>M219</f>
        <v>0.001</v>
      </c>
      <c r="M218" s="164"/>
      <c r="N218" s="162"/>
      <c r="O218" s="162"/>
      <c r="P218" s="162"/>
      <c r="Q218" s="165" t="s">
        <v>4907</v>
      </c>
      <c r="R218" s="165"/>
      <c r="S218" s="166" t="e">
        <f>S217</f>
        <v>#REF!</v>
      </c>
      <c r="T218" s="167" t="e">
        <f>T217</f>
        <v>#REF!</v>
      </c>
      <c r="U218" s="167" t="e">
        <f>WORKDAY(IF(T219="",T218,T219),INDEX(U$2:U$5,MATCH($I217,$I$2:$I$5,0)),$BB$10:$BB$141)</f>
        <v>#REF!</v>
      </c>
      <c r="V218" s="167" t="e">
        <f>WORKDAY(IF(U219="",U218,U219),INDEX(V$2:V$5,MATCH($I217,$I$2:$I$5,0)),$BB$10:$BB$141)</f>
        <v>#REF!</v>
      </c>
      <c r="W218" s="167" t="e">
        <f>WORKDAY(IF(V219="",V218,V219),INDEX(W$2:W$5,MATCH($I217,$I$2:$I$5,0)),$BB$10:$BB$141)</f>
        <v>#REF!</v>
      </c>
      <c r="X218" s="167" t="e">
        <f>WORKDAY(IF(#REF!="",#REF!,#REF!),INDEX(X$2:X$5,MATCH($I217,$I$2:$I$5,0)),$BB$10:$BB$141)</f>
        <v>#REF!</v>
      </c>
      <c r="Y218" s="167" t="e">
        <f>WORKDAY(IF(X219="",X218,X219),INDEX(Y$2:Y$5,MATCH($I217,$I$2:$I$5,0)),$BB$10:$BB$141)</f>
        <v>#REF!</v>
      </c>
      <c r="Z218" s="167" t="e">
        <f>WORKDAY(IF(Y219="",Y218,Y219),INDEX(Z$2:Z$5,MATCH($I217,$I$2:$I$5,0)),$BB$10:$BB$141)</f>
        <v>#REF!</v>
      </c>
      <c r="AA218" s="167" t="e">
        <f>WORKDAY(IF(Z219="",Z218,Z219),INDEX(AA$2:AA$5,MATCH($I217,$I$2:$I$5,0)),$BB$10:$BB$141)</f>
        <v>#REF!</v>
      </c>
      <c r="AB218" s="168" t="e">
        <f>AE217+#REF!</f>
        <v>#REF!</v>
      </c>
      <c r="AC218" s="117"/>
      <c r="AD218" s="118"/>
      <c r="AE218" s="184"/>
      <c r="AF218" s="119"/>
      <c r="AG218" s="120"/>
      <c r="AH218" s="121"/>
      <c r="AI218" s="122"/>
      <c r="AJ218" s="118"/>
      <c r="AK218" s="169"/>
      <c r="AL218" s="170"/>
      <c r="AM218" s="159">
        <f t="shared" ref="AM218:AW218" si="265">IF(ISERROR(LOOKUP(AM$6,$S218:$AB218,$S$9:$AB$9)),0,(LOOKUP(AM$6,$S218:$AB218,$S$9:$AB$9)))</f>
        <v>0</v>
      </c>
      <c r="AN218" s="160">
        <f t="shared" si="265"/>
        <v>0</v>
      </c>
      <c r="AO218" s="160">
        <f t="shared" si="265"/>
        <v>0</v>
      </c>
      <c r="AP218" s="160">
        <f t="shared" si="265"/>
        <v>0</v>
      </c>
      <c r="AQ218" s="160">
        <f t="shared" si="265"/>
        <v>0</v>
      </c>
      <c r="AR218" s="160">
        <f t="shared" si="265"/>
        <v>0</v>
      </c>
      <c r="AS218" s="160">
        <f t="shared" si="265"/>
        <v>0</v>
      </c>
      <c r="AT218" s="160">
        <f t="shared" si="265"/>
        <v>0</v>
      </c>
      <c r="AU218" s="160">
        <f t="shared" si="265"/>
        <v>0</v>
      </c>
      <c r="AV218" s="160">
        <f t="shared" si="265"/>
        <v>0</v>
      </c>
      <c r="AW218" s="160">
        <f ca="1" t="shared" si="265"/>
        <v>0</v>
      </c>
      <c r="BB218" s="161"/>
    </row>
    <row r="219" s="21" customFormat="1" ht="18" customHeight="1" spans="1:54">
      <c r="A219" s="125"/>
      <c r="B219" s="185"/>
      <c r="C219" s="127"/>
      <c r="D219" s="128" t="str">
        <f>D217</f>
        <v>PIP</v>
      </c>
      <c r="E219" s="171" t="str">
        <f>E217</f>
        <v>RFQ-054</v>
      </c>
      <c r="F219" s="172" t="str">
        <f>F217</f>
        <v>N</v>
      </c>
      <c r="G219" s="189"/>
      <c r="H219" s="192" t="str">
        <f>H217</f>
        <v>CS FITTING</v>
      </c>
      <c r="I219" s="171" t="str">
        <f>I217</f>
        <v>LD</v>
      </c>
      <c r="J219" s="172"/>
      <c r="K219" s="173"/>
      <c r="L219" s="173"/>
      <c r="M219" s="173">
        <v>0.001</v>
      </c>
      <c r="N219" s="171"/>
      <c r="O219" s="171"/>
      <c r="P219" s="171"/>
      <c r="Q219" s="174" t="s">
        <v>4908</v>
      </c>
      <c r="R219" s="174"/>
      <c r="S219" s="175"/>
      <c r="T219" s="175"/>
      <c r="U219" s="175"/>
      <c r="V219" s="175"/>
      <c r="W219" s="175"/>
      <c r="X219" s="175"/>
      <c r="Y219" s="175"/>
      <c r="Z219" s="175"/>
      <c r="AA219" s="175"/>
      <c r="AB219" s="175"/>
      <c r="AC219" s="134"/>
      <c r="AD219" s="135"/>
      <c r="AE219" s="186"/>
      <c r="AF219" s="136"/>
      <c r="AG219" s="137"/>
      <c r="AH219" s="138"/>
      <c r="AI219" s="139"/>
      <c r="AJ219" s="135"/>
      <c r="AK219" s="176"/>
      <c r="AL219" s="177"/>
      <c r="AM219" s="178">
        <f t="shared" ref="AM219:AW219" si="266">IF(ISERROR(LOOKUP(AM$6,$S219:$AB219,$S$9:$AB$9)),0,(LOOKUP(AM$6,$S219:$AB219,$S$9:$AB$9)))</f>
        <v>0</v>
      </c>
      <c r="AN219" s="179">
        <f t="shared" si="266"/>
        <v>0</v>
      </c>
      <c r="AO219" s="179">
        <f t="shared" si="266"/>
        <v>0</v>
      </c>
      <c r="AP219" s="179">
        <f t="shared" si="266"/>
        <v>0</v>
      </c>
      <c r="AQ219" s="179">
        <f t="shared" si="266"/>
        <v>0</v>
      </c>
      <c r="AR219" s="179">
        <f t="shared" si="266"/>
        <v>0</v>
      </c>
      <c r="AS219" s="179">
        <f t="shared" si="266"/>
        <v>0</v>
      </c>
      <c r="AT219" s="179">
        <f t="shared" si="266"/>
        <v>0</v>
      </c>
      <c r="AU219" s="179">
        <f t="shared" si="266"/>
        <v>0</v>
      </c>
      <c r="AV219" s="179">
        <f t="shared" si="266"/>
        <v>0</v>
      </c>
      <c r="AW219" s="179">
        <f ca="1" t="shared" si="266"/>
        <v>0</v>
      </c>
      <c r="BB219" s="161"/>
    </row>
    <row r="220" s="21" customFormat="1" ht="18" customHeight="1" spans="1:54">
      <c r="A220" s="81">
        <f>A217+1</f>
        <v>71</v>
      </c>
      <c r="B220" s="180" t="s">
        <v>4967</v>
      </c>
      <c r="C220" s="83" t="s">
        <v>4902</v>
      </c>
      <c r="D220" s="84" t="s">
        <v>4914</v>
      </c>
      <c r="E220" s="153" t="s">
        <v>4964</v>
      </c>
      <c r="F220" s="154" t="s">
        <v>72</v>
      </c>
      <c r="G220" s="187"/>
      <c r="H220" s="190" t="s">
        <v>4980</v>
      </c>
      <c r="I220" s="153" t="s">
        <v>9</v>
      </c>
      <c r="J220" s="154"/>
      <c r="K220" s="155">
        <f>M222</f>
        <v>0.001</v>
      </c>
      <c r="L220" s="155"/>
      <c r="M220" s="155"/>
      <c r="N220" s="153"/>
      <c r="O220" s="153"/>
      <c r="P220" s="153"/>
      <c r="Q220" s="156" t="s">
        <v>4905</v>
      </c>
      <c r="R220" s="156"/>
      <c r="S220" s="181" t="e">
        <f>WORKDAY(T220,-INDEX(T$2:T$5,MATCH($I220,$I$2:$I$5,0)),'[36]Equipment List and MR List (3)'!$A$2:$A$80)</f>
        <v>#REF!</v>
      </c>
      <c r="T220" s="181" t="e">
        <f>WORKDAY(U220,-INDEX(U$2:U$5,MATCH($I220,$I$2:$I$5,0)),$BB$10:$BB$141)</f>
        <v>#REF!</v>
      </c>
      <c r="U220" s="181" t="e">
        <f>WORKDAY(V220,-INDEX(V$2:V$5,MATCH($I220,$I$2:$I$5,0)),$BB$10:$BB$141)</f>
        <v>#REF!</v>
      </c>
      <c r="V220" s="181" t="e">
        <f>WORKDAY(W220,-INDEX(W$2:W$5,MATCH($I220,$I$2:$I$5,0)),$BB$10:$BB$141)</f>
        <v>#REF!</v>
      </c>
      <c r="W220" s="181" t="e">
        <f>WORKDAY(#REF!,-INDEX(#REF!,MATCH($I220,$I$2:$I$5,0)),$BB$10:$BB$141)</f>
        <v>#REF!</v>
      </c>
      <c r="X220" s="181" t="e">
        <f>WORKDAY(Y220,-INDEX(Y$2:Y$5,MATCH($I220,$I$2:$I$5,0)),$BB$10:$BB$141)</f>
        <v>#REF!</v>
      </c>
      <c r="Y220" s="181" t="e">
        <f>WORKDAY(Z220,-INDEX(Z$2:Z$5,MATCH($I220,$I$2:$I$5,0)),$BB$10:$BB$141)</f>
        <v>#REF!</v>
      </c>
      <c r="Z220" s="181" t="e">
        <f>WORKDAY(AA220,-INDEX(AA$2:AA$5,MATCH($I220,$I$2:$I$5,0)),$BB$10:$BB$141)</f>
        <v>#REF!</v>
      </c>
      <c r="AA220" s="181" t="e">
        <f>WORKDAY(#REF!,-INDEX(#REF!,MATCH($I220,$I$2:$I$5,0)),$BB$10:$BB$141)</f>
        <v>#REF!</v>
      </c>
      <c r="AB220" s="181">
        <f>WORKDAY(AG220,0,'[36]Equipment List and MR List (3)'!$A$2:$A$80)</f>
        <v>0</v>
      </c>
      <c r="AC220" s="92" t="s">
        <v>4906</v>
      </c>
      <c r="AD220" s="93">
        <v>7</v>
      </c>
      <c r="AE220" s="182">
        <v>100</v>
      </c>
      <c r="AF220" s="95" t="e">
        <f>AB221</f>
        <v>#REF!</v>
      </c>
      <c r="AG220" s="96"/>
      <c r="AH220" s="97"/>
      <c r="AI220" s="98"/>
      <c r="AJ220" s="93" t="e">
        <f>AG220-AF220</f>
        <v>#REF!</v>
      </c>
      <c r="AK220" s="157"/>
      <c r="AL220" s="158"/>
      <c r="AM220" s="159">
        <f t="shared" ref="AM220:AW220" si="267">IF(ISERROR(LOOKUP(AM$6,$S220:$AB220,$S$9:$AB$9)),0,(LOOKUP(AM$6,$S220:$AB220,$S$9:$AB$9)))</f>
        <v>0.95</v>
      </c>
      <c r="AN220" s="160">
        <f t="shared" si="267"/>
        <v>0.95</v>
      </c>
      <c r="AO220" s="160">
        <f t="shared" si="267"/>
        <v>0.95</v>
      </c>
      <c r="AP220" s="160">
        <f t="shared" si="267"/>
        <v>0.95</v>
      </c>
      <c r="AQ220" s="160">
        <f t="shared" si="267"/>
        <v>0.95</v>
      </c>
      <c r="AR220" s="160">
        <f t="shared" si="267"/>
        <v>0.95</v>
      </c>
      <c r="AS220" s="160">
        <f t="shared" si="267"/>
        <v>0.95</v>
      </c>
      <c r="AT220" s="160">
        <f t="shared" si="267"/>
        <v>0.95</v>
      </c>
      <c r="AU220" s="160">
        <f t="shared" si="267"/>
        <v>0.95</v>
      </c>
      <c r="AV220" s="160">
        <f t="shared" si="267"/>
        <v>0.95</v>
      </c>
      <c r="AW220" s="160">
        <f ca="1" t="shared" si="267"/>
        <v>0.95</v>
      </c>
      <c r="BB220" s="161"/>
    </row>
    <row r="221" s="21" customFormat="1" ht="18" customHeight="1" spans="1:54">
      <c r="A221" s="104"/>
      <c r="B221" s="183"/>
      <c r="C221" s="106"/>
      <c r="D221" s="107" t="str">
        <f>D220</f>
        <v>PIP</v>
      </c>
      <c r="E221" s="162" t="str">
        <f>E220</f>
        <v>RFQ-054</v>
      </c>
      <c r="F221" s="163" t="str">
        <f>F220</f>
        <v>N</v>
      </c>
      <c r="G221" s="188"/>
      <c r="H221" s="191" t="str">
        <f>H220</f>
        <v>SS &amp; DSS FITTING</v>
      </c>
      <c r="I221" s="162" t="str">
        <f>I220</f>
        <v>LD</v>
      </c>
      <c r="J221" s="163"/>
      <c r="K221" s="164"/>
      <c r="L221" s="164">
        <f>M222</f>
        <v>0.001</v>
      </c>
      <c r="M221" s="164"/>
      <c r="N221" s="162"/>
      <c r="O221" s="162"/>
      <c r="P221" s="162"/>
      <c r="Q221" s="165" t="s">
        <v>4907</v>
      </c>
      <c r="R221" s="165"/>
      <c r="S221" s="166" t="e">
        <f>S220</f>
        <v>#REF!</v>
      </c>
      <c r="T221" s="167" t="e">
        <f>T220</f>
        <v>#REF!</v>
      </c>
      <c r="U221" s="167" t="e">
        <f>WORKDAY(IF(T222="",T221,T222),INDEX(U$2:U$5,MATCH($I220,$I$2:$I$5,0)),$BB$10:$BB$141)</f>
        <v>#REF!</v>
      </c>
      <c r="V221" s="167" t="e">
        <f>WORKDAY(IF(U222="",U221,U222),INDEX(V$2:V$5,MATCH($I220,$I$2:$I$5,0)),$BB$10:$BB$141)</f>
        <v>#REF!</v>
      </c>
      <c r="W221" s="167" t="e">
        <f>WORKDAY(IF(V222="",V221,V222),INDEX(W$2:W$5,MATCH($I220,$I$2:$I$5,0)),$BB$10:$BB$141)</f>
        <v>#REF!</v>
      </c>
      <c r="X221" s="167" t="e">
        <f>WORKDAY(IF(#REF!="",#REF!,#REF!),INDEX(X$2:X$5,MATCH($I220,$I$2:$I$5,0)),$BB$10:$BB$141)</f>
        <v>#REF!</v>
      </c>
      <c r="Y221" s="167" t="e">
        <f>WORKDAY(IF(X222="",X221,X222),INDEX(Y$2:Y$5,MATCH($I220,$I$2:$I$5,0)),$BB$10:$BB$141)</f>
        <v>#REF!</v>
      </c>
      <c r="Z221" s="167" t="e">
        <f>WORKDAY(IF(Y222="",Y221,Y222),INDEX(Z$2:Z$5,MATCH($I220,$I$2:$I$5,0)),$BB$10:$BB$141)</f>
        <v>#REF!</v>
      </c>
      <c r="AA221" s="167" t="e">
        <f>WORKDAY(IF(Z222="",Z221,Z222),INDEX(AA$2:AA$5,MATCH($I220,$I$2:$I$5,0)),$BB$10:$BB$141)</f>
        <v>#REF!</v>
      </c>
      <c r="AB221" s="168" t="e">
        <f>AE220+#REF!</f>
        <v>#REF!</v>
      </c>
      <c r="AC221" s="117"/>
      <c r="AD221" s="118"/>
      <c r="AE221" s="184"/>
      <c r="AF221" s="119"/>
      <c r="AG221" s="120"/>
      <c r="AH221" s="121"/>
      <c r="AI221" s="122"/>
      <c r="AJ221" s="118"/>
      <c r="AK221" s="169"/>
      <c r="AL221" s="170"/>
      <c r="AM221" s="159">
        <f t="shared" ref="AM221:AW221" si="268">IF(ISERROR(LOOKUP(AM$6,$S221:$AB221,$S$9:$AB$9)),0,(LOOKUP(AM$6,$S221:$AB221,$S$9:$AB$9)))</f>
        <v>0</v>
      </c>
      <c r="AN221" s="160">
        <f t="shared" si="268"/>
        <v>0</v>
      </c>
      <c r="AO221" s="160">
        <f t="shared" si="268"/>
        <v>0</v>
      </c>
      <c r="AP221" s="160">
        <f t="shared" si="268"/>
        <v>0</v>
      </c>
      <c r="AQ221" s="160">
        <f t="shared" si="268"/>
        <v>0</v>
      </c>
      <c r="AR221" s="160">
        <f t="shared" si="268"/>
        <v>0</v>
      </c>
      <c r="AS221" s="160">
        <f t="shared" si="268"/>
        <v>0</v>
      </c>
      <c r="AT221" s="160">
        <f t="shared" si="268"/>
        <v>0</v>
      </c>
      <c r="AU221" s="160">
        <f t="shared" si="268"/>
        <v>0</v>
      </c>
      <c r="AV221" s="160">
        <f t="shared" si="268"/>
        <v>0</v>
      </c>
      <c r="AW221" s="160">
        <f ca="1" t="shared" si="268"/>
        <v>0</v>
      </c>
      <c r="BB221" s="161"/>
    </row>
    <row r="222" s="21" customFormat="1" ht="18" customHeight="1" spans="1:54">
      <c r="A222" s="125"/>
      <c r="B222" s="185"/>
      <c r="C222" s="127"/>
      <c r="D222" s="128" t="str">
        <f>D220</f>
        <v>PIP</v>
      </c>
      <c r="E222" s="171" t="str">
        <f>E220</f>
        <v>RFQ-054</v>
      </c>
      <c r="F222" s="172" t="str">
        <f>F220</f>
        <v>N</v>
      </c>
      <c r="G222" s="189"/>
      <c r="H222" s="192" t="str">
        <f>H220</f>
        <v>SS &amp; DSS FITTING</v>
      </c>
      <c r="I222" s="171" t="str">
        <f>I220</f>
        <v>LD</v>
      </c>
      <c r="J222" s="172"/>
      <c r="K222" s="173"/>
      <c r="L222" s="173"/>
      <c r="M222" s="173">
        <v>0.001</v>
      </c>
      <c r="N222" s="171"/>
      <c r="O222" s="171"/>
      <c r="P222" s="171"/>
      <c r="Q222" s="174" t="s">
        <v>4908</v>
      </c>
      <c r="R222" s="174"/>
      <c r="S222" s="175"/>
      <c r="T222" s="175"/>
      <c r="U222" s="175"/>
      <c r="V222" s="175"/>
      <c r="W222" s="175"/>
      <c r="X222" s="175"/>
      <c r="Y222" s="175"/>
      <c r="Z222" s="175"/>
      <c r="AA222" s="175"/>
      <c r="AB222" s="175"/>
      <c r="AC222" s="134"/>
      <c r="AD222" s="135"/>
      <c r="AE222" s="186"/>
      <c r="AF222" s="136"/>
      <c r="AG222" s="137"/>
      <c r="AH222" s="138"/>
      <c r="AI222" s="139"/>
      <c r="AJ222" s="135"/>
      <c r="AK222" s="176"/>
      <c r="AL222" s="177"/>
      <c r="AM222" s="178">
        <f t="shared" ref="AM222:AW222" si="269">IF(ISERROR(LOOKUP(AM$6,$S222:$AB222,$S$9:$AB$9)),0,(LOOKUP(AM$6,$S222:$AB222,$S$9:$AB$9)))</f>
        <v>0</v>
      </c>
      <c r="AN222" s="179">
        <f t="shared" si="269"/>
        <v>0</v>
      </c>
      <c r="AO222" s="179">
        <f t="shared" si="269"/>
        <v>0</v>
      </c>
      <c r="AP222" s="179">
        <f t="shared" si="269"/>
        <v>0</v>
      </c>
      <c r="AQ222" s="179">
        <f t="shared" si="269"/>
        <v>0</v>
      </c>
      <c r="AR222" s="179">
        <f t="shared" si="269"/>
        <v>0</v>
      </c>
      <c r="AS222" s="179">
        <f t="shared" si="269"/>
        <v>0</v>
      </c>
      <c r="AT222" s="179">
        <f t="shared" si="269"/>
        <v>0</v>
      </c>
      <c r="AU222" s="179">
        <f t="shared" si="269"/>
        <v>0</v>
      </c>
      <c r="AV222" s="179">
        <f t="shared" si="269"/>
        <v>0</v>
      </c>
      <c r="AW222" s="179">
        <f ca="1" t="shared" si="269"/>
        <v>0</v>
      </c>
      <c r="BB222" s="161"/>
    </row>
    <row r="223" s="21" customFormat="1" ht="18" customHeight="1" spans="1:54">
      <c r="A223" s="81">
        <f>A220+1</f>
        <v>72</v>
      </c>
      <c r="B223" s="180" t="s">
        <v>4967</v>
      </c>
      <c r="C223" s="83" t="s">
        <v>4902</v>
      </c>
      <c r="D223" s="84" t="s">
        <v>4929</v>
      </c>
      <c r="E223" s="153" t="s">
        <v>4964</v>
      </c>
      <c r="F223" s="154" t="s">
        <v>72</v>
      </c>
      <c r="G223" s="187"/>
      <c r="H223" s="86" t="s">
        <v>4981</v>
      </c>
      <c r="I223" s="153" t="s">
        <v>9</v>
      </c>
      <c r="J223" s="154"/>
      <c r="K223" s="155">
        <f>M225</f>
        <v>0.001</v>
      </c>
      <c r="L223" s="155"/>
      <c r="M223" s="155"/>
      <c r="N223" s="153"/>
      <c r="O223" s="153"/>
      <c r="P223" s="153"/>
      <c r="Q223" s="156" t="s">
        <v>4905</v>
      </c>
      <c r="R223" s="156"/>
      <c r="S223" s="181" t="e">
        <f>WORKDAY(T223,-INDEX(T$2:T$5,MATCH($I223,$I$2:$I$5,0)),'[36]Equipment List and MR List (3)'!$A$2:$A$80)</f>
        <v>#REF!</v>
      </c>
      <c r="T223" s="181" t="e">
        <f>WORKDAY(U223,-INDEX(U$2:U$5,MATCH($I223,$I$2:$I$5,0)),$BB$10:$BB$141)</f>
        <v>#REF!</v>
      </c>
      <c r="U223" s="181" t="e">
        <f>WORKDAY(V223,-INDEX(V$2:V$5,MATCH($I223,$I$2:$I$5,0)),$BB$10:$BB$141)</f>
        <v>#REF!</v>
      </c>
      <c r="V223" s="181" t="e">
        <f>WORKDAY(W223,-INDEX(W$2:W$5,MATCH($I223,$I$2:$I$5,0)),$BB$10:$BB$141)</f>
        <v>#REF!</v>
      </c>
      <c r="W223" s="181" t="e">
        <f>WORKDAY(#REF!,-INDEX(#REF!,MATCH($I223,$I$2:$I$5,0)),$BB$10:$BB$141)</f>
        <v>#REF!</v>
      </c>
      <c r="X223" s="181" t="e">
        <f>WORKDAY(Y223,-INDEX(Y$2:Y$5,MATCH($I223,$I$2:$I$5,0)),$BB$10:$BB$141)</f>
        <v>#REF!</v>
      </c>
      <c r="Y223" s="181" t="e">
        <f>WORKDAY(Z223,-INDEX(Z$2:Z$5,MATCH($I223,$I$2:$I$5,0)),$BB$10:$BB$141)</f>
        <v>#REF!</v>
      </c>
      <c r="Z223" s="181" t="e">
        <f>WORKDAY(AA223,-INDEX(AA$2:AA$5,MATCH($I223,$I$2:$I$5,0)),$BB$10:$BB$141)</f>
        <v>#REF!</v>
      </c>
      <c r="AA223" s="181" t="e">
        <f>WORKDAY(#REF!,-INDEX(#REF!,MATCH($I223,$I$2:$I$5,0)),$BB$10:$BB$141)</f>
        <v>#REF!</v>
      </c>
      <c r="AB223" s="181">
        <f>WORKDAY(AG223,0,'[36]Equipment List and MR List (3)'!$A$2:$A$80)</f>
        <v>0</v>
      </c>
      <c r="AC223" s="92" t="s">
        <v>4906</v>
      </c>
      <c r="AD223" s="93">
        <v>7</v>
      </c>
      <c r="AE223" s="182"/>
      <c r="AF223" s="95" t="e">
        <f>AB224</f>
        <v>#REF!</v>
      </c>
      <c r="AG223" s="96"/>
      <c r="AH223" s="97"/>
      <c r="AI223" s="98"/>
      <c r="AJ223" s="93" t="e">
        <f>AG223-AF223</f>
        <v>#REF!</v>
      </c>
      <c r="AK223" s="157"/>
      <c r="AL223" s="158"/>
      <c r="AM223" s="159">
        <f t="shared" ref="AM223:AW223" si="270">IF(ISERROR(LOOKUP(AM$6,$S223:$AB223,$S$9:$AB$9)),0,(LOOKUP(AM$6,$S223:$AB223,$S$9:$AB$9)))</f>
        <v>0.95</v>
      </c>
      <c r="AN223" s="160">
        <f t="shared" si="270"/>
        <v>0.95</v>
      </c>
      <c r="AO223" s="160">
        <f t="shared" si="270"/>
        <v>0.95</v>
      </c>
      <c r="AP223" s="160">
        <f t="shared" si="270"/>
        <v>0.95</v>
      </c>
      <c r="AQ223" s="160">
        <f t="shared" si="270"/>
        <v>0.95</v>
      </c>
      <c r="AR223" s="160">
        <f t="shared" si="270"/>
        <v>0.95</v>
      </c>
      <c r="AS223" s="160">
        <f t="shared" si="270"/>
        <v>0.95</v>
      </c>
      <c r="AT223" s="160">
        <f t="shared" si="270"/>
        <v>0.95</v>
      </c>
      <c r="AU223" s="160">
        <f t="shared" si="270"/>
        <v>0.95</v>
      </c>
      <c r="AV223" s="160">
        <f t="shared" si="270"/>
        <v>0.95</v>
      </c>
      <c r="AW223" s="160">
        <f ca="1" t="shared" si="270"/>
        <v>0.95</v>
      </c>
      <c r="BB223" s="161"/>
    </row>
    <row r="224" s="21" customFormat="1" ht="18" customHeight="1" spans="1:54">
      <c r="A224" s="104"/>
      <c r="B224" s="183"/>
      <c r="C224" s="106"/>
      <c r="D224" s="107" t="str">
        <f>D223</f>
        <v>ELE</v>
      </c>
      <c r="E224" s="162" t="str">
        <f>E223</f>
        <v>RFQ-054</v>
      </c>
      <c r="F224" s="163" t="str">
        <f>F223</f>
        <v>N</v>
      </c>
      <c r="G224" s="188"/>
      <c r="H224" s="109" t="str">
        <f>H223</f>
        <v>Welding Electrode</v>
      </c>
      <c r="I224" s="162" t="str">
        <f>I223</f>
        <v>LD</v>
      </c>
      <c r="J224" s="163"/>
      <c r="K224" s="164"/>
      <c r="L224" s="164">
        <f>M225</f>
        <v>0.001</v>
      </c>
      <c r="M224" s="164"/>
      <c r="N224" s="162"/>
      <c r="O224" s="162"/>
      <c r="P224" s="162"/>
      <c r="Q224" s="165" t="s">
        <v>4907</v>
      </c>
      <c r="R224" s="165"/>
      <c r="S224" s="166" t="e">
        <f>S223</f>
        <v>#REF!</v>
      </c>
      <c r="T224" s="167" t="e">
        <f>T223</f>
        <v>#REF!</v>
      </c>
      <c r="U224" s="167" t="e">
        <f>WORKDAY(IF(T225="",T224,T225),INDEX(U$2:U$5,MATCH($I223,$I$2:$I$5,0)),$BB$10:$BB$141)</f>
        <v>#REF!</v>
      </c>
      <c r="V224" s="167" t="e">
        <f>WORKDAY(IF(U225="",U224,U225),INDEX(V$2:V$5,MATCH($I223,$I$2:$I$5,0)),$BB$10:$BB$141)</f>
        <v>#REF!</v>
      </c>
      <c r="W224" s="167" t="e">
        <f>WORKDAY(IF(V225="",V224,V225),INDEX(W$2:W$5,MATCH($I223,$I$2:$I$5,0)),$BB$10:$BB$141)</f>
        <v>#REF!</v>
      </c>
      <c r="X224" s="167" t="e">
        <f>WORKDAY(IF(#REF!="",#REF!,#REF!),INDEX(X$2:X$5,MATCH($I223,$I$2:$I$5,0)),$BB$10:$BB$141)</f>
        <v>#REF!</v>
      </c>
      <c r="Y224" s="167" t="e">
        <f>WORKDAY(IF(X225="",X224,X225),INDEX(Y$2:Y$5,MATCH($I223,$I$2:$I$5,0)),$BB$10:$BB$141)</f>
        <v>#REF!</v>
      </c>
      <c r="Z224" s="167" t="e">
        <f>WORKDAY(IF(Y225="",Y224,Y225),INDEX(Z$2:Z$5,MATCH($I223,$I$2:$I$5,0)),$BB$10:$BB$141)</f>
        <v>#REF!</v>
      </c>
      <c r="AA224" s="167" t="e">
        <f>WORKDAY(IF(Z225="",Z224,Z225),INDEX(AA$2:AA$5,MATCH($I223,$I$2:$I$5,0)),$BB$10:$BB$141)</f>
        <v>#REF!</v>
      </c>
      <c r="AB224" s="168" t="e">
        <f>AE223+#REF!</f>
        <v>#REF!</v>
      </c>
      <c r="AC224" s="117"/>
      <c r="AD224" s="118"/>
      <c r="AE224" s="184"/>
      <c r="AF224" s="119"/>
      <c r="AG224" s="120"/>
      <c r="AH224" s="121"/>
      <c r="AI224" s="122"/>
      <c r="AJ224" s="118"/>
      <c r="AK224" s="169"/>
      <c r="AL224" s="170"/>
      <c r="AM224" s="159">
        <f t="shared" ref="AM224:AW224" si="271">IF(ISERROR(LOOKUP(AM$6,$S224:$AB224,$S$9:$AB$9)),0,(LOOKUP(AM$6,$S224:$AB224,$S$9:$AB$9)))</f>
        <v>0</v>
      </c>
      <c r="AN224" s="160">
        <f t="shared" si="271"/>
        <v>0</v>
      </c>
      <c r="AO224" s="160">
        <f t="shared" si="271"/>
        <v>0</v>
      </c>
      <c r="AP224" s="160">
        <f t="shared" si="271"/>
        <v>0</v>
      </c>
      <c r="AQ224" s="160">
        <f t="shared" si="271"/>
        <v>0</v>
      </c>
      <c r="AR224" s="160">
        <f t="shared" si="271"/>
        <v>0</v>
      </c>
      <c r="AS224" s="160">
        <f t="shared" si="271"/>
        <v>0</v>
      </c>
      <c r="AT224" s="160">
        <f t="shared" si="271"/>
        <v>0</v>
      </c>
      <c r="AU224" s="160">
        <f t="shared" si="271"/>
        <v>0</v>
      </c>
      <c r="AV224" s="160">
        <f t="shared" si="271"/>
        <v>0</v>
      </c>
      <c r="AW224" s="160">
        <f ca="1" t="shared" si="271"/>
        <v>0</v>
      </c>
      <c r="BB224" s="161"/>
    </row>
    <row r="225" s="21" customFormat="1" ht="18" customHeight="1" spans="1:54">
      <c r="A225" s="125"/>
      <c r="B225" s="185"/>
      <c r="C225" s="127"/>
      <c r="D225" s="128" t="str">
        <f>D223</f>
        <v>ELE</v>
      </c>
      <c r="E225" s="171" t="str">
        <f>E223</f>
        <v>RFQ-054</v>
      </c>
      <c r="F225" s="172" t="str">
        <f>F223</f>
        <v>N</v>
      </c>
      <c r="G225" s="189"/>
      <c r="H225" s="130" t="str">
        <f>H223</f>
        <v>Welding Electrode</v>
      </c>
      <c r="I225" s="171" t="str">
        <f>I223</f>
        <v>LD</v>
      </c>
      <c r="J225" s="172"/>
      <c r="K225" s="173"/>
      <c r="L225" s="173"/>
      <c r="M225" s="173">
        <v>0.001</v>
      </c>
      <c r="N225" s="171"/>
      <c r="O225" s="171"/>
      <c r="P225" s="171"/>
      <c r="Q225" s="174" t="s">
        <v>4908</v>
      </c>
      <c r="R225" s="174"/>
      <c r="S225" s="175"/>
      <c r="T225" s="175"/>
      <c r="U225" s="175"/>
      <c r="V225" s="175"/>
      <c r="W225" s="175"/>
      <c r="X225" s="175"/>
      <c r="Y225" s="175"/>
      <c r="Z225" s="175"/>
      <c r="AA225" s="175"/>
      <c r="AB225" s="175"/>
      <c r="AC225" s="134"/>
      <c r="AD225" s="135"/>
      <c r="AE225" s="186"/>
      <c r="AF225" s="136"/>
      <c r="AG225" s="137"/>
      <c r="AH225" s="138"/>
      <c r="AI225" s="139"/>
      <c r="AJ225" s="135"/>
      <c r="AK225" s="176"/>
      <c r="AL225" s="177"/>
      <c r="AM225" s="178">
        <f t="shared" ref="AM225:AW225" si="272">IF(ISERROR(LOOKUP(AM$6,$S225:$AB225,$S$9:$AB$9)),0,(LOOKUP(AM$6,$S225:$AB225,$S$9:$AB$9)))</f>
        <v>0</v>
      </c>
      <c r="AN225" s="179">
        <f t="shared" si="272"/>
        <v>0</v>
      </c>
      <c r="AO225" s="179">
        <f t="shared" si="272"/>
        <v>0</v>
      </c>
      <c r="AP225" s="179">
        <f t="shared" si="272"/>
        <v>0</v>
      </c>
      <c r="AQ225" s="179">
        <f t="shared" si="272"/>
        <v>0</v>
      </c>
      <c r="AR225" s="179">
        <f t="shared" si="272"/>
        <v>0</v>
      </c>
      <c r="AS225" s="179">
        <f t="shared" si="272"/>
        <v>0</v>
      </c>
      <c r="AT225" s="179">
        <f t="shared" si="272"/>
        <v>0</v>
      </c>
      <c r="AU225" s="179">
        <f t="shared" si="272"/>
        <v>0</v>
      </c>
      <c r="AV225" s="179">
        <f t="shared" si="272"/>
        <v>0</v>
      </c>
      <c r="AW225" s="179">
        <f ca="1" t="shared" si="272"/>
        <v>0</v>
      </c>
      <c r="BB225" s="161"/>
    </row>
    <row r="226" s="21" customFormat="1" ht="18" customHeight="1" spans="1:54">
      <c r="A226" s="81">
        <f>A223+1</f>
        <v>73</v>
      </c>
      <c r="B226" s="180" t="s">
        <v>4967</v>
      </c>
      <c r="C226" s="83" t="s">
        <v>4902</v>
      </c>
      <c r="D226" s="84" t="s">
        <v>4929</v>
      </c>
      <c r="E226" s="153" t="s">
        <v>4964</v>
      </c>
      <c r="F226" s="154" t="s">
        <v>72</v>
      </c>
      <c r="G226" s="187"/>
      <c r="H226" s="86" t="s">
        <v>4982</v>
      </c>
      <c r="I226" s="153" t="s">
        <v>9</v>
      </c>
      <c r="J226" s="154"/>
      <c r="K226" s="155">
        <f>M228</f>
        <v>0.001</v>
      </c>
      <c r="L226" s="155"/>
      <c r="M226" s="155"/>
      <c r="N226" s="153"/>
      <c r="O226" s="153"/>
      <c r="P226" s="153"/>
      <c r="Q226" s="156" t="s">
        <v>4905</v>
      </c>
      <c r="R226" s="156"/>
      <c r="S226" s="181" t="e">
        <f>WORKDAY(T226,-INDEX(T$2:T$5,MATCH($I226,$I$2:$I$5,0)),'[36]Equipment List and MR List (3)'!$A$2:$A$80)</f>
        <v>#REF!</v>
      </c>
      <c r="T226" s="181" t="e">
        <f>WORKDAY(U226,-INDEX(U$2:U$5,MATCH($I226,$I$2:$I$5,0)),$BB$10:$BB$141)</f>
        <v>#REF!</v>
      </c>
      <c r="U226" s="181" t="e">
        <f>WORKDAY(V226,-INDEX(V$2:V$5,MATCH($I226,$I$2:$I$5,0)),$BB$10:$BB$141)</f>
        <v>#REF!</v>
      </c>
      <c r="V226" s="181" t="e">
        <f>WORKDAY(W226,-INDEX(W$2:W$5,MATCH($I226,$I$2:$I$5,0)),$BB$10:$BB$141)</f>
        <v>#REF!</v>
      </c>
      <c r="W226" s="181" t="e">
        <f>WORKDAY(#REF!,-INDEX(#REF!,MATCH($I226,$I$2:$I$5,0)),$BB$10:$BB$141)</f>
        <v>#REF!</v>
      </c>
      <c r="X226" s="181" t="e">
        <f>WORKDAY(Y226,-INDEX(Y$2:Y$5,MATCH($I226,$I$2:$I$5,0)),$BB$10:$BB$141)</f>
        <v>#REF!</v>
      </c>
      <c r="Y226" s="181" t="e">
        <f>WORKDAY(Z226,-INDEX(Z$2:Z$5,MATCH($I226,$I$2:$I$5,0)),$BB$10:$BB$141)</f>
        <v>#REF!</v>
      </c>
      <c r="Z226" s="181" t="e">
        <f>WORKDAY(AA226,-INDEX(AA$2:AA$5,MATCH($I226,$I$2:$I$5,0)),$BB$10:$BB$141)</f>
        <v>#REF!</v>
      </c>
      <c r="AA226" s="181" t="e">
        <f>WORKDAY(#REF!,-INDEX(#REF!,MATCH($I226,$I$2:$I$5,0)),$BB$10:$BB$141)</f>
        <v>#REF!</v>
      </c>
      <c r="AB226" s="181">
        <f>WORKDAY(AG226,0,'[36]Equipment List and MR List (3)'!$A$2:$A$80)</f>
        <v>0</v>
      </c>
      <c r="AC226" s="92" t="s">
        <v>4906</v>
      </c>
      <c r="AD226" s="93">
        <v>7</v>
      </c>
      <c r="AE226" s="182"/>
      <c r="AF226" s="95" t="e">
        <f>AB227</f>
        <v>#REF!</v>
      </c>
      <c r="AG226" s="96"/>
      <c r="AH226" s="97"/>
      <c r="AI226" s="98"/>
      <c r="AJ226" s="93" t="e">
        <f>AG226-AF226</f>
        <v>#REF!</v>
      </c>
      <c r="AK226" s="157"/>
      <c r="AL226" s="158"/>
      <c r="AM226" s="159">
        <f t="shared" ref="AM226:AW226" si="273">IF(ISERROR(LOOKUP(AM$6,$S226:$AB226,$S$9:$AB$9)),0,(LOOKUP(AM$6,$S226:$AB226,$S$9:$AB$9)))</f>
        <v>0.95</v>
      </c>
      <c r="AN226" s="160">
        <f t="shared" si="273"/>
        <v>0.95</v>
      </c>
      <c r="AO226" s="160">
        <f t="shared" si="273"/>
        <v>0.95</v>
      </c>
      <c r="AP226" s="160">
        <f t="shared" si="273"/>
        <v>0.95</v>
      </c>
      <c r="AQ226" s="160">
        <f t="shared" si="273"/>
        <v>0.95</v>
      </c>
      <c r="AR226" s="160">
        <f t="shared" si="273"/>
        <v>0.95</v>
      </c>
      <c r="AS226" s="160">
        <f t="shared" si="273"/>
        <v>0.95</v>
      </c>
      <c r="AT226" s="160">
        <f t="shared" si="273"/>
        <v>0.95</v>
      </c>
      <c r="AU226" s="160">
        <f t="shared" si="273"/>
        <v>0.95</v>
      </c>
      <c r="AV226" s="160">
        <f t="shared" si="273"/>
        <v>0.95</v>
      </c>
      <c r="AW226" s="160">
        <f ca="1" t="shared" si="273"/>
        <v>0.95</v>
      </c>
      <c r="BB226" s="161"/>
    </row>
    <row r="227" s="21" customFormat="1" ht="18" customHeight="1" spans="1:54">
      <c r="A227" s="104"/>
      <c r="B227" s="183"/>
      <c r="C227" s="106"/>
      <c r="D227" s="107" t="str">
        <f>D226</f>
        <v>ELE</v>
      </c>
      <c r="E227" s="162" t="str">
        <f>E226</f>
        <v>RFQ-054</v>
      </c>
      <c r="F227" s="163" t="str">
        <f>F226</f>
        <v>N</v>
      </c>
      <c r="G227" s="188"/>
      <c r="H227" s="109" t="str">
        <f>H226</f>
        <v>Cable Ladder/Tray-GRP</v>
      </c>
      <c r="I227" s="162" t="str">
        <f>I226</f>
        <v>LD</v>
      </c>
      <c r="J227" s="163"/>
      <c r="K227" s="164"/>
      <c r="L227" s="164">
        <f>M228</f>
        <v>0.001</v>
      </c>
      <c r="M227" s="164"/>
      <c r="N227" s="162"/>
      <c r="O227" s="162"/>
      <c r="P227" s="162"/>
      <c r="Q227" s="165" t="s">
        <v>4907</v>
      </c>
      <c r="R227" s="165"/>
      <c r="S227" s="166" t="e">
        <f>S226</f>
        <v>#REF!</v>
      </c>
      <c r="T227" s="167" t="e">
        <f>T226</f>
        <v>#REF!</v>
      </c>
      <c r="U227" s="167" t="e">
        <f>WORKDAY(IF(T228="",T227,T228),INDEX(U$2:U$5,MATCH($I226,$I$2:$I$5,0)),$BB$10:$BB$141)</f>
        <v>#REF!</v>
      </c>
      <c r="V227" s="167" t="e">
        <f>WORKDAY(IF(U228="",U227,U228),INDEX(V$2:V$5,MATCH($I226,$I$2:$I$5,0)),$BB$10:$BB$141)</f>
        <v>#REF!</v>
      </c>
      <c r="W227" s="167" t="e">
        <f>WORKDAY(IF(V228="",V227,V228),INDEX(W$2:W$5,MATCH($I226,$I$2:$I$5,0)),$BB$10:$BB$141)</f>
        <v>#REF!</v>
      </c>
      <c r="X227" s="167" t="e">
        <f>WORKDAY(IF(#REF!="",#REF!,#REF!),INDEX(X$2:X$5,MATCH($I226,$I$2:$I$5,0)),$BB$10:$BB$141)</f>
        <v>#REF!</v>
      </c>
      <c r="Y227" s="167" t="e">
        <f>WORKDAY(IF(X228="",X227,X228),INDEX(Y$2:Y$5,MATCH($I226,$I$2:$I$5,0)),$BB$10:$BB$141)</f>
        <v>#REF!</v>
      </c>
      <c r="Z227" s="167" t="e">
        <f>WORKDAY(IF(Y228="",Y227,Y228),INDEX(Z$2:Z$5,MATCH($I226,$I$2:$I$5,0)),$BB$10:$BB$141)</f>
        <v>#REF!</v>
      </c>
      <c r="AA227" s="167" t="e">
        <f>WORKDAY(IF(Z228="",Z227,Z228),INDEX(AA$2:AA$5,MATCH($I226,$I$2:$I$5,0)),$BB$10:$BB$141)</f>
        <v>#REF!</v>
      </c>
      <c r="AB227" s="168" t="e">
        <f>AE226+#REF!</f>
        <v>#REF!</v>
      </c>
      <c r="AC227" s="117"/>
      <c r="AD227" s="118"/>
      <c r="AE227" s="184"/>
      <c r="AF227" s="119"/>
      <c r="AG227" s="120"/>
      <c r="AH227" s="121"/>
      <c r="AI227" s="122"/>
      <c r="AJ227" s="118"/>
      <c r="AK227" s="169"/>
      <c r="AL227" s="170"/>
      <c r="AM227" s="159">
        <f t="shared" ref="AM227:AW227" si="274">IF(ISERROR(LOOKUP(AM$6,$S227:$AB227,$S$9:$AB$9)),0,(LOOKUP(AM$6,$S227:$AB227,$S$9:$AB$9)))</f>
        <v>0</v>
      </c>
      <c r="AN227" s="160">
        <f t="shared" si="274"/>
        <v>0</v>
      </c>
      <c r="AO227" s="160">
        <f t="shared" si="274"/>
        <v>0</v>
      </c>
      <c r="AP227" s="160">
        <f t="shared" si="274"/>
        <v>0</v>
      </c>
      <c r="AQ227" s="160">
        <f t="shared" si="274"/>
        <v>0</v>
      </c>
      <c r="AR227" s="160">
        <f t="shared" si="274"/>
        <v>0</v>
      </c>
      <c r="AS227" s="160">
        <f t="shared" si="274"/>
        <v>0</v>
      </c>
      <c r="AT227" s="160">
        <f t="shared" si="274"/>
        <v>0</v>
      </c>
      <c r="AU227" s="160">
        <f t="shared" si="274"/>
        <v>0</v>
      </c>
      <c r="AV227" s="160">
        <f t="shared" si="274"/>
        <v>0</v>
      </c>
      <c r="AW227" s="160">
        <f ca="1" t="shared" si="274"/>
        <v>0</v>
      </c>
      <c r="BB227" s="161"/>
    </row>
    <row r="228" s="21" customFormat="1" ht="18" customHeight="1" spans="1:54">
      <c r="A228" s="125"/>
      <c r="B228" s="185"/>
      <c r="C228" s="127"/>
      <c r="D228" s="128" t="str">
        <f>D226</f>
        <v>ELE</v>
      </c>
      <c r="E228" s="171" t="str">
        <f>E226</f>
        <v>RFQ-054</v>
      </c>
      <c r="F228" s="172" t="str">
        <f>F226</f>
        <v>N</v>
      </c>
      <c r="G228" s="189"/>
      <c r="H228" s="130" t="str">
        <f>H226</f>
        <v>Cable Ladder/Tray-GRP</v>
      </c>
      <c r="I228" s="171" t="str">
        <f>I226</f>
        <v>LD</v>
      </c>
      <c r="J228" s="172"/>
      <c r="K228" s="173"/>
      <c r="L228" s="173"/>
      <c r="M228" s="173">
        <v>0.001</v>
      </c>
      <c r="N228" s="171"/>
      <c r="O228" s="171"/>
      <c r="P228" s="171"/>
      <c r="Q228" s="174" t="s">
        <v>4908</v>
      </c>
      <c r="R228" s="174"/>
      <c r="S228" s="175"/>
      <c r="T228" s="175"/>
      <c r="U228" s="175"/>
      <c r="V228" s="175"/>
      <c r="W228" s="175"/>
      <c r="X228" s="175"/>
      <c r="Y228" s="175"/>
      <c r="Z228" s="175"/>
      <c r="AA228" s="175"/>
      <c r="AB228" s="175"/>
      <c r="AC228" s="134"/>
      <c r="AD228" s="135"/>
      <c r="AE228" s="186"/>
      <c r="AF228" s="136"/>
      <c r="AG228" s="137"/>
      <c r="AH228" s="138"/>
      <c r="AI228" s="139"/>
      <c r="AJ228" s="135"/>
      <c r="AK228" s="176"/>
      <c r="AL228" s="177"/>
      <c r="AM228" s="178">
        <f t="shared" ref="AM228:AW228" si="275">IF(ISERROR(LOOKUP(AM$6,$S228:$AB228,$S$9:$AB$9)),0,(LOOKUP(AM$6,$S228:$AB228,$S$9:$AB$9)))</f>
        <v>0</v>
      </c>
      <c r="AN228" s="179">
        <f t="shared" si="275"/>
        <v>0</v>
      </c>
      <c r="AO228" s="179">
        <f t="shared" si="275"/>
        <v>0</v>
      </c>
      <c r="AP228" s="179">
        <f t="shared" si="275"/>
        <v>0</v>
      </c>
      <c r="AQ228" s="179">
        <f t="shared" si="275"/>
        <v>0</v>
      </c>
      <c r="AR228" s="179">
        <f t="shared" si="275"/>
        <v>0</v>
      </c>
      <c r="AS228" s="179">
        <f t="shared" si="275"/>
        <v>0</v>
      </c>
      <c r="AT228" s="179">
        <f t="shared" si="275"/>
        <v>0</v>
      </c>
      <c r="AU228" s="179">
        <f t="shared" si="275"/>
        <v>0</v>
      </c>
      <c r="AV228" s="179">
        <f t="shared" si="275"/>
        <v>0</v>
      </c>
      <c r="AW228" s="179">
        <f ca="1" t="shared" si="275"/>
        <v>0</v>
      </c>
      <c r="BB228" s="161"/>
    </row>
    <row r="229" s="21" customFormat="1" ht="18" customHeight="1" spans="1:54">
      <c r="A229" s="81">
        <f>A226+1</f>
        <v>74</v>
      </c>
      <c r="B229" s="180" t="s">
        <v>4967</v>
      </c>
      <c r="C229" s="83" t="s">
        <v>4902</v>
      </c>
      <c r="D229" s="84" t="s">
        <v>4929</v>
      </c>
      <c r="E229" s="153" t="s">
        <v>4964</v>
      </c>
      <c r="F229" s="154" t="s">
        <v>72</v>
      </c>
      <c r="G229" s="187"/>
      <c r="H229" s="86" t="s">
        <v>4983</v>
      </c>
      <c r="I229" s="153" t="s">
        <v>9</v>
      </c>
      <c r="J229" s="154"/>
      <c r="K229" s="155">
        <f>M231</f>
        <v>0.001</v>
      </c>
      <c r="L229" s="155"/>
      <c r="M229" s="155"/>
      <c r="N229" s="153"/>
      <c r="O229" s="153"/>
      <c r="P229" s="153"/>
      <c r="Q229" s="156" t="s">
        <v>4905</v>
      </c>
      <c r="R229" s="156"/>
      <c r="S229" s="181" t="e">
        <f>WORKDAY(T229,-INDEX(T$2:T$5,MATCH($I229,$I$2:$I$5,0)),'[36]Equipment List and MR List (3)'!$A$2:$A$80)</f>
        <v>#REF!</v>
      </c>
      <c r="T229" s="181" t="e">
        <f>WORKDAY(U229,-INDEX(U$2:U$5,MATCH($I229,$I$2:$I$5,0)),$BB$10:$BB$141)</f>
        <v>#REF!</v>
      </c>
      <c r="U229" s="181" t="e">
        <f>WORKDAY(V229,-INDEX(V$2:V$5,MATCH($I229,$I$2:$I$5,0)),$BB$10:$BB$141)</f>
        <v>#REF!</v>
      </c>
      <c r="V229" s="181" t="e">
        <f>WORKDAY(W229,-INDEX(W$2:W$5,MATCH($I229,$I$2:$I$5,0)),$BB$10:$BB$141)</f>
        <v>#REF!</v>
      </c>
      <c r="W229" s="181" t="e">
        <f>WORKDAY(#REF!,-INDEX(#REF!,MATCH($I229,$I$2:$I$5,0)),$BB$10:$BB$141)</f>
        <v>#REF!</v>
      </c>
      <c r="X229" s="181" t="e">
        <f>WORKDAY(Y229,-INDEX(Y$2:Y$5,MATCH($I229,$I$2:$I$5,0)),$BB$10:$BB$141)</f>
        <v>#REF!</v>
      </c>
      <c r="Y229" s="181" t="e">
        <f>WORKDAY(Z229,-INDEX(Z$2:Z$5,MATCH($I229,$I$2:$I$5,0)),$BB$10:$BB$141)</f>
        <v>#REF!</v>
      </c>
      <c r="Z229" s="181" t="e">
        <f>WORKDAY(AA229,-INDEX(AA$2:AA$5,MATCH($I229,$I$2:$I$5,0)),$BB$10:$BB$141)</f>
        <v>#REF!</v>
      </c>
      <c r="AA229" s="181" t="e">
        <f>WORKDAY(#REF!,-INDEX(#REF!,MATCH($I229,$I$2:$I$5,0)),$BB$10:$BB$141)</f>
        <v>#REF!</v>
      </c>
      <c r="AB229" s="181">
        <f>WORKDAY(AG229,0,'[36]Equipment List and MR List (3)'!$A$2:$A$80)</f>
        <v>0</v>
      </c>
      <c r="AC229" s="92" t="s">
        <v>4906</v>
      </c>
      <c r="AD229" s="93">
        <v>7</v>
      </c>
      <c r="AE229" s="182"/>
      <c r="AF229" s="95" t="e">
        <f>AB230</f>
        <v>#REF!</v>
      </c>
      <c r="AG229" s="96"/>
      <c r="AH229" s="97"/>
      <c r="AI229" s="98"/>
      <c r="AJ229" s="93" t="e">
        <f>AG229-AF229</f>
        <v>#REF!</v>
      </c>
      <c r="AK229" s="157"/>
      <c r="AL229" s="158"/>
      <c r="AM229" s="159">
        <f t="shared" ref="AM229:AW229" si="276">IF(ISERROR(LOOKUP(AM$6,$S229:$AB229,$S$9:$AB$9)),0,(LOOKUP(AM$6,$S229:$AB229,$S$9:$AB$9)))</f>
        <v>0.95</v>
      </c>
      <c r="AN229" s="160">
        <f t="shared" si="276"/>
        <v>0.95</v>
      </c>
      <c r="AO229" s="160">
        <f t="shared" si="276"/>
        <v>0.95</v>
      </c>
      <c r="AP229" s="160">
        <f t="shared" si="276"/>
        <v>0.95</v>
      </c>
      <c r="AQ229" s="160">
        <f t="shared" si="276"/>
        <v>0.95</v>
      </c>
      <c r="AR229" s="160">
        <f t="shared" si="276"/>
        <v>0.95</v>
      </c>
      <c r="AS229" s="160">
        <f t="shared" si="276"/>
        <v>0.95</v>
      </c>
      <c r="AT229" s="160">
        <f t="shared" si="276"/>
        <v>0.95</v>
      </c>
      <c r="AU229" s="160">
        <f t="shared" si="276"/>
        <v>0.95</v>
      </c>
      <c r="AV229" s="160">
        <f t="shared" si="276"/>
        <v>0.95</v>
      </c>
      <c r="AW229" s="160">
        <f ca="1" t="shared" si="276"/>
        <v>0.95</v>
      </c>
      <c r="BB229" s="161"/>
    </row>
    <row r="230" s="21" customFormat="1" ht="18" customHeight="1" spans="1:54">
      <c r="A230" s="104"/>
      <c r="B230" s="183"/>
      <c r="C230" s="106"/>
      <c r="D230" s="107" t="str">
        <f>D229</f>
        <v>ELE</v>
      </c>
      <c r="E230" s="162" t="str">
        <f>E229</f>
        <v>RFQ-054</v>
      </c>
      <c r="F230" s="163" t="str">
        <f>F229</f>
        <v>N</v>
      </c>
      <c r="G230" s="188"/>
      <c r="H230" s="109" t="str">
        <f>H229</f>
        <v>Flameproof Enclosure (Ex'd)            </v>
      </c>
      <c r="I230" s="162" t="str">
        <f>I229</f>
        <v>LD</v>
      </c>
      <c r="J230" s="163"/>
      <c r="K230" s="164"/>
      <c r="L230" s="164">
        <f>M231</f>
        <v>0.001</v>
      </c>
      <c r="M230" s="164"/>
      <c r="N230" s="162"/>
      <c r="O230" s="162"/>
      <c r="P230" s="162"/>
      <c r="Q230" s="165" t="s">
        <v>4907</v>
      </c>
      <c r="R230" s="165"/>
      <c r="S230" s="166" t="e">
        <f>S229</f>
        <v>#REF!</v>
      </c>
      <c r="T230" s="167" t="e">
        <f>T229</f>
        <v>#REF!</v>
      </c>
      <c r="U230" s="167" t="e">
        <f>WORKDAY(IF(T231="",T230,T231),INDEX(U$2:U$5,MATCH($I229,$I$2:$I$5,0)),$BB$10:$BB$141)</f>
        <v>#REF!</v>
      </c>
      <c r="V230" s="167" t="e">
        <f>WORKDAY(IF(U231="",U230,U231),INDEX(V$2:V$5,MATCH($I229,$I$2:$I$5,0)),$BB$10:$BB$141)</f>
        <v>#REF!</v>
      </c>
      <c r="W230" s="167" t="e">
        <f>WORKDAY(IF(V231="",V230,V231),INDEX(W$2:W$5,MATCH($I229,$I$2:$I$5,0)),$BB$10:$BB$141)</f>
        <v>#REF!</v>
      </c>
      <c r="X230" s="167" t="e">
        <f>WORKDAY(IF(#REF!="",#REF!,#REF!),INDEX(X$2:X$5,MATCH($I229,$I$2:$I$5,0)),$BB$10:$BB$141)</f>
        <v>#REF!</v>
      </c>
      <c r="Y230" s="167" t="e">
        <f>WORKDAY(IF(X231="",X230,X231),INDEX(Y$2:Y$5,MATCH($I229,$I$2:$I$5,0)),$BB$10:$BB$141)</f>
        <v>#REF!</v>
      </c>
      <c r="Z230" s="167" t="e">
        <f>WORKDAY(IF(Y231="",Y230,Y231),INDEX(Z$2:Z$5,MATCH($I229,$I$2:$I$5,0)),$BB$10:$BB$141)</f>
        <v>#REF!</v>
      </c>
      <c r="AA230" s="167" t="e">
        <f>WORKDAY(IF(Z231="",Z230,Z231),INDEX(AA$2:AA$5,MATCH($I229,$I$2:$I$5,0)),$BB$10:$BB$141)</f>
        <v>#REF!</v>
      </c>
      <c r="AB230" s="168" t="e">
        <f>AE229+#REF!</f>
        <v>#REF!</v>
      </c>
      <c r="AC230" s="117"/>
      <c r="AD230" s="118"/>
      <c r="AE230" s="184"/>
      <c r="AF230" s="119"/>
      <c r="AG230" s="120"/>
      <c r="AH230" s="121"/>
      <c r="AI230" s="122"/>
      <c r="AJ230" s="118"/>
      <c r="AK230" s="169"/>
      <c r="AL230" s="170"/>
      <c r="AM230" s="159">
        <f t="shared" ref="AM230:AW230" si="277">IF(ISERROR(LOOKUP(AM$6,$S230:$AB230,$S$9:$AB$9)),0,(LOOKUP(AM$6,$S230:$AB230,$S$9:$AB$9)))</f>
        <v>0</v>
      </c>
      <c r="AN230" s="160">
        <f t="shared" si="277"/>
        <v>0</v>
      </c>
      <c r="AO230" s="160">
        <f t="shared" si="277"/>
        <v>0</v>
      </c>
      <c r="AP230" s="160">
        <f t="shared" si="277"/>
        <v>0</v>
      </c>
      <c r="AQ230" s="160">
        <f t="shared" si="277"/>
        <v>0</v>
      </c>
      <c r="AR230" s="160">
        <f t="shared" si="277"/>
        <v>0</v>
      </c>
      <c r="AS230" s="160">
        <f t="shared" si="277"/>
        <v>0</v>
      </c>
      <c r="AT230" s="160">
        <f t="shared" si="277"/>
        <v>0</v>
      </c>
      <c r="AU230" s="160">
        <f t="shared" si="277"/>
        <v>0</v>
      </c>
      <c r="AV230" s="160">
        <f t="shared" si="277"/>
        <v>0</v>
      </c>
      <c r="AW230" s="160">
        <f ca="1" t="shared" si="277"/>
        <v>0</v>
      </c>
      <c r="BB230" s="161"/>
    </row>
    <row r="231" s="21" customFormat="1" ht="18" customHeight="1" spans="1:54">
      <c r="A231" s="125"/>
      <c r="B231" s="185"/>
      <c r="C231" s="127"/>
      <c r="D231" s="128" t="str">
        <f>D229</f>
        <v>ELE</v>
      </c>
      <c r="E231" s="171" t="str">
        <f>E229</f>
        <v>RFQ-054</v>
      </c>
      <c r="F231" s="172" t="str">
        <f>F229</f>
        <v>N</v>
      </c>
      <c r="G231" s="189"/>
      <c r="H231" s="130" t="str">
        <f>H229</f>
        <v>Flameproof Enclosure (Ex'd)            </v>
      </c>
      <c r="I231" s="171" t="str">
        <f>I229</f>
        <v>LD</v>
      </c>
      <c r="J231" s="172"/>
      <c r="K231" s="173"/>
      <c r="L231" s="173"/>
      <c r="M231" s="173">
        <v>0.001</v>
      </c>
      <c r="N231" s="171"/>
      <c r="O231" s="171"/>
      <c r="P231" s="171"/>
      <c r="Q231" s="174" t="s">
        <v>4908</v>
      </c>
      <c r="R231" s="174"/>
      <c r="S231" s="175"/>
      <c r="T231" s="175"/>
      <c r="U231" s="175"/>
      <c r="V231" s="175"/>
      <c r="W231" s="175"/>
      <c r="X231" s="175"/>
      <c r="Y231" s="175"/>
      <c r="Z231" s="175"/>
      <c r="AA231" s="175"/>
      <c r="AB231" s="175"/>
      <c r="AC231" s="134"/>
      <c r="AD231" s="135"/>
      <c r="AE231" s="186"/>
      <c r="AF231" s="136"/>
      <c r="AG231" s="137"/>
      <c r="AH231" s="138"/>
      <c r="AI231" s="139"/>
      <c r="AJ231" s="135"/>
      <c r="AK231" s="176"/>
      <c r="AL231" s="177"/>
      <c r="AM231" s="178">
        <f t="shared" ref="AM231:AW231" si="278">IF(ISERROR(LOOKUP(AM$6,$S231:$AB231,$S$9:$AB$9)),0,(LOOKUP(AM$6,$S231:$AB231,$S$9:$AB$9)))</f>
        <v>0</v>
      </c>
      <c r="AN231" s="179">
        <f t="shared" si="278"/>
        <v>0</v>
      </c>
      <c r="AO231" s="179">
        <f t="shared" si="278"/>
        <v>0</v>
      </c>
      <c r="AP231" s="179">
        <f t="shared" si="278"/>
        <v>0</v>
      </c>
      <c r="AQ231" s="179">
        <f t="shared" si="278"/>
        <v>0</v>
      </c>
      <c r="AR231" s="179">
        <f t="shared" si="278"/>
        <v>0</v>
      </c>
      <c r="AS231" s="179">
        <f t="shared" si="278"/>
        <v>0</v>
      </c>
      <c r="AT231" s="179">
        <f t="shared" si="278"/>
        <v>0</v>
      </c>
      <c r="AU231" s="179">
        <f t="shared" si="278"/>
        <v>0</v>
      </c>
      <c r="AV231" s="179">
        <f t="shared" si="278"/>
        <v>0</v>
      </c>
      <c r="AW231" s="179">
        <f ca="1" t="shared" si="278"/>
        <v>0</v>
      </c>
      <c r="BB231" s="161"/>
    </row>
    <row r="232" s="21" customFormat="1" ht="18" customHeight="1" spans="1:54">
      <c r="A232" s="81">
        <f>A229+1</f>
        <v>75</v>
      </c>
      <c r="B232" s="180" t="s">
        <v>4967</v>
      </c>
      <c r="C232" s="83" t="s">
        <v>4902</v>
      </c>
      <c r="D232" s="84" t="s">
        <v>4929</v>
      </c>
      <c r="E232" s="153" t="s">
        <v>4964</v>
      </c>
      <c r="F232" s="154" t="s">
        <v>72</v>
      </c>
      <c r="G232" s="187"/>
      <c r="H232" s="86" t="s">
        <v>4984</v>
      </c>
      <c r="I232" s="153" t="s">
        <v>9</v>
      </c>
      <c r="J232" s="154"/>
      <c r="K232" s="155">
        <f>M234</f>
        <v>0.001</v>
      </c>
      <c r="L232" s="155"/>
      <c r="M232" s="155"/>
      <c r="N232" s="153"/>
      <c r="O232" s="153"/>
      <c r="P232" s="153"/>
      <c r="Q232" s="156" t="s">
        <v>4905</v>
      </c>
      <c r="R232" s="156"/>
      <c r="S232" s="181" t="e">
        <f>WORKDAY(T232,-INDEX(T$2:T$5,MATCH($I232,$I$2:$I$5,0)),'[36]Equipment List and MR List (3)'!$A$2:$A$80)</f>
        <v>#REF!</v>
      </c>
      <c r="T232" s="181" t="e">
        <f>WORKDAY(U232,-INDEX(U$2:U$5,MATCH($I232,$I$2:$I$5,0)),$BB$10:$BB$141)</f>
        <v>#REF!</v>
      </c>
      <c r="U232" s="181" t="e">
        <f>WORKDAY(V232,-INDEX(V$2:V$5,MATCH($I232,$I$2:$I$5,0)),$BB$10:$BB$141)</f>
        <v>#REF!</v>
      </c>
      <c r="V232" s="181" t="e">
        <f>WORKDAY(W232,-INDEX(W$2:W$5,MATCH($I232,$I$2:$I$5,0)),$BB$10:$BB$141)</f>
        <v>#REF!</v>
      </c>
      <c r="W232" s="181" t="e">
        <f>WORKDAY(#REF!,-INDEX(#REF!,MATCH($I232,$I$2:$I$5,0)),$BB$10:$BB$141)</f>
        <v>#REF!</v>
      </c>
      <c r="X232" s="181" t="e">
        <f>WORKDAY(Y232,-INDEX(Y$2:Y$5,MATCH($I232,$I$2:$I$5,0)),$BB$10:$BB$141)</f>
        <v>#REF!</v>
      </c>
      <c r="Y232" s="181" t="e">
        <f>WORKDAY(Z232,-INDEX(Z$2:Z$5,MATCH($I232,$I$2:$I$5,0)),$BB$10:$BB$141)</f>
        <v>#REF!</v>
      </c>
      <c r="Z232" s="181" t="e">
        <f>WORKDAY(AA232,-INDEX(AA$2:AA$5,MATCH($I232,$I$2:$I$5,0)),$BB$10:$BB$141)</f>
        <v>#REF!</v>
      </c>
      <c r="AA232" s="181" t="e">
        <f>WORKDAY(#REF!,-INDEX(#REF!,MATCH($I232,$I$2:$I$5,0)),$BB$10:$BB$141)</f>
        <v>#REF!</v>
      </c>
      <c r="AB232" s="181">
        <f>WORKDAY(AG232,0,'[36]Equipment List and MR List (3)'!$A$2:$A$80)</f>
        <v>0</v>
      </c>
      <c r="AC232" s="92" t="s">
        <v>4906</v>
      </c>
      <c r="AD232" s="93">
        <v>7</v>
      </c>
      <c r="AE232" s="182"/>
      <c r="AF232" s="95" t="e">
        <f>AB233</f>
        <v>#REF!</v>
      </c>
      <c r="AG232" s="96"/>
      <c r="AH232" s="97"/>
      <c r="AI232" s="98"/>
      <c r="AJ232" s="93" t="e">
        <f>AG232-AF232</f>
        <v>#REF!</v>
      </c>
      <c r="AK232" s="157"/>
      <c r="AL232" s="158"/>
      <c r="AM232" s="159">
        <f t="shared" ref="AM232:AW232" si="279">IF(ISERROR(LOOKUP(AM$6,$S232:$AB232,$S$9:$AB$9)),0,(LOOKUP(AM$6,$S232:$AB232,$S$9:$AB$9)))</f>
        <v>0.95</v>
      </c>
      <c r="AN232" s="160">
        <f t="shared" si="279"/>
        <v>0.95</v>
      </c>
      <c r="AO232" s="160">
        <f t="shared" si="279"/>
        <v>0.95</v>
      </c>
      <c r="AP232" s="160">
        <f t="shared" si="279"/>
        <v>0.95</v>
      </c>
      <c r="AQ232" s="160">
        <f t="shared" si="279"/>
        <v>0.95</v>
      </c>
      <c r="AR232" s="160">
        <f t="shared" si="279"/>
        <v>0.95</v>
      </c>
      <c r="AS232" s="160">
        <f t="shared" si="279"/>
        <v>0.95</v>
      </c>
      <c r="AT232" s="160">
        <f t="shared" si="279"/>
        <v>0.95</v>
      </c>
      <c r="AU232" s="160">
        <f t="shared" si="279"/>
        <v>0.95</v>
      </c>
      <c r="AV232" s="160">
        <f t="shared" si="279"/>
        <v>0.95</v>
      </c>
      <c r="AW232" s="160">
        <f ca="1" t="shared" si="279"/>
        <v>0.95</v>
      </c>
      <c r="BB232" s="161"/>
    </row>
    <row r="233" s="21" customFormat="1" ht="18" customHeight="1" spans="1:54">
      <c r="A233" s="104"/>
      <c r="B233" s="183"/>
      <c r="C233" s="106"/>
      <c r="D233" s="107" t="str">
        <f>D232</f>
        <v>ELE</v>
      </c>
      <c r="E233" s="162" t="str">
        <f>E232</f>
        <v>RFQ-054</v>
      </c>
      <c r="F233" s="163" t="str">
        <f>F232</f>
        <v>N</v>
      </c>
      <c r="G233" s="188"/>
      <c r="H233" s="109" t="str">
        <f>H232</f>
        <v>Pushbutton</v>
      </c>
      <c r="I233" s="162" t="str">
        <f>I232</f>
        <v>LD</v>
      </c>
      <c r="J233" s="163"/>
      <c r="K233" s="164"/>
      <c r="L233" s="164">
        <f>M234</f>
        <v>0.001</v>
      </c>
      <c r="M233" s="164"/>
      <c r="N233" s="162"/>
      <c r="O233" s="162"/>
      <c r="P233" s="162"/>
      <c r="Q233" s="165" t="s">
        <v>4907</v>
      </c>
      <c r="R233" s="165"/>
      <c r="S233" s="166" t="e">
        <f>S232</f>
        <v>#REF!</v>
      </c>
      <c r="T233" s="167" t="e">
        <f>T232</f>
        <v>#REF!</v>
      </c>
      <c r="U233" s="167" t="e">
        <f>WORKDAY(IF(T234="",T233,T234),INDEX(U$2:U$5,MATCH($I232,$I$2:$I$5,0)),$BB$10:$BB$141)</f>
        <v>#REF!</v>
      </c>
      <c r="V233" s="167" t="e">
        <f>WORKDAY(IF(U234="",U233,U234),INDEX(V$2:V$5,MATCH($I232,$I$2:$I$5,0)),$BB$10:$BB$141)</f>
        <v>#REF!</v>
      </c>
      <c r="W233" s="167" t="e">
        <f>WORKDAY(IF(V234="",V233,V234),INDEX(W$2:W$5,MATCH($I232,$I$2:$I$5,0)),$BB$10:$BB$141)</f>
        <v>#REF!</v>
      </c>
      <c r="X233" s="167" t="e">
        <f>WORKDAY(IF(#REF!="",#REF!,#REF!),INDEX(X$2:X$5,MATCH($I232,$I$2:$I$5,0)),$BB$10:$BB$141)</f>
        <v>#REF!</v>
      </c>
      <c r="Y233" s="167" t="e">
        <f>WORKDAY(IF(X234="",X233,X234),INDEX(Y$2:Y$5,MATCH($I232,$I$2:$I$5,0)),$BB$10:$BB$141)</f>
        <v>#REF!</v>
      </c>
      <c r="Z233" s="167" t="e">
        <f>WORKDAY(IF(Y234="",Y233,Y234),INDEX(Z$2:Z$5,MATCH($I232,$I$2:$I$5,0)),$BB$10:$BB$141)</f>
        <v>#REF!</v>
      </c>
      <c r="AA233" s="167" t="e">
        <f>WORKDAY(IF(Z234="",Z233,Z234),INDEX(AA$2:AA$5,MATCH($I232,$I$2:$I$5,0)),$BB$10:$BB$141)</f>
        <v>#REF!</v>
      </c>
      <c r="AB233" s="168" t="e">
        <f>AE232+#REF!</f>
        <v>#REF!</v>
      </c>
      <c r="AC233" s="117"/>
      <c r="AD233" s="118"/>
      <c r="AE233" s="184"/>
      <c r="AF233" s="119"/>
      <c r="AG233" s="120"/>
      <c r="AH233" s="121"/>
      <c r="AI233" s="122"/>
      <c r="AJ233" s="118"/>
      <c r="AK233" s="169"/>
      <c r="AL233" s="170"/>
      <c r="AM233" s="159">
        <f t="shared" ref="AM233:AW233" si="280">IF(ISERROR(LOOKUP(AM$6,$S233:$AB233,$S$9:$AB$9)),0,(LOOKUP(AM$6,$S233:$AB233,$S$9:$AB$9)))</f>
        <v>0</v>
      </c>
      <c r="AN233" s="160">
        <f t="shared" si="280"/>
        <v>0</v>
      </c>
      <c r="AO233" s="160">
        <f t="shared" si="280"/>
        <v>0</v>
      </c>
      <c r="AP233" s="160">
        <f t="shared" si="280"/>
        <v>0</v>
      </c>
      <c r="AQ233" s="160">
        <f t="shared" si="280"/>
        <v>0</v>
      </c>
      <c r="AR233" s="160">
        <f t="shared" si="280"/>
        <v>0</v>
      </c>
      <c r="AS233" s="160">
        <f t="shared" si="280"/>
        <v>0</v>
      </c>
      <c r="AT233" s="160">
        <f t="shared" si="280"/>
        <v>0</v>
      </c>
      <c r="AU233" s="160">
        <f t="shared" si="280"/>
        <v>0</v>
      </c>
      <c r="AV233" s="160">
        <f t="shared" si="280"/>
        <v>0</v>
      </c>
      <c r="AW233" s="160">
        <f ca="1" t="shared" si="280"/>
        <v>0</v>
      </c>
      <c r="BB233" s="161"/>
    </row>
    <row r="234" s="21" customFormat="1" ht="18" customHeight="1" spans="1:54">
      <c r="A234" s="125"/>
      <c r="B234" s="185"/>
      <c r="C234" s="127"/>
      <c r="D234" s="128" t="str">
        <f>D232</f>
        <v>ELE</v>
      </c>
      <c r="E234" s="171" t="str">
        <f>E232</f>
        <v>RFQ-054</v>
      </c>
      <c r="F234" s="172" t="str">
        <f>F232</f>
        <v>N</v>
      </c>
      <c r="G234" s="189"/>
      <c r="H234" s="130" t="str">
        <f>H232</f>
        <v>Pushbutton</v>
      </c>
      <c r="I234" s="171" t="str">
        <f>I232</f>
        <v>LD</v>
      </c>
      <c r="J234" s="172"/>
      <c r="K234" s="173"/>
      <c r="L234" s="173"/>
      <c r="M234" s="173">
        <v>0.001</v>
      </c>
      <c r="N234" s="171"/>
      <c r="O234" s="171"/>
      <c r="P234" s="171"/>
      <c r="Q234" s="174" t="s">
        <v>4908</v>
      </c>
      <c r="R234" s="174"/>
      <c r="S234" s="175"/>
      <c r="T234" s="175"/>
      <c r="U234" s="175"/>
      <c r="V234" s="175"/>
      <c r="W234" s="175"/>
      <c r="X234" s="175"/>
      <c r="Y234" s="175"/>
      <c r="Z234" s="175"/>
      <c r="AA234" s="175"/>
      <c r="AB234" s="175"/>
      <c r="AC234" s="134"/>
      <c r="AD234" s="135"/>
      <c r="AE234" s="186"/>
      <c r="AF234" s="136"/>
      <c r="AG234" s="137"/>
      <c r="AH234" s="138"/>
      <c r="AI234" s="139"/>
      <c r="AJ234" s="135"/>
      <c r="AK234" s="176"/>
      <c r="AL234" s="177"/>
      <c r="AM234" s="178">
        <f t="shared" ref="AM234:AW234" si="281">IF(ISERROR(LOOKUP(AM$6,$S234:$AB234,$S$9:$AB$9)),0,(LOOKUP(AM$6,$S234:$AB234,$S$9:$AB$9)))</f>
        <v>0</v>
      </c>
      <c r="AN234" s="179">
        <f t="shared" si="281"/>
        <v>0</v>
      </c>
      <c r="AO234" s="179">
        <f t="shared" si="281"/>
        <v>0</v>
      </c>
      <c r="AP234" s="179">
        <f t="shared" si="281"/>
        <v>0</v>
      </c>
      <c r="AQ234" s="179">
        <f t="shared" si="281"/>
        <v>0</v>
      </c>
      <c r="AR234" s="179">
        <f t="shared" si="281"/>
        <v>0</v>
      </c>
      <c r="AS234" s="179">
        <f t="shared" si="281"/>
        <v>0</v>
      </c>
      <c r="AT234" s="179">
        <f t="shared" si="281"/>
        <v>0</v>
      </c>
      <c r="AU234" s="179">
        <f t="shared" si="281"/>
        <v>0</v>
      </c>
      <c r="AV234" s="179">
        <f t="shared" si="281"/>
        <v>0</v>
      </c>
      <c r="AW234" s="179">
        <f ca="1" t="shared" si="281"/>
        <v>0</v>
      </c>
      <c r="BB234" s="161"/>
    </row>
    <row r="235" s="21" customFormat="1" ht="18" customHeight="1" spans="1:54">
      <c r="A235" s="81">
        <f>A232+1</f>
        <v>76</v>
      </c>
      <c r="B235" s="180" t="s">
        <v>4967</v>
      </c>
      <c r="C235" s="83" t="s">
        <v>4902</v>
      </c>
      <c r="D235" s="84" t="s">
        <v>4985</v>
      </c>
      <c r="E235" s="153" t="s">
        <v>4964</v>
      </c>
      <c r="F235" s="154" t="s">
        <v>72</v>
      </c>
      <c r="G235" s="187"/>
      <c r="H235" s="86" t="s">
        <v>4986</v>
      </c>
      <c r="I235" s="153" t="s">
        <v>9</v>
      </c>
      <c r="J235" s="154"/>
      <c r="K235" s="155">
        <f>M237</f>
        <v>0.001</v>
      </c>
      <c r="L235" s="155"/>
      <c r="M235" s="155"/>
      <c r="N235" s="153"/>
      <c r="O235" s="153"/>
      <c r="P235" s="153"/>
      <c r="Q235" s="156" t="s">
        <v>4905</v>
      </c>
      <c r="R235" s="156"/>
      <c r="S235" s="181" t="e">
        <f>WORKDAY(T235,-INDEX(T$2:T$5,MATCH($I235,$I$2:$I$5,0)),'[36]Equipment List and MR List (3)'!$A$2:$A$80)</f>
        <v>#REF!</v>
      </c>
      <c r="T235" s="181" t="e">
        <f>WORKDAY(U235,-INDEX(U$2:U$5,MATCH($I235,$I$2:$I$5,0)),$BB$10:$BB$141)</f>
        <v>#REF!</v>
      </c>
      <c r="U235" s="181" t="e">
        <f>WORKDAY(V235,-INDEX(V$2:V$5,MATCH($I235,$I$2:$I$5,0)),$BB$10:$BB$141)</f>
        <v>#REF!</v>
      </c>
      <c r="V235" s="181" t="e">
        <f>WORKDAY(W235,-INDEX(W$2:W$5,MATCH($I235,$I$2:$I$5,0)),$BB$10:$BB$141)</f>
        <v>#REF!</v>
      </c>
      <c r="W235" s="181" t="e">
        <f>WORKDAY(#REF!,-INDEX(#REF!,MATCH($I235,$I$2:$I$5,0)),$BB$10:$BB$141)</f>
        <v>#REF!</v>
      </c>
      <c r="X235" s="181" t="e">
        <f>WORKDAY(Y235,-INDEX(Y$2:Y$5,MATCH($I235,$I$2:$I$5,0)),$BB$10:$BB$141)</f>
        <v>#REF!</v>
      </c>
      <c r="Y235" s="181" t="e">
        <f>WORKDAY(Z235,-INDEX(Z$2:Z$5,MATCH($I235,$I$2:$I$5,0)),$BB$10:$BB$141)</f>
        <v>#REF!</v>
      </c>
      <c r="Z235" s="181" t="e">
        <f>WORKDAY(AA235,-INDEX(AA$2:AA$5,MATCH($I235,$I$2:$I$5,0)),$BB$10:$BB$141)</f>
        <v>#REF!</v>
      </c>
      <c r="AA235" s="181" t="e">
        <f>WORKDAY(#REF!,-INDEX(#REF!,MATCH($I235,$I$2:$I$5,0)),$BB$10:$BB$141)</f>
        <v>#REF!</v>
      </c>
      <c r="AB235" s="181">
        <f>WORKDAY(AG235,0,'[36]Equipment List and MR List (3)'!$A$2:$A$80)</f>
        <v>0</v>
      </c>
      <c r="AC235" s="92" t="s">
        <v>4906</v>
      </c>
      <c r="AD235" s="93">
        <v>7</v>
      </c>
      <c r="AE235" s="182"/>
      <c r="AF235" s="95" t="e">
        <f>AB236</f>
        <v>#REF!</v>
      </c>
      <c r="AG235" s="96"/>
      <c r="AH235" s="97"/>
      <c r="AI235" s="98"/>
      <c r="AJ235" s="93" t="e">
        <f>AG235-AF235</f>
        <v>#REF!</v>
      </c>
      <c r="AK235" s="157"/>
      <c r="AL235" s="158"/>
      <c r="AM235" s="159">
        <f t="shared" ref="AM235:AW235" si="282">IF(ISERROR(LOOKUP(AM$6,$S235:$AB235,$S$9:$AB$9)),0,(LOOKUP(AM$6,$S235:$AB235,$S$9:$AB$9)))</f>
        <v>0.95</v>
      </c>
      <c r="AN235" s="160">
        <f t="shared" si="282"/>
        <v>0.95</v>
      </c>
      <c r="AO235" s="160">
        <f t="shared" si="282"/>
        <v>0.95</v>
      </c>
      <c r="AP235" s="160">
        <f t="shared" si="282"/>
        <v>0.95</v>
      </c>
      <c r="AQ235" s="160">
        <f t="shared" si="282"/>
        <v>0.95</v>
      </c>
      <c r="AR235" s="160">
        <f t="shared" si="282"/>
        <v>0.95</v>
      </c>
      <c r="AS235" s="160">
        <f t="shared" si="282"/>
        <v>0.95</v>
      </c>
      <c r="AT235" s="160">
        <f t="shared" si="282"/>
        <v>0.95</v>
      </c>
      <c r="AU235" s="160">
        <f t="shared" si="282"/>
        <v>0.95</v>
      </c>
      <c r="AV235" s="160">
        <f t="shared" si="282"/>
        <v>0.95</v>
      </c>
      <c r="AW235" s="160">
        <f ca="1" t="shared" si="282"/>
        <v>0.95</v>
      </c>
      <c r="BB235" s="161"/>
    </row>
    <row r="236" s="21" customFormat="1" ht="18" customHeight="1" spans="1:54">
      <c r="A236" s="104"/>
      <c r="B236" s="183"/>
      <c r="C236" s="106"/>
      <c r="D236" s="107" t="str">
        <f>D235</f>
        <v>INT</v>
      </c>
      <c r="E236" s="162" t="str">
        <f>E235</f>
        <v>RFQ-054</v>
      </c>
      <c r="F236" s="163" t="str">
        <f>F235</f>
        <v>N</v>
      </c>
      <c r="G236" s="188"/>
      <c r="H236" s="109" t="str">
        <f>H235</f>
        <v>ESD Button / Station</v>
      </c>
      <c r="I236" s="162" t="str">
        <f>I235</f>
        <v>LD</v>
      </c>
      <c r="J236" s="163"/>
      <c r="K236" s="164"/>
      <c r="L236" s="164">
        <f>M237</f>
        <v>0.001</v>
      </c>
      <c r="M236" s="164"/>
      <c r="N236" s="162"/>
      <c r="O236" s="162"/>
      <c r="P236" s="162"/>
      <c r="Q236" s="165" t="s">
        <v>4907</v>
      </c>
      <c r="R236" s="165"/>
      <c r="S236" s="166" t="e">
        <f>S235</f>
        <v>#REF!</v>
      </c>
      <c r="T236" s="167" t="e">
        <f>T235</f>
        <v>#REF!</v>
      </c>
      <c r="U236" s="167" t="e">
        <f>WORKDAY(IF(T237="",T236,T237),INDEX(U$2:U$5,MATCH($I235,$I$2:$I$5,0)),$BB$10:$BB$141)</f>
        <v>#REF!</v>
      </c>
      <c r="V236" s="167" t="e">
        <f>WORKDAY(IF(U237="",U236,U237),INDEX(V$2:V$5,MATCH($I235,$I$2:$I$5,0)),$BB$10:$BB$141)</f>
        <v>#REF!</v>
      </c>
      <c r="W236" s="167" t="e">
        <f>WORKDAY(IF(V237="",V236,V237),INDEX(W$2:W$5,MATCH($I235,$I$2:$I$5,0)),$BB$10:$BB$141)</f>
        <v>#REF!</v>
      </c>
      <c r="X236" s="167" t="e">
        <f>WORKDAY(IF(#REF!="",#REF!,#REF!),INDEX(X$2:X$5,MATCH($I235,$I$2:$I$5,0)),$BB$10:$BB$141)</f>
        <v>#REF!</v>
      </c>
      <c r="Y236" s="167" t="e">
        <f>WORKDAY(IF(X237="",X236,X237),INDEX(Y$2:Y$5,MATCH($I235,$I$2:$I$5,0)),$BB$10:$BB$141)</f>
        <v>#REF!</v>
      </c>
      <c r="Z236" s="167" t="e">
        <f>WORKDAY(IF(Y237="",Y236,Y237),INDEX(Z$2:Z$5,MATCH($I235,$I$2:$I$5,0)),$BB$10:$BB$141)</f>
        <v>#REF!</v>
      </c>
      <c r="AA236" s="167" t="e">
        <f>WORKDAY(IF(Z237="",Z236,Z237),INDEX(AA$2:AA$5,MATCH($I235,$I$2:$I$5,0)),$BB$10:$BB$141)</f>
        <v>#REF!</v>
      </c>
      <c r="AB236" s="168" t="e">
        <f>AE235+#REF!</f>
        <v>#REF!</v>
      </c>
      <c r="AC236" s="117"/>
      <c r="AD236" s="118"/>
      <c r="AE236" s="184"/>
      <c r="AF236" s="119"/>
      <c r="AG236" s="120"/>
      <c r="AH236" s="121"/>
      <c r="AI236" s="122"/>
      <c r="AJ236" s="118"/>
      <c r="AK236" s="169"/>
      <c r="AL236" s="170"/>
      <c r="AM236" s="159">
        <f t="shared" ref="AM236:AW236" si="283">IF(ISERROR(LOOKUP(AM$6,$S236:$AB236,$S$9:$AB$9)),0,(LOOKUP(AM$6,$S236:$AB236,$S$9:$AB$9)))</f>
        <v>0</v>
      </c>
      <c r="AN236" s="160">
        <f t="shared" si="283"/>
        <v>0</v>
      </c>
      <c r="AO236" s="160">
        <f t="shared" si="283"/>
        <v>0</v>
      </c>
      <c r="AP236" s="160">
        <f t="shared" si="283"/>
        <v>0</v>
      </c>
      <c r="AQ236" s="160">
        <f t="shared" si="283"/>
        <v>0</v>
      </c>
      <c r="AR236" s="160">
        <f t="shared" si="283"/>
        <v>0</v>
      </c>
      <c r="AS236" s="160">
        <f t="shared" si="283"/>
        <v>0</v>
      </c>
      <c r="AT236" s="160">
        <f t="shared" si="283"/>
        <v>0</v>
      </c>
      <c r="AU236" s="160">
        <f t="shared" si="283"/>
        <v>0</v>
      </c>
      <c r="AV236" s="160">
        <f t="shared" si="283"/>
        <v>0</v>
      </c>
      <c r="AW236" s="160">
        <f ca="1" t="shared" si="283"/>
        <v>0</v>
      </c>
      <c r="BB236" s="161"/>
    </row>
    <row r="237" s="21" customFormat="1" ht="18" customHeight="1" spans="1:54">
      <c r="A237" s="125"/>
      <c r="B237" s="185"/>
      <c r="C237" s="127"/>
      <c r="D237" s="128" t="str">
        <f>D235</f>
        <v>INT</v>
      </c>
      <c r="E237" s="171" t="str">
        <f>E235</f>
        <v>RFQ-054</v>
      </c>
      <c r="F237" s="172" t="str">
        <f>F235</f>
        <v>N</v>
      </c>
      <c r="G237" s="189"/>
      <c r="H237" s="130" t="str">
        <f>H235</f>
        <v>ESD Button / Station</v>
      </c>
      <c r="I237" s="171" t="str">
        <f>I235</f>
        <v>LD</v>
      </c>
      <c r="J237" s="172"/>
      <c r="K237" s="173"/>
      <c r="L237" s="173"/>
      <c r="M237" s="173">
        <v>0.001</v>
      </c>
      <c r="N237" s="171"/>
      <c r="O237" s="171"/>
      <c r="P237" s="171"/>
      <c r="Q237" s="174" t="s">
        <v>4908</v>
      </c>
      <c r="R237" s="174"/>
      <c r="S237" s="175"/>
      <c r="T237" s="175"/>
      <c r="U237" s="175"/>
      <c r="V237" s="175"/>
      <c r="W237" s="175"/>
      <c r="X237" s="175"/>
      <c r="Y237" s="175"/>
      <c r="Z237" s="175"/>
      <c r="AA237" s="175"/>
      <c r="AB237" s="175"/>
      <c r="AC237" s="134"/>
      <c r="AD237" s="135"/>
      <c r="AE237" s="186"/>
      <c r="AF237" s="136"/>
      <c r="AG237" s="137"/>
      <c r="AH237" s="138"/>
      <c r="AI237" s="139"/>
      <c r="AJ237" s="135"/>
      <c r="AK237" s="176"/>
      <c r="AL237" s="177"/>
      <c r="AM237" s="178">
        <f t="shared" ref="AM237:AW237" si="284">IF(ISERROR(LOOKUP(AM$6,$S237:$AB237,$S$9:$AB$9)),0,(LOOKUP(AM$6,$S237:$AB237,$S$9:$AB$9)))</f>
        <v>0</v>
      </c>
      <c r="AN237" s="179">
        <f t="shared" si="284"/>
        <v>0</v>
      </c>
      <c r="AO237" s="179">
        <f t="shared" si="284"/>
        <v>0</v>
      </c>
      <c r="AP237" s="179">
        <f t="shared" si="284"/>
        <v>0</v>
      </c>
      <c r="AQ237" s="179">
        <f t="shared" si="284"/>
        <v>0</v>
      </c>
      <c r="AR237" s="179">
        <f t="shared" si="284"/>
        <v>0</v>
      </c>
      <c r="AS237" s="179">
        <f t="shared" si="284"/>
        <v>0</v>
      </c>
      <c r="AT237" s="179">
        <f t="shared" si="284"/>
        <v>0</v>
      </c>
      <c r="AU237" s="179">
        <f t="shared" si="284"/>
        <v>0</v>
      </c>
      <c r="AV237" s="179">
        <f t="shared" si="284"/>
        <v>0</v>
      </c>
      <c r="AW237" s="179">
        <f ca="1" t="shared" si="284"/>
        <v>0</v>
      </c>
      <c r="BB237" s="161"/>
    </row>
    <row r="238" s="21" customFormat="1" ht="18" customHeight="1" spans="1:54">
      <c r="A238" s="81">
        <f>A235+1</f>
        <v>77</v>
      </c>
      <c r="B238" s="180" t="s">
        <v>4967</v>
      </c>
      <c r="C238" s="83" t="s">
        <v>4902</v>
      </c>
      <c r="D238" s="84" t="s">
        <v>4985</v>
      </c>
      <c r="E238" s="153" t="s">
        <v>4964</v>
      </c>
      <c r="F238" s="154" t="s">
        <v>72</v>
      </c>
      <c r="G238" s="187"/>
      <c r="H238" s="86" t="s">
        <v>4987</v>
      </c>
      <c r="I238" s="153" t="s">
        <v>9</v>
      </c>
      <c r="J238" s="154"/>
      <c r="K238" s="155">
        <f>M240</f>
        <v>0.001</v>
      </c>
      <c r="L238" s="155"/>
      <c r="M238" s="155"/>
      <c r="N238" s="153"/>
      <c r="O238" s="153"/>
      <c r="P238" s="153"/>
      <c r="Q238" s="156" t="s">
        <v>4905</v>
      </c>
      <c r="R238" s="156"/>
      <c r="S238" s="181" t="e">
        <f>WORKDAY(T238,-INDEX(T$2:T$5,MATCH($I238,$I$2:$I$5,0)),'[36]Equipment List and MR List (3)'!$A$2:$A$80)</f>
        <v>#REF!</v>
      </c>
      <c r="T238" s="181" t="e">
        <f>WORKDAY(U238,-INDEX(U$2:U$5,MATCH($I238,$I$2:$I$5,0)),$BB$10:$BB$141)</f>
        <v>#REF!</v>
      </c>
      <c r="U238" s="181" t="e">
        <f>WORKDAY(V238,-INDEX(V$2:V$5,MATCH($I238,$I$2:$I$5,0)),$BB$10:$BB$141)</f>
        <v>#REF!</v>
      </c>
      <c r="V238" s="181" t="e">
        <f>WORKDAY(W238,-INDEX(W$2:W$5,MATCH($I238,$I$2:$I$5,0)),$BB$10:$BB$141)</f>
        <v>#REF!</v>
      </c>
      <c r="W238" s="181" t="e">
        <f>WORKDAY(#REF!,-INDEX(#REF!,MATCH($I238,$I$2:$I$5,0)),$BB$10:$BB$141)</f>
        <v>#REF!</v>
      </c>
      <c r="X238" s="181" t="e">
        <f>WORKDAY(Y238,-INDEX(Y$2:Y$5,MATCH($I238,$I$2:$I$5,0)),$BB$10:$BB$141)</f>
        <v>#REF!</v>
      </c>
      <c r="Y238" s="181" t="e">
        <f>WORKDAY(Z238,-INDEX(Z$2:Z$5,MATCH($I238,$I$2:$I$5,0)),$BB$10:$BB$141)</f>
        <v>#REF!</v>
      </c>
      <c r="Z238" s="181" t="e">
        <f>WORKDAY(AA238,-INDEX(AA$2:AA$5,MATCH($I238,$I$2:$I$5,0)),$BB$10:$BB$141)</f>
        <v>#REF!</v>
      </c>
      <c r="AA238" s="181" t="e">
        <f>WORKDAY(#REF!,-INDEX(#REF!,MATCH($I238,$I$2:$I$5,0)),$BB$10:$BB$141)</f>
        <v>#REF!</v>
      </c>
      <c r="AB238" s="181">
        <f>WORKDAY(AG238,0,'[36]Equipment List and MR List (3)'!$A$2:$A$80)</f>
        <v>0</v>
      </c>
      <c r="AC238" s="92" t="s">
        <v>4906</v>
      </c>
      <c r="AD238" s="93">
        <v>7</v>
      </c>
      <c r="AE238" s="182">
        <v>121</v>
      </c>
      <c r="AF238" s="95" t="e">
        <f>AB239</f>
        <v>#REF!</v>
      </c>
      <c r="AG238" s="96"/>
      <c r="AH238" s="97"/>
      <c r="AI238" s="98"/>
      <c r="AJ238" s="93" t="e">
        <f>AG238-AF238</f>
        <v>#REF!</v>
      </c>
      <c r="AK238" s="157"/>
      <c r="AL238" s="158"/>
      <c r="AM238" s="159">
        <f t="shared" ref="AM238:AW238" si="285">IF(ISERROR(LOOKUP(AM$6,$S238:$AB238,$S$9:$AB$9)),0,(LOOKUP(AM$6,$S238:$AB238,$S$9:$AB$9)))</f>
        <v>0.95</v>
      </c>
      <c r="AN238" s="160">
        <f t="shared" si="285"/>
        <v>0.95</v>
      </c>
      <c r="AO238" s="160">
        <f t="shared" si="285"/>
        <v>0.95</v>
      </c>
      <c r="AP238" s="160">
        <f t="shared" si="285"/>
        <v>0.95</v>
      </c>
      <c r="AQ238" s="160">
        <f t="shared" si="285"/>
        <v>0.95</v>
      </c>
      <c r="AR238" s="160">
        <f t="shared" si="285"/>
        <v>0.95</v>
      </c>
      <c r="AS238" s="160">
        <f t="shared" si="285"/>
        <v>0.95</v>
      </c>
      <c r="AT238" s="160">
        <f t="shared" si="285"/>
        <v>0.95</v>
      </c>
      <c r="AU238" s="160">
        <f t="shared" si="285"/>
        <v>0.95</v>
      </c>
      <c r="AV238" s="160">
        <f t="shared" si="285"/>
        <v>0.95</v>
      </c>
      <c r="AW238" s="160">
        <f ca="1" t="shared" si="285"/>
        <v>0.95</v>
      </c>
      <c r="BB238" s="161"/>
    </row>
    <row r="239" s="21" customFormat="1" ht="18" customHeight="1" spans="1:54">
      <c r="A239" s="104"/>
      <c r="B239" s="183"/>
      <c r="C239" s="106"/>
      <c r="D239" s="107" t="str">
        <f>D238</f>
        <v>INT</v>
      </c>
      <c r="E239" s="162" t="str">
        <f>E238</f>
        <v>RFQ-054</v>
      </c>
      <c r="F239" s="163" t="str">
        <f>F238</f>
        <v>N</v>
      </c>
      <c r="G239" s="188"/>
      <c r="H239" s="109" t="str">
        <f>H238</f>
        <v>Tube Clamp (Anti Corrosion Type)</v>
      </c>
      <c r="I239" s="162" t="str">
        <f>I238</f>
        <v>LD</v>
      </c>
      <c r="J239" s="163"/>
      <c r="K239" s="164"/>
      <c r="L239" s="164">
        <f>M240</f>
        <v>0.001</v>
      </c>
      <c r="M239" s="164"/>
      <c r="N239" s="162"/>
      <c r="O239" s="162"/>
      <c r="P239" s="162"/>
      <c r="Q239" s="165" t="s">
        <v>4907</v>
      </c>
      <c r="R239" s="165"/>
      <c r="S239" s="166" t="e">
        <f>S238</f>
        <v>#REF!</v>
      </c>
      <c r="T239" s="167" t="e">
        <f>T238</f>
        <v>#REF!</v>
      </c>
      <c r="U239" s="167" t="e">
        <f>WORKDAY(IF(T240="",T239,T240),INDEX(U$2:U$5,MATCH($I238,$I$2:$I$5,0)),$BB$10:$BB$141)</f>
        <v>#REF!</v>
      </c>
      <c r="V239" s="167" t="e">
        <f>WORKDAY(IF(U240="",U239,U240),INDEX(V$2:V$5,MATCH($I238,$I$2:$I$5,0)),$BB$10:$BB$141)</f>
        <v>#REF!</v>
      </c>
      <c r="W239" s="167" t="e">
        <f>WORKDAY(IF(V240="",V239,V240),INDEX(W$2:W$5,MATCH($I238,$I$2:$I$5,0)),$BB$10:$BB$141)</f>
        <v>#REF!</v>
      </c>
      <c r="X239" s="167" t="e">
        <f>WORKDAY(IF(#REF!="",#REF!,#REF!),INDEX(X$2:X$5,MATCH($I238,$I$2:$I$5,0)),$BB$10:$BB$141)</f>
        <v>#REF!</v>
      </c>
      <c r="Y239" s="167" t="e">
        <f>WORKDAY(IF(X240="",X239,X240),INDEX(Y$2:Y$5,MATCH($I238,$I$2:$I$5,0)),$BB$10:$BB$141)</f>
        <v>#REF!</v>
      </c>
      <c r="Z239" s="167" t="e">
        <f>WORKDAY(IF(Y240="",Y239,Y240),INDEX(Z$2:Z$5,MATCH($I238,$I$2:$I$5,0)),$BB$10:$BB$141)</f>
        <v>#REF!</v>
      </c>
      <c r="AA239" s="167" t="e">
        <f>WORKDAY(IF(Z240="",Z239,Z240),INDEX(AA$2:AA$5,MATCH($I238,$I$2:$I$5,0)),$BB$10:$BB$141)</f>
        <v>#REF!</v>
      </c>
      <c r="AB239" s="168" t="e">
        <f>AE238+#REF!</f>
        <v>#REF!</v>
      </c>
      <c r="AC239" s="117"/>
      <c r="AD239" s="118"/>
      <c r="AE239" s="184"/>
      <c r="AF239" s="119"/>
      <c r="AG239" s="120"/>
      <c r="AH239" s="121"/>
      <c r="AI239" s="122"/>
      <c r="AJ239" s="118"/>
      <c r="AK239" s="169"/>
      <c r="AL239" s="170"/>
      <c r="AM239" s="159">
        <f t="shared" ref="AM239:AW239" si="286">IF(ISERROR(LOOKUP(AM$6,$S239:$AB239,$S$9:$AB$9)),0,(LOOKUP(AM$6,$S239:$AB239,$S$9:$AB$9)))</f>
        <v>0</v>
      </c>
      <c r="AN239" s="160">
        <f t="shared" si="286"/>
        <v>0</v>
      </c>
      <c r="AO239" s="160">
        <f t="shared" si="286"/>
        <v>0</v>
      </c>
      <c r="AP239" s="160">
        <f t="shared" si="286"/>
        <v>0</v>
      </c>
      <c r="AQ239" s="160">
        <f t="shared" si="286"/>
        <v>0</v>
      </c>
      <c r="AR239" s="160">
        <f t="shared" si="286"/>
        <v>0</v>
      </c>
      <c r="AS239" s="160">
        <f t="shared" si="286"/>
        <v>0</v>
      </c>
      <c r="AT239" s="160">
        <f t="shared" si="286"/>
        <v>0</v>
      </c>
      <c r="AU239" s="160">
        <f t="shared" si="286"/>
        <v>0</v>
      </c>
      <c r="AV239" s="160">
        <f t="shared" si="286"/>
        <v>0</v>
      </c>
      <c r="AW239" s="160">
        <f ca="1" t="shared" si="286"/>
        <v>0</v>
      </c>
      <c r="BB239" s="161"/>
    </row>
    <row r="240" s="21" customFormat="1" ht="18" customHeight="1" spans="1:54">
      <c r="A240" s="125"/>
      <c r="B240" s="185"/>
      <c r="C240" s="127"/>
      <c r="D240" s="128" t="str">
        <f>D238</f>
        <v>INT</v>
      </c>
      <c r="E240" s="171" t="str">
        <f>E238</f>
        <v>RFQ-054</v>
      </c>
      <c r="F240" s="172" t="str">
        <f>F238</f>
        <v>N</v>
      </c>
      <c r="G240" s="189"/>
      <c r="H240" s="130" t="str">
        <f>H238</f>
        <v>Tube Clamp (Anti Corrosion Type)</v>
      </c>
      <c r="I240" s="171" t="str">
        <f>I238</f>
        <v>LD</v>
      </c>
      <c r="J240" s="172"/>
      <c r="K240" s="173"/>
      <c r="L240" s="173"/>
      <c r="M240" s="173">
        <v>0.001</v>
      </c>
      <c r="N240" s="171"/>
      <c r="O240" s="171"/>
      <c r="P240" s="171"/>
      <c r="Q240" s="174" t="s">
        <v>4908</v>
      </c>
      <c r="R240" s="174"/>
      <c r="S240" s="175"/>
      <c r="T240" s="175"/>
      <c r="U240" s="175"/>
      <c r="V240" s="175"/>
      <c r="W240" s="175"/>
      <c r="X240" s="175"/>
      <c r="Y240" s="175"/>
      <c r="Z240" s="175"/>
      <c r="AA240" s="175"/>
      <c r="AB240" s="175"/>
      <c r="AC240" s="134"/>
      <c r="AD240" s="135"/>
      <c r="AE240" s="186"/>
      <c r="AF240" s="136"/>
      <c r="AG240" s="137"/>
      <c r="AH240" s="138"/>
      <c r="AI240" s="139"/>
      <c r="AJ240" s="135"/>
      <c r="AK240" s="176"/>
      <c r="AL240" s="177"/>
      <c r="AM240" s="178">
        <f t="shared" ref="AM240:AW240" si="287">IF(ISERROR(LOOKUP(AM$6,$S240:$AB240,$S$9:$AB$9)),0,(LOOKUP(AM$6,$S240:$AB240,$S$9:$AB$9)))</f>
        <v>0</v>
      </c>
      <c r="AN240" s="179">
        <f t="shared" si="287"/>
        <v>0</v>
      </c>
      <c r="AO240" s="179">
        <f t="shared" si="287"/>
        <v>0</v>
      </c>
      <c r="AP240" s="179">
        <f t="shared" si="287"/>
        <v>0</v>
      </c>
      <c r="AQ240" s="179">
        <f t="shared" si="287"/>
        <v>0</v>
      </c>
      <c r="AR240" s="179">
        <f t="shared" si="287"/>
        <v>0</v>
      </c>
      <c r="AS240" s="179">
        <f t="shared" si="287"/>
        <v>0</v>
      </c>
      <c r="AT240" s="179">
        <f t="shared" si="287"/>
        <v>0</v>
      </c>
      <c r="AU240" s="179">
        <f t="shared" si="287"/>
        <v>0</v>
      </c>
      <c r="AV240" s="179">
        <f t="shared" si="287"/>
        <v>0</v>
      </c>
      <c r="AW240" s="179">
        <f ca="1" t="shared" si="287"/>
        <v>0</v>
      </c>
      <c r="BB240" s="161"/>
    </row>
    <row r="241" s="21" customFormat="1" ht="18" customHeight="1" spans="1:54">
      <c r="A241" s="81">
        <f>A238+1</f>
        <v>78</v>
      </c>
      <c r="B241" s="180" t="s">
        <v>4967</v>
      </c>
      <c r="C241" s="83" t="s">
        <v>4902</v>
      </c>
      <c r="D241" s="84" t="s">
        <v>4985</v>
      </c>
      <c r="E241" s="153" t="s">
        <v>4964</v>
      </c>
      <c r="F241" s="154" t="s">
        <v>72</v>
      </c>
      <c r="G241" s="187"/>
      <c r="H241" s="86" t="s">
        <v>4988</v>
      </c>
      <c r="I241" s="153" t="s">
        <v>9</v>
      </c>
      <c r="J241" s="154"/>
      <c r="K241" s="155">
        <f>M243</f>
        <v>0.001</v>
      </c>
      <c r="L241" s="155"/>
      <c r="M241" s="155"/>
      <c r="N241" s="153"/>
      <c r="O241" s="153"/>
      <c r="P241" s="153"/>
      <c r="Q241" s="156" t="s">
        <v>4905</v>
      </c>
      <c r="R241" s="156"/>
      <c r="S241" s="181" t="e">
        <f>WORKDAY(T241,-INDEX(T$2:T$5,MATCH($I241,$I$2:$I$5,0)),'[36]Equipment List and MR List (3)'!$A$2:$A$80)</f>
        <v>#REF!</v>
      </c>
      <c r="T241" s="181" t="e">
        <f>WORKDAY(U241,-INDEX(U$2:U$5,MATCH($I241,$I$2:$I$5,0)),$BB$10:$BB$141)</f>
        <v>#REF!</v>
      </c>
      <c r="U241" s="181" t="e">
        <f>WORKDAY(V241,-INDEX(V$2:V$5,MATCH($I241,$I$2:$I$5,0)),$BB$10:$BB$141)</f>
        <v>#REF!</v>
      </c>
      <c r="V241" s="181" t="e">
        <f>WORKDAY(W241,-INDEX(W$2:W$5,MATCH($I241,$I$2:$I$5,0)),$BB$10:$BB$141)</f>
        <v>#REF!</v>
      </c>
      <c r="W241" s="181" t="e">
        <f>WORKDAY(#REF!,-INDEX(#REF!,MATCH($I241,$I$2:$I$5,0)),$BB$10:$BB$141)</f>
        <v>#REF!</v>
      </c>
      <c r="X241" s="181" t="e">
        <f>WORKDAY(Y241,-INDEX(Y$2:Y$5,MATCH($I241,$I$2:$I$5,0)),$BB$10:$BB$141)</f>
        <v>#REF!</v>
      </c>
      <c r="Y241" s="181" t="e">
        <f>WORKDAY(Z241,-INDEX(Z$2:Z$5,MATCH($I241,$I$2:$I$5,0)),$BB$10:$BB$141)</f>
        <v>#REF!</v>
      </c>
      <c r="Z241" s="181" t="e">
        <f>WORKDAY(AA241,-INDEX(AA$2:AA$5,MATCH($I241,$I$2:$I$5,0)),$BB$10:$BB$141)</f>
        <v>#REF!</v>
      </c>
      <c r="AA241" s="181" t="e">
        <f>WORKDAY(#REF!,-INDEX(#REF!,MATCH($I241,$I$2:$I$5,0)),$BB$10:$BB$141)</f>
        <v>#REF!</v>
      </c>
      <c r="AB241" s="181">
        <f>WORKDAY(AG241,0,'[36]Equipment List and MR List (3)'!$A$2:$A$80)</f>
        <v>0</v>
      </c>
      <c r="AC241" s="92" t="s">
        <v>4906</v>
      </c>
      <c r="AD241" s="93">
        <v>7</v>
      </c>
      <c r="AE241" s="182">
        <v>121</v>
      </c>
      <c r="AF241" s="95" t="e">
        <f>AB242</f>
        <v>#REF!</v>
      </c>
      <c r="AG241" s="96"/>
      <c r="AH241" s="97"/>
      <c r="AI241" s="98"/>
      <c r="AJ241" s="93" t="e">
        <f>AG241-AF241</f>
        <v>#REF!</v>
      </c>
      <c r="AK241" s="157"/>
      <c r="AL241" s="158"/>
      <c r="AM241" s="159">
        <f t="shared" ref="AM241:AW241" si="288">IF(ISERROR(LOOKUP(AM$6,$S241:$AB241,$S$9:$AB$9)),0,(LOOKUP(AM$6,$S241:$AB241,$S$9:$AB$9)))</f>
        <v>0.95</v>
      </c>
      <c r="AN241" s="160">
        <f t="shared" si="288"/>
        <v>0.95</v>
      </c>
      <c r="AO241" s="160">
        <f t="shared" si="288"/>
        <v>0.95</v>
      </c>
      <c r="AP241" s="160">
        <f t="shared" si="288"/>
        <v>0.95</v>
      </c>
      <c r="AQ241" s="160">
        <f t="shared" si="288"/>
        <v>0.95</v>
      </c>
      <c r="AR241" s="160">
        <f t="shared" si="288"/>
        <v>0.95</v>
      </c>
      <c r="AS241" s="160">
        <f t="shared" si="288"/>
        <v>0.95</v>
      </c>
      <c r="AT241" s="160">
        <f t="shared" si="288"/>
        <v>0.95</v>
      </c>
      <c r="AU241" s="160">
        <f t="shared" si="288"/>
        <v>0.95</v>
      </c>
      <c r="AV241" s="160">
        <f t="shared" si="288"/>
        <v>0.95</v>
      </c>
      <c r="AW241" s="160">
        <f ca="1" t="shared" si="288"/>
        <v>0.95</v>
      </c>
      <c r="BB241" s="161"/>
    </row>
    <row r="242" s="21" customFormat="1" ht="18" customHeight="1" spans="1:54">
      <c r="A242" s="104"/>
      <c r="B242" s="183"/>
      <c r="C242" s="106"/>
      <c r="D242" s="107" t="str">
        <f>D241</f>
        <v>INT</v>
      </c>
      <c r="E242" s="162" t="str">
        <f>E241</f>
        <v>RFQ-054</v>
      </c>
      <c r="F242" s="163" t="str">
        <f>F241</f>
        <v>N</v>
      </c>
      <c r="G242" s="188"/>
      <c r="H242" s="109" t="str">
        <f>H241</f>
        <v>TUBE</v>
      </c>
      <c r="I242" s="162" t="str">
        <f>I241</f>
        <v>LD</v>
      </c>
      <c r="J242" s="163"/>
      <c r="K242" s="164"/>
      <c r="L242" s="164">
        <f>M243</f>
        <v>0.001</v>
      </c>
      <c r="M242" s="164"/>
      <c r="N242" s="162"/>
      <c r="O242" s="162"/>
      <c r="P242" s="162"/>
      <c r="Q242" s="165" t="s">
        <v>4907</v>
      </c>
      <c r="R242" s="165"/>
      <c r="S242" s="166" t="e">
        <f>S241</f>
        <v>#REF!</v>
      </c>
      <c r="T242" s="167" t="e">
        <f>T241</f>
        <v>#REF!</v>
      </c>
      <c r="U242" s="167" t="e">
        <f>WORKDAY(IF(T243="",T242,T243),INDEX(U$2:U$5,MATCH($I241,$I$2:$I$5,0)),$BB$10:$BB$141)</f>
        <v>#REF!</v>
      </c>
      <c r="V242" s="167" t="e">
        <f>WORKDAY(IF(U243="",U242,U243),INDEX(V$2:V$5,MATCH($I241,$I$2:$I$5,0)),$BB$10:$BB$141)</f>
        <v>#REF!</v>
      </c>
      <c r="W242" s="167" t="e">
        <f>WORKDAY(IF(V243="",V242,V243),INDEX(W$2:W$5,MATCH($I241,$I$2:$I$5,0)),$BB$10:$BB$141)</f>
        <v>#REF!</v>
      </c>
      <c r="X242" s="167" t="e">
        <f>WORKDAY(IF(#REF!="",#REF!,#REF!),INDEX(X$2:X$5,MATCH($I241,$I$2:$I$5,0)),$BB$10:$BB$141)</f>
        <v>#REF!</v>
      </c>
      <c r="Y242" s="167" t="e">
        <f>WORKDAY(IF(X243="",X242,X243),INDEX(Y$2:Y$5,MATCH($I241,$I$2:$I$5,0)),$BB$10:$BB$141)</f>
        <v>#REF!</v>
      </c>
      <c r="Z242" s="167" t="e">
        <f>WORKDAY(IF(Y243="",Y242,Y243),INDEX(Z$2:Z$5,MATCH($I241,$I$2:$I$5,0)),$BB$10:$BB$141)</f>
        <v>#REF!</v>
      </c>
      <c r="AA242" s="167" t="e">
        <f>WORKDAY(IF(Z243="",Z242,Z243),INDEX(AA$2:AA$5,MATCH($I241,$I$2:$I$5,0)),$BB$10:$BB$141)</f>
        <v>#REF!</v>
      </c>
      <c r="AB242" s="168" t="e">
        <f>AE241+#REF!</f>
        <v>#REF!</v>
      </c>
      <c r="AC242" s="117"/>
      <c r="AD242" s="118"/>
      <c r="AE242" s="184"/>
      <c r="AF242" s="119"/>
      <c r="AG242" s="120"/>
      <c r="AH242" s="121"/>
      <c r="AI242" s="122"/>
      <c r="AJ242" s="118"/>
      <c r="AK242" s="169"/>
      <c r="AL242" s="170"/>
      <c r="AM242" s="159">
        <f t="shared" ref="AM242:AW242" si="289">IF(ISERROR(LOOKUP(AM$6,$S242:$AB242,$S$9:$AB$9)),0,(LOOKUP(AM$6,$S242:$AB242,$S$9:$AB$9)))</f>
        <v>0</v>
      </c>
      <c r="AN242" s="160">
        <f t="shared" si="289"/>
        <v>0</v>
      </c>
      <c r="AO242" s="160">
        <f t="shared" si="289"/>
        <v>0</v>
      </c>
      <c r="AP242" s="160">
        <f t="shared" si="289"/>
        <v>0</v>
      </c>
      <c r="AQ242" s="160">
        <f t="shared" si="289"/>
        <v>0</v>
      </c>
      <c r="AR242" s="160">
        <f t="shared" si="289"/>
        <v>0</v>
      </c>
      <c r="AS242" s="160">
        <f t="shared" si="289"/>
        <v>0</v>
      </c>
      <c r="AT242" s="160">
        <f t="shared" si="289"/>
        <v>0</v>
      </c>
      <c r="AU242" s="160">
        <f t="shared" si="289"/>
        <v>0</v>
      </c>
      <c r="AV242" s="160">
        <f t="shared" si="289"/>
        <v>0</v>
      </c>
      <c r="AW242" s="160">
        <f ca="1" t="shared" si="289"/>
        <v>0</v>
      </c>
      <c r="BB242" s="161"/>
    </row>
    <row r="243" s="21" customFormat="1" ht="18" customHeight="1" spans="1:54">
      <c r="A243" s="125"/>
      <c r="B243" s="185"/>
      <c r="C243" s="127"/>
      <c r="D243" s="128" t="str">
        <f>D241</f>
        <v>INT</v>
      </c>
      <c r="E243" s="171" t="str">
        <f>E241</f>
        <v>RFQ-054</v>
      </c>
      <c r="F243" s="172" t="str">
        <f>F241</f>
        <v>N</v>
      </c>
      <c r="G243" s="189"/>
      <c r="H243" s="130" t="str">
        <f>H241</f>
        <v>TUBE</v>
      </c>
      <c r="I243" s="171" t="str">
        <f>I241</f>
        <v>LD</v>
      </c>
      <c r="J243" s="172"/>
      <c r="K243" s="173"/>
      <c r="L243" s="173"/>
      <c r="M243" s="173">
        <v>0.001</v>
      </c>
      <c r="N243" s="171"/>
      <c r="O243" s="171"/>
      <c r="P243" s="171"/>
      <c r="Q243" s="174" t="s">
        <v>4908</v>
      </c>
      <c r="R243" s="174"/>
      <c r="S243" s="175"/>
      <c r="T243" s="175"/>
      <c r="U243" s="175"/>
      <c r="V243" s="175"/>
      <c r="W243" s="175"/>
      <c r="X243" s="175"/>
      <c r="Y243" s="175"/>
      <c r="Z243" s="175"/>
      <c r="AA243" s="175"/>
      <c r="AB243" s="175"/>
      <c r="AC243" s="134"/>
      <c r="AD243" s="135"/>
      <c r="AE243" s="186"/>
      <c r="AF243" s="136"/>
      <c r="AG243" s="137"/>
      <c r="AH243" s="138"/>
      <c r="AI243" s="139"/>
      <c r="AJ243" s="135"/>
      <c r="AK243" s="176"/>
      <c r="AL243" s="177"/>
      <c r="AM243" s="178">
        <f t="shared" ref="AM243:AW243" si="290">IF(ISERROR(LOOKUP(AM$6,$S243:$AB243,$S$9:$AB$9)),0,(LOOKUP(AM$6,$S243:$AB243,$S$9:$AB$9)))</f>
        <v>0</v>
      </c>
      <c r="AN243" s="179">
        <f t="shared" si="290"/>
        <v>0</v>
      </c>
      <c r="AO243" s="179">
        <f t="shared" si="290"/>
        <v>0</v>
      </c>
      <c r="AP243" s="179">
        <f t="shared" si="290"/>
        <v>0</v>
      </c>
      <c r="AQ243" s="179">
        <f t="shared" si="290"/>
        <v>0</v>
      </c>
      <c r="AR243" s="179">
        <f t="shared" si="290"/>
        <v>0</v>
      </c>
      <c r="AS243" s="179">
        <f t="shared" si="290"/>
        <v>0</v>
      </c>
      <c r="AT243" s="179">
        <f t="shared" si="290"/>
        <v>0</v>
      </c>
      <c r="AU243" s="179">
        <f t="shared" si="290"/>
        <v>0</v>
      </c>
      <c r="AV243" s="179">
        <f t="shared" si="290"/>
        <v>0</v>
      </c>
      <c r="AW243" s="179">
        <f ca="1" t="shared" si="290"/>
        <v>0</v>
      </c>
      <c r="BB243" s="161"/>
    </row>
    <row r="244" s="21" customFormat="1" ht="18" customHeight="1" spans="1:54">
      <c r="A244" s="81">
        <f>A241+1</f>
        <v>79</v>
      </c>
      <c r="B244" s="180" t="s">
        <v>4967</v>
      </c>
      <c r="C244" s="83" t="s">
        <v>4902</v>
      </c>
      <c r="D244" s="84" t="s">
        <v>4985</v>
      </c>
      <c r="E244" s="153" t="s">
        <v>4964</v>
      </c>
      <c r="F244" s="154" t="s">
        <v>72</v>
      </c>
      <c r="G244" s="187"/>
      <c r="H244" s="86" t="s">
        <v>4989</v>
      </c>
      <c r="I244" s="153" t="s">
        <v>9</v>
      </c>
      <c r="J244" s="154"/>
      <c r="K244" s="155">
        <f>M246</f>
        <v>0.001</v>
      </c>
      <c r="L244" s="155"/>
      <c r="M244" s="155"/>
      <c r="N244" s="153"/>
      <c r="O244" s="153"/>
      <c r="P244" s="153"/>
      <c r="Q244" s="156" t="s">
        <v>4905</v>
      </c>
      <c r="R244" s="156"/>
      <c r="S244" s="181" t="e">
        <f>WORKDAY(T244,-INDEX(T$2:T$5,MATCH($I244,$I$2:$I$5,0)),'[36]Equipment List and MR List (3)'!$A$2:$A$80)</f>
        <v>#REF!</v>
      </c>
      <c r="T244" s="181" t="e">
        <f>WORKDAY(U244,-INDEX(U$2:U$5,MATCH($I244,$I$2:$I$5,0)),$BB$10:$BB$141)</f>
        <v>#REF!</v>
      </c>
      <c r="U244" s="181" t="e">
        <f>WORKDAY(V244,-INDEX(V$2:V$5,MATCH($I244,$I$2:$I$5,0)),$BB$10:$BB$141)</f>
        <v>#REF!</v>
      </c>
      <c r="V244" s="181" t="e">
        <f>WORKDAY(W244,-INDEX(W$2:W$5,MATCH($I244,$I$2:$I$5,0)),$BB$10:$BB$141)</f>
        <v>#REF!</v>
      </c>
      <c r="W244" s="181" t="e">
        <f>WORKDAY(#REF!,-INDEX(#REF!,MATCH($I244,$I$2:$I$5,0)),$BB$10:$BB$141)</f>
        <v>#REF!</v>
      </c>
      <c r="X244" s="181" t="e">
        <f>WORKDAY(Y244,-INDEX(Y$2:Y$5,MATCH($I244,$I$2:$I$5,0)),$BB$10:$BB$141)</f>
        <v>#REF!</v>
      </c>
      <c r="Y244" s="181" t="e">
        <f>WORKDAY(Z244,-INDEX(Z$2:Z$5,MATCH($I244,$I$2:$I$5,0)),$BB$10:$BB$141)</f>
        <v>#REF!</v>
      </c>
      <c r="Z244" s="181" t="e">
        <f>WORKDAY(AA244,-INDEX(AA$2:AA$5,MATCH($I244,$I$2:$I$5,0)),$BB$10:$BB$141)</f>
        <v>#REF!</v>
      </c>
      <c r="AA244" s="181" t="e">
        <f>WORKDAY(#REF!,-INDEX(#REF!,MATCH($I244,$I$2:$I$5,0)),$BB$10:$BB$141)</f>
        <v>#REF!</v>
      </c>
      <c r="AB244" s="181">
        <f>WORKDAY(AG244,0,'[36]Equipment List and MR List (3)'!$A$2:$A$80)</f>
        <v>0</v>
      </c>
      <c r="AC244" s="92" t="s">
        <v>4906</v>
      </c>
      <c r="AD244" s="93">
        <v>7</v>
      </c>
      <c r="AE244" s="182">
        <v>121</v>
      </c>
      <c r="AF244" s="95" t="e">
        <f>AB245</f>
        <v>#REF!</v>
      </c>
      <c r="AG244" s="96"/>
      <c r="AH244" s="97"/>
      <c r="AI244" s="98"/>
      <c r="AJ244" s="93" t="e">
        <f>AG244-AF244</f>
        <v>#REF!</v>
      </c>
      <c r="AK244" s="157"/>
      <c r="AL244" s="158"/>
      <c r="AM244" s="159">
        <f t="shared" ref="AM244:AW244" si="291">IF(ISERROR(LOOKUP(AM$6,$S244:$AB244,$S$9:$AB$9)),0,(LOOKUP(AM$6,$S244:$AB244,$S$9:$AB$9)))</f>
        <v>0.95</v>
      </c>
      <c r="AN244" s="160">
        <f t="shared" si="291"/>
        <v>0.95</v>
      </c>
      <c r="AO244" s="160">
        <f t="shared" si="291"/>
        <v>0.95</v>
      </c>
      <c r="AP244" s="160">
        <f t="shared" si="291"/>
        <v>0.95</v>
      </c>
      <c r="AQ244" s="160">
        <f t="shared" si="291"/>
        <v>0.95</v>
      </c>
      <c r="AR244" s="160">
        <f t="shared" si="291"/>
        <v>0.95</v>
      </c>
      <c r="AS244" s="160">
        <f t="shared" si="291"/>
        <v>0.95</v>
      </c>
      <c r="AT244" s="160">
        <f t="shared" si="291"/>
        <v>0.95</v>
      </c>
      <c r="AU244" s="160">
        <f t="shared" si="291"/>
        <v>0.95</v>
      </c>
      <c r="AV244" s="160">
        <f t="shared" si="291"/>
        <v>0.95</v>
      </c>
      <c r="AW244" s="160">
        <f ca="1" t="shared" si="291"/>
        <v>0.95</v>
      </c>
      <c r="BB244" s="161"/>
    </row>
    <row r="245" s="21" customFormat="1" ht="18" customHeight="1" spans="1:54">
      <c r="A245" s="104"/>
      <c r="B245" s="183"/>
      <c r="C245" s="106"/>
      <c r="D245" s="107" t="str">
        <f>D244</f>
        <v>INT</v>
      </c>
      <c r="E245" s="162" t="str">
        <f>E244</f>
        <v>RFQ-054</v>
      </c>
      <c r="F245" s="163" t="str">
        <f>F244</f>
        <v>N</v>
      </c>
      <c r="G245" s="188"/>
      <c r="H245" s="109" t="str">
        <f>H244</f>
        <v>Instrument Cable Glands</v>
      </c>
      <c r="I245" s="162" t="str">
        <f>I244</f>
        <v>LD</v>
      </c>
      <c r="J245" s="163"/>
      <c r="K245" s="164"/>
      <c r="L245" s="164">
        <f>M246</f>
        <v>0.001</v>
      </c>
      <c r="M245" s="164"/>
      <c r="N245" s="162"/>
      <c r="O245" s="162"/>
      <c r="P245" s="162"/>
      <c r="Q245" s="165" t="s">
        <v>4907</v>
      </c>
      <c r="R245" s="165"/>
      <c r="S245" s="166" t="e">
        <f>S244</f>
        <v>#REF!</v>
      </c>
      <c r="T245" s="167" t="e">
        <f>T244</f>
        <v>#REF!</v>
      </c>
      <c r="U245" s="167" t="e">
        <f>WORKDAY(IF(T246="",T245,T246),INDEX(U$2:U$5,MATCH($I244,$I$2:$I$5,0)),$BB$10:$BB$141)</f>
        <v>#REF!</v>
      </c>
      <c r="V245" s="167" t="e">
        <f>WORKDAY(IF(U246="",U245,U246),INDEX(V$2:V$5,MATCH($I244,$I$2:$I$5,0)),$BB$10:$BB$141)</f>
        <v>#REF!</v>
      </c>
      <c r="W245" s="167" t="e">
        <f>WORKDAY(IF(V246="",V245,V246),INDEX(W$2:W$5,MATCH($I244,$I$2:$I$5,0)),$BB$10:$BB$141)</f>
        <v>#REF!</v>
      </c>
      <c r="X245" s="167" t="e">
        <f>WORKDAY(IF(#REF!="",#REF!,#REF!),INDEX(X$2:X$5,MATCH($I244,$I$2:$I$5,0)),$BB$10:$BB$141)</f>
        <v>#REF!</v>
      </c>
      <c r="Y245" s="167" t="e">
        <f>WORKDAY(IF(X246="",X245,X246),INDEX(Y$2:Y$5,MATCH($I244,$I$2:$I$5,0)),$BB$10:$BB$141)</f>
        <v>#REF!</v>
      </c>
      <c r="Z245" s="167" t="e">
        <f>WORKDAY(IF(Y246="",Y245,Y246),INDEX(Z$2:Z$5,MATCH($I244,$I$2:$I$5,0)),$BB$10:$BB$141)</f>
        <v>#REF!</v>
      </c>
      <c r="AA245" s="167" t="e">
        <f>WORKDAY(IF(Z246="",Z245,Z246),INDEX(AA$2:AA$5,MATCH($I244,$I$2:$I$5,0)),$BB$10:$BB$141)</f>
        <v>#REF!</v>
      </c>
      <c r="AB245" s="168" t="e">
        <f>AE244+#REF!</f>
        <v>#REF!</v>
      </c>
      <c r="AC245" s="117"/>
      <c r="AD245" s="118"/>
      <c r="AE245" s="184"/>
      <c r="AF245" s="119"/>
      <c r="AG245" s="120"/>
      <c r="AH245" s="121"/>
      <c r="AI245" s="122"/>
      <c r="AJ245" s="118"/>
      <c r="AK245" s="169"/>
      <c r="AL245" s="170"/>
      <c r="AM245" s="159">
        <f t="shared" ref="AM245:AW245" si="292">IF(ISERROR(LOOKUP(AM$6,$S245:$AB245,$S$9:$AB$9)),0,(LOOKUP(AM$6,$S245:$AB245,$S$9:$AB$9)))</f>
        <v>0</v>
      </c>
      <c r="AN245" s="160">
        <f t="shared" si="292"/>
        <v>0</v>
      </c>
      <c r="AO245" s="160">
        <f t="shared" si="292"/>
        <v>0</v>
      </c>
      <c r="AP245" s="160">
        <f t="shared" si="292"/>
        <v>0</v>
      </c>
      <c r="AQ245" s="160">
        <f t="shared" si="292"/>
        <v>0</v>
      </c>
      <c r="AR245" s="160">
        <f t="shared" si="292"/>
        <v>0</v>
      </c>
      <c r="AS245" s="160">
        <f t="shared" si="292"/>
        <v>0</v>
      </c>
      <c r="AT245" s="160">
        <f t="shared" si="292"/>
        <v>0</v>
      </c>
      <c r="AU245" s="160">
        <f t="shared" si="292"/>
        <v>0</v>
      </c>
      <c r="AV245" s="160">
        <f t="shared" si="292"/>
        <v>0</v>
      </c>
      <c r="AW245" s="160">
        <f ca="1" t="shared" si="292"/>
        <v>0</v>
      </c>
      <c r="BB245" s="161"/>
    </row>
    <row r="246" s="21" customFormat="1" ht="18" customHeight="1" spans="1:54">
      <c r="A246" s="125"/>
      <c r="B246" s="185"/>
      <c r="C246" s="127"/>
      <c r="D246" s="128" t="str">
        <f>D244</f>
        <v>INT</v>
      </c>
      <c r="E246" s="171" t="str">
        <f>E244</f>
        <v>RFQ-054</v>
      </c>
      <c r="F246" s="172" t="str">
        <f>F244</f>
        <v>N</v>
      </c>
      <c r="G246" s="189"/>
      <c r="H246" s="130" t="str">
        <f>H244</f>
        <v>Instrument Cable Glands</v>
      </c>
      <c r="I246" s="171" t="str">
        <f>I244</f>
        <v>LD</v>
      </c>
      <c r="J246" s="172"/>
      <c r="K246" s="173"/>
      <c r="L246" s="173"/>
      <c r="M246" s="173">
        <v>0.001</v>
      </c>
      <c r="N246" s="171"/>
      <c r="O246" s="171"/>
      <c r="P246" s="171"/>
      <c r="Q246" s="174" t="s">
        <v>4908</v>
      </c>
      <c r="R246" s="174"/>
      <c r="S246" s="175"/>
      <c r="T246" s="175"/>
      <c r="U246" s="175"/>
      <c r="V246" s="175"/>
      <c r="W246" s="175"/>
      <c r="X246" s="175"/>
      <c r="Y246" s="175"/>
      <c r="Z246" s="175"/>
      <c r="AA246" s="175"/>
      <c r="AB246" s="175"/>
      <c r="AC246" s="134"/>
      <c r="AD246" s="135"/>
      <c r="AE246" s="186"/>
      <c r="AF246" s="136"/>
      <c r="AG246" s="137"/>
      <c r="AH246" s="138"/>
      <c r="AI246" s="139"/>
      <c r="AJ246" s="135"/>
      <c r="AK246" s="176"/>
      <c r="AL246" s="177"/>
      <c r="AM246" s="178">
        <f t="shared" ref="AM246:AW246" si="293">IF(ISERROR(LOOKUP(AM$6,$S246:$AB246,$S$9:$AB$9)),0,(LOOKUP(AM$6,$S246:$AB246,$S$9:$AB$9)))</f>
        <v>0</v>
      </c>
      <c r="AN246" s="179">
        <f t="shared" si="293"/>
        <v>0</v>
      </c>
      <c r="AO246" s="179">
        <f t="shared" si="293"/>
        <v>0</v>
      </c>
      <c r="AP246" s="179">
        <f t="shared" si="293"/>
        <v>0</v>
      </c>
      <c r="AQ246" s="179">
        <f t="shared" si="293"/>
        <v>0</v>
      </c>
      <c r="AR246" s="179">
        <f t="shared" si="293"/>
        <v>0</v>
      </c>
      <c r="AS246" s="179">
        <f t="shared" si="293"/>
        <v>0</v>
      </c>
      <c r="AT246" s="179">
        <f t="shared" si="293"/>
        <v>0</v>
      </c>
      <c r="AU246" s="179">
        <f t="shared" si="293"/>
        <v>0</v>
      </c>
      <c r="AV246" s="179">
        <f t="shared" si="293"/>
        <v>0</v>
      </c>
      <c r="AW246" s="179">
        <f ca="1" t="shared" si="293"/>
        <v>0</v>
      </c>
      <c r="BB246" s="161"/>
    </row>
    <row r="247" s="21" customFormat="1" ht="18" customHeight="1" spans="1:54">
      <c r="A247" s="81">
        <f>A244+1</f>
        <v>80</v>
      </c>
      <c r="B247" s="180" t="s">
        <v>4967</v>
      </c>
      <c r="C247" s="83" t="s">
        <v>4902</v>
      </c>
      <c r="D247" s="84" t="s">
        <v>4985</v>
      </c>
      <c r="E247" s="153" t="s">
        <v>4964</v>
      </c>
      <c r="F247" s="154" t="s">
        <v>72</v>
      </c>
      <c r="G247" s="187"/>
      <c r="H247" s="86" t="s">
        <v>4990</v>
      </c>
      <c r="I247" s="153" t="s">
        <v>9</v>
      </c>
      <c r="J247" s="154"/>
      <c r="K247" s="155">
        <f>M249</f>
        <v>0.001</v>
      </c>
      <c r="L247" s="155"/>
      <c r="M247" s="155"/>
      <c r="N247" s="153"/>
      <c r="O247" s="153"/>
      <c r="P247" s="153"/>
      <c r="Q247" s="156" t="s">
        <v>4905</v>
      </c>
      <c r="R247" s="156"/>
      <c r="S247" s="181" t="e">
        <f>WORKDAY(T247,-INDEX(T$2:T$5,MATCH($I247,$I$2:$I$5,0)),'[36]Equipment List and MR List (3)'!$A$2:$A$80)</f>
        <v>#REF!</v>
      </c>
      <c r="T247" s="181" t="e">
        <f>WORKDAY(U247,-INDEX(U$2:U$5,MATCH($I247,$I$2:$I$5,0)),$BB$10:$BB$141)</f>
        <v>#REF!</v>
      </c>
      <c r="U247" s="181" t="e">
        <f>WORKDAY(V247,-INDEX(V$2:V$5,MATCH($I247,$I$2:$I$5,0)),$BB$10:$BB$141)</f>
        <v>#REF!</v>
      </c>
      <c r="V247" s="181" t="e">
        <f>WORKDAY(W247,-INDEX(W$2:W$5,MATCH($I247,$I$2:$I$5,0)),$BB$10:$BB$141)</f>
        <v>#REF!</v>
      </c>
      <c r="W247" s="181" t="e">
        <f>WORKDAY(#REF!,-INDEX(#REF!,MATCH($I247,$I$2:$I$5,0)),$BB$10:$BB$141)</f>
        <v>#REF!</v>
      </c>
      <c r="X247" s="181" t="e">
        <f>WORKDAY(Y247,-INDEX(Y$2:Y$5,MATCH($I247,$I$2:$I$5,0)),$BB$10:$BB$141)</f>
        <v>#REF!</v>
      </c>
      <c r="Y247" s="181" t="e">
        <f>WORKDAY(Z247,-INDEX(Z$2:Z$5,MATCH($I247,$I$2:$I$5,0)),$BB$10:$BB$141)</f>
        <v>#REF!</v>
      </c>
      <c r="Z247" s="181" t="e">
        <f>WORKDAY(AA247,-INDEX(AA$2:AA$5,MATCH($I247,$I$2:$I$5,0)),$BB$10:$BB$141)</f>
        <v>#REF!</v>
      </c>
      <c r="AA247" s="181" t="e">
        <f>WORKDAY(#REF!,-INDEX(#REF!,MATCH($I247,$I$2:$I$5,0)),$BB$10:$BB$141)</f>
        <v>#REF!</v>
      </c>
      <c r="AB247" s="181">
        <f>WORKDAY(AG247,0,'[36]Equipment List and MR List (3)'!$A$2:$A$80)</f>
        <v>0</v>
      </c>
      <c r="AC247" s="92" t="s">
        <v>4906</v>
      </c>
      <c r="AD247" s="93">
        <v>7</v>
      </c>
      <c r="AE247" s="182">
        <v>121</v>
      </c>
      <c r="AF247" s="95" t="e">
        <f>AB248</f>
        <v>#REF!</v>
      </c>
      <c r="AG247" s="96"/>
      <c r="AH247" s="97"/>
      <c r="AI247" s="98"/>
      <c r="AJ247" s="93" t="e">
        <f>AG247-AF247</f>
        <v>#REF!</v>
      </c>
      <c r="AK247" s="157"/>
      <c r="AL247" s="158"/>
      <c r="AM247" s="159">
        <f t="shared" ref="AM247:AW247" si="294">IF(ISERROR(LOOKUP(AM$6,$S247:$AB247,$S$9:$AB$9)),0,(LOOKUP(AM$6,$S247:$AB247,$S$9:$AB$9)))</f>
        <v>0.95</v>
      </c>
      <c r="AN247" s="160">
        <f t="shared" si="294"/>
        <v>0.95</v>
      </c>
      <c r="AO247" s="160">
        <f t="shared" si="294"/>
        <v>0.95</v>
      </c>
      <c r="AP247" s="160">
        <f t="shared" si="294"/>
        <v>0.95</v>
      </c>
      <c r="AQ247" s="160">
        <f t="shared" si="294"/>
        <v>0.95</v>
      </c>
      <c r="AR247" s="160">
        <f t="shared" si="294"/>
        <v>0.95</v>
      </c>
      <c r="AS247" s="160">
        <f t="shared" si="294"/>
        <v>0.95</v>
      </c>
      <c r="AT247" s="160">
        <f t="shared" si="294"/>
        <v>0.95</v>
      </c>
      <c r="AU247" s="160">
        <f t="shared" si="294"/>
        <v>0.95</v>
      </c>
      <c r="AV247" s="160">
        <f t="shared" si="294"/>
        <v>0.95</v>
      </c>
      <c r="AW247" s="160">
        <f ca="1" t="shared" si="294"/>
        <v>0.95</v>
      </c>
      <c r="BB247" s="161"/>
    </row>
    <row r="248" s="21" customFormat="1" ht="18" customHeight="1" spans="1:54">
      <c r="A248" s="104"/>
      <c r="B248" s="183"/>
      <c r="C248" s="106"/>
      <c r="D248" s="107" t="str">
        <f>D247</f>
        <v>INT</v>
      </c>
      <c r="E248" s="162" t="str">
        <f>E247</f>
        <v>RFQ-054</v>
      </c>
      <c r="F248" s="163" t="str">
        <f>F247</f>
        <v>N</v>
      </c>
      <c r="G248" s="188"/>
      <c r="H248" s="109" t="str">
        <f>H247</f>
        <v>Instrument cables</v>
      </c>
      <c r="I248" s="162" t="str">
        <f>I247</f>
        <v>LD</v>
      </c>
      <c r="J248" s="163"/>
      <c r="K248" s="164"/>
      <c r="L248" s="164">
        <f>M249</f>
        <v>0.001</v>
      </c>
      <c r="M248" s="164"/>
      <c r="N248" s="162"/>
      <c r="O248" s="162"/>
      <c r="P248" s="162"/>
      <c r="Q248" s="165" t="s">
        <v>4907</v>
      </c>
      <c r="R248" s="165"/>
      <c r="S248" s="166" t="e">
        <f>S247</f>
        <v>#REF!</v>
      </c>
      <c r="T248" s="167" t="e">
        <f>T247</f>
        <v>#REF!</v>
      </c>
      <c r="U248" s="167" t="e">
        <f>WORKDAY(IF(T249="",T248,T249),INDEX(U$2:U$5,MATCH($I247,$I$2:$I$5,0)),$BB$10:$BB$141)</f>
        <v>#REF!</v>
      </c>
      <c r="V248" s="167" t="e">
        <f>WORKDAY(IF(U249="",U248,U249),INDEX(V$2:V$5,MATCH($I247,$I$2:$I$5,0)),$BB$10:$BB$141)</f>
        <v>#REF!</v>
      </c>
      <c r="W248" s="167" t="e">
        <f>WORKDAY(IF(V249="",V248,V249),INDEX(W$2:W$5,MATCH($I247,$I$2:$I$5,0)),$BB$10:$BB$141)</f>
        <v>#REF!</v>
      </c>
      <c r="X248" s="167" t="e">
        <f>WORKDAY(IF(#REF!="",#REF!,#REF!),INDEX(X$2:X$5,MATCH($I247,$I$2:$I$5,0)),$BB$10:$BB$141)</f>
        <v>#REF!</v>
      </c>
      <c r="Y248" s="167" t="e">
        <f>WORKDAY(IF(X249="",X248,X249),INDEX(Y$2:Y$5,MATCH($I247,$I$2:$I$5,0)),$BB$10:$BB$141)</f>
        <v>#REF!</v>
      </c>
      <c r="Z248" s="167" t="e">
        <f>WORKDAY(IF(Y249="",Y248,Y249),INDEX(Z$2:Z$5,MATCH($I247,$I$2:$I$5,0)),$BB$10:$BB$141)</f>
        <v>#REF!</v>
      </c>
      <c r="AA248" s="167" t="e">
        <f>WORKDAY(IF(Z249="",Z248,Z249),INDEX(AA$2:AA$5,MATCH($I247,$I$2:$I$5,0)),$BB$10:$BB$141)</f>
        <v>#REF!</v>
      </c>
      <c r="AB248" s="168" t="e">
        <f>AE247+#REF!</f>
        <v>#REF!</v>
      </c>
      <c r="AC248" s="117"/>
      <c r="AD248" s="118"/>
      <c r="AE248" s="184"/>
      <c r="AF248" s="119"/>
      <c r="AG248" s="120"/>
      <c r="AH248" s="121"/>
      <c r="AI248" s="122"/>
      <c r="AJ248" s="118"/>
      <c r="AK248" s="169"/>
      <c r="AL248" s="170"/>
      <c r="AM248" s="159">
        <f t="shared" ref="AM248:AW248" si="295">IF(ISERROR(LOOKUP(AM$6,$S248:$AB248,$S$9:$AB$9)),0,(LOOKUP(AM$6,$S248:$AB248,$S$9:$AB$9)))</f>
        <v>0</v>
      </c>
      <c r="AN248" s="160">
        <f t="shared" si="295"/>
        <v>0</v>
      </c>
      <c r="AO248" s="160">
        <f t="shared" si="295"/>
        <v>0</v>
      </c>
      <c r="AP248" s="160">
        <f t="shared" si="295"/>
        <v>0</v>
      </c>
      <c r="AQ248" s="160">
        <f t="shared" si="295"/>
        <v>0</v>
      </c>
      <c r="AR248" s="160">
        <f t="shared" si="295"/>
        <v>0</v>
      </c>
      <c r="AS248" s="160">
        <f t="shared" si="295"/>
        <v>0</v>
      </c>
      <c r="AT248" s="160">
        <f t="shared" si="295"/>
        <v>0</v>
      </c>
      <c r="AU248" s="160">
        <f t="shared" si="295"/>
        <v>0</v>
      </c>
      <c r="AV248" s="160">
        <f t="shared" si="295"/>
        <v>0</v>
      </c>
      <c r="AW248" s="160">
        <f ca="1" t="shared" si="295"/>
        <v>0</v>
      </c>
      <c r="BB248" s="161"/>
    </row>
    <row r="249" s="21" customFormat="1" ht="18" customHeight="1" spans="1:54">
      <c r="A249" s="125"/>
      <c r="B249" s="185"/>
      <c r="C249" s="127"/>
      <c r="D249" s="128" t="str">
        <f>D247</f>
        <v>INT</v>
      </c>
      <c r="E249" s="171" t="str">
        <f>E247</f>
        <v>RFQ-054</v>
      </c>
      <c r="F249" s="172" t="str">
        <f>F247</f>
        <v>N</v>
      </c>
      <c r="G249" s="189"/>
      <c r="H249" s="130" t="str">
        <f>H247</f>
        <v>Instrument cables</v>
      </c>
      <c r="I249" s="171" t="str">
        <f>I247</f>
        <v>LD</v>
      </c>
      <c r="J249" s="172"/>
      <c r="K249" s="173"/>
      <c r="L249" s="173"/>
      <c r="M249" s="173">
        <v>0.001</v>
      </c>
      <c r="N249" s="171"/>
      <c r="O249" s="171"/>
      <c r="P249" s="171"/>
      <c r="Q249" s="174" t="s">
        <v>4908</v>
      </c>
      <c r="R249" s="174"/>
      <c r="S249" s="175"/>
      <c r="T249" s="175"/>
      <c r="U249" s="175"/>
      <c r="V249" s="175"/>
      <c r="W249" s="175"/>
      <c r="X249" s="175"/>
      <c r="Y249" s="175"/>
      <c r="Z249" s="175"/>
      <c r="AA249" s="175"/>
      <c r="AB249" s="175"/>
      <c r="AC249" s="134"/>
      <c r="AD249" s="135"/>
      <c r="AE249" s="186"/>
      <c r="AF249" s="136"/>
      <c r="AG249" s="137"/>
      <c r="AH249" s="138"/>
      <c r="AI249" s="139"/>
      <c r="AJ249" s="135"/>
      <c r="AK249" s="176"/>
      <c r="AL249" s="177"/>
      <c r="AM249" s="178">
        <f t="shared" ref="AM249:AW249" si="296">IF(ISERROR(LOOKUP(AM$6,$S249:$AB249,$S$9:$AB$9)),0,(LOOKUP(AM$6,$S249:$AB249,$S$9:$AB$9)))</f>
        <v>0</v>
      </c>
      <c r="AN249" s="179">
        <f t="shared" si="296"/>
        <v>0</v>
      </c>
      <c r="AO249" s="179">
        <f t="shared" si="296"/>
        <v>0</v>
      </c>
      <c r="AP249" s="179">
        <f t="shared" si="296"/>
        <v>0</v>
      </c>
      <c r="AQ249" s="179">
        <f t="shared" si="296"/>
        <v>0</v>
      </c>
      <c r="AR249" s="179">
        <f t="shared" si="296"/>
        <v>0</v>
      </c>
      <c r="AS249" s="179">
        <f t="shared" si="296"/>
        <v>0</v>
      </c>
      <c r="AT249" s="179">
        <f t="shared" si="296"/>
        <v>0</v>
      </c>
      <c r="AU249" s="179">
        <f t="shared" si="296"/>
        <v>0</v>
      </c>
      <c r="AV249" s="179">
        <f t="shared" si="296"/>
        <v>0</v>
      </c>
      <c r="AW249" s="179">
        <f ca="1" t="shared" si="296"/>
        <v>0</v>
      </c>
      <c r="BB249" s="161"/>
    </row>
    <row r="250" s="21" customFormat="1" ht="18" customHeight="1" spans="1:54">
      <c r="A250" s="81">
        <f>A247+1</f>
        <v>81</v>
      </c>
      <c r="B250" s="180" t="s">
        <v>4967</v>
      </c>
      <c r="C250" s="83" t="s">
        <v>4902</v>
      </c>
      <c r="D250" s="84" t="s">
        <v>4929</v>
      </c>
      <c r="E250" s="153" t="s">
        <v>4964</v>
      </c>
      <c r="F250" s="154" t="s">
        <v>72</v>
      </c>
      <c r="G250" s="187"/>
      <c r="H250" s="190" t="s">
        <v>4991</v>
      </c>
      <c r="I250" s="153" t="s">
        <v>9</v>
      </c>
      <c r="J250" s="154"/>
      <c r="K250" s="155">
        <f>M252</f>
        <v>0.001</v>
      </c>
      <c r="L250" s="155"/>
      <c r="M250" s="155"/>
      <c r="N250" s="153"/>
      <c r="O250" s="153"/>
      <c r="P250" s="153"/>
      <c r="Q250" s="156" t="s">
        <v>4905</v>
      </c>
      <c r="R250" s="156"/>
      <c r="S250" s="181" t="e">
        <f>WORKDAY(T250,-INDEX(T$2:T$5,MATCH($I250,$I$2:$I$5,0)),'[36]Equipment List and MR List (3)'!$A$2:$A$80)</f>
        <v>#REF!</v>
      </c>
      <c r="T250" s="181" t="e">
        <f>WORKDAY(U250,-INDEX(U$2:U$5,MATCH($I250,$I$2:$I$5,0)),$BB$10:$BB$141)</f>
        <v>#REF!</v>
      </c>
      <c r="U250" s="181" t="e">
        <f>WORKDAY(V250,-INDEX(V$2:V$5,MATCH($I250,$I$2:$I$5,0)),$BB$10:$BB$141)</f>
        <v>#REF!</v>
      </c>
      <c r="V250" s="181" t="e">
        <f>WORKDAY(W250,-INDEX(W$2:W$5,MATCH($I250,$I$2:$I$5,0)),$BB$10:$BB$141)</f>
        <v>#REF!</v>
      </c>
      <c r="W250" s="181" t="e">
        <f>WORKDAY(#REF!,-INDEX(#REF!,MATCH($I250,$I$2:$I$5,0)),$BB$10:$BB$141)</f>
        <v>#REF!</v>
      </c>
      <c r="X250" s="181" t="e">
        <f>WORKDAY(Y250,-INDEX(Y$2:Y$5,MATCH($I250,$I$2:$I$5,0)),$BB$10:$BB$141)</f>
        <v>#REF!</v>
      </c>
      <c r="Y250" s="181" t="e">
        <f>WORKDAY(Z250,-INDEX(Z$2:Z$5,MATCH($I250,$I$2:$I$5,0)),$BB$10:$BB$141)</f>
        <v>#REF!</v>
      </c>
      <c r="Z250" s="181" t="e">
        <f>WORKDAY(AA250,-INDEX(AA$2:AA$5,MATCH($I250,$I$2:$I$5,0)),$BB$10:$BB$141)</f>
        <v>#REF!</v>
      </c>
      <c r="AA250" s="181" t="e">
        <f>WORKDAY(#REF!,-INDEX(#REF!,MATCH($I250,$I$2:$I$5,0)),$BB$10:$BB$141)</f>
        <v>#REF!</v>
      </c>
      <c r="AB250" s="181">
        <f>WORKDAY(AG250,0,'[36]Equipment List and MR List (3)'!$A$2:$A$80)</f>
        <v>0</v>
      </c>
      <c r="AC250" s="92" t="s">
        <v>4906</v>
      </c>
      <c r="AD250" s="93">
        <v>7</v>
      </c>
      <c r="AE250" s="182">
        <v>100</v>
      </c>
      <c r="AF250" s="95" t="e">
        <f>AB251</f>
        <v>#REF!</v>
      </c>
      <c r="AG250" s="96"/>
      <c r="AH250" s="97"/>
      <c r="AI250" s="98"/>
      <c r="AJ250" s="93" t="e">
        <f>AG250-AF250</f>
        <v>#REF!</v>
      </c>
      <c r="AK250" s="157"/>
      <c r="AL250" s="158"/>
      <c r="AM250" s="159">
        <f t="shared" ref="AM250:AW250" si="297">IF(ISERROR(LOOKUP(AM$6,$S250:$AB250,$S$9:$AB$9)),0,(LOOKUP(AM$6,$S250:$AB250,$S$9:$AB$9)))</f>
        <v>0.95</v>
      </c>
      <c r="AN250" s="160">
        <f t="shared" si="297"/>
        <v>0.95</v>
      </c>
      <c r="AO250" s="160">
        <f t="shared" si="297"/>
        <v>0.95</v>
      </c>
      <c r="AP250" s="160">
        <f t="shared" si="297"/>
        <v>0.95</v>
      </c>
      <c r="AQ250" s="160">
        <f t="shared" si="297"/>
        <v>0.95</v>
      </c>
      <c r="AR250" s="160">
        <f t="shared" si="297"/>
        <v>0.95</v>
      </c>
      <c r="AS250" s="160">
        <f t="shared" si="297"/>
        <v>0.95</v>
      </c>
      <c r="AT250" s="160">
        <f t="shared" si="297"/>
        <v>0.95</v>
      </c>
      <c r="AU250" s="160">
        <f t="shared" si="297"/>
        <v>0.95</v>
      </c>
      <c r="AV250" s="160">
        <f t="shared" si="297"/>
        <v>0.95</v>
      </c>
      <c r="AW250" s="160">
        <f ca="1" t="shared" si="297"/>
        <v>0.95</v>
      </c>
      <c r="BB250" s="161"/>
    </row>
    <row r="251" s="21" customFormat="1" ht="18" customHeight="1" spans="1:54">
      <c r="A251" s="104"/>
      <c r="B251" s="183"/>
      <c r="C251" s="106"/>
      <c r="D251" s="107" t="str">
        <f>D250</f>
        <v>ELE</v>
      </c>
      <c r="E251" s="162" t="str">
        <f>E250</f>
        <v>RFQ-054</v>
      </c>
      <c r="F251" s="163" t="str">
        <f>F250</f>
        <v>N</v>
      </c>
      <c r="G251" s="188"/>
      <c r="H251" s="191" t="str">
        <f>H250</f>
        <v>AC Distribution Pane</v>
      </c>
      <c r="I251" s="162" t="str">
        <f>I250</f>
        <v>LD</v>
      </c>
      <c r="J251" s="163"/>
      <c r="K251" s="164"/>
      <c r="L251" s="164">
        <f>M252</f>
        <v>0.001</v>
      </c>
      <c r="M251" s="164"/>
      <c r="N251" s="162"/>
      <c r="O251" s="162"/>
      <c r="P251" s="162"/>
      <c r="Q251" s="165" t="s">
        <v>4907</v>
      </c>
      <c r="R251" s="165"/>
      <c r="S251" s="166" t="e">
        <f>S250</f>
        <v>#REF!</v>
      </c>
      <c r="T251" s="167" t="e">
        <f>T250</f>
        <v>#REF!</v>
      </c>
      <c r="U251" s="167" t="e">
        <f>WORKDAY(IF(T252="",T251,T252),INDEX(U$2:U$5,MATCH($I250,$I$2:$I$5,0)),$BB$10:$BB$141)</f>
        <v>#REF!</v>
      </c>
      <c r="V251" s="167" t="e">
        <f>WORKDAY(IF(U252="",U251,U252),INDEX(V$2:V$5,MATCH($I250,$I$2:$I$5,0)),$BB$10:$BB$141)</f>
        <v>#REF!</v>
      </c>
      <c r="W251" s="167" t="e">
        <f>WORKDAY(IF(V252="",V251,V252),INDEX(W$2:W$5,MATCH($I250,$I$2:$I$5,0)),$BB$10:$BB$141)</f>
        <v>#REF!</v>
      </c>
      <c r="X251" s="167" t="e">
        <f>WORKDAY(IF(#REF!="",#REF!,#REF!),INDEX(X$2:X$5,MATCH($I250,$I$2:$I$5,0)),$BB$10:$BB$141)</f>
        <v>#REF!</v>
      </c>
      <c r="Y251" s="167" t="e">
        <f>WORKDAY(IF(X252="",X251,X252),INDEX(Y$2:Y$5,MATCH($I250,$I$2:$I$5,0)),$BB$10:$BB$141)</f>
        <v>#REF!</v>
      </c>
      <c r="Z251" s="167" t="e">
        <f>WORKDAY(IF(Y252="",Y251,Y252),INDEX(Z$2:Z$5,MATCH($I250,$I$2:$I$5,0)),$BB$10:$BB$141)</f>
        <v>#REF!</v>
      </c>
      <c r="AA251" s="167" t="e">
        <f>WORKDAY(IF(Z252="",Z251,Z252),INDEX(AA$2:AA$5,MATCH($I250,$I$2:$I$5,0)),$BB$10:$BB$141)</f>
        <v>#REF!</v>
      </c>
      <c r="AB251" s="168" t="e">
        <f>AE250+#REF!</f>
        <v>#REF!</v>
      </c>
      <c r="AC251" s="117"/>
      <c r="AD251" s="118"/>
      <c r="AE251" s="184"/>
      <c r="AF251" s="119"/>
      <c r="AG251" s="120"/>
      <c r="AH251" s="121"/>
      <c r="AI251" s="122"/>
      <c r="AJ251" s="118"/>
      <c r="AK251" s="169"/>
      <c r="AL251" s="170"/>
      <c r="AM251" s="159">
        <f t="shared" ref="AM251:AW251" si="298">IF(ISERROR(LOOKUP(AM$6,$S251:$AB251,$S$9:$AB$9)),0,(LOOKUP(AM$6,$S251:$AB251,$S$9:$AB$9)))</f>
        <v>0</v>
      </c>
      <c r="AN251" s="160">
        <f t="shared" si="298"/>
        <v>0</v>
      </c>
      <c r="AO251" s="160">
        <f t="shared" si="298"/>
        <v>0</v>
      </c>
      <c r="AP251" s="160">
        <f t="shared" si="298"/>
        <v>0</v>
      </c>
      <c r="AQ251" s="160">
        <f t="shared" si="298"/>
        <v>0</v>
      </c>
      <c r="AR251" s="160">
        <f t="shared" si="298"/>
        <v>0</v>
      </c>
      <c r="AS251" s="160">
        <f t="shared" si="298"/>
        <v>0</v>
      </c>
      <c r="AT251" s="160">
        <f t="shared" si="298"/>
        <v>0</v>
      </c>
      <c r="AU251" s="160">
        <f t="shared" si="298"/>
        <v>0</v>
      </c>
      <c r="AV251" s="160">
        <f t="shared" si="298"/>
        <v>0</v>
      </c>
      <c r="AW251" s="160">
        <f ca="1" t="shared" si="298"/>
        <v>0</v>
      </c>
      <c r="BB251" s="161"/>
    </row>
    <row r="252" s="21" customFormat="1" ht="18" customHeight="1" spans="1:54">
      <c r="A252" s="125"/>
      <c r="B252" s="185"/>
      <c r="C252" s="127"/>
      <c r="D252" s="128" t="str">
        <f>D250</f>
        <v>ELE</v>
      </c>
      <c r="E252" s="171" t="str">
        <f>E250</f>
        <v>RFQ-054</v>
      </c>
      <c r="F252" s="172" t="str">
        <f>F250</f>
        <v>N</v>
      </c>
      <c r="G252" s="189"/>
      <c r="H252" s="192" t="str">
        <f>H250</f>
        <v>AC Distribution Pane</v>
      </c>
      <c r="I252" s="171" t="str">
        <f>I250</f>
        <v>LD</v>
      </c>
      <c r="J252" s="172"/>
      <c r="K252" s="173"/>
      <c r="L252" s="173"/>
      <c r="M252" s="173">
        <v>0.001</v>
      </c>
      <c r="N252" s="171"/>
      <c r="O252" s="171"/>
      <c r="P252" s="171"/>
      <c r="Q252" s="174" t="s">
        <v>4908</v>
      </c>
      <c r="R252" s="174"/>
      <c r="S252" s="175"/>
      <c r="T252" s="175"/>
      <c r="U252" s="175"/>
      <c r="V252" s="175"/>
      <c r="W252" s="175"/>
      <c r="X252" s="175"/>
      <c r="Y252" s="175"/>
      <c r="Z252" s="175"/>
      <c r="AA252" s="175"/>
      <c r="AB252" s="175"/>
      <c r="AC252" s="134"/>
      <c r="AD252" s="135"/>
      <c r="AE252" s="186"/>
      <c r="AF252" s="136"/>
      <c r="AG252" s="137"/>
      <c r="AH252" s="138"/>
      <c r="AI252" s="139"/>
      <c r="AJ252" s="135"/>
      <c r="AK252" s="176"/>
      <c r="AL252" s="177"/>
      <c r="AM252" s="178">
        <f t="shared" ref="AM252:AW252" si="299">IF(ISERROR(LOOKUP(AM$6,$S252:$AB252,$S$9:$AB$9)),0,(LOOKUP(AM$6,$S252:$AB252,$S$9:$AB$9)))</f>
        <v>0</v>
      </c>
      <c r="AN252" s="179">
        <f t="shared" si="299"/>
        <v>0</v>
      </c>
      <c r="AO252" s="179">
        <f t="shared" si="299"/>
        <v>0</v>
      </c>
      <c r="AP252" s="179">
        <f t="shared" si="299"/>
        <v>0</v>
      </c>
      <c r="AQ252" s="179">
        <f t="shared" si="299"/>
        <v>0</v>
      </c>
      <c r="AR252" s="179">
        <f t="shared" si="299"/>
        <v>0</v>
      </c>
      <c r="AS252" s="179">
        <f t="shared" si="299"/>
        <v>0</v>
      </c>
      <c r="AT252" s="179">
        <f t="shared" si="299"/>
        <v>0</v>
      </c>
      <c r="AU252" s="179">
        <f t="shared" si="299"/>
        <v>0</v>
      </c>
      <c r="AV252" s="179">
        <f t="shared" si="299"/>
        <v>0</v>
      </c>
      <c r="AW252" s="179">
        <f ca="1" t="shared" si="299"/>
        <v>0</v>
      </c>
      <c r="BB252" s="161"/>
    </row>
    <row r="253" s="21" customFormat="1" ht="18" customHeight="1" spans="1:54">
      <c r="A253" s="81">
        <f>A250+1</f>
        <v>82</v>
      </c>
      <c r="B253" s="180" t="s">
        <v>4967</v>
      </c>
      <c r="C253" s="83" t="s">
        <v>4902</v>
      </c>
      <c r="D253" s="84" t="s">
        <v>4914</v>
      </c>
      <c r="E253" s="153" t="s">
        <v>4964</v>
      </c>
      <c r="F253" s="154" t="s">
        <v>72</v>
      </c>
      <c r="G253" s="187"/>
      <c r="H253" s="190" t="s">
        <v>4980</v>
      </c>
      <c r="I253" s="153" t="s">
        <v>9</v>
      </c>
      <c r="J253" s="154"/>
      <c r="K253" s="155">
        <f>M255</f>
        <v>0.001</v>
      </c>
      <c r="L253" s="155"/>
      <c r="M253" s="155"/>
      <c r="N253" s="153"/>
      <c r="O253" s="153"/>
      <c r="P253" s="153"/>
      <c r="Q253" s="156" t="s">
        <v>4905</v>
      </c>
      <c r="R253" s="156"/>
      <c r="S253" s="181" t="e">
        <f>WORKDAY(T253,-INDEX(T$2:T$5,MATCH($I253,$I$2:$I$5,0)),'[36]Equipment List and MR List (3)'!$A$2:$A$80)</f>
        <v>#REF!</v>
      </c>
      <c r="T253" s="181" t="e">
        <f>WORKDAY(U253,-INDEX(U$2:U$5,MATCH($I253,$I$2:$I$5,0)),$BB$10:$BB$141)</f>
        <v>#REF!</v>
      </c>
      <c r="U253" s="181" t="e">
        <f>WORKDAY(V253,-INDEX(V$2:V$5,MATCH($I253,$I$2:$I$5,0)),$BB$10:$BB$141)</f>
        <v>#REF!</v>
      </c>
      <c r="V253" s="181" t="e">
        <f>WORKDAY(W253,-INDEX(W$2:W$5,MATCH($I253,$I$2:$I$5,0)),$BB$10:$BB$141)</f>
        <v>#REF!</v>
      </c>
      <c r="W253" s="181" t="e">
        <f>WORKDAY(#REF!,-INDEX(#REF!,MATCH($I253,$I$2:$I$5,0)),$BB$10:$BB$141)</f>
        <v>#REF!</v>
      </c>
      <c r="X253" s="181" t="e">
        <f>WORKDAY(Y253,-INDEX(Y$2:Y$5,MATCH($I253,$I$2:$I$5,0)),$BB$10:$BB$141)</f>
        <v>#REF!</v>
      </c>
      <c r="Y253" s="181" t="e">
        <f>WORKDAY(Z253,-INDEX(Z$2:Z$5,MATCH($I253,$I$2:$I$5,0)),$BB$10:$BB$141)</f>
        <v>#REF!</v>
      </c>
      <c r="Z253" s="181" t="e">
        <f>WORKDAY(AA253,-INDEX(AA$2:AA$5,MATCH($I253,$I$2:$I$5,0)),$BB$10:$BB$141)</f>
        <v>#REF!</v>
      </c>
      <c r="AA253" s="181" t="e">
        <f>WORKDAY(#REF!,-INDEX(#REF!,MATCH($I253,$I$2:$I$5,0)),$BB$10:$BB$141)</f>
        <v>#REF!</v>
      </c>
      <c r="AB253" s="181">
        <f>WORKDAY(AG253,0,'[36]Equipment List and MR List (3)'!$A$2:$A$80)</f>
        <v>0</v>
      </c>
      <c r="AC253" s="92" t="s">
        <v>4906</v>
      </c>
      <c r="AD253" s="93">
        <v>7</v>
      </c>
      <c r="AE253" s="182">
        <v>100</v>
      </c>
      <c r="AF253" s="95" t="e">
        <f>AB254</f>
        <v>#REF!</v>
      </c>
      <c r="AG253" s="96"/>
      <c r="AH253" s="97"/>
      <c r="AI253" s="98"/>
      <c r="AJ253" s="93" t="e">
        <f>AG253-AF253</f>
        <v>#REF!</v>
      </c>
      <c r="AK253" s="157"/>
      <c r="AL253" s="158"/>
      <c r="AM253" s="159">
        <f t="shared" ref="AM253:AW253" si="300">IF(ISERROR(LOOKUP(AM$6,$S253:$AB253,$S$9:$AB$9)),0,(LOOKUP(AM$6,$S253:$AB253,$S$9:$AB$9)))</f>
        <v>0.95</v>
      </c>
      <c r="AN253" s="160">
        <f t="shared" si="300"/>
        <v>0.95</v>
      </c>
      <c r="AO253" s="160">
        <f t="shared" si="300"/>
        <v>0.95</v>
      </c>
      <c r="AP253" s="160">
        <f t="shared" si="300"/>
        <v>0.95</v>
      </c>
      <c r="AQ253" s="160">
        <f t="shared" si="300"/>
        <v>0.95</v>
      </c>
      <c r="AR253" s="160">
        <f t="shared" si="300"/>
        <v>0.95</v>
      </c>
      <c r="AS253" s="160">
        <f t="shared" si="300"/>
        <v>0.95</v>
      </c>
      <c r="AT253" s="160">
        <f t="shared" si="300"/>
        <v>0.95</v>
      </c>
      <c r="AU253" s="160">
        <f t="shared" si="300"/>
        <v>0.95</v>
      </c>
      <c r="AV253" s="160">
        <f t="shared" si="300"/>
        <v>0.95</v>
      </c>
      <c r="AW253" s="160">
        <f ca="1" t="shared" si="300"/>
        <v>0.95</v>
      </c>
      <c r="BB253" s="161"/>
    </row>
    <row r="254" s="21" customFormat="1" ht="18" customHeight="1" spans="1:54">
      <c r="A254" s="104"/>
      <c r="B254" s="183"/>
      <c r="C254" s="106"/>
      <c r="D254" s="107" t="str">
        <f>D253</f>
        <v>PIP</v>
      </c>
      <c r="E254" s="162" t="str">
        <f>E253</f>
        <v>RFQ-054</v>
      </c>
      <c r="F254" s="163" t="str">
        <f>F253</f>
        <v>N</v>
      </c>
      <c r="G254" s="188"/>
      <c r="H254" s="191" t="str">
        <f>H253</f>
        <v>SS &amp; DSS FITTING</v>
      </c>
      <c r="I254" s="162" t="str">
        <f>I253</f>
        <v>LD</v>
      </c>
      <c r="J254" s="163"/>
      <c r="K254" s="164"/>
      <c r="L254" s="164">
        <f>M255</f>
        <v>0.001</v>
      </c>
      <c r="M254" s="164"/>
      <c r="N254" s="162"/>
      <c r="O254" s="162"/>
      <c r="P254" s="162"/>
      <c r="Q254" s="165" t="s">
        <v>4907</v>
      </c>
      <c r="R254" s="165"/>
      <c r="S254" s="166" t="e">
        <f>S253</f>
        <v>#REF!</v>
      </c>
      <c r="T254" s="167" t="e">
        <f>T253</f>
        <v>#REF!</v>
      </c>
      <c r="U254" s="167" t="e">
        <f>WORKDAY(IF(T255="",T254,T255),INDEX(U$2:U$5,MATCH($I253,$I$2:$I$5,0)),$BB$10:$BB$141)</f>
        <v>#REF!</v>
      </c>
      <c r="V254" s="167" t="e">
        <f>WORKDAY(IF(U255="",U254,U255),INDEX(V$2:V$5,MATCH($I253,$I$2:$I$5,0)),$BB$10:$BB$141)</f>
        <v>#REF!</v>
      </c>
      <c r="W254" s="167" t="e">
        <f>WORKDAY(IF(V255="",V254,V255),INDEX(W$2:W$5,MATCH($I253,$I$2:$I$5,0)),$BB$10:$BB$141)</f>
        <v>#REF!</v>
      </c>
      <c r="X254" s="167" t="e">
        <f>WORKDAY(IF(#REF!="",#REF!,#REF!),INDEX(X$2:X$5,MATCH($I253,$I$2:$I$5,0)),$BB$10:$BB$141)</f>
        <v>#REF!</v>
      </c>
      <c r="Y254" s="167" t="e">
        <f>WORKDAY(IF(X255="",X254,X255),INDEX(Y$2:Y$5,MATCH($I253,$I$2:$I$5,0)),$BB$10:$BB$141)</f>
        <v>#REF!</v>
      </c>
      <c r="Z254" s="167" t="e">
        <f>WORKDAY(IF(Y255="",Y254,Y255),INDEX(Z$2:Z$5,MATCH($I253,$I$2:$I$5,0)),$BB$10:$BB$141)</f>
        <v>#REF!</v>
      </c>
      <c r="AA254" s="167" t="e">
        <f>WORKDAY(IF(Z255="",Z254,Z255),INDEX(AA$2:AA$5,MATCH($I253,$I$2:$I$5,0)),$BB$10:$BB$141)</f>
        <v>#REF!</v>
      </c>
      <c r="AB254" s="168" t="e">
        <f>AE253+#REF!</f>
        <v>#REF!</v>
      </c>
      <c r="AC254" s="117"/>
      <c r="AD254" s="118"/>
      <c r="AE254" s="184"/>
      <c r="AF254" s="119"/>
      <c r="AG254" s="120"/>
      <c r="AH254" s="121"/>
      <c r="AI254" s="122"/>
      <c r="AJ254" s="118"/>
      <c r="AK254" s="169"/>
      <c r="AL254" s="170"/>
      <c r="AM254" s="159">
        <f t="shared" ref="AM254:AW254" si="301">IF(ISERROR(LOOKUP(AM$6,$S254:$AB254,$S$9:$AB$9)),0,(LOOKUP(AM$6,$S254:$AB254,$S$9:$AB$9)))</f>
        <v>0</v>
      </c>
      <c r="AN254" s="160">
        <f t="shared" si="301"/>
        <v>0</v>
      </c>
      <c r="AO254" s="160">
        <f t="shared" si="301"/>
        <v>0</v>
      </c>
      <c r="AP254" s="160">
        <f t="shared" si="301"/>
        <v>0</v>
      </c>
      <c r="AQ254" s="160">
        <f t="shared" si="301"/>
        <v>0</v>
      </c>
      <c r="AR254" s="160">
        <f t="shared" si="301"/>
        <v>0</v>
      </c>
      <c r="AS254" s="160">
        <f t="shared" si="301"/>
        <v>0</v>
      </c>
      <c r="AT254" s="160">
        <f t="shared" si="301"/>
        <v>0</v>
      </c>
      <c r="AU254" s="160">
        <f t="shared" si="301"/>
        <v>0</v>
      </c>
      <c r="AV254" s="160">
        <f t="shared" si="301"/>
        <v>0</v>
      </c>
      <c r="AW254" s="160">
        <f ca="1" t="shared" si="301"/>
        <v>0</v>
      </c>
      <c r="BB254" s="161"/>
    </row>
    <row r="255" s="21" customFormat="1" ht="18" customHeight="1" spans="1:54">
      <c r="A255" s="125"/>
      <c r="B255" s="185"/>
      <c r="C255" s="127"/>
      <c r="D255" s="128" t="str">
        <f>D253</f>
        <v>PIP</v>
      </c>
      <c r="E255" s="171" t="str">
        <f>E253</f>
        <v>RFQ-054</v>
      </c>
      <c r="F255" s="172" t="str">
        <f>F253</f>
        <v>N</v>
      </c>
      <c r="G255" s="189"/>
      <c r="H255" s="192" t="str">
        <f>H253</f>
        <v>SS &amp; DSS FITTING</v>
      </c>
      <c r="I255" s="171" t="str">
        <f>I253</f>
        <v>LD</v>
      </c>
      <c r="J255" s="172"/>
      <c r="K255" s="173"/>
      <c r="L255" s="173"/>
      <c r="M255" s="173">
        <v>0.001</v>
      </c>
      <c r="N255" s="171"/>
      <c r="O255" s="171"/>
      <c r="P255" s="171"/>
      <c r="Q255" s="174" t="s">
        <v>4908</v>
      </c>
      <c r="R255" s="174"/>
      <c r="S255" s="175"/>
      <c r="T255" s="175"/>
      <c r="U255" s="175"/>
      <c r="V255" s="175"/>
      <c r="W255" s="175"/>
      <c r="X255" s="175"/>
      <c r="Y255" s="175"/>
      <c r="Z255" s="175"/>
      <c r="AA255" s="175"/>
      <c r="AB255" s="175"/>
      <c r="AC255" s="134"/>
      <c r="AD255" s="135"/>
      <c r="AE255" s="186"/>
      <c r="AF255" s="136"/>
      <c r="AG255" s="137"/>
      <c r="AH255" s="138"/>
      <c r="AI255" s="139"/>
      <c r="AJ255" s="135"/>
      <c r="AK255" s="176"/>
      <c r="AL255" s="177"/>
      <c r="AM255" s="178">
        <f t="shared" ref="AM255:AW255" si="302">IF(ISERROR(LOOKUP(AM$6,$S255:$AB255,$S$9:$AB$9)),0,(LOOKUP(AM$6,$S255:$AB255,$S$9:$AB$9)))</f>
        <v>0</v>
      </c>
      <c r="AN255" s="179">
        <f t="shared" si="302"/>
        <v>0</v>
      </c>
      <c r="AO255" s="179">
        <f t="shared" si="302"/>
        <v>0</v>
      </c>
      <c r="AP255" s="179">
        <f t="shared" si="302"/>
        <v>0</v>
      </c>
      <c r="AQ255" s="179">
        <f t="shared" si="302"/>
        <v>0</v>
      </c>
      <c r="AR255" s="179">
        <f t="shared" si="302"/>
        <v>0</v>
      </c>
      <c r="AS255" s="179">
        <f t="shared" si="302"/>
        <v>0</v>
      </c>
      <c r="AT255" s="179">
        <f t="shared" si="302"/>
        <v>0</v>
      </c>
      <c r="AU255" s="179">
        <f t="shared" si="302"/>
        <v>0</v>
      </c>
      <c r="AV255" s="179">
        <f t="shared" si="302"/>
        <v>0</v>
      </c>
      <c r="AW255" s="179">
        <f ca="1" t="shared" si="302"/>
        <v>0</v>
      </c>
      <c r="BB255" s="161"/>
    </row>
    <row r="256" s="21" customFormat="1" ht="18" customHeight="1" spans="1:54">
      <c r="A256" s="81">
        <f>A253+1</f>
        <v>83</v>
      </c>
      <c r="B256" s="180" t="s">
        <v>4967</v>
      </c>
      <c r="C256" s="83" t="s">
        <v>4902</v>
      </c>
      <c r="D256" s="84" t="s">
        <v>4914</v>
      </c>
      <c r="E256" s="153" t="s">
        <v>4964</v>
      </c>
      <c r="F256" s="154" t="s">
        <v>72</v>
      </c>
      <c r="G256" s="187"/>
      <c r="H256" s="190" t="s">
        <v>4861</v>
      </c>
      <c r="I256" s="153" t="s">
        <v>9</v>
      </c>
      <c r="J256" s="154"/>
      <c r="K256" s="155">
        <f>M258</f>
        <v>0.001</v>
      </c>
      <c r="L256" s="155"/>
      <c r="M256" s="155"/>
      <c r="N256" s="153"/>
      <c r="O256" s="153"/>
      <c r="P256" s="153"/>
      <c r="Q256" s="156" t="s">
        <v>4905</v>
      </c>
      <c r="R256" s="156"/>
      <c r="S256" s="181" t="e">
        <f>WORKDAY(T256,-INDEX(T$2:T$5,MATCH($I256,$I$2:$I$5,0)),'[36]Equipment List and MR List (3)'!$A$2:$A$80)</f>
        <v>#REF!</v>
      </c>
      <c r="T256" s="181" t="e">
        <f>WORKDAY(U256,-INDEX(U$2:U$5,MATCH($I256,$I$2:$I$5,0)),$BB$10:$BB$141)</f>
        <v>#REF!</v>
      </c>
      <c r="U256" s="181" t="e">
        <f>WORKDAY(V256,-INDEX(V$2:V$5,MATCH($I256,$I$2:$I$5,0)),$BB$10:$BB$141)</f>
        <v>#REF!</v>
      </c>
      <c r="V256" s="181" t="e">
        <f>WORKDAY(W256,-INDEX(W$2:W$5,MATCH($I256,$I$2:$I$5,0)),$BB$10:$BB$141)</f>
        <v>#REF!</v>
      </c>
      <c r="W256" s="181" t="e">
        <f>WORKDAY(#REF!,-INDEX(#REF!,MATCH($I256,$I$2:$I$5,0)),$BB$10:$BB$141)</f>
        <v>#REF!</v>
      </c>
      <c r="X256" s="181" t="e">
        <f>WORKDAY(Y256,-INDEX(Y$2:Y$5,MATCH($I256,$I$2:$I$5,0)),$BB$10:$BB$141)</f>
        <v>#REF!</v>
      </c>
      <c r="Y256" s="181" t="e">
        <f>WORKDAY(Z256,-INDEX(Z$2:Z$5,MATCH($I256,$I$2:$I$5,0)),$BB$10:$BB$141)</f>
        <v>#REF!</v>
      </c>
      <c r="Z256" s="181" t="e">
        <f>WORKDAY(AA256,-INDEX(AA$2:AA$5,MATCH($I256,$I$2:$I$5,0)),$BB$10:$BB$141)</f>
        <v>#REF!</v>
      </c>
      <c r="AA256" s="181" t="e">
        <f>WORKDAY(#REF!,-INDEX(#REF!,MATCH($I256,$I$2:$I$5,0)),$BB$10:$BB$141)</f>
        <v>#REF!</v>
      </c>
      <c r="AB256" s="181">
        <f>WORKDAY(AG256,0,'[36]Equipment List and MR List (3)'!$A$2:$A$80)</f>
        <v>0</v>
      </c>
      <c r="AC256" s="92" t="s">
        <v>4906</v>
      </c>
      <c r="AD256" s="93">
        <v>7</v>
      </c>
      <c r="AE256" s="182">
        <v>100</v>
      </c>
      <c r="AF256" s="95" t="e">
        <f>AB257</f>
        <v>#REF!</v>
      </c>
      <c r="AG256" s="96"/>
      <c r="AH256" s="97"/>
      <c r="AI256" s="98"/>
      <c r="AJ256" s="93" t="e">
        <f>AG256-AF256</f>
        <v>#REF!</v>
      </c>
      <c r="AK256" s="157"/>
      <c r="AL256" s="158"/>
      <c r="AM256" s="159">
        <f t="shared" ref="AM256:AW256" si="303">IF(ISERROR(LOOKUP(AM$6,$S256:$AB256,$S$9:$AB$9)),0,(LOOKUP(AM$6,$S256:$AB256,$S$9:$AB$9)))</f>
        <v>0.95</v>
      </c>
      <c r="AN256" s="160">
        <f t="shared" si="303"/>
        <v>0.95</v>
      </c>
      <c r="AO256" s="160">
        <f t="shared" si="303"/>
        <v>0.95</v>
      </c>
      <c r="AP256" s="160">
        <f t="shared" si="303"/>
        <v>0.95</v>
      </c>
      <c r="AQ256" s="160">
        <f t="shared" si="303"/>
        <v>0.95</v>
      </c>
      <c r="AR256" s="160">
        <f t="shared" si="303"/>
        <v>0.95</v>
      </c>
      <c r="AS256" s="160">
        <f t="shared" si="303"/>
        <v>0.95</v>
      </c>
      <c r="AT256" s="160">
        <f t="shared" si="303"/>
        <v>0.95</v>
      </c>
      <c r="AU256" s="160">
        <f t="shared" si="303"/>
        <v>0.95</v>
      </c>
      <c r="AV256" s="160">
        <f t="shared" si="303"/>
        <v>0.95</v>
      </c>
      <c r="AW256" s="160">
        <f ca="1" t="shared" si="303"/>
        <v>0.95</v>
      </c>
      <c r="BB256" s="161"/>
    </row>
    <row r="257" s="21" customFormat="1" ht="18" customHeight="1" spans="1:54">
      <c r="A257" s="104"/>
      <c r="B257" s="183"/>
      <c r="C257" s="106"/>
      <c r="D257" s="107" t="str">
        <f>D256</f>
        <v>PIP</v>
      </c>
      <c r="E257" s="162" t="str">
        <f>E256</f>
        <v>RFQ-054</v>
      </c>
      <c r="F257" s="163" t="str">
        <f>F256</f>
        <v>N</v>
      </c>
      <c r="G257" s="188"/>
      <c r="H257" s="191" t="str">
        <f>H256</f>
        <v>SS &amp; DSS Fitting</v>
      </c>
      <c r="I257" s="162" t="str">
        <f>I256</f>
        <v>LD</v>
      </c>
      <c r="J257" s="163"/>
      <c r="K257" s="164"/>
      <c r="L257" s="164">
        <f>M258</f>
        <v>0.001</v>
      </c>
      <c r="M257" s="164"/>
      <c r="N257" s="162"/>
      <c r="O257" s="162"/>
      <c r="P257" s="162"/>
      <c r="Q257" s="165" t="s">
        <v>4907</v>
      </c>
      <c r="R257" s="165"/>
      <c r="S257" s="166" t="e">
        <f>S256</f>
        <v>#REF!</v>
      </c>
      <c r="T257" s="167" t="e">
        <f>T256</f>
        <v>#REF!</v>
      </c>
      <c r="U257" s="167" t="e">
        <f>WORKDAY(IF(T258="",T257,T258),INDEX(U$2:U$5,MATCH($I256,$I$2:$I$5,0)),$BB$10:$BB$141)</f>
        <v>#REF!</v>
      </c>
      <c r="V257" s="167" t="e">
        <f>WORKDAY(IF(U258="",U257,U258),INDEX(V$2:V$5,MATCH($I256,$I$2:$I$5,0)),$BB$10:$BB$141)</f>
        <v>#REF!</v>
      </c>
      <c r="W257" s="167" t="e">
        <f>WORKDAY(IF(V258="",V257,V258),INDEX(W$2:W$5,MATCH($I256,$I$2:$I$5,0)),$BB$10:$BB$141)</f>
        <v>#REF!</v>
      </c>
      <c r="X257" s="167" t="e">
        <f>WORKDAY(IF(#REF!="",#REF!,#REF!),INDEX(X$2:X$5,MATCH($I256,$I$2:$I$5,0)),$BB$10:$BB$141)</f>
        <v>#REF!</v>
      </c>
      <c r="Y257" s="167" t="e">
        <f>WORKDAY(IF(X258="",X257,X258),INDEX(Y$2:Y$5,MATCH($I256,$I$2:$I$5,0)),$BB$10:$BB$141)</f>
        <v>#REF!</v>
      </c>
      <c r="Z257" s="167" t="e">
        <f>WORKDAY(IF(Y258="",Y257,Y258),INDEX(Z$2:Z$5,MATCH($I256,$I$2:$I$5,0)),$BB$10:$BB$141)</f>
        <v>#REF!</v>
      </c>
      <c r="AA257" s="167" t="e">
        <f>WORKDAY(IF(Z258="",Z257,Z258),INDEX(AA$2:AA$5,MATCH($I256,$I$2:$I$5,0)),$BB$10:$BB$141)</f>
        <v>#REF!</v>
      </c>
      <c r="AB257" s="168" t="e">
        <f>AE256+#REF!</f>
        <v>#REF!</v>
      </c>
      <c r="AC257" s="117"/>
      <c r="AD257" s="118"/>
      <c r="AE257" s="184"/>
      <c r="AF257" s="119"/>
      <c r="AG257" s="120"/>
      <c r="AH257" s="121"/>
      <c r="AI257" s="122"/>
      <c r="AJ257" s="118"/>
      <c r="AK257" s="169"/>
      <c r="AL257" s="170"/>
      <c r="AM257" s="159">
        <f t="shared" ref="AM257:AW257" si="304">IF(ISERROR(LOOKUP(AM$6,$S257:$AB257,$S$9:$AB$9)),0,(LOOKUP(AM$6,$S257:$AB257,$S$9:$AB$9)))</f>
        <v>0</v>
      </c>
      <c r="AN257" s="160">
        <f t="shared" si="304"/>
        <v>0</v>
      </c>
      <c r="AO257" s="160">
        <f t="shared" si="304"/>
        <v>0</v>
      </c>
      <c r="AP257" s="160">
        <f t="shared" si="304"/>
        <v>0</v>
      </c>
      <c r="AQ257" s="160">
        <f t="shared" si="304"/>
        <v>0</v>
      </c>
      <c r="AR257" s="160">
        <f t="shared" si="304"/>
        <v>0</v>
      </c>
      <c r="AS257" s="160">
        <f t="shared" si="304"/>
        <v>0</v>
      </c>
      <c r="AT257" s="160">
        <f t="shared" si="304"/>
        <v>0</v>
      </c>
      <c r="AU257" s="160">
        <f t="shared" si="304"/>
        <v>0</v>
      </c>
      <c r="AV257" s="160">
        <f t="shared" si="304"/>
        <v>0</v>
      </c>
      <c r="AW257" s="160">
        <f ca="1" t="shared" si="304"/>
        <v>0</v>
      </c>
      <c r="BB257" s="161"/>
    </row>
    <row r="258" s="21" customFormat="1" ht="18" customHeight="1" spans="1:54">
      <c r="A258" s="125"/>
      <c r="B258" s="185"/>
      <c r="C258" s="127"/>
      <c r="D258" s="128" t="str">
        <f>D256</f>
        <v>PIP</v>
      </c>
      <c r="E258" s="171" t="str">
        <f>E256</f>
        <v>RFQ-054</v>
      </c>
      <c r="F258" s="172" t="str">
        <f>F256</f>
        <v>N</v>
      </c>
      <c r="G258" s="189"/>
      <c r="H258" s="192" t="str">
        <f>H256</f>
        <v>SS &amp; DSS Fitting</v>
      </c>
      <c r="I258" s="171" t="str">
        <f>I256</f>
        <v>LD</v>
      </c>
      <c r="J258" s="172"/>
      <c r="K258" s="173"/>
      <c r="L258" s="173"/>
      <c r="M258" s="173">
        <v>0.001</v>
      </c>
      <c r="N258" s="171"/>
      <c r="O258" s="171"/>
      <c r="P258" s="171"/>
      <c r="Q258" s="174" t="s">
        <v>4908</v>
      </c>
      <c r="R258" s="174"/>
      <c r="S258" s="175"/>
      <c r="T258" s="175"/>
      <c r="U258" s="175"/>
      <c r="V258" s="175"/>
      <c r="W258" s="175"/>
      <c r="X258" s="175"/>
      <c r="Y258" s="175"/>
      <c r="Z258" s="175"/>
      <c r="AA258" s="175"/>
      <c r="AB258" s="175"/>
      <c r="AC258" s="134"/>
      <c r="AD258" s="135"/>
      <c r="AE258" s="186"/>
      <c r="AF258" s="136"/>
      <c r="AG258" s="137"/>
      <c r="AH258" s="138"/>
      <c r="AI258" s="139"/>
      <c r="AJ258" s="135"/>
      <c r="AK258" s="176"/>
      <c r="AL258" s="177"/>
      <c r="AM258" s="178">
        <f t="shared" ref="AM258:AW258" si="305">IF(ISERROR(LOOKUP(AM$6,$S258:$AB258,$S$9:$AB$9)),0,(LOOKUP(AM$6,$S258:$AB258,$S$9:$AB$9)))</f>
        <v>0</v>
      </c>
      <c r="AN258" s="179">
        <f t="shared" si="305"/>
        <v>0</v>
      </c>
      <c r="AO258" s="179">
        <f t="shared" si="305"/>
        <v>0</v>
      </c>
      <c r="AP258" s="179">
        <f t="shared" si="305"/>
        <v>0</v>
      </c>
      <c r="AQ258" s="179">
        <f t="shared" si="305"/>
        <v>0</v>
      </c>
      <c r="AR258" s="179">
        <f t="shared" si="305"/>
        <v>0</v>
      </c>
      <c r="AS258" s="179">
        <f t="shared" si="305"/>
        <v>0</v>
      </c>
      <c r="AT258" s="179">
        <f t="shared" si="305"/>
        <v>0</v>
      </c>
      <c r="AU258" s="179">
        <f t="shared" si="305"/>
        <v>0</v>
      </c>
      <c r="AV258" s="179">
        <f t="shared" si="305"/>
        <v>0</v>
      </c>
      <c r="AW258" s="179">
        <f ca="1" t="shared" si="305"/>
        <v>0</v>
      </c>
      <c r="BB258" s="161"/>
    </row>
    <row r="259" s="21" customFormat="1" ht="18" customHeight="1" spans="1:54">
      <c r="A259" s="81">
        <f>A256+1</f>
        <v>84</v>
      </c>
      <c r="B259" s="180" t="s">
        <v>4967</v>
      </c>
      <c r="C259" s="83" t="s">
        <v>4902</v>
      </c>
      <c r="D259" s="84" t="s">
        <v>4914</v>
      </c>
      <c r="E259" s="153" t="s">
        <v>4964</v>
      </c>
      <c r="F259" s="154" t="s">
        <v>72</v>
      </c>
      <c r="G259" s="187"/>
      <c r="H259" s="190" t="s">
        <v>4992</v>
      </c>
      <c r="I259" s="153" t="s">
        <v>9</v>
      </c>
      <c r="J259" s="154"/>
      <c r="K259" s="155">
        <f>M261</f>
        <v>0.001</v>
      </c>
      <c r="L259" s="155"/>
      <c r="M259" s="155"/>
      <c r="N259" s="153"/>
      <c r="O259" s="153"/>
      <c r="P259" s="153"/>
      <c r="Q259" s="156" t="s">
        <v>4905</v>
      </c>
      <c r="R259" s="156"/>
      <c r="S259" s="181" t="e">
        <f>WORKDAY(T259,-INDEX(T$2:T$5,MATCH($I259,$I$2:$I$5,0)),'[36]Equipment List and MR List (3)'!$A$2:$A$80)</f>
        <v>#REF!</v>
      </c>
      <c r="T259" s="181" t="e">
        <f>WORKDAY(U259,-INDEX(U$2:U$5,MATCH($I259,$I$2:$I$5,0)),$BB$10:$BB$141)</f>
        <v>#REF!</v>
      </c>
      <c r="U259" s="181" t="e">
        <f>WORKDAY(V259,-INDEX(V$2:V$5,MATCH($I259,$I$2:$I$5,0)),$BB$10:$BB$141)</f>
        <v>#REF!</v>
      </c>
      <c r="V259" s="181" t="e">
        <f>WORKDAY(W259,-INDEX(W$2:W$5,MATCH($I259,$I$2:$I$5,0)),$BB$10:$BB$141)</f>
        <v>#REF!</v>
      </c>
      <c r="W259" s="181" t="e">
        <f>WORKDAY(#REF!,-INDEX(#REF!,MATCH($I259,$I$2:$I$5,0)),$BB$10:$BB$141)</f>
        <v>#REF!</v>
      </c>
      <c r="X259" s="181" t="e">
        <f>WORKDAY(Y259,-INDEX(Y$2:Y$5,MATCH($I259,$I$2:$I$5,0)),$BB$10:$BB$141)</f>
        <v>#REF!</v>
      </c>
      <c r="Y259" s="181" t="e">
        <f>WORKDAY(Z259,-INDEX(Z$2:Z$5,MATCH($I259,$I$2:$I$5,0)),$BB$10:$BB$141)</f>
        <v>#REF!</v>
      </c>
      <c r="Z259" s="181" t="e">
        <f>WORKDAY(AA259,-INDEX(AA$2:AA$5,MATCH($I259,$I$2:$I$5,0)),$BB$10:$BB$141)</f>
        <v>#REF!</v>
      </c>
      <c r="AA259" s="181" t="e">
        <f>WORKDAY(#REF!,-INDEX(#REF!,MATCH($I259,$I$2:$I$5,0)),$BB$10:$BB$141)</f>
        <v>#REF!</v>
      </c>
      <c r="AB259" s="181">
        <f>WORKDAY(AG259,0,'[36]Equipment List and MR List (3)'!$A$2:$A$80)</f>
        <v>0</v>
      </c>
      <c r="AC259" s="92" t="s">
        <v>4906</v>
      </c>
      <c r="AD259" s="93">
        <v>7</v>
      </c>
      <c r="AE259" s="182">
        <v>100</v>
      </c>
      <c r="AF259" s="95" t="e">
        <f>AB260</f>
        <v>#REF!</v>
      </c>
      <c r="AG259" s="96"/>
      <c r="AH259" s="97"/>
      <c r="AI259" s="98"/>
      <c r="AJ259" s="93" t="e">
        <f>AG259-AF259</f>
        <v>#REF!</v>
      </c>
      <c r="AK259" s="157"/>
      <c r="AL259" s="158"/>
      <c r="AM259" s="159">
        <f t="shared" ref="AM259:AW259" si="306">IF(ISERROR(LOOKUP(AM$6,$S259:$AB259,$S$9:$AB$9)),0,(LOOKUP(AM$6,$S259:$AB259,$S$9:$AB$9)))</f>
        <v>0.95</v>
      </c>
      <c r="AN259" s="160">
        <f t="shared" si="306"/>
        <v>0.95</v>
      </c>
      <c r="AO259" s="160">
        <f t="shared" si="306"/>
        <v>0.95</v>
      </c>
      <c r="AP259" s="160">
        <f t="shared" si="306"/>
        <v>0.95</v>
      </c>
      <c r="AQ259" s="160">
        <f t="shared" si="306"/>
        <v>0.95</v>
      </c>
      <c r="AR259" s="160">
        <f t="shared" si="306"/>
        <v>0.95</v>
      </c>
      <c r="AS259" s="160">
        <f t="shared" si="306"/>
        <v>0.95</v>
      </c>
      <c r="AT259" s="160">
        <f t="shared" si="306"/>
        <v>0.95</v>
      </c>
      <c r="AU259" s="160">
        <f t="shared" si="306"/>
        <v>0.95</v>
      </c>
      <c r="AV259" s="160">
        <f t="shared" si="306"/>
        <v>0.95</v>
      </c>
      <c r="AW259" s="160">
        <f ca="1" t="shared" si="306"/>
        <v>0.95</v>
      </c>
      <c r="BB259" s="161"/>
    </row>
    <row r="260" s="21" customFormat="1" ht="18" customHeight="1" spans="1:54">
      <c r="A260" s="104"/>
      <c r="B260" s="183"/>
      <c r="C260" s="106"/>
      <c r="D260" s="107" t="str">
        <f>D259</f>
        <v>PIP</v>
      </c>
      <c r="E260" s="162" t="str">
        <f>E259</f>
        <v>RFQ-054</v>
      </c>
      <c r="F260" s="163" t="str">
        <f>F259</f>
        <v>N</v>
      </c>
      <c r="G260" s="188"/>
      <c r="H260" s="191" t="str">
        <f>H259</f>
        <v>CS FLANGES</v>
      </c>
      <c r="I260" s="162" t="str">
        <f>I259</f>
        <v>LD</v>
      </c>
      <c r="J260" s="163"/>
      <c r="K260" s="164"/>
      <c r="L260" s="164">
        <f>M261</f>
        <v>0.001</v>
      </c>
      <c r="M260" s="164"/>
      <c r="N260" s="162"/>
      <c r="O260" s="162"/>
      <c r="P260" s="162"/>
      <c r="Q260" s="165" t="s">
        <v>4907</v>
      </c>
      <c r="R260" s="165"/>
      <c r="S260" s="166" t="e">
        <f>S259</f>
        <v>#REF!</v>
      </c>
      <c r="T260" s="167" t="e">
        <f>T259</f>
        <v>#REF!</v>
      </c>
      <c r="U260" s="167" t="e">
        <f>WORKDAY(IF(T261="",T260,T261),INDEX(U$2:U$5,MATCH($I259,$I$2:$I$5,0)),$BB$10:$BB$141)</f>
        <v>#REF!</v>
      </c>
      <c r="V260" s="167" t="e">
        <f>WORKDAY(IF(U261="",U260,U261),INDEX(V$2:V$5,MATCH($I259,$I$2:$I$5,0)),$BB$10:$BB$141)</f>
        <v>#REF!</v>
      </c>
      <c r="W260" s="167" t="e">
        <f>WORKDAY(IF(V261="",V260,V261),INDEX(W$2:W$5,MATCH($I259,$I$2:$I$5,0)),$BB$10:$BB$141)</f>
        <v>#REF!</v>
      </c>
      <c r="X260" s="167" t="e">
        <f>WORKDAY(IF(#REF!="",#REF!,#REF!),INDEX(X$2:X$5,MATCH($I259,$I$2:$I$5,0)),$BB$10:$BB$141)</f>
        <v>#REF!</v>
      </c>
      <c r="Y260" s="167" t="e">
        <f>WORKDAY(IF(X261="",X260,X261),INDEX(Y$2:Y$5,MATCH($I259,$I$2:$I$5,0)),$BB$10:$BB$141)</f>
        <v>#REF!</v>
      </c>
      <c r="Z260" s="167" t="e">
        <f>WORKDAY(IF(Y261="",Y260,Y261),INDEX(Z$2:Z$5,MATCH($I259,$I$2:$I$5,0)),$BB$10:$BB$141)</f>
        <v>#REF!</v>
      </c>
      <c r="AA260" s="167" t="e">
        <f>WORKDAY(IF(Z261="",Z260,Z261),INDEX(AA$2:AA$5,MATCH($I259,$I$2:$I$5,0)),$BB$10:$BB$141)</f>
        <v>#REF!</v>
      </c>
      <c r="AB260" s="168" t="e">
        <f>AE259+#REF!</f>
        <v>#REF!</v>
      </c>
      <c r="AC260" s="117"/>
      <c r="AD260" s="118"/>
      <c r="AE260" s="184"/>
      <c r="AF260" s="119"/>
      <c r="AG260" s="120"/>
      <c r="AH260" s="121"/>
      <c r="AI260" s="122"/>
      <c r="AJ260" s="118"/>
      <c r="AK260" s="169"/>
      <c r="AL260" s="170"/>
      <c r="AM260" s="159">
        <f t="shared" ref="AM260:AW260" si="307">IF(ISERROR(LOOKUP(AM$6,$S260:$AB260,$S$9:$AB$9)),0,(LOOKUP(AM$6,$S260:$AB260,$S$9:$AB$9)))</f>
        <v>0</v>
      </c>
      <c r="AN260" s="160">
        <f t="shared" si="307"/>
        <v>0</v>
      </c>
      <c r="AO260" s="160">
        <f t="shared" si="307"/>
        <v>0</v>
      </c>
      <c r="AP260" s="160">
        <f t="shared" si="307"/>
        <v>0</v>
      </c>
      <c r="AQ260" s="160">
        <f t="shared" si="307"/>
        <v>0</v>
      </c>
      <c r="AR260" s="160">
        <f t="shared" si="307"/>
        <v>0</v>
      </c>
      <c r="AS260" s="160">
        <f t="shared" si="307"/>
        <v>0</v>
      </c>
      <c r="AT260" s="160">
        <f t="shared" si="307"/>
        <v>0</v>
      </c>
      <c r="AU260" s="160">
        <f t="shared" si="307"/>
        <v>0</v>
      </c>
      <c r="AV260" s="160">
        <f t="shared" si="307"/>
        <v>0</v>
      </c>
      <c r="AW260" s="160">
        <f ca="1" t="shared" si="307"/>
        <v>0</v>
      </c>
      <c r="BB260" s="161"/>
    </row>
    <row r="261" s="21" customFormat="1" ht="18" customHeight="1" spans="1:54">
      <c r="A261" s="125"/>
      <c r="B261" s="185"/>
      <c r="C261" s="127"/>
      <c r="D261" s="128" t="str">
        <f>D259</f>
        <v>PIP</v>
      </c>
      <c r="E261" s="171" t="str">
        <f>E259</f>
        <v>RFQ-054</v>
      </c>
      <c r="F261" s="172" t="str">
        <f>F259</f>
        <v>N</v>
      </c>
      <c r="G261" s="189"/>
      <c r="H261" s="192" t="str">
        <f>H259</f>
        <v>CS FLANGES</v>
      </c>
      <c r="I261" s="171" t="str">
        <f>I259</f>
        <v>LD</v>
      </c>
      <c r="J261" s="172"/>
      <c r="K261" s="173"/>
      <c r="L261" s="173"/>
      <c r="M261" s="173">
        <v>0.001</v>
      </c>
      <c r="N261" s="171"/>
      <c r="O261" s="171"/>
      <c r="P261" s="171"/>
      <c r="Q261" s="174" t="s">
        <v>4908</v>
      </c>
      <c r="R261" s="174"/>
      <c r="S261" s="175"/>
      <c r="T261" s="175"/>
      <c r="U261" s="175"/>
      <c r="V261" s="175"/>
      <c r="W261" s="175"/>
      <c r="X261" s="175"/>
      <c r="Y261" s="175"/>
      <c r="Z261" s="175"/>
      <c r="AA261" s="175"/>
      <c r="AB261" s="175"/>
      <c r="AC261" s="134"/>
      <c r="AD261" s="135"/>
      <c r="AE261" s="186"/>
      <c r="AF261" s="136"/>
      <c r="AG261" s="137"/>
      <c r="AH261" s="138"/>
      <c r="AI261" s="139"/>
      <c r="AJ261" s="135"/>
      <c r="AK261" s="176"/>
      <c r="AL261" s="177"/>
      <c r="AM261" s="178">
        <f t="shared" ref="AM261:AW261" si="308">IF(ISERROR(LOOKUP(AM$6,$S261:$AB261,$S$9:$AB$9)),0,(LOOKUP(AM$6,$S261:$AB261,$S$9:$AB$9)))</f>
        <v>0</v>
      </c>
      <c r="AN261" s="179">
        <f t="shared" si="308"/>
        <v>0</v>
      </c>
      <c r="AO261" s="179">
        <f t="shared" si="308"/>
        <v>0</v>
      </c>
      <c r="AP261" s="179">
        <f t="shared" si="308"/>
        <v>0</v>
      </c>
      <c r="AQ261" s="179">
        <f t="shared" si="308"/>
        <v>0</v>
      </c>
      <c r="AR261" s="179">
        <f t="shared" si="308"/>
        <v>0</v>
      </c>
      <c r="AS261" s="179">
        <f t="shared" si="308"/>
        <v>0</v>
      </c>
      <c r="AT261" s="179">
        <f t="shared" si="308"/>
        <v>0</v>
      </c>
      <c r="AU261" s="179">
        <f t="shared" si="308"/>
        <v>0</v>
      </c>
      <c r="AV261" s="179">
        <f t="shared" si="308"/>
        <v>0</v>
      </c>
      <c r="AW261" s="179">
        <f ca="1" t="shared" si="308"/>
        <v>0</v>
      </c>
      <c r="BB261" s="161"/>
    </row>
    <row r="262" s="21" customFormat="1" ht="18" customHeight="1" spans="1:54">
      <c r="A262" s="81">
        <f>A259+1</f>
        <v>85</v>
      </c>
      <c r="B262" s="180" t="s">
        <v>4967</v>
      </c>
      <c r="C262" s="83" t="s">
        <v>4902</v>
      </c>
      <c r="D262" s="84" t="s">
        <v>4914</v>
      </c>
      <c r="E262" s="153" t="s">
        <v>4964</v>
      </c>
      <c r="F262" s="154" t="s">
        <v>72</v>
      </c>
      <c r="G262" s="187"/>
      <c r="H262" s="190" t="s">
        <v>4993</v>
      </c>
      <c r="I262" s="153" t="s">
        <v>9</v>
      </c>
      <c r="J262" s="154"/>
      <c r="K262" s="155">
        <f>M264</f>
        <v>0.001</v>
      </c>
      <c r="L262" s="155"/>
      <c r="M262" s="155"/>
      <c r="N262" s="153"/>
      <c r="O262" s="153"/>
      <c r="P262" s="153"/>
      <c r="Q262" s="156" t="s">
        <v>4905</v>
      </c>
      <c r="R262" s="156"/>
      <c r="S262" s="181" t="e">
        <f>WORKDAY(T262,-INDEX(T$2:T$5,MATCH($I262,$I$2:$I$5,0)),'[36]Equipment List and MR List (3)'!$A$2:$A$80)</f>
        <v>#REF!</v>
      </c>
      <c r="T262" s="181" t="e">
        <f>WORKDAY(U262,-INDEX(U$2:U$5,MATCH($I262,$I$2:$I$5,0)),$BB$10:$BB$141)</f>
        <v>#REF!</v>
      </c>
      <c r="U262" s="181" t="e">
        <f>WORKDAY(V262,-INDEX(V$2:V$5,MATCH($I262,$I$2:$I$5,0)),$BB$10:$BB$141)</f>
        <v>#REF!</v>
      </c>
      <c r="V262" s="181" t="e">
        <f>WORKDAY(W262,-INDEX(W$2:W$5,MATCH($I262,$I$2:$I$5,0)),$BB$10:$BB$141)</f>
        <v>#REF!</v>
      </c>
      <c r="W262" s="181" t="e">
        <f>WORKDAY(#REF!,-INDEX(#REF!,MATCH($I262,$I$2:$I$5,0)),$BB$10:$BB$141)</f>
        <v>#REF!</v>
      </c>
      <c r="X262" s="181" t="e">
        <f>WORKDAY(Y262,-INDEX(Y$2:Y$5,MATCH($I262,$I$2:$I$5,0)),$BB$10:$BB$141)</f>
        <v>#REF!</v>
      </c>
      <c r="Y262" s="181" t="e">
        <f>WORKDAY(Z262,-INDEX(Z$2:Z$5,MATCH($I262,$I$2:$I$5,0)),$BB$10:$BB$141)</f>
        <v>#REF!</v>
      </c>
      <c r="Z262" s="181" t="e">
        <f>WORKDAY(AA262,-INDEX(AA$2:AA$5,MATCH($I262,$I$2:$I$5,0)),$BB$10:$BB$141)</f>
        <v>#REF!</v>
      </c>
      <c r="AA262" s="181" t="e">
        <f>WORKDAY(#REF!,-INDEX(#REF!,MATCH($I262,$I$2:$I$5,0)),$BB$10:$BB$141)</f>
        <v>#REF!</v>
      </c>
      <c r="AB262" s="181">
        <f>WORKDAY(AG262,0,'[36]Equipment List and MR List (3)'!$A$2:$A$80)</f>
        <v>0</v>
      </c>
      <c r="AC262" s="92" t="s">
        <v>4906</v>
      </c>
      <c r="AD262" s="93">
        <v>7</v>
      </c>
      <c r="AE262" s="182">
        <v>100</v>
      </c>
      <c r="AF262" s="95" t="e">
        <f>AB263</f>
        <v>#REF!</v>
      </c>
      <c r="AG262" s="96"/>
      <c r="AH262" s="97"/>
      <c r="AI262" s="98"/>
      <c r="AJ262" s="93" t="e">
        <f>AG262-AF262</f>
        <v>#REF!</v>
      </c>
      <c r="AK262" s="157"/>
      <c r="AL262" s="158"/>
      <c r="AM262" s="159">
        <f t="shared" ref="AM262:AW262" si="309">IF(ISERROR(LOOKUP(AM$6,$S262:$AB262,$S$9:$AB$9)),0,(LOOKUP(AM$6,$S262:$AB262,$S$9:$AB$9)))</f>
        <v>0.95</v>
      </c>
      <c r="AN262" s="160">
        <f t="shared" si="309"/>
        <v>0.95</v>
      </c>
      <c r="AO262" s="160">
        <f t="shared" si="309"/>
        <v>0.95</v>
      </c>
      <c r="AP262" s="160">
        <f t="shared" si="309"/>
        <v>0.95</v>
      </c>
      <c r="AQ262" s="160">
        <f t="shared" si="309"/>
        <v>0.95</v>
      </c>
      <c r="AR262" s="160">
        <f t="shared" si="309"/>
        <v>0.95</v>
      </c>
      <c r="AS262" s="160">
        <f t="shared" si="309"/>
        <v>0.95</v>
      </c>
      <c r="AT262" s="160">
        <f t="shared" si="309"/>
        <v>0.95</v>
      </c>
      <c r="AU262" s="160">
        <f t="shared" si="309"/>
        <v>0.95</v>
      </c>
      <c r="AV262" s="160">
        <f t="shared" si="309"/>
        <v>0.95</v>
      </c>
      <c r="AW262" s="160">
        <f ca="1" t="shared" si="309"/>
        <v>0.95</v>
      </c>
      <c r="BB262" s="161"/>
    </row>
    <row r="263" s="21" customFormat="1" ht="18" customHeight="1" spans="1:54">
      <c r="A263" s="104"/>
      <c r="B263" s="183"/>
      <c r="C263" s="106"/>
      <c r="D263" s="107" t="str">
        <f>D262</f>
        <v>PIP</v>
      </c>
      <c r="E263" s="162" t="str">
        <f>E262</f>
        <v>RFQ-054</v>
      </c>
      <c r="F263" s="163" t="str">
        <f>F262</f>
        <v>N</v>
      </c>
      <c r="G263" s="188"/>
      <c r="H263" s="191" t="str">
        <f>H262</f>
        <v>DSS &amp; SS FLANGES</v>
      </c>
      <c r="I263" s="162" t="str">
        <f>I262</f>
        <v>LD</v>
      </c>
      <c r="J263" s="163"/>
      <c r="K263" s="164"/>
      <c r="L263" s="164">
        <f>M264</f>
        <v>0.001</v>
      </c>
      <c r="M263" s="164"/>
      <c r="N263" s="162"/>
      <c r="O263" s="162"/>
      <c r="P263" s="162"/>
      <c r="Q263" s="165" t="s">
        <v>4907</v>
      </c>
      <c r="R263" s="165"/>
      <c r="S263" s="166" t="e">
        <f>S262</f>
        <v>#REF!</v>
      </c>
      <c r="T263" s="167" t="e">
        <f>T262</f>
        <v>#REF!</v>
      </c>
      <c r="U263" s="167" t="e">
        <f>WORKDAY(IF(T264="",T263,T264),INDEX(U$2:U$5,MATCH($I262,$I$2:$I$5,0)),$BB$10:$BB$141)</f>
        <v>#REF!</v>
      </c>
      <c r="V263" s="167" t="e">
        <f>WORKDAY(IF(U264="",U263,U264),INDEX(V$2:V$5,MATCH($I262,$I$2:$I$5,0)),$BB$10:$BB$141)</f>
        <v>#REF!</v>
      </c>
      <c r="W263" s="167" t="e">
        <f>WORKDAY(IF(V264="",V263,V264),INDEX(W$2:W$5,MATCH($I262,$I$2:$I$5,0)),$BB$10:$BB$141)</f>
        <v>#REF!</v>
      </c>
      <c r="X263" s="167" t="e">
        <f>WORKDAY(IF(#REF!="",#REF!,#REF!),INDEX(X$2:X$5,MATCH($I262,$I$2:$I$5,0)),$BB$10:$BB$141)</f>
        <v>#REF!</v>
      </c>
      <c r="Y263" s="167" t="e">
        <f>WORKDAY(IF(X264="",X263,X264),INDEX(Y$2:Y$5,MATCH($I262,$I$2:$I$5,0)),$BB$10:$BB$141)</f>
        <v>#REF!</v>
      </c>
      <c r="Z263" s="167" t="e">
        <f>WORKDAY(IF(Y264="",Y263,Y264),INDEX(Z$2:Z$5,MATCH($I262,$I$2:$I$5,0)),$BB$10:$BB$141)</f>
        <v>#REF!</v>
      </c>
      <c r="AA263" s="167" t="e">
        <f>WORKDAY(IF(Z264="",Z263,Z264),INDEX(AA$2:AA$5,MATCH($I262,$I$2:$I$5,0)),$BB$10:$BB$141)</f>
        <v>#REF!</v>
      </c>
      <c r="AB263" s="168" t="e">
        <f>AE262+#REF!</f>
        <v>#REF!</v>
      </c>
      <c r="AC263" s="117"/>
      <c r="AD263" s="118"/>
      <c r="AE263" s="184"/>
      <c r="AF263" s="119"/>
      <c r="AG263" s="120"/>
      <c r="AH263" s="121"/>
      <c r="AI263" s="122"/>
      <c r="AJ263" s="118"/>
      <c r="AK263" s="169"/>
      <c r="AL263" s="170"/>
      <c r="AM263" s="159">
        <f t="shared" ref="AM263:AW263" si="310">IF(ISERROR(LOOKUP(AM$6,$S263:$AB263,$S$9:$AB$9)),0,(LOOKUP(AM$6,$S263:$AB263,$S$9:$AB$9)))</f>
        <v>0</v>
      </c>
      <c r="AN263" s="160">
        <f t="shared" si="310"/>
        <v>0</v>
      </c>
      <c r="AO263" s="160">
        <f t="shared" si="310"/>
        <v>0</v>
      </c>
      <c r="AP263" s="160">
        <f t="shared" si="310"/>
        <v>0</v>
      </c>
      <c r="AQ263" s="160">
        <f t="shared" si="310"/>
        <v>0</v>
      </c>
      <c r="AR263" s="160">
        <f t="shared" si="310"/>
        <v>0</v>
      </c>
      <c r="AS263" s="160">
        <f t="shared" si="310"/>
        <v>0</v>
      </c>
      <c r="AT263" s="160">
        <f t="shared" si="310"/>
        <v>0</v>
      </c>
      <c r="AU263" s="160">
        <f t="shared" si="310"/>
        <v>0</v>
      </c>
      <c r="AV263" s="160">
        <f t="shared" si="310"/>
        <v>0</v>
      </c>
      <c r="AW263" s="160">
        <f ca="1" t="shared" si="310"/>
        <v>0</v>
      </c>
      <c r="BB263" s="161"/>
    </row>
    <row r="264" s="21" customFormat="1" ht="18" customHeight="1" spans="1:54">
      <c r="A264" s="125"/>
      <c r="B264" s="185"/>
      <c r="C264" s="127"/>
      <c r="D264" s="128" t="str">
        <f>D262</f>
        <v>PIP</v>
      </c>
      <c r="E264" s="171" t="str">
        <f>E262</f>
        <v>RFQ-054</v>
      </c>
      <c r="F264" s="172" t="str">
        <f>F262</f>
        <v>N</v>
      </c>
      <c r="G264" s="189"/>
      <c r="H264" s="192" t="str">
        <f>H262</f>
        <v>DSS &amp; SS FLANGES</v>
      </c>
      <c r="I264" s="171" t="str">
        <f>I262</f>
        <v>LD</v>
      </c>
      <c r="J264" s="172"/>
      <c r="K264" s="173"/>
      <c r="L264" s="173"/>
      <c r="M264" s="173">
        <v>0.001</v>
      </c>
      <c r="N264" s="171"/>
      <c r="O264" s="171"/>
      <c r="P264" s="171"/>
      <c r="Q264" s="174" t="s">
        <v>4908</v>
      </c>
      <c r="R264" s="174"/>
      <c r="S264" s="175"/>
      <c r="T264" s="175"/>
      <c r="U264" s="175"/>
      <c r="V264" s="175"/>
      <c r="W264" s="175"/>
      <c r="X264" s="175"/>
      <c r="Y264" s="175"/>
      <c r="Z264" s="175"/>
      <c r="AA264" s="175"/>
      <c r="AB264" s="175"/>
      <c r="AC264" s="134"/>
      <c r="AD264" s="135"/>
      <c r="AE264" s="186"/>
      <c r="AF264" s="136"/>
      <c r="AG264" s="137"/>
      <c r="AH264" s="138"/>
      <c r="AI264" s="139"/>
      <c r="AJ264" s="135"/>
      <c r="AK264" s="176"/>
      <c r="AL264" s="177"/>
      <c r="AM264" s="178">
        <f t="shared" ref="AM264:AW264" si="311">IF(ISERROR(LOOKUP(AM$6,$S264:$AB264,$S$9:$AB$9)),0,(LOOKUP(AM$6,$S264:$AB264,$S$9:$AB$9)))</f>
        <v>0</v>
      </c>
      <c r="AN264" s="179">
        <f t="shared" si="311"/>
        <v>0</v>
      </c>
      <c r="AO264" s="179">
        <f t="shared" si="311"/>
        <v>0</v>
      </c>
      <c r="AP264" s="179">
        <f t="shared" si="311"/>
        <v>0</v>
      </c>
      <c r="AQ264" s="179">
        <f t="shared" si="311"/>
        <v>0</v>
      </c>
      <c r="AR264" s="179">
        <f t="shared" si="311"/>
        <v>0</v>
      </c>
      <c r="AS264" s="179">
        <f t="shared" si="311"/>
        <v>0</v>
      </c>
      <c r="AT264" s="179">
        <f t="shared" si="311"/>
        <v>0</v>
      </c>
      <c r="AU264" s="179">
        <f t="shared" si="311"/>
        <v>0</v>
      </c>
      <c r="AV264" s="179">
        <f t="shared" si="311"/>
        <v>0</v>
      </c>
      <c r="AW264" s="179">
        <f ca="1" t="shared" si="311"/>
        <v>0</v>
      </c>
      <c r="BB264" s="161"/>
    </row>
    <row r="265" s="21" customFormat="1" ht="18" customHeight="1" spans="1:54">
      <c r="A265" s="81">
        <f>A262+1</f>
        <v>86</v>
      </c>
      <c r="B265" s="180" t="s">
        <v>4967</v>
      </c>
      <c r="C265" s="83" t="s">
        <v>4902</v>
      </c>
      <c r="D265" s="84" t="s">
        <v>4914</v>
      </c>
      <c r="E265" s="153" t="s">
        <v>4964</v>
      </c>
      <c r="F265" s="154" t="s">
        <v>72</v>
      </c>
      <c r="G265" s="187"/>
      <c r="H265" s="190" t="s">
        <v>4994</v>
      </c>
      <c r="I265" s="153" t="s">
        <v>9</v>
      </c>
      <c r="J265" s="154"/>
      <c r="K265" s="155">
        <f>M267</f>
        <v>0.001</v>
      </c>
      <c r="L265" s="155"/>
      <c r="M265" s="155"/>
      <c r="N265" s="153"/>
      <c r="O265" s="153"/>
      <c r="P265" s="153"/>
      <c r="Q265" s="156" t="s">
        <v>4905</v>
      </c>
      <c r="R265" s="156"/>
      <c r="S265" s="181" t="e">
        <f>WORKDAY(T265,-INDEX(T$2:T$5,MATCH($I265,$I$2:$I$5,0)),'[36]Equipment List and MR List (3)'!$A$2:$A$80)</f>
        <v>#REF!</v>
      </c>
      <c r="T265" s="181" t="e">
        <f>WORKDAY(U265,-INDEX(U$2:U$5,MATCH($I265,$I$2:$I$5,0)),$BB$10:$BB$141)</f>
        <v>#REF!</v>
      </c>
      <c r="U265" s="181" t="e">
        <f>WORKDAY(V265,-INDEX(V$2:V$5,MATCH($I265,$I$2:$I$5,0)),$BB$10:$BB$141)</f>
        <v>#REF!</v>
      </c>
      <c r="V265" s="181" t="e">
        <f>WORKDAY(W265,-INDEX(W$2:W$5,MATCH($I265,$I$2:$I$5,0)),$BB$10:$BB$141)</f>
        <v>#REF!</v>
      </c>
      <c r="W265" s="181" t="e">
        <f>WORKDAY(#REF!,-INDEX(#REF!,MATCH($I265,$I$2:$I$5,0)),$BB$10:$BB$141)</f>
        <v>#REF!</v>
      </c>
      <c r="X265" s="181" t="e">
        <f>WORKDAY(Y265,-INDEX(Y$2:Y$5,MATCH($I265,$I$2:$I$5,0)),$BB$10:$BB$141)</f>
        <v>#REF!</v>
      </c>
      <c r="Y265" s="181" t="e">
        <f>WORKDAY(Z265,-INDEX(Z$2:Z$5,MATCH($I265,$I$2:$I$5,0)),$BB$10:$BB$141)</f>
        <v>#REF!</v>
      </c>
      <c r="Z265" s="181" t="e">
        <f>WORKDAY(AA265,-INDEX(AA$2:AA$5,MATCH($I265,$I$2:$I$5,0)),$BB$10:$BB$141)</f>
        <v>#REF!</v>
      </c>
      <c r="AA265" s="181" t="e">
        <f>WORKDAY(#REF!,-INDEX(#REF!,MATCH($I265,$I$2:$I$5,0)),$BB$10:$BB$141)</f>
        <v>#REF!</v>
      </c>
      <c r="AB265" s="181">
        <f>WORKDAY(AG265,0,'[36]Equipment List and MR List (3)'!$A$2:$A$80)</f>
        <v>0</v>
      </c>
      <c r="AC265" s="92" t="s">
        <v>4906</v>
      </c>
      <c r="AD265" s="93">
        <v>7</v>
      </c>
      <c r="AE265" s="182">
        <v>100</v>
      </c>
      <c r="AF265" s="95" t="e">
        <f>AB266</f>
        <v>#REF!</v>
      </c>
      <c r="AG265" s="96"/>
      <c r="AH265" s="97"/>
      <c r="AI265" s="98"/>
      <c r="AJ265" s="93" t="e">
        <f>AG265-AF265</f>
        <v>#REF!</v>
      </c>
      <c r="AK265" s="157"/>
      <c r="AL265" s="158"/>
      <c r="AM265" s="159">
        <f t="shared" ref="AM265:AW265" si="312">IF(ISERROR(LOOKUP(AM$6,$S265:$AB265,$S$9:$AB$9)),0,(LOOKUP(AM$6,$S265:$AB265,$S$9:$AB$9)))</f>
        <v>0.95</v>
      </c>
      <c r="AN265" s="160">
        <f t="shared" si="312"/>
        <v>0.95</v>
      </c>
      <c r="AO265" s="160">
        <f t="shared" si="312"/>
        <v>0.95</v>
      </c>
      <c r="AP265" s="160">
        <f t="shared" si="312"/>
        <v>0.95</v>
      </c>
      <c r="AQ265" s="160">
        <f t="shared" si="312"/>
        <v>0.95</v>
      </c>
      <c r="AR265" s="160">
        <f t="shared" si="312"/>
        <v>0.95</v>
      </c>
      <c r="AS265" s="160">
        <f t="shared" si="312"/>
        <v>0.95</v>
      </c>
      <c r="AT265" s="160">
        <f t="shared" si="312"/>
        <v>0.95</v>
      </c>
      <c r="AU265" s="160">
        <f t="shared" si="312"/>
        <v>0.95</v>
      </c>
      <c r="AV265" s="160">
        <f t="shared" si="312"/>
        <v>0.95</v>
      </c>
      <c r="AW265" s="160">
        <f ca="1" t="shared" si="312"/>
        <v>0.95</v>
      </c>
      <c r="BB265" s="161"/>
    </row>
    <row r="266" s="21" customFormat="1" ht="18" customHeight="1" spans="1:54">
      <c r="A266" s="104"/>
      <c r="B266" s="183"/>
      <c r="C266" s="106"/>
      <c r="D266" s="107" t="str">
        <f>D265</f>
        <v>PIP</v>
      </c>
      <c r="E266" s="162" t="str">
        <f>E265</f>
        <v>RFQ-054</v>
      </c>
      <c r="F266" s="163" t="str">
        <f>F265</f>
        <v>N</v>
      </c>
      <c r="G266" s="188"/>
      <c r="H266" s="191" t="str">
        <f>H265</f>
        <v>GASKETS</v>
      </c>
      <c r="I266" s="162" t="str">
        <f>I265</f>
        <v>LD</v>
      </c>
      <c r="J266" s="163"/>
      <c r="K266" s="164"/>
      <c r="L266" s="164">
        <f>M267</f>
        <v>0.001</v>
      </c>
      <c r="M266" s="164"/>
      <c r="N266" s="162"/>
      <c r="O266" s="162"/>
      <c r="P266" s="162"/>
      <c r="Q266" s="165" t="s">
        <v>4907</v>
      </c>
      <c r="R266" s="165"/>
      <c r="S266" s="166" t="e">
        <f>S265</f>
        <v>#REF!</v>
      </c>
      <c r="T266" s="167" t="e">
        <f>T265</f>
        <v>#REF!</v>
      </c>
      <c r="U266" s="167" t="e">
        <f>WORKDAY(IF(T267="",T266,T267),INDEX(U$2:U$5,MATCH($I265,$I$2:$I$5,0)),$BB$10:$BB$141)</f>
        <v>#REF!</v>
      </c>
      <c r="V266" s="167" t="e">
        <f>WORKDAY(IF(U267="",U266,U267),INDEX(V$2:V$5,MATCH($I265,$I$2:$I$5,0)),$BB$10:$BB$141)</f>
        <v>#REF!</v>
      </c>
      <c r="W266" s="167" t="e">
        <f>WORKDAY(IF(V267="",V266,V267),INDEX(W$2:W$5,MATCH($I265,$I$2:$I$5,0)),$BB$10:$BB$141)</f>
        <v>#REF!</v>
      </c>
      <c r="X266" s="167" t="e">
        <f>WORKDAY(IF(#REF!="",#REF!,#REF!),INDEX(X$2:X$5,MATCH($I265,$I$2:$I$5,0)),$BB$10:$BB$141)</f>
        <v>#REF!</v>
      </c>
      <c r="Y266" s="167" t="e">
        <f>WORKDAY(IF(X267="",X266,X267),INDEX(Y$2:Y$5,MATCH($I265,$I$2:$I$5,0)),$BB$10:$BB$141)</f>
        <v>#REF!</v>
      </c>
      <c r="Z266" s="167" t="e">
        <f>WORKDAY(IF(Y267="",Y266,Y267),INDEX(Z$2:Z$5,MATCH($I265,$I$2:$I$5,0)),$BB$10:$BB$141)</f>
        <v>#REF!</v>
      </c>
      <c r="AA266" s="167" t="e">
        <f>WORKDAY(IF(Z267="",Z266,Z267),INDEX(AA$2:AA$5,MATCH($I265,$I$2:$I$5,0)),$BB$10:$BB$141)</f>
        <v>#REF!</v>
      </c>
      <c r="AB266" s="168" t="e">
        <f>AE265+#REF!</f>
        <v>#REF!</v>
      </c>
      <c r="AC266" s="117"/>
      <c r="AD266" s="118"/>
      <c r="AE266" s="184"/>
      <c r="AF266" s="119"/>
      <c r="AG266" s="120"/>
      <c r="AH266" s="121"/>
      <c r="AI266" s="122"/>
      <c r="AJ266" s="118"/>
      <c r="AK266" s="169"/>
      <c r="AL266" s="170"/>
      <c r="AM266" s="159">
        <f t="shared" ref="AM266:AW266" si="313">IF(ISERROR(LOOKUP(AM$6,$S266:$AB266,$S$9:$AB$9)),0,(LOOKUP(AM$6,$S266:$AB266,$S$9:$AB$9)))</f>
        <v>0</v>
      </c>
      <c r="AN266" s="160">
        <f t="shared" si="313"/>
        <v>0</v>
      </c>
      <c r="AO266" s="160">
        <f t="shared" si="313"/>
        <v>0</v>
      </c>
      <c r="AP266" s="160">
        <f t="shared" si="313"/>
        <v>0</v>
      </c>
      <c r="AQ266" s="160">
        <f t="shared" si="313"/>
        <v>0</v>
      </c>
      <c r="AR266" s="160">
        <f t="shared" si="313"/>
        <v>0</v>
      </c>
      <c r="AS266" s="160">
        <f t="shared" si="313"/>
        <v>0</v>
      </c>
      <c r="AT266" s="160">
        <f t="shared" si="313"/>
        <v>0</v>
      </c>
      <c r="AU266" s="160">
        <f t="shared" si="313"/>
        <v>0</v>
      </c>
      <c r="AV266" s="160">
        <f t="shared" si="313"/>
        <v>0</v>
      </c>
      <c r="AW266" s="160">
        <f ca="1" t="shared" si="313"/>
        <v>0</v>
      </c>
      <c r="BB266" s="161"/>
    </row>
    <row r="267" s="21" customFormat="1" ht="18" customHeight="1" spans="1:54">
      <c r="A267" s="125"/>
      <c r="B267" s="185"/>
      <c r="C267" s="127"/>
      <c r="D267" s="128" t="str">
        <f>D265</f>
        <v>PIP</v>
      </c>
      <c r="E267" s="171" t="str">
        <f>E265</f>
        <v>RFQ-054</v>
      </c>
      <c r="F267" s="172" t="str">
        <f>F265</f>
        <v>N</v>
      </c>
      <c r="G267" s="189"/>
      <c r="H267" s="192" t="str">
        <f>H265</f>
        <v>GASKETS</v>
      </c>
      <c r="I267" s="171" t="str">
        <f>I265</f>
        <v>LD</v>
      </c>
      <c r="J267" s="172"/>
      <c r="K267" s="173"/>
      <c r="L267" s="173"/>
      <c r="M267" s="173">
        <v>0.001</v>
      </c>
      <c r="N267" s="171"/>
      <c r="O267" s="171"/>
      <c r="P267" s="171"/>
      <c r="Q267" s="174" t="s">
        <v>4908</v>
      </c>
      <c r="R267" s="174"/>
      <c r="S267" s="175"/>
      <c r="T267" s="175"/>
      <c r="U267" s="175"/>
      <c r="V267" s="175"/>
      <c r="W267" s="175"/>
      <c r="X267" s="175"/>
      <c r="Y267" s="175"/>
      <c r="Z267" s="175"/>
      <c r="AA267" s="175"/>
      <c r="AB267" s="175"/>
      <c r="AC267" s="134"/>
      <c r="AD267" s="135"/>
      <c r="AE267" s="186"/>
      <c r="AF267" s="136"/>
      <c r="AG267" s="137"/>
      <c r="AH267" s="138"/>
      <c r="AI267" s="139"/>
      <c r="AJ267" s="135"/>
      <c r="AK267" s="176"/>
      <c r="AL267" s="177"/>
      <c r="AM267" s="178">
        <f t="shared" ref="AM267:AW267" si="314">IF(ISERROR(LOOKUP(AM$6,$S267:$AB267,$S$9:$AB$9)),0,(LOOKUP(AM$6,$S267:$AB267,$S$9:$AB$9)))</f>
        <v>0</v>
      </c>
      <c r="AN267" s="179">
        <f t="shared" si="314"/>
        <v>0</v>
      </c>
      <c r="AO267" s="179">
        <f t="shared" si="314"/>
        <v>0</v>
      </c>
      <c r="AP267" s="179">
        <f t="shared" si="314"/>
        <v>0</v>
      </c>
      <c r="AQ267" s="179">
        <f t="shared" si="314"/>
        <v>0</v>
      </c>
      <c r="AR267" s="179">
        <f t="shared" si="314"/>
        <v>0</v>
      </c>
      <c r="AS267" s="179">
        <f t="shared" si="314"/>
        <v>0</v>
      </c>
      <c r="AT267" s="179">
        <f t="shared" si="314"/>
        <v>0</v>
      </c>
      <c r="AU267" s="179">
        <f t="shared" si="314"/>
        <v>0</v>
      </c>
      <c r="AV267" s="179">
        <f t="shared" si="314"/>
        <v>0</v>
      </c>
      <c r="AW267" s="179">
        <f ca="1" t="shared" si="314"/>
        <v>0</v>
      </c>
      <c r="BB267" s="161"/>
    </row>
    <row r="268" s="21" customFormat="1" ht="18" customHeight="1" spans="1:54">
      <c r="A268" s="81">
        <f>A265+1</f>
        <v>87</v>
      </c>
      <c r="B268" s="180" t="s">
        <v>4967</v>
      </c>
      <c r="C268" s="83" t="s">
        <v>4902</v>
      </c>
      <c r="D268" s="84" t="s">
        <v>4914</v>
      </c>
      <c r="E268" s="153" t="s">
        <v>4964</v>
      </c>
      <c r="F268" s="154" t="s">
        <v>72</v>
      </c>
      <c r="G268" s="187"/>
      <c r="H268" s="190" t="s">
        <v>4995</v>
      </c>
      <c r="I268" s="153" t="s">
        <v>9</v>
      </c>
      <c r="J268" s="154"/>
      <c r="K268" s="155">
        <f>M270</f>
        <v>0.001</v>
      </c>
      <c r="L268" s="155"/>
      <c r="M268" s="155"/>
      <c r="N268" s="153"/>
      <c r="O268" s="153"/>
      <c r="P268" s="153"/>
      <c r="Q268" s="156" t="s">
        <v>4905</v>
      </c>
      <c r="R268" s="156"/>
      <c r="S268" s="181" t="e">
        <f>WORKDAY(T268,-INDEX(T$2:T$5,MATCH($I268,$I$2:$I$5,0)),'[36]Equipment List and MR List (3)'!$A$2:$A$80)</f>
        <v>#REF!</v>
      </c>
      <c r="T268" s="181" t="e">
        <f>WORKDAY(U268,-INDEX(U$2:U$5,MATCH($I268,$I$2:$I$5,0)),$BB$10:$BB$141)</f>
        <v>#REF!</v>
      </c>
      <c r="U268" s="181" t="e">
        <f>WORKDAY(V268,-INDEX(V$2:V$5,MATCH($I268,$I$2:$I$5,0)),$BB$10:$BB$141)</f>
        <v>#REF!</v>
      </c>
      <c r="V268" s="181" t="e">
        <f>WORKDAY(W268,-INDEX(W$2:W$5,MATCH($I268,$I$2:$I$5,0)),$BB$10:$BB$141)</f>
        <v>#REF!</v>
      </c>
      <c r="W268" s="181" t="e">
        <f>WORKDAY(#REF!,-INDEX(#REF!,MATCH($I268,$I$2:$I$5,0)),$BB$10:$BB$141)</f>
        <v>#REF!</v>
      </c>
      <c r="X268" s="181" t="e">
        <f>WORKDAY(Y268,-INDEX(Y$2:Y$5,MATCH($I268,$I$2:$I$5,0)),$BB$10:$BB$141)</f>
        <v>#REF!</v>
      </c>
      <c r="Y268" s="181" t="e">
        <f>WORKDAY(Z268,-INDEX(Z$2:Z$5,MATCH($I268,$I$2:$I$5,0)),$BB$10:$BB$141)</f>
        <v>#REF!</v>
      </c>
      <c r="Z268" s="181" t="e">
        <f>WORKDAY(AA268,-INDEX(AA$2:AA$5,MATCH($I268,$I$2:$I$5,0)),$BB$10:$BB$141)</f>
        <v>#REF!</v>
      </c>
      <c r="AA268" s="181" t="e">
        <f>WORKDAY(#REF!,-INDEX(#REF!,MATCH($I268,$I$2:$I$5,0)),$BB$10:$BB$141)</f>
        <v>#REF!</v>
      </c>
      <c r="AB268" s="181">
        <f>WORKDAY(AG268,0,'[36]Equipment List and MR List (3)'!$A$2:$A$80)</f>
        <v>0</v>
      </c>
      <c r="AC268" s="92" t="s">
        <v>4906</v>
      </c>
      <c r="AD268" s="93">
        <v>7</v>
      </c>
      <c r="AE268" s="182">
        <v>100</v>
      </c>
      <c r="AF268" s="95" t="e">
        <f>AB269</f>
        <v>#REF!</v>
      </c>
      <c r="AG268" s="96"/>
      <c r="AH268" s="97"/>
      <c r="AI268" s="98"/>
      <c r="AJ268" s="93" t="e">
        <f>AG268-AF268</f>
        <v>#REF!</v>
      </c>
      <c r="AK268" s="157"/>
      <c r="AL268" s="158"/>
      <c r="AM268" s="159">
        <f t="shared" ref="AM268:AW268" si="315">IF(ISERROR(LOOKUP(AM$6,$S268:$AB268,$S$9:$AB$9)),0,(LOOKUP(AM$6,$S268:$AB268,$S$9:$AB$9)))</f>
        <v>0.95</v>
      </c>
      <c r="AN268" s="160">
        <f t="shared" si="315"/>
        <v>0.95</v>
      </c>
      <c r="AO268" s="160">
        <f t="shared" si="315"/>
        <v>0.95</v>
      </c>
      <c r="AP268" s="160">
        <f t="shared" si="315"/>
        <v>0.95</v>
      </c>
      <c r="AQ268" s="160">
        <f t="shared" si="315"/>
        <v>0.95</v>
      </c>
      <c r="AR268" s="160">
        <f t="shared" si="315"/>
        <v>0.95</v>
      </c>
      <c r="AS268" s="160">
        <f t="shared" si="315"/>
        <v>0.95</v>
      </c>
      <c r="AT268" s="160">
        <f t="shared" si="315"/>
        <v>0.95</v>
      </c>
      <c r="AU268" s="160">
        <f t="shared" si="315"/>
        <v>0.95</v>
      </c>
      <c r="AV268" s="160">
        <f t="shared" si="315"/>
        <v>0.95</v>
      </c>
      <c r="AW268" s="160">
        <f ca="1" t="shared" si="315"/>
        <v>0.95</v>
      </c>
      <c r="BB268" s="161"/>
    </row>
    <row r="269" s="21" customFormat="1" ht="18" customHeight="1" spans="1:54">
      <c r="A269" s="104"/>
      <c r="B269" s="183"/>
      <c r="C269" s="106"/>
      <c r="D269" s="107" t="str">
        <f>D268</f>
        <v>PIP</v>
      </c>
      <c r="E269" s="162" t="str">
        <f>E268</f>
        <v>RFQ-054</v>
      </c>
      <c r="F269" s="163" t="str">
        <f>F268</f>
        <v>N</v>
      </c>
      <c r="G269" s="188"/>
      <c r="H269" s="191" t="str">
        <f>H268</f>
        <v>SEAMLESS CS PIPE</v>
      </c>
      <c r="I269" s="162" t="str">
        <f>I268</f>
        <v>LD</v>
      </c>
      <c r="J269" s="163"/>
      <c r="K269" s="164"/>
      <c r="L269" s="164">
        <f>M270</f>
        <v>0.001</v>
      </c>
      <c r="M269" s="164"/>
      <c r="N269" s="162"/>
      <c r="O269" s="162"/>
      <c r="P269" s="162"/>
      <c r="Q269" s="165" t="s">
        <v>4907</v>
      </c>
      <c r="R269" s="165"/>
      <c r="S269" s="166" t="e">
        <f>S268</f>
        <v>#REF!</v>
      </c>
      <c r="T269" s="167" t="e">
        <f>T268</f>
        <v>#REF!</v>
      </c>
      <c r="U269" s="167" t="e">
        <f>WORKDAY(IF(T270="",T269,T270),INDEX(U$2:U$5,MATCH($I268,$I$2:$I$5,0)),$BB$10:$BB$141)</f>
        <v>#REF!</v>
      </c>
      <c r="V269" s="167" t="e">
        <f>WORKDAY(IF(U270="",U269,U270),INDEX(V$2:V$5,MATCH($I268,$I$2:$I$5,0)),$BB$10:$BB$141)</f>
        <v>#REF!</v>
      </c>
      <c r="W269" s="167" t="e">
        <f>WORKDAY(IF(V270="",V269,V270),INDEX(W$2:W$5,MATCH($I268,$I$2:$I$5,0)),$BB$10:$BB$141)</f>
        <v>#REF!</v>
      </c>
      <c r="X269" s="167" t="e">
        <f>WORKDAY(IF(#REF!="",#REF!,#REF!),INDEX(X$2:X$5,MATCH($I268,$I$2:$I$5,0)),$BB$10:$BB$141)</f>
        <v>#REF!</v>
      </c>
      <c r="Y269" s="167" t="e">
        <f>WORKDAY(IF(X270="",X269,X270),INDEX(Y$2:Y$5,MATCH($I268,$I$2:$I$5,0)),$BB$10:$BB$141)</f>
        <v>#REF!</v>
      </c>
      <c r="Z269" s="167" t="e">
        <f>WORKDAY(IF(Y270="",Y269,Y270),INDEX(Z$2:Z$5,MATCH($I268,$I$2:$I$5,0)),$BB$10:$BB$141)</f>
        <v>#REF!</v>
      </c>
      <c r="AA269" s="167" t="e">
        <f>WORKDAY(IF(Z270="",Z269,Z270),INDEX(AA$2:AA$5,MATCH($I268,$I$2:$I$5,0)),$BB$10:$BB$141)</f>
        <v>#REF!</v>
      </c>
      <c r="AB269" s="168" t="e">
        <f>AE268+#REF!</f>
        <v>#REF!</v>
      </c>
      <c r="AC269" s="117"/>
      <c r="AD269" s="118"/>
      <c r="AE269" s="184"/>
      <c r="AF269" s="119"/>
      <c r="AG269" s="120"/>
      <c r="AH269" s="121"/>
      <c r="AI269" s="122"/>
      <c r="AJ269" s="118"/>
      <c r="AK269" s="169"/>
      <c r="AL269" s="170"/>
      <c r="AM269" s="159">
        <f t="shared" ref="AM269:AW269" si="316">IF(ISERROR(LOOKUP(AM$6,$S269:$AB269,$S$9:$AB$9)),0,(LOOKUP(AM$6,$S269:$AB269,$S$9:$AB$9)))</f>
        <v>0</v>
      </c>
      <c r="AN269" s="160">
        <f t="shared" si="316"/>
        <v>0</v>
      </c>
      <c r="AO269" s="160">
        <f t="shared" si="316"/>
        <v>0</v>
      </c>
      <c r="AP269" s="160">
        <f t="shared" si="316"/>
        <v>0</v>
      </c>
      <c r="AQ269" s="160">
        <f t="shared" si="316"/>
        <v>0</v>
      </c>
      <c r="AR269" s="160">
        <f t="shared" si="316"/>
        <v>0</v>
      </c>
      <c r="AS269" s="160">
        <f t="shared" si="316"/>
        <v>0</v>
      </c>
      <c r="AT269" s="160">
        <f t="shared" si="316"/>
        <v>0</v>
      </c>
      <c r="AU269" s="160">
        <f t="shared" si="316"/>
        <v>0</v>
      </c>
      <c r="AV269" s="160">
        <f t="shared" si="316"/>
        <v>0</v>
      </c>
      <c r="AW269" s="160">
        <f ca="1" t="shared" si="316"/>
        <v>0</v>
      </c>
      <c r="BB269" s="161"/>
    </row>
    <row r="270" s="21" customFormat="1" ht="18" customHeight="1" spans="1:54">
      <c r="A270" s="125"/>
      <c r="B270" s="185"/>
      <c r="C270" s="127"/>
      <c r="D270" s="128" t="str">
        <f>D268</f>
        <v>PIP</v>
      </c>
      <c r="E270" s="171" t="str">
        <f>E268</f>
        <v>RFQ-054</v>
      </c>
      <c r="F270" s="172" t="str">
        <f>F268</f>
        <v>N</v>
      </c>
      <c r="G270" s="189"/>
      <c r="H270" s="192" t="str">
        <f>H268</f>
        <v>SEAMLESS CS PIPE</v>
      </c>
      <c r="I270" s="171" t="str">
        <f>I268</f>
        <v>LD</v>
      </c>
      <c r="J270" s="172"/>
      <c r="K270" s="173"/>
      <c r="L270" s="173"/>
      <c r="M270" s="173">
        <v>0.001</v>
      </c>
      <c r="N270" s="171"/>
      <c r="O270" s="171"/>
      <c r="P270" s="171"/>
      <c r="Q270" s="174" t="s">
        <v>4908</v>
      </c>
      <c r="R270" s="174"/>
      <c r="S270" s="175"/>
      <c r="T270" s="175"/>
      <c r="U270" s="175"/>
      <c r="V270" s="175"/>
      <c r="W270" s="175"/>
      <c r="X270" s="175"/>
      <c r="Y270" s="175"/>
      <c r="Z270" s="175"/>
      <c r="AA270" s="175"/>
      <c r="AB270" s="175"/>
      <c r="AC270" s="134"/>
      <c r="AD270" s="135"/>
      <c r="AE270" s="186"/>
      <c r="AF270" s="136"/>
      <c r="AG270" s="137"/>
      <c r="AH270" s="138"/>
      <c r="AI270" s="139"/>
      <c r="AJ270" s="135"/>
      <c r="AK270" s="176"/>
      <c r="AL270" s="177"/>
      <c r="AM270" s="178">
        <f t="shared" ref="AM270:AW270" si="317">IF(ISERROR(LOOKUP(AM$6,$S270:$AB270,$S$9:$AB$9)),0,(LOOKUP(AM$6,$S270:$AB270,$S$9:$AB$9)))</f>
        <v>0</v>
      </c>
      <c r="AN270" s="179">
        <f t="shared" si="317"/>
        <v>0</v>
      </c>
      <c r="AO270" s="179">
        <f t="shared" si="317"/>
        <v>0</v>
      </c>
      <c r="AP270" s="179">
        <f t="shared" si="317"/>
        <v>0</v>
      </c>
      <c r="AQ270" s="179">
        <f t="shared" si="317"/>
        <v>0</v>
      </c>
      <c r="AR270" s="179">
        <f t="shared" si="317"/>
        <v>0</v>
      </c>
      <c r="AS270" s="179">
        <f t="shared" si="317"/>
        <v>0</v>
      </c>
      <c r="AT270" s="179">
        <f t="shared" si="317"/>
        <v>0</v>
      </c>
      <c r="AU270" s="179">
        <f t="shared" si="317"/>
        <v>0</v>
      </c>
      <c r="AV270" s="179">
        <f t="shared" si="317"/>
        <v>0</v>
      </c>
      <c r="AW270" s="179">
        <f ca="1" t="shared" si="317"/>
        <v>0</v>
      </c>
      <c r="BB270" s="161"/>
    </row>
    <row r="271" s="21" customFormat="1" ht="18" customHeight="1" spans="1:54">
      <c r="A271" s="81">
        <f>A268+1</f>
        <v>88</v>
      </c>
      <c r="B271" s="180" t="s">
        <v>4967</v>
      </c>
      <c r="C271" s="83" t="s">
        <v>4902</v>
      </c>
      <c r="D271" s="84" t="s">
        <v>4914</v>
      </c>
      <c r="E271" s="153" t="s">
        <v>4964</v>
      </c>
      <c r="F271" s="154" t="s">
        <v>72</v>
      </c>
      <c r="G271" s="187"/>
      <c r="H271" s="190" t="s">
        <v>4996</v>
      </c>
      <c r="I271" s="153" t="s">
        <v>9</v>
      </c>
      <c r="J271" s="154"/>
      <c r="K271" s="155">
        <f>M273</f>
        <v>0.001</v>
      </c>
      <c r="L271" s="155"/>
      <c r="M271" s="155"/>
      <c r="N271" s="153"/>
      <c r="O271" s="153"/>
      <c r="P271" s="153"/>
      <c r="Q271" s="156" t="s">
        <v>4905</v>
      </c>
      <c r="R271" s="156"/>
      <c r="S271" s="181" t="e">
        <f>WORKDAY(T271,-INDEX(T$2:T$5,MATCH($I271,$I$2:$I$5,0)),'[36]Equipment List and MR List (3)'!$A$2:$A$80)</f>
        <v>#REF!</v>
      </c>
      <c r="T271" s="181" t="e">
        <f>WORKDAY(U271,-INDEX(U$2:U$5,MATCH($I271,$I$2:$I$5,0)),$BB$10:$BB$141)</f>
        <v>#REF!</v>
      </c>
      <c r="U271" s="181" t="e">
        <f>WORKDAY(V271,-INDEX(V$2:V$5,MATCH($I271,$I$2:$I$5,0)),$BB$10:$BB$141)</f>
        <v>#REF!</v>
      </c>
      <c r="V271" s="181" t="e">
        <f>WORKDAY(W271,-INDEX(W$2:W$5,MATCH($I271,$I$2:$I$5,0)),$BB$10:$BB$141)</f>
        <v>#REF!</v>
      </c>
      <c r="W271" s="181" t="e">
        <f>WORKDAY(#REF!,-INDEX(#REF!,MATCH($I271,$I$2:$I$5,0)),$BB$10:$BB$141)</f>
        <v>#REF!</v>
      </c>
      <c r="X271" s="181" t="e">
        <f>WORKDAY(Y271,-INDEX(Y$2:Y$5,MATCH($I271,$I$2:$I$5,0)),$BB$10:$BB$141)</f>
        <v>#REF!</v>
      </c>
      <c r="Y271" s="181" t="e">
        <f>WORKDAY(Z271,-INDEX(Z$2:Z$5,MATCH($I271,$I$2:$I$5,0)),$BB$10:$BB$141)</f>
        <v>#REF!</v>
      </c>
      <c r="Z271" s="181" t="e">
        <f>WORKDAY(AA271,-INDEX(AA$2:AA$5,MATCH($I271,$I$2:$I$5,0)),$BB$10:$BB$141)</f>
        <v>#REF!</v>
      </c>
      <c r="AA271" s="181" t="e">
        <f>WORKDAY(#REF!,-INDEX(#REF!,MATCH($I271,$I$2:$I$5,0)),$BB$10:$BB$141)</f>
        <v>#REF!</v>
      </c>
      <c r="AB271" s="181">
        <f>WORKDAY(AG271,0,'[36]Equipment List and MR List (3)'!$A$2:$A$80)</f>
        <v>0</v>
      </c>
      <c r="AC271" s="92" t="s">
        <v>4906</v>
      </c>
      <c r="AD271" s="93">
        <v>7</v>
      </c>
      <c r="AE271" s="182">
        <v>100</v>
      </c>
      <c r="AF271" s="95" t="e">
        <f>AB272</f>
        <v>#REF!</v>
      </c>
      <c r="AG271" s="96"/>
      <c r="AH271" s="97"/>
      <c r="AI271" s="98"/>
      <c r="AJ271" s="93" t="e">
        <f>AG271-AF271</f>
        <v>#REF!</v>
      </c>
      <c r="AK271" s="157"/>
      <c r="AL271" s="158"/>
      <c r="AM271" s="159">
        <f t="shared" ref="AM271:AW271" si="318">IF(ISERROR(LOOKUP(AM$6,$S271:$AB271,$S$9:$AB$9)),0,(LOOKUP(AM$6,$S271:$AB271,$S$9:$AB$9)))</f>
        <v>0.95</v>
      </c>
      <c r="AN271" s="160">
        <f t="shared" si="318"/>
        <v>0.95</v>
      </c>
      <c r="AO271" s="160">
        <f t="shared" si="318"/>
        <v>0.95</v>
      </c>
      <c r="AP271" s="160">
        <f t="shared" si="318"/>
        <v>0.95</v>
      </c>
      <c r="AQ271" s="160">
        <f t="shared" si="318"/>
        <v>0.95</v>
      </c>
      <c r="AR271" s="160">
        <f t="shared" si="318"/>
        <v>0.95</v>
      </c>
      <c r="AS271" s="160">
        <f t="shared" si="318"/>
        <v>0.95</v>
      </c>
      <c r="AT271" s="160">
        <f t="shared" si="318"/>
        <v>0.95</v>
      </c>
      <c r="AU271" s="160">
        <f t="shared" si="318"/>
        <v>0.95</v>
      </c>
      <c r="AV271" s="160">
        <f t="shared" si="318"/>
        <v>0.95</v>
      </c>
      <c r="AW271" s="160">
        <f ca="1" t="shared" si="318"/>
        <v>0.95</v>
      </c>
      <c r="BB271" s="161"/>
    </row>
    <row r="272" s="21" customFormat="1" ht="18" customHeight="1" spans="1:54">
      <c r="A272" s="104"/>
      <c r="B272" s="183"/>
      <c r="C272" s="106"/>
      <c r="D272" s="107" t="str">
        <f>D271</f>
        <v>PIP</v>
      </c>
      <c r="E272" s="162" t="str">
        <f>E271</f>
        <v>RFQ-054</v>
      </c>
      <c r="F272" s="163" t="str">
        <f>F271</f>
        <v>N</v>
      </c>
      <c r="G272" s="188"/>
      <c r="H272" s="191" t="str">
        <f>H271</f>
        <v>SEAMLESS SS &amp; DSS STEEL</v>
      </c>
      <c r="I272" s="162" t="str">
        <f>I271</f>
        <v>LD</v>
      </c>
      <c r="J272" s="163"/>
      <c r="K272" s="164"/>
      <c r="L272" s="164">
        <f>M273</f>
        <v>0.001</v>
      </c>
      <c r="M272" s="164"/>
      <c r="N272" s="162"/>
      <c r="O272" s="162"/>
      <c r="P272" s="162"/>
      <c r="Q272" s="165" t="s">
        <v>4907</v>
      </c>
      <c r="R272" s="165"/>
      <c r="S272" s="166" t="e">
        <f>S271</f>
        <v>#REF!</v>
      </c>
      <c r="T272" s="167" t="e">
        <f>T271</f>
        <v>#REF!</v>
      </c>
      <c r="U272" s="167" t="e">
        <f>WORKDAY(IF(T273="",T272,T273),INDEX(U$2:U$5,MATCH($I271,$I$2:$I$5,0)),$BB$10:$BB$141)</f>
        <v>#REF!</v>
      </c>
      <c r="V272" s="167" t="e">
        <f>WORKDAY(IF(U273="",U272,U273),INDEX(V$2:V$5,MATCH($I271,$I$2:$I$5,0)),$BB$10:$BB$141)</f>
        <v>#REF!</v>
      </c>
      <c r="W272" s="167" t="e">
        <f>WORKDAY(IF(V273="",V272,V273),INDEX(W$2:W$5,MATCH($I271,$I$2:$I$5,0)),$BB$10:$BB$141)</f>
        <v>#REF!</v>
      </c>
      <c r="X272" s="167" t="e">
        <f>WORKDAY(IF(#REF!="",#REF!,#REF!),INDEX(X$2:X$5,MATCH($I271,$I$2:$I$5,0)),$BB$10:$BB$141)</f>
        <v>#REF!</v>
      </c>
      <c r="Y272" s="167" t="e">
        <f>WORKDAY(IF(X273="",X272,X273),INDEX(Y$2:Y$5,MATCH($I271,$I$2:$I$5,0)),$BB$10:$BB$141)</f>
        <v>#REF!</v>
      </c>
      <c r="Z272" s="167" t="e">
        <f>WORKDAY(IF(Y273="",Y272,Y273),INDEX(Z$2:Z$5,MATCH($I271,$I$2:$I$5,0)),$BB$10:$BB$141)</f>
        <v>#REF!</v>
      </c>
      <c r="AA272" s="167" t="e">
        <f>WORKDAY(IF(Z273="",Z272,Z273),INDEX(AA$2:AA$5,MATCH($I271,$I$2:$I$5,0)),$BB$10:$BB$141)</f>
        <v>#REF!</v>
      </c>
      <c r="AB272" s="168" t="e">
        <f>AE271+#REF!</f>
        <v>#REF!</v>
      </c>
      <c r="AC272" s="117"/>
      <c r="AD272" s="118"/>
      <c r="AE272" s="184"/>
      <c r="AF272" s="119"/>
      <c r="AG272" s="120"/>
      <c r="AH272" s="121"/>
      <c r="AI272" s="122"/>
      <c r="AJ272" s="118"/>
      <c r="AK272" s="169"/>
      <c r="AL272" s="170"/>
      <c r="AM272" s="159">
        <f t="shared" ref="AM272:AW272" si="319">IF(ISERROR(LOOKUP(AM$6,$S272:$AB272,$S$9:$AB$9)),0,(LOOKUP(AM$6,$S272:$AB272,$S$9:$AB$9)))</f>
        <v>0</v>
      </c>
      <c r="AN272" s="160">
        <f t="shared" si="319"/>
        <v>0</v>
      </c>
      <c r="AO272" s="160">
        <f t="shared" si="319"/>
        <v>0</v>
      </c>
      <c r="AP272" s="160">
        <f t="shared" si="319"/>
        <v>0</v>
      </c>
      <c r="AQ272" s="160">
        <f t="shared" si="319"/>
        <v>0</v>
      </c>
      <c r="AR272" s="160">
        <f t="shared" si="319"/>
        <v>0</v>
      </c>
      <c r="AS272" s="160">
        <f t="shared" si="319"/>
        <v>0</v>
      </c>
      <c r="AT272" s="160">
        <f t="shared" si="319"/>
        <v>0</v>
      </c>
      <c r="AU272" s="160">
        <f t="shared" si="319"/>
        <v>0</v>
      </c>
      <c r="AV272" s="160">
        <f t="shared" si="319"/>
        <v>0</v>
      </c>
      <c r="AW272" s="160">
        <f ca="1" t="shared" si="319"/>
        <v>0</v>
      </c>
      <c r="BB272" s="161"/>
    </row>
    <row r="273" s="21" customFormat="1" ht="18" customHeight="1" spans="1:54">
      <c r="A273" s="125"/>
      <c r="B273" s="185"/>
      <c r="C273" s="127"/>
      <c r="D273" s="128" t="str">
        <f>D271</f>
        <v>PIP</v>
      </c>
      <c r="E273" s="171" t="str">
        <f>E271</f>
        <v>RFQ-054</v>
      </c>
      <c r="F273" s="172" t="str">
        <f>F271</f>
        <v>N</v>
      </c>
      <c r="G273" s="189"/>
      <c r="H273" s="192" t="str">
        <f>H271</f>
        <v>SEAMLESS SS &amp; DSS STEEL</v>
      </c>
      <c r="I273" s="171" t="str">
        <f>I271</f>
        <v>LD</v>
      </c>
      <c r="J273" s="172"/>
      <c r="K273" s="173"/>
      <c r="L273" s="173"/>
      <c r="M273" s="173">
        <v>0.001</v>
      </c>
      <c r="N273" s="171"/>
      <c r="O273" s="171"/>
      <c r="P273" s="171"/>
      <c r="Q273" s="174" t="s">
        <v>4908</v>
      </c>
      <c r="R273" s="174"/>
      <c r="S273" s="175"/>
      <c r="T273" s="175"/>
      <c r="U273" s="175"/>
      <c r="V273" s="175"/>
      <c r="W273" s="175"/>
      <c r="X273" s="175"/>
      <c r="Y273" s="175"/>
      <c r="Z273" s="175"/>
      <c r="AA273" s="175"/>
      <c r="AB273" s="175"/>
      <c r="AC273" s="134"/>
      <c r="AD273" s="135"/>
      <c r="AE273" s="186"/>
      <c r="AF273" s="136"/>
      <c r="AG273" s="137"/>
      <c r="AH273" s="138"/>
      <c r="AI273" s="139"/>
      <c r="AJ273" s="135"/>
      <c r="AK273" s="176"/>
      <c r="AL273" s="177"/>
      <c r="AM273" s="178">
        <f t="shared" ref="AM273:AW273" si="320">IF(ISERROR(LOOKUP(AM$6,$S273:$AB273,$S$9:$AB$9)),0,(LOOKUP(AM$6,$S273:$AB273,$S$9:$AB$9)))</f>
        <v>0</v>
      </c>
      <c r="AN273" s="179">
        <f t="shared" si="320"/>
        <v>0</v>
      </c>
      <c r="AO273" s="179">
        <f t="shared" si="320"/>
        <v>0</v>
      </c>
      <c r="AP273" s="179">
        <f t="shared" si="320"/>
        <v>0</v>
      </c>
      <c r="AQ273" s="179">
        <f t="shared" si="320"/>
        <v>0</v>
      </c>
      <c r="AR273" s="179">
        <f t="shared" si="320"/>
        <v>0</v>
      </c>
      <c r="AS273" s="179">
        <f t="shared" si="320"/>
        <v>0</v>
      </c>
      <c r="AT273" s="179">
        <f t="shared" si="320"/>
        <v>0</v>
      </c>
      <c r="AU273" s="179">
        <f t="shared" si="320"/>
        <v>0</v>
      </c>
      <c r="AV273" s="179">
        <f t="shared" si="320"/>
        <v>0</v>
      </c>
      <c r="AW273" s="179">
        <f ca="1" t="shared" si="320"/>
        <v>0</v>
      </c>
      <c r="BB273" s="161"/>
    </row>
    <row r="274" s="21" customFormat="1" ht="18" customHeight="1" spans="1:54">
      <c r="A274" s="81">
        <f>A271+1</f>
        <v>89</v>
      </c>
      <c r="B274" s="180" t="s">
        <v>4967</v>
      </c>
      <c r="C274" s="83" t="s">
        <v>4902</v>
      </c>
      <c r="D274" s="84" t="s">
        <v>4914</v>
      </c>
      <c r="E274" s="153" t="s">
        <v>4964</v>
      </c>
      <c r="F274" s="154" t="s">
        <v>72</v>
      </c>
      <c r="G274" s="187"/>
      <c r="H274" s="190" t="s">
        <v>4997</v>
      </c>
      <c r="I274" s="153" t="s">
        <v>9</v>
      </c>
      <c r="J274" s="154"/>
      <c r="K274" s="155">
        <f>M276</f>
        <v>0.001</v>
      </c>
      <c r="L274" s="155"/>
      <c r="M274" s="155"/>
      <c r="N274" s="153"/>
      <c r="O274" s="153"/>
      <c r="P274" s="153"/>
      <c r="Q274" s="156" t="s">
        <v>4905</v>
      </c>
      <c r="R274" s="156"/>
      <c r="S274" s="181" t="e">
        <f>WORKDAY(T274,-INDEX(T$2:T$5,MATCH($I274,$I$2:$I$5,0)),'[36]Equipment List and MR List (3)'!$A$2:$A$80)</f>
        <v>#REF!</v>
      </c>
      <c r="T274" s="181" t="e">
        <f>WORKDAY(U274,-INDEX(U$2:U$5,MATCH($I274,$I$2:$I$5,0)),$BB$10:$BB$141)</f>
        <v>#REF!</v>
      </c>
      <c r="U274" s="181" t="e">
        <f>WORKDAY(V274,-INDEX(V$2:V$5,MATCH($I274,$I$2:$I$5,0)),$BB$10:$BB$141)</f>
        <v>#REF!</v>
      </c>
      <c r="V274" s="181" t="e">
        <f>WORKDAY(W274,-INDEX(W$2:W$5,MATCH($I274,$I$2:$I$5,0)),$BB$10:$BB$141)</f>
        <v>#REF!</v>
      </c>
      <c r="W274" s="181" t="e">
        <f>WORKDAY(#REF!,-INDEX(#REF!,MATCH($I274,$I$2:$I$5,0)),$BB$10:$BB$141)</f>
        <v>#REF!</v>
      </c>
      <c r="X274" s="181" t="e">
        <f>WORKDAY(Y274,-INDEX(Y$2:Y$5,MATCH($I274,$I$2:$I$5,0)),$BB$10:$BB$141)</f>
        <v>#REF!</v>
      </c>
      <c r="Y274" s="181" t="e">
        <f>WORKDAY(Z274,-INDEX(Z$2:Z$5,MATCH($I274,$I$2:$I$5,0)),$BB$10:$BB$141)</f>
        <v>#REF!</v>
      </c>
      <c r="Z274" s="181" t="e">
        <f>WORKDAY(AA274,-INDEX(AA$2:AA$5,MATCH($I274,$I$2:$I$5,0)),$BB$10:$BB$141)</f>
        <v>#REF!</v>
      </c>
      <c r="AA274" s="181" t="e">
        <f>WORKDAY(#REF!,-INDEX(#REF!,MATCH($I274,$I$2:$I$5,0)),$BB$10:$BB$141)</f>
        <v>#REF!</v>
      </c>
      <c r="AB274" s="181">
        <f>WORKDAY(AG274,0,'[36]Equipment List and MR List (3)'!$A$2:$A$80)</f>
        <v>0</v>
      </c>
      <c r="AC274" s="92" t="s">
        <v>4906</v>
      </c>
      <c r="AD274" s="93">
        <v>7</v>
      </c>
      <c r="AE274" s="182">
        <v>121</v>
      </c>
      <c r="AF274" s="95" t="e">
        <f>AB275</f>
        <v>#REF!</v>
      </c>
      <c r="AG274" s="96"/>
      <c r="AH274" s="97"/>
      <c r="AI274" s="98"/>
      <c r="AJ274" s="93" t="e">
        <f>AG274-AF274</f>
        <v>#REF!</v>
      </c>
      <c r="AK274" s="157"/>
      <c r="AL274" s="158"/>
      <c r="AM274" s="159">
        <f t="shared" ref="AM274:AW274" si="321">IF(ISERROR(LOOKUP(AM$6,$S274:$AB274,$S$9:$AB$9)),0,(LOOKUP(AM$6,$S274:$AB274,$S$9:$AB$9)))</f>
        <v>0.95</v>
      </c>
      <c r="AN274" s="160">
        <f t="shared" si="321"/>
        <v>0.95</v>
      </c>
      <c r="AO274" s="160">
        <f t="shared" si="321"/>
        <v>0.95</v>
      </c>
      <c r="AP274" s="160">
        <f t="shared" si="321"/>
        <v>0.95</v>
      </c>
      <c r="AQ274" s="160">
        <f t="shared" si="321"/>
        <v>0.95</v>
      </c>
      <c r="AR274" s="160">
        <f t="shared" si="321"/>
        <v>0.95</v>
      </c>
      <c r="AS274" s="160">
        <f t="shared" si="321"/>
        <v>0.95</v>
      </c>
      <c r="AT274" s="160">
        <f t="shared" si="321"/>
        <v>0.95</v>
      </c>
      <c r="AU274" s="160">
        <f t="shared" si="321"/>
        <v>0.95</v>
      </c>
      <c r="AV274" s="160">
        <f t="shared" si="321"/>
        <v>0.95</v>
      </c>
      <c r="AW274" s="160">
        <f ca="1" t="shared" si="321"/>
        <v>0.95</v>
      </c>
      <c r="BB274" s="161"/>
    </row>
    <row r="275" s="21" customFormat="1" ht="18" customHeight="1" spans="1:54">
      <c r="A275" s="104"/>
      <c r="B275" s="183"/>
      <c r="C275" s="106"/>
      <c r="D275" s="107" t="str">
        <f>D274</f>
        <v>PIP</v>
      </c>
      <c r="E275" s="162" t="str">
        <f>E274</f>
        <v>RFQ-054</v>
      </c>
      <c r="F275" s="163" t="str">
        <f>F274</f>
        <v>N</v>
      </c>
      <c r="G275" s="188"/>
      <c r="H275" s="191" t="str">
        <f>H274</f>
        <v>CLAMP Type Connectors</v>
      </c>
      <c r="I275" s="162" t="str">
        <f>I274</f>
        <v>LD</v>
      </c>
      <c r="J275" s="163"/>
      <c r="K275" s="164"/>
      <c r="L275" s="164">
        <f>M276</f>
        <v>0.001</v>
      </c>
      <c r="M275" s="164"/>
      <c r="N275" s="162"/>
      <c r="O275" s="162"/>
      <c r="P275" s="162"/>
      <c r="Q275" s="165" t="s">
        <v>4907</v>
      </c>
      <c r="R275" s="165"/>
      <c r="S275" s="166" t="e">
        <f>S274</f>
        <v>#REF!</v>
      </c>
      <c r="T275" s="167" t="e">
        <f>T274</f>
        <v>#REF!</v>
      </c>
      <c r="U275" s="167" t="e">
        <f>WORKDAY(IF(T276="",T275,T276),INDEX(U$2:U$5,MATCH($I274,$I$2:$I$5,0)),$BB$10:$BB$141)</f>
        <v>#REF!</v>
      </c>
      <c r="V275" s="167" t="e">
        <f>WORKDAY(IF(U276="",U275,U276),INDEX(V$2:V$5,MATCH($I274,$I$2:$I$5,0)),$BB$10:$BB$141)</f>
        <v>#REF!</v>
      </c>
      <c r="W275" s="167" t="e">
        <f>WORKDAY(IF(V276="",V275,V276),INDEX(W$2:W$5,MATCH($I274,$I$2:$I$5,0)),$BB$10:$BB$141)</f>
        <v>#REF!</v>
      </c>
      <c r="X275" s="167" t="e">
        <f>WORKDAY(IF(#REF!="",#REF!,#REF!),INDEX(X$2:X$5,MATCH($I274,$I$2:$I$5,0)),$BB$10:$BB$141)</f>
        <v>#REF!</v>
      </c>
      <c r="Y275" s="167" t="e">
        <f>WORKDAY(IF(X276="",X275,X276),INDEX(Y$2:Y$5,MATCH($I274,$I$2:$I$5,0)),$BB$10:$BB$141)</f>
        <v>#REF!</v>
      </c>
      <c r="Z275" s="167" t="e">
        <f>WORKDAY(IF(Y276="",Y275,Y276),INDEX(Z$2:Z$5,MATCH($I274,$I$2:$I$5,0)),$BB$10:$BB$141)</f>
        <v>#REF!</v>
      </c>
      <c r="AA275" s="167" t="e">
        <f>WORKDAY(IF(Z276="",Z275,Z276),INDEX(AA$2:AA$5,MATCH($I274,$I$2:$I$5,0)),$BB$10:$BB$141)</f>
        <v>#REF!</v>
      </c>
      <c r="AB275" s="168" t="e">
        <f>AE274+#REF!</f>
        <v>#REF!</v>
      </c>
      <c r="AC275" s="117"/>
      <c r="AD275" s="118"/>
      <c r="AE275" s="184"/>
      <c r="AF275" s="119"/>
      <c r="AG275" s="120"/>
      <c r="AH275" s="121"/>
      <c r="AI275" s="122"/>
      <c r="AJ275" s="118"/>
      <c r="AK275" s="169"/>
      <c r="AL275" s="170"/>
      <c r="AM275" s="159">
        <f t="shared" ref="AM275:AW275" si="322">IF(ISERROR(LOOKUP(AM$6,$S275:$AB275,$S$9:$AB$9)),0,(LOOKUP(AM$6,$S275:$AB275,$S$9:$AB$9)))</f>
        <v>0</v>
      </c>
      <c r="AN275" s="160">
        <f t="shared" si="322"/>
        <v>0</v>
      </c>
      <c r="AO275" s="160">
        <f t="shared" si="322"/>
        <v>0</v>
      </c>
      <c r="AP275" s="160">
        <f t="shared" si="322"/>
        <v>0</v>
      </c>
      <c r="AQ275" s="160">
        <f t="shared" si="322"/>
        <v>0</v>
      </c>
      <c r="AR275" s="160">
        <f t="shared" si="322"/>
        <v>0</v>
      </c>
      <c r="AS275" s="160">
        <f t="shared" si="322"/>
        <v>0</v>
      </c>
      <c r="AT275" s="160">
        <f t="shared" si="322"/>
        <v>0</v>
      </c>
      <c r="AU275" s="160">
        <f t="shared" si="322"/>
        <v>0</v>
      </c>
      <c r="AV275" s="160">
        <f t="shared" si="322"/>
        <v>0</v>
      </c>
      <c r="AW275" s="160">
        <f ca="1" t="shared" si="322"/>
        <v>0</v>
      </c>
      <c r="BB275" s="161"/>
    </row>
    <row r="276" s="21" customFormat="1" ht="18" customHeight="1" spans="1:54">
      <c r="A276" s="125"/>
      <c r="B276" s="185"/>
      <c r="C276" s="127"/>
      <c r="D276" s="128" t="str">
        <f>D274</f>
        <v>PIP</v>
      </c>
      <c r="E276" s="171" t="str">
        <f>E274</f>
        <v>RFQ-054</v>
      </c>
      <c r="F276" s="172" t="str">
        <f>F274</f>
        <v>N</v>
      </c>
      <c r="G276" s="189"/>
      <c r="H276" s="192" t="str">
        <f>H274</f>
        <v>CLAMP Type Connectors</v>
      </c>
      <c r="I276" s="171" t="str">
        <f>I274</f>
        <v>LD</v>
      </c>
      <c r="J276" s="172"/>
      <c r="K276" s="173"/>
      <c r="L276" s="173"/>
      <c r="M276" s="173">
        <v>0.001</v>
      </c>
      <c r="N276" s="171"/>
      <c r="O276" s="171"/>
      <c r="P276" s="171"/>
      <c r="Q276" s="174" t="s">
        <v>4908</v>
      </c>
      <c r="R276" s="174"/>
      <c r="S276" s="175"/>
      <c r="T276" s="175"/>
      <c r="U276" s="175"/>
      <c r="V276" s="175"/>
      <c r="W276" s="175"/>
      <c r="X276" s="175"/>
      <c r="Y276" s="175"/>
      <c r="Z276" s="175"/>
      <c r="AA276" s="175"/>
      <c r="AB276" s="175"/>
      <c r="AC276" s="134"/>
      <c r="AD276" s="135"/>
      <c r="AE276" s="186"/>
      <c r="AF276" s="136"/>
      <c r="AG276" s="137"/>
      <c r="AH276" s="138"/>
      <c r="AI276" s="139"/>
      <c r="AJ276" s="135"/>
      <c r="AK276" s="176"/>
      <c r="AL276" s="177"/>
      <c r="AM276" s="178">
        <f t="shared" ref="AM276:AW276" si="323">IF(ISERROR(LOOKUP(AM$6,$S276:$AB276,$S$9:$AB$9)),0,(LOOKUP(AM$6,$S276:$AB276,$S$9:$AB$9)))</f>
        <v>0</v>
      </c>
      <c r="AN276" s="179">
        <f t="shared" si="323"/>
        <v>0</v>
      </c>
      <c r="AO276" s="179">
        <f t="shared" si="323"/>
        <v>0</v>
      </c>
      <c r="AP276" s="179">
        <f t="shared" si="323"/>
        <v>0</v>
      </c>
      <c r="AQ276" s="179">
        <f t="shared" si="323"/>
        <v>0</v>
      </c>
      <c r="AR276" s="179">
        <f t="shared" si="323"/>
        <v>0</v>
      </c>
      <c r="AS276" s="179">
        <f t="shared" si="323"/>
        <v>0</v>
      </c>
      <c r="AT276" s="179">
        <f t="shared" si="323"/>
        <v>0</v>
      </c>
      <c r="AU276" s="179">
        <f t="shared" si="323"/>
        <v>0</v>
      </c>
      <c r="AV276" s="179">
        <f t="shared" si="323"/>
        <v>0</v>
      </c>
      <c r="AW276" s="179">
        <f ca="1" t="shared" si="323"/>
        <v>0</v>
      </c>
      <c r="BB276" s="161"/>
    </row>
    <row r="277" s="21" customFormat="1" ht="18" customHeight="1" spans="1:54">
      <c r="A277" s="81">
        <f>A274+1</f>
        <v>90</v>
      </c>
      <c r="B277" s="180" t="s">
        <v>4967</v>
      </c>
      <c r="C277" s="83" t="s">
        <v>4902</v>
      </c>
      <c r="D277" s="84" t="s">
        <v>4963</v>
      </c>
      <c r="E277" s="153" t="s">
        <v>4964</v>
      </c>
      <c r="F277" s="154" t="s">
        <v>72</v>
      </c>
      <c r="G277" s="187"/>
      <c r="H277" s="190" t="s">
        <v>4998</v>
      </c>
      <c r="I277" s="153" t="s">
        <v>9</v>
      </c>
      <c r="J277" s="154"/>
      <c r="K277" s="155">
        <f>M279</f>
        <v>0.001</v>
      </c>
      <c r="L277" s="155"/>
      <c r="M277" s="155"/>
      <c r="N277" s="153"/>
      <c r="O277" s="153"/>
      <c r="P277" s="153"/>
      <c r="Q277" s="156" t="s">
        <v>4905</v>
      </c>
      <c r="R277" s="156"/>
      <c r="S277" s="181" t="e">
        <f>WORKDAY(T277,-INDEX(T$2:T$5,MATCH($I277,$I$2:$I$5,0)),'[36]Equipment List and MR List (3)'!$A$2:$A$80)</f>
        <v>#REF!</v>
      </c>
      <c r="T277" s="181" t="e">
        <f>WORKDAY(U277,-INDEX(U$2:U$5,MATCH($I277,$I$2:$I$5,0)),$BB$10:$BB$141)</f>
        <v>#REF!</v>
      </c>
      <c r="U277" s="181" t="e">
        <f>WORKDAY(V277,-INDEX(V$2:V$5,MATCH($I277,$I$2:$I$5,0)),$BB$10:$BB$141)</f>
        <v>#REF!</v>
      </c>
      <c r="V277" s="181" t="e">
        <f>WORKDAY(W277,-INDEX(W$2:W$5,MATCH($I277,$I$2:$I$5,0)),$BB$10:$BB$141)</f>
        <v>#REF!</v>
      </c>
      <c r="W277" s="181" t="e">
        <f>WORKDAY(#REF!,-INDEX(#REF!,MATCH($I277,$I$2:$I$5,0)),$BB$10:$BB$141)</f>
        <v>#REF!</v>
      </c>
      <c r="X277" s="181" t="e">
        <f>WORKDAY(Y277,-INDEX(Y$2:Y$5,MATCH($I277,$I$2:$I$5,0)),$BB$10:$BB$141)</f>
        <v>#REF!</v>
      </c>
      <c r="Y277" s="181" t="e">
        <f>WORKDAY(Z277,-INDEX(Z$2:Z$5,MATCH($I277,$I$2:$I$5,0)),$BB$10:$BB$141)</f>
        <v>#REF!</v>
      </c>
      <c r="Z277" s="181" t="e">
        <f>WORKDAY(AA277,-INDEX(AA$2:AA$5,MATCH($I277,$I$2:$I$5,0)),$BB$10:$BB$141)</f>
        <v>#REF!</v>
      </c>
      <c r="AA277" s="181" t="e">
        <f>WORKDAY(#REF!,-INDEX(#REF!,MATCH($I277,$I$2:$I$5,0)),$BB$10:$BB$141)</f>
        <v>#REF!</v>
      </c>
      <c r="AB277" s="181">
        <f>WORKDAY(AG277,0,'[36]Equipment List and MR List (3)'!$A$2:$A$80)</f>
        <v>0</v>
      </c>
      <c r="AC277" s="92" t="s">
        <v>4906</v>
      </c>
      <c r="AD277" s="93">
        <v>7</v>
      </c>
      <c r="AE277" s="182">
        <v>75</v>
      </c>
      <c r="AF277" s="95" t="e">
        <f>AB278</f>
        <v>#REF!</v>
      </c>
      <c r="AG277" s="96"/>
      <c r="AH277" s="97"/>
      <c r="AI277" s="98"/>
      <c r="AJ277" s="93" t="e">
        <f>AG277-AF277</f>
        <v>#REF!</v>
      </c>
      <c r="AK277" s="157"/>
      <c r="AL277" s="158"/>
      <c r="AM277" s="159">
        <f t="shared" ref="AM277:AW277" si="324">IF(ISERROR(LOOKUP(AM$6,$S277:$AB277,$S$9:$AB$9)),0,(LOOKUP(AM$6,$S277:$AB277,$S$9:$AB$9)))</f>
        <v>0.95</v>
      </c>
      <c r="AN277" s="160">
        <f t="shared" si="324"/>
        <v>0.95</v>
      </c>
      <c r="AO277" s="160">
        <f t="shared" si="324"/>
        <v>0.95</v>
      </c>
      <c r="AP277" s="160">
        <f t="shared" si="324"/>
        <v>0.95</v>
      </c>
      <c r="AQ277" s="160">
        <f t="shared" si="324"/>
        <v>0.95</v>
      </c>
      <c r="AR277" s="160">
        <f t="shared" si="324"/>
        <v>0.95</v>
      </c>
      <c r="AS277" s="160">
        <f t="shared" si="324"/>
        <v>0.95</v>
      </c>
      <c r="AT277" s="160">
        <f t="shared" si="324"/>
        <v>0.95</v>
      </c>
      <c r="AU277" s="160">
        <f t="shared" si="324"/>
        <v>0.95</v>
      </c>
      <c r="AV277" s="160">
        <f t="shared" si="324"/>
        <v>0.95</v>
      </c>
      <c r="AW277" s="160">
        <f ca="1" t="shared" si="324"/>
        <v>0.95</v>
      </c>
      <c r="BB277" s="161"/>
    </row>
    <row r="278" s="21" customFormat="1" ht="18" customHeight="1" spans="1:54">
      <c r="A278" s="104"/>
      <c r="B278" s="183"/>
      <c r="C278" s="106"/>
      <c r="D278" s="107" t="str">
        <f>D277</f>
        <v>STR</v>
      </c>
      <c r="E278" s="162" t="str">
        <f>E277</f>
        <v>RFQ-054</v>
      </c>
      <c r="F278" s="163" t="str">
        <f>F277</f>
        <v>N</v>
      </c>
      <c r="G278" s="188"/>
      <c r="H278" s="191" t="str">
        <f>H277</f>
        <v>Painting</v>
      </c>
      <c r="I278" s="162" t="str">
        <f>I277</f>
        <v>LD</v>
      </c>
      <c r="J278" s="163"/>
      <c r="K278" s="164"/>
      <c r="L278" s="164">
        <f>M279</f>
        <v>0.001</v>
      </c>
      <c r="M278" s="164"/>
      <c r="N278" s="162"/>
      <c r="O278" s="162"/>
      <c r="P278" s="162"/>
      <c r="Q278" s="165" t="s">
        <v>4907</v>
      </c>
      <c r="R278" s="165"/>
      <c r="S278" s="166" t="e">
        <f>S277</f>
        <v>#REF!</v>
      </c>
      <c r="T278" s="167" t="e">
        <f>T277</f>
        <v>#REF!</v>
      </c>
      <c r="U278" s="167" t="e">
        <f>WORKDAY(IF(T279="",T278,T279),INDEX(U$2:U$5,MATCH($I277,$I$2:$I$5,0)),$BB$10:$BB$141)</f>
        <v>#REF!</v>
      </c>
      <c r="V278" s="167" t="e">
        <f>WORKDAY(IF(U279="",U278,U279),INDEX(V$2:V$5,MATCH($I277,$I$2:$I$5,0)),$BB$10:$BB$141)</f>
        <v>#REF!</v>
      </c>
      <c r="W278" s="167" t="e">
        <f>WORKDAY(IF(V279="",V278,V279),INDEX(W$2:W$5,MATCH($I277,$I$2:$I$5,0)),$BB$10:$BB$141)</f>
        <v>#REF!</v>
      </c>
      <c r="X278" s="167" t="e">
        <f>WORKDAY(IF(#REF!="",#REF!,#REF!),INDEX(X$2:X$5,MATCH($I277,$I$2:$I$5,0)),$BB$10:$BB$141)</f>
        <v>#REF!</v>
      </c>
      <c r="Y278" s="167" t="e">
        <f>WORKDAY(IF(X279="",X278,X279),INDEX(Y$2:Y$5,MATCH($I277,$I$2:$I$5,0)),$BB$10:$BB$141)</f>
        <v>#REF!</v>
      </c>
      <c r="Z278" s="167" t="e">
        <f>WORKDAY(IF(Y279="",Y278,Y279),INDEX(Z$2:Z$5,MATCH($I277,$I$2:$I$5,0)),$BB$10:$BB$141)</f>
        <v>#REF!</v>
      </c>
      <c r="AA278" s="167" t="e">
        <f>WORKDAY(IF(Z279="",Z278,Z279),INDEX(AA$2:AA$5,MATCH($I277,$I$2:$I$5,0)),$BB$10:$BB$141)</f>
        <v>#REF!</v>
      </c>
      <c r="AB278" s="168" t="e">
        <f>AE277+#REF!</f>
        <v>#REF!</v>
      </c>
      <c r="AC278" s="117"/>
      <c r="AD278" s="118"/>
      <c r="AE278" s="184"/>
      <c r="AF278" s="119"/>
      <c r="AG278" s="120"/>
      <c r="AH278" s="121"/>
      <c r="AI278" s="122"/>
      <c r="AJ278" s="118"/>
      <c r="AK278" s="169"/>
      <c r="AL278" s="170"/>
      <c r="AM278" s="159">
        <f t="shared" ref="AM278:AW278" si="325">IF(ISERROR(LOOKUP(AM$6,$S278:$AB278,$S$9:$AB$9)),0,(LOOKUP(AM$6,$S278:$AB278,$S$9:$AB$9)))</f>
        <v>0</v>
      </c>
      <c r="AN278" s="160">
        <f t="shared" si="325"/>
        <v>0</v>
      </c>
      <c r="AO278" s="160">
        <f t="shared" si="325"/>
        <v>0</v>
      </c>
      <c r="AP278" s="160">
        <f t="shared" si="325"/>
        <v>0</v>
      </c>
      <c r="AQ278" s="160">
        <f t="shared" si="325"/>
        <v>0</v>
      </c>
      <c r="AR278" s="160">
        <f t="shared" si="325"/>
        <v>0</v>
      </c>
      <c r="AS278" s="160">
        <f t="shared" si="325"/>
        <v>0</v>
      </c>
      <c r="AT278" s="160">
        <f t="shared" si="325"/>
        <v>0</v>
      </c>
      <c r="AU278" s="160">
        <f t="shared" si="325"/>
        <v>0</v>
      </c>
      <c r="AV278" s="160">
        <f t="shared" si="325"/>
        <v>0</v>
      </c>
      <c r="AW278" s="160">
        <f ca="1" t="shared" si="325"/>
        <v>0</v>
      </c>
      <c r="BB278" s="161"/>
    </row>
    <row r="279" s="21" customFormat="1" ht="18" customHeight="1" spans="1:54">
      <c r="A279" s="125"/>
      <c r="B279" s="185"/>
      <c r="C279" s="127"/>
      <c r="D279" s="128" t="str">
        <f>D277</f>
        <v>STR</v>
      </c>
      <c r="E279" s="171" t="str">
        <f>E277</f>
        <v>RFQ-054</v>
      </c>
      <c r="F279" s="172" t="str">
        <f>F277</f>
        <v>N</v>
      </c>
      <c r="G279" s="189"/>
      <c r="H279" s="192" t="str">
        <f>H277</f>
        <v>Painting</v>
      </c>
      <c r="I279" s="171" t="str">
        <f>I277</f>
        <v>LD</v>
      </c>
      <c r="J279" s="172"/>
      <c r="K279" s="173"/>
      <c r="L279" s="173"/>
      <c r="M279" s="173">
        <v>0.001</v>
      </c>
      <c r="N279" s="171"/>
      <c r="O279" s="171"/>
      <c r="P279" s="171"/>
      <c r="Q279" s="174" t="s">
        <v>4908</v>
      </c>
      <c r="R279" s="174"/>
      <c r="S279" s="175"/>
      <c r="T279" s="175"/>
      <c r="U279" s="175"/>
      <c r="V279" s="175"/>
      <c r="W279" s="175"/>
      <c r="X279" s="175"/>
      <c r="Y279" s="175"/>
      <c r="Z279" s="175"/>
      <c r="AA279" s="175"/>
      <c r="AB279" s="175"/>
      <c r="AC279" s="134"/>
      <c r="AD279" s="135"/>
      <c r="AE279" s="186"/>
      <c r="AF279" s="136"/>
      <c r="AG279" s="137"/>
      <c r="AH279" s="138"/>
      <c r="AI279" s="139"/>
      <c r="AJ279" s="135"/>
      <c r="AK279" s="176"/>
      <c r="AL279" s="177"/>
      <c r="AM279" s="178">
        <f t="shared" ref="AM279:AW279" si="326">IF(ISERROR(LOOKUP(AM$6,$S279:$AB279,$S$9:$AB$9)),0,(LOOKUP(AM$6,$S279:$AB279,$S$9:$AB$9)))</f>
        <v>0</v>
      </c>
      <c r="AN279" s="179">
        <f t="shared" si="326"/>
        <v>0</v>
      </c>
      <c r="AO279" s="179">
        <f t="shared" si="326"/>
        <v>0</v>
      </c>
      <c r="AP279" s="179">
        <f t="shared" si="326"/>
        <v>0</v>
      </c>
      <c r="AQ279" s="179">
        <f t="shared" si="326"/>
        <v>0</v>
      </c>
      <c r="AR279" s="179">
        <f t="shared" si="326"/>
        <v>0</v>
      </c>
      <c r="AS279" s="179">
        <f t="shared" si="326"/>
        <v>0</v>
      </c>
      <c r="AT279" s="179">
        <f t="shared" si="326"/>
        <v>0</v>
      </c>
      <c r="AU279" s="179">
        <f t="shared" si="326"/>
        <v>0</v>
      </c>
      <c r="AV279" s="179">
        <f t="shared" si="326"/>
        <v>0</v>
      </c>
      <c r="AW279" s="179">
        <f ca="1" t="shared" si="326"/>
        <v>0</v>
      </c>
      <c r="BB279" s="161"/>
    </row>
    <row r="280" s="21" customFormat="1" ht="18" customHeight="1" spans="1:54">
      <c r="A280" s="81">
        <f>A277+1</f>
        <v>91</v>
      </c>
      <c r="B280" s="180" t="s">
        <v>4967</v>
      </c>
      <c r="C280" s="83" t="s">
        <v>4902</v>
      </c>
      <c r="D280" s="84" t="s">
        <v>4914</v>
      </c>
      <c r="E280" s="153" t="s">
        <v>4964</v>
      </c>
      <c r="F280" s="154" t="s">
        <v>72</v>
      </c>
      <c r="G280" s="187"/>
      <c r="H280" s="190" t="s">
        <v>4999</v>
      </c>
      <c r="I280" s="153" t="s">
        <v>9</v>
      </c>
      <c r="J280" s="154"/>
      <c r="K280" s="155">
        <f>M282</f>
        <v>0.001</v>
      </c>
      <c r="L280" s="155"/>
      <c r="M280" s="155"/>
      <c r="N280" s="153"/>
      <c r="O280" s="153"/>
      <c r="P280" s="153"/>
      <c r="Q280" s="156" t="s">
        <v>4905</v>
      </c>
      <c r="R280" s="156"/>
      <c r="S280" s="181" t="e">
        <f>WORKDAY(T280,-INDEX(T$2:T$5,MATCH($I280,$I$2:$I$5,0)),'[36]Equipment List and MR List (3)'!$A$2:$A$80)</f>
        <v>#REF!</v>
      </c>
      <c r="T280" s="181" t="e">
        <f>WORKDAY(U280,-INDEX(U$2:U$5,MATCH($I280,$I$2:$I$5,0)),$BB$10:$BB$141)</f>
        <v>#REF!</v>
      </c>
      <c r="U280" s="181" t="e">
        <f>WORKDAY(V280,-INDEX(V$2:V$5,MATCH($I280,$I$2:$I$5,0)),$BB$10:$BB$141)</f>
        <v>#REF!</v>
      </c>
      <c r="V280" s="181" t="e">
        <f>WORKDAY(W280,-INDEX(W$2:W$5,MATCH($I280,$I$2:$I$5,0)),$BB$10:$BB$141)</f>
        <v>#REF!</v>
      </c>
      <c r="W280" s="181" t="e">
        <f>WORKDAY(#REF!,-INDEX(#REF!,MATCH($I280,$I$2:$I$5,0)),$BB$10:$BB$141)</f>
        <v>#REF!</v>
      </c>
      <c r="X280" s="181" t="e">
        <f>WORKDAY(Y280,-INDEX(Y$2:Y$5,MATCH($I280,$I$2:$I$5,0)),$BB$10:$BB$141)</f>
        <v>#REF!</v>
      </c>
      <c r="Y280" s="181" t="e">
        <f>WORKDAY(Z280,-INDEX(Z$2:Z$5,MATCH($I280,$I$2:$I$5,0)),$BB$10:$BB$141)</f>
        <v>#REF!</v>
      </c>
      <c r="Z280" s="181" t="e">
        <f>WORKDAY(AA280,-INDEX(AA$2:AA$5,MATCH($I280,$I$2:$I$5,0)),$BB$10:$BB$141)</f>
        <v>#REF!</v>
      </c>
      <c r="AA280" s="181" t="e">
        <f>WORKDAY(#REF!,-INDEX(#REF!,MATCH($I280,$I$2:$I$5,0)),$BB$10:$BB$141)</f>
        <v>#REF!</v>
      </c>
      <c r="AB280" s="181">
        <f>WORKDAY(AG280,0,'[36]Equipment List and MR List (3)'!$A$2:$A$80)</f>
        <v>0</v>
      </c>
      <c r="AC280" s="92" t="s">
        <v>4906</v>
      </c>
      <c r="AD280" s="93">
        <v>7</v>
      </c>
      <c r="AE280" s="182">
        <v>121</v>
      </c>
      <c r="AF280" s="95" t="e">
        <f>AB281</f>
        <v>#REF!</v>
      </c>
      <c r="AG280" s="96"/>
      <c r="AH280" s="97"/>
      <c r="AI280" s="98"/>
      <c r="AJ280" s="93" t="e">
        <f>AG280-AF280</f>
        <v>#REF!</v>
      </c>
      <c r="AK280" s="157"/>
      <c r="AL280" s="158"/>
      <c r="AM280" s="159">
        <f t="shared" ref="AM280:AW280" si="327">IF(ISERROR(LOOKUP(AM$6,$S280:$AB280,$S$9:$AB$9)),0,(LOOKUP(AM$6,$S280:$AB280,$S$9:$AB$9)))</f>
        <v>0.95</v>
      </c>
      <c r="AN280" s="160">
        <f t="shared" si="327"/>
        <v>0.95</v>
      </c>
      <c r="AO280" s="160">
        <f t="shared" si="327"/>
        <v>0.95</v>
      </c>
      <c r="AP280" s="160">
        <f t="shared" si="327"/>
        <v>0.95</v>
      </c>
      <c r="AQ280" s="160">
        <f t="shared" si="327"/>
        <v>0.95</v>
      </c>
      <c r="AR280" s="160">
        <f t="shared" si="327"/>
        <v>0.95</v>
      </c>
      <c r="AS280" s="160">
        <f t="shared" si="327"/>
        <v>0.95</v>
      </c>
      <c r="AT280" s="160">
        <f t="shared" si="327"/>
        <v>0.95</v>
      </c>
      <c r="AU280" s="160">
        <f t="shared" si="327"/>
        <v>0.95</v>
      </c>
      <c r="AV280" s="160">
        <f t="shared" si="327"/>
        <v>0.95</v>
      </c>
      <c r="AW280" s="160">
        <f ca="1" t="shared" si="327"/>
        <v>0.95</v>
      </c>
      <c r="BB280" s="161"/>
    </row>
    <row r="281" s="21" customFormat="1" ht="18" customHeight="1" spans="1:54">
      <c r="A281" s="104"/>
      <c r="B281" s="183"/>
      <c r="C281" s="106"/>
      <c r="D281" s="107" t="str">
        <f>D280</f>
        <v>PIP</v>
      </c>
      <c r="E281" s="162" t="str">
        <f>E280</f>
        <v>RFQ-054</v>
      </c>
      <c r="F281" s="163" t="str">
        <f>F280</f>
        <v>N</v>
      </c>
      <c r="G281" s="188"/>
      <c r="H281" s="191" t="str">
        <f>H280</f>
        <v>Fire fighting</v>
      </c>
      <c r="I281" s="162" t="str">
        <f>I280</f>
        <v>LD</v>
      </c>
      <c r="J281" s="163"/>
      <c r="K281" s="164"/>
      <c r="L281" s="164">
        <f>M282</f>
        <v>0.001</v>
      </c>
      <c r="M281" s="164"/>
      <c r="N281" s="162"/>
      <c r="O281" s="162"/>
      <c r="P281" s="162"/>
      <c r="Q281" s="165" t="s">
        <v>4907</v>
      </c>
      <c r="R281" s="165"/>
      <c r="S281" s="166" t="e">
        <f>S280</f>
        <v>#REF!</v>
      </c>
      <c r="T281" s="167" t="e">
        <f>T280</f>
        <v>#REF!</v>
      </c>
      <c r="U281" s="167" t="e">
        <f>WORKDAY(IF(T282="",T281,T282),INDEX(U$2:U$5,MATCH($I280,$I$2:$I$5,0)),$BB$10:$BB$141)</f>
        <v>#REF!</v>
      </c>
      <c r="V281" s="167" t="e">
        <f>WORKDAY(IF(U282="",U281,U282),INDEX(V$2:V$5,MATCH($I280,$I$2:$I$5,0)),$BB$10:$BB$141)</f>
        <v>#REF!</v>
      </c>
      <c r="W281" s="167" t="e">
        <f>WORKDAY(IF(V282="",V281,V282),INDEX(W$2:W$5,MATCH($I280,$I$2:$I$5,0)),$BB$10:$BB$141)</f>
        <v>#REF!</v>
      </c>
      <c r="X281" s="167" t="e">
        <f>WORKDAY(IF(#REF!="",#REF!,#REF!),INDEX(X$2:X$5,MATCH($I280,$I$2:$I$5,0)),$BB$10:$BB$141)</f>
        <v>#REF!</v>
      </c>
      <c r="Y281" s="167" t="e">
        <f>WORKDAY(IF(X282="",X281,X282),INDEX(Y$2:Y$5,MATCH($I280,$I$2:$I$5,0)),$BB$10:$BB$141)</f>
        <v>#REF!</v>
      </c>
      <c r="Z281" s="167" t="e">
        <f>WORKDAY(IF(Y282="",Y281,Y282),INDEX(Z$2:Z$5,MATCH($I280,$I$2:$I$5,0)),$BB$10:$BB$141)</f>
        <v>#REF!</v>
      </c>
      <c r="AA281" s="167" t="e">
        <f>WORKDAY(IF(Z282="",Z281,Z282),INDEX(AA$2:AA$5,MATCH($I280,$I$2:$I$5,0)),$BB$10:$BB$141)</f>
        <v>#REF!</v>
      </c>
      <c r="AB281" s="168" t="e">
        <f>AE280+#REF!</f>
        <v>#REF!</v>
      </c>
      <c r="AC281" s="117"/>
      <c r="AD281" s="118"/>
      <c r="AE281" s="184"/>
      <c r="AF281" s="119"/>
      <c r="AG281" s="120"/>
      <c r="AH281" s="121"/>
      <c r="AI281" s="122"/>
      <c r="AJ281" s="118"/>
      <c r="AK281" s="169"/>
      <c r="AL281" s="170"/>
      <c r="AM281" s="159">
        <f t="shared" ref="AM281:AW281" si="328">IF(ISERROR(LOOKUP(AM$6,$S281:$AB281,$S$9:$AB$9)),0,(LOOKUP(AM$6,$S281:$AB281,$S$9:$AB$9)))</f>
        <v>0</v>
      </c>
      <c r="AN281" s="160">
        <f t="shared" si="328"/>
        <v>0</v>
      </c>
      <c r="AO281" s="160">
        <f t="shared" si="328"/>
        <v>0</v>
      </c>
      <c r="AP281" s="160">
        <f t="shared" si="328"/>
        <v>0</v>
      </c>
      <c r="AQ281" s="160">
        <f t="shared" si="328"/>
        <v>0</v>
      </c>
      <c r="AR281" s="160">
        <f t="shared" si="328"/>
        <v>0</v>
      </c>
      <c r="AS281" s="160">
        <f t="shared" si="328"/>
        <v>0</v>
      </c>
      <c r="AT281" s="160">
        <f t="shared" si="328"/>
        <v>0</v>
      </c>
      <c r="AU281" s="160">
        <f t="shared" si="328"/>
        <v>0</v>
      </c>
      <c r="AV281" s="160">
        <f t="shared" si="328"/>
        <v>0</v>
      </c>
      <c r="AW281" s="160">
        <f ca="1" t="shared" si="328"/>
        <v>0</v>
      </c>
      <c r="BB281" s="161"/>
    </row>
    <row r="282" s="21" customFormat="1" ht="18" customHeight="1" spans="1:54">
      <c r="A282" s="125"/>
      <c r="B282" s="185"/>
      <c r="C282" s="127"/>
      <c r="D282" s="128" t="str">
        <f>D280</f>
        <v>PIP</v>
      </c>
      <c r="E282" s="171" t="str">
        <f>E280</f>
        <v>RFQ-054</v>
      </c>
      <c r="F282" s="172" t="str">
        <f>F280</f>
        <v>N</v>
      </c>
      <c r="G282" s="189"/>
      <c r="H282" s="192" t="str">
        <f>H280</f>
        <v>Fire fighting</v>
      </c>
      <c r="I282" s="171" t="str">
        <f>I280</f>
        <v>LD</v>
      </c>
      <c r="J282" s="172"/>
      <c r="K282" s="173"/>
      <c r="L282" s="173"/>
      <c r="M282" s="173">
        <v>0.001</v>
      </c>
      <c r="N282" s="171"/>
      <c r="O282" s="171"/>
      <c r="P282" s="171"/>
      <c r="Q282" s="174" t="s">
        <v>4908</v>
      </c>
      <c r="R282" s="174"/>
      <c r="S282" s="175"/>
      <c r="T282" s="175"/>
      <c r="U282" s="175"/>
      <c r="V282" s="175"/>
      <c r="W282" s="175"/>
      <c r="X282" s="175"/>
      <c r="Y282" s="175"/>
      <c r="Z282" s="175"/>
      <c r="AA282" s="175"/>
      <c r="AB282" s="175"/>
      <c r="AC282" s="134"/>
      <c r="AD282" s="135"/>
      <c r="AE282" s="186"/>
      <c r="AF282" s="136"/>
      <c r="AG282" s="137"/>
      <c r="AH282" s="138"/>
      <c r="AI282" s="139"/>
      <c r="AJ282" s="135"/>
      <c r="AK282" s="176"/>
      <c r="AL282" s="177"/>
      <c r="AM282" s="178">
        <f t="shared" ref="AM282:AW282" si="329">IF(ISERROR(LOOKUP(AM$6,$S282:$AB282,$S$9:$AB$9)),0,(LOOKUP(AM$6,$S282:$AB282,$S$9:$AB$9)))</f>
        <v>0</v>
      </c>
      <c r="AN282" s="179">
        <f t="shared" si="329"/>
        <v>0</v>
      </c>
      <c r="AO282" s="179">
        <f t="shared" si="329"/>
        <v>0</v>
      </c>
      <c r="AP282" s="179">
        <f t="shared" si="329"/>
        <v>0</v>
      </c>
      <c r="AQ282" s="179">
        <f t="shared" si="329"/>
        <v>0</v>
      </c>
      <c r="AR282" s="179">
        <f t="shared" si="329"/>
        <v>0</v>
      </c>
      <c r="AS282" s="179">
        <f t="shared" si="329"/>
        <v>0</v>
      </c>
      <c r="AT282" s="179">
        <f t="shared" si="329"/>
        <v>0</v>
      </c>
      <c r="AU282" s="179">
        <f t="shared" si="329"/>
        <v>0</v>
      </c>
      <c r="AV282" s="179">
        <f t="shared" si="329"/>
        <v>0</v>
      </c>
      <c r="AW282" s="179">
        <f ca="1" t="shared" si="329"/>
        <v>0</v>
      </c>
      <c r="BB282" s="161"/>
    </row>
    <row r="283" s="21" customFormat="1" ht="18" customHeight="1" spans="1:54">
      <c r="A283" s="81">
        <f>A280+1</f>
        <v>92</v>
      </c>
      <c r="B283" s="180" t="s">
        <v>4967</v>
      </c>
      <c r="C283" s="83" t="s">
        <v>4902</v>
      </c>
      <c r="D283" s="84" t="s">
        <v>4914</v>
      </c>
      <c r="E283" s="153" t="s">
        <v>4964</v>
      </c>
      <c r="F283" s="154" t="s">
        <v>72</v>
      </c>
      <c r="G283" s="187"/>
      <c r="H283" s="190" t="s">
        <v>5000</v>
      </c>
      <c r="I283" s="153" t="s">
        <v>9</v>
      </c>
      <c r="J283" s="154"/>
      <c r="K283" s="155">
        <f>M285</f>
        <v>0.001</v>
      </c>
      <c r="L283" s="155"/>
      <c r="M283" s="155"/>
      <c r="N283" s="153"/>
      <c r="O283" s="153"/>
      <c r="P283" s="153"/>
      <c r="Q283" s="156" t="s">
        <v>4905</v>
      </c>
      <c r="R283" s="156"/>
      <c r="S283" s="181" t="e">
        <f>WORKDAY(T283,-INDEX(T$2:T$5,MATCH($I283,$I$2:$I$5,0)),'[36]Equipment List and MR List (3)'!$A$2:$A$80)</f>
        <v>#REF!</v>
      </c>
      <c r="T283" s="181" t="e">
        <f>WORKDAY(U283,-INDEX(U$2:U$5,MATCH($I283,$I$2:$I$5,0)),$BB$10:$BB$141)</f>
        <v>#REF!</v>
      </c>
      <c r="U283" s="181" t="e">
        <f>WORKDAY(V283,-INDEX(V$2:V$5,MATCH($I283,$I$2:$I$5,0)),$BB$10:$BB$141)</f>
        <v>#REF!</v>
      </c>
      <c r="V283" s="181" t="e">
        <f>WORKDAY(W283,-INDEX(W$2:W$5,MATCH($I283,$I$2:$I$5,0)),$BB$10:$BB$141)</f>
        <v>#REF!</v>
      </c>
      <c r="W283" s="181" t="e">
        <f>WORKDAY(#REF!,-INDEX(#REF!,MATCH($I283,$I$2:$I$5,0)),$BB$10:$BB$141)</f>
        <v>#REF!</v>
      </c>
      <c r="X283" s="181" t="e">
        <f>WORKDAY(Y283,-INDEX(Y$2:Y$5,MATCH($I283,$I$2:$I$5,0)),$BB$10:$BB$141)</f>
        <v>#REF!</v>
      </c>
      <c r="Y283" s="181" t="e">
        <f>WORKDAY(Z283,-INDEX(Z$2:Z$5,MATCH($I283,$I$2:$I$5,0)),$BB$10:$BB$141)</f>
        <v>#REF!</v>
      </c>
      <c r="Z283" s="181" t="e">
        <f>WORKDAY(AA283,-INDEX(AA$2:AA$5,MATCH($I283,$I$2:$I$5,0)),$BB$10:$BB$141)</f>
        <v>#REF!</v>
      </c>
      <c r="AA283" s="181" t="e">
        <f>WORKDAY(#REF!,-INDEX(#REF!,MATCH($I283,$I$2:$I$5,0)),$BB$10:$BB$141)</f>
        <v>#REF!</v>
      </c>
      <c r="AB283" s="181">
        <f>WORKDAY(AG283,0,'[36]Equipment List and MR List (3)'!$A$2:$A$80)</f>
        <v>0</v>
      </c>
      <c r="AC283" s="92" t="s">
        <v>4906</v>
      </c>
      <c r="AD283" s="93">
        <v>7</v>
      </c>
      <c r="AE283" s="182">
        <v>121</v>
      </c>
      <c r="AF283" s="95" t="e">
        <f>AB284</f>
        <v>#REF!</v>
      </c>
      <c r="AG283" s="96"/>
      <c r="AH283" s="97"/>
      <c r="AI283" s="98"/>
      <c r="AJ283" s="93" t="e">
        <f>AG283-AF283</f>
        <v>#REF!</v>
      </c>
      <c r="AK283" s="157"/>
      <c r="AL283" s="158"/>
      <c r="AM283" s="159">
        <f t="shared" ref="AM283:AW283" si="330">IF(ISERROR(LOOKUP(AM$6,$S283:$AB283,$S$9:$AB$9)),0,(LOOKUP(AM$6,$S283:$AB283,$S$9:$AB$9)))</f>
        <v>0.95</v>
      </c>
      <c r="AN283" s="160">
        <f t="shared" si="330"/>
        <v>0.95</v>
      </c>
      <c r="AO283" s="160">
        <f t="shared" si="330"/>
        <v>0.95</v>
      </c>
      <c r="AP283" s="160">
        <f t="shared" si="330"/>
        <v>0.95</v>
      </c>
      <c r="AQ283" s="160">
        <f t="shared" si="330"/>
        <v>0.95</v>
      </c>
      <c r="AR283" s="160">
        <f t="shared" si="330"/>
        <v>0.95</v>
      </c>
      <c r="AS283" s="160">
        <f t="shared" si="330"/>
        <v>0.95</v>
      </c>
      <c r="AT283" s="160">
        <f t="shared" si="330"/>
        <v>0.95</v>
      </c>
      <c r="AU283" s="160">
        <f t="shared" si="330"/>
        <v>0.95</v>
      </c>
      <c r="AV283" s="160">
        <f t="shared" si="330"/>
        <v>0.95</v>
      </c>
      <c r="AW283" s="160">
        <f ca="1" t="shared" si="330"/>
        <v>0.95</v>
      </c>
      <c r="BB283" s="161"/>
    </row>
    <row r="284" s="21" customFormat="1" ht="18" customHeight="1" spans="1:54">
      <c r="A284" s="104"/>
      <c r="B284" s="183"/>
      <c r="C284" s="106"/>
      <c r="D284" s="107" t="str">
        <f>D283</f>
        <v>PIP</v>
      </c>
      <c r="E284" s="162" t="str">
        <f>E283</f>
        <v>RFQ-054</v>
      </c>
      <c r="F284" s="163" t="str">
        <f>F283</f>
        <v>N</v>
      </c>
      <c r="G284" s="188"/>
      <c r="H284" s="191" t="str">
        <f>H283</f>
        <v>Life saving</v>
      </c>
      <c r="I284" s="162" t="str">
        <f>I283</f>
        <v>LD</v>
      </c>
      <c r="J284" s="163"/>
      <c r="K284" s="164"/>
      <c r="L284" s="164">
        <f>M285</f>
        <v>0.001</v>
      </c>
      <c r="M284" s="164"/>
      <c r="N284" s="162"/>
      <c r="O284" s="162"/>
      <c r="P284" s="162"/>
      <c r="Q284" s="165" t="s">
        <v>4907</v>
      </c>
      <c r="R284" s="165"/>
      <c r="S284" s="166" t="e">
        <f>S283</f>
        <v>#REF!</v>
      </c>
      <c r="T284" s="167" t="e">
        <f>T283</f>
        <v>#REF!</v>
      </c>
      <c r="U284" s="167" t="e">
        <f>WORKDAY(IF(T285="",T284,T285),INDEX(U$2:U$5,MATCH($I283,$I$2:$I$5,0)),$BB$10:$BB$141)</f>
        <v>#REF!</v>
      </c>
      <c r="V284" s="167" t="e">
        <f>WORKDAY(IF(U285="",U284,U285),INDEX(V$2:V$5,MATCH($I283,$I$2:$I$5,0)),$BB$10:$BB$141)</f>
        <v>#REF!</v>
      </c>
      <c r="W284" s="167" t="e">
        <f>WORKDAY(IF(V285="",V284,V285),INDEX(W$2:W$5,MATCH($I283,$I$2:$I$5,0)),$BB$10:$BB$141)</f>
        <v>#REF!</v>
      </c>
      <c r="X284" s="167" t="e">
        <f>WORKDAY(IF(#REF!="",#REF!,#REF!),INDEX(X$2:X$5,MATCH($I283,$I$2:$I$5,0)),$BB$10:$BB$141)</f>
        <v>#REF!</v>
      </c>
      <c r="Y284" s="167" t="e">
        <f>WORKDAY(IF(X285="",X284,X285),INDEX(Y$2:Y$5,MATCH($I283,$I$2:$I$5,0)),$BB$10:$BB$141)</f>
        <v>#REF!</v>
      </c>
      <c r="Z284" s="167" t="e">
        <f>WORKDAY(IF(Y285="",Y284,Y285),INDEX(Z$2:Z$5,MATCH($I283,$I$2:$I$5,0)),$BB$10:$BB$141)</f>
        <v>#REF!</v>
      </c>
      <c r="AA284" s="167" t="e">
        <f>WORKDAY(IF(Z285="",Z284,Z285),INDEX(AA$2:AA$5,MATCH($I283,$I$2:$I$5,0)),$BB$10:$BB$141)</f>
        <v>#REF!</v>
      </c>
      <c r="AB284" s="168" t="e">
        <f>AE283+#REF!</f>
        <v>#REF!</v>
      </c>
      <c r="AC284" s="117"/>
      <c r="AD284" s="118"/>
      <c r="AE284" s="184"/>
      <c r="AF284" s="119"/>
      <c r="AG284" s="120"/>
      <c r="AH284" s="121"/>
      <c r="AI284" s="122"/>
      <c r="AJ284" s="118"/>
      <c r="AK284" s="169"/>
      <c r="AL284" s="170"/>
      <c r="AM284" s="159">
        <f t="shared" ref="AM284:AW284" si="331">IF(ISERROR(LOOKUP(AM$6,$S284:$AB284,$S$9:$AB$9)),0,(LOOKUP(AM$6,$S284:$AB284,$S$9:$AB$9)))</f>
        <v>0</v>
      </c>
      <c r="AN284" s="160">
        <f t="shared" si="331"/>
        <v>0</v>
      </c>
      <c r="AO284" s="160">
        <f t="shared" si="331"/>
        <v>0</v>
      </c>
      <c r="AP284" s="160">
        <f t="shared" si="331"/>
        <v>0</v>
      </c>
      <c r="AQ284" s="160">
        <f t="shared" si="331"/>
        <v>0</v>
      </c>
      <c r="AR284" s="160">
        <f t="shared" si="331"/>
        <v>0</v>
      </c>
      <c r="AS284" s="160">
        <f t="shared" si="331"/>
        <v>0</v>
      </c>
      <c r="AT284" s="160">
        <f t="shared" si="331"/>
        <v>0</v>
      </c>
      <c r="AU284" s="160">
        <f t="shared" si="331"/>
        <v>0</v>
      </c>
      <c r="AV284" s="160">
        <f t="shared" si="331"/>
        <v>0</v>
      </c>
      <c r="AW284" s="160">
        <f ca="1" t="shared" si="331"/>
        <v>0</v>
      </c>
      <c r="BB284" s="161"/>
    </row>
    <row r="285" s="21" customFormat="1" ht="18" customHeight="1" spans="1:54">
      <c r="A285" s="125"/>
      <c r="B285" s="185"/>
      <c r="C285" s="127"/>
      <c r="D285" s="128" t="str">
        <f>D283</f>
        <v>PIP</v>
      </c>
      <c r="E285" s="171" t="str">
        <f>E283</f>
        <v>RFQ-054</v>
      </c>
      <c r="F285" s="172" t="str">
        <f>F283</f>
        <v>N</v>
      </c>
      <c r="G285" s="189"/>
      <c r="H285" s="192" t="str">
        <f>H283</f>
        <v>Life saving</v>
      </c>
      <c r="I285" s="171" t="str">
        <f>I283</f>
        <v>LD</v>
      </c>
      <c r="J285" s="172"/>
      <c r="K285" s="173"/>
      <c r="L285" s="173"/>
      <c r="M285" s="173">
        <v>0.001</v>
      </c>
      <c r="N285" s="171"/>
      <c r="O285" s="171"/>
      <c r="P285" s="171"/>
      <c r="Q285" s="174" t="s">
        <v>4908</v>
      </c>
      <c r="R285" s="174"/>
      <c r="S285" s="175"/>
      <c r="T285" s="175"/>
      <c r="U285" s="175"/>
      <c r="V285" s="175"/>
      <c r="W285" s="175"/>
      <c r="X285" s="175"/>
      <c r="Y285" s="175"/>
      <c r="Z285" s="175"/>
      <c r="AA285" s="175"/>
      <c r="AB285" s="175"/>
      <c r="AC285" s="134"/>
      <c r="AD285" s="135"/>
      <c r="AE285" s="186"/>
      <c r="AF285" s="136"/>
      <c r="AG285" s="137"/>
      <c r="AH285" s="138"/>
      <c r="AI285" s="139"/>
      <c r="AJ285" s="135"/>
      <c r="AK285" s="176"/>
      <c r="AL285" s="177"/>
      <c r="AM285" s="178">
        <f t="shared" ref="AM285:AW285" si="332">IF(ISERROR(LOOKUP(AM$6,$S285:$AB285,$S$9:$AB$9)),0,(LOOKUP(AM$6,$S285:$AB285,$S$9:$AB$9)))</f>
        <v>0</v>
      </c>
      <c r="AN285" s="179">
        <f t="shared" si="332"/>
        <v>0</v>
      </c>
      <c r="AO285" s="179">
        <f t="shared" si="332"/>
        <v>0</v>
      </c>
      <c r="AP285" s="179">
        <f t="shared" si="332"/>
        <v>0</v>
      </c>
      <c r="AQ285" s="179">
        <f t="shared" si="332"/>
        <v>0</v>
      </c>
      <c r="AR285" s="179">
        <f t="shared" si="332"/>
        <v>0</v>
      </c>
      <c r="AS285" s="179">
        <f t="shared" si="332"/>
        <v>0</v>
      </c>
      <c r="AT285" s="179">
        <f t="shared" si="332"/>
        <v>0</v>
      </c>
      <c r="AU285" s="179">
        <f t="shared" si="332"/>
        <v>0</v>
      </c>
      <c r="AV285" s="179">
        <f t="shared" si="332"/>
        <v>0</v>
      </c>
      <c r="AW285" s="179">
        <f ca="1" t="shared" si="332"/>
        <v>0</v>
      </c>
      <c r="BB285" s="161"/>
    </row>
    <row r="286" s="21" customFormat="1" ht="18" customHeight="1" spans="1:54">
      <c r="A286" s="81">
        <f>A283+1</f>
        <v>93</v>
      </c>
      <c r="B286" s="180" t="s">
        <v>4967</v>
      </c>
      <c r="C286" s="83" t="s">
        <v>4902</v>
      </c>
      <c r="D286" s="84" t="s">
        <v>4914</v>
      </c>
      <c r="E286" s="153" t="s">
        <v>4964</v>
      </c>
      <c r="F286" s="154" t="s">
        <v>72</v>
      </c>
      <c r="G286" s="187"/>
      <c r="H286" s="190" t="s">
        <v>5001</v>
      </c>
      <c r="I286" s="153" t="s">
        <v>9</v>
      </c>
      <c r="J286" s="154"/>
      <c r="K286" s="155">
        <f>M288</f>
        <v>0.001</v>
      </c>
      <c r="L286" s="155"/>
      <c r="M286" s="155"/>
      <c r="N286" s="153"/>
      <c r="O286" s="153"/>
      <c r="P286" s="153"/>
      <c r="Q286" s="156" t="s">
        <v>4905</v>
      </c>
      <c r="R286" s="156"/>
      <c r="S286" s="181" t="e">
        <f>WORKDAY(T286,-INDEX(T$2:T$5,MATCH($I286,$I$2:$I$5,0)),'[36]Equipment List and MR List (3)'!$A$2:$A$80)</f>
        <v>#REF!</v>
      </c>
      <c r="T286" s="181" t="e">
        <f>WORKDAY(U286,-INDEX(U$2:U$5,MATCH($I286,$I$2:$I$5,0)),$BB$10:$BB$141)</f>
        <v>#REF!</v>
      </c>
      <c r="U286" s="181" t="e">
        <f>WORKDAY(V286,-INDEX(V$2:V$5,MATCH($I286,$I$2:$I$5,0)),$BB$10:$BB$141)</f>
        <v>#REF!</v>
      </c>
      <c r="V286" s="181" t="e">
        <f>WORKDAY(W286,-INDEX(W$2:W$5,MATCH($I286,$I$2:$I$5,0)),$BB$10:$BB$141)</f>
        <v>#REF!</v>
      </c>
      <c r="W286" s="181" t="e">
        <f>WORKDAY(#REF!,-INDEX(#REF!,MATCH($I286,$I$2:$I$5,0)),$BB$10:$BB$141)</f>
        <v>#REF!</v>
      </c>
      <c r="X286" s="181" t="e">
        <f>WORKDAY(Y286,-INDEX(Y$2:Y$5,MATCH($I286,$I$2:$I$5,0)),$BB$10:$BB$141)</f>
        <v>#REF!</v>
      </c>
      <c r="Y286" s="181" t="e">
        <f>WORKDAY(Z286,-INDEX(Z$2:Z$5,MATCH($I286,$I$2:$I$5,0)),$BB$10:$BB$141)</f>
        <v>#REF!</v>
      </c>
      <c r="Z286" s="181" t="e">
        <f>WORKDAY(AA286,-INDEX(AA$2:AA$5,MATCH($I286,$I$2:$I$5,0)),$BB$10:$BB$141)</f>
        <v>#REF!</v>
      </c>
      <c r="AA286" s="181" t="e">
        <f>WORKDAY(#REF!,-INDEX(#REF!,MATCH($I286,$I$2:$I$5,0)),$BB$10:$BB$141)</f>
        <v>#REF!</v>
      </c>
      <c r="AB286" s="181">
        <f>WORKDAY(AG286,0,'[36]Equipment List and MR List (3)'!$A$2:$A$80)</f>
        <v>0</v>
      </c>
      <c r="AC286" s="92" t="s">
        <v>4906</v>
      </c>
      <c r="AD286" s="93">
        <v>7</v>
      </c>
      <c r="AE286" s="182">
        <v>121</v>
      </c>
      <c r="AF286" s="95" t="e">
        <f>AB287</f>
        <v>#REF!</v>
      </c>
      <c r="AG286" s="96"/>
      <c r="AH286" s="97"/>
      <c r="AI286" s="98"/>
      <c r="AJ286" s="93" t="e">
        <f>AG286-AF286</f>
        <v>#REF!</v>
      </c>
      <c r="AK286" s="157"/>
      <c r="AL286" s="158"/>
      <c r="AM286" s="159">
        <f t="shared" ref="AM286:AW286" si="333">IF(ISERROR(LOOKUP(AM$6,$S286:$AB286,$S$9:$AB$9)),0,(LOOKUP(AM$6,$S286:$AB286,$S$9:$AB$9)))</f>
        <v>0.95</v>
      </c>
      <c r="AN286" s="160">
        <f t="shared" si="333"/>
        <v>0.95</v>
      </c>
      <c r="AO286" s="160">
        <f t="shared" si="333"/>
        <v>0.95</v>
      </c>
      <c r="AP286" s="160">
        <f t="shared" si="333"/>
        <v>0.95</v>
      </c>
      <c r="AQ286" s="160">
        <f t="shared" si="333"/>
        <v>0.95</v>
      </c>
      <c r="AR286" s="160">
        <f t="shared" si="333"/>
        <v>0.95</v>
      </c>
      <c r="AS286" s="160">
        <f t="shared" si="333"/>
        <v>0.95</v>
      </c>
      <c r="AT286" s="160">
        <f t="shared" si="333"/>
        <v>0.95</v>
      </c>
      <c r="AU286" s="160">
        <f t="shared" si="333"/>
        <v>0.95</v>
      </c>
      <c r="AV286" s="160">
        <f t="shared" si="333"/>
        <v>0.95</v>
      </c>
      <c r="AW286" s="160">
        <f ca="1" t="shared" si="333"/>
        <v>0.95</v>
      </c>
      <c r="BB286" s="161"/>
    </row>
    <row r="287" s="21" customFormat="1" ht="18" customHeight="1" spans="1:54">
      <c r="A287" s="104"/>
      <c r="B287" s="183"/>
      <c r="C287" s="106"/>
      <c r="D287" s="107" t="str">
        <f>D286</f>
        <v>PIP</v>
      </c>
      <c r="E287" s="162" t="str">
        <f>E286</f>
        <v>RFQ-054</v>
      </c>
      <c r="F287" s="163" t="str">
        <f>F286</f>
        <v>N</v>
      </c>
      <c r="G287" s="188"/>
      <c r="H287" s="191" t="str">
        <f>H286</f>
        <v>SAFETY SIGNS</v>
      </c>
      <c r="I287" s="162" t="str">
        <f>I286</f>
        <v>LD</v>
      </c>
      <c r="J287" s="163"/>
      <c r="K287" s="164"/>
      <c r="L287" s="164">
        <f>M288</f>
        <v>0.001</v>
      </c>
      <c r="M287" s="164"/>
      <c r="N287" s="162"/>
      <c r="O287" s="162"/>
      <c r="P287" s="162"/>
      <c r="Q287" s="165" t="s">
        <v>4907</v>
      </c>
      <c r="R287" s="165"/>
      <c r="S287" s="166" t="e">
        <f>S286</f>
        <v>#REF!</v>
      </c>
      <c r="T287" s="167" t="e">
        <f>T286</f>
        <v>#REF!</v>
      </c>
      <c r="U287" s="167" t="e">
        <f>WORKDAY(IF(T288="",T287,T288),INDEX(U$2:U$5,MATCH($I286,$I$2:$I$5,0)),$BB$10:$BB$141)</f>
        <v>#REF!</v>
      </c>
      <c r="V287" s="167" t="e">
        <f>WORKDAY(IF(U288="",U287,U288),INDEX(V$2:V$5,MATCH($I286,$I$2:$I$5,0)),$BB$10:$BB$141)</f>
        <v>#REF!</v>
      </c>
      <c r="W287" s="167" t="e">
        <f>WORKDAY(IF(V288="",V287,V288),INDEX(W$2:W$5,MATCH($I286,$I$2:$I$5,0)),$BB$10:$BB$141)</f>
        <v>#REF!</v>
      </c>
      <c r="X287" s="167" t="e">
        <f>WORKDAY(IF(#REF!="",#REF!,#REF!),INDEX(X$2:X$5,MATCH($I286,$I$2:$I$5,0)),$BB$10:$BB$141)</f>
        <v>#REF!</v>
      </c>
      <c r="Y287" s="167" t="e">
        <f>WORKDAY(IF(X288="",X287,X288),INDEX(Y$2:Y$5,MATCH($I286,$I$2:$I$5,0)),$BB$10:$BB$141)</f>
        <v>#REF!</v>
      </c>
      <c r="Z287" s="167" t="e">
        <f>WORKDAY(IF(Y288="",Y287,Y288),INDEX(Z$2:Z$5,MATCH($I286,$I$2:$I$5,0)),$BB$10:$BB$141)</f>
        <v>#REF!</v>
      </c>
      <c r="AA287" s="167" t="e">
        <f>WORKDAY(IF(Z288="",Z287,Z288),INDEX(AA$2:AA$5,MATCH($I286,$I$2:$I$5,0)),$BB$10:$BB$141)</f>
        <v>#REF!</v>
      </c>
      <c r="AB287" s="168" t="e">
        <f>AE286+#REF!</f>
        <v>#REF!</v>
      </c>
      <c r="AC287" s="117"/>
      <c r="AD287" s="118"/>
      <c r="AE287" s="184"/>
      <c r="AF287" s="119"/>
      <c r="AG287" s="120"/>
      <c r="AH287" s="121"/>
      <c r="AI287" s="122"/>
      <c r="AJ287" s="118"/>
      <c r="AK287" s="169"/>
      <c r="AL287" s="170"/>
      <c r="AM287" s="159">
        <f t="shared" ref="AM287:AW287" si="334">IF(ISERROR(LOOKUP(AM$6,$S287:$AB287,$S$9:$AB$9)),0,(LOOKUP(AM$6,$S287:$AB287,$S$9:$AB$9)))</f>
        <v>0</v>
      </c>
      <c r="AN287" s="160">
        <f t="shared" si="334"/>
        <v>0</v>
      </c>
      <c r="AO287" s="160">
        <f t="shared" si="334"/>
        <v>0</v>
      </c>
      <c r="AP287" s="160">
        <f t="shared" si="334"/>
        <v>0</v>
      </c>
      <c r="AQ287" s="160">
        <f t="shared" si="334"/>
        <v>0</v>
      </c>
      <c r="AR287" s="160">
        <f t="shared" si="334"/>
        <v>0</v>
      </c>
      <c r="AS287" s="160">
        <f t="shared" si="334"/>
        <v>0</v>
      </c>
      <c r="AT287" s="160">
        <f t="shared" si="334"/>
        <v>0</v>
      </c>
      <c r="AU287" s="160">
        <f t="shared" si="334"/>
        <v>0</v>
      </c>
      <c r="AV287" s="160">
        <f t="shared" si="334"/>
        <v>0</v>
      </c>
      <c r="AW287" s="160">
        <f ca="1" t="shared" si="334"/>
        <v>0</v>
      </c>
      <c r="BB287" s="161"/>
    </row>
    <row r="288" s="21" customFormat="1" ht="18" customHeight="1" spans="1:54">
      <c r="A288" s="125"/>
      <c r="B288" s="185"/>
      <c r="C288" s="127"/>
      <c r="D288" s="128" t="str">
        <f>D286</f>
        <v>PIP</v>
      </c>
      <c r="E288" s="171" t="str">
        <f>E286</f>
        <v>RFQ-054</v>
      </c>
      <c r="F288" s="172" t="str">
        <f>F286</f>
        <v>N</v>
      </c>
      <c r="G288" s="189"/>
      <c r="H288" s="192" t="str">
        <f>H286</f>
        <v>SAFETY SIGNS</v>
      </c>
      <c r="I288" s="171" t="str">
        <f>I286</f>
        <v>LD</v>
      </c>
      <c r="J288" s="172"/>
      <c r="K288" s="173"/>
      <c r="L288" s="173"/>
      <c r="M288" s="173">
        <v>0.001</v>
      </c>
      <c r="N288" s="171"/>
      <c r="O288" s="171"/>
      <c r="P288" s="171"/>
      <c r="Q288" s="174" t="s">
        <v>4908</v>
      </c>
      <c r="R288" s="174"/>
      <c r="S288" s="175"/>
      <c r="T288" s="175"/>
      <c r="U288" s="175"/>
      <c r="V288" s="175"/>
      <c r="W288" s="175"/>
      <c r="X288" s="175"/>
      <c r="Y288" s="175"/>
      <c r="Z288" s="175"/>
      <c r="AA288" s="175"/>
      <c r="AB288" s="175"/>
      <c r="AC288" s="134"/>
      <c r="AD288" s="135"/>
      <c r="AE288" s="186"/>
      <c r="AF288" s="136"/>
      <c r="AG288" s="137"/>
      <c r="AH288" s="138"/>
      <c r="AI288" s="139"/>
      <c r="AJ288" s="135"/>
      <c r="AK288" s="176"/>
      <c r="AL288" s="177"/>
      <c r="AM288" s="178">
        <f t="shared" ref="AM288:AW288" si="335">IF(ISERROR(LOOKUP(AM$6,$S288:$AB288,$S$9:$AB$9)),0,(LOOKUP(AM$6,$S288:$AB288,$S$9:$AB$9)))</f>
        <v>0</v>
      </c>
      <c r="AN288" s="179">
        <f t="shared" si="335"/>
        <v>0</v>
      </c>
      <c r="AO288" s="179">
        <f t="shared" si="335"/>
        <v>0</v>
      </c>
      <c r="AP288" s="179">
        <f t="shared" si="335"/>
        <v>0</v>
      </c>
      <c r="AQ288" s="179">
        <f t="shared" si="335"/>
        <v>0</v>
      </c>
      <c r="AR288" s="179">
        <f t="shared" si="335"/>
        <v>0</v>
      </c>
      <c r="AS288" s="179">
        <f t="shared" si="335"/>
        <v>0</v>
      </c>
      <c r="AT288" s="179">
        <f t="shared" si="335"/>
        <v>0</v>
      </c>
      <c r="AU288" s="179">
        <f t="shared" si="335"/>
        <v>0</v>
      </c>
      <c r="AV288" s="179">
        <f t="shared" si="335"/>
        <v>0</v>
      </c>
      <c r="AW288" s="179">
        <f ca="1" t="shared" si="335"/>
        <v>0</v>
      </c>
      <c r="BB288" s="161"/>
    </row>
    <row r="289" s="21" customFormat="1" ht="18" customHeight="1" spans="1:54">
      <c r="A289" s="81">
        <f>A286+1</f>
        <v>94</v>
      </c>
      <c r="B289" s="180" t="s">
        <v>4967</v>
      </c>
      <c r="C289" s="83" t="s">
        <v>4902</v>
      </c>
      <c r="D289" s="84" t="s">
        <v>4963</v>
      </c>
      <c r="E289" s="153" t="s">
        <v>4964</v>
      </c>
      <c r="F289" s="154" t="s">
        <v>72</v>
      </c>
      <c r="G289" s="187"/>
      <c r="H289" s="86" t="s">
        <v>5002</v>
      </c>
      <c r="I289" s="153" t="s">
        <v>9</v>
      </c>
      <c r="J289" s="154"/>
      <c r="K289" s="155">
        <f>M291</f>
        <v>0.001</v>
      </c>
      <c r="L289" s="155"/>
      <c r="M289" s="155"/>
      <c r="N289" s="153"/>
      <c r="O289" s="153"/>
      <c r="P289" s="153"/>
      <c r="Q289" s="156" t="s">
        <v>4905</v>
      </c>
      <c r="R289" s="156"/>
      <c r="S289" s="181" t="e">
        <f>WORKDAY(T289,-INDEX(T$2:T$5,MATCH($I289,$I$2:$I$5,0)),'[36]Equipment List and MR List (3)'!$A$2:$A$80)</f>
        <v>#REF!</v>
      </c>
      <c r="T289" s="181" t="e">
        <f>WORKDAY(U289,-INDEX(U$2:U$5,MATCH($I289,$I$2:$I$5,0)),$BB$10:$BB$141)</f>
        <v>#REF!</v>
      </c>
      <c r="U289" s="181" t="e">
        <f>WORKDAY(V289,-INDEX(V$2:V$5,MATCH($I289,$I$2:$I$5,0)),$BB$10:$BB$141)</f>
        <v>#REF!</v>
      </c>
      <c r="V289" s="181" t="e">
        <f>WORKDAY(W289,-INDEX(W$2:W$5,MATCH($I289,$I$2:$I$5,0)),$BB$10:$BB$141)</f>
        <v>#REF!</v>
      </c>
      <c r="W289" s="181" t="e">
        <f>WORKDAY(#REF!,-INDEX(#REF!,MATCH($I289,$I$2:$I$5,0)),$BB$10:$BB$141)</f>
        <v>#REF!</v>
      </c>
      <c r="X289" s="181" t="e">
        <f>WORKDAY(Y289,-INDEX(Y$2:Y$5,MATCH($I289,$I$2:$I$5,0)),$BB$10:$BB$141)</f>
        <v>#REF!</v>
      </c>
      <c r="Y289" s="181" t="e">
        <f>WORKDAY(Z289,-INDEX(Z$2:Z$5,MATCH($I289,$I$2:$I$5,0)),$BB$10:$BB$141)</f>
        <v>#REF!</v>
      </c>
      <c r="Z289" s="181" t="e">
        <f>WORKDAY(AA289,-INDEX(AA$2:AA$5,MATCH($I289,$I$2:$I$5,0)),$BB$10:$BB$141)</f>
        <v>#REF!</v>
      </c>
      <c r="AA289" s="181" t="e">
        <f>WORKDAY(#REF!,-INDEX(#REF!,MATCH($I289,$I$2:$I$5,0)),$BB$10:$BB$141)</f>
        <v>#REF!</v>
      </c>
      <c r="AB289" s="181">
        <f>WORKDAY(AG289,0,'[36]Equipment List and MR List (3)'!$A$2:$A$80)</f>
        <v>0</v>
      </c>
      <c r="AC289" s="92" t="s">
        <v>4906</v>
      </c>
      <c r="AD289" s="93">
        <v>7</v>
      </c>
      <c r="AE289" s="182"/>
      <c r="AF289" s="95" t="e">
        <f>AB290</f>
        <v>#REF!</v>
      </c>
      <c r="AG289" s="96"/>
      <c r="AH289" s="97"/>
      <c r="AI289" s="98"/>
      <c r="AJ289" s="93" t="e">
        <f>AG289-AF289</f>
        <v>#REF!</v>
      </c>
      <c r="AK289" s="157"/>
      <c r="AL289" s="158"/>
      <c r="AM289" s="159">
        <f t="shared" ref="AM289:AW289" si="336">IF(ISERROR(LOOKUP(AM$6,$S289:$AB289,$S$9:$AB$9)),0,(LOOKUP(AM$6,$S289:$AB289,$S$9:$AB$9)))</f>
        <v>0.95</v>
      </c>
      <c r="AN289" s="160">
        <f t="shared" si="336"/>
        <v>0.95</v>
      </c>
      <c r="AO289" s="160">
        <f t="shared" si="336"/>
        <v>0.95</v>
      </c>
      <c r="AP289" s="160">
        <f t="shared" si="336"/>
        <v>0.95</v>
      </c>
      <c r="AQ289" s="160">
        <f t="shared" si="336"/>
        <v>0.95</v>
      </c>
      <c r="AR289" s="160">
        <f t="shared" si="336"/>
        <v>0.95</v>
      </c>
      <c r="AS289" s="160">
        <f t="shared" si="336"/>
        <v>0.95</v>
      </c>
      <c r="AT289" s="160">
        <f t="shared" si="336"/>
        <v>0.95</v>
      </c>
      <c r="AU289" s="160">
        <f t="shared" si="336"/>
        <v>0.95</v>
      </c>
      <c r="AV289" s="160">
        <f t="shared" si="336"/>
        <v>0.95</v>
      </c>
      <c r="AW289" s="160">
        <f ca="1" t="shared" si="336"/>
        <v>0.95</v>
      </c>
      <c r="BB289" s="161"/>
    </row>
    <row r="290" s="21" customFormat="1" ht="18" customHeight="1" spans="1:54">
      <c r="A290" s="104"/>
      <c r="B290" s="183"/>
      <c r="C290" s="106"/>
      <c r="D290" s="107" t="str">
        <f>D289</f>
        <v>STR</v>
      </c>
      <c r="E290" s="162" t="str">
        <f>E289</f>
        <v>RFQ-054</v>
      </c>
      <c r="F290" s="163" t="str">
        <f>F289</f>
        <v>N</v>
      </c>
      <c r="G290" s="188"/>
      <c r="H290" s="109" t="str">
        <f>H289</f>
        <v>Jacket Anode</v>
      </c>
      <c r="I290" s="162" t="str">
        <f>I289</f>
        <v>LD</v>
      </c>
      <c r="J290" s="163"/>
      <c r="K290" s="164"/>
      <c r="L290" s="164">
        <f>M291</f>
        <v>0.001</v>
      </c>
      <c r="M290" s="164"/>
      <c r="N290" s="162"/>
      <c r="O290" s="162"/>
      <c r="P290" s="162"/>
      <c r="Q290" s="165" t="s">
        <v>4907</v>
      </c>
      <c r="R290" s="165"/>
      <c r="S290" s="166" t="e">
        <f>S289</f>
        <v>#REF!</v>
      </c>
      <c r="T290" s="167" t="e">
        <f>T289</f>
        <v>#REF!</v>
      </c>
      <c r="U290" s="167" t="e">
        <f>WORKDAY(IF(T291="",T290,T291),INDEX(U$2:U$5,MATCH($I289,$I$2:$I$5,0)),$BB$10:$BB$141)</f>
        <v>#REF!</v>
      </c>
      <c r="V290" s="167" t="e">
        <f>WORKDAY(IF(U291="",U290,U291),INDEX(V$2:V$5,MATCH($I289,$I$2:$I$5,0)),$BB$10:$BB$141)</f>
        <v>#REF!</v>
      </c>
      <c r="W290" s="167" t="e">
        <f>WORKDAY(IF(V291="",V290,V291),INDEX(W$2:W$5,MATCH($I289,$I$2:$I$5,0)),$BB$10:$BB$141)</f>
        <v>#REF!</v>
      </c>
      <c r="X290" s="167" t="e">
        <f>WORKDAY(IF(#REF!="",#REF!,#REF!),INDEX(X$2:X$5,MATCH($I289,$I$2:$I$5,0)),$BB$10:$BB$141)</f>
        <v>#REF!</v>
      </c>
      <c r="Y290" s="167" t="e">
        <f>WORKDAY(IF(X291="",X290,X291),INDEX(Y$2:Y$5,MATCH($I289,$I$2:$I$5,0)),$BB$10:$BB$141)</f>
        <v>#REF!</v>
      </c>
      <c r="Z290" s="167" t="e">
        <f>WORKDAY(IF(Y291="",Y290,Y291),INDEX(Z$2:Z$5,MATCH($I289,$I$2:$I$5,0)),$BB$10:$BB$141)</f>
        <v>#REF!</v>
      </c>
      <c r="AA290" s="167" t="e">
        <f>WORKDAY(IF(Z291="",Z290,Z291),INDEX(AA$2:AA$5,MATCH($I289,$I$2:$I$5,0)),$BB$10:$BB$141)</f>
        <v>#REF!</v>
      </c>
      <c r="AB290" s="168" t="e">
        <f>AE289+#REF!</f>
        <v>#REF!</v>
      </c>
      <c r="AC290" s="117"/>
      <c r="AD290" s="118"/>
      <c r="AE290" s="184"/>
      <c r="AF290" s="119"/>
      <c r="AG290" s="120"/>
      <c r="AH290" s="121"/>
      <c r="AI290" s="122"/>
      <c r="AJ290" s="118"/>
      <c r="AK290" s="169"/>
      <c r="AL290" s="170"/>
      <c r="AM290" s="159">
        <f t="shared" ref="AM290:AW290" si="337">IF(ISERROR(LOOKUP(AM$6,$S290:$AB290,$S$9:$AB$9)),0,(LOOKUP(AM$6,$S290:$AB290,$S$9:$AB$9)))</f>
        <v>0</v>
      </c>
      <c r="AN290" s="160">
        <f t="shared" si="337"/>
        <v>0</v>
      </c>
      <c r="AO290" s="160">
        <f t="shared" si="337"/>
        <v>0</v>
      </c>
      <c r="AP290" s="160">
        <f t="shared" si="337"/>
        <v>0</v>
      </c>
      <c r="AQ290" s="160">
        <f t="shared" si="337"/>
        <v>0</v>
      </c>
      <c r="AR290" s="160">
        <f t="shared" si="337"/>
        <v>0</v>
      </c>
      <c r="AS290" s="160">
        <f t="shared" si="337"/>
        <v>0</v>
      </c>
      <c r="AT290" s="160">
        <f t="shared" si="337"/>
        <v>0</v>
      </c>
      <c r="AU290" s="160">
        <f t="shared" si="337"/>
        <v>0</v>
      </c>
      <c r="AV290" s="160">
        <f t="shared" si="337"/>
        <v>0</v>
      </c>
      <c r="AW290" s="160">
        <f ca="1" t="shared" si="337"/>
        <v>0</v>
      </c>
      <c r="BB290" s="161"/>
    </row>
    <row r="291" s="21" customFormat="1" ht="18" customHeight="1" spans="1:54">
      <c r="A291" s="125"/>
      <c r="B291" s="185"/>
      <c r="C291" s="127"/>
      <c r="D291" s="128" t="str">
        <f>D289</f>
        <v>STR</v>
      </c>
      <c r="E291" s="171" t="str">
        <f>E289</f>
        <v>RFQ-054</v>
      </c>
      <c r="F291" s="172" t="str">
        <f>F289</f>
        <v>N</v>
      </c>
      <c r="G291" s="189"/>
      <c r="H291" s="130" t="str">
        <f>H289</f>
        <v>Jacket Anode</v>
      </c>
      <c r="I291" s="171" t="str">
        <f>I289</f>
        <v>LD</v>
      </c>
      <c r="J291" s="172"/>
      <c r="K291" s="173"/>
      <c r="L291" s="173"/>
      <c r="M291" s="173">
        <v>0.001</v>
      </c>
      <c r="N291" s="171"/>
      <c r="O291" s="171"/>
      <c r="P291" s="171"/>
      <c r="Q291" s="174" t="s">
        <v>4908</v>
      </c>
      <c r="R291" s="174"/>
      <c r="S291" s="175"/>
      <c r="T291" s="175"/>
      <c r="U291" s="175"/>
      <c r="V291" s="175"/>
      <c r="W291" s="175"/>
      <c r="X291" s="175"/>
      <c r="Y291" s="175"/>
      <c r="Z291" s="175"/>
      <c r="AA291" s="175"/>
      <c r="AB291" s="175"/>
      <c r="AC291" s="134"/>
      <c r="AD291" s="135"/>
      <c r="AE291" s="186"/>
      <c r="AF291" s="136"/>
      <c r="AG291" s="137"/>
      <c r="AH291" s="138"/>
      <c r="AI291" s="139"/>
      <c r="AJ291" s="135"/>
      <c r="AK291" s="176"/>
      <c r="AL291" s="177"/>
      <c r="AM291" s="178">
        <f t="shared" ref="AM291:AW291" si="338">IF(ISERROR(LOOKUP(AM$6,$S291:$AB291,$S$9:$AB$9)),0,(LOOKUP(AM$6,$S291:$AB291,$S$9:$AB$9)))</f>
        <v>0</v>
      </c>
      <c r="AN291" s="179">
        <f t="shared" si="338"/>
        <v>0</v>
      </c>
      <c r="AO291" s="179">
        <f t="shared" si="338"/>
        <v>0</v>
      </c>
      <c r="AP291" s="179">
        <f t="shared" si="338"/>
        <v>0</v>
      </c>
      <c r="AQ291" s="179">
        <f t="shared" si="338"/>
        <v>0</v>
      </c>
      <c r="AR291" s="179">
        <f t="shared" si="338"/>
        <v>0</v>
      </c>
      <c r="AS291" s="179">
        <f t="shared" si="338"/>
        <v>0</v>
      </c>
      <c r="AT291" s="179">
        <f t="shared" si="338"/>
        <v>0</v>
      </c>
      <c r="AU291" s="179">
        <f t="shared" si="338"/>
        <v>0</v>
      </c>
      <c r="AV291" s="179">
        <f t="shared" si="338"/>
        <v>0</v>
      </c>
      <c r="AW291" s="179">
        <f ca="1" t="shared" si="338"/>
        <v>0</v>
      </c>
      <c r="BB291" s="161"/>
    </row>
    <row r="292" s="21" customFormat="1" ht="18" customHeight="1" spans="1:54">
      <c r="A292" s="81">
        <f>A289+1</f>
        <v>95</v>
      </c>
      <c r="B292" s="180" t="s">
        <v>4967</v>
      </c>
      <c r="C292" s="83" t="s">
        <v>4902</v>
      </c>
      <c r="D292" s="84" t="s">
        <v>4963</v>
      </c>
      <c r="E292" s="153" t="s">
        <v>4964</v>
      </c>
      <c r="F292" s="154" t="s">
        <v>72</v>
      </c>
      <c r="G292" s="187"/>
      <c r="H292" s="86" t="s">
        <v>5003</v>
      </c>
      <c r="I292" s="153" t="s">
        <v>9</v>
      </c>
      <c r="J292" s="154"/>
      <c r="K292" s="155">
        <f>M294</f>
        <v>0.001</v>
      </c>
      <c r="L292" s="155"/>
      <c r="M292" s="155"/>
      <c r="N292" s="153"/>
      <c r="O292" s="153"/>
      <c r="P292" s="153"/>
      <c r="Q292" s="156" t="s">
        <v>4905</v>
      </c>
      <c r="R292" s="156"/>
      <c r="S292" s="181" t="e">
        <f>WORKDAY(T292,-INDEX(T$2:T$5,MATCH($I292,$I$2:$I$5,0)),'[36]Equipment List and MR List (3)'!$A$2:$A$80)</f>
        <v>#REF!</v>
      </c>
      <c r="T292" s="181" t="e">
        <f>WORKDAY(U292,-INDEX(U$2:U$5,MATCH($I292,$I$2:$I$5,0)),$BB$10:$BB$141)</f>
        <v>#REF!</v>
      </c>
      <c r="U292" s="181" t="e">
        <f>WORKDAY(V292,-INDEX(V$2:V$5,MATCH($I292,$I$2:$I$5,0)),$BB$10:$BB$141)</f>
        <v>#REF!</v>
      </c>
      <c r="V292" s="181" t="e">
        <f>WORKDAY(W292,-INDEX(W$2:W$5,MATCH($I292,$I$2:$I$5,0)),$BB$10:$BB$141)</f>
        <v>#REF!</v>
      </c>
      <c r="W292" s="181" t="e">
        <f>WORKDAY(#REF!,-INDEX(#REF!,MATCH($I292,$I$2:$I$5,0)),$BB$10:$BB$141)</f>
        <v>#REF!</v>
      </c>
      <c r="X292" s="181" t="e">
        <f>WORKDAY(Y292,-INDEX(Y$2:Y$5,MATCH($I292,$I$2:$I$5,0)),$BB$10:$BB$141)</f>
        <v>#REF!</v>
      </c>
      <c r="Y292" s="181" t="e">
        <f>WORKDAY(Z292,-INDEX(Z$2:Z$5,MATCH($I292,$I$2:$I$5,0)),$BB$10:$BB$141)</f>
        <v>#REF!</v>
      </c>
      <c r="Z292" s="181" t="e">
        <f>WORKDAY(AA292,-INDEX(AA$2:AA$5,MATCH($I292,$I$2:$I$5,0)),$BB$10:$BB$141)</f>
        <v>#REF!</v>
      </c>
      <c r="AA292" s="181" t="e">
        <f>WORKDAY(#REF!,-INDEX(#REF!,MATCH($I292,$I$2:$I$5,0)),$BB$10:$BB$141)</f>
        <v>#REF!</v>
      </c>
      <c r="AB292" s="181">
        <f>WORKDAY(AG292,0,'[36]Equipment List and MR List (3)'!$A$2:$A$80)</f>
        <v>0</v>
      </c>
      <c r="AC292" s="92" t="s">
        <v>4906</v>
      </c>
      <c r="AD292" s="93">
        <v>7</v>
      </c>
      <c r="AE292" s="182"/>
      <c r="AF292" s="95" t="e">
        <f>AB293</f>
        <v>#REF!</v>
      </c>
      <c r="AG292" s="96"/>
      <c r="AH292" s="97"/>
      <c r="AI292" s="98"/>
      <c r="AJ292" s="93" t="e">
        <f>AG292-AF292</f>
        <v>#REF!</v>
      </c>
      <c r="AK292" s="157"/>
      <c r="AL292" s="158"/>
      <c r="AM292" s="159">
        <f t="shared" ref="AM292:AW292" si="339">IF(ISERROR(LOOKUP(AM$6,$S292:$AB292,$S$9:$AB$9)),0,(LOOKUP(AM$6,$S292:$AB292,$S$9:$AB$9)))</f>
        <v>0.95</v>
      </c>
      <c r="AN292" s="160">
        <f t="shared" si="339"/>
        <v>0.95</v>
      </c>
      <c r="AO292" s="160">
        <f t="shared" si="339"/>
        <v>0.95</v>
      </c>
      <c r="AP292" s="160">
        <f t="shared" si="339"/>
        <v>0.95</v>
      </c>
      <c r="AQ292" s="160">
        <f t="shared" si="339"/>
        <v>0.95</v>
      </c>
      <c r="AR292" s="160">
        <f t="shared" si="339"/>
        <v>0.95</v>
      </c>
      <c r="AS292" s="160">
        <f t="shared" si="339"/>
        <v>0.95</v>
      </c>
      <c r="AT292" s="160">
        <f t="shared" si="339"/>
        <v>0.95</v>
      </c>
      <c r="AU292" s="160">
        <f t="shared" si="339"/>
        <v>0.95</v>
      </c>
      <c r="AV292" s="160">
        <f t="shared" si="339"/>
        <v>0.95</v>
      </c>
      <c r="AW292" s="160">
        <f ca="1" t="shared" si="339"/>
        <v>0.95</v>
      </c>
      <c r="BB292" s="161"/>
    </row>
    <row r="293" s="21" customFormat="1" ht="18" customHeight="1" spans="1:54">
      <c r="A293" s="104"/>
      <c r="B293" s="183"/>
      <c r="C293" s="106"/>
      <c r="D293" s="107" t="str">
        <f>D292</f>
        <v>STR</v>
      </c>
      <c r="E293" s="162" t="str">
        <f>E292</f>
        <v>RFQ-054</v>
      </c>
      <c r="F293" s="163" t="str">
        <f>F292</f>
        <v>N</v>
      </c>
      <c r="G293" s="188"/>
      <c r="H293" s="109" t="str">
        <f>H292</f>
        <v>Steel Grating</v>
      </c>
      <c r="I293" s="162" t="str">
        <f>I292</f>
        <v>LD</v>
      </c>
      <c r="J293" s="163"/>
      <c r="K293" s="164"/>
      <c r="L293" s="164">
        <f>M294</f>
        <v>0.001</v>
      </c>
      <c r="M293" s="164"/>
      <c r="N293" s="162"/>
      <c r="O293" s="162"/>
      <c r="P293" s="162"/>
      <c r="Q293" s="165" t="s">
        <v>4907</v>
      </c>
      <c r="R293" s="165"/>
      <c r="S293" s="166" t="e">
        <f>S292</f>
        <v>#REF!</v>
      </c>
      <c r="T293" s="167" t="e">
        <f>T292</f>
        <v>#REF!</v>
      </c>
      <c r="U293" s="167" t="e">
        <f>WORKDAY(IF(T294="",T293,T294),INDEX(U$2:U$5,MATCH($I292,$I$2:$I$5,0)),$BB$10:$BB$141)</f>
        <v>#REF!</v>
      </c>
      <c r="V293" s="167" t="e">
        <f>WORKDAY(IF(U294="",U293,U294),INDEX(V$2:V$5,MATCH($I292,$I$2:$I$5,0)),$BB$10:$BB$141)</f>
        <v>#REF!</v>
      </c>
      <c r="W293" s="167" t="e">
        <f>WORKDAY(IF(V294="",V293,V294),INDEX(W$2:W$5,MATCH($I292,$I$2:$I$5,0)),$BB$10:$BB$141)</f>
        <v>#REF!</v>
      </c>
      <c r="X293" s="167" t="e">
        <f>WORKDAY(IF(#REF!="",#REF!,#REF!),INDEX(X$2:X$5,MATCH($I292,$I$2:$I$5,0)),$BB$10:$BB$141)</f>
        <v>#REF!</v>
      </c>
      <c r="Y293" s="167" t="e">
        <f>WORKDAY(IF(X294="",X293,X294),INDEX(Y$2:Y$5,MATCH($I292,$I$2:$I$5,0)),$BB$10:$BB$141)</f>
        <v>#REF!</v>
      </c>
      <c r="Z293" s="167" t="e">
        <f>WORKDAY(IF(Y294="",Y293,Y294),INDEX(Z$2:Z$5,MATCH($I292,$I$2:$I$5,0)),$BB$10:$BB$141)</f>
        <v>#REF!</v>
      </c>
      <c r="AA293" s="167" t="e">
        <f>WORKDAY(IF(Z294="",Z293,Z294),INDEX(AA$2:AA$5,MATCH($I292,$I$2:$I$5,0)),$BB$10:$BB$141)</f>
        <v>#REF!</v>
      </c>
      <c r="AB293" s="168" t="e">
        <f>AE292+#REF!</f>
        <v>#REF!</v>
      </c>
      <c r="AC293" s="117"/>
      <c r="AD293" s="118"/>
      <c r="AE293" s="184"/>
      <c r="AF293" s="119"/>
      <c r="AG293" s="120"/>
      <c r="AH293" s="121"/>
      <c r="AI293" s="122"/>
      <c r="AJ293" s="118"/>
      <c r="AK293" s="169"/>
      <c r="AL293" s="170"/>
      <c r="AM293" s="159">
        <f t="shared" ref="AM293:AW293" si="340">IF(ISERROR(LOOKUP(AM$6,$S293:$AB293,$S$9:$AB$9)),0,(LOOKUP(AM$6,$S293:$AB293,$S$9:$AB$9)))</f>
        <v>0</v>
      </c>
      <c r="AN293" s="160">
        <f t="shared" si="340"/>
        <v>0</v>
      </c>
      <c r="AO293" s="160">
        <f t="shared" si="340"/>
        <v>0</v>
      </c>
      <c r="AP293" s="160">
        <f t="shared" si="340"/>
        <v>0</v>
      </c>
      <c r="AQ293" s="160">
        <f t="shared" si="340"/>
        <v>0</v>
      </c>
      <c r="AR293" s="160">
        <f t="shared" si="340"/>
        <v>0</v>
      </c>
      <c r="AS293" s="160">
        <f t="shared" si="340"/>
        <v>0</v>
      </c>
      <c r="AT293" s="160">
        <f t="shared" si="340"/>
        <v>0</v>
      </c>
      <c r="AU293" s="160">
        <f t="shared" si="340"/>
        <v>0</v>
      </c>
      <c r="AV293" s="160">
        <f t="shared" si="340"/>
        <v>0</v>
      </c>
      <c r="AW293" s="160">
        <f ca="1" t="shared" si="340"/>
        <v>0</v>
      </c>
      <c r="BB293" s="161"/>
    </row>
    <row r="294" s="21" customFormat="1" ht="18" customHeight="1" spans="1:54">
      <c r="A294" s="125"/>
      <c r="B294" s="185"/>
      <c r="C294" s="127"/>
      <c r="D294" s="128" t="str">
        <f>D292</f>
        <v>STR</v>
      </c>
      <c r="E294" s="171" t="str">
        <f>E292</f>
        <v>RFQ-054</v>
      </c>
      <c r="F294" s="172" t="str">
        <f>F292</f>
        <v>N</v>
      </c>
      <c r="G294" s="189"/>
      <c r="H294" s="130" t="str">
        <f>H292</f>
        <v>Steel Grating</v>
      </c>
      <c r="I294" s="171" t="str">
        <f>I292</f>
        <v>LD</v>
      </c>
      <c r="J294" s="172"/>
      <c r="K294" s="173"/>
      <c r="L294" s="173"/>
      <c r="M294" s="173">
        <v>0.001</v>
      </c>
      <c r="N294" s="171"/>
      <c r="O294" s="171"/>
      <c r="P294" s="171"/>
      <c r="Q294" s="174" t="s">
        <v>4908</v>
      </c>
      <c r="R294" s="174"/>
      <c r="S294" s="175"/>
      <c r="T294" s="175"/>
      <c r="U294" s="175"/>
      <c r="V294" s="175"/>
      <c r="W294" s="175"/>
      <c r="X294" s="175"/>
      <c r="Y294" s="175"/>
      <c r="Z294" s="175"/>
      <c r="AA294" s="175"/>
      <c r="AB294" s="175"/>
      <c r="AC294" s="134"/>
      <c r="AD294" s="135"/>
      <c r="AE294" s="186"/>
      <c r="AF294" s="136"/>
      <c r="AG294" s="137"/>
      <c r="AH294" s="138"/>
      <c r="AI294" s="139"/>
      <c r="AJ294" s="135"/>
      <c r="AK294" s="176"/>
      <c r="AL294" s="177"/>
      <c r="AM294" s="178">
        <f t="shared" ref="AM294:AW294" si="341">IF(ISERROR(LOOKUP(AM$6,$S294:$AB294,$S$9:$AB$9)),0,(LOOKUP(AM$6,$S294:$AB294,$S$9:$AB$9)))</f>
        <v>0</v>
      </c>
      <c r="AN294" s="179">
        <f t="shared" si="341"/>
        <v>0</v>
      </c>
      <c r="AO294" s="179">
        <f t="shared" si="341"/>
        <v>0</v>
      </c>
      <c r="AP294" s="179">
        <f t="shared" si="341"/>
        <v>0</v>
      </c>
      <c r="AQ294" s="179">
        <f t="shared" si="341"/>
        <v>0</v>
      </c>
      <c r="AR294" s="179">
        <f t="shared" si="341"/>
        <v>0</v>
      </c>
      <c r="AS294" s="179">
        <f t="shared" si="341"/>
        <v>0</v>
      </c>
      <c r="AT294" s="179">
        <f t="shared" si="341"/>
        <v>0</v>
      </c>
      <c r="AU294" s="179">
        <f t="shared" si="341"/>
        <v>0</v>
      </c>
      <c r="AV294" s="179">
        <f t="shared" si="341"/>
        <v>0</v>
      </c>
      <c r="AW294" s="179">
        <f ca="1" t="shared" si="341"/>
        <v>0</v>
      </c>
      <c r="BB294" s="161"/>
    </row>
    <row r="295" s="21" customFormat="1" ht="18" customHeight="1" spans="1:54">
      <c r="A295" s="81">
        <f>A292+1</f>
        <v>96</v>
      </c>
      <c r="B295" s="180" t="s">
        <v>4967</v>
      </c>
      <c r="C295" s="83" t="s">
        <v>4902</v>
      </c>
      <c r="D295" s="84" t="s">
        <v>5004</v>
      </c>
      <c r="E295" s="153" t="s">
        <v>4964</v>
      </c>
      <c r="F295" s="154" t="s">
        <v>72</v>
      </c>
      <c r="G295" s="187"/>
      <c r="H295" s="86" t="s">
        <v>4981</v>
      </c>
      <c r="I295" s="153" t="s">
        <v>9</v>
      </c>
      <c r="J295" s="154"/>
      <c r="K295" s="155">
        <f>M297</f>
        <v>0.001</v>
      </c>
      <c r="L295" s="155"/>
      <c r="M295" s="155"/>
      <c r="N295" s="153"/>
      <c r="O295" s="153"/>
      <c r="P295" s="153"/>
      <c r="Q295" s="156" t="s">
        <v>4905</v>
      </c>
      <c r="R295" s="156"/>
      <c r="S295" s="181" t="e">
        <f>WORKDAY(T295,-INDEX(T$2:T$5,MATCH($I295,$I$2:$I$5,0)),'[36]Equipment List and MR List (3)'!$A$2:$A$80)</f>
        <v>#REF!</v>
      </c>
      <c r="T295" s="181" t="e">
        <f>WORKDAY(U295,-INDEX(U$2:U$5,MATCH($I295,$I$2:$I$5,0)),$BB$10:$BB$141)</f>
        <v>#REF!</v>
      </c>
      <c r="U295" s="181" t="e">
        <f>WORKDAY(V295,-INDEX(V$2:V$5,MATCH($I295,$I$2:$I$5,0)),$BB$10:$BB$141)</f>
        <v>#REF!</v>
      </c>
      <c r="V295" s="181" t="e">
        <f>WORKDAY(W295,-INDEX(W$2:W$5,MATCH($I295,$I$2:$I$5,0)),$BB$10:$BB$141)</f>
        <v>#REF!</v>
      </c>
      <c r="W295" s="181" t="e">
        <f>WORKDAY(#REF!,-INDEX(#REF!,MATCH($I295,$I$2:$I$5,0)),$BB$10:$BB$141)</f>
        <v>#REF!</v>
      </c>
      <c r="X295" s="181" t="e">
        <f>WORKDAY(Y295,-INDEX(Y$2:Y$5,MATCH($I295,$I$2:$I$5,0)),$BB$10:$BB$141)</f>
        <v>#REF!</v>
      </c>
      <c r="Y295" s="181" t="e">
        <f>WORKDAY(Z295,-INDEX(Z$2:Z$5,MATCH($I295,$I$2:$I$5,0)),$BB$10:$BB$141)</f>
        <v>#REF!</v>
      </c>
      <c r="Z295" s="181" t="e">
        <f>WORKDAY(AA295,-INDEX(AA$2:AA$5,MATCH($I295,$I$2:$I$5,0)),$BB$10:$BB$141)</f>
        <v>#REF!</v>
      </c>
      <c r="AA295" s="181" t="e">
        <f>WORKDAY(#REF!,-INDEX(#REF!,MATCH($I295,$I$2:$I$5,0)),$BB$10:$BB$141)</f>
        <v>#REF!</v>
      </c>
      <c r="AB295" s="181">
        <f>WORKDAY(AG295,0,'[36]Equipment List and MR List (3)'!$A$2:$A$80)</f>
        <v>0</v>
      </c>
      <c r="AC295" s="92" t="s">
        <v>4906</v>
      </c>
      <c r="AD295" s="93">
        <v>7</v>
      </c>
      <c r="AE295" s="182"/>
      <c r="AF295" s="95" t="e">
        <f>AB296</f>
        <v>#REF!</v>
      </c>
      <c r="AG295" s="96"/>
      <c r="AH295" s="97"/>
      <c r="AI295" s="98"/>
      <c r="AJ295" s="93" t="e">
        <f>AG295-AF295</f>
        <v>#REF!</v>
      </c>
      <c r="AK295" s="157"/>
      <c r="AL295" s="158"/>
      <c r="AM295" s="159">
        <f t="shared" ref="AM295:AW295" si="342">IF(ISERROR(LOOKUP(AM$6,$S295:$AB295,$S$9:$AB$9)),0,(LOOKUP(AM$6,$S295:$AB295,$S$9:$AB$9)))</f>
        <v>0.95</v>
      </c>
      <c r="AN295" s="160">
        <f t="shared" si="342"/>
        <v>0.95</v>
      </c>
      <c r="AO295" s="160">
        <f t="shared" si="342"/>
        <v>0.95</v>
      </c>
      <c r="AP295" s="160">
        <f t="shared" si="342"/>
        <v>0.95</v>
      </c>
      <c r="AQ295" s="160">
        <f t="shared" si="342"/>
        <v>0.95</v>
      </c>
      <c r="AR295" s="160">
        <f t="shared" si="342"/>
        <v>0.95</v>
      </c>
      <c r="AS295" s="160">
        <f t="shared" si="342"/>
        <v>0.95</v>
      </c>
      <c r="AT295" s="160">
        <f t="shared" si="342"/>
        <v>0.95</v>
      </c>
      <c r="AU295" s="160">
        <f t="shared" si="342"/>
        <v>0.95</v>
      </c>
      <c r="AV295" s="160">
        <f t="shared" si="342"/>
        <v>0.95</v>
      </c>
      <c r="AW295" s="160">
        <f ca="1" t="shared" si="342"/>
        <v>0.95</v>
      </c>
      <c r="BB295" s="161"/>
    </row>
    <row r="296" s="21" customFormat="1" ht="18" customHeight="1" spans="1:54">
      <c r="A296" s="104"/>
      <c r="B296" s="183"/>
      <c r="C296" s="106"/>
      <c r="D296" s="107" t="str">
        <f>D295</f>
        <v>MIS</v>
      </c>
      <c r="E296" s="162" t="str">
        <f>E295</f>
        <v>RFQ-054</v>
      </c>
      <c r="F296" s="163" t="str">
        <f>F295</f>
        <v>N</v>
      </c>
      <c r="G296" s="188"/>
      <c r="H296" s="109" t="str">
        <f>H295</f>
        <v>Welding Electrode</v>
      </c>
      <c r="I296" s="162" t="str">
        <f>I295</f>
        <v>LD</v>
      </c>
      <c r="J296" s="163"/>
      <c r="K296" s="164"/>
      <c r="L296" s="164">
        <f>M297</f>
        <v>0.001</v>
      </c>
      <c r="M296" s="164"/>
      <c r="N296" s="162"/>
      <c r="O296" s="162"/>
      <c r="P296" s="162"/>
      <c r="Q296" s="165" t="s">
        <v>4907</v>
      </c>
      <c r="R296" s="165"/>
      <c r="S296" s="166" t="e">
        <f>S295</f>
        <v>#REF!</v>
      </c>
      <c r="T296" s="167" t="e">
        <f>T295</f>
        <v>#REF!</v>
      </c>
      <c r="U296" s="167" t="e">
        <f>WORKDAY(IF(T297="",T296,T297),INDEX(U$2:U$5,MATCH($I295,$I$2:$I$5,0)),$BB$10:$BB$141)</f>
        <v>#REF!</v>
      </c>
      <c r="V296" s="167" t="e">
        <f>WORKDAY(IF(U297="",U296,U297),INDEX(V$2:V$5,MATCH($I295,$I$2:$I$5,0)),$BB$10:$BB$141)</f>
        <v>#REF!</v>
      </c>
      <c r="W296" s="167" t="e">
        <f>WORKDAY(IF(V297="",V296,V297),INDEX(W$2:W$5,MATCH($I295,$I$2:$I$5,0)),$BB$10:$BB$141)</f>
        <v>#REF!</v>
      </c>
      <c r="X296" s="167" t="e">
        <f>WORKDAY(IF(#REF!="",#REF!,#REF!),INDEX(X$2:X$5,MATCH($I295,$I$2:$I$5,0)),$BB$10:$BB$141)</f>
        <v>#REF!</v>
      </c>
      <c r="Y296" s="167" t="e">
        <f>WORKDAY(IF(X297="",X296,X297),INDEX(Y$2:Y$5,MATCH($I295,$I$2:$I$5,0)),$BB$10:$BB$141)</f>
        <v>#REF!</v>
      </c>
      <c r="Z296" s="167" t="e">
        <f>WORKDAY(IF(Y297="",Y296,Y297),INDEX(Z$2:Z$5,MATCH($I295,$I$2:$I$5,0)),$BB$10:$BB$141)</f>
        <v>#REF!</v>
      </c>
      <c r="AA296" s="167" t="e">
        <f>WORKDAY(IF(Z297="",Z296,Z297),INDEX(AA$2:AA$5,MATCH($I295,$I$2:$I$5,0)),$BB$10:$BB$141)</f>
        <v>#REF!</v>
      </c>
      <c r="AB296" s="168" t="e">
        <f>AE295+#REF!</f>
        <v>#REF!</v>
      </c>
      <c r="AC296" s="117"/>
      <c r="AD296" s="118"/>
      <c r="AE296" s="184"/>
      <c r="AF296" s="119"/>
      <c r="AG296" s="120"/>
      <c r="AH296" s="121"/>
      <c r="AI296" s="122"/>
      <c r="AJ296" s="118"/>
      <c r="AK296" s="169"/>
      <c r="AL296" s="170"/>
      <c r="AM296" s="159">
        <f t="shared" ref="AM296:AW296" si="343">IF(ISERROR(LOOKUP(AM$6,$S296:$AB296,$S$9:$AB$9)),0,(LOOKUP(AM$6,$S296:$AB296,$S$9:$AB$9)))</f>
        <v>0</v>
      </c>
      <c r="AN296" s="160">
        <f t="shared" si="343"/>
        <v>0</v>
      </c>
      <c r="AO296" s="160">
        <f t="shared" si="343"/>
        <v>0</v>
      </c>
      <c r="AP296" s="160">
        <f t="shared" si="343"/>
        <v>0</v>
      </c>
      <c r="AQ296" s="160">
        <f t="shared" si="343"/>
        <v>0</v>
      </c>
      <c r="AR296" s="160">
        <f t="shared" si="343"/>
        <v>0</v>
      </c>
      <c r="AS296" s="160">
        <f t="shared" si="343"/>
        <v>0</v>
      </c>
      <c r="AT296" s="160">
        <f t="shared" si="343"/>
        <v>0</v>
      </c>
      <c r="AU296" s="160">
        <f t="shared" si="343"/>
        <v>0</v>
      </c>
      <c r="AV296" s="160">
        <f t="shared" si="343"/>
        <v>0</v>
      </c>
      <c r="AW296" s="160">
        <f ca="1" t="shared" si="343"/>
        <v>0</v>
      </c>
      <c r="BB296" s="161"/>
    </row>
    <row r="297" s="21" customFormat="1" ht="18" customHeight="1" spans="1:54">
      <c r="A297" s="125"/>
      <c r="B297" s="185"/>
      <c r="C297" s="127"/>
      <c r="D297" s="128" t="str">
        <f>D295</f>
        <v>MIS</v>
      </c>
      <c r="E297" s="171" t="str">
        <f>E295</f>
        <v>RFQ-054</v>
      </c>
      <c r="F297" s="172" t="str">
        <f>F295</f>
        <v>N</v>
      </c>
      <c r="G297" s="189"/>
      <c r="H297" s="130" t="str">
        <f>H295</f>
        <v>Welding Electrode</v>
      </c>
      <c r="I297" s="171" t="str">
        <f>I295</f>
        <v>LD</v>
      </c>
      <c r="J297" s="172"/>
      <c r="K297" s="173"/>
      <c r="L297" s="173"/>
      <c r="M297" s="173">
        <v>0.001</v>
      </c>
      <c r="N297" s="171"/>
      <c r="O297" s="171"/>
      <c r="P297" s="171"/>
      <c r="Q297" s="174" t="s">
        <v>4908</v>
      </c>
      <c r="R297" s="174"/>
      <c r="S297" s="175"/>
      <c r="T297" s="175"/>
      <c r="U297" s="175"/>
      <c r="V297" s="175"/>
      <c r="W297" s="175"/>
      <c r="X297" s="175"/>
      <c r="Y297" s="175"/>
      <c r="Z297" s="175"/>
      <c r="AA297" s="175"/>
      <c r="AB297" s="175"/>
      <c r="AC297" s="134"/>
      <c r="AD297" s="135"/>
      <c r="AE297" s="186"/>
      <c r="AF297" s="136"/>
      <c r="AG297" s="137"/>
      <c r="AH297" s="138"/>
      <c r="AI297" s="139"/>
      <c r="AJ297" s="135"/>
      <c r="AK297" s="176"/>
      <c r="AL297" s="177"/>
      <c r="AM297" s="178">
        <f t="shared" ref="AM297:AW297" si="344">IF(ISERROR(LOOKUP(AM$6,$S297:$AB297,$S$9:$AB$9)),0,(LOOKUP(AM$6,$S297:$AB297,$S$9:$AB$9)))</f>
        <v>0</v>
      </c>
      <c r="AN297" s="179">
        <f t="shared" si="344"/>
        <v>0</v>
      </c>
      <c r="AO297" s="179">
        <f t="shared" si="344"/>
        <v>0</v>
      </c>
      <c r="AP297" s="179">
        <f t="shared" si="344"/>
        <v>0</v>
      </c>
      <c r="AQ297" s="179">
        <f t="shared" si="344"/>
        <v>0</v>
      </c>
      <c r="AR297" s="179">
        <f t="shared" si="344"/>
        <v>0</v>
      </c>
      <c r="AS297" s="179">
        <f t="shared" si="344"/>
        <v>0</v>
      </c>
      <c r="AT297" s="179">
        <f t="shared" si="344"/>
        <v>0</v>
      </c>
      <c r="AU297" s="179">
        <f t="shared" si="344"/>
        <v>0</v>
      </c>
      <c r="AV297" s="179">
        <f t="shared" si="344"/>
        <v>0</v>
      </c>
      <c r="AW297" s="179">
        <f ca="1" t="shared" si="344"/>
        <v>0</v>
      </c>
      <c r="BB297" s="161"/>
    </row>
    <row r="298" s="21" customFormat="1" ht="18" customHeight="1" spans="1:54">
      <c r="A298" s="81">
        <f>A229+1</f>
        <v>75</v>
      </c>
      <c r="B298" s="180"/>
      <c r="C298" s="83" t="s">
        <v>4902</v>
      </c>
      <c r="D298" s="84"/>
      <c r="E298" s="153" t="s">
        <v>4964</v>
      </c>
      <c r="F298" s="154" t="s">
        <v>72</v>
      </c>
      <c r="G298" s="187"/>
      <c r="H298" s="86"/>
      <c r="I298" s="153" t="s">
        <v>9</v>
      </c>
      <c r="J298" s="154"/>
      <c r="K298" s="155">
        <f>M300</f>
        <v>0.001</v>
      </c>
      <c r="L298" s="155"/>
      <c r="M298" s="155"/>
      <c r="N298" s="153"/>
      <c r="O298" s="153"/>
      <c r="P298" s="153"/>
      <c r="Q298" s="156" t="s">
        <v>4905</v>
      </c>
      <c r="R298" s="156"/>
      <c r="S298" s="181" t="e">
        <f>WORKDAY(T298,-INDEX(T$2:T$5,MATCH($I298,$I$2:$I$5,0)),'[36]Equipment List and MR List (3)'!$A$2:$A$80)</f>
        <v>#REF!</v>
      </c>
      <c r="T298" s="181" t="e">
        <f>WORKDAY(U298,-INDEX(U$2:U$5,MATCH($I298,$I$2:$I$5,0)),$BB$10:$BB$141)</f>
        <v>#REF!</v>
      </c>
      <c r="U298" s="181" t="e">
        <f>WORKDAY(V298,-INDEX(V$2:V$5,MATCH($I298,$I$2:$I$5,0)),$BB$10:$BB$141)</f>
        <v>#REF!</v>
      </c>
      <c r="V298" s="181" t="e">
        <f>WORKDAY(W298,-INDEX(W$2:W$5,MATCH($I298,$I$2:$I$5,0)),$BB$10:$BB$141)</f>
        <v>#REF!</v>
      </c>
      <c r="W298" s="181" t="e">
        <f>WORKDAY(#REF!,-INDEX(#REF!,MATCH($I298,$I$2:$I$5,0)),$BB$10:$BB$141)</f>
        <v>#REF!</v>
      </c>
      <c r="X298" s="181" t="e">
        <f>WORKDAY(Y298,-INDEX(Y$2:Y$5,MATCH($I298,$I$2:$I$5,0)),$BB$10:$BB$141)</f>
        <v>#REF!</v>
      </c>
      <c r="Y298" s="181" t="e">
        <f>WORKDAY(Z298,-INDEX(Z$2:Z$5,MATCH($I298,$I$2:$I$5,0)),$BB$10:$BB$141)</f>
        <v>#REF!</v>
      </c>
      <c r="Z298" s="181" t="e">
        <f>WORKDAY(AA298,-INDEX(AA$2:AA$5,MATCH($I298,$I$2:$I$5,0)),$BB$10:$BB$141)</f>
        <v>#REF!</v>
      </c>
      <c r="AA298" s="181" t="e">
        <f>WORKDAY(#REF!,-INDEX(#REF!,MATCH($I298,$I$2:$I$5,0)),$BB$10:$BB$141)</f>
        <v>#REF!</v>
      </c>
      <c r="AB298" s="181">
        <f>WORKDAY(AG298,0,'[36]Equipment List and MR List (3)'!$A$2:$A$80)</f>
        <v>0</v>
      </c>
      <c r="AC298" s="92" t="s">
        <v>4906</v>
      </c>
      <c r="AD298" s="93">
        <v>7</v>
      </c>
      <c r="AE298" s="182"/>
      <c r="AF298" s="95" t="e">
        <f>AB299</f>
        <v>#REF!</v>
      </c>
      <c r="AG298" s="96"/>
      <c r="AH298" s="97"/>
      <c r="AI298" s="98"/>
      <c r="AJ298" s="93" t="e">
        <f>AG298-AF298</f>
        <v>#REF!</v>
      </c>
      <c r="AK298" s="157"/>
      <c r="AL298" s="158"/>
      <c r="AM298" s="159">
        <f t="shared" ref="AM298:AW298" si="345">IF(ISERROR(LOOKUP(AM$6,$S298:$AB298,$S$9:$AB$9)),0,(LOOKUP(AM$6,$S298:$AB298,$S$9:$AB$9)))</f>
        <v>0.95</v>
      </c>
      <c r="AN298" s="160">
        <f t="shared" si="345"/>
        <v>0.95</v>
      </c>
      <c r="AO298" s="160">
        <f t="shared" si="345"/>
        <v>0.95</v>
      </c>
      <c r="AP298" s="160">
        <f t="shared" si="345"/>
        <v>0.95</v>
      </c>
      <c r="AQ298" s="160">
        <f t="shared" si="345"/>
        <v>0.95</v>
      </c>
      <c r="AR298" s="160">
        <f t="shared" si="345"/>
        <v>0.95</v>
      </c>
      <c r="AS298" s="160">
        <f t="shared" si="345"/>
        <v>0.95</v>
      </c>
      <c r="AT298" s="160">
        <f t="shared" si="345"/>
        <v>0.95</v>
      </c>
      <c r="AU298" s="160">
        <f t="shared" si="345"/>
        <v>0.95</v>
      </c>
      <c r="AV298" s="160">
        <f t="shared" si="345"/>
        <v>0.95</v>
      </c>
      <c r="AW298" s="160">
        <f ca="1" t="shared" si="345"/>
        <v>0.95</v>
      </c>
      <c r="BB298" s="161"/>
    </row>
    <row r="299" s="21" customFormat="1" ht="18" customHeight="1" spans="1:54">
      <c r="A299" s="104"/>
      <c r="B299" s="183"/>
      <c r="C299" s="106"/>
      <c r="D299" s="107"/>
      <c r="E299" s="162" t="str">
        <f>E298</f>
        <v>RFQ-054</v>
      </c>
      <c r="F299" s="163" t="str">
        <f>F298</f>
        <v>N</v>
      </c>
      <c r="G299" s="188"/>
      <c r="H299" s="109"/>
      <c r="I299" s="162" t="str">
        <f>I298</f>
        <v>LD</v>
      </c>
      <c r="J299" s="163"/>
      <c r="K299" s="164"/>
      <c r="L299" s="164">
        <f>M300</f>
        <v>0.001</v>
      </c>
      <c r="M299" s="164"/>
      <c r="N299" s="162"/>
      <c r="O299" s="162"/>
      <c r="P299" s="162"/>
      <c r="Q299" s="165" t="s">
        <v>4907</v>
      </c>
      <c r="R299" s="165"/>
      <c r="S299" s="166" t="e">
        <f>S298</f>
        <v>#REF!</v>
      </c>
      <c r="T299" s="167" t="e">
        <f>T298</f>
        <v>#REF!</v>
      </c>
      <c r="U299" s="167" t="e">
        <f>WORKDAY(IF(T300="",T299,T300),INDEX(U$2:U$5,MATCH($I298,$I$2:$I$5,0)),$BB$10:$BB$141)</f>
        <v>#REF!</v>
      </c>
      <c r="V299" s="167" t="e">
        <f>WORKDAY(IF(U300="",U299,U300),INDEX(V$2:V$5,MATCH($I298,$I$2:$I$5,0)),$BB$10:$BB$141)</f>
        <v>#REF!</v>
      </c>
      <c r="W299" s="167" t="e">
        <f>WORKDAY(IF(V300="",V299,V300),INDEX(W$2:W$5,MATCH($I298,$I$2:$I$5,0)),$BB$10:$BB$141)</f>
        <v>#REF!</v>
      </c>
      <c r="X299" s="167" t="e">
        <f>WORKDAY(IF(#REF!="",#REF!,#REF!),INDEX(X$2:X$5,MATCH($I298,$I$2:$I$5,0)),$BB$10:$BB$141)</f>
        <v>#REF!</v>
      </c>
      <c r="Y299" s="167" t="e">
        <f>WORKDAY(IF(X300="",X299,X300),INDEX(Y$2:Y$5,MATCH($I298,$I$2:$I$5,0)),$BB$10:$BB$141)</f>
        <v>#REF!</v>
      </c>
      <c r="Z299" s="167" t="e">
        <f>WORKDAY(IF(Y300="",Y299,Y300),INDEX(Z$2:Z$5,MATCH($I298,$I$2:$I$5,0)),$BB$10:$BB$141)</f>
        <v>#REF!</v>
      </c>
      <c r="AA299" s="167" t="e">
        <f>WORKDAY(IF(Z300="",Z299,Z300),INDEX(AA$2:AA$5,MATCH($I298,$I$2:$I$5,0)),$BB$10:$BB$141)</f>
        <v>#REF!</v>
      </c>
      <c r="AB299" s="168" t="e">
        <f>AE298+#REF!</f>
        <v>#REF!</v>
      </c>
      <c r="AC299" s="117"/>
      <c r="AD299" s="118"/>
      <c r="AE299" s="184"/>
      <c r="AF299" s="119"/>
      <c r="AG299" s="120"/>
      <c r="AH299" s="121"/>
      <c r="AI299" s="122"/>
      <c r="AJ299" s="118"/>
      <c r="AK299" s="169"/>
      <c r="AL299" s="170"/>
      <c r="AM299" s="159">
        <f t="shared" ref="AM299:AW299" si="346">IF(ISERROR(LOOKUP(AM$6,$S299:$AB299,$S$9:$AB$9)),0,(LOOKUP(AM$6,$S299:$AB299,$S$9:$AB$9)))</f>
        <v>0</v>
      </c>
      <c r="AN299" s="160">
        <f t="shared" si="346"/>
        <v>0</v>
      </c>
      <c r="AO299" s="160">
        <f t="shared" si="346"/>
        <v>0</v>
      </c>
      <c r="AP299" s="160">
        <f t="shared" si="346"/>
        <v>0</v>
      </c>
      <c r="AQ299" s="160">
        <f t="shared" si="346"/>
        <v>0</v>
      </c>
      <c r="AR299" s="160">
        <f t="shared" si="346"/>
        <v>0</v>
      </c>
      <c r="AS299" s="160">
        <f t="shared" si="346"/>
        <v>0</v>
      </c>
      <c r="AT299" s="160">
        <f t="shared" si="346"/>
        <v>0</v>
      </c>
      <c r="AU299" s="160">
        <f t="shared" si="346"/>
        <v>0</v>
      </c>
      <c r="AV299" s="160">
        <f t="shared" si="346"/>
        <v>0</v>
      </c>
      <c r="AW299" s="160">
        <f ca="1" t="shared" si="346"/>
        <v>0</v>
      </c>
      <c r="BB299" s="161"/>
    </row>
    <row r="300" s="21" customFormat="1" ht="18" customHeight="1" spans="1:54">
      <c r="A300" s="125"/>
      <c r="B300" s="185"/>
      <c r="C300" s="127"/>
      <c r="D300" s="128"/>
      <c r="E300" s="171" t="str">
        <f>E298</f>
        <v>RFQ-054</v>
      </c>
      <c r="F300" s="172" t="str">
        <f>F298</f>
        <v>N</v>
      </c>
      <c r="G300" s="189"/>
      <c r="H300" s="130"/>
      <c r="I300" s="171" t="str">
        <f>I298</f>
        <v>LD</v>
      </c>
      <c r="J300" s="172"/>
      <c r="K300" s="173"/>
      <c r="L300" s="173"/>
      <c r="M300" s="173">
        <v>0.001</v>
      </c>
      <c r="N300" s="171"/>
      <c r="O300" s="171"/>
      <c r="P300" s="171"/>
      <c r="Q300" s="174" t="s">
        <v>4908</v>
      </c>
      <c r="R300" s="174"/>
      <c r="S300" s="175"/>
      <c r="T300" s="175"/>
      <c r="U300" s="175"/>
      <c r="V300" s="175"/>
      <c r="W300" s="175"/>
      <c r="X300" s="175"/>
      <c r="Y300" s="175"/>
      <c r="Z300" s="175"/>
      <c r="AA300" s="175"/>
      <c r="AB300" s="175"/>
      <c r="AC300" s="134"/>
      <c r="AD300" s="135"/>
      <c r="AE300" s="186"/>
      <c r="AF300" s="136"/>
      <c r="AG300" s="137"/>
      <c r="AH300" s="138"/>
      <c r="AI300" s="139"/>
      <c r="AJ300" s="135"/>
      <c r="AK300" s="176"/>
      <c r="AL300" s="177"/>
      <c r="AM300" s="178">
        <f t="shared" ref="AM300:AW300" si="347">IF(ISERROR(LOOKUP(AM$6,$S300:$AB300,$S$9:$AB$9)),0,(LOOKUP(AM$6,$S300:$AB300,$S$9:$AB$9)))</f>
        <v>0</v>
      </c>
      <c r="AN300" s="179">
        <f t="shared" si="347"/>
        <v>0</v>
      </c>
      <c r="AO300" s="179">
        <f t="shared" si="347"/>
        <v>0</v>
      </c>
      <c r="AP300" s="179">
        <f t="shared" si="347"/>
        <v>0</v>
      </c>
      <c r="AQ300" s="179">
        <f t="shared" si="347"/>
        <v>0</v>
      </c>
      <c r="AR300" s="179">
        <f t="shared" si="347"/>
        <v>0</v>
      </c>
      <c r="AS300" s="179">
        <f t="shared" si="347"/>
        <v>0</v>
      </c>
      <c r="AT300" s="179">
        <f t="shared" si="347"/>
        <v>0</v>
      </c>
      <c r="AU300" s="179">
        <f t="shared" si="347"/>
        <v>0</v>
      </c>
      <c r="AV300" s="179">
        <f t="shared" si="347"/>
        <v>0</v>
      </c>
      <c r="AW300" s="179">
        <f ca="1" t="shared" si="347"/>
        <v>0</v>
      </c>
      <c r="BB300" s="161"/>
    </row>
    <row r="301" ht="20.1" customHeight="1" spans="1:54">
      <c r="E301" s="29"/>
    </row>
    <row r="303" ht="20.1" customHeight="1" spans="1:54">
      <c r="AH303" s="32" t="s">
        <v>5005</v>
      </c>
    </row>
  </sheetData>
  <protectedRanges>
    <protectedRange password="C5A1" sqref="H5 AD5:AK5" name="区域1"/>
  </protectedRanges>
  <mergeCells count="794">
    <mergeCell ref="A6:A7"/>
    <mergeCell ref="A10:A12"/>
    <mergeCell ref="A13:A15"/>
    <mergeCell ref="A16:A18"/>
    <mergeCell ref="A19:A21"/>
    <mergeCell ref="A22:A24"/>
    <mergeCell ref="A25:A27"/>
    <mergeCell ref="A28:A30"/>
    <mergeCell ref="A31:A33"/>
    <mergeCell ref="A34:A36"/>
    <mergeCell ref="A37:A39"/>
    <mergeCell ref="A40:A42"/>
    <mergeCell ref="A43:A45"/>
    <mergeCell ref="A46:A48"/>
    <mergeCell ref="A49:A51"/>
    <mergeCell ref="A52:A54"/>
    <mergeCell ref="A55:A57"/>
    <mergeCell ref="A58:A60"/>
    <mergeCell ref="A61:A63"/>
    <mergeCell ref="A64:A66"/>
    <mergeCell ref="A67:A69"/>
    <mergeCell ref="A70:A72"/>
    <mergeCell ref="A73:A75"/>
    <mergeCell ref="A76:A78"/>
    <mergeCell ref="A79:A81"/>
    <mergeCell ref="A82:A84"/>
    <mergeCell ref="A85:A87"/>
    <mergeCell ref="A88:A90"/>
    <mergeCell ref="A91:A93"/>
    <mergeCell ref="A94:A96"/>
    <mergeCell ref="A97:A99"/>
    <mergeCell ref="A100:A102"/>
    <mergeCell ref="A103:A105"/>
    <mergeCell ref="A106:A108"/>
    <mergeCell ref="A109:A111"/>
    <mergeCell ref="A112:A114"/>
    <mergeCell ref="A115:A117"/>
    <mergeCell ref="A118:A120"/>
    <mergeCell ref="A121:A123"/>
    <mergeCell ref="A124:A126"/>
    <mergeCell ref="A127:A129"/>
    <mergeCell ref="A130:A132"/>
    <mergeCell ref="A133:A135"/>
    <mergeCell ref="A136:A138"/>
    <mergeCell ref="A139:A141"/>
    <mergeCell ref="A142:A144"/>
    <mergeCell ref="A145:A147"/>
    <mergeCell ref="A148:A150"/>
    <mergeCell ref="A151:A153"/>
    <mergeCell ref="A154:A156"/>
    <mergeCell ref="A157:A159"/>
    <mergeCell ref="A160:A162"/>
    <mergeCell ref="A163:A165"/>
    <mergeCell ref="A166:A168"/>
    <mergeCell ref="A169:A171"/>
    <mergeCell ref="A172:A174"/>
    <mergeCell ref="A175:A177"/>
    <mergeCell ref="A178:A180"/>
    <mergeCell ref="A181:A183"/>
    <mergeCell ref="A184:A186"/>
    <mergeCell ref="A187:A189"/>
    <mergeCell ref="A190:A192"/>
    <mergeCell ref="A193:A195"/>
    <mergeCell ref="A196:A198"/>
    <mergeCell ref="A199:A201"/>
    <mergeCell ref="A202:A204"/>
    <mergeCell ref="A205:A207"/>
    <mergeCell ref="A208:A210"/>
    <mergeCell ref="A211:A213"/>
    <mergeCell ref="A214:A216"/>
    <mergeCell ref="A217:A219"/>
    <mergeCell ref="A220:A222"/>
    <mergeCell ref="A223:A225"/>
    <mergeCell ref="A226:A228"/>
    <mergeCell ref="A229:A231"/>
    <mergeCell ref="A232:A234"/>
    <mergeCell ref="A235:A237"/>
    <mergeCell ref="A238:A240"/>
    <mergeCell ref="A241:A243"/>
    <mergeCell ref="A244:A246"/>
    <mergeCell ref="A247:A249"/>
    <mergeCell ref="A250:A252"/>
    <mergeCell ref="A253:A255"/>
    <mergeCell ref="A256:A258"/>
    <mergeCell ref="A259:A261"/>
    <mergeCell ref="A262:A264"/>
    <mergeCell ref="A265:A267"/>
    <mergeCell ref="A268:A270"/>
    <mergeCell ref="A271:A273"/>
    <mergeCell ref="A274:A276"/>
    <mergeCell ref="A277:A279"/>
    <mergeCell ref="A280:A282"/>
    <mergeCell ref="A283:A285"/>
    <mergeCell ref="A286:A288"/>
    <mergeCell ref="A289:A291"/>
    <mergeCell ref="A292:A294"/>
    <mergeCell ref="A295:A297"/>
    <mergeCell ref="A298:A300"/>
    <mergeCell ref="B6:B7"/>
    <mergeCell ref="B10:B12"/>
    <mergeCell ref="B16:B18"/>
    <mergeCell ref="B19:B21"/>
    <mergeCell ref="B22:B24"/>
    <mergeCell ref="B25:B27"/>
    <mergeCell ref="B31:B33"/>
    <mergeCell ref="B34:B36"/>
    <mergeCell ref="B37:B39"/>
    <mergeCell ref="B40:B42"/>
    <mergeCell ref="B43:B45"/>
    <mergeCell ref="B46:B48"/>
    <mergeCell ref="B49:B51"/>
    <mergeCell ref="B61:B63"/>
    <mergeCell ref="B91:B93"/>
    <mergeCell ref="B169:B171"/>
    <mergeCell ref="B172:B174"/>
    <mergeCell ref="B175:B177"/>
    <mergeCell ref="B178:B180"/>
    <mergeCell ref="C6:C7"/>
    <mergeCell ref="C10:C12"/>
    <mergeCell ref="C13:C15"/>
    <mergeCell ref="C16:C18"/>
    <mergeCell ref="C19:C21"/>
    <mergeCell ref="C22:C24"/>
    <mergeCell ref="C25:C27"/>
    <mergeCell ref="C28:C30"/>
    <mergeCell ref="C31:C33"/>
    <mergeCell ref="C34:C36"/>
    <mergeCell ref="C37:C39"/>
    <mergeCell ref="C40:C42"/>
    <mergeCell ref="C43:C45"/>
    <mergeCell ref="C46:C48"/>
    <mergeCell ref="C49:C51"/>
    <mergeCell ref="C52:C54"/>
    <mergeCell ref="C55:C57"/>
    <mergeCell ref="C58:C60"/>
    <mergeCell ref="C61:C63"/>
    <mergeCell ref="C64:C66"/>
    <mergeCell ref="C67:C69"/>
    <mergeCell ref="C70:C72"/>
    <mergeCell ref="C73:C75"/>
    <mergeCell ref="C76:C78"/>
    <mergeCell ref="C79:C81"/>
    <mergeCell ref="C82:C84"/>
    <mergeCell ref="C85:C87"/>
    <mergeCell ref="C88:C90"/>
    <mergeCell ref="C91:C93"/>
    <mergeCell ref="C94:C96"/>
    <mergeCell ref="C97:C99"/>
    <mergeCell ref="C100:C102"/>
    <mergeCell ref="C103:C105"/>
    <mergeCell ref="C106:C108"/>
    <mergeCell ref="C109:C111"/>
    <mergeCell ref="C112:C114"/>
    <mergeCell ref="C115:C117"/>
    <mergeCell ref="C118:C120"/>
    <mergeCell ref="C121:C123"/>
    <mergeCell ref="C124:C126"/>
    <mergeCell ref="C127:C129"/>
    <mergeCell ref="C130:C132"/>
    <mergeCell ref="C133:C135"/>
    <mergeCell ref="C136:C138"/>
    <mergeCell ref="C139:C141"/>
    <mergeCell ref="C142:C144"/>
    <mergeCell ref="C145:C147"/>
    <mergeCell ref="C148:C150"/>
    <mergeCell ref="C151:C153"/>
    <mergeCell ref="C154:C156"/>
    <mergeCell ref="C157:C159"/>
    <mergeCell ref="C160:C162"/>
    <mergeCell ref="C163:C165"/>
    <mergeCell ref="C166:C168"/>
    <mergeCell ref="C169:C171"/>
    <mergeCell ref="C172:C174"/>
    <mergeCell ref="C175:C177"/>
    <mergeCell ref="C178:C180"/>
    <mergeCell ref="C181:C183"/>
    <mergeCell ref="C184:C186"/>
    <mergeCell ref="C187:C189"/>
    <mergeCell ref="C190:C192"/>
    <mergeCell ref="C193:C195"/>
    <mergeCell ref="C196:C198"/>
    <mergeCell ref="C199:C201"/>
    <mergeCell ref="C202:C204"/>
    <mergeCell ref="C205:C207"/>
    <mergeCell ref="C208:C210"/>
    <mergeCell ref="C211:C213"/>
    <mergeCell ref="C214:C216"/>
    <mergeCell ref="C217:C219"/>
    <mergeCell ref="C220:C222"/>
    <mergeCell ref="C223:C225"/>
    <mergeCell ref="C226:C228"/>
    <mergeCell ref="C229:C231"/>
    <mergeCell ref="C232:C234"/>
    <mergeCell ref="C235:C237"/>
    <mergeCell ref="C238:C240"/>
    <mergeCell ref="C241:C243"/>
    <mergeCell ref="C244:C246"/>
    <mergeCell ref="C247:C249"/>
    <mergeCell ref="C250:C252"/>
    <mergeCell ref="C253:C255"/>
    <mergeCell ref="C256:C258"/>
    <mergeCell ref="C259:C261"/>
    <mergeCell ref="C262:C264"/>
    <mergeCell ref="C265:C267"/>
    <mergeCell ref="C268:C270"/>
    <mergeCell ref="C271:C273"/>
    <mergeCell ref="C274:C276"/>
    <mergeCell ref="C277:C279"/>
    <mergeCell ref="C280:C282"/>
    <mergeCell ref="C283:C285"/>
    <mergeCell ref="C286:C288"/>
    <mergeCell ref="C289:C291"/>
    <mergeCell ref="C292:C294"/>
    <mergeCell ref="C295:C297"/>
    <mergeCell ref="C298:C300"/>
    <mergeCell ref="D6:D7"/>
    <mergeCell ref="E6:E7"/>
    <mergeCell ref="G6:G7"/>
    <mergeCell ref="G10:G12"/>
    <mergeCell ref="G13:G15"/>
    <mergeCell ref="G16:G18"/>
    <mergeCell ref="G19:G21"/>
    <mergeCell ref="G22:G24"/>
    <mergeCell ref="G25:G27"/>
    <mergeCell ref="G28:G30"/>
    <mergeCell ref="G31:G33"/>
    <mergeCell ref="G34:G36"/>
    <mergeCell ref="G37:G39"/>
    <mergeCell ref="G40:G42"/>
    <mergeCell ref="G43:G45"/>
    <mergeCell ref="G46:G48"/>
    <mergeCell ref="G49:G51"/>
    <mergeCell ref="G52:G54"/>
    <mergeCell ref="G55:G57"/>
    <mergeCell ref="G58:G60"/>
    <mergeCell ref="G61:G63"/>
    <mergeCell ref="G64:G66"/>
    <mergeCell ref="G67:G69"/>
    <mergeCell ref="G70:G72"/>
    <mergeCell ref="G73:G75"/>
    <mergeCell ref="G76:G78"/>
    <mergeCell ref="G79:G81"/>
    <mergeCell ref="G82:G84"/>
    <mergeCell ref="G85:G87"/>
    <mergeCell ref="G88:G90"/>
    <mergeCell ref="G91:G93"/>
    <mergeCell ref="G94:G96"/>
    <mergeCell ref="G97:G99"/>
    <mergeCell ref="G100:G102"/>
    <mergeCell ref="G103:G105"/>
    <mergeCell ref="G106:G108"/>
    <mergeCell ref="G109:G111"/>
    <mergeCell ref="G112:G114"/>
    <mergeCell ref="G115:G117"/>
    <mergeCell ref="G118:G120"/>
    <mergeCell ref="G121:G123"/>
    <mergeCell ref="G124:G126"/>
    <mergeCell ref="G127:G129"/>
    <mergeCell ref="G130:G132"/>
    <mergeCell ref="G133:G135"/>
    <mergeCell ref="G136:G138"/>
    <mergeCell ref="G139:G141"/>
    <mergeCell ref="G142:G144"/>
    <mergeCell ref="G145:G147"/>
    <mergeCell ref="G148:G150"/>
    <mergeCell ref="G151:G153"/>
    <mergeCell ref="G154:G156"/>
    <mergeCell ref="G157:G159"/>
    <mergeCell ref="G160:G162"/>
    <mergeCell ref="G163:G165"/>
    <mergeCell ref="G166:G168"/>
    <mergeCell ref="G169:G171"/>
    <mergeCell ref="G172:G174"/>
    <mergeCell ref="G175:G177"/>
    <mergeCell ref="G178:G180"/>
    <mergeCell ref="G181:G183"/>
    <mergeCell ref="G184:G186"/>
    <mergeCell ref="G187:G189"/>
    <mergeCell ref="G190:G192"/>
    <mergeCell ref="G193:G195"/>
    <mergeCell ref="G196:G198"/>
    <mergeCell ref="G199:G201"/>
    <mergeCell ref="G202:G204"/>
    <mergeCell ref="G205:G207"/>
    <mergeCell ref="H6:H7"/>
    <mergeCell ref="I6:I7"/>
    <mergeCell ref="J6:J7"/>
    <mergeCell ref="Q6:Q7"/>
    <mergeCell ref="R6:R7"/>
    <mergeCell ref="S6:S7"/>
    <mergeCell ref="T6:T7"/>
    <mergeCell ref="U6:U7"/>
    <mergeCell ref="V6:V7"/>
    <mergeCell ref="W6:W7"/>
    <mergeCell ref="X6:X7"/>
    <mergeCell ref="Y6:Y7"/>
    <mergeCell ref="Z6:Z7"/>
    <mergeCell ref="AA6:AA7"/>
    <mergeCell ref="AB6:AB7"/>
    <mergeCell ref="AC6:AC7"/>
    <mergeCell ref="AC10:AC12"/>
    <mergeCell ref="AC13:AC15"/>
    <mergeCell ref="AC16:AC18"/>
    <mergeCell ref="AC19:AC21"/>
    <mergeCell ref="AC22:AC24"/>
    <mergeCell ref="AC25:AC27"/>
    <mergeCell ref="AC28:AC30"/>
    <mergeCell ref="AC31:AC33"/>
    <mergeCell ref="AC34:AC36"/>
    <mergeCell ref="AC37:AC39"/>
    <mergeCell ref="AC40:AC42"/>
    <mergeCell ref="AC43:AC45"/>
    <mergeCell ref="AC46:AC48"/>
    <mergeCell ref="AC49:AC51"/>
    <mergeCell ref="AC52:AC54"/>
    <mergeCell ref="AC55:AC57"/>
    <mergeCell ref="AC58:AC60"/>
    <mergeCell ref="AC61:AC63"/>
    <mergeCell ref="AC64:AC66"/>
    <mergeCell ref="AC67:AC69"/>
    <mergeCell ref="AC70:AC72"/>
    <mergeCell ref="AC73:AC75"/>
    <mergeCell ref="AC76:AC78"/>
    <mergeCell ref="AC79:AC81"/>
    <mergeCell ref="AC82:AC84"/>
    <mergeCell ref="AC85:AC87"/>
    <mergeCell ref="AC88:AC90"/>
    <mergeCell ref="AC91:AC93"/>
    <mergeCell ref="AC94:AC96"/>
    <mergeCell ref="AC97:AC99"/>
    <mergeCell ref="AC100:AC102"/>
    <mergeCell ref="AC103:AC105"/>
    <mergeCell ref="AC106:AC108"/>
    <mergeCell ref="AC109:AC111"/>
    <mergeCell ref="AC112:AC114"/>
    <mergeCell ref="AC115:AC117"/>
    <mergeCell ref="AC118:AC120"/>
    <mergeCell ref="AC121:AC123"/>
    <mergeCell ref="AC124:AC126"/>
    <mergeCell ref="AC127:AC129"/>
    <mergeCell ref="AC130:AC132"/>
    <mergeCell ref="AC133:AC135"/>
    <mergeCell ref="AC136:AC138"/>
    <mergeCell ref="AC139:AC141"/>
    <mergeCell ref="AC142:AC144"/>
    <mergeCell ref="AC145:AC147"/>
    <mergeCell ref="AC148:AC150"/>
    <mergeCell ref="AC151:AC153"/>
    <mergeCell ref="AC154:AC156"/>
    <mergeCell ref="AC157:AC159"/>
    <mergeCell ref="AC160:AC162"/>
    <mergeCell ref="AC163:AC165"/>
    <mergeCell ref="AC166:AC168"/>
    <mergeCell ref="AC169:AC171"/>
    <mergeCell ref="AC172:AC174"/>
    <mergeCell ref="AC175:AC177"/>
    <mergeCell ref="AC178:AC180"/>
    <mergeCell ref="AC181:AC183"/>
    <mergeCell ref="AC184:AC186"/>
    <mergeCell ref="AC187:AC189"/>
    <mergeCell ref="AC190:AC192"/>
    <mergeCell ref="AC193:AC195"/>
    <mergeCell ref="AC196:AC198"/>
    <mergeCell ref="AC199:AC201"/>
    <mergeCell ref="AC202:AC204"/>
    <mergeCell ref="AC205:AC207"/>
    <mergeCell ref="AC208:AC210"/>
    <mergeCell ref="AC211:AC213"/>
    <mergeCell ref="AC214:AC216"/>
    <mergeCell ref="AC217:AC219"/>
    <mergeCell ref="AC220:AC222"/>
    <mergeCell ref="AC223:AC225"/>
    <mergeCell ref="AC226:AC228"/>
    <mergeCell ref="AC229:AC231"/>
    <mergeCell ref="AC232:AC234"/>
    <mergeCell ref="AC235:AC237"/>
    <mergeCell ref="AC238:AC240"/>
    <mergeCell ref="AC241:AC243"/>
    <mergeCell ref="AC244:AC246"/>
    <mergeCell ref="AC247:AC249"/>
    <mergeCell ref="AC250:AC252"/>
    <mergeCell ref="AC253:AC255"/>
    <mergeCell ref="AC256:AC258"/>
    <mergeCell ref="AC259:AC261"/>
    <mergeCell ref="AC262:AC264"/>
    <mergeCell ref="AC265:AC267"/>
    <mergeCell ref="AC268:AC270"/>
    <mergeCell ref="AC271:AC273"/>
    <mergeCell ref="AC274:AC276"/>
    <mergeCell ref="AC277:AC279"/>
    <mergeCell ref="AC280:AC282"/>
    <mergeCell ref="AC283:AC285"/>
    <mergeCell ref="AC286:AC288"/>
    <mergeCell ref="AC289:AC291"/>
    <mergeCell ref="AC292:AC294"/>
    <mergeCell ref="AC295:AC297"/>
    <mergeCell ref="AC298:AC300"/>
    <mergeCell ref="AD6:AD7"/>
    <mergeCell ref="AE6:AE7"/>
    <mergeCell ref="AE10:AE12"/>
    <mergeCell ref="AE13:AE15"/>
    <mergeCell ref="AE16:AE18"/>
    <mergeCell ref="AE19:AE21"/>
    <mergeCell ref="AE22:AE24"/>
    <mergeCell ref="AE25:AE27"/>
    <mergeCell ref="AE28:AE30"/>
    <mergeCell ref="AE31:AE33"/>
    <mergeCell ref="AE34:AE36"/>
    <mergeCell ref="AE37:AE39"/>
    <mergeCell ref="AE40:AE42"/>
    <mergeCell ref="AE43:AE45"/>
    <mergeCell ref="AE46:AE48"/>
    <mergeCell ref="AE49:AE51"/>
    <mergeCell ref="AE52:AE54"/>
    <mergeCell ref="AE55:AE57"/>
    <mergeCell ref="AE58:AE60"/>
    <mergeCell ref="AE61:AE63"/>
    <mergeCell ref="AE64:AE66"/>
    <mergeCell ref="AE67:AE69"/>
    <mergeCell ref="AE70:AE72"/>
    <mergeCell ref="AE73:AE75"/>
    <mergeCell ref="AE76:AE78"/>
    <mergeCell ref="AE79:AE81"/>
    <mergeCell ref="AE82:AE84"/>
    <mergeCell ref="AE85:AE87"/>
    <mergeCell ref="AE88:AE90"/>
    <mergeCell ref="AE91:AE93"/>
    <mergeCell ref="AE94:AE96"/>
    <mergeCell ref="AE97:AE99"/>
    <mergeCell ref="AE100:AE102"/>
    <mergeCell ref="AE103:AE105"/>
    <mergeCell ref="AE106:AE108"/>
    <mergeCell ref="AE109:AE111"/>
    <mergeCell ref="AE112:AE114"/>
    <mergeCell ref="AE115:AE117"/>
    <mergeCell ref="AE118:AE120"/>
    <mergeCell ref="AE121:AE123"/>
    <mergeCell ref="AE124:AE126"/>
    <mergeCell ref="AE127:AE129"/>
    <mergeCell ref="AE130:AE132"/>
    <mergeCell ref="AE133:AE135"/>
    <mergeCell ref="AE136:AE138"/>
    <mergeCell ref="AE139:AE141"/>
    <mergeCell ref="AE142:AE144"/>
    <mergeCell ref="AE145:AE147"/>
    <mergeCell ref="AE148:AE150"/>
    <mergeCell ref="AE151:AE153"/>
    <mergeCell ref="AE154:AE156"/>
    <mergeCell ref="AE157:AE159"/>
    <mergeCell ref="AE160:AE162"/>
    <mergeCell ref="AE163:AE165"/>
    <mergeCell ref="AE166:AE168"/>
    <mergeCell ref="AE169:AE171"/>
    <mergeCell ref="AE172:AE174"/>
    <mergeCell ref="AE175:AE177"/>
    <mergeCell ref="AE178:AE180"/>
    <mergeCell ref="AE181:AE183"/>
    <mergeCell ref="AE184:AE186"/>
    <mergeCell ref="AE187:AE189"/>
    <mergeCell ref="AE190:AE192"/>
    <mergeCell ref="AE193:AE195"/>
    <mergeCell ref="AE196:AE198"/>
    <mergeCell ref="AE199:AE201"/>
    <mergeCell ref="AE202:AE204"/>
    <mergeCell ref="AE205:AE207"/>
    <mergeCell ref="AE208:AE210"/>
    <mergeCell ref="AE211:AE213"/>
    <mergeCell ref="AE214:AE216"/>
    <mergeCell ref="AE217:AE219"/>
    <mergeCell ref="AE220:AE222"/>
    <mergeCell ref="AE223:AE225"/>
    <mergeCell ref="AE226:AE228"/>
    <mergeCell ref="AE229:AE231"/>
    <mergeCell ref="AE232:AE234"/>
    <mergeCell ref="AE235:AE237"/>
    <mergeCell ref="AE238:AE240"/>
    <mergeCell ref="AE241:AE243"/>
    <mergeCell ref="AE244:AE246"/>
    <mergeCell ref="AE247:AE249"/>
    <mergeCell ref="AE250:AE252"/>
    <mergeCell ref="AE253:AE255"/>
    <mergeCell ref="AE256:AE258"/>
    <mergeCell ref="AE259:AE261"/>
    <mergeCell ref="AE262:AE264"/>
    <mergeCell ref="AE265:AE267"/>
    <mergeCell ref="AE268:AE270"/>
    <mergeCell ref="AE271:AE273"/>
    <mergeCell ref="AE274:AE276"/>
    <mergeCell ref="AE277:AE279"/>
    <mergeCell ref="AE280:AE282"/>
    <mergeCell ref="AE283:AE285"/>
    <mergeCell ref="AE286:AE288"/>
    <mergeCell ref="AE289:AE291"/>
    <mergeCell ref="AE292:AE294"/>
    <mergeCell ref="AE295:AE297"/>
    <mergeCell ref="AE298:AE300"/>
    <mergeCell ref="AF6:AF7"/>
    <mergeCell ref="AF10:AF12"/>
    <mergeCell ref="AF13:AF15"/>
    <mergeCell ref="AF16:AF18"/>
    <mergeCell ref="AF19:AF21"/>
    <mergeCell ref="AF22:AF24"/>
    <mergeCell ref="AF25:AF27"/>
    <mergeCell ref="AF28:AF30"/>
    <mergeCell ref="AF31:AF33"/>
    <mergeCell ref="AF34:AF36"/>
    <mergeCell ref="AF37:AF39"/>
    <mergeCell ref="AF40:AF42"/>
    <mergeCell ref="AF43:AF45"/>
    <mergeCell ref="AF46:AF48"/>
    <mergeCell ref="AF49:AF51"/>
    <mergeCell ref="AF52:AF54"/>
    <mergeCell ref="AF55:AF57"/>
    <mergeCell ref="AF58:AF60"/>
    <mergeCell ref="AF61:AF63"/>
    <mergeCell ref="AF64:AF66"/>
    <mergeCell ref="AF67:AF69"/>
    <mergeCell ref="AF70:AF72"/>
    <mergeCell ref="AF73:AF75"/>
    <mergeCell ref="AF76:AF78"/>
    <mergeCell ref="AF79:AF81"/>
    <mergeCell ref="AF82:AF84"/>
    <mergeCell ref="AF85:AF87"/>
    <mergeCell ref="AF88:AF90"/>
    <mergeCell ref="AF91:AF93"/>
    <mergeCell ref="AF94:AF96"/>
    <mergeCell ref="AF97:AF99"/>
    <mergeCell ref="AF100:AF102"/>
    <mergeCell ref="AF103:AF105"/>
    <mergeCell ref="AF106:AF108"/>
    <mergeCell ref="AF109:AF111"/>
    <mergeCell ref="AF112:AF114"/>
    <mergeCell ref="AF115:AF117"/>
    <mergeCell ref="AF118:AF120"/>
    <mergeCell ref="AF121:AF123"/>
    <mergeCell ref="AF124:AF126"/>
    <mergeCell ref="AF127:AF129"/>
    <mergeCell ref="AF130:AF132"/>
    <mergeCell ref="AF133:AF135"/>
    <mergeCell ref="AF136:AF138"/>
    <mergeCell ref="AF139:AF141"/>
    <mergeCell ref="AF142:AF144"/>
    <mergeCell ref="AF145:AF147"/>
    <mergeCell ref="AF148:AF150"/>
    <mergeCell ref="AF151:AF153"/>
    <mergeCell ref="AF154:AF156"/>
    <mergeCell ref="AF157:AF159"/>
    <mergeCell ref="AF160:AF162"/>
    <mergeCell ref="AF163:AF165"/>
    <mergeCell ref="AF166:AF168"/>
    <mergeCell ref="AF169:AF171"/>
    <mergeCell ref="AF172:AF174"/>
    <mergeCell ref="AF175:AF177"/>
    <mergeCell ref="AF178:AF180"/>
    <mergeCell ref="AF181:AF183"/>
    <mergeCell ref="AF184:AF186"/>
    <mergeCell ref="AF187:AF189"/>
    <mergeCell ref="AF190:AF192"/>
    <mergeCell ref="AF193:AF195"/>
    <mergeCell ref="AF196:AF198"/>
    <mergeCell ref="AF199:AF201"/>
    <mergeCell ref="AF202:AF204"/>
    <mergeCell ref="AF205:AF207"/>
    <mergeCell ref="AF208:AF210"/>
    <mergeCell ref="AF211:AF213"/>
    <mergeCell ref="AF214:AF216"/>
    <mergeCell ref="AF217:AF219"/>
    <mergeCell ref="AF220:AF222"/>
    <mergeCell ref="AF223:AF225"/>
    <mergeCell ref="AF226:AF228"/>
    <mergeCell ref="AF229:AF231"/>
    <mergeCell ref="AF232:AF234"/>
    <mergeCell ref="AF235:AF237"/>
    <mergeCell ref="AF238:AF240"/>
    <mergeCell ref="AF241:AF243"/>
    <mergeCell ref="AF244:AF246"/>
    <mergeCell ref="AF247:AF249"/>
    <mergeCell ref="AF250:AF252"/>
    <mergeCell ref="AF253:AF255"/>
    <mergeCell ref="AF256:AF258"/>
    <mergeCell ref="AF259:AF261"/>
    <mergeCell ref="AF262:AF264"/>
    <mergeCell ref="AF265:AF267"/>
    <mergeCell ref="AF268:AF270"/>
    <mergeCell ref="AF271:AF273"/>
    <mergeCell ref="AF274:AF276"/>
    <mergeCell ref="AF277:AF279"/>
    <mergeCell ref="AF280:AF282"/>
    <mergeCell ref="AF283:AF285"/>
    <mergeCell ref="AF286:AF288"/>
    <mergeCell ref="AF289:AF291"/>
    <mergeCell ref="AF292:AF294"/>
    <mergeCell ref="AF295:AF297"/>
    <mergeCell ref="AF298:AF300"/>
    <mergeCell ref="AG6:AG7"/>
    <mergeCell ref="AG10:AG12"/>
    <mergeCell ref="AG13:AG15"/>
    <mergeCell ref="AG16:AG18"/>
    <mergeCell ref="AG19:AG21"/>
    <mergeCell ref="AG22:AG24"/>
    <mergeCell ref="AG25:AG27"/>
    <mergeCell ref="AG28:AG30"/>
    <mergeCell ref="AG31:AG33"/>
    <mergeCell ref="AG34:AG36"/>
    <mergeCell ref="AG37:AG39"/>
    <mergeCell ref="AG40:AG42"/>
    <mergeCell ref="AG43:AG45"/>
    <mergeCell ref="AG46:AG48"/>
    <mergeCell ref="AG49:AG51"/>
    <mergeCell ref="AG52:AG54"/>
    <mergeCell ref="AG55:AG57"/>
    <mergeCell ref="AG58:AG60"/>
    <mergeCell ref="AG61:AG63"/>
    <mergeCell ref="AG64:AG66"/>
    <mergeCell ref="AG67:AG69"/>
    <mergeCell ref="AG70:AG72"/>
    <mergeCell ref="AG73:AG75"/>
    <mergeCell ref="AG76:AG78"/>
    <mergeCell ref="AG79:AG81"/>
    <mergeCell ref="AG82:AG84"/>
    <mergeCell ref="AG85:AG87"/>
    <mergeCell ref="AG88:AG90"/>
    <mergeCell ref="AG91:AG93"/>
    <mergeCell ref="AG94:AG96"/>
    <mergeCell ref="AG97:AG99"/>
    <mergeCell ref="AG100:AG102"/>
    <mergeCell ref="AG103:AG105"/>
    <mergeCell ref="AG106:AG108"/>
    <mergeCell ref="AG109:AG111"/>
    <mergeCell ref="AG112:AG114"/>
    <mergeCell ref="AG115:AG117"/>
    <mergeCell ref="AG118:AG120"/>
    <mergeCell ref="AG121:AG123"/>
    <mergeCell ref="AG124:AG126"/>
    <mergeCell ref="AG127:AG129"/>
    <mergeCell ref="AG130:AG132"/>
    <mergeCell ref="AG133:AG135"/>
    <mergeCell ref="AG136:AG138"/>
    <mergeCell ref="AG139:AG141"/>
    <mergeCell ref="AG142:AG144"/>
    <mergeCell ref="AG145:AG147"/>
    <mergeCell ref="AG148:AG150"/>
    <mergeCell ref="AG151:AG153"/>
    <mergeCell ref="AG154:AG156"/>
    <mergeCell ref="AG157:AG159"/>
    <mergeCell ref="AG160:AG162"/>
    <mergeCell ref="AG163:AG165"/>
    <mergeCell ref="AG166:AG168"/>
    <mergeCell ref="AG169:AG171"/>
    <mergeCell ref="AG172:AG174"/>
    <mergeCell ref="AG175:AG177"/>
    <mergeCell ref="AG178:AG180"/>
    <mergeCell ref="AG181:AG183"/>
    <mergeCell ref="AG184:AG186"/>
    <mergeCell ref="AG187:AG189"/>
    <mergeCell ref="AG190:AG192"/>
    <mergeCell ref="AG193:AG195"/>
    <mergeCell ref="AG196:AG198"/>
    <mergeCell ref="AG199:AG201"/>
    <mergeCell ref="AG202:AG204"/>
    <mergeCell ref="AG205:AG207"/>
    <mergeCell ref="AG208:AG210"/>
    <mergeCell ref="AG211:AG213"/>
    <mergeCell ref="AG214:AG216"/>
    <mergeCell ref="AG217:AG219"/>
    <mergeCell ref="AG220:AG222"/>
    <mergeCell ref="AG223:AG225"/>
    <mergeCell ref="AG226:AG228"/>
    <mergeCell ref="AG229:AG231"/>
    <mergeCell ref="AG232:AG234"/>
    <mergeCell ref="AG235:AG237"/>
    <mergeCell ref="AG238:AG240"/>
    <mergeCell ref="AG241:AG243"/>
    <mergeCell ref="AG244:AG246"/>
    <mergeCell ref="AG247:AG249"/>
    <mergeCell ref="AG250:AG252"/>
    <mergeCell ref="AG253:AG255"/>
    <mergeCell ref="AG256:AG258"/>
    <mergeCell ref="AG259:AG261"/>
    <mergeCell ref="AG262:AG264"/>
    <mergeCell ref="AG265:AG267"/>
    <mergeCell ref="AG268:AG270"/>
    <mergeCell ref="AG271:AG273"/>
    <mergeCell ref="AG274:AG276"/>
    <mergeCell ref="AG277:AG279"/>
    <mergeCell ref="AG280:AG282"/>
    <mergeCell ref="AG283:AG285"/>
    <mergeCell ref="AG286:AG288"/>
    <mergeCell ref="AG289:AG291"/>
    <mergeCell ref="AG292:AG294"/>
    <mergeCell ref="AG295:AG297"/>
    <mergeCell ref="AG298:AG300"/>
    <mergeCell ref="AH6:AH7"/>
    <mergeCell ref="AI6:AI7"/>
    <mergeCell ref="AJ6:AJ7"/>
    <mergeCell ref="AJ10:AJ12"/>
    <mergeCell ref="AJ13:AJ15"/>
    <mergeCell ref="AJ16:AJ18"/>
    <mergeCell ref="AJ19:AJ21"/>
    <mergeCell ref="AJ22:AJ24"/>
    <mergeCell ref="AJ25:AJ27"/>
    <mergeCell ref="AJ28:AJ30"/>
    <mergeCell ref="AJ31:AJ33"/>
    <mergeCell ref="AJ34:AJ36"/>
    <mergeCell ref="AJ37:AJ39"/>
    <mergeCell ref="AJ40:AJ42"/>
    <mergeCell ref="AJ43:AJ45"/>
    <mergeCell ref="AJ46:AJ48"/>
    <mergeCell ref="AJ49:AJ51"/>
    <mergeCell ref="AJ52:AJ54"/>
    <mergeCell ref="AJ55:AJ57"/>
    <mergeCell ref="AJ58:AJ60"/>
    <mergeCell ref="AJ61:AJ63"/>
    <mergeCell ref="AJ64:AJ66"/>
    <mergeCell ref="AJ67:AJ69"/>
    <mergeCell ref="AJ70:AJ72"/>
    <mergeCell ref="AJ73:AJ75"/>
    <mergeCell ref="AJ76:AJ78"/>
    <mergeCell ref="AJ79:AJ81"/>
    <mergeCell ref="AJ82:AJ84"/>
    <mergeCell ref="AJ85:AJ87"/>
    <mergeCell ref="AJ88:AJ90"/>
    <mergeCell ref="AJ91:AJ93"/>
    <mergeCell ref="AJ94:AJ96"/>
    <mergeCell ref="AJ97:AJ99"/>
    <mergeCell ref="AJ100:AJ102"/>
    <mergeCell ref="AJ103:AJ105"/>
    <mergeCell ref="AJ106:AJ108"/>
    <mergeCell ref="AJ109:AJ111"/>
    <mergeCell ref="AJ112:AJ114"/>
    <mergeCell ref="AJ115:AJ117"/>
    <mergeCell ref="AJ118:AJ120"/>
    <mergeCell ref="AJ121:AJ123"/>
    <mergeCell ref="AJ124:AJ126"/>
    <mergeCell ref="AJ127:AJ129"/>
    <mergeCell ref="AJ130:AJ132"/>
    <mergeCell ref="AJ133:AJ135"/>
    <mergeCell ref="AJ136:AJ138"/>
    <mergeCell ref="AJ139:AJ141"/>
    <mergeCell ref="AJ142:AJ144"/>
    <mergeCell ref="AJ145:AJ147"/>
    <mergeCell ref="AJ148:AJ150"/>
    <mergeCell ref="AJ151:AJ153"/>
    <mergeCell ref="AJ154:AJ156"/>
    <mergeCell ref="AJ157:AJ159"/>
    <mergeCell ref="AJ160:AJ162"/>
    <mergeCell ref="AJ163:AJ165"/>
    <mergeCell ref="AJ166:AJ168"/>
    <mergeCell ref="AJ169:AJ171"/>
    <mergeCell ref="AJ172:AJ174"/>
    <mergeCell ref="AJ175:AJ177"/>
    <mergeCell ref="AJ178:AJ180"/>
    <mergeCell ref="AJ181:AJ183"/>
    <mergeCell ref="AJ184:AJ186"/>
    <mergeCell ref="AJ187:AJ189"/>
    <mergeCell ref="AJ190:AJ192"/>
    <mergeCell ref="AJ193:AJ195"/>
    <mergeCell ref="AJ196:AJ198"/>
    <mergeCell ref="AJ199:AJ201"/>
    <mergeCell ref="AJ202:AJ204"/>
    <mergeCell ref="AJ205:AJ207"/>
    <mergeCell ref="AJ208:AJ210"/>
    <mergeCell ref="AJ211:AJ213"/>
    <mergeCell ref="AJ214:AJ216"/>
    <mergeCell ref="AJ217:AJ219"/>
    <mergeCell ref="AJ220:AJ222"/>
    <mergeCell ref="AJ223:AJ225"/>
    <mergeCell ref="AJ226:AJ228"/>
    <mergeCell ref="AJ229:AJ231"/>
    <mergeCell ref="AJ232:AJ234"/>
    <mergeCell ref="AJ235:AJ237"/>
    <mergeCell ref="AJ238:AJ240"/>
    <mergeCell ref="AJ241:AJ243"/>
    <mergeCell ref="AJ244:AJ246"/>
    <mergeCell ref="AJ247:AJ249"/>
    <mergeCell ref="AJ250:AJ252"/>
    <mergeCell ref="AJ253:AJ255"/>
    <mergeCell ref="AJ256:AJ258"/>
    <mergeCell ref="AJ259:AJ261"/>
    <mergeCell ref="AJ262:AJ264"/>
    <mergeCell ref="AJ265:AJ267"/>
    <mergeCell ref="AJ268:AJ270"/>
    <mergeCell ref="AJ271:AJ273"/>
    <mergeCell ref="AJ274:AJ276"/>
    <mergeCell ref="AJ277:AJ279"/>
    <mergeCell ref="AJ280:AJ282"/>
    <mergeCell ref="AJ283:AJ285"/>
    <mergeCell ref="AJ286:AJ288"/>
    <mergeCell ref="AJ289:AJ291"/>
    <mergeCell ref="AJ292:AJ294"/>
    <mergeCell ref="AJ295:AJ297"/>
    <mergeCell ref="AJ298:AJ300"/>
    <mergeCell ref="AK6:AK7"/>
    <mergeCell ref="AL6:AL7"/>
  </mergeCells>
  <conditionalFormatting sqref="R20">
    <cfRule type="expression" dxfId="4" priority="1">
      <formula>IF(V20&gt;V19,V21="")</formula>
    </cfRule>
  </conditionalFormatting>
  <conditionalFormatting sqref="AJ10 AJ13 AJ16 AJ19 AJ22 AJ25 AJ28 AJ31 AJ34 AJ37 AJ40 AJ43 AJ46 AJ49 AJ52 AJ55 AJ58 AJ61 AJ64 AJ67 AJ70 AJ73 AJ76 AJ79 AJ82 AJ85 AJ88 AJ91 AJ94 AJ97 AJ100 AJ103 AJ106 AJ109 AJ112 AJ115 AJ118 AJ121 AJ124 AJ127 AJ130 AJ133 AJ136 AJ139 AJ142 AJ145 AJ148 AJ151 AJ154 AJ157 AJ160 AJ163 AJ166 AJ169 AJ172 AJ175 AJ178 AJ181 AJ184 AJ187 AJ190 AJ193 AJ196 AJ199 AJ202 AJ205 AJ208 AJ211 AJ214 AJ217 AJ220 AJ223 AJ226 AJ229 AJ232 AJ235 AJ238 AJ241 AJ244 AJ247 AJ250 AJ253 AJ256 AJ259 AJ262 AJ265 AJ268 AJ271 AJ274 AJ277 AJ280 AJ283 AJ286 AJ289 AJ292 AJ295 AJ298">
    <cfRule type="cellIs" dxfId="5" priority="4" operator="lessThan">
      <formula>45</formula>
    </cfRule>
    <cfRule type="cellIs" dxfId="6" priority="5" operator="lessThan">
      <formula>0</formula>
    </cfRule>
  </conditionalFormatting>
  <conditionalFormatting sqref="R11 R14:S14 R17:S17 R23:S23 R26:S26 R29:S29 R32:S32 R35:S35 R38:S38 R41:S41 R44:S44 R47:S47 R50:S50 R53:S53 R56:S56 R59:S59 R62:S62 R65:S65 R68:S68 S71 S74 S77 S80 S83 S86 S89 S92 S95 S98 S101 S104 S107 S110 S113 S116 S119 S122 S125 S128 S131 S134 S137 S140 S143 S146 S149 S152 S155 S158 S161 S164 S167 S170 S173 S176 S179 S182 S185 S188 S191 S194 S197 S200 S203 S206 S209 S212 S215 S218 S221 S224 S227 S230 S233 S236 S239 S242 S245 S248 S251 S254 S257 S260 S263 S266 S269 S272 S275 S278 S281 S284 S287 S290 S293 S296 S299">
    <cfRule type="expression" dxfId="4" priority="2">
      <formula>IF(V11&gt;V10,V12="")</formula>
    </cfRule>
  </conditionalFormatting>
  <conditionalFormatting sqref="S11:U11 Y11:AB11 T14:U14 Y14:AB14 T17:U17 Y17:AB17 T20:U20 W20 Y20:AB20 T23:U23 Y23:AB23 T26:U26 Y26:AB26 T29:U29 Y29:AB29 T32:U32 Y32:AB32 T35:U35 W35 Y35:AB35 T38:U38 W38 Y38:AB38 T41:U41 W41 Y41:AB41 T44:U44 Y44:AB44 T47:U47 Y47:AB47 T50:U50 W50 Y50:AB50 T53:U53 Y53:AB53 T56:U56 Y56:AB56 T59:U59 Y59:AB59 T62:U62 W62 Y62:AB62 T65:U65 Y65:AB65 T68:U68 Y68:AB68 T71:U71 Y71:AB71 T74:U74 Y74:AB74 T77:U77 Y77:AB77 T80:U80 Y80:AB80 T83:U83 Y83:AB83 T86:U86 Y86:AB86 T89:U89 Y89:AB89 T92:U92 W92 Y92:AB92 T95:U95 Y95:AB95 T98:U98 Y98:AB98 T101:U101 Y101:AB101 T104:U104 Y104:AB104 T107:U107 Y107:AB107 T110:U110 Y110:AB110 T113:U113 Y113:AB113 T116:U116 Y116:AB116 T119:U119 Y119:AB119 T122:U122 Y122:AB122 T125:U125 Y125:AB125 T128:U128 Y128:AB128 T131:U131 Y131:AB131 T134:U134 Y134:AB134 T137:U137 Y137:AB137 T140:U140 Y140:AB140 T143:U143 Y143:AB143 T146:U146 Y146:AB146 T149:U149 Y149:AB149 T152:U152 Y152:AB152 T155:U155 Y155:AB155 T158:U158 Y158:AB158 T161:U161 Y161:AB161 T164:U164 Y164:AB164 T167:U167 Y167:AB167 T170:U170 W170 Y170:AB170 T173:U173 W173 Y173:AB173 T176:U176 W176 Y176:AB176 T179:U179 Y179:AB179 T182:U182 Y182:AB182 T185:U185 Y185:AB185 T188:U188 Y188:AB188 T191:U191 Y191:AB191 T194:U194 Y194:AB194 T197:U197 Y197:AB197 T200:U200 Y200:AB200 T203:U203 Y203:AB203 T206:U206 Y206:AB206 T209:U209 Y209:AB209 T212:U212 Y212:AB212 T215:U215 Y215:AB215 T218:U218 Y218:AB218 T221:U221 Y221:AB221 T224:U224 Y224:AB224 T227:U227 Y227:AB227 T230:U230 Y230:AB230 T233:U233 Y233:AB233 T236:U236 Y236:AB236 T239:U239 Y239:AB239 T242:U242 Y242:AB242 T245:U245 Y245:AB245 T248:U248 Y248:AB248 T251:U251 Y251:AB251 T254:U254 Y254:AB254 T257:U257 Y257:AB257 T260:U260 Y260:AB260 T263:U263 Y263:AB263 T266:U266 Y266:AB266 T269:U269 Y269:AB269 T272:U272 Y272:AB272 T275:U275 Y275:AB275 T278:U278 Y278:AB278 T281:U281 Y281:AB281 T284:U284 Y284:AB284 T287:U287 Y287:AB287 T290:U290 Y290:AB290 T293:U293 Y293:AB293 T296:U296 Y296:AB296 T299:U299 Y299:AB299">
    <cfRule type="expression" dxfId="4" priority="9">
      <formula>IF(#REF!&gt;#REF!,#REF!="")</formula>
    </cfRule>
  </conditionalFormatting>
  <conditionalFormatting sqref="X11 X14 X17 U20 X20 X23 X26 X29 X32 X35 X38 X41 X44 X47 X50 X53 X56 X59 X62 X65 X68 X71 X74 X77 X80 X83 X86 X89 X92 X95 X98 X101 X104 X107 X110 X113 X116 X119 X122 X125 X128 X131 X134 X137 X140 X143 X146 X149 X152 X155 X158 X161 X164 X167 X170 X173 X176 X179 X182 X185 X188 X191 X194 X197 X200 X203 X206 X209 X212 X215 X218 X221 X224 X227 X230 X233 X236 X239 X242 X245 X248 X251 X254 X257 X260 X263 X266 X269 X272 X275 X278 X281 X284 X287 X290 X293 X296 X299">
    <cfRule type="expression" dxfId="4" priority="3">
      <formula>IF(X11&gt;X10,X12="")</formula>
    </cfRule>
  </conditionalFormatting>
  <conditionalFormatting sqref="V11:W11 V14:W14 V17:W17 V20 V23 V26:W26 V29:W29 V32 V35 V38 V41 V44:W44 V47:W47 V50 V53:W53 V56:W56 V59:W59 V62 V65:W65 V68:W68 V71:W71 V74:W74 V77:W77 V80:W80 V83:W83 V86:W86 V89:W89 V92 V95:W95 V98:W98 V101:W101 V104:W104 V107:W107 V110:W110 V113:W113 V116:W116 V119:W119 V122:W122 V125:W125 V128:W128 V131:W131 V134:W134 V137:W137 V140:W140 V143:W143 V146:W146 V149:W149 V152:W152 V155:W155 V158:W158 V161:W161 V164:W164 V167:W167 V170 V173 V176 V179:W179 V182:W182 V185:W185 V188:W188 V191:W191 V194:W194 V197:W197 V200:W200 V203:W203 V206:W206 V209:W209 V212:W212 V215:W215 V218:W218 V221:W221 V224:W224 V227:W227 V230:W230 V233:W233 V236:W236 V239:W239 V242:W242 V245:W245 V248:W248 V251:W251 V254:W254 V257:W257 V260:W260 V263:W263 V266:W266 V269:W269 V272:W272 V275:W275 V278:W278 V281:W281 V284:W284 V287:W287 V290:W290 V293:W293 V296:W296 V299:W299">
    <cfRule type="expression" dxfId="4" priority="10">
      <formula>IF(X11&gt;X10,X12="")</formula>
    </cfRule>
  </conditionalFormatting>
  <conditionalFormatting sqref="S30:AB30 R33:AB33 R36:AB36 R39:AB39 R42:AB42 S45:AB45 S48:AB48 R51:AB51 S54:AB54 S57:AB57 S60:AB60 R63:AB63 S66:AB66 S69:AB69 S72:AB72 S75:AB75 S78:AB78 S81:AB81 S84:AB84 S87:AB87 S90:AB90 S93:AB93 S96:AB96 S99:AB99 S102:AB102 S105:AB105 S108:AB108 S111:AB111 S114:AB114 S117:AB117 S120:AB120 S123:AB123 S126:AB126 S129:AB129 S132:AB132 S135:AB135 S138:AB138 S141:AB141 S144:AB144 S147:AB147 S150:AB150 S153:AB153 S156:AB156 S159:AB159 S162:AB162 S165:AB165 S168:AB168 S171:AB171 S174:AB174 S177:AB177 S180:AB180 S183:AB183 S186:AB186 S189:AB189 S192:AB192 S195:AB195 S198:AB198 S201:AB201 S204:AB204 S207:AB207 S210:AB210 S213:AB213 S216:AB216 S219:AB219 S222:AB222 S225:AB225 S228:AB228 S231:AB231 S234:AB234 S237:AB237 S240:AB240 S243:AB243 S246:AB246 S249:AB249 S252:AB252 S255:AB255 S258:AB258 S261:AB261 S264:AB264 S267:AB267 S270:AB270 S273:AB273 S276:AB276 S279:AB279 S282:AB282 S285:AB285 S288:AB288 S291:AB291 S294:AB294 S297:AB297 S300:AB300">
    <cfRule type="expression" dxfId="0" priority="6" stopIfTrue="1">
      <formula>(R29&lt;&gt;"")*(R30="")*(R29&lt;TODAY())</formula>
    </cfRule>
    <cfRule type="expression" dxfId="1" priority="7" stopIfTrue="1">
      <formula>(R29&lt;&gt;"")*(R30="")*(R29&gt;=TODAY())*(R29&lt;=TODAY()+14)</formula>
    </cfRule>
    <cfRule type="expression" dxfId="3" priority="8">
      <formula>(R30&lt;&gt;"")*(R30&lt;=TODAY())</formula>
    </cfRule>
  </conditionalFormatting>
  <pageMargins left="0.7" right="0.7" top="0.75" bottom="0.75" header="0.3" footer="0.3"/>
  <pageSetup paperSize="1" orientation="portrait" horizontalDpi="1200" verticalDpi="12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3"/>
  <sheetViews>
    <sheetView view="pageBreakPreview" zoomScale="130" zoomScaleNormal="190" topLeftCell="A11" workbookViewId="0">
      <selection activeCell="A20" sqref="A20:A21"/>
    </sheetView>
  </sheetViews>
  <sheetFormatPr defaultColWidth="6.86725663716814" defaultRowHeight="13.1"/>
  <cols>
    <col min="1" max="1" width="18.1327433628319" style="11" customWidth="1"/>
    <col min="2" max="2" width="61.2035398230088" style="1" customWidth="1"/>
    <col min="3" max="3" width="23.2035398230088" style="4" customWidth="1"/>
    <col min="4" max="16384" width="6.86725663716814" style="4"/>
  </cols>
  <sheetData>
    <row r="1" s="1" customFormat="1" ht="21.6" customHeight="1" spans="1:9">
      <c r="A1" s="12" t="s">
        <v>5006</v>
      </c>
      <c r="B1" s="13" t="s">
        <v>5007</v>
      </c>
      <c r="C1" s="6"/>
    </row>
    <row r="2" s="2" customFormat="1" ht="15" customHeight="1" spans="1:9">
      <c r="A2" s="14">
        <v>45996</v>
      </c>
      <c r="B2" s="15" t="s">
        <v>5008</v>
      </c>
      <c r="C2" s="16"/>
      <c r="D2" s="9"/>
      <c r="E2" s="9"/>
      <c r="F2" s="9"/>
      <c r="G2" s="9"/>
      <c r="H2" s="9"/>
      <c r="I2" s="9"/>
    </row>
    <row r="3" s="2" customFormat="1" ht="15" customHeight="1" spans="1:9">
      <c r="A3" s="14">
        <v>46001</v>
      </c>
      <c r="B3" s="15" t="s">
        <v>5009</v>
      </c>
      <c r="C3" s="16"/>
      <c r="D3" s="9"/>
      <c r="E3" s="9"/>
      <c r="F3" s="9"/>
      <c r="G3" s="9"/>
      <c r="H3" s="9"/>
      <c r="I3" s="9"/>
    </row>
    <row r="4" s="2" customFormat="1" ht="15" customHeight="1" spans="1:9">
      <c r="A4" s="14">
        <v>46020</v>
      </c>
      <c r="B4" s="15" t="s">
        <v>5010</v>
      </c>
      <c r="C4" s="16"/>
      <c r="D4" s="9"/>
      <c r="E4" s="9"/>
      <c r="F4" s="9"/>
      <c r="G4" s="9"/>
      <c r="H4" s="9"/>
      <c r="I4" s="9"/>
    </row>
    <row r="5" s="2" customFormat="1" ht="15" customHeight="1" spans="1:9">
      <c r="A5" s="14">
        <v>46021</v>
      </c>
      <c r="B5" s="15" t="s">
        <v>5010</v>
      </c>
      <c r="C5" s="16"/>
      <c r="D5" s="9"/>
      <c r="E5" s="9"/>
      <c r="F5" s="9"/>
      <c r="G5" s="9"/>
      <c r="H5" s="9"/>
      <c r="I5" s="9"/>
    </row>
    <row r="6" s="2" customFormat="1" ht="15" customHeight="1" spans="1:9">
      <c r="A6" s="14">
        <v>46022</v>
      </c>
      <c r="B6" s="15" t="s">
        <v>5010</v>
      </c>
      <c r="C6" s="16"/>
      <c r="D6" s="9"/>
      <c r="E6" s="9"/>
      <c r="F6" s="9"/>
      <c r="G6" s="9"/>
      <c r="H6" s="9"/>
      <c r="I6" s="9"/>
    </row>
    <row r="7" s="2" customFormat="1" ht="15" customHeight="1" spans="1:9">
      <c r="A7" s="14">
        <v>46023</v>
      </c>
      <c r="B7" s="15" t="s">
        <v>5010</v>
      </c>
      <c r="C7" s="16"/>
      <c r="D7" s="9"/>
      <c r="E7" s="9"/>
      <c r="F7" s="9"/>
      <c r="G7" s="9"/>
      <c r="H7" s="9"/>
      <c r="I7" s="9"/>
    </row>
    <row r="8" s="2" customFormat="1" ht="15" customHeight="1" spans="1:9">
      <c r="A8" s="14">
        <v>46024</v>
      </c>
      <c r="B8" s="15" t="s">
        <v>5010</v>
      </c>
      <c r="C8" s="16"/>
      <c r="D8" s="9"/>
      <c r="E8" s="9"/>
      <c r="F8" s="9"/>
      <c r="G8" s="9"/>
      <c r="H8" s="9"/>
      <c r="I8" s="9"/>
    </row>
    <row r="9" s="2" customFormat="1" ht="15" customHeight="1" spans="1:9">
      <c r="A9" s="14">
        <v>46065</v>
      </c>
      <c r="B9" s="15" t="s">
        <v>5011</v>
      </c>
      <c r="C9" s="16"/>
      <c r="D9" s="9"/>
      <c r="E9" s="9"/>
      <c r="F9" s="9"/>
      <c r="G9" s="9"/>
      <c r="H9" s="9"/>
      <c r="I9" s="9"/>
    </row>
    <row r="10" s="2" customFormat="1" ht="15" customHeight="1" spans="1:9">
      <c r="A10" s="14">
        <v>46118</v>
      </c>
      <c r="B10" s="15" t="s">
        <v>5012</v>
      </c>
      <c r="C10" s="16"/>
      <c r="D10" s="9"/>
      <c r="E10" s="9"/>
      <c r="F10" s="9"/>
      <c r="G10" s="9"/>
      <c r="H10" s="9"/>
      <c r="I10" s="9"/>
    </row>
    <row r="11" s="2" customFormat="1" ht="15" customHeight="1" spans="1:9">
      <c r="A11" s="14">
        <v>46125</v>
      </c>
      <c r="B11" s="15" t="s">
        <v>5013</v>
      </c>
      <c r="C11" s="16"/>
      <c r="D11" s="9"/>
      <c r="E11" s="9"/>
      <c r="F11" s="9"/>
      <c r="G11" s="9"/>
      <c r="H11" s="9"/>
      <c r="I11" s="9"/>
    </row>
    <row r="12" s="2" customFormat="1" ht="15" customHeight="1" spans="1:9">
      <c r="A12" s="14">
        <v>46126</v>
      </c>
      <c r="B12" s="15" t="s">
        <v>5013</v>
      </c>
      <c r="C12" s="16"/>
      <c r="D12" s="9"/>
      <c r="E12" s="9"/>
      <c r="F12" s="9"/>
      <c r="G12" s="9"/>
      <c r="H12" s="9"/>
      <c r="I12" s="9"/>
    </row>
    <row r="13" s="2" customFormat="1" ht="15" customHeight="1" spans="1:9">
      <c r="A13" s="14">
        <v>46127</v>
      </c>
      <c r="B13" s="15" t="s">
        <v>5013</v>
      </c>
      <c r="C13" s="16"/>
      <c r="D13" s="9"/>
      <c r="E13" s="9"/>
      <c r="F13" s="9"/>
      <c r="G13" s="9"/>
      <c r="H13" s="9"/>
      <c r="I13" s="9"/>
    </row>
    <row r="14" s="2" customFormat="1" ht="15" customHeight="1" spans="1:9">
      <c r="A14" s="14">
        <v>46128</v>
      </c>
      <c r="B14" s="15" t="s">
        <v>5013</v>
      </c>
      <c r="C14" s="16"/>
      <c r="D14" s="9"/>
      <c r="E14" s="9"/>
      <c r="F14" s="9"/>
      <c r="G14" s="9"/>
      <c r="H14" s="9"/>
      <c r="I14" s="9"/>
    </row>
    <row r="15" s="2" customFormat="1" ht="15" customHeight="1" spans="1:9">
      <c r="A15" s="14">
        <v>46129</v>
      </c>
      <c r="B15" s="15" t="s">
        <v>5013</v>
      </c>
      <c r="C15" s="16"/>
      <c r="D15" s="9"/>
      <c r="E15" s="9"/>
      <c r="F15" s="9"/>
      <c r="G15" s="9"/>
      <c r="H15" s="9"/>
      <c r="I15" s="9"/>
    </row>
    <row r="16" s="2" customFormat="1" ht="15" customHeight="1" spans="1:9">
      <c r="A16" s="14">
        <v>46143</v>
      </c>
      <c r="B16" s="15" t="s">
        <v>5014</v>
      </c>
      <c r="C16" s="16"/>
      <c r="D16" s="9"/>
      <c r="E16" s="9"/>
      <c r="F16" s="9"/>
      <c r="G16" s="9"/>
      <c r="H16" s="9"/>
      <c r="I16" s="9"/>
    </row>
    <row r="17" s="2" customFormat="1" ht="15" customHeight="1" spans="1:9">
      <c r="A17" s="14">
        <v>46146</v>
      </c>
      <c r="B17" s="15" t="s">
        <v>5015</v>
      </c>
      <c r="C17" s="16"/>
      <c r="D17" s="9"/>
      <c r="E17" s="9"/>
      <c r="F17" s="9"/>
      <c r="G17" s="9"/>
      <c r="H17" s="9"/>
      <c r="I17" s="9"/>
    </row>
    <row r="18" s="2" customFormat="1" ht="15" customHeight="1" spans="1:9">
      <c r="A18" s="14">
        <v>46174</v>
      </c>
      <c r="B18" s="15"/>
      <c r="C18" s="16"/>
      <c r="D18" s="9"/>
      <c r="E18" s="9"/>
      <c r="F18" s="9"/>
      <c r="G18" s="9"/>
      <c r="H18" s="9"/>
      <c r="I18" s="9"/>
    </row>
    <row r="19" s="2" customFormat="1" ht="15" customHeight="1" spans="1:9">
      <c r="A19" s="14">
        <v>46176</v>
      </c>
      <c r="B19" s="15"/>
      <c r="C19" s="16"/>
      <c r="D19" s="9"/>
      <c r="E19" s="9"/>
      <c r="F19" s="9"/>
      <c r="G19" s="9"/>
      <c r="H19" s="9"/>
      <c r="I19" s="9"/>
    </row>
    <row r="20" s="2" customFormat="1" ht="15" customHeight="1" spans="1:9">
      <c r="A20" s="14">
        <v>46231</v>
      </c>
      <c r="B20" s="15"/>
      <c r="C20" s="16"/>
      <c r="D20" s="9"/>
      <c r="E20" s="9"/>
      <c r="F20" s="9"/>
      <c r="G20" s="9"/>
      <c r="H20" s="9"/>
      <c r="I20" s="9"/>
    </row>
    <row r="21" s="2" customFormat="1" ht="15" customHeight="1" spans="1:9">
      <c r="A21" s="14">
        <v>46232</v>
      </c>
      <c r="B21" s="15"/>
      <c r="C21" s="16"/>
      <c r="D21" s="9"/>
      <c r="E21" s="9"/>
      <c r="F21" s="9"/>
      <c r="G21" s="9"/>
      <c r="H21" s="9"/>
      <c r="I21" s="9"/>
    </row>
    <row r="22" s="2" customFormat="1" ht="15" customHeight="1" spans="1:9">
      <c r="A22" s="14">
        <v>46246</v>
      </c>
      <c r="B22" s="15" t="s">
        <v>5016</v>
      </c>
      <c r="C22" s="16"/>
      <c r="D22" s="9"/>
      <c r="E22" s="9"/>
      <c r="F22" s="9"/>
      <c r="G22" s="9"/>
      <c r="H22" s="9"/>
      <c r="I22" s="9"/>
    </row>
    <row r="23" s="2" customFormat="1" ht="15" customHeight="1" spans="1:9">
      <c r="A23" s="14">
        <v>46308</v>
      </c>
      <c r="B23" s="15" t="s">
        <v>5017</v>
      </c>
      <c r="C23" s="16"/>
      <c r="D23" s="9"/>
      <c r="E23" s="9"/>
      <c r="F23" s="9"/>
      <c r="G23" s="9"/>
      <c r="H23" s="9"/>
      <c r="I23" s="9"/>
    </row>
    <row r="24" s="2" customFormat="1" ht="15" customHeight="1" spans="1:9">
      <c r="A24" s="14">
        <v>46318</v>
      </c>
      <c r="B24" s="15" t="s">
        <v>5018</v>
      </c>
      <c r="C24" s="16"/>
      <c r="D24" s="9"/>
      <c r="E24" s="9"/>
      <c r="F24" s="9"/>
      <c r="G24" s="9"/>
      <c r="H24" s="9"/>
      <c r="I24" s="9"/>
    </row>
    <row r="25" s="2" customFormat="1" ht="15" customHeight="1" spans="1:9">
      <c r="A25" s="14">
        <v>46363</v>
      </c>
      <c r="B25" s="15" t="s">
        <v>5008</v>
      </c>
      <c r="C25" s="16"/>
      <c r="D25" s="9"/>
      <c r="E25" s="9"/>
      <c r="F25" s="9"/>
      <c r="G25" s="9"/>
      <c r="H25" s="9"/>
      <c r="I25" s="9"/>
    </row>
    <row r="26" s="2" customFormat="1" ht="15" customHeight="1" spans="1:9">
      <c r="A26" s="14">
        <v>46387</v>
      </c>
      <c r="B26" s="15" t="s">
        <v>5010</v>
      </c>
      <c r="C26" s="16"/>
      <c r="D26" s="9"/>
      <c r="E26" s="9"/>
      <c r="F26" s="9"/>
      <c r="G26" s="9"/>
      <c r="H26" s="9"/>
      <c r="I26" s="9"/>
    </row>
    <row r="27" s="2" customFormat="1" ht="15" customHeight="1" spans="1:9">
      <c r="A27" s="14">
        <v>46388</v>
      </c>
      <c r="B27" s="15" t="s">
        <v>5010</v>
      </c>
      <c r="C27" s="16"/>
      <c r="D27" s="9"/>
      <c r="E27" s="9"/>
      <c r="F27" s="9"/>
      <c r="G27" s="9"/>
      <c r="H27" s="9"/>
      <c r="I27" s="9"/>
    </row>
    <row r="28" s="2" customFormat="1" ht="15" customHeight="1" spans="1:9">
      <c r="A28" s="14">
        <v>46389</v>
      </c>
      <c r="B28" s="15"/>
      <c r="C28" s="16"/>
      <c r="D28" s="9"/>
      <c r="E28" s="9"/>
      <c r="F28" s="9"/>
      <c r="G28" s="9"/>
      <c r="H28" s="9"/>
      <c r="I28" s="9"/>
    </row>
    <row r="29" s="2" customFormat="1" ht="15" customHeight="1" spans="1:9">
      <c r="A29" s="14">
        <v>46439</v>
      </c>
      <c r="B29" s="15" t="s">
        <v>5011</v>
      </c>
      <c r="C29" s="16" t="s">
        <v>5019</v>
      </c>
      <c r="D29" s="9"/>
      <c r="E29" s="9"/>
      <c r="F29" s="9"/>
      <c r="G29" s="9"/>
      <c r="H29" s="9"/>
      <c r="I29" s="9"/>
    </row>
    <row r="30" s="2" customFormat="1" ht="15" customHeight="1" spans="1:9">
      <c r="A30" s="14">
        <v>46440</v>
      </c>
      <c r="B30" s="15"/>
      <c r="C30" s="16"/>
      <c r="D30" s="9"/>
      <c r="E30" s="9"/>
      <c r="F30" s="9"/>
      <c r="G30" s="9"/>
      <c r="H30" s="9"/>
      <c r="I30" s="9"/>
    </row>
    <row r="31" s="2" customFormat="1" ht="15" customHeight="1" spans="1:9">
      <c r="A31" s="14">
        <v>46483</v>
      </c>
      <c r="B31" s="15" t="s">
        <v>5012</v>
      </c>
      <c r="C31" s="16"/>
      <c r="D31" s="9"/>
      <c r="E31" s="9"/>
      <c r="F31" s="9"/>
      <c r="G31" s="9"/>
      <c r="H31" s="9"/>
      <c r="I31" s="9"/>
    </row>
    <row r="32" s="2" customFormat="1" ht="15" customHeight="1" spans="1:9">
      <c r="A32" s="14">
        <v>46490</v>
      </c>
      <c r="B32" s="15" t="s">
        <v>5013</v>
      </c>
      <c r="C32" s="16"/>
      <c r="D32" s="9"/>
      <c r="E32" s="9"/>
      <c r="F32" s="9"/>
      <c r="G32" s="9"/>
      <c r="H32" s="9"/>
      <c r="I32" s="9"/>
    </row>
    <row r="33" s="2" customFormat="1" ht="15" customHeight="1" spans="1:9">
      <c r="A33" s="14">
        <v>46491</v>
      </c>
      <c r="B33" s="15" t="s">
        <v>5013</v>
      </c>
      <c r="C33" s="16"/>
      <c r="D33" s="9"/>
      <c r="E33" s="9"/>
      <c r="F33" s="9"/>
      <c r="G33" s="9"/>
      <c r="H33" s="9"/>
      <c r="I33" s="9"/>
    </row>
    <row r="34" s="2" customFormat="1" ht="15" customHeight="1" spans="1:9">
      <c r="A34" s="14">
        <v>46492</v>
      </c>
      <c r="B34" s="15" t="s">
        <v>5013</v>
      </c>
      <c r="C34" s="16"/>
      <c r="D34" s="9"/>
      <c r="E34" s="9"/>
      <c r="F34" s="9"/>
      <c r="G34" s="9"/>
      <c r="H34" s="9"/>
      <c r="I34" s="9"/>
    </row>
    <row r="35" s="2" customFormat="1" ht="15" customHeight="1" spans="1:9">
      <c r="A35" s="14">
        <v>46508</v>
      </c>
      <c r="B35" s="15" t="s">
        <v>5014</v>
      </c>
      <c r="C35" s="16"/>
      <c r="D35" s="9"/>
      <c r="E35" s="9"/>
      <c r="F35" s="9"/>
      <c r="G35" s="9"/>
      <c r="H35" s="9"/>
      <c r="I35" s="9"/>
    </row>
    <row r="36" s="2" customFormat="1" ht="15" customHeight="1" spans="1:9">
      <c r="A36" s="14">
        <v>46511</v>
      </c>
      <c r="B36" s="15" t="s">
        <v>5015</v>
      </c>
      <c r="C36" s="16"/>
      <c r="D36" s="9"/>
      <c r="E36" s="9"/>
      <c r="F36" s="9"/>
      <c r="G36" s="9"/>
      <c r="H36" s="9"/>
      <c r="I36" s="9"/>
    </row>
    <row r="37" s="2" customFormat="1" ht="15" customHeight="1" spans="1:9">
      <c r="A37" s="14">
        <v>46527</v>
      </c>
      <c r="B37" s="15" t="s">
        <v>5020</v>
      </c>
      <c r="C37" s="16" t="s">
        <v>5019</v>
      </c>
      <c r="D37" s="9"/>
      <c r="E37" s="9"/>
      <c r="F37" s="9"/>
      <c r="G37" s="9"/>
      <c r="H37" s="9"/>
      <c r="I37" s="9"/>
    </row>
    <row r="38" s="2" customFormat="1" ht="15" customHeight="1" spans="1:9">
      <c r="A38" s="14">
        <v>46541</v>
      </c>
      <c r="B38" s="15" t="s">
        <v>5021</v>
      </c>
      <c r="C38" s="16"/>
      <c r="D38" s="9"/>
      <c r="E38" s="9"/>
      <c r="F38" s="9"/>
      <c r="G38" s="9"/>
      <c r="H38" s="9"/>
      <c r="I38" s="9"/>
    </row>
    <row r="39" s="2" customFormat="1" ht="15" customHeight="1" spans="1:9">
      <c r="A39" s="14">
        <v>46611</v>
      </c>
      <c r="B39" s="15" t="s">
        <v>5022</v>
      </c>
      <c r="C39" s="16"/>
      <c r="D39" s="9"/>
      <c r="E39" s="9"/>
      <c r="F39" s="9"/>
      <c r="G39" s="9"/>
      <c r="H39" s="9"/>
      <c r="I39" s="9"/>
    </row>
    <row r="40" s="2" customFormat="1" ht="15" customHeight="1" spans="1:9">
      <c r="A40" s="14">
        <v>46673</v>
      </c>
      <c r="B40" s="15" t="s">
        <v>5023</v>
      </c>
      <c r="C40" s="16"/>
      <c r="D40" s="9"/>
      <c r="E40" s="9"/>
      <c r="F40" s="9"/>
      <c r="G40" s="9"/>
      <c r="H40" s="9"/>
      <c r="I40" s="9"/>
    </row>
    <row r="41" s="2" customFormat="1" ht="15" customHeight="1" spans="1:9">
      <c r="A41" s="14">
        <v>46683</v>
      </c>
      <c r="B41" s="15" t="s">
        <v>5024</v>
      </c>
      <c r="C41" s="16"/>
      <c r="D41" s="9"/>
      <c r="E41" s="9"/>
      <c r="F41" s="9"/>
      <c r="G41" s="9"/>
      <c r="H41" s="9"/>
      <c r="I41" s="9"/>
    </row>
    <row r="42" s="2" customFormat="1" ht="15" customHeight="1" spans="1:9">
      <c r="A42" s="14">
        <v>46685</v>
      </c>
      <c r="B42" s="15"/>
      <c r="C42" s="16"/>
      <c r="D42" s="9"/>
      <c r="E42" s="9"/>
      <c r="F42" s="9"/>
      <c r="G42" s="9"/>
      <c r="H42" s="9"/>
      <c r="I42" s="9"/>
    </row>
    <row r="43" s="2" customFormat="1" ht="15" customHeight="1" spans="1:9">
      <c r="A43" s="14">
        <v>46726</v>
      </c>
      <c r="B43" s="15" t="s">
        <v>5025</v>
      </c>
      <c r="C43" s="16"/>
      <c r="D43" s="9"/>
      <c r="E43" s="9"/>
      <c r="F43" s="9"/>
      <c r="G43" s="9"/>
      <c r="H43" s="9"/>
      <c r="I43" s="9"/>
    </row>
    <row r="44" s="2" customFormat="1" ht="15" customHeight="1" spans="1:9">
      <c r="A44" s="14">
        <v>46727</v>
      </c>
      <c r="B44" s="15"/>
      <c r="C44" s="16"/>
      <c r="D44" s="9"/>
      <c r="E44" s="9"/>
      <c r="F44" s="9"/>
      <c r="G44" s="9"/>
      <c r="H44" s="9"/>
      <c r="I44" s="9"/>
    </row>
    <row r="45" s="2" customFormat="1" ht="15" customHeight="1" spans="1:9">
      <c r="A45" s="14">
        <v>46731</v>
      </c>
      <c r="B45" s="15" t="s">
        <v>5026</v>
      </c>
      <c r="C45" s="16"/>
      <c r="D45" s="9"/>
      <c r="E45" s="9"/>
      <c r="F45" s="9"/>
      <c r="G45" s="9"/>
      <c r="H45" s="9"/>
      <c r="I45" s="9"/>
    </row>
    <row r="46" s="2" customFormat="1" ht="15" customHeight="1" spans="1:9">
      <c r="A46" s="14">
        <v>46752</v>
      </c>
      <c r="B46" s="15" t="s">
        <v>5027</v>
      </c>
      <c r="C46" s="16"/>
      <c r="D46" s="9"/>
      <c r="E46" s="9"/>
      <c r="F46" s="9"/>
      <c r="G46" s="9"/>
      <c r="H46" s="9"/>
      <c r="I46" s="9"/>
    </row>
    <row r="47" s="2" customFormat="1" ht="15" customHeight="1" spans="1:9">
      <c r="A47" s="14">
        <v>46753</v>
      </c>
      <c r="B47" s="15" t="s">
        <v>5028</v>
      </c>
      <c r="C47" s="16"/>
      <c r="D47" s="9"/>
      <c r="E47" s="9"/>
      <c r="F47" s="9"/>
      <c r="G47" s="9"/>
      <c r="H47" s="9"/>
      <c r="I47" s="9"/>
    </row>
    <row r="48" s="2" customFormat="1" ht="15" customHeight="1" spans="1:9">
      <c r="A48" s="14">
        <v>46791</v>
      </c>
      <c r="B48" s="15" t="s">
        <v>5029</v>
      </c>
      <c r="C48" s="16" t="s">
        <v>5019</v>
      </c>
      <c r="D48" s="9"/>
      <c r="E48" s="9"/>
      <c r="F48" s="9"/>
      <c r="G48" s="9"/>
      <c r="H48" s="9"/>
      <c r="I48" s="9"/>
    </row>
    <row r="49" s="2" customFormat="1" ht="15" customHeight="1" spans="1:9">
      <c r="A49" s="14">
        <v>46849</v>
      </c>
      <c r="B49" s="15" t="s">
        <v>5030</v>
      </c>
      <c r="C49" s="16"/>
      <c r="D49" s="9"/>
      <c r="E49" s="9"/>
      <c r="F49" s="9"/>
      <c r="G49" s="9"/>
      <c r="H49" s="9"/>
      <c r="I49" s="9"/>
    </row>
    <row r="50" s="2" customFormat="1" ht="15" customHeight="1" spans="1:9">
      <c r="A50" s="14">
        <v>46856</v>
      </c>
      <c r="B50" s="15" t="s">
        <v>5031</v>
      </c>
      <c r="C50" s="16"/>
      <c r="D50" s="9"/>
      <c r="E50" s="9"/>
      <c r="F50" s="9"/>
      <c r="G50" s="9"/>
      <c r="H50" s="9"/>
      <c r="I50" s="9"/>
    </row>
    <row r="51" s="2" customFormat="1" ht="15" customHeight="1" spans="1:9">
      <c r="A51" s="14">
        <v>46857</v>
      </c>
      <c r="B51" s="15" t="s">
        <v>5031</v>
      </c>
      <c r="C51" s="16"/>
      <c r="D51" s="9"/>
      <c r="E51" s="9"/>
      <c r="F51" s="9"/>
      <c r="G51" s="9"/>
      <c r="H51" s="9"/>
      <c r="I51" s="9"/>
    </row>
    <row r="52" s="2" customFormat="1" ht="15" customHeight="1" spans="1:9">
      <c r="A52" s="14">
        <v>46858</v>
      </c>
      <c r="B52" s="15" t="s">
        <v>5031</v>
      </c>
      <c r="C52" s="16"/>
      <c r="D52" s="9"/>
      <c r="E52" s="9"/>
      <c r="F52" s="9"/>
      <c r="G52" s="9"/>
      <c r="H52" s="9"/>
      <c r="I52" s="9"/>
    </row>
    <row r="53" s="2" customFormat="1" ht="15" customHeight="1" spans="1:9">
      <c r="A53" s="14">
        <v>46874</v>
      </c>
      <c r="B53" s="15" t="s">
        <v>5032</v>
      </c>
      <c r="C53" s="16"/>
      <c r="D53" s="9"/>
      <c r="E53" s="9"/>
      <c r="F53" s="9"/>
      <c r="G53" s="9"/>
      <c r="H53" s="9"/>
      <c r="I53" s="9"/>
    </row>
    <row r="54" s="2" customFormat="1" ht="15" customHeight="1" spans="1:9">
      <c r="A54" s="14">
        <v>46878</v>
      </c>
      <c r="B54" s="15" t="s">
        <v>5033</v>
      </c>
      <c r="C54" s="16"/>
      <c r="D54" s="9"/>
      <c r="E54" s="9"/>
      <c r="F54" s="9"/>
      <c r="G54" s="9"/>
      <c r="H54" s="9"/>
      <c r="I54" s="9"/>
    </row>
    <row r="55" s="2" customFormat="1" ht="15" customHeight="1" spans="1:9">
      <c r="A55" s="14">
        <v>46912</v>
      </c>
      <c r="B55" s="15" t="s">
        <v>5034</v>
      </c>
      <c r="C55" s="16" t="s">
        <v>5019</v>
      </c>
      <c r="D55" s="9"/>
      <c r="E55" s="9"/>
      <c r="F55" s="9"/>
      <c r="G55" s="9"/>
      <c r="H55" s="9"/>
      <c r="I55" s="9"/>
    </row>
    <row r="56" s="2" customFormat="1" ht="15" customHeight="1" spans="1:9">
      <c r="A56" s="14">
        <v>46907</v>
      </c>
      <c r="B56" s="15" t="s">
        <v>5035</v>
      </c>
      <c r="C56" s="16"/>
      <c r="D56" s="9"/>
      <c r="E56" s="9"/>
      <c r="F56" s="9"/>
      <c r="G56" s="9"/>
      <c r="H56" s="9"/>
      <c r="I56" s="9"/>
    </row>
    <row r="57" s="2" customFormat="1" ht="15" customHeight="1" spans="1:9">
      <c r="A57" s="14">
        <v>46958</v>
      </c>
      <c r="B57" s="15" t="s">
        <v>5036</v>
      </c>
      <c r="C57" s="16" t="s">
        <v>5019</v>
      </c>
      <c r="D57" s="9"/>
      <c r="E57" s="9"/>
      <c r="F57" s="9"/>
      <c r="G57" s="9"/>
      <c r="H57" s="9"/>
      <c r="I57" s="9"/>
    </row>
    <row r="58" s="2" customFormat="1" ht="15" customHeight="1" spans="1:9">
      <c r="A58" s="14">
        <v>46977</v>
      </c>
      <c r="B58" s="15" t="s">
        <v>5022</v>
      </c>
      <c r="C58" s="16"/>
      <c r="D58" s="9"/>
      <c r="E58" s="9"/>
      <c r="F58" s="9"/>
      <c r="G58" s="9"/>
      <c r="H58" s="9"/>
      <c r="I58" s="9"/>
    </row>
    <row r="59" s="2" customFormat="1" ht="15" customHeight="1" spans="1:9">
      <c r="A59" s="14">
        <v>47039</v>
      </c>
      <c r="B59" s="15" t="s">
        <v>5023</v>
      </c>
      <c r="C59" s="16"/>
      <c r="D59" s="9"/>
      <c r="E59" s="9"/>
      <c r="F59" s="9"/>
      <c r="G59" s="9"/>
      <c r="H59" s="9"/>
      <c r="I59" s="9"/>
    </row>
    <row r="60" s="2" customFormat="1" ht="15" customHeight="1" spans="1:9">
      <c r="A60" s="14">
        <v>47049</v>
      </c>
      <c r="B60" s="15" t="s">
        <v>5024</v>
      </c>
      <c r="C60" s="16"/>
      <c r="D60" s="9"/>
      <c r="E60" s="9"/>
      <c r="F60" s="9"/>
      <c r="G60" s="9"/>
      <c r="H60" s="9"/>
      <c r="I60" s="9"/>
    </row>
    <row r="61" s="2" customFormat="1" ht="15" customHeight="1" spans="1:9">
      <c r="A61" s="14">
        <v>47092</v>
      </c>
      <c r="B61" s="15" t="s">
        <v>5025</v>
      </c>
      <c r="C61" s="16"/>
      <c r="D61" s="9"/>
      <c r="E61" s="9"/>
      <c r="F61" s="9"/>
      <c r="G61" s="9"/>
      <c r="H61" s="9"/>
      <c r="I61" s="9"/>
    </row>
    <row r="62" s="2" customFormat="1" ht="15" customHeight="1" spans="1:9">
      <c r="A62" s="14">
        <v>47097</v>
      </c>
      <c r="B62" s="15" t="s">
        <v>5026</v>
      </c>
      <c r="C62" s="16"/>
      <c r="D62" s="9"/>
      <c r="E62" s="9"/>
      <c r="F62" s="9"/>
      <c r="G62" s="9"/>
      <c r="H62" s="9"/>
      <c r="I62" s="9"/>
    </row>
    <row r="63" s="2" customFormat="1" ht="15" customHeight="1" spans="1:9">
      <c r="A63" s="14">
        <v>47118</v>
      </c>
      <c r="B63" s="15" t="s">
        <v>5027</v>
      </c>
      <c r="C63" s="16"/>
      <c r="D63" s="9"/>
      <c r="E63" s="9"/>
      <c r="F63" s="9"/>
      <c r="G63" s="9"/>
      <c r="H63" s="9"/>
      <c r="I63" s="9"/>
    </row>
  </sheetData>
  <conditionalFormatting sqref="A$1:A$1048576">
    <cfRule type="duplicateValues" dxfId="7" priority="1"/>
    <cfRule type="duplicateValues" dxfId="8" priority="2"/>
  </conditionalFormatting>
  <pageMargins left="0.7" right="0.7" top="0.75" bottom="0.75" header="0.3" footer="0.3"/>
  <pageSetup paperSize="9" scale="35"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2"/>
  <sheetViews>
    <sheetView view="pageBreakPreview" zoomScaleNormal="190" topLeftCell="A7" workbookViewId="0">
      <selection activeCell="A22" sqref="A22"/>
    </sheetView>
  </sheetViews>
  <sheetFormatPr defaultColWidth="6.86725663716814" defaultRowHeight="13.1"/>
  <cols>
    <col min="1" max="1" width="19.7964601769912" style="3" customWidth="1"/>
    <col min="2" max="2" width="43.8672566371681" style="4" customWidth="1"/>
    <col min="3" max="16384" width="6.86725663716814" style="4"/>
  </cols>
  <sheetData>
    <row r="1" s="1" customFormat="1" ht="48" customHeight="1" spans="1:9">
      <c r="A1" s="5" t="s">
        <v>5006</v>
      </c>
      <c r="B1" s="6" t="s">
        <v>5007</v>
      </c>
    </row>
    <row r="2" s="2" customFormat="1" ht="15" customHeight="1" spans="1:9">
      <c r="A2" s="7">
        <v>46023</v>
      </c>
      <c r="B2" s="8" t="s">
        <v>5010</v>
      </c>
      <c r="C2" s="9"/>
      <c r="D2" s="9"/>
      <c r="E2" s="9"/>
      <c r="F2" s="9"/>
      <c r="G2" s="9"/>
      <c r="H2" s="9"/>
      <c r="I2" s="9"/>
    </row>
    <row r="3" s="2" customFormat="1" ht="15" customHeight="1" spans="1:9">
      <c r="A3" s="7">
        <v>46024</v>
      </c>
      <c r="B3" s="8" t="s">
        <v>5010</v>
      </c>
      <c r="C3" s="9"/>
      <c r="D3" s="9"/>
      <c r="E3" s="9"/>
      <c r="F3" s="9"/>
      <c r="G3" s="9"/>
      <c r="H3" s="9"/>
      <c r="I3" s="9"/>
    </row>
    <row r="4" s="2" customFormat="1" ht="15" customHeight="1" spans="1:9">
      <c r="A4" s="7">
        <v>46025</v>
      </c>
      <c r="B4" s="8" t="s">
        <v>5010</v>
      </c>
      <c r="C4" s="9"/>
      <c r="D4" s="9"/>
      <c r="E4" s="9"/>
      <c r="F4" s="9"/>
      <c r="G4" s="9"/>
      <c r="H4" s="9"/>
      <c r="I4" s="9"/>
    </row>
    <row r="5" s="2" customFormat="1" ht="15" customHeight="1" spans="1:9">
      <c r="A5" s="7">
        <v>46068</v>
      </c>
      <c r="B5" s="8" t="s">
        <v>5037</v>
      </c>
      <c r="C5" s="9"/>
      <c r="D5" s="9"/>
      <c r="E5" s="9"/>
      <c r="F5" s="9"/>
      <c r="G5" s="9"/>
      <c r="H5" s="9"/>
      <c r="I5" s="9"/>
    </row>
    <row r="6" s="2" customFormat="1" ht="15" customHeight="1" spans="1:9">
      <c r="A6" s="7">
        <v>46069</v>
      </c>
      <c r="B6" s="8" t="s">
        <v>5037</v>
      </c>
      <c r="C6" s="9"/>
      <c r="D6" s="9"/>
      <c r="E6" s="9"/>
      <c r="F6" s="9"/>
      <c r="G6" s="9"/>
      <c r="H6" s="9"/>
      <c r="I6" s="9"/>
    </row>
    <row r="7" s="2" customFormat="1" ht="15" customHeight="1" spans="1:9">
      <c r="A7" s="7">
        <v>46070</v>
      </c>
      <c r="B7" s="8" t="s">
        <v>5037</v>
      </c>
      <c r="C7" s="9"/>
      <c r="D7" s="9"/>
      <c r="E7" s="9"/>
      <c r="F7" s="9"/>
      <c r="G7" s="9"/>
      <c r="H7" s="9"/>
      <c r="I7" s="9"/>
    </row>
    <row r="8" s="2" customFormat="1" ht="15" customHeight="1" spans="1:9">
      <c r="A8" s="7">
        <v>46071</v>
      </c>
      <c r="B8" s="8" t="s">
        <v>5037</v>
      </c>
      <c r="C8" s="9"/>
      <c r="D8" s="9"/>
      <c r="E8" s="9"/>
      <c r="F8" s="9"/>
      <c r="G8" s="9"/>
      <c r="H8" s="9"/>
      <c r="I8" s="9"/>
    </row>
    <row r="9" s="2" customFormat="1" ht="15" customHeight="1" spans="1:9">
      <c r="A9" s="7">
        <v>46072</v>
      </c>
      <c r="B9" s="8" t="s">
        <v>5037</v>
      </c>
      <c r="C9" s="9"/>
      <c r="D9" s="9"/>
      <c r="E9" s="9"/>
      <c r="F9" s="9"/>
      <c r="G9" s="9"/>
      <c r="H9" s="9"/>
      <c r="I9" s="9"/>
    </row>
    <row r="10" s="2" customFormat="1" ht="15" customHeight="1" spans="1:9">
      <c r="A10" s="7">
        <v>46073</v>
      </c>
      <c r="B10" s="8" t="s">
        <v>5037</v>
      </c>
      <c r="C10" s="9"/>
      <c r="D10" s="9"/>
      <c r="E10" s="9"/>
      <c r="F10" s="9"/>
      <c r="G10" s="9"/>
      <c r="H10" s="9"/>
      <c r="I10" s="9"/>
    </row>
    <row r="11" s="2" customFormat="1" ht="15" customHeight="1" spans="1:9">
      <c r="A11" s="7">
        <v>46074</v>
      </c>
      <c r="B11" s="8" t="s">
        <v>5037</v>
      </c>
      <c r="C11" s="9"/>
      <c r="D11" s="9"/>
      <c r="E11" s="9"/>
      <c r="F11" s="9"/>
      <c r="G11" s="9"/>
      <c r="H11" s="9"/>
      <c r="I11" s="9"/>
    </row>
    <row r="12" s="2" customFormat="1" ht="15" customHeight="1" spans="1:9">
      <c r="A12" s="7">
        <v>46116</v>
      </c>
      <c r="B12" s="8" t="s">
        <v>5038</v>
      </c>
      <c r="C12" s="9"/>
      <c r="D12" s="9"/>
      <c r="E12" s="9"/>
      <c r="F12" s="9"/>
      <c r="G12" s="9"/>
      <c r="H12" s="9"/>
      <c r="I12" s="9"/>
    </row>
    <row r="13" s="2" customFormat="1" ht="15" customHeight="1" spans="1:9">
      <c r="A13" s="7">
        <v>46117</v>
      </c>
      <c r="B13" s="8" t="s">
        <v>5038</v>
      </c>
      <c r="C13" s="9"/>
      <c r="D13" s="9"/>
      <c r="E13" s="9"/>
      <c r="F13" s="9"/>
      <c r="G13" s="9"/>
      <c r="H13" s="9"/>
      <c r="I13" s="9"/>
    </row>
    <row r="14" s="2" customFormat="1" ht="15" customHeight="1" spans="1:9">
      <c r="A14" s="7">
        <v>46118</v>
      </c>
      <c r="B14" s="8" t="s">
        <v>5038</v>
      </c>
      <c r="C14" s="9"/>
      <c r="D14" s="9"/>
      <c r="E14" s="9"/>
      <c r="F14" s="9"/>
      <c r="G14" s="9"/>
      <c r="H14" s="9"/>
      <c r="I14" s="9"/>
    </row>
    <row r="15" s="2" customFormat="1" ht="15" customHeight="1" spans="1:9">
      <c r="A15" s="7">
        <v>46143</v>
      </c>
      <c r="B15" s="10" t="s">
        <v>5014</v>
      </c>
      <c r="C15" s="9"/>
      <c r="D15" s="9"/>
      <c r="E15" s="9"/>
      <c r="F15" s="9"/>
      <c r="G15" s="9"/>
      <c r="H15" s="9"/>
      <c r="I15" s="9"/>
    </row>
    <row r="16" s="2" customFormat="1" ht="15" customHeight="1" spans="1:9">
      <c r="A16" s="7">
        <v>46144</v>
      </c>
      <c r="B16" s="10" t="s">
        <v>5014</v>
      </c>
      <c r="C16" s="9"/>
      <c r="D16" s="9"/>
      <c r="E16" s="9"/>
      <c r="F16" s="9"/>
      <c r="G16" s="9"/>
      <c r="H16" s="9"/>
      <c r="I16" s="9"/>
    </row>
    <row r="17" s="2" customFormat="1" ht="15" customHeight="1" spans="1:9">
      <c r="A17" s="7">
        <v>46145</v>
      </c>
      <c r="B17" s="10" t="s">
        <v>5014</v>
      </c>
      <c r="C17" s="9"/>
      <c r="D17" s="9"/>
      <c r="E17" s="9"/>
      <c r="F17" s="9"/>
      <c r="G17" s="9"/>
      <c r="H17" s="9"/>
      <c r="I17" s="9"/>
    </row>
    <row r="18" s="2" customFormat="1" ht="15" customHeight="1" spans="1:9">
      <c r="A18" s="7">
        <v>46192</v>
      </c>
      <c r="B18" s="8" t="s">
        <v>5039</v>
      </c>
      <c r="C18" s="9"/>
      <c r="D18" s="9"/>
      <c r="E18" s="9"/>
      <c r="F18" s="9"/>
      <c r="G18" s="9"/>
      <c r="H18" s="9"/>
      <c r="I18" s="9"/>
    </row>
    <row r="19" s="2" customFormat="1" ht="15" customHeight="1" spans="1:9">
      <c r="A19" s="7">
        <v>46193</v>
      </c>
      <c r="B19" s="8" t="s">
        <v>5039</v>
      </c>
      <c r="C19" s="9"/>
      <c r="D19" s="9"/>
      <c r="E19" s="9"/>
      <c r="F19" s="9"/>
      <c r="G19" s="9"/>
      <c r="H19" s="9"/>
      <c r="I19" s="9"/>
    </row>
    <row r="20" s="2" customFormat="1" ht="15" customHeight="1" spans="1:9">
      <c r="A20" s="7">
        <v>46194</v>
      </c>
      <c r="B20" s="8" t="s">
        <v>5039</v>
      </c>
      <c r="C20" s="9"/>
      <c r="D20" s="9"/>
      <c r="E20" s="9"/>
      <c r="F20" s="9"/>
      <c r="G20" s="9"/>
      <c r="H20" s="9"/>
      <c r="I20" s="9"/>
    </row>
    <row r="21" s="2" customFormat="1" ht="15" customHeight="1" spans="1:9">
      <c r="A21" s="7">
        <v>46290</v>
      </c>
      <c r="B21" s="8"/>
      <c r="C21" s="9"/>
      <c r="D21" s="9"/>
      <c r="E21" s="9"/>
      <c r="F21" s="9"/>
      <c r="G21" s="9"/>
      <c r="H21" s="9"/>
      <c r="I21" s="9"/>
    </row>
    <row r="22" s="2" customFormat="1" ht="15" customHeight="1" spans="1:9">
      <c r="A22" s="7">
        <v>46296</v>
      </c>
      <c r="B22" s="8" t="s">
        <v>5040</v>
      </c>
      <c r="C22" s="9"/>
      <c r="D22" s="9"/>
      <c r="E22" s="9"/>
      <c r="F22" s="9"/>
      <c r="G22" s="9"/>
      <c r="H22" s="9"/>
      <c r="I22" s="9"/>
    </row>
    <row r="23" s="2" customFormat="1" ht="15" customHeight="1" spans="1:9">
      <c r="A23" s="7">
        <v>46297</v>
      </c>
      <c r="B23" s="8" t="s">
        <v>5040</v>
      </c>
      <c r="C23" s="9"/>
      <c r="D23" s="9"/>
      <c r="E23" s="9"/>
      <c r="F23" s="9"/>
      <c r="G23" s="9"/>
      <c r="H23" s="9"/>
      <c r="I23" s="9"/>
    </row>
    <row r="24" s="2" customFormat="1" ht="15" customHeight="1" spans="1:9">
      <c r="A24" s="7">
        <v>46298</v>
      </c>
      <c r="B24" s="8" t="s">
        <v>5040</v>
      </c>
      <c r="C24" s="9"/>
      <c r="D24" s="9"/>
      <c r="E24" s="9"/>
      <c r="F24" s="9"/>
      <c r="G24" s="9"/>
      <c r="H24" s="9"/>
      <c r="I24" s="9"/>
    </row>
    <row r="25" s="2" customFormat="1" ht="15" customHeight="1" spans="1:9">
      <c r="A25" s="7">
        <v>46299</v>
      </c>
      <c r="B25" s="8" t="s">
        <v>5040</v>
      </c>
      <c r="C25" s="9"/>
      <c r="D25" s="9"/>
      <c r="E25" s="9"/>
      <c r="F25" s="9"/>
      <c r="G25" s="9"/>
      <c r="H25" s="9"/>
      <c r="I25" s="9"/>
    </row>
    <row r="26" s="2" customFormat="1" ht="15" customHeight="1" spans="1:9">
      <c r="A26" s="7">
        <v>46300</v>
      </c>
      <c r="B26" s="8" t="s">
        <v>5040</v>
      </c>
      <c r="C26" s="9"/>
      <c r="D26" s="9"/>
      <c r="E26" s="9"/>
      <c r="F26" s="9"/>
      <c r="G26" s="9"/>
      <c r="H26" s="9"/>
      <c r="I26" s="9"/>
    </row>
    <row r="27" s="2" customFormat="1" ht="15" customHeight="1" spans="1:9">
      <c r="A27" s="7">
        <v>46301</v>
      </c>
      <c r="B27" s="8" t="s">
        <v>5040</v>
      </c>
      <c r="C27" s="9"/>
      <c r="D27" s="9"/>
      <c r="E27" s="9"/>
      <c r="F27" s="9"/>
      <c r="G27" s="9"/>
      <c r="H27" s="9"/>
      <c r="I27" s="9"/>
    </row>
    <row r="28" s="2" customFormat="1" ht="15" customHeight="1" spans="1:9">
      <c r="A28" s="7">
        <v>46302</v>
      </c>
      <c r="B28" s="8" t="s">
        <v>5040</v>
      </c>
      <c r="C28" s="9"/>
      <c r="D28" s="9"/>
      <c r="E28" s="9"/>
      <c r="F28" s="9"/>
      <c r="G28" s="9"/>
      <c r="H28" s="9"/>
      <c r="I28" s="9"/>
    </row>
    <row r="29" s="2" customFormat="1" ht="15" customHeight="1" spans="1:9">
      <c r="A29" s="7">
        <v>46388</v>
      </c>
      <c r="B29" s="8" t="s">
        <v>5010</v>
      </c>
      <c r="C29" s="9"/>
      <c r="D29" s="9"/>
      <c r="E29" s="9"/>
      <c r="F29" s="9"/>
      <c r="G29" s="9"/>
      <c r="H29" s="9"/>
      <c r="I29" s="9"/>
    </row>
    <row r="30" s="2" customFormat="1" ht="15" customHeight="1" spans="1:9">
      <c r="A30" s="7">
        <v>46389</v>
      </c>
      <c r="B30" s="8" t="s">
        <v>5010</v>
      </c>
      <c r="C30" s="9"/>
      <c r="D30" s="9"/>
      <c r="E30" s="9"/>
      <c r="F30" s="9"/>
      <c r="G30" s="9"/>
      <c r="H30" s="9"/>
      <c r="I30" s="9"/>
    </row>
    <row r="31" s="2" customFormat="1" ht="15" customHeight="1" spans="1:9">
      <c r="A31" s="7">
        <v>46390</v>
      </c>
      <c r="B31" s="8" t="s">
        <v>5010</v>
      </c>
      <c r="C31" s="9"/>
      <c r="D31" s="9"/>
      <c r="E31" s="9"/>
      <c r="F31" s="9"/>
      <c r="G31" s="9"/>
      <c r="H31" s="9"/>
      <c r="I31" s="9"/>
    </row>
    <row r="32" s="2" customFormat="1" ht="15" customHeight="1" spans="1:9">
      <c r="A32" s="7">
        <v>46424</v>
      </c>
      <c r="B32" s="8" t="s">
        <v>5037</v>
      </c>
      <c r="C32" s="9"/>
      <c r="D32" s="9"/>
      <c r="E32" s="9"/>
      <c r="F32" s="9"/>
      <c r="G32" s="9"/>
      <c r="H32" s="9"/>
      <c r="I32" s="9"/>
    </row>
    <row r="33" s="2" customFormat="1" ht="15" customHeight="1" spans="1:9">
      <c r="A33" s="7">
        <v>46425</v>
      </c>
      <c r="B33" s="8" t="s">
        <v>5037</v>
      </c>
      <c r="C33" s="9"/>
      <c r="D33" s="9"/>
      <c r="E33" s="9"/>
      <c r="F33" s="9"/>
      <c r="G33" s="9"/>
      <c r="H33" s="9"/>
      <c r="I33" s="9"/>
    </row>
    <row r="34" s="2" customFormat="1" ht="15" customHeight="1" spans="1:9">
      <c r="A34" s="7">
        <v>46426</v>
      </c>
      <c r="B34" s="8" t="s">
        <v>5037</v>
      </c>
      <c r="C34" s="9"/>
      <c r="D34" s="9"/>
      <c r="E34" s="9"/>
      <c r="F34" s="9"/>
      <c r="G34" s="9"/>
      <c r="H34" s="9"/>
      <c r="I34" s="9"/>
    </row>
    <row r="35" s="2" customFormat="1" ht="15" customHeight="1" spans="1:9">
      <c r="A35" s="7">
        <v>46427</v>
      </c>
      <c r="B35" s="8" t="s">
        <v>5037</v>
      </c>
      <c r="C35" s="9"/>
      <c r="D35" s="9"/>
      <c r="E35" s="9"/>
      <c r="F35" s="9"/>
      <c r="G35" s="9"/>
      <c r="H35" s="9"/>
      <c r="I35" s="9"/>
    </row>
    <row r="36" s="2" customFormat="1" ht="15" customHeight="1" spans="1:9">
      <c r="A36" s="7">
        <v>46428</v>
      </c>
      <c r="B36" s="8" t="s">
        <v>5037</v>
      </c>
      <c r="C36" s="9"/>
      <c r="D36" s="9"/>
      <c r="E36" s="9"/>
      <c r="F36" s="9"/>
      <c r="G36" s="9"/>
      <c r="H36" s="9"/>
      <c r="I36" s="9"/>
    </row>
    <row r="37" s="2" customFormat="1" ht="15" customHeight="1" spans="1:9">
      <c r="A37" s="7">
        <v>46429</v>
      </c>
      <c r="B37" s="8" t="s">
        <v>5037</v>
      </c>
      <c r="C37" s="9"/>
      <c r="D37" s="9"/>
      <c r="E37" s="9"/>
      <c r="F37" s="9"/>
      <c r="G37" s="9"/>
      <c r="H37" s="9"/>
      <c r="I37" s="9"/>
    </row>
    <row r="38" s="2" customFormat="1" ht="15" customHeight="1" spans="1:9">
      <c r="A38" s="7">
        <v>46430</v>
      </c>
      <c r="B38" s="8" t="s">
        <v>5037</v>
      </c>
      <c r="C38" s="9"/>
      <c r="D38" s="9"/>
      <c r="E38" s="9"/>
      <c r="F38" s="9"/>
      <c r="G38" s="9"/>
      <c r="H38" s="9"/>
      <c r="I38" s="9"/>
    </row>
    <row r="39" s="2" customFormat="1" ht="15" customHeight="1" spans="1:9">
      <c r="A39" s="7">
        <v>46480</v>
      </c>
      <c r="B39" s="8" t="s">
        <v>5038</v>
      </c>
      <c r="C39" s="9"/>
      <c r="D39" s="9"/>
      <c r="E39" s="9"/>
      <c r="F39" s="9"/>
      <c r="G39" s="9"/>
      <c r="H39" s="9"/>
      <c r="I39" s="9"/>
    </row>
    <row r="40" s="2" customFormat="1" ht="15" customHeight="1" spans="1:9">
      <c r="A40" s="7">
        <v>46481</v>
      </c>
      <c r="B40" s="8" t="s">
        <v>5038</v>
      </c>
      <c r="C40" s="9"/>
      <c r="D40" s="9"/>
      <c r="E40" s="9"/>
      <c r="F40" s="9"/>
      <c r="G40" s="9"/>
      <c r="H40" s="9"/>
      <c r="I40" s="9"/>
    </row>
    <row r="41" s="2" customFormat="1" ht="15" customHeight="1" spans="1:9">
      <c r="A41" s="7">
        <v>46482</v>
      </c>
      <c r="B41" s="8" t="s">
        <v>5038</v>
      </c>
      <c r="C41" s="9"/>
      <c r="D41" s="9"/>
      <c r="E41" s="9"/>
      <c r="F41" s="9"/>
      <c r="G41" s="9"/>
      <c r="H41" s="9"/>
      <c r="I41" s="9"/>
    </row>
    <row r="42" s="2" customFormat="1" ht="15" customHeight="1" spans="1:9">
      <c r="A42" s="7">
        <v>46508</v>
      </c>
      <c r="B42" s="10" t="s">
        <v>5014</v>
      </c>
      <c r="C42" s="9"/>
      <c r="D42" s="9"/>
      <c r="E42" s="9"/>
      <c r="F42" s="9"/>
      <c r="G42" s="9"/>
      <c r="H42" s="9"/>
      <c r="I42" s="9"/>
    </row>
    <row r="43" s="2" customFormat="1" ht="15" customHeight="1" spans="1:9">
      <c r="A43" s="7">
        <v>46509</v>
      </c>
      <c r="B43" s="10" t="s">
        <v>5014</v>
      </c>
      <c r="C43" s="9"/>
      <c r="D43" s="9"/>
      <c r="E43" s="9"/>
      <c r="F43" s="9"/>
      <c r="G43" s="9"/>
      <c r="H43" s="9"/>
      <c r="I43" s="9"/>
    </row>
    <row r="44" s="2" customFormat="1" ht="15" customHeight="1" spans="1:9">
      <c r="A44" s="7">
        <v>46510</v>
      </c>
      <c r="B44" s="10" t="s">
        <v>5014</v>
      </c>
      <c r="C44" s="9"/>
      <c r="D44" s="9"/>
      <c r="E44" s="9"/>
      <c r="F44" s="9"/>
      <c r="G44" s="9"/>
      <c r="H44" s="9"/>
      <c r="I44" s="9"/>
    </row>
    <row r="45" s="2" customFormat="1" ht="15" customHeight="1" spans="1:9">
      <c r="A45" s="7">
        <v>46549</v>
      </c>
      <c r="B45" s="8" t="s">
        <v>5039</v>
      </c>
      <c r="C45" s="9"/>
      <c r="D45" s="9"/>
      <c r="E45" s="9"/>
      <c r="F45" s="9"/>
      <c r="G45" s="9"/>
      <c r="H45" s="9"/>
      <c r="I45" s="9"/>
    </row>
    <row r="46" s="2" customFormat="1" ht="15" customHeight="1" spans="1:9">
      <c r="A46" s="7">
        <v>46550</v>
      </c>
      <c r="B46" s="8" t="s">
        <v>5039</v>
      </c>
      <c r="C46" s="9"/>
      <c r="D46" s="9"/>
      <c r="E46" s="9"/>
      <c r="F46" s="9"/>
      <c r="G46" s="9"/>
      <c r="H46" s="9"/>
      <c r="I46" s="9"/>
    </row>
    <row r="47" s="2" customFormat="1" ht="15" customHeight="1" spans="1:9">
      <c r="A47" s="7">
        <v>46551</v>
      </c>
      <c r="B47" s="8" t="s">
        <v>5039</v>
      </c>
      <c r="C47" s="9"/>
      <c r="D47" s="9"/>
      <c r="E47" s="9"/>
      <c r="F47" s="9"/>
      <c r="G47" s="9"/>
      <c r="H47" s="9"/>
      <c r="I47" s="9"/>
    </row>
    <row r="48" s="2" customFormat="1" ht="15" customHeight="1" spans="1:9">
      <c r="A48" s="7">
        <v>46552</v>
      </c>
      <c r="B48" s="8" t="s">
        <v>5039</v>
      </c>
      <c r="C48" s="9"/>
      <c r="D48" s="9"/>
      <c r="E48" s="9"/>
      <c r="F48" s="9"/>
      <c r="G48" s="9"/>
      <c r="H48" s="9"/>
      <c r="I48" s="9"/>
    </row>
    <row r="49" s="2" customFormat="1" ht="15" customHeight="1" spans="1:9">
      <c r="A49" s="7">
        <v>46645</v>
      </c>
      <c r="B49" s="8"/>
      <c r="C49" s="9"/>
      <c r="D49" s="9"/>
      <c r="E49" s="9"/>
      <c r="F49" s="9"/>
      <c r="G49" s="9"/>
      <c r="H49" s="9"/>
      <c r="I49" s="9"/>
    </row>
    <row r="50" s="2" customFormat="1" ht="15" customHeight="1" spans="1:9">
      <c r="A50" s="7">
        <v>46661</v>
      </c>
      <c r="B50" s="8" t="s">
        <v>5040</v>
      </c>
      <c r="C50" s="9"/>
      <c r="D50" s="9"/>
      <c r="E50" s="9"/>
      <c r="F50" s="9"/>
      <c r="G50" s="9"/>
      <c r="H50" s="9"/>
      <c r="I50" s="9"/>
    </row>
    <row r="51" s="2" customFormat="1" ht="15" customHeight="1" spans="1:9">
      <c r="A51" s="7">
        <v>46662</v>
      </c>
      <c r="B51" s="8" t="s">
        <v>5040</v>
      </c>
      <c r="C51" s="9"/>
      <c r="D51" s="9"/>
      <c r="E51" s="9"/>
      <c r="F51" s="9"/>
      <c r="G51" s="9"/>
      <c r="H51" s="9"/>
      <c r="I51" s="9"/>
    </row>
    <row r="52" s="2" customFormat="1" ht="15" customHeight="1" spans="1:9">
      <c r="A52" s="7">
        <v>46663</v>
      </c>
      <c r="B52" s="8" t="s">
        <v>5040</v>
      </c>
      <c r="C52" s="9"/>
      <c r="D52" s="9"/>
      <c r="E52" s="9"/>
      <c r="F52" s="9"/>
      <c r="G52" s="9"/>
      <c r="H52" s="9"/>
      <c r="I52" s="9"/>
    </row>
    <row r="53" s="2" customFormat="1" ht="15" customHeight="1" spans="1:9">
      <c r="A53" s="7">
        <v>46664</v>
      </c>
      <c r="B53" s="8" t="s">
        <v>5040</v>
      </c>
      <c r="C53" s="9"/>
      <c r="D53" s="9"/>
      <c r="E53" s="9"/>
      <c r="F53" s="9"/>
      <c r="G53" s="9"/>
      <c r="H53" s="9"/>
      <c r="I53" s="9"/>
    </row>
    <row r="54" s="2" customFormat="1" ht="15" customHeight="1" spans="1:9">
      <c r="A54" s="7">
        <v>46665</v>
      </c>
      <c r="B54" s="8" t="s">
        <v>5040</v>
      </c>
      <c r="C54" s="9"/>
      <c r="D54" s="9"/>
      <c r="E54" s="9"/>
      <c r="F54" s="9"/>
      <c r="G54" s="9"/>
      <c r="H54" s="9"/>
      <c r="I54" s="9"/>
    </row>
    <row r="55" s="2" customFormat="1" ht="15" customHeight="1" spans="1:9">
      <c r="A55" s="7">
        <v>46666</v>
      </c>
      <c r="B55" s="8" t="s">
        <v>5040</v>
      </c>
      <c r="C55" s="9"/>
      <c r="D55" s="9"/>
      <c r="E55" s="9"/>
      <c r="F55" s="9"/>
      <c r="G55" s="9"/>
      <c r="H55" s="9"/>
      <c r="I55" s="9"/>
    </row>
    <row r="56" s="2" customFormat="1" ht="15" customHeight="1" spans="1:9">
      <c r="A56" s="7">
        <v>46667</v>
      </c>
      <c r="B56" s="8" t="s">
        <v>5040</v>
      </c>
      <c r="C56" s="9"/>
      <c r="D56" s="9"/>
      <c r="E56" s="9"/>
      <c r="F56" s="9"/>
      <c r="G56" s="9"/>
      <c r="H56" s="9"/>
      <c r="I56" s="9"/>
    </row>
    <row r="57" s="2" customFormat="1" ht="15" customHeight="1" spans="1:9">
      <c r="A57" s="7">
        <v>46753</v>
      </c>
      <c r="B57" s="8" t="s">
        <v>5010</v>
      </c>
      <c r="C57" s="9"/>
      <c r="D57" s="9"/>
      <c r="E57" s="9"/>
      <c r="F57" s="9"/>
      <c r="G57" s="9"/>
      <c r="H57" s="9"/>
      <c r="I57" s="9"/>
    </row>
    <row r="58" s="2" customFormat="1" ht="15" customHeight="1" spans="1:9">
      <c r="A58" s="7">
        <v>46754</v>
      </c>
      <c r="B58" s="8" t="s">
        <v>5010</v>
      </c>
      <c r="C58" s="9"/>
      <c r="D58" s="9"/>
      <c r="E58" s="9"/>
      <c r="F58" s="9"/>
      <c r="G58" s="9"/>
      <c r="H58" s="9"/>
      <c r="I58" s="9"/>
    </row>
    <row r="59" s="2" customFormat="1" ht="15" customHeight="1" spans="1:9">
      <c r="A59" s="7">
        <v>46755</v>
      </c>
      <c r="B59" s="8" t="s">
        <v>5010</v>
      </c>
      <c r="C59" s="9"/>
      <c r="D59" s="9"/>
      <c r="E59" s="9"/>
      <c r="F59" s="9"/>
      <c r="G59" s="9"/>
      <c r="H59" s="9"/>
      <c r="I59" s="9"/>
    </row>
    <row r="60" s="2" customFormat="1" ht="15" customHeight="1" spans="1:9">
      <c r="A60" s="7">
        <v>46777</v>
      </c>
      <c r="B60" s="8" t="s">
        <v>5037</v>
      </c>
      <c r="C60" s="9"/>
      <c r="D60" s="9"/>
      <c r="E60" s="9"/>
      <c r="F60" s="9"/>
      <c r="G60" s="9"/>
      <c r="H60" s="9"/>
      <c r="I60" s="9"/>
    </row>
    <row r="61" s="2" customFormat="1" ht="15" customHeight="1" spans="1:9">
      <c r="A61" s="7">
        <v>46778</v>
      </c>
      <c r="B61" s="8" t="s">
        <v>5037</v>
      </c>
      <c r="C61" s="9"/>
      <c r="D61" s="9"/>
      <c r="E61" s="9"/>
      <c r="F61" s="9"/>
      <c r="G61" s="9"/>
      <c r="H61" s="9"/>
      <c r="I61" s="9"/>
    </row>
    <row r="62" s="2" customFormat="1" ht="15" customHeight="1" spans="1:9">
      <c r="A62" s="7">
        <v>46779</v>
      </c>
      <c r="B62" s="8" t="s">
        <v>5037</v>
      </c>
      <c r="C62" s="9"/>
      <c r="D62" s="9"/>
      <c r="E62" s="9"/>
      <c r="F62" s="9"/>
      <c r="G62" s="9"/>
      <c r="H62" s="9"/>
      <c r="I62" s="9"/>
    </row>
    <row r="63" s="2" customFormat="1" ht="15" customHeight="1" spans="1:9">
      <c r="A63" s="7">
        <v>46780</v>
      </c>
      <c r="B63" s="8" t="s">
        <v>5037</v>
      </c>
      <c r="C63" s="9"/>
      <c r="D63" s="9"/>
      <c r="E63" s="9"/>
      <c r="F63" s="9"/>
      <c r="G63" s="9"/>
      <c r="H63" s="9"/>
      <c r="I63" s="9"/>
    </row>
    <row r="64" s="2" customFormat="1" ht="15" customHeight="1" spans="1:9">
      <c r="A64" s="7">
        <v>46781</v>
      </c>
      <c r="B64" s="8" t="s">
        <v>5037</v>
      </c>
      <c r="C64" s="9"/>
      <c r="D64" s="9"/>
      <c r="E64" s="9"/>
      <c r="F64" s="9"/>
      <c r="G64" s="9"/>
      <c r="H64" s="9"/>
      <c r="I64" s="9"/>
    </row>
    <row r="65" s="2" customFormat="1" ht="15" customHeight="1" spans="1:9">
      <c r="A65" s="7">
        <v>46782</v>
      </c>
      <c r="B65" s="8" t="s">
        <v>5037</v>
      </c>
      <c r="C65" s="9"/>
      <c r="D65" s="9"/>
      <c r="E65" s="9"/>
      <c r="F65" s="9"/>
      <c r="G65" s="9"/>
      <c r="H65" s="9"/>
      <c r="I65" s="9"/>
    </row>
    <row r="66" s="2" customFormat="1" ht="15" customHeight="1" spans="1:9">
      <c r="A66" s="7">
        <v>46783</v>
      </c>
      <c r="B66" s="8" t="s">
        <v>5037</v>
      </c>
      <c r="C66" s="9"/>
      <c r="D66" s="9"/>
      <c r="E66" s="9"/>
      <c r="F66" s="9"/>
      <c r="G66" s="9"/>
      <c r="H66" s="9"/>
      <c r="I66" s="9"/>
    </row>
    <row r="67" s="2" customFormat="1" ht="15" customHeight="1" spans="1:9">
      <c r="A67" s="7">
        <v>46847</v>
      </c>
      <c r="B67" s="8" t="s">
        <v>5038</v>
      </c>
      <c r="C67" s="9"/>
      <c r="D67" s="9"/>
      <c r="E67" s="9"/>
      <c r="F67" s="9"/>
      <c r="G67" s="9"/>
      <c r="H67" s="9"/>
      <c r="I67" s="9"/>
    </row>
    <row r="68" s="2" customFormat="1" ht="15" customHeight="1" spans="1:9">
      <c r="A68" s="7">
        <v>46848</v>
      </c>
      <c r="B68" s="8" t="s">
        <v>5038</v>
      </c>
      <c r="C68" s="9"/>
      <c r="D68" s="9"/>
      <c r="E68" s="9"/>
      <c r="F68" s="9"/>
      <c r="G68" s="9"/>
      <c r="H68" s="9"/>
      <c r="I68" s="9"/>
    </row>
    <row r="69" s="2" customFormat="1" ht="15" customHeight="1" spans="1:9">
      <c r="A69" s="7">
        <v>46849</v>
      </c>
      <c r="B69" s="8" t="s">
        <v>5038</v>
      </c>
      <c r="C69" s="9"/>
      <c r="D69" s="9"/>
      <c r="E69" s="9"/>
      <c r="F69" s="9"/>
      <c r="G69" s="9"/>
      <c r="H69" s="9"/>
      <c r="I69" s="9"/>
    </row>
    <row r="70" s="2" customFormat="1" ht="15" customHeight="1" spans="1:9">
      <c r="A70" s="7">
        <v>46874</v>
      </c>
      <c r="B70" s="10" t="s">
        <v>5014</v>
      </c>
      <c r="C70" s="9"/>
      <c r="D70" s="9"/>
      <c r="E70" s="9"/>
      <c r="F70" s="9"/>
      <c r="G70" s="9"/>
      <c r="H70" s="9"/>
      <c r="I70" s="9"/>
    </row>
    <row r="71" s="2" customFormat="1" ht="15" customHeight="1" spans="1:9">
      <c r="A71" s="7">
        <v>46875</v>
      </c>
      <c r="B71" s="10" t="s">
        <v>5014</v>
      </c>
      <c r="C71" s="9"/>
      <c r="D71" s="9"/>
      <c r="E71" s="9"/>
      <c r="F71" s="9"/>
      <c r="G71" s="9"/>
      <c r="H71" s="9"/>
      <c r="I71" s="9"/>
    </row>
    <row r="72" s="2" customFormat="1" ht="15" customHeight="1" spans="1:9">
      <c r="A72" s="7">
        <v>46876</v>
      </c>
      <c r="B72" s="10" t="s">
        <v>5014</v>
      </c>
      <c r="C72" s="9"/>
      <c r="D72" s="9"/>
      <c r="E72" s="9"/>
      <c r="F72" s="9"/>
      <c r="G72" s="9"/>
      <c r="H72" s="9"/>
      <c r="I72" s="9"/>
    </row>
    <row r="73" s="2" customFormat="1" ht="15" customHeight="1" spans="1:9">
      <c r="A73" s="7">
        <v>46904</v>
      </c>
      <c r="B73" s="8" t="s">
        <v>5039</v>
      </c>
      <c r="C73" s="9"/>
      <c r="D73" s="9"/>
      <c r="E73" s="9"/>
      <c r="F73" s="9"/>
      <c r="G73" s="9"/>
      <c r="H73" s="9"/>
      <c r="I73" s="9"/>
    </row>
    <row r="74" s="2" customFormat="1" ht="15" customHeight="1" spans="1:9">
      <c r="A74" s="7">
        <v>46905</v>
      </c>
      <c r="B74" s="8" t="s">
        <v>5039</v>
      </c>
      <c r="C74" s="9"/>
      <c r="D74" s="9"/>
      <c r="E74" s="9"/>
      <c r="F74" s="9"/>
      <c r="G74" s="9"/>
      <c r="H74" s="9"/>
      <c r="I74" s="9"/>
    </row>
    <row r="75" s="2" customFormat="1" ht="15" customHeight="1" spans="1:9">
      <c r="A75" s="7">
        <v>46906</v>
      </c>
      <c r="B75" s="8" t="s">
        <v>5039</v>
      </c>
      <c r="C75" s="9"/>
      <c r="D75" s="9"/>
      <c r="E75" s="9"/>
      <c r="F75" s="9"/>
      <c r="G75" s="9"/>
      <c r="H75" s="9"/>
      <c r="I75" s="9"/>
    </row>
    <row r="76" s="2" customFormat="1" ht="15" customHeight="1" spans="1:9">
      <c r="A76" s="7">
        <v>47027</v>
      </c>
      <c r="B76" s="8" t="s">
        <v>5040</v>
      </c>
      <c r="C76" s="9"/>
      <c r="D76" s="9"/>
      <c r="E76" s="9"/>
      <c r="F76" s="9"/>
      <c r="G76" s="9"/>
      <c r="H76" s="9"/>
      <c r="I76" s="9"/>
    </row>
    <row r="77" s="2" customFormat="1" ht="15" customHeight="1" spans="1:9">
      <c r="A77" s="7">
        <v>47028</v>
      </c>
      <c r="B77" s="8" t="s">
        <v>5040</v>
      </c>
      <c r="C77" s="9"/>
      <c r="D77" s="9"/>
      <c r="E77" s="9"/>
      <c r="F77" s="9"/>
      <c r="G77" s="9"/>
      <c r="H77" s="9"/>
      <c r="I77" s="9"/>
    </row>
    <row r="78" s="2" customFormat="1" ht="15" customHeight="1" spans="1:9">
      <c r="A78" s="7">
        <v>47029</v>
      </c>
      <c r="B78" s="8" t="s">
        <v>5040</v>
      </c>
      <c r="C78" s="9"/>
      <c r="D78" s="9"/>
      <c r="E78" s="9"/>
      <c r="F78" s="9"/>
      <c r="G78" s="9"/>
      <c r="H78" s="9"/>
      <c r="I78" s="9"/>
    </row>
    <row r="79" s="2" customFormat="1" ht="15" customHeight="1" spans="1:9">
      <c r="A79" s="7">
        <v>47030</v>
      </c>
      <c r="B79" s="8" t="s">
        <v>5040</v>
      </c>
      <c r="C79" s="9"/>
      <c r="D79" s="9"/>
      <c r="E79" s="9"/>
      <c r="F79" s="9"/>
      <c r="G79" s="9"/>
      <c r="H79" s="9"/>
      <c r="I79" s="9"/>
    </row>
    <row r="80" s="2" customFormat="1" ht="15" customHeight="1" spans="1:9">
      <c r="A80" s="7">
        <v>47031</v>
      </c>
      <c r="B80" s="8" t="s">
        <v>5040</v>
      </c>
      <c r="C80" s="9"/>
      <c r="D80" s="9"/>
      <c r="E80" s="9"/>
      <c r="F80" s="9"/>
      <c r="G80" s="9"/>
      <c r="H80" s="9"/>
      <c r="I80" s="9"/>
    </row>
    <row r="81" s="2" customFormat="1" ht="15" customHeight="1" spans="1:9">
      <c r="A81" s="7">
        <v>47032</v>
      </c>
      <c r="B81" s="8" t="s">
        <v>5040</v>
      </c>
      <c r="C81" s="9"/>
      <c r="D81" s="9"/>
      <c r="E81" s="9"/>
      <c r="F81" s="9"/>
      <c r="G81" s="9"/>
      <c r="H81" s="9"/>
      <c r="I81" s="9"/>
    </row>
    <row r="82" s="2" customFormat="1" ht="15" customHeight="1" spans="1:9">
      <c r="A82" s="7">
        <v>47033</v>
      </c>
      <c r="B82" s="8" t="s">
        <v>5040</v>
      </c>
      <c r="C82" s="9"/>
      <c r="D82" s="9"/>
      <c r="E82" s="9"/>
      <c r="F82" s="9"/>
      <c r="G82" s="9"/>
      <c r="H82" s="9"/>
      <c r="I82" s="9"/>
    </row>
  </sheetData>
  <conditionalFormatting sqref="A2">
    <cfRule type="duplicateValues" dxfId="8" priority="78"/>
  </conditionalFormatting>
  <conditionalFormatting sqref="A3">
    <cfRule type="duplicateValues" dxfId="8" priority="77"/>
  </conditionalFormatting>
  <conditionalFormatting sqref="A4">
    <cfRule type="duplicateValues" dxfId="8" priority="76"/>
  </conditionalFormatting>
  <conditionalFormatting sqref="A5">
    <cfRule type="duplicateValues" dxfId="8" priority="75"/>
  </conditionalFormatting>
  <conditionalFormatting sqref="A6">
    <cfRule type="duplicateValues" dxfId="8" priority="74"/>
  </conditionalFormatting>
  <conditionalFormatting sqref="A7">
    <cfRule type="duplicateValues" dxfId="8" priority="73"/>
  </conditionalFormatting>
  <conditionalFormatting sqref="A8">
    <cfRule type="duplicateValues" dxfId="8" priority="72"/>
  </conditionalFormatting>
  <conditionalFormatting sqref="A9">
    <cfRule type="duplicateValues" dxfId="8" priority="71"/>
  </conditionalFormatting>
  <conditionalFormatting sqref="A10">
    <cfRule type="duplicateValues" dxfId="8" priority="70"/>
  </conditionalFormatting>
  <conditionalFormatting sqref="A11">
    <cfRule type="duplicateValues" dxfId="8" priority="69"/>
  </conditionalFormatting>
  <conditionalFormatting sqref="A12">
    <cfRule type="duplicateValues" dxfId="8" priority="68"/>
  </conditionalFormatting>
  <conditionalFormatting sqref="A13">
    <cfRule type="duplicateValues" dxfId="8" priority="67"/>
  </conditionalFormatting>
  <conditionalFormatting sqref="A14">
    <cfRule type="duplicateValues" dxfId="8" priority="66"/>
  </conditionalFormatting>
  <conditionalFormatting sqref="A15">
    <cfRule type="duplicateValues" dxfId="8" priority="65"/>
  </conditionalFormatting>
  <conditionalFormatting sqref="A16">
    <cfRule type="duplicateValues" dxfId="8" priority="64"/>
  </conditionalFormatting>
  <conditionalFormatting sqref="A17">
    <cfRule type="duplicateValues" dxfId="8" priority="63"/>
  </conditionalFormatting>
  <conditionalFormatting sqref="A18">
    <cfRule type="duplicateValues" dxfId="8" priority="62"/>
  </conditionalFormatting>
  <conditionalFormatting sqref="A19">
    <cfRule type="duplicateValues" dxfId="8" priority="61"/>
  </conditionalFormatting>
  <conditionalFormatting sqref="A23">
    <cfRule type="duplicateValues" dxfId="8" priority="58"/>
  </conditionalFormatting>
  <conditionalFormatting sqref="A24">
    <cfRule type="duplicateValues" dxfId="8" priority="57"/>
  </conditionalFormatting>
  <conditionalFormatting sqref="A25">
    <cfRule type="duplicateValues" dxfId="8" priority="56"/>
  </conditionalFormatting>
  <conditionalFormatting sqref="A26">
    <cfRule type="duplicateValues" dxfId="8" priority="55"/>
  </conditionalFormatting>
  <conditionalFormatting sqref="A27">
    <cfRule type="duplicateValues" dxfId="8" priority="54"/>
  </conditionalFormatting>
  <conditionalFormatting sqref="A28">
    <cfRule type="duplicateValues" dxfId="8" priority="53"/>
  </conditionalFormatting>
  <conditionalFormatting sqref="A29">
    <cfRule type="duplicateValues" dxfId="8" priority="52"/>
  </conditionalFormatting>
  <conditionalFormatting sqref="A30">
    <cfRule type="duplicateValues" dxfId="8" priority="51"/>
  </conditionalFormatting>
  <conditionalFormatting sqref="A31">
    <cfRule type="duplicateValues" dxfId="8" priority="50"/>
  </conditionalFormatting>
  <conditionalFormatting sqref="A32">
    <cfRule type="duplicateValues" dxfId="8" priority="49"/>
  </conditionalFormatting>
  <conditionalFormatting sqref="A33">
    <cfRule type="duplicateValues" dxfId="8" priority="48"/>
  </conditionalFormatting>
  <conditionalFormatting sqref="A34">
    <cfRule type="duplicateValues" dxfId="8" priority="47"/>
  </conditionalFormatting>
  <conditionalFormatting sqref="A35">
    <cfRule type="duplicateValues" dxfId="8" priority="46"/>
  </conditionalFormatting>
  <conditionalFormatting sqref="A36">
    <cfRule type="duplicateValues" dxfId="8" priority="45"/>
  </conditionalFormatting>
  <conditionalFormatting sqref="A37">
    <cfRule type="duplicateValues" dxfId="8" priority="44"/>
  </conditionalFormatting>
  <conditionalFormatting sqref="A38">
    <cfRule type="duplicateValues" dxfId="8" priority="43"/>
  </conditionalFormatting>
  <conditionalFormatting sqref="A39">
    <cfRule type="duplicateValues" dxfId="8" priority="42"/>
  </conditionalFormatting>
  <conditionalFormatting sqref="A40">
    <cfRule type="duplicateValues" dxfId="8" priority="41"/>
  </conditionalFormatting>
  <conditionalFormatting sqref="A41">
    <cfRule type="duplicateValues" dxfId="8" priority="40"/>
  </conditionalFormatting>
  <conditionalFormatting sqref="A42">
    <cfRule type="duplicateValues" dxfId="8" priority="39"/>
  </conditionalFormatting>
  <conditionalFormatting sqref="A43">
    <cfRule type="duplicateValues" dxfId="8" priority="38"/>
  </conditionalFormatting>
  <conditionalFormatting sqref="A44">
    <cfRule type="duplicateValues" dxfId="8" priority="37"/>
  </conditionalFormatting>
  <conditionalFormatting sqref="A45">
    <cfRule type="duplicateValues" dxfId="8" priority="36"/>
  </conditionalFormatting>
  <conditionalFormatting sqref="A46">
    <cfRule type="duplicateValues" dxfId="8" priority="35"/>
  </conditionalFormatting>
  <conditionalFormatting sqref="A47">
    <cfRule type="duplicateValues" dxfId="8" priority="34"/>
  </conditionalFormatting>
  <conditionalFormatting sqref="A51">
    <cfRule type="duplicateValues" dxfId="8" priority="31"/>
  </conditionalFormatting>
  <conditionalFormatting sqref="A52">
    <cfRule type="duplicateValues" dxfId="8" priority="30"/>
  </conditionalFormatting>
  <conditionalFormatting sqref="A53">
    <cfRule type="duplicateValues" dxfId="8" priority="29"/>
  </conditionalFormatting>
  <conditionalFormatting sqref="A54">
    <cfRule type="duplicateValues" dxfId="8" priority="28"/>
  </conditionalFormatting>
  <conditionalFormatting sqref="A55">
    <cfRule type="duplicateValues" dxfId="8" priority="27"/>
  </conditionalFormatting>
  <conditionalFormatting sqref="A56">
    <cfRule type="duplicateValues" dxfId="8" priority="26"/>
  </conditionalFormatting>
  <conditionalFormatting sqref="A57">
    <cfRule type="duplicateValues" dxfId="8" priority="25"/>
  </conditionalFormatting>
  <conditionalFormatting sqref="A58">
    <cfRule type="duplicateValues" dxfId="8" priority="24"/>
  </conditionalFormatting>
  <conditionalFormatting sqref="A59">
    <cfRule type="duplicateValues" dxfId="8" priority="23"/>
  </conditionalFormatting>
  <conditionalFormatting sqref="A60">
    <cfRule type="duplicateValues" dxfId="8" priority="22"/>
  </conditionalFormatting>
  <conditionalFormatting sqref="A61">
    <cfRule type="duplicateValues" dxfId="8" priority="21"/>
  </conditionalFormatting>
  <conditionalFormatting sqref="A62">
    <cfRule type="duplicateValues" dxfId="8" priority="20"/>
  </conditionalFormatting>
  <conditionalFormatting sqref="A63">
    <cfRule type="duplicateValues" dxfId="8" priority="19"/>
  </conditionalFormatting>
  <conditionalFormatting sqref="A64">
    <cfRule type="duplicateValues" dxfId="8" priority="18"/>
  </conditionalFormatting>
  <conditionalFormatting sqref="A65">
    <cfRule type="duplicateValues" dxfId="8" priority="17"/>
  </conditionalFormatting>
  <conditionalFormatting sqref="A66">
    <cfRule type="duplicateValues" dxfId="8" priority="16"/>
  </conditionalFormatting>
  <conditionalFormatting sqref="A67">
    <cfRule type="duplicateValues" dxfId="8" priority="15"/>
  </conditionalFormatting>
  <conditionalFormatting sqref="A68">
    <cfRule type="duplicateValues" dxfId="8" priority="14"/>
  </conditionalFormatting>
  <conditionalFormatting sqref="A69">
    <cfRule type="duplicateValues" dxfId="8" priority="13"/>
  </conditionalFormatting>
  <conditionalFormatting sqref="A70">
    <cfRule type="duplicateValues" dxfId="8" priority="12"/>
  </conditionalFormatting>
  <conditionalFormatting sqref="A71">
    <cfRule type="duplicateValues" dxfId="8" priority="11"/>
  </conditionalFormatting>
  <conditionalFormatting sqref="A72">
    <cfRule type="duplicateValues" dxfId="8" priority="10"/>
  </conditionalFormatting>
  <conditionalFormatting sqref="A73">
    <cfRule type="duplicateValues" dxfId="8" priority="9"/>
  </conditionalFormatting>
  <conditionalFormatting sqref="A74">
    <cfRule type="duplicateValues" dxfId="8" priority="8"/>
  </conditionalFormatting>
  <conditionalFormatting sqref="A75">
    <cfRule type="duplicateValues" dxfId="8" priority="7"/>
  </conditionalFormatting>
  <conditionalFormatting sqref="A76">
    <cfRule type="duplicateValues" dxfId="8" priority="6"/>
  </conditionalFormatting>
  <conditionalFormatting sqref="A77">
    <cfRule type="duplicateValues" dxfId="8" priority="5"/>
  </conditionalFormatting>
  <conditionalFormatting sqref="A78">
    <cfRule type="duplicateValues" dxfId="8" priority="4"/>
  </conditionalFormatting>
  <conditionalFormatting sqref="A79">
    <cfRule type="duplicateValues" dxfId="8" priority="3"/>
  </conditionalFormatting>
  <conditionalFormatting sqref="A$1:A$1048576">
    <cfRule type="duplicateValues" dxfId="7" priority="1"/>
  </conditionalFormatting>
  <conditionalFormatting sqref="A20:A21">
    <cfRule type="duplicateValues" dxfId="8" priority="60"/>
  </conditionalFormatting>
  <conditionalFormatting sqref="A21:A22">
    <cfRule type="duplicateValues" dxfId="8" priority="59"/>
  </conditionalFormatting>
  <conditionalFormatting sqref="A48:A49">
    <cfRule type="duplicateValues" dxfId="8" priority="33"/>
  </conditionalFormatting>
  <conditionalFormatting sqref="A49:A50">
    <cfRule type="duplicateValues" dxfId="8" priority="32"/>
  </conditionalFormatting>
  <conditionalFormatting sqref="A80:A82">
    <cfRule type="duplicateValues" dxfId="8" priority="2"/>
  </conditionalFormatting>
  <conditionalFormatting sqref="A83:A1048576 A1">
    <cfRule type="duplicateValues" dxfId="8" priority="79"/>
  </conditionalFormatting>
  <pageMargins left="0.7" right="0.7" top="0.75" bottom="0.75" header="0.3" footer="0.3"/>
  <pageSetup paperSize="9" scale="35"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8" master="" otherUserPermission="visible"/>
  <rangeList sheetStid="7" master="" otherUserPermission="visible"/>
  <rangeList sheetStid="1" master="" otherUserPermission="visible"/>
  <rangeList sheetStid="2" master="" otherUserPermission="visible">
    <arrUserId title="区域1" rangeCreator="" othersAccessPermission="edit"/>
  </rangeList>
  <rangeList sheetStid="5" master="" otherUserPermission="visible"/>
  <rangeList sheetStid="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PSR Overall Cycle</vt:lpstr>
      <vt:lpstr>Sheet1</vt:lpstr>
      <vt:lpstr>P6</vt:lpstr>
      <vt:lpstr>Before Award</vt:lpstr>
      <vt:lpstr>After Award</vt:lpstr>
      <vt:lpstr>Thai Holidays</vt:lpstr>
      <vt:lpstr>China Holidays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小包子的妈妈</cp:lastModifiedBy>
  <dcterms:created xsi:type="dcterms:W3CDTF">2015-06-05T18:17:00Z</dcterms:created>
  <cp:lastPrinted>2026-03-19T03:18:00Z</cp:lastPrinted>
  <dcterms:modified xsi:type="dcterms:W3CDTF">2026-10-07T09:29:54Z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2026-04-05T09:52:33Z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250cffe7-b58f-451a-bea2-dd0a148ca778</vt:lpwstr>
  </property>
  <property fmtid="{D5CDD505-2E9C-101B-9397-08002B2CF9AE}" pid="7" name="MSIP_Label_defa4170-0d19-0005-0004-bc88714345d2_ActionId">
    <vt:lpwstr>4d9c9d41-b7fc-46e5-8f6c-fd76e24265bf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ICV">
    <vt:lpwstr>3301C74D6EB94A7AA9047191BE9EFFA0_13</vt:lpwstr>
  </property>
  <property fmtid="{D5CDD505-2E9C-101B-9397-08002B2CF9AE}" pid="11" name="KSOProductBuildVer">
    <vt:lpwstr>2052-12.1.0.28505</vt:lpwstr>
  </property>
  <property fmtid="{D5CDD505-2E9C-101B-9397-08002B2CF9AE}" pid="12" name="CalculationRule">
    <vt:i4>0</vt:i4>
  </property>
  <property fmtid="{D5CDD505-2E9C-101B-9397-08002B2CF9AE}" pid="13" name="KSOReadingLayout">
    <vt:bool>true</vt:bool>
  </property>
</Properties>
</file>
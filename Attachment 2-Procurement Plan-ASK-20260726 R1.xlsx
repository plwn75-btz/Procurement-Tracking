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User\Desktop\Weekly Report Meeting\Week 18\"/>
    </mc:Choice>
  </mc:AlternateContent>
  <xr:revisionPtr revIDLastSave="0" documentId="13_ncr:1_{E536DBB9-AF46-4931-95DB-84A75276DC81}" xr6:coauthVersionLast="47" xr6:coauthVersionMax="47" xr10:uidLastSave="{00000000-0000-0000-0000-000000000000}"/>
  <bookViews>
    <workbookView xWindow="-98" yWindow="-98" windowWidth="21795" windowHeight="12975"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Cycle'!$A$18:$AV$328</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Cycle'!$A$3:$AU$324</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300" i="2" l="1"/>
  <c r="AU300" i="2"/>
  <c r="AT300" i="2"/>
  <c r="AS300" i="2"/>
  <c r="AR300" i="2"/>
  <c r="AQ300" i="2"/>
  <c r="AP300" i="2"/>
  <c r="AO300" i="2"/>
  <c r="AN300" i="2"/>
  <c r="AM300" i="2"/>
  <c r="I300" i="2"/>
  <c r="F300" i="2"/>
  <c r="E300" i="2"/>
  <c r="AV299" i="2"/>
  <c r="AU299" i="2"/>
  <c r="AT299" i="2"/>
  <c r="AS299" i="2"/>
  <c r="AR299" i="2"/>
  <c r="AQ299" i="2"/>
  <c r="AP299" i="2"/>
  <c r="AO299" i="2"/>
  <c r="AN299" i="2"/>
  <c r="AM299" i="2"/>
  <c r="AB299" i="2"/>
  <c r="AA299" i="2"/>
  <c r="Z299" i="2"/>
  <c r="Y299" i="2"/>
  <c r="X299" i="2"/>
  <c r="W299" i="2"/>
  <c r="V299" i="2"/>
  <c r="U299" i="2"/>
  <c r="T299" i="2"/>
  <c r="S299" i="2"/>
  <c r="L299" i="2"/>
  <c r="I299" i="2"/>
  <c r="F299" i="2"/>
  <c r="E299" i="2"/>
  <c r="AV298" i="2"/>
  <c r="AU298" i="2"/>
  <c r="AT298" i="2"/>
  <c r="AS298" i="2"/>
  <c r="AR298" i="2"/>
  <c r="AQ298" i="2"/>
  <c r="AP298" i="2"/>
  <c r="AO298" i="2"/>
  <c r="AN298" i="2"/>
  <c r="AM298" i="2"/>
  <c r="AJ298" i="2"/>
  <c r="AF298" i="2"/>
  <c r="AB298" i="2"/>
  <c r="AA298" i="2"/>
  <c r="Z298" i="2"/>
  <c r="Y298" i="2"/>
  <c r="X298" i="2"/>
  <c r="W298" i="2"/>
  <c r="V298" i="2"/>
  <c r="U298" i="2"/>
  <c r="T298" i="2"/>
  <c r="S298" i="2"/>
  <c r="K298" i="2"/>
  <c r="A298" i="2"/>
  <c r="AV297" i="2"/>
  <c r="AU297" i="2"/>
  <c r="AT297" i="2"/>
  <c r="AS297" i="2"/>
  <c r="AR297" i="2"/>
  <c r="AQ297" i="2"/>
  <c r="AP297" i="2"/>
  <c r="AO297" i="2"/>
  <c r="AN297" i="2"/>
  <c r="AM297" i="2"/>
  <c r="I297" i="2"/>
  <c r="H297" i="2"/>
  <c r="F297" i="2"/>
  <c r="E297" i="2"/>
  <c r="D297" i="2"/>
  <c r="AV296" i="2"/>
  <c r="AU296" i="2"/>
  <c r="AT296" i="2"/>
  <c r="AS296" i="2"/>
  <c r="AR296" i="2"/>
  <c r="AQ296" i="2"/>
  <c r="AP296" i="2"/>
  <c r="AO296" i="2"/>
  <c r="AN296" i="2"/>
  <c r="AM296" i="2"/>
  <c r="AB296" i="2"/>
  <c r="AA296" i="2"/>
  <c r="Z296" i="2"/>
  <c r="Y296" i="2"/>
  <c r="X296" i="2"/>
  <c r="W296" i="2"/>
  <c r="V296" i="2"/>
  <c r="U296" i="2"/>
  <c r="T296" i="2"/>
  <c r="S296" i="2"/>
  <c r="L296" i="2"/>
  <c r="I296" i="2"/>
  <c r="H296" i="2"/>
  <c r="F296" i="2"/>
  <c r="E296" i="2"/>
  <c r="D296" i="2"/>
  <c r="AV295" i="2"/>
  <c r="AU295" i="2"/>
  <c r="AT295" i="2"/>
  <c r="AS295" i="2"/>
  <c r="AR295" i="2"/>
  <c r="AQ295" i="2"/>
  <c r="AP295" i="2"/>
  <c r="AO295" i="2"/>
  <c r="AN295" i="2"/>
  <c r="AM295" i="2"/>
  <c r="AJ295" i="2"/>
  <c r="AF295" i="2"/>
  <c r="AB295" i="2"/>
  <c r="AA295" i="2"/>
  <c r="Z295" i="2"/>
  <c r="Y295" i="2"/>
  <c r="X295" i="2"/>
  <c r="W295" i="2"/>
  <c r="V295" i="2"/>
  <c r="U295" i="2"/>
  <c r="T295" i="2"/>
  <c r="S295" i="2"/>
  <c r="K295" i="2"/>
  <c r="A295" i="2"/>
  <c r="AV294" i="2"/>
  <c r="AU294" i="2"/>
  <c r="AT294" i="2"/>
  <c r="AS294" i="2"/>
  <c r="AR294" i="2"/>
  <c r="AQ294" i="2"/>
  <c r="AP294" i="2"/>
  <c r="AO294" i="2"/>
  <c r="AN294" i="2"/>
  <c r="AM294" i="2"/>
  <c r="I294" i="2"/>
  <c r="H294" i="2"/>
  <c r="F294" i="2"/>
  <c r="E294" i="2"/>
  <c r="D294" i="2"/>
  <c r="AV293" i="2"/>
  <c r="AU293" i="2"/>
  <c r="AT293" i="2"/>
  <c r="AS293" i="2"/>
  <c r="AR293" i="2"/>
  <c r="AQ293" i="2"/>
  <c r="AP293" i="2"/>
  <c r="AO293" i="2"/>
  <c r="AN293" i="2"/>
  <c r="AM293" i="2"/>
  <c r="AB293" i="2"/>
  <c r="AA293" i="2"/>
  <c r="Z293" i="2"/>
  <c r="Y293" i="2"/>
  <c r="X293" i="2"/>
  <c r="W293" i="2"/>
  <c r="V293" i="2"/>
  <c r="U293" i="2"/>
  <c r="T293" i="2"/>
  <c r="S293" i="2"/>
  <c r="L293" i="2"/>
  <c r="I293" i="2"/>
  <c r="H293" i="2"/>
  <c r="F293" i="2"/>
  <c r="E293" i="2"/>
  <c r="D293" i="2"/>
  <c r="AV292" i="2"/>
  <c r="AU292" i="2"/>
  <c r="AT292" i="2"/>
  <c r="AS292" i="2"/>
  <c r="AR292" i="2"/>
  <c r="AQ292" i="2"/>
  <c r="AP292" i="2"/>
  <c r="AO292" i="2"/>
  <c r="AN292" i="2"/>
  <c r="AM292" i="2"/>
  <c r="AJ292" i="2"/>
  <c r="AF292" i="2"/>
  <c r="AB292" i="2"/>
  <c r="AA292" i="2"/>
  <c r="Z292" i="2"/>
  <c r="Y292" i="2"/>
  <c r="X292" i="2"/>
  <c r="W292" i="2"/>
  <c r="V292" i="2"/>
  <c r="U292" i="2"/>
  <c r="T292" i="2"/>
  <c r="S292" i="2"/>
  <c r="K292" i="2"/>
  <c r="A292" i="2"/>
  <c r="AV291" i="2"/>
  <c r="AU291" i="2"/>
  <c r="AT291" i="2"/>
  <c r="AS291" i="2"/>
  <c r="AR291" i="2"/>
  <c r="AQ291" i="2"/>
  <c r="AP291" i="2"/>
  <c r="AO291" i="2"/>
  <c r="AN291" i="2"/>
  <c r="AM291" i="2"/>
  <c r="I291" i="2"/>
  <c r="H291" i="2"/>
  <c r="F291" i="2"/>
  <c r="E291" i="2"/>
  <c r="D291" i="2"/>
  <c r="AV290" i="2"/>
  <c r="AU290" i="2"/>
  <c r="AT290" i="2"/>
  <c r="AS290" i="2"/>
  <c r="AR290" i="2"/>
  <c r="AQ290" i="2"/>
  <c r="AP290" i="2"/>
  <c r="AO290" i="2"/>
  <c r="AN290" i="2"/>
  <c r="AM290" i="2"/>
  <c r="AB290" i="2"/>
  <c r="AA290" i="2"/>
  <c r="Z290" i="2"/>
  <c r="Y290" i="2"/>
  <c r="X290" i="2"/>
  <c r="W290" i="2"/>
  <c r="V290" i="2"/>
  <c r="U290" i="2"/>
  <c r="T290" i="2"/>
  <c r="S290" i="2"/>
  <c r="L290" i="2"/>
  <c r="I290" i="2"/>
  <c r="H290" i="2"/>
  <c r="F290" i="2"/>
  <c r="E290" i="2"/>
  <c r="D290" i="2"/>
  <c r="AV289" i="2"/>
  <c r="AU289" i="2"/>
  <c r="AT289" i="2"/>
  <c r="AS289" i="2"/>
  <c r="AR289" i="2"/>
  <c r="AQ289" i="2"/>
  <c r="AP289" i="2"/>
  <c r="AO289" i="2"/>
  <c r="AN289" i="2"/>
  <c r="AM289" i="2"/>
  <c r="AJ289" i="2"/>
  <c r="AF289" i="2"/>
  <c r="AB289" i="2"/>
  <c r="AA289" i="2"/>
  <c r="Z289" i="2"/>
  <c r="Y289" i="2"/>
  <c r="X289" i="2"/>
  <c r="W289" i="2"/>
  <c r="V289" i="2"/>
  <c r="U289" i="2"/>
  <c r="T289" i="2"/>
  <c r="S289" i="2"/>
  <c r="K289" i="2"/>
  <c r="A289" i="2"/>
  <c r="AV288" i="2"/>
  <c r="AU288" i="2"/>
  <c r="AT288" i="2"/>
  <c r="AS288" i="2"/>
  <c r="AR288" i="2"/>
  <c r="AQ288" i="2"/>
  <c r="AP288" i="2"/>
  <c r="AO288" i="2"/>
  <c r="AN288" i="2"/>
  <c r="AM288" i="2"/>
  <c r="I288" i="2"/>
  <c r="H288" i="2"/>
  <c r="F288" i="2"/>
  <c r="E288" i="2"/>
  <c r="D288" i="2"/>
  <c r="AV287" i="2"/>
  <c r="AU287" i="2"/>
  <c r="AT287" i="2"/>
  <c r="AS287" i="2"/>
  <c r="AR287" i="2"/>
  <c r="AQ287" i="2"/>
  <c r="AP287" i="2"/>
  <c r="AO287" i="2"/>
  <c r="AN287" i="2"/>
  <c r="AM287" i="2"/>
  <c r="AB287" i="2"/>
  <c r="AA287" i="2"/>
  <c r="Z287" i="2"/>
  <c r="Y287" i="2"/>
  <c r="X287" i="2"/>
  <c r="W287" i="2"/>
  <c r="V287" i="2"/>
  <c r="U287" i="2"/>
  <c r="T287" i="2"/>
  <c r="S287" i="2"/>
  <c r="L287" i="2"/>
  <c r="I287" i="2"/>
  <c r="H287" i="2"/>
  <c r="F287" i="2"/>
  <c r="E287" i="2"/>
  <c r="D287" i="2"/>
  <c r="AV286" i="2"/>
  <c r="AU286" i="2"/>
  <c r="AT286" i="2"/>
  <c r="AS286" i="2"/>
  <c r="AR286" i="2"/>
  <c r="AQ286" i="2"/>
  <c r="AP286" i="2"/>
  <c r="AO286" i="2"/>
  <c r="AN286" i="2"/>
  <c r="AM286" i="2"/>
  <c r="AJ286" i="2"/>
  <c r="AF286" i="2"/>
  <c r="AB286" i="2"/>
  <c r="AA286" i="2"/>
  <c r="Z286" i="2"/>
  <c r="Y286" i="2"/>
  <c r="X286" i="2"/>
  <c r="W286" i="2"/>
  <c r="V286" i="2"/>
  <c r="U286" i="2"/>
  <c r="T286" i="2"/>
  <c r="S286" i="2"/>
  <c r="K286" i="2"/>
  <c r="A286" i="2"/>
  <c r="AV285" i="2"/>
  <c r="AU285" i="2"/>
  <c r="AT285" i="2"/>
  <c r="AS285" i="2"/>
  <c r="AR285" i="2"/>
  <c r="AQ285" i="2"/>
  <c r="AP285" i="2"/>
  <c r="AO285" i="2"/>
  <c r="AN285" i="2"/>
  <c r="AM285" i="2"/>
  <c r="I285" i="2"/>
  <c r="H285" i="2"/>
  <c r="F285" i="2"/>
  <c r="E285" i="2"/>
  <c r="D285" i="2"/>
  <c r="AV284" i="2"/>
  <c r="AU284" i="2"/>
  <c r="AT284" i="2"/>
  <c r="AS284" i="2"/>
  <c r="AR284" i="2"/>
  <c r="AQ284" i="2"/>
  <c r="AP284" i="2"/>
  <c r="AO284" i="2"/>
  <c r="AN284" i="2"/>
  <c r="AM284" i="2"/>
  <c r="AB284" i="2"/>
  <c r="AA284" i="2"/>
  <c r="Z284" i="2"/>
  <c r="Y284" i="2"/>
  <c r="X284" i="2"/>
  <c r="W284" i="2"/>
  <c r="V284" i="2"/>
  <c r="U284" i="2"/>
  <c r="T284" i="2"/>
  <c r="S284" i="2"/>
  <c r="L284" i="2"/>
  <c r="I284" i="2"/>
  <c r="H284" i="2"/>
  <c r="F284" i="2"/>
  <c r="E284" i="2"/>
  <c r="D284" i="2"/>
  <c r="AV283" i="2"/>
  <c r="AU283" i="2"/>
  <c r="AT283" i="2"/>
  <c r="AS283" i="2"/>
  <c r="AR283" i="2"/>
  <c r="AQ283" i="2"/>
  <c r="AP283" i="2"/>
  <c r="AO283" i="2"/>
  <c r="AN283" i="2"/>
  <c r="AM283" i="2"/>
  <c r="AJ283" i="2"/>
  <c r="AF283" i="2"/>
  <c r="AB283" i="2"/>
  <c r="AA283" i="2"/>
  <c r="Z283" i="2"/>
  <c r="Y283" i="2"/>
  <c r="X283" i="2"/>
  <c r="W283" i="2"/>
  <c r="V283" i="2"/>
  <c r="U283" i="2"/>
  <c r="T283" i="2"/>
  <c r="S283" i="2"/>
  <c r="K283" i="2"/>
  <c r="A283" i="2"/>
  <c r="AV282" i="2"/>
  <c r="AU282" i="2"/>
  <c r="AT282" i="2"/>
  <c r="AS282" i="2"/>
  <c r="AR282" i="2"/>
  <c r="AQ282" i="2"/>
  <c r="AP282" i="2"/>
  <c r="AO282" i="2"/>
  <c r="AN282" i="2"/>
  <c r="AM282" i="2"/>
  <c r="I282" i="2"/>
  <c r="H282" i="2"/>
  <c r="F282" i="2"/>
  <c r="E282" i="2"/>
  <c r="D282" i="2"/>
  <c r="AV281" i="2"/>
  <c r="AU281" i="2"/>
  <c r="AT281" i="2"/>
  <c r="AS281" i="2"/>
  <c r="AR281" i="2"/>
  <c r="AQ281" i="2"/>
  <c r="AP281" i="2"/>
  <c r="AO281" i="2"/>
  <c r="AN281" i="2"/>
  <c r="AM281" i="2"/>
  <c r="AB281" i="2"/>
  <c r="AA281" i="2"/>
  <c r="Z281" i="2"/>
  <c r="Y281" i="2"/>
  <c r="X281" i="2"/>
  <c r="W281" i="2"/>
  <c r="V281" i="2"/>
  <c r="U281" i="2"/>
  <c r="T281" i="2"/>
  <c r="S281" i="2"/>
  <c r="L281" i="2"/>
  <c r="I281" i="2"/>
  <c r="H281" i="2"/>
  <c r="F281" i="2"/>
  <c r="E281" i="2"/>
  <c r="D281" i="2"/>
  <c r="AV280" i="2"/>
  <c r="AU280" i="2"/>
  <c r="AT280" i="2"/>
  <c r="AS280" i="2"/>
  <c r="AR280" i="2"/>
  <c r="AQ280" i="2"/>
  <c r="AP280" i="2"/>
  <c r="AO280" i="2"/>
  <c r="AN280" i="2"/>
  <c r="AM280" i="2"/>
  <c r="AJ280" i="2"/>
  <c r="AF280" i="2"/>
  <c r="AB280" i="2"/>
  <c r="AA280" i="2"/>
  <c r="Z280" i="2"/>
  <c r="Y280" i="2"/>
  <c r="X280" i="2"/>
  <c r="W280" i="2"/>
  <c r="V280" i="2"/>
  <c r="U280" i="2"/>
  <c r="T280" i="2"/>
  <c r="S280" i="2"/>
  <c r="K280" i="2"/>
  <c r="A280" i="2"/>
  <c r="AV279" i="2"/>
  <c r="AU279" i="2"/>
  <c r="AT279" i="2"/>
  <c r="AS279" i="2"/>
  <c r="AR279" i="2"/>
  <c r="AQ279" i="2"/>
  <c r="AP279" i="2"/>
  <c r="AO279" i="2"/>
  <c r="AN279" i="2"/>
  <c r="AM279" i="2"/>
  <c r="I279" i="2"/>
  <c r="H279" i="2"/>
  <c r="F279" i="2"/>
  <c r="E279" i="2"/>
  <c r="D279" i="2"/>
  <c r="AV278" i="2"/>
  <c r="AU278" i="2"/>
  <c r="AT278" i="2"/>
  <c r="AS278" i="2"/>
  <c r="AR278" i="2"/>
  <c r="AQ278" i="2"/>
  <c r="AP278" i="2"/>
  <c r="AO278" i="2"/>
  <c r="AN278" i="2"/>
  <c r="AM278" i="2"/>
  <c r="AB278" i="2"/>
  <c r="AA278" i="2"/>
  <c r="Z278" i="2"/>
  <c r="Y278" i="2"/>
  <c r="X278" i="2"/>
  <c r="W278" i="2"/>
  <c r="V278" i="2"/>
  <c r="U278" i="2"/>
  <c r="T278" i="2"/>
  <c r="S278" i="2"/>
  <c r="L278" i="2"/>
  <c r="I278" i="2"/>
  <c r="H278" i="2"/>
  <c r="F278" i="2"/>
  <c r="E278" i="2"/>
  <c r="D278" i="2"/>
  <c r="AV277" i="2"/>
  <c r="AU277" i="2"/>
  <c r="AT277" i="2"/>
  <c r="AS277" i="2"/>
  <c r="AR277" i="2"/>
  <c r="AQ277" i="2"/>
  <c r="AP277" i="2"/>
  <c r="AO277" i="2"/>
  <c r="AN277" i="2"/>
  <c r="AM277" i="2"/>
  <c r="AJ277" i="2"/>
  <c r="AF277" i="2"/>
  <c r="AB277" i="2"/>
  <c r="AA277" i="2"/>
  <c r="Z277" i="2"/>
  <c r="Y277" i="2"/>
  <c r="X277" i="2"/>
  <c r="W277" i="2"/>
  <c r="V277" i="2"/>
  <c r="U277" i="2"/>
  <c r="T277" i="2"/>
  <c r="S277" i="2"/>
  <c r="K277" i="2"/>
  <c r="A277" i="2"/>
  <c r="AV276" i="2"/>
  <c r="AU276" i="2"/>
  <c r="AT276" i="2"/>
  <c r="AS276" i="2"/>
  <c r="AR276" i="2"/>
  <c r="AQ276" i="2"/>
  <c r="AP276" i="2"/>
  <c r="AO276" i="2"/>
  <c r="AN276" i="2"/>
  <c r="AM276" i="2"/>
  <c r="I276" i="2"/>
  <c r="H276" i="2"/>
  <c r="F276" i="2"/>
  <c r="E276" i="2"/>
  <c r="D276" i="2"/>
  <c r="AV275" i="2"/>
  <c r="AU275" i="2"/>
  <c r="AT275" i="2"/>
  <c r="AS275" i="2"/>
  <c r="AR275" i="2"/>
  <c r="AQ275" i="2"/>
  <c r="AP275" i="2"/>
  <c r="AO275" i="2"/>
  <c r="AN275" i="2"/>
  <c r="AM275" i="2"/>
  <c r="AB275" i="2"/>
  <c r="AA275" i="2"/>
  <c r="Z275" i="2"/>
  <c r="Y275" i="2"/>
  <c r="X275" i="2"/>
  <c r="W275" i="2"/>
  <c r="V275" i="2"/>
  <c r="U275" i="2"/>
  <c r="T275" i="2"/>
  <c r="S275" i="2"/>
  <c r="L275" i="2"/>
  <c r="I275" i="2"/>
  <c r="H275" i="2"/>
  <c r="F275" i="2"/>
  <c r="E275" i="2"/>
  <c r="D275" i="2"/>
  <c r="AV274" i="2"/>
  <c r="AU274" i="2"/>
  <c r="AT274" i="2"/>
  <c r="AS274" i="2"/>
  <c r="AR274" i="2"/>
  <c r="AQ274" i="2"/>
  <c r="AP274" i="2"/>
  <c r="AO274" i="2"/>
  <c r="AN274" i="2"/>
  <c r="AM274" i="2"/>
  <c r="AJ274" i="2"/>
  <c r="AF274" i="2"/>
  <c r="AB274" i="2"/>
  <c r="AA274" i="2"/>
  <c r="Z274" i="2"/>
  <c r="Y274" i="2"/>
  <c r="X274" i="2"/>
  <c r="W274" i="2"/>
  <c r="V274" i="2"/>
  <c r="U274" i="2"/>
  <c r="T274" i="2"/>
  <c r="S274" i="2"/>
  <c r="K274" i="2"/>
  <c r="A274" i="2"/>
  <c r="AV273" i="2"/>
  <c r="AU273" i="2"/>
  <c r="AT273" i="2"/>
  <c r="AS273" i="2"/>
  <c r="AR273" i="2"/>
  <c r="AQ273" i="2"/>
  <c r="AP273" i="2"/>
  <c r="AO273" i="2"/>
  <c r="AN273" i="2"/>
  <c r="AM273" i="2"/>
  <c r="I273" i="2"/>
  <c r="H273" i="2"/>
  <c r="F273" i="2"/>
  <c r="E273" i="2"/>
  <c r="D273" i="2"/>
  <c r="AV272" i="2"/>
  <c r="AU272" i="2"/>
  <c r="AT272" i="2"/>
  <c r="AS272" i="2"/>
  <c r="AR272" i="2"/>
  <c r="AQ272" i="2"/>
  <c r="AP272" i="2"/>
  <c r="AO272" i="2"/>
  <c r="AN272" i="2"/>
  <c r="AM272" i="2"/>
  <c r="AB272" i="2"/>
  <c r="AA272" i="2"/>
  <c r="Z272" i="2"/>
  <c r="Y272" i="2"/>
  <c r="X272" i="2"/>
  <c r="W272" i="2"/>
  <c r="V272" i="2"/>
  <c r="U272" i="2"/>
  <c r="T272" i="2"/>
  <c r="S272" i="2"/>
  <c r="L272" i="2"/>
  <c r="I272" i="2"/>
  <c r="H272" i="2"/>
  <c r="F272" i="2"/>
  <c r="E272" i="2"/>
  <c r="D272" i="2"/>
  <c r="AV271" i="2"/>
  <c r="AU271" i="2"/>
  <c r="AT271" i="2"/>
  <c r="AS271" i="2"/>
  <c r="AR271" i="2"/>
  <c r="AQ271" i="2"/>
  <c r="AP271" i="2"/>
  <c r="AO271" i="2"/>
  <c r="AN271" i="2"/>
  <c r="AM271" i="2"/>
  <c r="AJ271" i="2"/>
  <c r="AF271" i="2"/>
  <c r="AB271" i="2"/>
  <c r="AA271" i="2"/>
  <c r="Z271" i="2"/>
  <c r="Y271" i="2"/>
  <c r="X271" i="2"/>
  <c r="W271" i="2"/>
  <c r="V271" i="2"/>
  <c r="U271" i="2"/>
  <c r="T271" i="2"/>
  <c r="S271" i="2"/>
  <c r="K271" i="2"/>
  <c r="A271" i="2"/>
  <c r="AV270" i="2"/>
  <c r="AU270" i="2"/>
  <c r="AT270" i="2"/>
  <c r="AS270" i="2"/>
  <c r="AR270" i="2"/>
  <c r="AQ270" i="2"/>
  <c r="AP270" i="2"/>
  <c r="AO270" i="2"/>
  <c r="AN270" i="2"/>
  <c r="AM270" i="2"/>
  <c r="I270" i="2"/>
  <c r="H270" i="2"/>
  <c r="F270" i="2"/>
  <c r="E270" i="2"/>
  <c r="D270" i="2"/>
  <c r="AV269" i="2"/>
  <c r="AU269" i="2"/>
  <c r="AT269" i="2"/>
  <c r="AS269" i="2"/>
  <c r="AR269" i="2"/>
  <c r="AQ269" i="2"/>
  <c r="AP269" i="2"/>
  <c r="AO269" i="2"/>
  <c r="AN269" i="2"/>
  <c r="AM269" i="2"/>
  <c r="AB269" i="2"/>
  <c r="AA269" i="2"/>
  <c r="Z269" i="2"/>
  <c r="Y269" i="2"/>
  <c r="X269" i="2"/>
  <c r="W269" i="2"/>
  <c r="V269" i="2"/>
  <c r="U269" i="2"/>
  <c r="T269" i="2"/>
  <c r="S269" i="2"/>
  <c r="L269" i="2"/>
  <c r="I269" i="2"/>
  <c r="H269" i="2"/>
  <c r="F269" i="2"/>
  <c r="E269" i="2"/>
  <c r="D269" i="2"/>
  <c r="AV268" i="2"/>
  <c r="AU268" i="2"/>
  <c r="AT268" i="2"/>
  <c r="AS268" i="2"/>
  <c r="AR268" i="2"/>
  <c r="AQ268" i="2"/>
  <c r="AP268" i="2"/>
  <c r="AO268" i="2"/>
  <c r="AN268" i="2"/>
  <c r="AM268" i="2"/>
  <c r="AJ268" i="2"/>
  <c r="AF268" i="2"/>
  <c r="AB268" i="2"/>
  <c r="AA268" i="2"/>
  <c r="Z268" i="2"/>
  <c r="Y268" i="2"/>
  <c r="X268" i="2"/>
  <c r="W268" i="2"/>
  <c r="V268" i="2"/>
  <c r="U268" i="2"/>
  <c r="T268" i="2"/>
  <c r="S268" i="2"/>
  <c r="K268" i="2"/>
  <c r="A268" i="2"/>
  <c r="AV267" i="2"/>
  <c r="AU267" i="2"/>
  <c r="AT267" i="2"/>
  <c r="AS267" i="2"/>
  <c r="AR267" i="2"/>
  <c r="AQ267" i="2"/>
  <c r="AP267" i="2"/>
  <c r="AO267" i="2"/>
  <c r="AN267" i="2"/>
  <c r="AM267" i="2"/>
  <c r="I267" i="2"/>
  <c r="H267" i="2"/>
  <c r="F267" i="2"/>
  <c r="E267" i="2"/>
  <c r="D267" i="2"/>
  <c r="AV266" i="2"/>
  <c r="AU266" i="2"/>
  <c r="AT266" i="2"/>
  <c r="AS266" i="2"/>
  <c r="AR266" i="2"/>
  <c r="AQ266" i="2"/>
  <c r="AP266" i="2"/>
  <c r="AO266" i="2"/>
  <c r="AN266" i="2"/>
  <c r="AM266" i="2"/>
  <c r="AB266" i="2"/>
  <c r="AA266" i="2"/>
  <c r="Z266" i="2"/>
  <c r="Y266" i="2"/>
  <c r="X266" i="2"/>
  <c r="W266" i="2"/>
  <c r="V266" i="2"/>
  <c r="U266" i="2"/>
  <c r="T266" i="2"/>
  <c r="S266" i="2"/>
  <c r="L266" i="2"/>
  <c r="I266" i="2"/>
  <c r="H266" i="2"/>
  <c r="F266" i="2"/>
  <c r="E266" i="2"/>
  <c r="D266" i="2"/>
  <c r="AV265" i="2"/>
  <c r="AU265" i="2"/>
  <c r="AT265" i="2"/>
  <c r="AS265" i="2"/>
  <c r="AR265" i="2"/>
  <c r="AQ265" i="2"/>
  <c r="AP265" i="2"/>
  <c r="AO265" i="2"/>
  <c r="AN265" i="2"/>
  <c r="AM265" i="2"/>
  <c r="AJ265" i="2"/>
  <c r="AF265" i="2"/>
  <c r="AB265" i="2"/>
  <c r="AA265" i="2"/>
  <c r="Z265" i="2"/>
  <c r="Y265" i="2"/>
  <c r="X265" i="2"/>
  <c r="W265" i="2"/>
  <c r="V265" i="2"/>
  <c r="U265" i="2"/>
  <c r="T265" i="2"/>
  <c r="S265" i="2"/>
  <c r="K265" i="2"/>
  <c r="A265" i="2"/>
  <c r="AV264" i="2"/>
  <c r="AU264" i="2"/>
  <c r="AT264" i="2"/>
  <c r="AS264" i="2"/>
  <c r="AR264" i="2"/>
  <c r="AQ264" i="2"/>
  <c r="AP264" i="2"/>
  <c r="AO264" i="2"/>
  <c r="AN264" i="2"/>
  <c r="AM264" i="2"/>
  <c r="I264" i="2"/>
  <c r="H264" i="2"/>
  <c r="F264" i="2"/>
  <c r="E264" i="2"/>
  <c r="D264" i="2"/>
  <c r="AV263" i="2"/>
  <c r="AU263" i="2"/>
  <c r="AT263" i="2"/>
  <c r="AS263" i="2"/>
  <c r="AR263" i="2"/>
  <c r="AQ263" i="2"/>
  <c r="AP263" i="2"/>
  <c r="AO263" i="2"/>
  <c r="AN263" i="2"/>
  <c r="AM263" i="2"/>
  <c r="AB263" i="2"/>
  <c r="AA263" i="2"/>
  <c r="Z263" i="2"/>
  <c r="Y263" i="2"/>
  <c r="X263" i="2"/>
  <c r="W263" i="2"/>
  <c r="V263" i="2"/>
  <c r="U263" i="2"/>
  <c r="T263" i="2"/>
  <c r="S263" i="2"/>
  <c r="L263" i="2"/>
  <c r="I263" i="2"/>
  <c r="H263" i="2"/>
  <c r="F263" i="2"/>
  <c r="E263" i="2"/>
  <c r="D263" i="2"/>
  <c r="AV262" i="2"/>
  <c r="AU262" i="2"/>
  <c r="AT262" i="2"/>
  <c r="AS262" i="2"/>
  <c r="AR262" i="2"/>
  <c r="AQ262" i="2"/>
  <c r="AP262" i="2"/>
  <c r="AO262" i="2"/>
  <c r="AN262" i="2"/>
  <c r="AM262" i="2"/>
  <c r="AJ262" i="2"/>
  <c r="AF262" i="2"/>
  <c r="AB262" i="2"/>
  <c r="AA262" i="2"/>
  <c r="Z262" i="2"/>
  <c r="Y262" i="2"/>
  <c r="X262" i="2"/>
  <c r="W262" i="2"/>
  <c r="V262" i="2"/>
  <c r="U262" i="2"/>
  <c r="T262" i="2"/>
  <c r="S262" i="2"/>
  <c r="K262" i="2"/>
  <c r="A262" i="2"/>
  <c r="AV261" i="2"/>
  <c r="AU261" i="2"/>
  <c r="AT261" i="2"/>
  <c r="AS261" i="2"/>
  <c r="AR261" i="2"/>
  <c r="AQ261" i="2"/>
  <c r="AP261" i="2"/>
  <c r="AO261" i="2"/>
  <c r="AN261" i="2"/>
  <c r="AM261" i="2"/>
  <c r="I261" i="2"/>
  <c r="H261" i="2"/>
  <c r="F261" i="2"/>
  <c r="E261" i="2"/>
  <c r="D261" i="2"/>
  <c r="AV260" i="2"/>
  <c r="AU260" i="2"/>
  <c r="AT260" i="2"/>
  <c r="AS260" i="2"/>
  <c r="AR260" i="2"/>
  <c r="AQ260" i="2"/>
  <c r="AP260" i="2"/>
  <c r="AO260" i="2"/>
  <c r="AN260" i="2"/>
  <c r="AM260" i="2"/>
  <c r="AB260" i="2"/>
  <c r="AA260" i="2"/>
  <c r="Z260" i="2"/>
  <c r="Y260" i="2"/>
  <c r="X260" i="2"/>
  <c r="W260" i="2"/>
  <c r="V260" i="2"/>
  <c r="U260" i="2"/>
  <c r="T260" i="2"/>
  <c r="S260" i="2"/>
  <c r="L260" i="2"/>
  <c r="I260" i="2"/>
  <c r="H260" i="2"/>
  <c r="F260" i="2"/>
  <c r="E260" i="2"/>
  <c r="D260" i="2"/>
  <c r="AV259" i="2"/>
  <c r="AU259" i="2"/>
  <c r="AT259" i="2"/>
  <c r="AS259" i="2"/>
  <c r="AR259" i="2"/>
  <c r="AQ259" i="2"/>
  <c r="AP259" i="2"/>
  <c r="AO259" i="2"/>
  <c r="AN259" i="2"/>
  <c r="AM259" i="2"/>
  <c r="AJ259" i="2"/>
  <c r="AF259" i="2"/>
  <c r="AB259" i="2"/>
  <c r="AA259" i="2"/>
  <c r="Z259" i="2"/>
  <c r="Y259" i="2"/>
  <c r="X259" i="2"/>
  <c r="W259" i="2"/>
  <c r="V259" i="2"/>
  <c r="U259" i="2"/>
  <c r="T259" i="2"/>
  <c r="S259" i="2"/>
  <c r="K259" i="2"/>
  <c r="A259" i="2"/>
  <c r="AV258" i="2"/>
  <c r="AU258" i="2"/>
  <c r="AT258" i="2"/>
  <c r="AS258" i="2"/>
  <c r="AR258" i="2"/>
  <c r="AQ258" i="2"/>
  <c r="AP258" i="2"/>
  <c r="AO258" i="2"/>
  <c r="AN258" i="2"/>
  <c r="AM258" i="2"/>
  <c r="I258" i="2"/>
  <c r="H258" i="2"/>
  <c r="F258" i="2"/>
  <c r="E258" i="2"/>
  <c r="D258" i="2"/>
  <c r="AV257" i="2"/>
  <c r="AU257" i="2"/>
  <c r="AT257" i="2"/>
  <c r="AS257" i="2"/>
  <c r="AR257" i="2"/>
  <c r="AQ257" i="2"/>
  <c r="AP257" i="2"/>
  <c r="AO257" i="2"/>
  <c r="AN257" i="2"/>
  <c r="AM257" i="2"/>
  <c r="AB257" i="2"/>
  <c r="AA257" i="2"/>
  <c r="Z257" i="2"/>
  <c r="Y257" i="2"/>
  <c r="X257" i="2"/>
  <c r="W257" i="2"/>
  <c r="V257" i="2"/>
  <c r="U257" i="2"/>
  <c r="T257" i="2"/>
  <c r="S257" i="2"/>
  <c r="L257" i="2"/>
  <c r="I257" i="2"/>
  <c r="H257" i="2"/>
  <c r="F257" i="2"/>
  <c r="E257" i="2"/>
  <c r="D257" i="2"/>
  <c r="AV256" i="2"/>
  <c r="AU256" i="2"/>
  <c r="AT256" i="2"/>
  <c r="AS256" i="2"/>
  <c r="AR256" i="2"/>
  <c r="AQ256" i="2"/>
  <c r="AP256" i="2"/>
  <c r="AO256" i="2"/>
  <c r="AN256" i="2"/>
  <c r="AM256" i="2"/>
  <c r="AJ256" i="2"/>
  <c r="AF256" i="2"/>
  <c r="AB256" i="2"/>
  <c r="AA256" i="2"/>
  <c r="Z256" i="2"/>
  <c r="Y256" i="2"/>
  <c r="X256" i="2"/>
  <c r="W256" i="2"/>
  <c r="V256" i="2"/>
  <c r="U256" i="2"/>
  <c r="T256" i="2"/>
  <c r="S256" i="2"/>
  <c r="K256" i="2"/>
  <c r="A256" i="2"/>
  <c r="AV255" i="2"/>
  <c r="AU255" i="2"/>
  <c r="AT255" i="2"/>
  <c r="AS255" i="2"/>
  <c r="AR255" i="2"/>
  <c r="AQ255" i="2"/>
  <c r="AP255" i="2"/>
  <c r="AO255" i="2"/>
  <c r="AN255" i="2"/>
  <c r="AM255" i="2"/>
  <c r="I255" i="2"/>
  <c r="H255" i="2"/>
  <c r="F255" i="2"/>
  <c r="E255" i="2"/>
  <c r="D255" i="2"/>
  <c r="AV254" i="2"/>
  <c r="AU254" i="2"/>
  <c r="AT254" i="2"/>
  <c r="AS254" i="2"/>
  <c r="AR254" i="2"/>
  <c r="AQ254" i="2"/>
  <c r="AP254" i="2"/>
  <c r="AO254" i="2"/>
  <c r="AN254" i="2"/>
  <c r="AM254" i="2"/>
  <c r="AB254" i="2"/>
  <c r="AA254" i="2"/>
  <c r="Z254" i="2"/>
  <c r="Y254" i="2"/>
  <c r="X254" i="2"/>
  <c r="W254" i="2"/>
  <c r="V254" i="2"/>
  <c r="U254" i="2"/>
  <c r="T254" i="2"/>
  <c r="S254" i="2"/>
  <c r="L254" i="2"/>
  <c r="I254" i="2"/>
  <c r="H254" i="2"/>
  <c r="F254" i="2"/>
  <c r="E254" i="2"/>
  <c r="D254" i="2"/>
  <c r="AV253" i="2"/>
  <c r="AU253" i="2"/>
  <c r="AT253" i="2"/>
  <c r="AS253" i="2"/>
  <c r="AR253" i="2"/>
  <c r="AQ253" i="2"/>
  <c r="AP253" i="2"/>
  <c r="AO253" i="2"/>
  <c r="AN253" i="2"/>
  <c r="AM253" i="2"/>
  <c r="AJ253" i="2"/>
  <c r="AF253" i="2"/>
  <c r="AB253" i="2"/>
  <c r="AA253" i="2"/>
  <c r="Z253" i="2"/>
  <c r="Y253" i="2"/>
  <c r="X253" i="2"/>
  <c r="W253" i="2"/>
  <c r="V253" i="2"/>
  <c r="U253" i="2"/>
  <c r="T253" i="2"/>
  <c r="S253" i="2"/>
  <c r="K253" i="2"/>
  <c r="A253" i="2"/>
  <c r="AV252" i="2"/>
  <c r="AU252" i="2"/>
  <c r="AT252" i="2"/>
  <c r="AS252" i="2"/>
  <c r="AR252" i="2"/>
  <c r="AQ252" i="2"/>
  <c r="AP252" i="2"/>
  <c r="AO252" i="2"/>
  <c r="AN252" i="2"/>
  <c r="AM252" i="2"/>
  <c r="I252" i="2"/>
  <c r="H252" i="2"/>
  <c r="F252" i="2"/>
  <c r="E252" i="2"/>
  <c r="D252" i="2"/>
  <c r="AV251" i="2"/>
  <c r="AU251" i="2"/>
  <c r="AT251" i="2"/>
  <c r="AS251" i="2"/>
  <c r="AR251" i="2"/>
  <c r="AQ251" i="2"/>
  <c r="AP251" i="2"/>
  <c r="AO251" i="2"/>
  <c r="AN251" i="2"/>
  <c r="AM251" i="2"/>
  <c r="AB251" i="2"/>
  <c r="AA251" i="2"/>
  <c r="Z251" i="2"/>
  <c r="Y251" i="2"/>
  <c r="X251" i="2"/>
  <c r="W251" i="2"/>
  <c r="V251" i="2"/>
  <c r="U251" i="2"/>
  <c r="T251" i="2"/>
  <c r="S251" i="2"/>
  <c r="L251" i="2"/>
  <c r="I251" i="2"/>
  <c r="H251" i="2"/>
  <c r="F251" i="2"/>
  <c r="E251" i="2"/>
  <c r="D251" i="2"/>
  <c r="AV250" i="2"/>
  <c r="AU250" i="2"/>
  <c r="AT250" i="2"/>
  <c r="AS250" i="2"/>
  <c r="AR250" i="2"/>
  <c r="AQ250" i="2"/>
  <c r="AP250" i="2"/>
  <c r="AO250" i="2"/>
  <c r="AN250" i="2"/>
  <c r="AM250" i="2"/>
  <c r="AJ250" i="2"/>
  <c r="AF250" i="2"/>
  <c r="AB250" i="2"/>
  <c r="AA250" i="2"/>
  <c r="Z250" i="2"/>
  <c r="Y250" i="2"/>
  <c r="X250" i="2"/>
  <c r="W250" i="2"/>
  <c r="V250" i="2"/>
  <c r="U250" i="2"/>
  <c r="T250" i="2"/>
  <c r="S250" i="2"/>
  <c r="K250" i="2"/>
  <c r="A250" i="2"/>
  <c r="AV249" i="2"/>
  <c r="AU249" i="2"/>
  <c r="AT249" i="2"/>
  <c r="AS249" i="2"/>
  <c r="AR249" i="2"/>
  <c r="AQ249" i="2"/>
  <c r="AP249" i="2"/>
  <c r="AO249" i="2"/>
  <c r="AN249" i="2"/>
  <c r="AM249" i="2"/>
  <c r="I249" i="2"/>
  <c r="H249" i="2"/>
  <c r="F249" i="2"/>
  <c r="E249" i="2"/>
  <c r="D249" i="2"/>
  <c r="AV248" i="2"/>
  <c r="AU248" i="2"/>
  <c r="AT248" i="2"/>
  <c r="AS248" i="2"/>
  <c r="AR248" i="2"/>
  <c r="AQ248" i="2"/>
  <c r="AP248" i="2"/>
  <c r="AO248" i="2"/>
  <c r="AN248" i="2"/>
  <c r="AM248" i="2"/>
  <c r="AB248" i="2"/>
  <c r="AA248" i="2"/>
  <c r="Z248" i="2"/>
  <c r="Y248" i="2"/>
  <c r="X248" i="2"/>
  <c r="W248" i="2"/>
  <c r="V248" i="2"/>
  <c r="U248" i="2"/>
  <c r="T248" i="2"/>
  <c r="S248" i="2"/>
  <c r="L248" i="2"/>
  <c r="I248" i="2"/>
  <c r="H248" i="2"/>
  <c r="F248" i="2"/>
  <c r="E248" i="2"/>
  <c r="D248" i="2"/>
  <c r="AV247" i="2"/>
  <c r="AU247" i="2"/>
  <c r="AT247" i="2"/>
  <c r="AS247" i="2"/>
  <c r="AR247" i="2"/>
  <c r="AQ247" i="2"/>
  <c r="AP247" i="2"/>
  <c r="AO247" i="2"/>
  <c r="AN247" i="2"/>
  <c r="AM247" i="2"/>
  <c r="AJ247" i="2"/>
  <c r="AF247" i="2"/>
  <c r="AB247" i="2"/>
  <c r="AA247" i="2"/>
  <c r="Z247" i="2"/>
  <c r="Y247" i="2"/>
  <c r="X247" i="2"/>
  <c r="W247" i="2"/>
  <c r="V247" i="2"/>
  <c r="U247" i="2"/>
  <c r="T247" i="2"/>
  <c r="S247" i="2"/>
  <c r="K247" i="2"/>
  <c r="A247" i="2"/>
  <c r="AV246" i="2"/>
  <c r="AU246" i="2"/>
  <c r="AT246" i="2"/>
  <c r="AS246" i="2"/>
  <c r="AR246" i="2"/>
  <c r="AQ246" i="2"/>
  <c r="AP246" i="2"/>
  <c r="AO246" i="2"/>
  <c r="AN246" i="2"/>
  <c r="AM246" i="2"/>
  <c r="I246" i="2"/>
  <c r="H246" i="2"/>
  <c r="F246" i="2"/>
  <c r="E246" i="2"/>
  <c r="D246" i="2"/>
  <c r="AV245" i="2"/>
  <c r="AU245" i="2"/>
  <c r="AT245" i="2"/>
  <c r="AS245" i="2"/>
  <c r="AR245" i="2"/>
  <c r="AQ245" i="2"/>
  <c r="AP245" i="2"/>
  <c r="AO245" i="2"/>
  <c r="AN245" i="2"/>
  <c r="AM245" i="2"/>
  <c r="AB245" i="2"/>
  <c r="AA245" i="2"/>
  <c r="Z245" i="2"/>
  <c r="Y245" i="2"/>
  <c r="X245" i="2"/>
  <c r="W245" i="2"/>
  <c r="V245" i="2"/>
  <c r="U245" i="2"/>
  <c r="T245" i="2"/>
  <c r="S245" i="2"/>
  <c r="L245" i="2"/>
  <c r="I245" i="2"/>
  <c r="H245" i="2"/>
  <c r="F245" i="2"/>
  <c r="E245" i="2"/>
  <c r="D245" i="2"/>
  <c r="AV244" i="2"/>
  <c r="AU244" i="2"/>
  <c r="AT244" i="2"/>
  <c r="AS244" i="2"/>
  <c r="AR244" i="2"/>
  <c r="AQ244" i="2"/>
  <c r="AP244" i="2"/>
  <c r="AO244" i="2"/>
  <c r="AN244" i="2"/>
  <c r="AM244" i="2"/>
  <c r="AJ244" i="2"/>
  <c r="AF244" i="2"/>
  <c r="AB244" i="2"/>
  <c r="AA244" i="2"/>
  <c r="Z244" i="2"/>
  <c r="Y244" i="2"/>
  <c r="X244" i="2"/>
  <c r="W244" i="2"/>
  <c r="V244" i="2"/>
  <c r="U244" i="2"/>
  <c r="T244" i="2"/>
  <c r="S244" i="2"/>
  <c r="K244" i="2"/>
  <c r="A244" i="2"/>
  <c r="AV243" i="2"/>
  <c r="AU243" i="2"/>
  <c r="AT243" i="2"/>
  <c r="AS243" i="2"/>
  <c r="AR243" i="2"/>
  <c r="AQ243" i="2"/>
  <c r="AP243" i="2"/>
  <c r="AO243" i="2"/>
  <c r="AN243" i="2"/>
  <c r="AM243" i="2"/>
  <c r="I243" i="2"/>
  <c r="H243" i="2"/>
  <c r="F243" i="2"/>
  <c r="E243" i="2"/>
  <c r="D243" i="2"/>
  <c r="AV242" i="2"/>
  <c r="AU242" i="2"/>
  <c r="AT242" i="2"/>
  <c r="AS242" i="2"/>
  <c r="AR242" i="2"/>
  <c r="AQ242" i="2"/>
  <c r="AP242" i="2"/>
  <c r="AO242" i="2"/>
  <c r="AN242" i="2"/>
  <c r="AM242" i="2"/>
  <c r="AB242" i="2"/>
  <c r="AA242" i="2"/>
  <c r="Z242" i="2"/>
  <c r="Y242" i="2"/>
  <c r="X242" i="2"/>
  <c r="W242" i="2"/>
  <c r="V242" i="2"/>
  <c r="U242" i="2"/>
  <c r="T242" i="2"/>
  <c r="S242" i="2"/>
  <c r="L242" i="2"/>
  <c r="I242" i="2"/>
  <c r="H242" i="2"/>
  <c r="F242" i="2"/>
  <c r="E242" i="2"/>
  <c r="D242" i="2"/>
  <c r="AV241" i="2"/>
  <c r="AU241" i="2"/>
  <c r="AT241" i="2"/>
  <c r="AS241" i="2"/>
  <c r="AR241" i="2"/>
  <c r="AQ241" i="2"/>
  <c r="AP241" i="2"/>
  <c r="AO241" i="2"/>
  <c r="AN241" i="2"/>
  <c r="AM241" i="2"/>
  <c r="AJ241" i="2"/>
  <c r="AF241" i="2"/>
  <c r="AB241" i="2"/>
  <c r="AA241" i="2"/>
  <c r="Z241" i="2"/>
  <c r="Y241" i="2"/>
  <c r="X241" i="2"/>
  <c r="W241" i="2"/>
  <c r="V241" i="2"/>
  <c r="U241" i="2"/>
  <c r="T241" i="2"/>
  <c r="S241" i="2"/>
  <c r="K241" i="2"/>
  <c r="A241" i="2"/>
  <c r="AV240" i="2"/>
  <c r="AU240" i="2"/>
  <c r="AT240" i="2"/>
  <c r="AS240" i="2"/>
  <c r="AR240" i="2"/>
  <c r="AQ240" i="2"/>
  <c r="AP240" i="2"/>
  <c r="AO240" i="2"/>
  <c r="AN240" i="2"/>
  <c r="AM240" i="2"/>
  <c r="I240" i="2"/>
  <c r="H240" i="2"/>
  <c r="F240" i="2"/>
  <c r="E240" i="2"/>
  <c r="D240" i="2"/>
  <c r="AV239" i="2"/>
  <c r="AU239" i="2"/>
  <c r="AT239" i="2"/>
  <c r="AS239" i="2"/>
  <c r="AR239" i="2"/>
  <c r="AQ239" i="2"/>
  <c r="AP239" i="2"/>
  <c r="AO239" i="2"/>
  <c r="AN239" i="2"/>
  <c r="AM239" i="2"/>
  <c r="AB239" i="2"/>
  <c r="AA239" i="2"/>
  <c r="Z239" i="2"/>
  <c r="Y239" i="2"/>
  <c r="X239" i="2"/>
  <c r="W239" i="2"/>
  <c r="V239" i="2"/>
  <c r="U239" i="2"/>
  <c r="T239" i="2"/>
  <c r="S239" i="2"/>
  <c r="L239" i="2"/>
  <c r="I239" i="2"/>
  <c r="H239" i="2"/>
  <c r="F239" i="2"/>
  <c r="E239" i="2"/>
  <c r="D239" i="2"/>
  <c r="AV238" i="2"/>
  <c r="AU238" i="2"/>
  <c r="AT238" i="2"/>
  <c r="AS238" i="2"/>
  <c r="AR238" i="2"/>
  <c r="AQ238" i="2"/>
  <c r="AP238" i="2"/>
  <c r="AO238" i="2"/>
  <c r="AN238" i="2"/>
  <c r="AM238" i="2"/>
  <c r="AJ238" i="2"/>
  <c r="AF238" i="2"/>
  <c r="AB238" i="2"/>
  <c r="AA238" i="2"/>
  <c r="Z238" i="2"/>
  <c r="Y238" i="2"/>
  <c r="X238" i="2"/>
  <c r="W238" i="2"/>
  <c r="V238" i="2"/>
  <c r="U238" i="2"/>
  <c r="T238" i="2"/>
  <c r="S238" i="2"/>
  <c r="K238" i="2"/>
  <c r="A238" i="2"/>
  <c r="AV237" i="2"/>
  <c r="AU237" i="2"/>
  <c r="AT237" i="2"/>
  <c r="AS237" i="2"/>
  <c r="AR237" i="2"/>
  <c r="AQ237" i="2"/>
  <c r="AP237" i="2"/>
  <c r="AO237" i="2"/>
  <c r="AN237" i="2"/>
  <c r="AM237" i="2"/>
  <c r="I237" i="2"/>
  <c r="H237" i="2"/>
  <c r="F237" i="2"/>
  <c r="E237" i="2"/>
  <c r="D237" i="2"/>
  <c r="AV236" i="2"/>
  <c r="AU236" i="2"/>
  <c r="AT236" i="2"/>
  <c r="AS236" i="2"/>
  <c r="AR236" i="2"/>
  <c r="AQ236" i="2"/>
  <c r="AP236" i="2"/>
  <c r="AO236" i="2"/>
  <c r="AN236" i="2"/>
  <c r="AM236" i="2"/>
  <c r="AB236" i="2"/>
  <c r="AA236" i="2"/>
  <c r="Z236" i="2"/>
  <c r="Y236" i="2"/>
  <c r="X236" i="2"/>
  <c r="W236" i="2"/>
  <c r="V236" i="2"/>
  <c r="U236" i="2"/>
  <c r="T236" i="2"/>
  <c r="S236" i="2"/>
  <c r="L236" i="2"/>
  <c r="I236" i="2"/>
  <c r="H236" i="2"/>
  <c r="F236" i="2"/>
  <c r="E236" i="2"/>
  <c r="D236" i="2"/>
  <c r="AV235" i="2"/>
  <c r="AU235" i="2"/>
  <c r="AT235" i="2"/>
  <c r="AS235" i="2"/>
  <c r="AR235" i="2"/>
  <c r="AQ235" i="2"/>
  <c r="AP235" i="2"/>
  <c r="AO235" i="2"/>
  <c r="AN235" i="2"/>
  <c r="AM235" i="2"/>
  <c r="AJ235" i="2"/>
  <c r="AF235" i="2"/>
  <c r="AB235" i="2"/>
  <c r="AA235" i="2"/>
  <c r="Z235" i="2"/>
  <c r="Y235" i="2"/>
  <c r="X235" i="2"/>
  <c r="W235" i="2"/>
  <c r="V235" i="2"/>
  <c r="U235" i="2"/>
  <c r="T235" i="2"/>
  <c r="S235" i="2"/>
  <c r="K235" i="2"/>
  <c r="A235" i="2"/>
  <c r="AV234" i="2"/>
  <c r="AU234" i="2"/>
  <c r="AT234" i="2"/>
  <c r="AS234" i="2"/>
  <c r="AR234" i="2"/>
  <c r="AQ234" i="2"/>
  <c r="AP234" i="2"/>
  <c r="AO234" i="2"/>
  <c r="AN234" i="2"/>
  <c r="AM234" i="2"/>
  <c r="I234" i="2"/>
  <c r="H234" i="2"/>
  <c r="F234" i="2"/>
  <c r="E234" i="2"/>
  <c r="D234" i="2"/>
  <c r="AV233" i="2"/>
  <c r="AU233" i="2"/>
  <c r="AT233" i="2"/>
  <c r="AS233" i="2"/>
  <c r="AR233" i="2"/>
  <c r="AQ233" i="2"/>
  <c r="AP233" i="2"/>
  <c r="AO233" i="2"/>
  <c r="AN233" i="2"/>
  <c r="AM233" i="2"/>
  <c r="AB233" i="2"/>
  <c r="AA233" i="2"/>
  <c r="Z233" i="2"/>
  <c r="Y233" i="2"/>
  <c r="X233" i="2"/>
  <c r="W233" i="2"/>
  <c r="V233" i="2"/>
  <c r="U233" i="2"/>
  <c r="T233" i="2"/>
  <c r="S233" i="2"/>
  <c r="L233" i="2"/>
  <c r="I233" i="2"/>
  <c r="H233" i="2"/>
  <c r="F233" i="2"/>
  <c r="E233" i="2"/>
  <c r="D233" i="2"/>
  <c r="AV232" i="2"/>
  <c r="AU232" i="2"/>
  <c r="AT232" i="2"/>
  <c r="AS232" i="2"/>
  <c r="AR232" i="2"/>
  <c r="AQ232" i="2"/>
  <c r="AP232" i="2"/>
  <c r="AO232" i="2"/>
  <c r="AN232" i="2"/>
  <c r="AM232" i="2"/>
  <c r="AJ232" i="2"/>
  <c r="AF232" i="2"/>
  <c r="AB232" i="2"/>
  <c r="AA232" i="2"/>
  <c r="Z232" i="2"/>
  <c r="Y232" i="2"/>
  <c r="X232" i="2"/>
  <c r="W232" i="2"/>
  <c r="V232" i="2"/>
  <c r="U232" i="2"/>
  <c r="T232" i="2"/>
  <c r="S232" i="2"/>
  <c r="K232" i="2"/>
  <c r="A232" i="2"/>
  <c r="AV231" i="2"/>
  <c r="AU231" i="2"/>
  <c r="AT231" i="2"/>
  <c r="AS231" i="2"/>
  <c r="AR231" i="2"/>
  <c r="AQ231" i="2"/>
  <c r="AP231" i="2"/>
  <c r="AO231" i="2"/>
  <c r="AN231" i="2"/>
  <c r="AM231" i="2"/>
  <c r="I231" i="2"/>
  <c r="H231" i="2"/>
  <c r="F231" i="2"/>
  <c r="E231" i="2"/>
  <c r="D231" i="2"/>
  <c r="AV230" i="2"/>
  <c r="AU230" i="2"/>
  <c r="AT230" i="2"/>
  <c r="AS230" i="2"/>
  <c r="AR230" i="2"/>
  <c r="AQ230" i="2"/>
  <c r="AP230" i="2"/>
  <c r="AO230" i="2"/>
  <c r="AN230" i="2"/>
  <c r="AM230" i="2"/>
  <c r="AB230" i="2"/>
  <c r="AA230" i="2"/>
  <c r="Z230" i="2"/>
  <c r="Y230" i="2"/>
  <c r="X230" i="2"/>
  <c r="W230" i="2"/>
  <c r="V230" i="2"/>
  <c r="U230" i="2"/>
  <c r="T230" i="2"/>
  <c r="S230" i="2"/>
  <c r="L230" i="2"/>
  <c r="I230" i="2"/>
  <c r="H230" i="2"/>
  <c r="F230" i="2"/>
  <c r="E230" i="2"/>
  <c r="D230" i="2"/>
  <c r="AV229" i="2"/>
  <c r="AU229" i="2"/>
  <c r="AT229" i="2"/>
  <c r="AS229" i="2"/>
  <c r="AR229" i="2"/>
  <c r="AQ229" i="2"/>
  <c r="AP229" i="2"/>
  <c r="AO229" i="2"/>
  <c r="AN229" i="2"/>
  <c r="AM229" i="2"/>
  <c r="AJ229" i="2"/>
  <c r="AF229" i="2"/>
  <c r="AB229" i="2"/>
  <c r="AA229" i="2"/>
  <c r="Z229" i="2"/>
  <c r="Y229" i="2"/>
  <c r="X229" i="2"/>
  <c r="W229" i="2"/>
  <c r="V229" i="2"/>
  <c r="U229" i="2"/>
  <c r="T229" i="2"/>
  <c r="S229" i="2"/>
  <c r="K229" i="2"/>
  <c r="A229" i="2"/>
  <c r="AV228" i="2"/>
  <c r="AU228" i="2"/>
  <c r="AT228" i="2"/>
  <c r="AS228" i="2"/>
  <c r="AR228" i="2"/>
  <c r="AQ228" i="2"/>
  <c r="AP228" i="2"/>
  <c r="AO228" i="2"/>
  <c r="AN228" i="2"/>
  <c r="AM228" i="2"/>
  <c r="I228" i="2"/>
  <c r="H228" i="2"/>
  <c r="F228" i="2"/>
  <c r="E228" i="2"/>
  <c r="D228" i="2"/>
  <c r="AV227" i="2"/>
  <c r="AU227" i="2"/>
  <c r="AT227" i="2"/>
  <c r="AS227" i="2"/>
  <c r="AR227" i="2"/>
  <c r="AQ227" i="2"/>
  <c r="AP227" i="2"/>
  <c r="AO227" i="2"/>
  <c r="AN227" i="2"/>
  <c r="AM227" i="2"/>
  <c r="AB227" i="2"/>
  <c r="AA227" i="2"/>
  <c r="Z227" i="2"/>
  <c r="Y227" i="2"/>
  <c r="X227" i="2"/>
  <c r="W227" i="2"/>
  <c r="V227" i="2"/>
  <c r="U227" i="2"/>
  <c r="T227" i="2"/>
  <c r="S227" i="2"/>
  <c r="L227" i="2"/>
  <c r="I227" i="2"/>
  <c r="H227" i="2"/>
  <c r="F227" i="2"/>
  <c r="E227" i="2"/>
  <c r="D227" i="2"/>
  <c r="AV226" i="2"/>
  <c r="AU226" i="2"/>
  <c r="AT226" i="2"/>
  <c r="AS226" i="2"/>
  <c r="AR226" i="2"/>
  <c r="AQ226" i="2"/>
  <c r="AP226" i="2"/>
  <c r="AO226" i="2"/>
  <c r="AN226" i="2"/>
  <c r="AM226" i="2"/>
  <c r="AJ226" i="2"/>
  <c r="AF226" i="2"/>
  <c r="AB226" i="2"/>
  <c r="AA226" i="2"/>
  <c r="Z226" i="2"/>
  <c r="Y226" i="2"/>
  <c r="X226" i="2"/>
  <c r="W226" i="2"/>
  <c r="V226" i="2"/>
  <c r="U226" i="2"/>
  <c r="T226" i="2"/>
  <c r="S226" i="2"/>
  <c r="K226" i="2"/>
  <c r="A226" i="2"/>
  <c r="AV225" i="2"/>
  <c r="AU225" i="2"/>
  <c r="AT225" i="2"/>
  <c r="AS225" i="2"/>
  <c r="AR225" i="2"/>
  <c r="AQ225" i="2"/>
  <c r="AP225" i="2"/>
  <c r="AO225" i="2"/>
  <c r="AN225" i="2"/>
  <c r="AM225" i="2"/>
  <c r="I225" i="2"/>
  <c r="H225" i="2"/>
  <c r="F225" i="2"/>
  <c r="E225" i="2"/>
  <c r="D225" i="2"/>
  <c r="AV224" i="2"/>
  <c r="AU224" i="2"/>
  <c r="AT224" i="2"/>
  <c r="AS224" i="2"/>
  <c r="AR224" i="2"/>
  <c r="AQ224" i="2"/>
  <c r="AP224" i="2"/>
  <c r="AO224" i="2"/>
  <c r="AN224" i="2"/>
  <c r="AM224" i="2"/>
  <c r="AB224" i="2"/>
  <c r="AA224" i="2"/>
  <c r="Z224" i="2"/>
  <c r="Y224" i="2"/>
  <c r="X224" i="2"/>
  <c r="W224" i="2"/>
  <c r="V224" i="2"/>
  <c r="U224" i="2"/>
  <c r="T224" i="2"/>
  <c r="S224" i="2"/>
  <c r="L224" i="2"/>
  <c r="I224" i="2"/>
  <c r="H224" i="2"/>
  <c r="F224" i="2"/>
  <c r="E224" i="2"/>
  <c r="D224" i="2"/>
  <c r="AV223" i="2"/>
  <c r="AU223" i="2"/>
  <c r="AT223" i="2"/>
  <c r="AS223" i="2"/>
  <c r="AR223" i="2"/>
  <c r="AQ223" i="2"/>
  <c r="AP223" i="2"/>
  <c r="AO223" i="2"/>
  <c r="AN223" i="2"/>
  <c r="AM223" i="2"/>
  <c r="AJ223" i="2"/>
  <c r="AF223" i="2"/>
  <c r="AB223" i="2"/>
  <c r="AA223" i="2"/>
  <c r="Z223" i="2"/>
  <c r="Y223" i="2"/>
  <c r="X223" i="2"/>
  <c r="W223" i="2"/>
  <c r="V223" i="2"/>
  <c r="U223" i="2"/>
  <c r="T223" i="2"/>
  <c r="S223" i="2"/>
  <c r="K223" i="2"/>
  <c r="A223" i="2"/>
  <c r="AV222" i="2"/>
  <c r="AU222" i="2"/>
  <c r="AT222" i="2"/>
  <c r="AS222" i="2"/>
  <c r="AR222" i="2"/>
  <c r="AQ222" i="2"/>
  <c r="AP222" i="2"/>
  <c r="AO222" i="2"/>
  <c r="AN222" i="2"/>
  <c r="AM222" i="2"/>
  <c r="I222" i="2"/>
  <c r="H222" i="2"/>
  <c r="F222" i="2"/>
  <c r="E222" i="2"/>
  <c r="D222" i="2"/>
  <c r="AV221" i="2"/>
  <c r="AU221" i="2"/>
  <c r="AT221" i="2"/>
  <c r="AS221" i="2"/>
  <c r="AR221" i="2"/>
  <c r="AQ221" i="2"/>
  <c r="AP221" i="2"/>
  <c r="AO221" i="2"/>
  <c r="AN221" i="2"/>
  <c r="AM221" i="2"/>
  <c r="AB221" i="2"/>
  <c r="AA221" i="2"/>
  <c r="Z221" i="2"/>
  <c r="Y221" i="2"/>
  <c r="X221" i="2"/>
  <c r="W221" i="2"/>
  <c r="V221" i="2"/>
  <c r="U221" i="2"/>
  <c r="T221" i="2"/>
  <c r="S221" i="2"/>
  <c r="L221" i="2"/>
  <c r="I221" i="2"/>
  <c r="H221" i="2"/>
  <c r="F221" i="2"/>
  <c r="E221" i="2"/>
  <c r="D221" i="2"/>
  <c r="AV220" i="2"/>
  <c r="AU220" i="2"/>
  <c r="AT220" i="2"/>
  <c r="AS220" i="2"/>
  <c r="AR220" i="2"/>
  <c r="AQ220" i="2"/>
  <c r="AP220" i="2"/>
  <c r="AO220" i="2"/>
  <c r="AN220" i="2"/>
  <c r="AM220" i="2"/>
  <c r="AJ220" i="2"/>
  <c r="AF220" i="2"/>
  <c r="AB220" i="2"/>
  <c r="AA220" i="2"/>
  <c r="Z220" i="2"/>
  <c r="Y220" i="2"/>
  <c r="X220" i="2"/>
  <c r="W220" i="2"/>
  <c r="V220" i="2"/>
  <c r="U220" i="2"/>
  <c r="T220" i="2"/>
  <c r="S220" i="2"/>
  <c r="K220" i="2"/>
  <c r="A220" i="2"/>
  <c r="AV219" i="2"/>
  <c r="AU219" i="2"/>
  <c r="AT219" i="2"/>
  <c r="AS219" i="2"/>
  <c r="AR219" i="2"/>
  <c r="AQ219" i="2"/>
  <c r="AP219" i="2"/>
  <c r="AO219" i="2"/>
  <c r="AN219" i="2"/>
  <c r="AM219" i="2"/>
  <c r="I219" i="2"/>
  <c r="H219" i="2"/>
  <c r="F219" i="2"/>
  <c r="E219" i="2"/>
  <c r="D219" i="2"/>
  <c r="AV218" i="2"/>
  <c r="AU218" i="2"/>
  <c r="AT218" i="2"/>
  <c r="AS218" i="2"/>
  <c r="AR218" i="2"/>
  <c r="AQ218" i="2"/>
  <c r="AP218" i="2"/>
  <c r="AO218" i="2"/>
  <c r="AN218" i="2"/>
  <c r="AM218" i="2"/>
  <c r="AB218" i="2"/>
  <c r="AA218" i="2"/>
  <c r="Z218" i="2"/>
  <c r="Y218" i="2"/>
  <c r="X218" i="2"/>
  <c r="W218" i="2"/>
  <c r="V218" i="2"/>
  <c r="U218" i="2"/>
  <c r="T218" i="2"/>
  <c r="S218" i="2"/>
  <c r="L218" i="2"/>
  <c r="I218" i="2"/>
  <c r="H218" i="2"/>
  <c r="F218" i="2"/>
  <c r="E218" i="2"/>
  <c r="D218" i="2"/>
  <c r="AV217" i="2"/>
  <c r="AU217" i="2"/>
  <c r="AT217" i="2"/>
  <c r="AS217" i="2"/>
  <c r="AR217" i="2"/>
  <c r="AQ217" i="2"/>
  <c r="AP217" i="2"/>
  <c r="AO217" i="2"/>
  <c r="AN217" i="2"/>
  <c r="AM217" i="2"/>
  <c r="AJ217" i="2"/>
  <c r="AF217" i="2"/>
  <c r="AB217" i="2"/>
  <c r="AA217" i="2"/>
  <c r="Z217" i="2"/>
  <c r="Y217" i="2"/>
  <c r="X217" i="2"/>
  <c r="W217" i="2"/>
  <c r="V217" i="2"/>
  <c r="U217" i="2"/>
  <c r="T217" i="2"/>
  <c r="S217" i="2"/>
  <c r="K217" i="2"/>
  <c r="A217" i="2"/>
  <c r="AV216" i="2"/>
  <c r="AU216" i="2"/>
  <c r="AT216" i="2"/>
  <c r="AS216" i="2"/>
  <c r="AR216" i="2"/>
  <c r="AQ216" i="2"/>
  <c r="AP216" i="2"/>
  <c r="AO216" i="2"/>
  <c r="AN216" i="2"/>
  <c r="AM216" i="2"/>
  <c r="I216" i="2"/>
  <c r="H216" i="2"/>
  <c r="F216" i="2"/>
  <c r="E216" i="2"/>
  <c r="D216" i="2"/>
  <c r="AV215" i="2"/>
  <c r="AU215" i="2"/>
  <c r="AT215" i="2"/>
  <c r="AS215" i="2"/>
  <c r="AR215" i="2"/>
  <c r="AQ215" i="2"/>
  <c r="AP215" i="2"/>
  <c r="AO215" i="2"/>
  <c r="AN215" i="2"/>
  <c r="AM215" i="2"/>
  <c r="AB215" i="2"/>
  <c r="AA215" i="2"/>
  <c r="Z215" i="2"/>
  <c r="Y215" i="2"/>
  <c r="X215" i="2"/>
  <c r="W215" i="2"/>
  <c r="V215" i="2"/>
  <c r="U215" i="2"/>
  <c r="T215" i="2"/>
  <c r="S215" i="2"/>
  <c r="L215" i="2"/>
  <c r="I215" i="2"/>
  <c r="H215" i="2"/>
  <c r="F215" i="2"/>
  <c r="E215" i="2"/>
  <c r="D215" i="2"/>
  <c r="AV214" i="2"/>
  <c r="AU214" i="2"/>
  <c r="AT214" i="2"/>
  <c r="AS214" i="2"/>
  <c r="AR214" i="2"/>
  <c r="AQ214" i="2"/>
  <c r="AP214" i="2"/>
  <c r="AO214" i="2"/>
  <c r="AN214" i="2"/>
  <c r="AM214" i="2"/>
  <c r="AJ214" i="2"/>
  <c r="AF214" i="2"/>
  <c r="AB214" i="2"/>
  <c r="AA214" i="2"/>
  <c r="Z214" i="2"/>
  <c r="Y214" i="2"/>
  <c r="X214" i="2"/>
  <c r="W214" i="2"/>
  <c r="V214" i="2"/>
  <c r="U214" i="2"/>
  <c r="T214" i="2"/>
  <c r="S214" i="2"/>
  <c r="K214" i="2"/>
  <c r="A214" i="2"/>
  <c r="AV213" i="2"/>
  <c r="AU213" i="2"/>
  <c r="AT213" i="2"/>
  <c r="AS213" i="2"/>
  <c r="AR213" i="2"/>
  <c r="AQ213" i="2"/>
  <c r="AP213" i="2"/>
  <c r="AO213" i="2"/>
  <c r="AN213" i="2"/>
  <c r="AM213" i="2"/>
  <c r="I213" i="2"/>
  <c r="H213" i="2"/>
  <c r="F213" i="2"/>
  <c r="E213" i="2"/>
  <c r="D213" i="2"/>
  <c r="AV212" i="2"/>
  <c r="AU212" i="2"/>
  <c r="AT212" i="2"/>
  <c r="AS212" i="2"/>
  <c r="AR212" i="2"/>
  <c r="AQ212" i="2"/>
  <c r="AP212" i="2"/>
  <c r="AO212" i="2"/>
  <c r="AN212" i="2"/>
  <c r="AM212" i="2"/>
  <c r="AB212" i="2"/>
  <c r="AA212" i="2"/>
  <c r="Z212" i="2"/>
  <c r="Y212" i="2"/>
  <c r="X212" i="2"/>
  <c r="W212" i="2"/>
  <c r="V212" i="2"/>
  <c r="U212" i="2"/>
  <c r="T212" i="2"/>
  <c r="S212" i="2"/>
  <c r="L212" i="2"/>
  <c r="I212" i="2"/>
  <c r="H212" i="2"/>
  <c r="F212" i="2"/>
  <c r="E212" i="2"/>
  <c r="D212" i="2"/>
  <c r="AV211" i="2"/>
  <c r="AU211" i="2"/>
  <c r="AT211" i="2"/>
  <c r="AS211" i="2"/>
  <c r="AR211" i="2"/>
  <c r="AQ211" i="2"/>
  <c r="AP211" i="2"/>
  <c r="AO211" i="2"/>
  <c r="AN211" i="2"/>
  <c r="AM211" i="2"/>
  <c r="AJ211" i="2"/>
  <c r="AF211" i="2"/>
  <c r="AB211" i="2"/>
  <c r="AA211" i="2"/>
  <c r="Z211" i="2"/>
  <c r="Y211" i="2"/>
  <c r="X211" i="2"/>
  <c r="W211" i="2"/>
  <c r="V211" i="2"/>
  <c r="U211" i="2"/>
  <c r="T211" i="2"/>
  <c r="S211" i="2"/>
  <c r="K211" i="2"/>
  <c r="A211" i="2"/>
  <c r="AV210" i="2"/>
  <c r="AU210" i="2"/>
  <c r="AT210" i="2"/>
  <c r="AS210" i="2"/>
  <c r="AR210" i="2"/>
  <c r="AQ210" i="2"/>
  <c r="AP210" i="2"/>
  <c r="AO210" i="2"/>
  <c r="AN210" i="2"/>
  <c r="AM210" i="2"/>
  <c r="I210" i="2"/>
  <c r="H210" i="2"/>
  <c r="F210" i="2"/>
  <c r="E210" i="2"/>
  <c r="D210" i="2"/>
  <c r="AV209" i="2"/>
  <c r="AU209" i="2"/>
  <c r="AT209" i="2"/>
  <c r="AS209" i="2"/>
  <c r="AR209" i="2"/>
  <c r="AQ209" i="2"/>
  <c r="AP209" i="2"/>
  <c r="AO209" i="2"/>
  <c r="AN209" i="2"/>
  <c r="AM209" i="2"/>
  <c r="AB209" i="2"/>
  <c r="AA209" i="2"/>
  <c r="Z209" i="2"/>
  <c r="Y209" i="2"/>
  <c r="X209" i="2"/>
  <c r="W209" i="2"/>
  <c r="V209" i="2"/>
  <c r="U209" i="2"/>
  <c r="T209" i="2"/>
  <c r="S209" i="2"/>
  <c r="L209" i="2"/>
  <c r="I209" i="2"/>
  <c r="H209" i="2"/>
  <c r="F209" i="2"/>
  <c r="E209" i="2"/>
  <c r="D209" i="2"/>
  <c r="AV208" i="2"/>
  <c r="AU208" i="2"/>
  <c r="AT208" i="2"/>
  <c r="AS208" i="2"/>
  <c r="AR208" i="2"/>
  <c r="AQ208" i="2"/>
  <c r="AP208" i="2"/>
  <c r="AO208" i="2"/>
  <c r="AN208" i="2"/>
  <c r="AM208" i="2"/>
  <c r="AJ208" i="2"/>
  <c r="AF208" i="2"/>
  <c r="AB208" i="2"/>
  <c r="AA208" i="2"/>
  <c r="Z208" i="2"/>
  <c r="Y208" i="2"/>
  <c r="X208" i="2"/>
  <c r="W208" i="2"/>
  <c r="V208" i="2"/>
  <c r="U208" i="2"/>
  <c r="T208" i="2"/>
  <c r="S208" i="2"/>
  <c r="K208" i="2"/>
  <c r="A208" i="2"/>
  <c r="AV207" i="2"/>
  <c r="AU207" i="2"/>
  <c r="AT207" i="2"/>
  <c r="AS207" i="2"/>
  <c r="AR207" i="2"/>
  <c r="AQ207" i="2"/>
  <c r="AP207" i="2"/>
  <c r="AO207" i="2"/>
  <c r="AN207" i="2"/>
  <c r="AM207" i="2"/>
  <c r="I207" i="2"/>
  <c r="H207" i="2"/>
  <c r="F207" i="2"/>
  <c r="E207" i="2"/>
  <c r="D207" i="2"/>
  <c r="AV206" i="2"/>
  <c r="AU206" i="2"/>
  <c r="AT206" i="2"/>
  <c r="AS206" i="2"/>
  <c r="AR206" i="2"/>
  <c r="AQ206" i="2"/>
  <c r="AP206" i="2"/>
  <c r="AO206" i="2"/>
  <c r="AN206" i="2"/>
  <c r="AM206" i="2"/>
  <c r="AB206" i="2"/>
  <c r="AA206" i="2"/>
  <c r="Z206" i="2"/>
  <c r="Y206" i="2"/>
  <c r="X206" i="2"/>
  <c r="W206" i="2"/>
  <c r="V206" i="2"/>
  <c r="U206" i="2"/>
  <c r="T206" i="2"/>
  <c r="S206" i="2"/>
  <c r="L206" i="2"/>
  <c r="I206" i="2"/>
  <c r="H206" i="2"/>
  <c r="F206" i="2"/>
  <c r="E206" i="2"/>
  <c r="D206" i="2"/>
  <c r="AV205" i="2"/>
  <c r="AU205" i="2"/>
  <c r="AT205" i="2"/>
  <c r="AS205" i="2"/>
  <c r="AR205" i="2"/>
  <c r="AQ205" i="2"/>
  <c r="AP205" i="2"/>
  <c r="AO205" i="2"/>
  <c r="AN205" i="2"/>
  <c r="AM205" i="2"/>
  <c r="AJ205" i="2"/>
  <c r="AF205" i="2"/>
  <c r="AB205" i="2"/>
  <c r="AA205" i="2"/>
  <c r="Z205" i="2"/>
  <c r="Y205" i="2"/>
  <c r="X205" i="2"/>
  <c r="W205" i="2"/>
  <c r="V205" i="2"/>
  <c r="U205" i="2"/>
  <c r="T205" i="2"/>
  <c r="S205" i="2"/>
  <c r="K205" i="2"/>
  <c r="A205" i="2"/>
  <c r="AV204" i="2"/>
  <c r="AU204" i="2"/>
  <c r="AT204" i="2"/>
  <c r="AS204" i="2"/>
  <c r="AR204" i="2"/>
  <c r="AQ204" i="2"/>
  <c r="AP204" i="2"/>
  <c r="AO204" i="2"/>
  <c r="AN204" i="2"/>
  <c r="AM204" i="2"/>
  <c r="I204" i="2"/>
  <c r="H204" i="2"/>
  <c r="F204" i="2"/>
  <c r="E204" i="2"/>
  <c r="D204" i="2"/>
  <c r="AV203" i="2"/>
  <c r="AU203" i="2"/>
  <c r="AT203" i="2"/>
  <c r="AS203" i="2"/>
  <c r="AR203" i="2"/>
  <c r="AQ203" i="2"/>
  <c r="AP203" i="2"/>
  <c r="AO203" i="2"/>
  <c r="AN203" i="2"/>
  <c r="AM203" i="2"/>
  <c r="AB203" i="2"/>
  <c r="AA203" i="2"/>
  <c r="Z203" i="2"/>
  <c r="Y203" i="2"/>
  <c r="X203" i="2"/>
  <c r="W203" i="2"/>
  <c r="V203" i="2"/>
  <c r="U203" i="2"/>
  <c r="T203" i="2"/>
  <c r="S203" i="2"/>
  <c r="L203" i="2"/>
  <c r="I203" i="2"/>
  <c r="H203" i="2"/>
  <c r="F203" i="2"/>
  <c r="E203" i="2"/>
  <c r="D203" i="2"/>
  <c r="AV202" i="2"/>
  <c r="AU202" i="2"/>
  <c r="AT202" i="2"/>
  <c r="AS202" i="2"/>
  <c r="AR202" i="2"/>
  <c r="AQ202" i="2"/>
  <c r="AP202" i="2"/>
  <c r="AO202" i="2"/>
  <c r="AN202" i="2"/>
  <c r="AM202" i="2"/>
  <c r="AJ202" i="2"/>
  <c r="AF202" i="2"/>
  <c r="AB202" i="2"/>
  <c r="AA202" i="2"/>
  <c r="Z202" i="2"/>
  <c r="Y202" i="2"/>
  <c r="X202" i="2"/>
  <c r="W202" i="2"/>
  <c r="V202" i="2"/>
  <c r="U202" i="2"/>
  <c r="T202" i="2"/>
  <c r="S202" i="2"/>
  <c r="K202" i="2"/>
  <c r="A202" i="2"/>
  <c r="AV201" i="2"/>
  <c r="AU201" i="2"/>
  <c r="AT201" i="2"/>
  <c r="AS201" i="2"/>
  <c r="AR201" i="2"/>
  <c r="AQ201" i="2"/>
  <c r="AP201" i="2"/>
  <c r="AO201" i="2"/>
  <c r="AN201" i="2"/>
  <c r="AM201" i="2"/>
  <c r="I201" i="2"/>
  <c r="H201" i="2"/>
  <c r="F201" i="2"/>
  <c r="E201" i="2"/>
  <c r="D201" i="2"/>
  <c r="AV200" i="2"/>
  <c r="AU200" i="2"/>
  <c r="AT200" i="2"/>
  <c r="AS200" i="2"/>
  <c r="AR200" i="2"/>
  <c r="AQ200" i="2"/>
  <c r="AP200" i="2"/>
  <c r="AO200" i="2"/>
  <c r="AN200" i="2"/>
  <c r="AM200" i="2"/>
  <c r="AB200" i="2"/>
  <c r="AA200" i="2"/>
  <c r="Z200" i="2"/>
  <c r="Y200" i="2"/>
  <c r="X200" i="2"/>
  <c r="W200" i="2"/>
  <c r="V200" i="2"/>
  <c r="U200" i="2"/>
  <c r="T200" i="2"/>
  <c r="S200" i="2"/>
  <c r="L200" i="2"/>
  <c r="I200" i="2"/>
  <c r="H200" i="2"/>
  <c r="F200" i="2"/>
  <c r="E200" i="2"/>
  <c r="D200" i="2"/>
  <c r="AV199" i="2"/>
  <c r="AU199" i="2"/>
  <c r="AT199" i="2"/>
  <c r="AS199" i="2"/>
  <c r="AR199" i="2"/>
  <c r="AQ199" i="2"/>
  <c r="AP199" i="2"/>
  <c r="AO199" i="2"/>
  <c r="AN199" i="2"/>
  <c r="AM199" i="2"/>
  <c r="AJ199" i="2"/>
  <c r="AF199" i="2"/>
  <c r="AB199" i="2"/>
  <c r="AA199" i="2"/>
  <c r="Z199" i="2"/>
  <c r="Y199" i="2"/>
  <c r="X199" i="2"/>
  <c r="W199" i="2"/>
  <c r="V199" i="2"/>
  <c r="U199" i="2"/>
  <c r="T199" i="2"/>
  <c r="S199" i="2"/>
  <c r="K199" i="2"/>
  <c r="A199" i="2"/>
  <c r="AV198" i="2"/>
  <c r="AU198" i="2"/>
  <c r="AT198" i="2"/>
  <c r="AS198" i="2"/>
  <c r="AR198" i="2"/>
  <c r="AQ198" i="2"/>
  <c r="AP198" i="2"/>
  <c r="AO198" i="2"/>
  <c r="AN198" i="2"/>
  <c r="AM198" i="2"/>
  <c r="I198" i="2"/>
  <c r="H198" i="2"/>
  <c r="F198" i="2"/>
  <c r="E198" i="2"/>
  <c r="D198" i="2"/>
  <c r="AV197" i="2"/>
  <c r="AU197" i="2"/>
  <c r="AT197" i="2"/>
  <c r="AS197" i="2"/>
  <c r="AR197" i="2"/>
  <c r="AQ197" i="2"/>
  <c r="AP197" i="2"/>
  <c r="AO197" i="2"/>
  <c r="AN197" i="2"/>
  <c r="AM197" i="2"/>
  <c r="AB197" i="2"/>
  <c r="AA197" i="2"/>
  <c r="Z197" i="2"/>
  <c r="Y197" i="2"/>
  <c r="X197" i="2"/>
  <c r="W197" i="2"/>
  <c r="V197" i="2"/>
  <c r="U197" i="2"/>
  <c r="T197" i="2"/>
  <c r="S197" i="2"/>
  <c r="L197" i="2"/>
  <c r="I197" i="2"/>
  <c r="H197" i="2"/>
  <c r="F197" i="2"/>
  <c r="E197" i="2"/>
  <c r="D197" i="2"/>
  <c r="AV196" i="2"/>
  <c r="AU196" i="2"/>
  <c r="AT196" i="2"/>
  <c r="AS196" i="2"/>
  <c r="AR196" i="2"/>
  <c r="AQ196" i="2"/>
  <c r="AP196" i="2"/>
  <c r="AO196" i="2"/>
  <c r="AN196" i="2"/>
  <c r="AM196" i="2"/>
  <c r="AJ196" i="2"/>
  <c r="AF196" i="2"/>
  <c r="AB196" i="2"/>
  <c r="AA196" i="2"/>
  <c r="Z196" i="2"/>
  <c r="Y196" i="2"/>
  <c r="X196" i="2"/>
  <c r="W196" i="2"/>
  <c r="V196" i="2"/>
  <c r="U196" i="2"/>
  <c r="T196" i="2"/>
  <c r="S196" i="2"/>
  <c r="K196" i="2"/>
  <c r="A196" i="2"/>
  <c r="AV195" i="2"/>
  <c r="AU195" i="2"/>
  <c r="AT195" i="2"/>
  <c r="AS195" i="2"/>
  <c r="AR195" i="2"/>
  <c r="AQ195" i="2"/>
  <c r="AP195" i="2"/>
  <c r="AO195" i="2"/>
  <c r="AN195" i="2"/>
  <c r="AM195" i="2"/>
  <c r="I195" i="2"/>
  <c r="H195" i="2"/>
  <c r="F195" i="2"/>
  <c r="E195" i="2"/>
  <c r="D195" i="2"/>
  <c r="AV194" i="2"/>
  <c r="AU194" i="2"/>
  <c r="AT194" i="2"/>
  <c r="AS194" i="2"/>
  <c r="AR194" i="2"/>
  <c r="AQ194" i="2"/>
  <c r="AP194" i="2"/>
  <c r="AO194" i="2"/>
  <c r="AN194" i="2"/>
  <c r="AM194" i="2"/>
  <c r="AB194" i="2"/>
  <c r="AA194" i="2"/>
  <c r="Z194" i="2"/>
  <c r="Y194" i="2"/>
  <c r="X194" i="2"/>
  <c r="W194" i="2"/>
  <c r="V194" i="2"/>
  <c r="U194" i="2"/>
  <c r="T194" i="2"/>
  <c r="S194" i="2"/>
  <c r="L194" i="2"/>
  <c r="I194" i="2"/>
  <c r="H194" i="2"/>
  <c r="F194" i="2"/>
  <c r="E194" i="2"/>
  <c r="D194" i="2"/>
  <c r="AV193" i="2"/>
  <c r="AU193" i="2"/>
  <c r="AT193" i="2"/>
  <c r="AS193" i="2"/>
  <c r="AR193" i="2"/>
  <c r="AQ193" i="2"/>
  <c r="AP193" i="2"/>
  <c r="AO193" i="2"/>
  <c r="AN193" i="2"/>
  <c r="AM193" i="2"/>
  <c r="AJ193" i="2"/>
  <c r="AF193" i="2"/>
  <c r="AB193" i="2"/>
  <c r="AA193" i="2"/>
  <c r="Z193" i="2"/>
  <c r="Y193" i="2"/>
  <c r="X193" i="2"/>
  <c r="W193" i="2"/>
  <c r="V193" i="2"/>
  <c r="U193" i="2"/>
  <c r="T193" i="2"/>
  <c r="S193" i="2"/>
  <c r="K193" i="2"/>
  <c r="A193" i="2"/>
  <c r="AV192" i="2"/>
  <c r="AU192" i="2"/>
  <c r="AT192" i="2"/>
  <c r="AS192" i="2"/>
  <c r="AR192" i="2"/>
  <c r="AQ192" i="2"/>
  <c r="AP192" i="2"/>
  <c r="AO192" i="2"/>
  <c r="AN192" i="2"/>
  <c r="AM192" i="2"/>
  <c r="I192" i="2"/>
  <c r="H192" i="2"/>
  <c r="F192" i="2"/>
  <c r="E192" i="2"/>
  <c r="D192" i="2"/>
  <c r="AV191" i="2"/>
  <c r="AU191" i="2"/>
  <c r="AT191" i="2"/>
  <c r="AS191" i="2"/>
  <c r="AR191" i="2"/>
  <c r="AQ191" i="2"/>
  <c r="AP191" i="2"/>
  <c r="AO191" i="2"/>
  <c r="AN191" i="2"/>
  <c r="AM191" i="2"/>
  <c r="AB191" i="2"/>
  <c r="AA191" i="2"/>
  <c r="Z191" i="2"/>
  <c r="Y191" i="2"/>
  <c r="X191" i="2"/>
  <c r="W191" i="2"/>
  <c r="V191" i="2"/>
  <c r="U191" i="2"/>
  <c r="T191" i="2"/>
  <c r="S191" i="2"/>
  <c r="L191" i="2"/>
  <c r="I191" i="2"/>
  <c r="H191" i="2"/>
  <c r="F191" i="2"/>
  <c r="E191" i="2"/>
  <c r="D191" i="2"/>
  <c r="AV190" i="2"/>
  <c r="AU190" i="2"/>
  <c r="AT190" i="2"/>
  <c r="AS190" i="2"/>
  <c r="AR190" i="2"/>
  <c r="AQ190" i="2"/>
  <c r="AP190" i="2"/>
  <c r="AO190" i="2"/>
  <c r="AN190" i="2"/>
  <c r="AM190" i="2"/>
  <c r="AJ190" i="2"/>
  <c r="AF190" i="2"/>
  <c r="AB190" i="2"/>
  <c r="AA190" i="2"/>
  <c r="Z190" i="2"/>
  <c r="Y190" i="2"/>
  <c r="X190" i="2"/>
  <c r="W190" i="2"/>
  <c r="V190" i="2"/>
  <c r="U190" i="2"/>
  <c r="T190" i="2"/>
  <c r="S190" i="2"/>
  <c r="K190" i="2"/>
  <c r="A190" i="2"/>
  <c r="AV189" i="2"/>
  <c r="AU189" i="2"/>
  <c r="AT189" i="2"/>
  <c r="AS189" i="2"/>
  <c r="AR189" i="2"/>
  <c r="AQ189" i="2"/>
  <c r="AP189" i="2"/>
  <c r="AO189" i="2"/>
  <c r="AN189" i="2"/>
  <c r="AM189" i="2"/>
  <c r="I189" i="2"/>
  <c r="H189" i="2"/>
  <c r="F189" i="2"/>
  <c r="E189" i="2"/>
  <c r="D189" i="2"/>
  <c r="AV188" i="2"/>
  <c r="AU188" i="2"/>
  <c r="AT188" i="2"/>
  <c r="AS188" i="2"/>
  <c r="AR188" i="2"/>
  <c r="AQ188" i="2"/>
  <c r="AP188" i="2"/>
  <c r="AO188" i="2"/>
  <c r="AN188" i="2"/>
  <c r="AM188" i="2"/>
  <c r="AB188" i="2"/>
  <c r="AA188" i="2"/>
  <c r="Z188" i="2"/>
  <c r="Y188" i="2"/>
  <c r="X188" i="2"/>
  <c r="W188" i="2"/>
  <c r="V188" i="2"/>
  <c r="U188" i="2"/>
  <c r="T188" i="2"/>
  <c r="S188" i="2"/>
  <c r="L188" i="2"/>
  <c r="I188" i="2"/>
  <c r="H188" i="2"/>
  <c r="F188" i="2"/>
  <c r="E188" i="2"/>
  <c r="D188" i="2"/>
  <c r="AV187" i="2"/>
  <c r="AU187" i="2"/>
  <c r="AT187" i="2"/>
  <c r="AS187" i="2"/>
  <c r="AR187" i="2"/>
  <c r="AQ187" i="2"/>
  <c r="AP187" i="2"/>
  <c r="AO187" i="2"/>
  <c r="AN187" i="2"/>
  <c r="AM187" i="2"/>
  <c r="AJ187" i="2"/>
  <c r="AF187" i="2"/>
  <c r="AB187" i="2"/>
  <c r="AA187" i="2"/>
  <c r="Z187" i="2"/>
  <c r="Y187" i="2"/>
  <c r="X187" i="2"/>
  <c r="W187" i="2"/>
  <c r="V187" i="2"/>
  <c r="U187" i="2"/>
  <c r="T187" i="2"/>
  <c r="S187" i="2"/>
  <c r="K187" i="2"/>
  <c r="A187" i="2"/>
  <c r="AV186" i="2"/>
  <c r="AU186" i="2"/>
  <c r="AT186" i="2"/>
  <c r="AS186" i="2"/>
  <c r="AR186" i="2"/>
  <c r="AQ186" i="2"/>
  <c r="AP186" i="2"/>
  <c r="AO186" i="2"/>
  <c r="AN186" i="2"/>
  <c r="AM186" i="2"/>
  <c r="I186" i="2"/>
  <c r="H186" i="2"/>
  <c r="F186" i="2"/>
  <c r="E186" i="2"/>
  <c r="D186" i="2"/>
  <c r="AV185" i="2"/>
  <c r="AU185" i="2"/>
  <c r="AT185" i="2"/>
  <c r="AS185" i="2"/>
  <c r="AR185" i="2"/>
  <c r="AQ185" i="2"/>
  <c r="AP185" i="2"/>
  <c r="AO185" i="2"/>
  <c r="AN185" i="2"/>
  <c r="AM185" i="2"/>
  <c r="AB185" i="2"/>
  <c r="AA185" i="2"/>
  <c r="Z185" i="2"/>
  <c r="Y185" i="2"/>
  <c r="X185" i="2"/>
  <c r="W185" i="2"/>
  <c r="V185" i="2"/>
  <c r="U185" i="2"/>
  <c r="T185" i="2"/>
  <c r="S185" i="2"/>
  <c r="L185" i="2"/>
  <c r="I185" i="2"/>
  <c r="H185" i="2"/>
  <c r="F185" i="2"/>
  <c r="E185" i="2"/>
  <c r="D185" i="2"/>
  <c r="AV184" i="2"/>
  <c r="AU184" i="2"/>
  <c r="AT184" i="2"/>
  <c r="AS184" i="2"/>
  <c r="AR184" i="2"/>
  <c r="AQ184" i="2"/>
  <c r="AP184" i="2"/>
  <c r="AO184" i="2"/>
  <c r="AN184" i="2"/>
  <c r="AM184" i="2"/>
  <c r="AJ184" i="2"/>
  <c r="AF184" i="2"/>
  <c r="AB184" i="2"/>
  <c r="AA184" i="2"/>
  <c r="Z184" i="2"/>
  <c r="Y184" i="2"/>
  <c r="X184" i="2"/>
  <c r="W184" i="2"/>
  <c r="V184" i="2"/>
  <c r="U184" i="2"/>
  <c r="T184" i="2"/>
  <c r="S184" i="2"/>
  <c r="K184" i="2"/>
  <c r="A184" i="2"/>
  <c r="AV183" i="2"/>
  <c r="AU183" i="2"/>
  <c r="AT183" i="2"/>
  <c r="AS183" i="2"/>
  <c r="AR183" i="2"/>
  <c r="AQ183" i="2"/>
  <c r="AP183" i="2"/>
  <c r="AO183" i="2"/>
  <c r="AN183" i="2"/>
  <c r="AM183" i="2"/>
  <c r="I183" i="2"/>
  <c r="H183" i="2"/>
  <c r="F183" i="2"/>
  <c r="E183" i="2"/>
  <c r="D183" i="2"/>
  <c r="AV182" i="2"/>
  <c r="AU182" i="2"/>
  <c r="AT182" i="2"/>
  <c r="AS182" i="2"/>
  <c r="AR182" i="2"/>
  <c r="AQ182" i="2"/>
  <c r="AP182" i="2"/>
  <c r="AO182" i="2"/>
  <c r="AN182" i="2"/>
  <c r="AM182" i="2"/>
  <c r="AB182" i="2"/>
  <c r="AA182" i="2"/>
  <c r="Z182" i="2"/>
  <c r="Y182" i="2"/>
  <c r="X182" i="2"/>
  <c r="W182" i="2"/>
  <c r="V182" i="2"/>
  <c r="U182" i="2"/>
  <c r="T182" i="2"/>
  <c r="S182" i="2"/>
  <c r="L182" i="2"/>
  <c r="I182" i="2"/>
  <c r="H182" i="2"/>
  <c r="F182" i="2"/>
  <c r="E182" i="2"/>
  <c r="D182" i="2"/>
  <c r="AV181" i="2"/>
  <c r="AU181" i="2"/>
  <c r="AT181" i="2"/>
  <c r="AS181" i="2"/>
  <c r="AR181" i="2"/>
  <c r="AQ181" i="2"/>
  <c r="AP181" i="2"/>
  <c r="AO181" i="2"/>
  <c r="AN181" i="2"/>
  <c r="AM181" i="2"/>
  <c r="AJ181" i="2"/>
  <c r="AF181" i="2"/>
  <c r="AB181" i="2"/>
  <c r="AA181" i="2"/>
  <c r="Z181" i="2"/>
  <c r="Y181" i="2"/>
  <c r="X181" i="2"/>
  <c r="W181" i="2"/>
  <c r="V181" i="2"/>
  <c r="U181" i="2"/>
  <c r="T181" i="2"/>
  <c r="S181" i="2"/>
  <c r="K181" i="2"/>
  <c r="A181" i="2"/>
  <c r="AV180" i="2"/>
  <c r="AU180" i="2"/>
  <c r="AT180" i="2"/>
  <c r="AS180" i="2"/>
  <c r="AR180" i="2"/>
  <c r="AQ180" i="2"/>
  <c r="AP180" i="2"/>
  <c r="AO180" i="2"/>
  <c r="AN180" i="2"/>
  <c r="AM180" i="2"/>
  <c r="I180" i="2"/>
  <c r="H180" i="2"/>
  <c r="F180" i="2"/>
  <c r="E180" i="2"/>
  <c r="D180" i="2"/>
  <c r="AV179" i="2"/>
  <c r="AU179" i="2"/>
  <c r="AT179" i="2"/>
  <c r="AS179" i="2"/>
  <c r="AR179" i="2"/>
  <c r="AQ179" i="2"/>
  <c r="AP179" i="2"/>
  <c r="AO179" i="2"/>
  <c r="AN179" i="2"/>
  <c r="AM179" i="2"/>
  <c r="AB179" i="2"/>
  <c r="AA179" i="2"/>
  <c r="Z179" i="2"/>
  <c r="Y179" i="2"/>
  <c r="X179" i="2"/>
  <c r="W179" i="2"/>
  <c r="V179" i="2"/>
  <c r="U179" i="2"/>
  <c r="T179" i="2"/>
  <c r="S179" i="2"/>
  <c r="L179" i="2"/>
  <c r="I179" i="2"/>
  <c r="H179" i="2"/>
  <c r="F179" i="2"/>
  <c r="E179" i="2"/>
  <c r="D179" i="2"/>
  <c r="AV178" i="2"/>
  <c r="AU178" i="2"/>
  <c r="AT178" i="2"/>
  <c r="AS178" i="2"/>
  <c r="AR178" i="2"/>
  <c r="AQ178" i="2"/>
  <c r="AP178" i="2"/>
  <c r="AO178" i="2"/>
  <c r="AN178" i="2"/>
  <c r="AM178" i="2"/>
  <c r="AJ178" i="2"/>
  <c r="AF178" i="2"/>
  <c r="AB178" i="2"/>
  <c r="W178" i="2"/>
  <c r="U178" i="2"/>
  <c r="T178" i="2"/>
  <c r="S178" i="2"/>
  <c r="R178" i="2"/>
  <c r="K178" i="2"/>
  <c r="A178" i="2"/>
  <c r="AV177" i="2"/>
  <c r="AU177" i="2"/>
  <c r="AT177" i="2"/>
  <c r="AS177" i="2"/>
  <c r="AR177" i="2"/>
  <c r="AQ177" i="2"/>
  <c r="AP177" i="2"/>
  <c r="AO177" i="2"/>
  <c r="AN177" i="2"/>
  <c r="AM177" i="2"/>
  <c r="I177" i="2"/>
  <c r="H177" i="2"/>
  <c r="F177" i="2"/>
  <c r="E177" i="2"/>
  <c r="D177" i="2"/>
  <c r="AV176" i="2"/>
  <c r="AU176" i="2"/>
  <c r="AT176" i="2"/>
  <c r="AS176" i="2"/>
  <c r="AR176" i="2"/>
  <c r="AQ176" i="2"/>
  <c r="AP176" i="2"/>
  <c r="AO176" i="2"/>
  <c r="AN176" i="2"/>
  <c r="AM176" i="2"/>
  <c r="AB176" i="2"/>
  <c r="AA176" i="2"/>
  <c r="Z176" i="2"/>
  <c r="Y176" i="2"/>
  <c r="X176" i="2"/>
  <c r="W176" i="2"/>
  <c r="V176" i="2"/>
  <c r="U176" i="2"/>
  <c r="T176" i="2"/>
  <c r="S176" i="2"/>
  <c r="L176" i="2"/>
  <c r="I176" i="2"/>
  <c r="H176" i="2"/>
  <c r="F176" i="2"/>
  <c r="E176" i="2"/>
  <c r="D176" i="2"/>
  <c r="AV175" i="2"/>
  <c r="AU175" i="2"/>
  <c r="AT175" i="2"/>
  <c r="AS175" i="2"/>
  <c r="AR175" i="2"/>
  <c r="AQ175" i="2"/>
  <c r="AP175" i="2"/>
  <c r="AO175" i="2"/>
  <c r="AN175" i="2"/>
  <c r="AM175" i="2"/>
  <c r="AJ175" i="2"/>
  <c r="AG175" i="2"/>
  <c r="AF175" i="2"/>
  <c r="AE175" i="2"/>
  <c r="AB175" i="2"/>
  <c r="W175" i="2"/>
  <c r="U175" i="2"/>
  <c r="T175" i="2"/>
  <c r="S175" i="2"/>
  <c r="R175" i="2"/>
  <c r="K175" i="2"/>
  <c r="F175" i="2"/>
  <c r="A175" i="2"/>
  <c r="AV174" i="2"/>
  <c r="AU174" i="2"/>
  <c r="AT174" i="2"/>
  <c r="AS174" i="2"/>
  <c r="AR174" i="2"/>
  <c r="AQ174" i="2"/>
  <c r="AP174" i="2"/>
  <c r="AO174" i="2"/>
  <c r="AN174" i="2"/>
  <c r="AM174" i="2"/>
  <c r="I174" i="2"/>
  <c r="H174" i="2"/>
  <c r="F174" i="2"/>
  <c r="E174" i="2"/>
  <c r="D174" i="2"/>
  <c r="AV173" i="2"/>
  <c r="AU173" i="2"/>
  <c r="AT173" i="2"/>
  <c r="AS173" i="2"/>
  <c r="AR173" i="2"/>
  <c r="AQ173" i="2"/>
  <c r="AP173" i="2"/>
  <c r="AO173" i="2"/>
  <c r="AN173" i="2"/>
  <c r="AM173" i="2"/>
  <c r="AB173" i="2"/>
  <c r="AA173" i="2"/>
  <c r="Z173" i="2"/>
  <c r="Y173" i="2"/>
  <c r="X173" i="2"/>
  <c r="W173" i="2"/>
  <c r="V173" i="2"/>
  <c r="U173" i="2"/>
  <c r="T173" i="2"/>
  <c r="S173" i="2"/>
  <c r="L173" i="2"/>
  <c r="I173" i="2"/>
  <c r="H173" i="2"/>
  <c r="F173" i="2"/>
  <c r="E173" i="2"/>
  <c r="D173" i="2"/>
  <c r="AV172" i="2"/>
  <c r="AU172" i="2"/>
  <c r="AT172" i="2"/>
  <c r="AS172" i="2"/>
  <c r="AR172" i="2"/>
  <c r="AQ172" i="2"/>
  <c r="AP172" i="2"/>
  <c r="AO172" i="2"/>
  <c r="AN172" i="2"/>
  <c r="AM172" i="2"/>
  <c r="AJ172" i="2"/>
  <c r="AG172" i="2"/>
  <c r="AF172" i="2"/>
  <c r="AE172" i="2"/>
  <c r="AB172" i="2"/>
  <c r="W172" i="2"/>
  <c r="U172" i="2"/>
  <c r="T172" i="2"/>
  <c r="S172" i="2"/>
  <c r="R172" i="2"/>
  <c r="K172" i="2"/>
  <c r="F172" i="2"/>
  <c r="A172" i="2"/>
  <c r="AV171" i="2"/>
  <c r="AU171" i="2"/>
  <c r="AT171" i="2"/>
  <c r="AS171" i="2"/>
  <c r="AR171" i="2"/>
  <c r="AQ171" i="2"/>
  <c r="AP171" i="2"/>
  <c r="AO171" i="2"/>
  <c r="AN171" i="2"/>
  <c r="AM171" i="2"/>
  <c r="I171" i="2"/>
  <c r="H171" i="2"/>
  <c r="F171" i="2"/>
  <c r="E171" i="2"/>
  <c r="D171" i="2"/>
  <c r="AV170" i="2"/>
  <c r="AU170" i="2"/>
  <c r="AT170" i="2"/>
  <c r="AS170" i="2"/>
  <c r="AR170" i="2"/>
  <c r="AQ170" i="2"/>
  <c r="AP170" i="2"/>
  <c r="AO170" i="2"/>
  <c r="AN170" i="2"/>
  <c r="AM170" i="2"/>
  <c r="AB170" i="2"/>
  <c r="AA170" i="2"/>
  <c r="Z170" i="2"/>
  <c r="Y170" i="2"/>
  <c r="X170" i="2"/>
  <c r="W170" i="2"/>
  <c r="V170" i="2"/>
  <c r="U170" i="2"/>
  <c r="T170" i="2"/>
  <c r="S170" i="2"/>
  <c r="L170" i="2"/>
  <c r="I170" i="2"/>
  <c r="H170" i="2"/>
  <c r="F170" i="2"/>
  <c r="E170" i="2"/>
  <c r="D170" i="2"/>
  <c r="AV169" i="2"/>
  <c r="AU169" i="2"/>
  <c r="AT169" i="2"/>
  <c r="AS169" i="2"/>
  <c r="AR169" i="2"/>
  <c r="AQ169" i="2"/>
  <c r="AP169" i="2"/>
  <c r="AO169" i="2"/>
  <c r="AN169" i="2"/>
  <c r="AM169" i="2"/>
  <c r="AJ169" i="2"/>
  <c r="AG169" i="2"/>
  <c r="AF169" i="2"/>
  <c r="AB169" i="2"/>
  <c r="W169" i="2"/>
  <c r="U169" i="2"/>
  <c r="T169" i="2"/>
  <c r="S169" i="2"/>
  <c r="R169" i="2"/>
  <c r="K169" i="2"/>
  <c r="F169" i="2"/>
  <c r="A169" i="2"/>
  <c r="AV168" i="2"/>
  <c r="AU168" i="2"/>
  <c r="AT168" i="2"/>
  <c r="AS168" i="2"/>
  <c r="AR168" i="2"/>
  <c r="AQ168" i="2"/>
  <c r="AP168" i="2"/>
  <c r="AO168" i="2"/>
  <c r="AN168" i="2"/>
  <c r="AM168" i="2"/>
  <c r="I168" i="2"/>
  <c r="H168" i="2"/>
  <c r="F168" i="2"/>
  <c r="E168" i="2"/>
  <c r="D168" i="2"/>
  <c r="AV167" i="2"/>
  <c r="AU167" i="2"/>
  <c r="AT167" i="2"/>
  <c r="AS167" i="2"/>
  <c r="AR167" i="2"/>
  <c r="AQ167" i="2"/>
  <c r="AP167" i="2"/>
  <c r="AO167" i="2"/>
  <c r="AN167" i="2"/>
  <c r="AM167" i="2"/>
  <c r="AB167" i="2"/>
  <c r="AA167" i="2"/>
  <c r="Z167" i="2"/>
  <c r="Y167" i="2"/>
  <c r="X167" i="2"/>
  <c r="W167" i="2"/>
  <c r="V167" i="2"/>
  <c r="U167" i="2"/>
  <c r="T167" i="2"/>
  <c r="S167" i="2"/>
  <c r="L167" i="2"/>
  <c r="I167" i="2"/>
  <c r="H167" i="2"/>
  <c r="F167" i="2"/>
  <c r="E167" i="2"/>
  <c r="D167" i="2"/>
  <c r="AV166" i="2"/>
  <c r="AU166" i="2"/>
  <c r="AT166" i="2"/>
  <c r="AS166" i="2"/>
  <c r="AR166" i="2"/>
  <c r="AQ166" i="2"/>
  <c r="AP166" i="2"/>
  <c r="AO166" i="2"/>
  <c r="AN166" i="2"/>
  <c r="AM166" i="2"/>
  <c r="AJ166" i="2"/>
  <c r="AG166" i="2"/>
  <c r="AF166" i="2"/>
  <c r="AB166" i="2"/>
  <c r="W166" i="2"/>
  <c r="U166" i="2"/>
  <c r="T166" i="2"/>
  <c r="S166" i="2"/>
  <c r="R166" i="2"/>
  <c r="K166" i="2"/>
  <c r="A166" i="2"/>
  <c r="AV165" i="2"/>
  <c r="AU165" i="2"/>
  <c r="AT165" i="2"/>
  <c r="AS165" i="2"/>
  <c r="AR165" i="2"/>
  <c r="AQ165" i="2"/>
  <c r="AP165" i="2"/>
  <c r="AO165" i="2"/>
  <c r="AN165" i="2"/>
  <c r="AM165" i="2"/>
  <c r="I165" i="2"/>
  <c r="H165" i="2"/>
  <c r="F165" i="2"/>
  <c r="E165" i="2"/>
  <c r="D165" i="2"/>
  <c r="AV164" i="2"/>
  <c r="AU164" i="2"/>
  <c r="AT164" i="2"/>
  <c r="AS164" i="2"/>
  <c r="AR164" i="2"/>
  <c r="AQ164" i="2"/>
  <c r="AP164" i="2"/>
  <c r="AO164" i="2"/>
  <c r="AN164" i="2"/>
  <c r="AM164" i="2"/>
  <c r="AB164" i="2"/>
  <c r="AA164" i="2"/>
  <c r="Z164" i="2"/>
  <c r="Y164" i="2"/>
  <c r="X164" i="2"/>
  <c r="W164" i="2"/>
  <c r="V164" i="2"/>
  <c r="U164" i="2"/>
  <c r="T164" i="2"/>
  <c r="S164" i="2"/>
  <c r="L164" i="2"/>
  <c r="I164" i="2"/>
  <c r="H164" i="2"/>
  <c r="F164" i="2"/>
  <c r="E164" i="2"/>
  <c r="AV163" i="2"/>
  <c r="AU163" i="2"/>
  <c r="AT163" i="2"/>
  <c r="AS163" i="2"/>
  <c r="AR163" i="2"/>
  <c r="AQ163" i="2"/>
  <c r="AP163" i="2"/>
  <c r="AO163" i="2"/>
  <c r="AN163" i="2"/>
  <c r="AM163" i="2"/>
  <c r="AJ163" i="2"/>
  <c r="AG163" i="2"/>
  <c r="AF163" i="2"/>
  <c r="AB163" i="2"/>
  <c r="W163" i="2"/>
  <c r="U163" i="2"/>
  <c r="T163" i="2"/>
  <c r="S163" i="2"/>
  <c r="R163" i="2"/>
  <c r="K163" i="2"/>
  <c r="A163" i="2"/>
  <c r="AV162" i="2"/>
  <c r="AU162" i="2"/>
  <c r="AT162" i="2"/>
  <c r="AS162" i="2"/>
  <c r="AR162" i="2"/>
  <c r="AQ162" i="2"/>
  <c r="AP162" i="2"/>
  <c r="AO162" i="2"/>
  <c r="AN162" i="2"/>
  <c r="AM162" i="2"/>
  <c r="I162" i="2"/>
  <c r="H162" i="2"/>
  <c r="F162" i="2"/>
  <c r="E162" i="2"/>
  <c r="D162" i="2"/>
  <c r="AV161" i="2"/>
  <c r="AU161" i="2"/>
  <c r="AT161" i="2"/>
  <c r="AS161" i="2"/>
  <c r="AR161" i="2"/>
  <c r="AQ161" i="2"/>
  <c r="AP161" i="2"/>
  <c r="AO161" i="2"/>
  <c r="AN161" i="2"/>
  <c r="AM161" i="2"/>
  <c r="AB161" i="2"/>
  <c r="AA161" i="2"/>
  <c r="Z161" i="2"/>
  <c r="Y161" i="2"/>
  <c r="X161" i="2"/>
  <c r="W161" i="2"/>
  <c r="V161" i="2"/>
  <c r="U161" i="2"/>
  <c r="T161" i="2"/>
  <c r="S161" i="2"/>
  <c r="L161" i="2"/>
  <c r="I161" i="2"/>
  <c r="H161" i="2"/>
  <c r="F161" i="2"/>
  <c r="E161" i="2"/>
  <c r="D161" i="2"/>
  <c r="AV160" i="2"/>
  <c r="AU160" i="2"/>
  <c r="AT160" i="2"/>
  <c r="AS160" i="2"/>
  <c r="AR160" i="2"/>
  <c r="AQ160" i="2"/>
  <c r="AP160" i="2"/>
  <c r="AO160" i="2"/>
  <c r="AN160" i="2"/>
  <c r="AM160" i="2"/>
  <c r="AJ160" i="2"/>
  <c r="AG160" i="2"/>
  <c r="AF160" i="2"/>
  <c r="AB160" i="2"/>
  <c r="W160" i="2"/>
  <c r="U160" i="2"/>
  <c r="T160" i="2"/>
  <c r="S160" i="2"/>
  <c r="R160" i="2"/>
  <c r="K160" i="2"/>
  <c r="A160" i="2"/>
  <c r="AV159" i="2"/>
  <c r="AU159" i="2"/>
  <c r="AT159" i="2"/>
  <c r="AS159" i="2"/>
  <c r="AR159" i="2"/>
  <c r="AQ159" i="2"/>
  <c r="AP159" i="2"/>
  <c r="AO159" i="2"/>
  <c r="AN159" i="2"/>
  <c r="AM159" i="2"/>
  <c r="I159" i="2"/>
  <c r="H159" i="2"/>
  <c r="F159" i="2"/>
  <c r="E159" i="2"/>
  <c r="D159" i="2"/>
  <c r="AV158" i="2"/>
  <c r="AU158" i="2"/>
  <c r="AT158" i="2"/>
  <c r="AS158" i="2"/>
  <c r="AR158" i="2"/>
  <c r="AQ158" i="2"/>
  <c r="AP158" i="2"/>
  <c r="AO158" i="2"/>
  <c r="AN158" i="2"/>
  <c r="AM158" i="2"/>
  <c r="AB158" i="2"/>
  <c r="AA158" i="2"/>
  <c r="Z158" i="2"/>
  <c r="Y158" i="2"/>
  <c r="X158" i="2"/>
  <c r="W158" i="2"/>
  <c r="V158" i="2"/>
  <c r="U158" i="2"/>
  <c r="T158" i="2"/>
  <c r="S158" i="2"/>
  <c r="L158" i="2"/>
  <c r="I158" i="2"/>
  <c r="H158" i="2"/>
  <c r="F158" i="2"/>
  <c r="E158" i="2"/>
  <c r="D158" i="2"/>
  <c r="AV157" i="2"/>
  <c r="AU157" i="2"/>
  <c r="AT157" i="2"/>
  <c r="AS157" i="2"/>
  <c r="AR157" i="2"/>
  <c r="AQ157" i="2"/>
  <c r="AP157" i="2"/>
  <c r="AO157" i="2"/>
  <c r="AN157" i="2"/>
  <c r="AM157" i="2"/>
  <c r="AJ157" i="2"/>
  <c r="AG157" i="2"/>
  <c r="AF157" i="2"/>
  <c r="AB157" i="2"/>
  <c r="W157" i="2"/>
  <c r="U157" i="2"/>
  <c r="T157" i="2"/>
  <c r="S157" i="2"/>
  <c r="R157" i="2"/>
  <c r="K157" i="2"/>
  <c r="A157" i="2"/>
  <c r="AV156" i="2"/>
  <c r="AU156" i="2"/>
  <c r="AT156" i="2"/>
  <c r="AS156" i="2"/>
  <c r="AR156" i="2"/>
  <c r="AQ156" i="2"/>
  <c r="AP156" i="2"/>
  <c r="AO156" i="2"/>
  <c r="AN156" i="2"/>
  <c r="AM156" i="2"/>
  <c r="I156" i="2"/>
  <c r="H156" i="2"/>
  <c r="F156" i="2"/>
  <c r="E156" i="2"/>
  <c r="D156" i="2"/>
  <c r="AV155" i="2"/>
  <c r="AU155" i="2"/>
  <c r="AT155" i="2"/>
  <c r="AS155" i="2"/>
  <c r="AR155" i="2"/>
  <c r="AQ155" i="2"/>
  <c r="AP155" i="2"/>
  <c r="AO155" i="2"/>
  <c r="AN155" i="2"/>
  <c r="AM155" i="2"/>
  <c r="AB155" i="2"/>
  <c r="AA155" i="2"/>
  <c r="Z155" i="2"/>
  <c r="Y155" i="2"/>
  <c r="X155" i="2"/>
  <c r="W155" i="2"/>
  <c r="V155" i="2"/>
  <c r="U155" i="2"/>
  <c r="T155" i="2"/>
  <c r="S155" i="2"/>
  <c r="L155" i="2"/>
  <c r="I155" i="2"/>
  <c r="H155" i="2"/>
  <c r="F155" i="2"/>
  <c r="E155" i="2"/>
  <c r="D155" i="2"/>
  <c r="AV154" i="2"/>
  <c r="AU154" i="2"/>
  <c r="AT154" i="2"/>
  <c r="AS154" i="2"/>
  <c r="AR154" i="2"/>
  <c r="AQ154" i="2"/>
  <c r="AP154" i="2"/>
  <c r="AO154" i="2"/>
  <c r="AN154" i="2"/>
  <c r="AM154" i="2"/>
  <c r="AJ154" i="2"/>
  <c r="AG154" i="2"/>
  <c r="AF154" i="2"/>
  <c r="AB154" i="2"/>
  <c r="W154" i="2"/>
  <c r="U154" i="2"/>
  <c r="T154" i="2"/>
  <c r="S154" i="2"/>
  <c r="R154" i="2"/>
  <c r="K154" i="2"/>
  <c r="A154" i="2"/>
  <c r="AV153" i="2"/>
  <c r="AU153" i="2"/>
  <c r="AT153" i="2"/>
  <c r="AS153" i="2"/>
  <c r="AR153" i="2"/>
  <c r="AQ153" i="2"/>
  <c r="AP153" i="2"/>
  <c r="AO153" i="2"/>
  <c r="AN153" i="2"/>
  <c r="AM153" i="2"/>
  <c r="I153" i="2"/>
  <c r="H153" i="2"/>
  <c r="F153" i="2"/>
  <c r="E153" i="2"/>
  <c r="D153" i="2"/>
  <c r="AV152" i="2"/>
  <c r="AU152" i="2"/>
  <c r="AT152" i="2"/>
  <c r="AS152" i="2"/>
  <c r="AR152" i="2"/>
  <c r="AQ152" i="2"/>
  <c r="AP152" i="2"/>
  <c r="AO152" i="2"/>
  <c r="AN152" i="2"/>
  <c r="AM152" i="2"/>
  <c r="AB152" i="2"/>
  <c r="AA152" i="2"/>
  <c r="Z152" i="2"/>
  <c r="Y152" i="2"/>
  <c r="X152" i="2"/>
  <c r="W152" i="2"/>
  <c r="V152" i="2"/>
  <c r="U152" i="2"/>
  <c r="T152" i="2"/>
  <c r="S152" i="2"/>
  <c r="L152" i="2"/>
  <c r="I152" i="2"/>
  <c r="H152" i="2"/>
  <c r="F152" i="2"/>
  <c r="E152" i="2"/>
  <c r="D152" i="2"/>
  <c r="AV151" i="2"/>
  <c r="AU151" i="2"/>
  <c r="AT151" i="2"/>
  <c r="AS151" i="2"/>
  <c r="AR151" i="2"/>
  <c r="AQ151" i="2"/>
  <c r="AP151" i="2"/>
  <c r="AO151" i="2"/>
  <c r="AN151" i="2"/>
  <c r="AM151" i="2"/>
  <c r="AJ151" i="2"/>
  <c r="AG151" i="2"/>
  <c r="AF151" i="2"/>
  <c r="AB151" i="2"/>
  <c r="W151" i="2"/>
  <c r="U151" i="2"/>
  <c r="T151" i="2"/>
  <c r="S151" i="2"/>
  <c r="R151" i="2"/>
  <c r="K151" i="2"/>
  <c r="A151" i="2"/>
  <c r="AV150" i="2"/>
  <c r="AU150" i="2"/>
  <c r="AT150" i="2"/>
  <c r="AS150" i="2"/>
  <c r="AR150" i="2"/>
  <c r="AQ150" i="2"/>
  <c r="AP150" i="2"/>
  <c r="AO150" i="2"/>
  <c r="AN150" i="2"/>
  <c r="AM150" i="2"/>
  <c r="I150" i="2"/>
  <c r="H150" i="2"/>
  <c r="F150" i="2"/>
  <c r="E150" i="2"/>
  <c r="D150" i="2"/>
  <c r="AV149" i="2"/>
  <c r="AU149" i="2"/>
  <c r="AT149" i="2"/>
  <c r="AS149" i="2"/>
  <c r="AR149" i="2"/>
  <c r="AQ149" i="2"/>
  <c r="AP149" i="2"/>
  <c r="AO149" i="2"/>
  <c r="AN149" i="2"/>
  <c r="AM149" i="2"/>
  <c r="AB149" i="2"/>
  <c r="AA149" i="2"/>
  <c r="Z149" i="2"/>
  <c r="Y149" i="2"/>
  <c r="X149" i="2"/>
  <c r="W149" i="2"/>
  <c r="V149" i="2"/>
  <c r="U149" i="2"/>
  <c r="T149" i="2"/>
  <c r="S149" i="2"/>
  <c r="L149" i="2"/>
  <c r="I149" i="2"/>
  <c r="F149" i="2"/>
  <c r="E149" i="2"/>
  <c r="D149" i="2"/>
  <c r="AV148" i="2"/>
  <c r="AU148" i="2"/>
  <c r="AT148" i="2"/>
  <c r="AS148" i="2"/>
  <c r="AR148" i="2"/>
  <c r="AQ148" i="2"/>
  <c r="AP148" i="2"/>
  <c r="AO148" i="2"/>
  <c r="AN148" i="2"/>
  <c r="AM148" i="2"/>
  <c r="AJ148" i="2"/>
  <c r="AG148" i="2"/>
  <c r="AF148" i="2"/>
  <c r="AE148" i="2"/>
  <c r="AB148" i="2"/>
  <c r="W148" i="2"/>
  <c r="U148" i="2"/>
  <c r="T148" i="2"/>
  <c r="S148" i="2"/>
  <c r="R148" i="2"/>
  <c r="K148" i="2"/>
  <c r="A148" i="2"/>
  <c r="AV147" i="2"/>
  <c r="AU147" i="2"/>
  <c r="AT147" i="2"/>
  <c r="AS147" i="2"/>
  <c r="AR147" i="2"/>
  <c r="AQ147" i="2"/>
  <c r="AP147" i="2"/>
  <c r="AO147" i="2"/>
  <c r="AN147" i="2"/>
  <c r="AM147" i="2"/>
  <c r="I147" i="2"/>
  <c r="H147" i="2"/>
  <c r="F147" i="2"/>
  <c r="E147" i="2"/>
  <c r="D147" i="2"/>
  <c r="AV146" i="2"/>
  <c r="AU146" i="2"/>
  <c r="AT146" i="2"/>
  <c r="AS146" i="2"/>
  <c r="AR146" i="2"/>
  <c r="AQ146" i="2"/>
  <c r="AP146" i="2"/>
  <c r="AO146" i="2"/>
  <c r="AN146" i="2"/>
  <c r="AM146" i="2"/>
  <c r="AB146" i="2"/>
  <c r="AA146" i="2"/>
  <c r="Z146" i="2"/>
  <c r="Y146" i="2"/>
  <c r="X146" i="2"/>
  <c r="W146" i="2"/>
  <c r="V146" i="2"/>
  <c r="U146" i="2"/>
  <c r="T146" i="2"/>
  <c r="S146" i="2"/>
  <c r="L146" i="2"/>
  <c r="I146" i="2"/>
  <c r="H146" i="2"/>
  <c r="F146" i="2"/>
  <c r="E146" i="2"/>
  <c r="D146" i="2"/>
  <c r="AV145" i="2"/>
  <c r="AU145" i="2"/>
  <c r="AT145" i="2"/>
  <c r="AS145" i="2"/>
  <c r="AR145" i="2"/>
  <c r="AQ145" i="2"/>
  <c r="AP145" i="2"/>
  <c r="AO145" i="2"/>
  <c r="AN145" i="2"/>
  <c r="AM145" i="2"/>
  <c r="AJ145" i="2"/>
  <c r="AG145" i="2"/>
  <c r="AF145" i="2"/>
  <c r="AB145" i="2"/>
  <c r="W145" i="2"/>
  <c r="U145" i="2"/>
  <c r="T145" i="2"/>
  <c r="S145" i="2"/>
  <c r="R145" i="2"/>
  <c r="K145" i="2"/>
  <c r="A145" i="2"/>
  <c r="AV144" i="2"/>
  <c r="AU144" i="2"/>
  <c r="AT144" i="2"/>
  <c r="AS144" i="2"/>
  <c r="AR144" i="2"/>
  <c r="AQ144" i="2"/>
  <c r="AP144" i="2"/>
  <c r="AO144" i="2"/>
  <c r="AN144" i="2"/>
  <c r="AM144" i="2"/>
  <c r="I144" i="2"/>
  <c r="H144" i="2"/>
  <c r="F144" i="2"/>
  <c r="E144" i="2"/>
  <c r="D144" i="2"/>
  <c r="AV143" i="2"/>
  <c r="AU143" i="2"/>
  <c r="AT143" i="2"/>
  <c r="AS143" i="2"/>
  <c r="AR143" i="2"/>
  <c r="AQ143" i="2"/>
  <c r="AP143" i="2"/>
  <c r="AO143" i="2"/>
  <c r="AN143" i="2"/>
  <c r="AM143" i="2"/>
  <c r="AB143" i="2"/>
  <c r="AA143" i="2"/>
  <c r="Z143" i="2"/>
  <c r="Y143" i="2"/>
  <c r="X143" i="2"/>
  <c r="W143" i="2"/>
  <c r="V143" i="2"/>
  <c r="U143" i="2"/>
  <c r="T143" i="2"/>
  <c r="S143" i="2"/>
  <c r="L143" i="2"/>
  <c r="I143" i="2"/>
  <c r="H143" i="2"/>
  <c r="F143" i="2"/>
  <c r="E143" i="2"/>
  <c r="D143" i="2"/>
  <c r="AV142" i="2"/>
  <c r="AU142" i="2"/>
  <c r="AT142" i="2"/>
  <c r="AS142" i="2"/>
  <c r="AR142" i="2"/>
  <c r="AQ142" i="2"/>
  <c r="AP142" i="2"/>
  <c r="AO142" i="2"/>
  <c r="AN142" i="2"/>
  <c r="AM142" i="2"/>
  <c r="AJ142" i="2"/>
  <c r="AG142" i="2"/>
  <c r="AF142" i="2"/>
  <c r="AE142" i="2"/>
  <c r="AB142" i="2"/>
  <c r="W142" i="2"/>
  <c r="U142" i="2"/>
  <c r="T142" i="2"/>
  <c r="S142" i="2"/>
  <c r="R142" i="2"/>
  <c r="K142" i="2"/>
  <c r="A142" i="2"/>
  <c r="AV141" i="2"/>
  <c r="AU141" i="2"/>
  <c r="AT141" i="2"/>
  <c r="AS141" i="2"/>
  <c r="AR141" i="2"/>
  <c r="AQ141" i="2"/>
  <c r="AP141" i="2"/>
  <c r="AO141" i="2"/>
  <c r="AN141" i="2"/>
  <c r="AM141" i="2"/>
  <c r="I141" i="2"/>
  <c r="H141" i="2"/>
  <c r="F141" i="2"/>
  <c r="E141" i="2"/>
  <c r="D141" i="2"/>
  <c r="AV140" i="2"/>
  <c r="AU140" i="2"/>
  <c r="AT140" i="2"/>
  <c r="AS140" i="2"/>
  <c r="AR140" i="2"/>
  <c r="AQ140" i="2"/>
  <c r="AP140" i="2"/>
  <c r="AO140" i="2"/>
  <c r="AN140" i="2"/>
  <c r="AM140" i="2"/>
  <c r="AB140" i="2"/>
  <c r="AA140" i="2"/>
  <c r="Z140" i="2"/>
  <c r="Y140" i="2"/>
  <c r="X140" i="2"/>
  <c r="W140" i="2"/>
  <c r="V140" i="2"/>
  <c r="U140" i="2"/>
  <c r="T140" i="2"/>
  <c r="S140" i="2"/>
  <c r="L140" i="2"/>
  <c r="I140" i="2"/>
  <c r="H140" i="2"/>
  <c r="F140" i="2"/>
  <c r="E140" i="2"/>
  <c r="D140" i="2"/>
  <c r="AV139" i="2"/>
  <c r="AU139" i="2"/>
  <c r="AT139" i="2"/>
  <c r="AS139" i="2"/>
  <c r="AR139" i="2"/>
  <c r="AQ139" i="2"/>
  <c r="AP139" i="2"/>
  <c r="AO139" i="2"/>
  <c r="AN139" i="2"/>
  <c r="AM139" i="2"/>
  <c r="AJ139" i="2"/>
  <c r="AG139" i="2"/>
  <c r="AF139" i="2"/>
  <c r="AB139" i="2"/>
  <c r="W139" i="2"/>
  <c r="U139" i="2"/>
  <c r="T139" i="2"/>
  <c r="S139" i="2"/>
  <c r="R139" i="2"/>
  <c r="K139" i="2"/>
  <c r="A139" i="2"/>
  <c r="AV138" i="2"/>
  <c r="AU138" i="2"/>
  <c r="AT138" i="2"/>
  <c r="AS138" i="2"/>
  <c r="AR138" i="2"/>
  <c r="AQ138" i="2"/>
  <c r="AP138" i="2"/>
  <c r="AO138" i="2"/>
  <c r="AN138" i="2"/>
  <c r="AM138" i="2"/>
  <c r="I138" i="2"/>
  <c r="H138" i="2"/>
  <c r="F138" i="2"/>
  <c r="E138" i="2"/>
  <c r="D138" i="2"/>
  <c r="AV137" i="2"/>
  <c r="AU137" i="2"/>
  <c r="AT137" i="2"/>
  <c r="AS137" i="2"/>
  <c r="AR137" i="2"/>
  <c r="AQ137" i="2"/>
  <c r="AP137" i="2"/>
  <c r="AO137" i="2"/>
  <c r="AN137" i="2"/>
  <c r="AM137" i="2"/>
  <c r="AB137" i="2"/>
  <c r="AA137" i="2"/>
  <c r="Z137" i="2"/>
  <c r="Y137" i="2"/>
  <c r="X137" i="2"/>
  <c r="W137" i="2"/>
  <c r="V137" i="2"/>
  <c r="U137" i="2"/>
  <c r="T137" i="2"/>
  <c r="S137" i="2"/>
  <c r="L137" i="2"/>
  <c r="I137" i="2"/>
  <c r="H137" i="2"/>
  <c r="F137" i="2"/>
  <c r="E137" i="2"/>
  <c r="D137" i="2"/>
  <c r="AV136" i="2"/>
  <c r="AU136" i="2"/>
  <c r="AT136" i="2"/>
  <c r="AS136" i="2"/>
  <c r="AR136" i="2"/>
  <c r="AQ136" i="2"/>
  <c r="AP136" i="2"/>
  <c r="AO136" i="2"/>
  <c r="AN136" i="2"/>
  <c r="AM136" i="2"/>
  <c r="AJ136" i="2"/>
  <c r="AG136" i="2"/>
  <c r="AF136" i="2"/>
  <c r="AB136" i="2"/>
  <c r="W136" i="2"/>
  <c r="U136" i="2"/>
  <c r="T136" i="2"/>
  <c r="S136" i="2"/>
  <c r="R136" i="2"/>
  <c r="K136" i="2"/>
  <c r="A136" i="2"/>
  <c r="AV135" i="2"/>
  <c r="AU135" i="2"/>
  <c r="AT135" i="2"/>
  <c r="AS135" i="2"/>
  <c r="AR135" i="2"/>
  <c r="AQ135" i="2"/>
  <c r="AP135" i="2"/>
  <c r="AO135" i="2"/>
  <c r="AN135" i="2"/>
  <c r="AM135" i="2"/>
  <c r="I135" i="2"/>
  <c r="H135" i="2"/>
  <c r="F135" i="2"/>
  <c r="E135" i="2"/>
  <c r="D135" i="2"/>
  <c r="AV134" i="2"/>
  <c r="AU134" i="2"/>
  <c r="AT134" i="2"/>
  <c r="AS134" i="2"/>
  <c r="AR134" i="2"/>
  <c r="AQ134" i="2"/>
  <c r="AP134" i="2"/>
  <c r="AO134" i="2"/>
  <c r="AN134" i="2"/>
  <c r="AM134" i="2"/>
  <c r="AB134" i="2"/>
  <c r="AA134" i="2"/>
  <c r="Z134" i="2"/>
  <c r="Y134" i="2"/>
  <c r="X134" i="2"/>
  <c r="W134" i="2"/>
  <c r="V134" i="2"/>
  <c r="U134" i="2"/>
  <c r="T134" i="2"/>
  <c r="S134" i="2"/>
  <c r="L134" i="2"/>
  <c r="I134" i="2"/>
  <c r="H134" i="2"/>
  <c r="F134" i="2"/>
  <c r="E134" i="2"/>
  <c r="D134" i="2"/>
  <c r="AV133" i="2"/>
  <c r="AU133" i="2"/>
  <c r="AT133" i="2"/>
  <c r="AS133" i="2"/>
  <c r="AR133" i="2"/>
  <c r="AQ133" i="2"/>
  <c r="AP133" i="2"/>
  <c r="AO133" i="2"/>
  <c r="AN133" i="2"/>
  <c r="AM133" i="2"/>
  <c r="AJ133" i="2"/>
  <c r="AG133" i="2"/>
  <c r="AF133" i="2"/>
  <c r="AE133" i="2"/>
  <c r="AB133" i="2"/>
  <c r="W133" i="2"/>
  <c r="U133" i="2"/>
  <c r="T133" i="2"/>
  <c r="S133" i="2"/>
  <c r="R133" i="2"/>
  <c r="K133" i="2"/>
  <c r="A133" i="2"/>
  <c r="AV132" i="2"/>
  <c r="AU132" i="2"/>
  <c r="AT132" i="2"/>
  <c r="AS132" i="2"/>
  <c r="AR132" i="2"/>
  <c r="AQ132" i="2"/>
  <c r="AP132" i="2"/>
  <c r="AO132" i="2"/>
  <c r="AN132" i="2"/>
  <c r="AM132" i="2"/>
  <c r="I132" i="2"/>
  <c r="H132" i="2"/>
  <c r="F132" i="2"/>
  <c r="E132" i="2"/>
  <c r="D132" i="2"/>
  <c r="AV131" i="2"/>
  <c r="AU131" i="2"/>
  <c r="AT131" i="2"/>
  <c r="AS131" i="2"/>
  <c r="AR131" i="2"/>
  <c r="AQ131" i="2"/>
  <c r="AP131" i="2"/>
  <c r="AO131" i="2"/>
  <c r="AN131" i="2"/>
  <c r="AM131" i="2"/>
  <c r="AB131" i="2"/>
  <c r="AA131" i="2"/>
  <c r="Z131" i="2"/>
  <c r="Y131" i="2"/>
  <c r="X131" i="2"/>
  <c r="W131" i="2"/>
  <c r="V131" i="2"/>
  <c r="U131" i="2"/>
  <c r="T131" i="2"/>
  <c r="S131" i="2"/>
  <c r="L131" i="2"/>
  <c r="I131" i="2"/>
  <c r="H131" i="2"/>
  <c r="F131" i="2"/>
  <c r="E131" i="2"/>
  <c r="D131" i="2"/>
  <c r="AV130" i="2"/>
  <c r="AU130" i="2"/>
  <c r="AT130" i="2"/>
  <c r="AS130" i="2"/>
  <c r="AR130" i="2"/>
  <c r="AQ130" i="2"/>
  <c r="AP130" i="2"/>
  <c r="AO130" i="2"/>
  <c r="AN130" i="2"/>
  <c r="AM130" i="2"/>
  <c r="AJ130" i="2"/>
  <c r="AG130" i="2"/>
  <c r="AF130" i="2"/>
  <c r="AE130" i="2"/>
  <c r="AB130" i="2"/>
  <c r="W130" i="2"/>
  <c r="U130" i="2"/>
  <c r="T130" i="2"/>
  <c r="S130" i="2"/>
  <c r="R130" i="2"/>
  <c r="K130" i="2"/>
  <c r="A130" i="2"/>
  <c r="AV129" i="2"/>
  <c r="AU129" i="2"/>
  <c r="AT129" i="2"/>
  <c r="AS129" i="2"/>
  <c r="AR129" i="2"/>
  <c r="AQ129" i="2"/>
  <c r="AP129" i="2"/>
  <c r="AO129" i="2"/>
  <c r="AN129" i="2"/>
  <c r="AM129" i="2"/>
  <c r="I129" i="2"/>
  <c r="H129" i="2"/>
  <c r="F129" i="2"/>
  <c r="E129" i="2"/>
  <c r="D129" i="2"/>
  <c r="AV128" i="2"/>
  <c r="AU128" i="2"/>
  <c r="AT128" i="2"/>
  <c r="AS128" i="2"/>
  <c r="AR128" i="2"/>
  <c r="AQ128" i="2"/>
  <c r="AP128" i="2"/>
  <c r="AO128" i="2"/>
  <c r="AN128" i="2"/>
  <c r="AM128" i="2"/>
  <c r="AB128" i="2"/>
  <c r="AA128" i="2"/>
  <c r="Z128" i="2"/>
  <c r="Y128" i="2"/>
  <c r="X128" i="2"/>
  <c r="W128" i="2"/>
  <c r="V128" i="2"/>
  <c r="U128" i="2"/>
  <c r="T128" i="2"/>
  <c r="S128" i="2"/>
  <c r="L128" i="2"/>
  <c r="I128" i="2"/>
  <c r="H128" i="2"/>
  <c r="F128" i="2"/>
  <c r="E128" i="2"/>
  <c r="D128" i="2"/>
  <c r="AV127" i="2"/>
  <c r="AU127" i="2"/>
  <c r="AT127" i="2"/>
  <c r="AS127" i="2"/>
  <c r="AR127" i="2"/>
  <c r="AQ127" i="2"/>
  <c r="AP127" i="2"/>
  <c r="AO127" i="2"/>
  <c r="AN127" i="2"/>
  <c r="AM127" i="2"/>
  <c r="AJ127" i="2"/>
  <c r="AG127" i="2"/>
  <c r="AF127" i="2"/>
  <c r="AE127" i="2"/>
  <c r="AB127" i="2"/>
  <c r="W127" i="2"/>
  <c r="U127" i="2"/>
  <c r="T127" i="2"/>
  <c r="S127" i="2"/>
  <c r="R127" i="2"/>
  <c r="K127" i="2"/>
  <c r="A127" i="2"/>
  <c r="AV126" i="2"/>
  <c r="AU126" i="2"/>
  <c r="AT126" i="2"/>
  <c r="AS126" i="2"/>
  <c r="AR126" i="2"/>
  <c r="AQ126" i="2"/>
  <c r="AP126" i="2"/>
  <c r="AO126" i="2"/>
  <c r="AN126" i="2"/>
  <c r="AM126" i="2"/>
  <c r="I126" i="2"/>
  <c r="H126" i="2"/>
  <c r="F126" i="2"/>
  <c r="E126" i="2"/>
  <c r="D126" i="2"/>
  <c r="AV125" i="2"/>
  <c r="AU125" i="2"/>
  <c r="AT125" i="2"/>
  <c r="AS125" i="2"/>
  <c r="AR125" i="2"/>
  <c r="AQ125" i="2"/>
  <c r="AP125" i="2"/>
  <c r="AO125" i="2"/>
  <c r="AN125" i="2"/>
  <c r="AM125" i="2"/>
  <c r="AB125" i="2"/>
  <c r="AA125" i="2"/>
  <c r="Z125" i="2"/>
  <c r="Y125" i="2"/>
  <c r="X125" i="2"/>
  <c r="W125" i="2"/>
  <c r="V125" i="2"/>
  <c r="U125" i="2"/>
  <c r="T125" i="2"/>
  <c r="S125" i="2"/>
  <c r="L125" i="2"/>
  <c r="I125" i="2"/>
  <c r="H125" i="2"/>
  <c r="F125" i="2"/>
  <c r="E125" i="2"/>
  <c r="D125" i="2"/>
  <c r="AV124" i="2"/>
  <c r="AU124" i="2"/>
  <c r="AT124" i="2"/>
  <c r="AS124" i="2"/>
  <c r="AR124" i="2"/>
  <c r="AQ124" i="2"/>
  <c r="AP124" i="2"/>
  <c r="AO124" i="2"/>
  <c r="AN124" i="2"/>
  <c r="AM124" i="2"/>
  <c r="AJ124" i="2"/>
  <c r="AG124" i="2"/>
  <c r="AF124" i="2"/>
  <c r="AE124" i="2"/>
  <c r="AB124" i="2"/>
  <c r="W124" i="2"/>
  <c r="U124" i="2"/>
  <c r="T124" i="2"/>
  <c r="S124" i="2"/>
  <c r="R124" i="2"/>
  <c r="K124" i="2"/>
  <c r="A124" i="2"/>
  <c r="AV123" i="2"/>
  <c r="AU123" i="2"/>
  <c r="AT123" i="2"/>
  <c r="AS123" i="2"/>
  <c r="AR123" i="2"/>
  <c r="AQ123" i="2"/>
  <c r="AP123" i="2"/>
  <c r="AO123" i="2"/>
  <c r="AN123" i="2"/>
  <c r="AM123" i="2"/>
  <c r="I123" i="2"/>
  <c r="H123" i="2"/>
  <c r="F123" i="2"/>
  <c r="E123" i="2"/>
  <c r="D123" i="2"/>
  <c r="AV122" i="2"/>
  <c r="AU122" i="2"/>
  <c r="AT122" i="2"/>
  <c r="AS122" i="2"/>
  <c r="AR122" i="2"/>
  <c r="AQ122" i="2"/>
  <c r="AP122" i="2"/>
  <c r="AO122" i="2"/>
  <c r="AN122" i="2"/>
  <c r="AM122" i="2"/>
  <c r="AB122" i="2"/>
  <c r="AA122" i="2"/>
  <c r="Z122" i="2"/>
  <c r="Y122" i="2"/>
  <c r="X122" i="2"/>
  <c r="W122" i="2"/>
  <c r="V122" i="2"/>
  <c r="U122" i="2"/>
  <c r="T122" i="2"/>
  <c r="S122" i="2"/>
  <c r="L122" i="2"/>
  <c r="I122" i="2"/>
  <c r="H122" i="2"/>
  <c r="F122" i="2"/>
  <c r="E122" i="2"/>
  <c r="D122" i="2"/>
  <c r="AV121" i="2"/>
  <c r="AU121" i="2"/>
  <c r="AT121" i="2"/>
  <c r="AS121" i="2"/>
  <c r="AR121" i="2"/>
  <c r="AQ121" i="2"/>
  <c r="AP121" i="2"/>
  <c r="AO121" i="2"/>
  <c r="AN121" i="2"/>
  <c r="AM121" i="2"/>
  <c r="AJ121" i="2"/>
  <c r="AG121" i="2"/>
  <c r="AF121" i="2"/>
  <c r="AB121" i="2"/>
  <c r="W121" i="2"/>
  <c r="U121" i="2"/>
  <c r="T121" i="2"/>
  <c r="S121" i="2"/>
  <c r="R121" i="2"/>
  <c r="K121" i="2"/>
  <c r="A121" i="2"/>
  <c r="AV120" i="2"/>
  <c r="AU120" i="2"/>
  <c r="AT120" i="2"/>
  <c r="AS120" i="2"/>
  <c r="AR120" i="2"/>
  <c r="AQ120" i="2"/>
  <c r="AP120" i="2"/>
  <c r="AO120" i="2"/>
  <c r="AN120" i="2"/>
  <c r="AM120" i="2"/>
  <c r="I120" i="2"/>
  <c r="H120" i="2"/>
  <c r="F120" i="2"/>
  <c r="E120" i="2"/>
  <c r="D120" i="2"/>
  <c r="AV119" i="2"/>
  <c r="AU119" i="2"/>
  <c r="AT119" i="2"/>
  <c r="AS119" i="2"/>
  <c r="AR119" i="2"/>
  <c r="AQ119" i="2"/>
  <c r="AP119" i="2"/>
  <c r="AO119" i="2"/>
  <c r="AN119" i="2"/>
  <c r="AM119" i="2"/>
  <c r="AB119" i="2"/>
  <c r="AA119" i="2"/>
  <c r="Z119" i="2"/>
  <c r="Y119" i="2"/>
  <c r="X119" i="2"/>
  <c r="W119" i="2"/>
  <c r="V119" i="2"/>
  <c r="U119" i="2"/>
  <c r="T119" i="2"/>
  <c r="S119" i="2"/>
  <c r="L119" i="2"/>
  <c r="I119" i="2"/>
  <c r="H119" i="2"/>
  <c r="F119" i="2"/>
  <c r="E119" i="2"/>
  <c r="D119" i="2"/>
  <c r="AV118" i="2"/>
  <c r="AU118" i="2"/>
  <c r="AT118" i="2"/>
  <c r="AS118" i="2"/>
  <c r="AR118" i="2"/>
  <c r="AQ118" i="2"/>
  <c r="AP118" i="2"/>
  <c r="AO118" i="2"/>
  <c r="AN118" i="2"/>
  <c r="AM118" i="2"/>
  <c r="AJ118" i="2"/>
  <c r="AG118" i="2"/>
  <c r="AF118" i="2"/>
  <c r="AE118" i="2"/>
  <c r="AB118" i="2"/>
  <c r="W118" i="2"/>
  <c r="U118" i="2"/>
  <c r="T118" i="2"/>
  <c r="S118" i="2"/>
  <c r="R118" i="2"/>
  <c r="K118" i="2"/>
  <c r="A118" i="2"/>
  <c r="AV117" i="2"/>
  <c r="AU117" i="2"/>
  <c r="AT117" i="2"/>
  <c r="AS117" i="2"/>
  <c r="AR117" i="2"/>
  <c r="AQ117" i="2"/>
  <c r="AP117" i="2"/>
  <c r="AO117" i="2"/>
  <c r="AN117" i="2"/>
  <c r="AM117" i="2"/>
  <c r="I117" i="2"/>
  <c r="H117" i="2"/>
  <c r="F117" i="2"/>
  <c r="E117" i="2"/>
  <c r="D117" i="2"/>
  <c r="AV116" i="2"/>
  <c r="AU116" i="2"/>
  <c r="AT116" i="2"/>
  <c r="AS116" i="2"/>
  <c r="AR116" i="2"/>
  <c r="AQ116" i="2"/>
  <c r="AP116" i="2"/>
  <c r="AO116" i="2"/>
  <c r="AN116" i="2"/>
  <c r="AM116" i="2"/>
  <c r="AB116" i="2"/>
  <c r="AA116" i="2"/>
  <c r="Z116" i="2"/>
  <c r="Y116" i="2"/>
  <c r="X116" i="2"/>
  <c r="W116" i="2"/>
  <c r="V116" i="2"/>
  <c r="U116" i="2"/>
  <c r="T116" i="2"/>
  <c r="S116" i="2"/>
  <c r="L116" i="2"/>
  <c r="I116" i="2"/>
  <c r="H116" i="2"/>
  <c r="F116" i="2"/>
  <c r="E116" i="2"/>
  <c r="D116" i="2"/>
  <c r="AV115" i="2"/>
  <c r="AU115" i="2"/>
  <c r="AT115" i="2"/>
  <c r="AS115" i="2"/>
  <c r="AR115" i="2"/>
  <c r="AQ115" i="2"/>
  <c r="AP115" i="2"/>
  <c r="AO115" i="2"/>
  <c r="AN115" i="2"/>
  <c r="AM115" i="2"/>
  <c r="AJ115" i="2"/>
  <c r="AG115" i="2"/>
  <c r="AF115" i="2"/>
  <c r="AB115" i="2"/>
  <c r="W115" i="2"/>
  <c r="U115" i="2"/>
  <c r="T115" i="2"/>
  <c r="S115" i="2"/>
  <c r="R115" i="2"/>
  <c r="K115" i="2"/>
  <c r="A115" i="2"/>
  <c r="AV114" i="2"/>
  <c r="AU114" i="2"/>
  <c r="AT114" i="2"/>
  <c r="AS114" i="2"/>
  <c r="AR114" i="2"/>
  <c r="AQ114" i="2"/>
  <c r="AP114" i="2"/>
  <c r="AO114" i="2"/>
  <c r="AN114" i="2"/>
  <c r="AM114" i="2"/>
  <c r="I114" i="2"/>
  <c r="H114" i="2"/>
  <c r="F114" i="2"/>
  <c r="E114" i="2"/>
  <c r="D114" i="2"/>
  <c r="AV113" i="2"/>
  <c r="AU113" i="2"/>
  <c r="AT113" i="2"/>
  <c r="AS113" i="2"/>
  <c r="AR113" i="2"/>
  <c r="AQ113" i="2"/>
  <c r="AP113" i="2"/>
  <c r="AO113" i="2"/>
  <c r="AN113" i="2"/>
  <c r="AM113" i="2"/>
  <c r="AB113" i="2"/>
  <c r="AA113" i="2"/>
  <c r="Z113" i="2"/>
  <c r="Y113" i="2"/>
  <c r="X113" i="2"/>
  <c r="W113" i="2"/>
  <c r="V113" i="2"/>
  <c r="U113" i="2"/>
  <c r="T113" i="2"/>
  <c r="S113" i="2"/>
  <c r="L113" i="2"/>
  <c r="I113" i="2"/>
  <c r="H113" i="2"/>
  <c r="F113" i="2"/>
  <c r="E113" i="2"/>
  <c r="D113" i="2"/>
  <c r="AV112" i="2"/>
  <c r="AU112" i="2"/>
  <c r="AT112" i="2"/>
  <c r="AS112" i="2"/>
  <c r="AR112" i="2"/>
  <c r="AQ112" i="2"/>
  <c r="AP112" i="2"/>
  <c r="AO112" i="2"/>
  <c r="AN112" i="2"/>
  <c r="AM112" i="2"/>
  <c r="AJ112" i="2"/>
  <c r="AG112" i="2"/>
  <c r="AF112" i="2"/>
  <c r="AE112" i="2"/>
  <c r="AB112" i="2"/>
  <c r="W112" i="2"/>
  <c r="U112" i="2"/>
  <c r="T112" i="2"/>
  <c r="S112" i="2"/>
  <c r="R112" i="2"/>
  <c r="K112" i="2"/>
  <c r="A112" i="2"/>
  <c r="AV111" i="2"/>
  <c r="AU111" i="2"/>
  <c r="AT111" i="2"/>
  <c r="AS111" i="2"/>
  <c r="AR111" i="2"/>
  <c r="AQ111" i="2"/>
  <c r="AP111" i="2"/>
  <c r="AO111" i="2"/>
  <c r="AN111" i="2"/>
  <c r="AM111" i="2"/>
  <c r="I111" i="2"/>
  <c r="H111" i="2"/>
  <c r="F111" i="2"/>
  <c r="E111" i="2"/>
  <c r="D111" i="2"/>
  <c r="AV110" i="2"/>
  <c r="AU110" i="2"/>
  <c r="AT110" i="2"/>
  <c r="AS110" i="2"/>
  <c r="AR110" i="2"/>
  <c r="AQ110" i="2"/>
  <c r="AP110" i="2"/>
  <c r="AO110" i="2"/>
  <c r="AN110" i="2"/>
  <c r="AM110" i="2"/>
  <c r="AB110" i="2"/>
  <c r="AA110" i="2"/>
  <c r="Z110" i="2"/>
  <c r="Y110" i="2"/>
  <c r="X110" i="2"/>
  <c r="W110" i="2"/>
  <c r="V110" i="2"/>
  <c r="U110" i="2"/>
  <c r="T110" i="2"/>
  <c r="S110" i="2"/>
  <c r="L110" i="2"/>
  <c r="I110" i="2"/>
  <c r="H110" i="2"/>
  <c r="F110" i="2"/>
  <c r="E110" i="2"/>
  <c r="D110" i="2"/>
  <c r="AV109" i="2"/>
  <c r="AU109" i="2"/>
  <c r="AT109" i="2"/>
  <c r="AS109" i="2"/>
  <c r="AR109" i="2"/>
  <c r="AQ109" i="2"/>
  <c r="AP109" i="2"/>
  <c r="AO109" i="2"/>
  <c r="AN109" i="2"/>
  <c r="AM109" i="2"/>
  <c r="AJ109" i="2"/>
  <c r="AG109" i="2"/>
  <c r="AF109" i="2"/>
  <c r="AE109" i="2"/>
  <c r="AB109" i="2"/>
  <c r="W109" i="2"/>
  <c r="U109" i="2"/>
  <c r="T109" i="2"/>
  <c r="S109" i="2"/>
  <c r="R109" i="2"/>
  <c r="K109" i="2"/>
  <c r="A109" i="2"/>
  <c r="AV108" i="2"/>
  <c r="AU108" i="2"/>
  <c r="AT108" i="2"/>
  <c r="AS108" i="2"/>
  <c r="AR108" i="2"/>
  <c r="AQ108" i="2"/>
  <c r="AP108" i="2"/>
  <c r="AO108" i="2"/>
  <c r="AN108" i="2"/>
  <c r="AM108" i="2"/>
  <c r="I108" i="2"/>
  <c r="H108" i="2"/>
  <c r="F108" i="2"/>
  <c r="E108" i="2"/>
  <c r="D108" i="2"/>
  <c r="AV107" i="2"/>
  <c r="AU107" i="2"/>
  <c r="AT107" i="2"/>
  <c r="AS107" i="2"/>
  <c r="AR107" i="2"/>
  <c r="AQ107" i="2"/>
  <c r="AP107" i="2"/>
  <c r="AO107" i="2"/>
  <c r="AN107" i="2"/>
  <c r="AM107" i="2"/>
  <c r="AB107" i="2"/>
  <c r="AA107" i="2"/>
  <c r="Z107" i="2"/>
  <c r="Y107" i="2"/>
  <c r="X107" i="2"/>
  <c r="W107" i="2"/>
  <c r="V107" i="2"/>
  <c r="U107" i="2"/>
  <c r="T107" i="2"/>
  <c r="S107" i="2"/>
  <c r="L107" i="2"/>
  <c r="I107" i="2"/>
  <c r="H107" i="2"/>
  <c r="F107" i="2"/>
  <c r="E107" i="2"/>
  <c r="D107" i="2"/>
  <c r="AV106" i="2"/>
  <c r="AU106" i="2"/>
  <c r="AT106" i="2"/>
  <c r="AS106" i="2"/>
  <c r="AR106" i="2"/>
  <c r="AQ106" i="2"/>
  <c r="AP106" i="2"/>
  <c r="AO106" i="2"/>
  <c r="AN106" i="2"/>
  <c r="AM106" i="2"/>
  <c r="AJ106" i="2"/>
  <c r="AG106" i="2"/>
  <c r="AF106" i="2"/>
  <c r="AE106" i="2"/>
  <c r="AB106" i="2"/>
  <c r="W106" i="2"/>
  <c r="U106" i="2"/>
  <c r="T106" i="2"/>
  <c r="S106" i="2"/>
  <c r="R106" i="2"/>
  <c r="K106" i="2"/>
  <c r="A106" i="2"/>
  <c r="AV105" i="2"/>
  <c r="AU105" i="2"/>
  <c r="AT105" i="2"/>
  <c r="AS105" i="2"/>
  <c r="AR105" i="2"/>
  <c r="AQ105" i="2"/>
  <c r="AP105" i="2"/>
  <c r="AO105" i="2"/>
  <c r="AN105" i="2"/>
  <c r="AM105" i="2"/>
  <c r="I105" i="2"/>
  <c r="H105" i="2"/>
  <c r="F105" i="2"/>
  <c r="E105" i="2"/>
  <c r="D105" i="2"/>
  <c r="AV104" i="2"/>
  <c r="AU104" i="2"/>
  <c r="AT104" i="2"/>
  <c r="AS104" i="2"/>
  <c r="AR104" i="2"/>
  <c r="AQ104" i="2"/>
  <c r="AP104" i="2"/>
  <c r="AO104" i="2"/>
  <c r="AN104" i="2"/>
  <c r="AM104" i="2"/>
  <c r="AB104" i="2"/>
  <c r="AA104" i="2"/>
  <c r="Z104" i="2"/>
  <c r="Y104" i="2"/>
  <c r="X104" i="2"/>
  <c r="W104" i="2"/>
  <c r="V104" i="2"/>
  <c r="U104" i="2"/>
  <c r="T104" i="2"/>
  <c r="S104" i="2"/>
  <c r="L104" i="2"/>
  <c r="I104" i="2"/>
  <c r="H104" i="2"/>
  <c r="F104" i="2"/>
  <c r="E104" i="2"/>
  <c r="D104" i="2"/>
  <c r="AV103" i="2"/>
  <c r="AU103" i="2"/>
  <c r="AT103" i="2"/>
  <c r="AS103" i="2"/>
  <c r="AR103" i="2"/>
  <c r="AQ103" i="2"/>
  <c r="AP103" i="2"/>
  <c r="AO103" i="2"/>
  <c r="AN103" i="2"/>
  <c r="AM103" i="2"/>
  <c r="AJ103" i="2"/>
  <c r="AG103" i="2"/>
  <c r="AF103" i="2"/>
  <c r="AE103" i="2"/>
  <c r="AB103" i="2"/>
  <c r="W103" i="2"/>
  <c r="U103" i="2"/>
  <c r="T103" i="2"/>
  <c r="S103" i="2"/>
  <c r="R103" i="2"/>
  <c r="K103" i="2"/>
  <c r="A103" i="2"/>
  <c r="AV102" i="2"/>
  <c r="AU102" i="2"/>
  <c r="AT102" i="2"/>
  <c r="AS102" i="2"/>
  <c r="AR102" i="2"/>
  <c r="AQ102" i="2"/>
  <c r="AP102" i="2"/>
  <c r="AO102" i="2"/>
  <c r="AN102" i="2"/>
  <c r="AM102" i="2"/>
  <c r="I102" i="2"/>
  <c r="H102" i="2"/>
  <c r="F102" i="2"/>
  <c r="E102" i="2"/>
  <c r="D102" i="2"/>
  <c r="AV101" i="2"/>
  <c r="AU101" i="2"/>
  <c r="AT101" i="2"/>
  <c r="AS101" i="2"/>
  <c r="AR101" i="2"/>
  <c r="AQ101" i="2"/>
  <c r="AP101" i="2"/>
  <c r="AO101" i="2"/>
  <c r="AN101" i="2"/>
  <c r="AM101" i="2"/>
  <c r="AB101" i="2"/>
  <c r="AA101" i="2"/>
  <c r="Z101" i="2"/>
  <c r="Y101" i="2"/>
  <c r="X101" i="2"/>
  <c r="W101" i="2"/>
  <c r="V101" i="2"/>
  <c r="U101" i="2"/>
  <c r="T101" i="2"/>
  <c r="S101" i="2"/>
  <c r="L101" i="2"/>
  <c r="I101" i="2"/>
  <c r="H101" i="2"/>
  <c r="F101" i="2"/>
  <c r="E101" i="2"/>
  <c r="D101" i="2"/>
  <c r="AV100" i="2"/>
  <c r="AU100" i="2"/>
  <c r="AT100" i="2"/>
  <c r="AS100" i="2"/>
  <c r="AR100" i="2"/>
  <c r="AQ100" i="2"/>
  <c r="AP100" i="2"/>
  <c r="AO100" i="2"/>
  <c r="AN100" i="2"/>
  <c r="AM100" i="2"/>
  <c r="AJ100" i="2"/>
  <c r="AG100" i="2"/>
  <c r="AF100" i="2"/>
  <c r="AE100" i="2"/>
  <c r="AB100" i="2"/>
  <c r="W100" i="2"/>
  <c r="U100" i="2"/>
  <c r="T100" i="2"/>
  <c r="S100" i="2"/>
  <c r="R100" i="2"/>
  <c r="K100" i="2"/>
  <c r="A100" i="2"/>
  <c r="AV99" i="2"/>
  <c r="AU99" i="2"/>
  <c r="AT99" i="2"/>
  <c r="AS99" i="2"/>
  <c r="AR99" i="2"/>
  <c r="AQ99" i="2"/>
  <c r="AP99" i="2"/>
  <c r="AO99" i="2"/>
  <c r="AN99" i="2"/>
  <c r="AM99" i="2"/>
  <c r="I99" i="2"/>
  <c r="H99" i="2"/>
  <c r="F99" i="2"/>
  <c r="E99" i="2"/>
  <c r="D99" i="2"/>
  <c r="AV98" i="2"/>
  <c r="AU98" i="2"/>
  <c r="AT98" i="2"/>
  <c r="AS98" i="2"/>
  <c r="AR98" i="2"/>
  <c r="AQ98" i="2"/>
  <c r="AP98" i="2"/>
  <c r="AO98" i="2"/>
  <c r="AN98" i="2"/>
  <c r="AM98" i="2"/>
  <c r="AB98" i="2"/>
  <c r="AA98" i="2"/>
  <c r="Z98" i="2"/>
  <c r="Y98" i="2"/>
  <c r="X98" i="2"/>
  <c r="W98" i="2"/>
  <c r="V98" i="2"/>
  <c r="U98" i="2"/>
  <c r="T98" i="2"/>
  <c r="S98" i="2"/>
  <c r="L98" i="2"/>
  <c r="I98" i="2"/>
  <c r="H98" i="2"/>
  <c r="F98" i="2"/>
  <c r="E98" i="2"/>
  <c r="D98" i="2"/>
  <c r="AV97" i="2"/>
  <c r="AU97" i="2"/>
  <c r="AT97" i="2"/>
  <c r="AS97" i="2"/>
  <c r="AR97" i="2"/>
  <c r="AQ97" i="2"/>
  <c r="AP97" i="2"/>
  <c r="AO97" i="2"/>
  <c r="AN97" i="2"/>
  <c r="AM97" i="2"/>
  <c r="AJ97" i="2"/>
  <c r="AG97" i="2"/>
  <c r="AF97" i="2"/>
  <c r="AE97" i="2"/>
  <c r="AB97" i="2"/>
  <c r="W97" i="2"/>
  <c r="U97" i="2"/>
  <c r="T97" i="2"/>
  <c r="S97" i="2"/>
  <c r="R97" i="2"/>
  <c r="K97" i="2"/>
  <c r="A97" i="2"/>
  <c r="AV96" i="2"/>
  <c r="AU96" i="2"/>
  <c r="AT96" i="2"/>
  <c r="AS96" i="2"/>
  <c r="AR96" i="2"/>
  <c r="AQ96" i="2"/>
  <c r="AP96" i="2"/>
  <c r="AO96" i="2"/>
  <c r="AN96" i="2"/>
  <c r="AM96" i="2"/>
  <c r="I96" i="2"/>
  <c r="H96" i="2"/>
  <c r="F96" i="2"/>
  <c r="E96" i="2"/>
  <c r="D96" i="2"/>
  <c r="AV95" i="2"/>
  <c r="AU95" i="2"/>
  <c r="AT95" i="2"/>
  <c r="AS95" i="2"/>
  <c r="AR95" i="2"/>
  <c r="AQ95" i="2"/>
  <c r="AP95" i="2"/>
  <c r="AO95" i="2"/>
  <c r="AN95" i="2"/>
  <c r="AM95" i="2"/>
  <c r="AB95" i="2"/>
  <c r="AA95" i="2"/>
  <c r="Z95" i="2"/>
  <c r="Y95" i="2"/>
  <c r="X95" i="2"/>
  <c r="W95" i="2"/>
  <c r="V95" i="2"/>
  <c r="U95" i="2"/>
  <c r="T95" i="2"/>
  <c r="S95" i="2"/>
  <c r="L95" i="2"/>
  <c r="I95" i="2"/>
  <c r="H95" i="2"/>
  <c r="F95" i="2"/>
  <c r="E95" i="2"/>
  <c r="D95" i="2"/>
  <c r="AV94" i="2"/>
  <c r="AU94" i="2"/>
  <c r="AT94" i="2"/>
  <c r="AS94" i="2"/>
  <c r="AR94" i="2"/>
  <c r="AQ94" i="2"/>
  <c r="AP94" i="2"/>
  <c r="AO94" i="2"/>
  <c r="AN94" i="2"/>
  <c r="AM94" i="2"/>
  <c r="AJ94" i="2"/>
  <c r="AG94" i="2"/>
  <c r="AF94" i="2"/>
  <c r="AE94" i="2"/>
  <c r="AB94" i="2"/>
  <c r="W94" i="2"/>
  <c r="U94" i="2"/>
  <c r="T94" i="2"/>
  <c r="S94" i="2"/>
  <c r="R94" i="2"/>
  <c r="K94" i="2"/>
  <c r="A94" i="2"/>
  <c r="AV93" i="2"/>
  <c r="AU93" i="2"/>
  <c r="AT93" i="2"/>
  <c r="AS93" i="2"/>
  <c r="AR93" i="2"/>
  <c r="AQ93" i="2"/>
  <c r="AP93" i="2"/>
  <c r="AO93" i="2"/>
  <c r="AN93" i="2"/>
  <c r="AM93" i="2"/>
  <c r="I93" i="2"/>
  <c r="H93" i="2"/>
  <c r="F93" i="2"/>
  <c r="E93" i="2"/>
  <c r="D93" i="2"/>
  <c r="AV92" i="2"/>
  <c r="AU92" i="2"/>
  <c r="AT92" i="2"/>
  <c r="AS92" i="2"/>
  <c r="AR92" i="2"/>
  <c r="AQ92" i="2"/>
  <c r="AP92" i="2"/>
  <c r="AO92" i="2"/>
  <c r="AN92" i="2"/>
  <c r="AM92" i="2"/>
  <c r="AB92" i="2"/>
  <c r="AA92" i="2"/>
  <c r="Z92" i="2"/>
  <c r="Y92" i="2"/>
  <c r="X92" i="2"/>
  <c r="W92" i="2"/>
  <c r="V92" i="2"/>
  <c r="U92" i="2"/>
  <c r="T92" i="2"/>
  <c r="S92" i="2"/>
  <c r="L92" i="2"/>
  <c r="I92" i="2"/>
  <c r="H92" i="2"/>
  <c r="F92" i="2"/>
  <c r="E92" i="2"/>
  <c r="D92" i="2"/>
  <c r="AV91" i="2"/>
  <c r="AU91" i="2"/>
  <c r="AT91" i="2"/>
  <c r="AS91" i="2"/>
  <c r="AR91" i="2"/>
  <c r="AQ91" i="2"/>
  <c r="AP91" i="2"/>
  <c r="AO91" i="2"/>
  <c r="AN91" i="2"/>
  <c r="AM91" i="2"/>
  <c r="AJ91" i="2"/>
  <c r="AG91" i="2"/>
  <c r="AF91" i="2"/>
  <c r="AB91" i="2"/>
  <c r="W91" i="2"/>
  <c r="U91" i="2"/>
  <c r="T91" i="2"/>
  <c r="S91" i="2"/>
  <c r="R91" i="2"/>
  <c r="K91" i="2"/>
  <c r="A91" i="2"/>
  <c r="AV90" i="2"/>
  <c r="AU90" i="2"/>
  <c r="AT90" i="2"/>
  <c r="AS90" i="2"/>
  <c r="AR90" i="2"/>
  <c r="AQ90" i="2"/>
  <c r="AP90" i="2"/>
  <c r="AO90" i="2"/>
  <c r="AN90" i="2"/>
  <c r="AM90" i="2"/>
  <c r="I90" i="2"/>
  <c r="H90" i="2"/>
  <c r="F90" i="2"/>
  <c r="E90" i="2"/>
  <c r="D90" i="2"/>
  <c r="BB89" i="2" a="1"/>
  <c r="AV89" i="2"/>
  <c r="AU89" i="2"/>
  <c r="AT89" i="2"/>
  <c r="AS89" i="2"/>
  <c r="AR89" i="2"/>
  <c r="AQ89" i="2"/>
  <c r="AP89" i="2"/>
  <c r="AO89" i="2"/>
  <c r="AN89" i="2"/>
  <c r="AM89" i="2"/>
  <c r="AB89" i="2"/>
  <c r="AA89" i="2"/>
  <c r="Z89" i="2"/>
  <c r="Y89" i="2"/>
  <c r="X89" i="2"/>
  <c r="W89" i="2"/>
  <c r="V89" i="2"/>
  <c r="U89" i="2"/>
  <c r="T89" i="2"/>
  <c r="S89" i="2"/>
  <c r="L89" i="2"/>
  <c r="I89" i="2"/>
  <c r="H89" i="2"/>
  <c r="F89" i="2"/>
  <c r="E89" i="2"/>
  <c r="D89" i="2"/>
  <c r="AV88" i="2"/>
  <c r="AU88" i="2"/>
  <c r="AT88" i="2"/>
  <c r="AS88" i="2"/>
  <c r="AR88" i="2"/>
  <c r="AQ88" i="2"/>
  <c r="AP88" i="2"/>
  <c r="AO88" i="2"/>
  <c r="AN88" i="2"/>
  <c r="AM88" i="2"/>
  <c r="AJ88" i="2"/>
  <c r="AG88" i="2"/>
  <c r="AF88" i="2"/>
  <c r="AB88" i="2"/>
  <c r="W88" i="2"/>
  <c r="U88" i="2"/>
  <c r="T88" i="2"/>
  <c r="S88" i="2"/>
  <c r="R88" i="2"/>
  <c r="K88" i="2"/>
  <c r="A88" i="2"/>
  <c r="AV87" i="2"/>
  <c r="AU87" i="2"/>
  <c r="AT87" i="2"/>
  <c r="AS87" i="2"/>
  <c r="AR87" i="2"/>
  <c r="AQ87" i="2"/>
  <c r="AP87" i="2"/>
  <c r="AO87" i="2"/>
  <c r="AN87" i="2"/>
  <c r="AM87" i="2"/>
  <c r="I87" i="2"/>
  <c r="H87" i="2"/>
  <c r="F87" i="2"/>
  <c r="E87" i="2"/>
  <c r="D87" i="2"/>
  <c r="AV86" i="2"/>
  <c r="AU86" i="2"/>
  <c r="AT86" i="2"/>
  <c r="AS86" i="2"/>
  <c r="AR86" i="2"/>
  <c r="AQ86" i="2"/>
  <c r="AP86" i="2"/>
  <c r="AO86" i="2"/>
  <c r="AN86" i="2"/>
  <c r="AM86" i="2"/>
  <c r="AB86" i="2"/>
  <c r="AA86" i="2"/>
  <c r="Z86" i="2"/>
  <c r="Y86" i="2"/>
  <c r="X86" i="2"/>
  <c r="W86" i="2"/>
  <c r="V86" i="2"/>
  <c r="U86" i="2"/>
  <c r="T86" i="2"/>
  <c r="S86" i="2"/>
  <c r="L86" i="2"/>
  <c r="I86" i="2"/>
  <c r="H86" i="2"/>
  <c r="F86" i="2"/>
  <c r="E86" i="2"/>
  <c r="D86" i="2"/>
  <c r="AV85" i="2"/>
  <c r="AU85" i="2"/>
  <c r="AT85" i="2"/>
  <c r="AS85" i="2"/>
  <c r="AR85" i="2"/>
  <c r="AQ85" i="2"/>
  <c r="AP85" i="2"/>
  <c r="AO85" i="2"/>
  <c r="AN85" i="2"/>
  <c r="AM85" i="2"/>
  <c r="AJ85" i="2"/>
  <c r="AG85" i="2"/>
  <c r="AF85" i="2"/>
  <c r="AB85" i="2"/>
  <c r="W85" i="2"/>
  <c r="U85" i="2"/>
  <c r="T85" i="2"/>
  <c r="S85" i="2"/>
  <c r="R85" i="2"/>
  <c r="K85" i="2"/>
  <c r="A85" i="2"/>
  <c r="AV84" i="2"/>
  <c r="AU84" i="2"/>
  <c r="AT84" i="2"/>
  <c r="AS84" i="2"/>
  <c r="AR84" i="2"/>
  <c r="AQ84" i="2"/>
  <c r="AP84" i="2"/>
  <c r="AO84" i="2"/>
  <c r="AN84" i="2"/>
  <c r="AM84" i="2"/>
  <c r="I84" i="2"/>
  <c r="H84" i="2"/>
  <c r="F84" i="2"/>
  <c r="E84" i="2"/>
  <c r="D84" i="2"/>
  <c r="AV83" i="2"/>
  <c r="AU83" i="2"/>
  <c r="AT83" i="2"/>
  <c r="AS83" i="2"/>
  <c r="AR83" i="2"/>
  <c r="AQ83" i="2"/>
  <c r="AP83" i="2"/>
  <c r="AO83" i="2"/>
  <c r="AN83" i="2"/>
  <c r="AM83" i="2"/>
  <c r="AB83" i="2"/>
  <c r="AA83" i="2"/>
  <c r="Z83" i="2"/>
  <c r="Y83" i="2"/>
  <c r="X83" i="2"/>
  <c r="W83" i="2"/>
  <c r="V83" i="2"/>
  <c r="U83" i="2"/>
  <c r="T83" i="2"/>
  <c r="S83" i="2"/>
  <c r="L83" i="2"/>
  <c r="I83" i="2"/>
  <c r="H83" i="2"/>
  <c r="F83" i="2"/>
  <c r="E83" i="2"/>
  <c r="D83" i="2"/>
  <c r="AV82" i="2"/>
  <c r="AU82" i="2"/>
  <c r="AT82" i="2"/>
  <c r="AS82" i="2"/>
  <c r="AR82" i="2"/>
  <c r="AQ82" i="2"/>
  <c r="AP82" i="2"/>
  <c r="AO82" i="2"/>
  <c r="AN82" i="2"/>
  <c r="AM82" i="2"/>
  <c r="AJ82" i="2"/>
  <c r="AG82" i="2"/>
  <c r="AF82" i="2"/>
  <c r="AB82" i="2"/>
  <c r="W82" i="2"/>
  <c r="U82" i="2"/>
  <c r="T82" i="2"/>
  <c r="S82" i="2"/>
  <c r="R82" i="2"/>
  <c r="K82" i="2"/>
  <c r="F82" i="2"/>
  <c r="A82" i="2"/>
  <c r="AV81" i="2"/>
  <c r="AU81" i="2"/>
  <c r="AT81" i="2"/>
  <c r="AS81" i="2"/>
  <c r="AR81" i="2"/>
  <c r="AQ81" i="2"/>
  <c r="AP81" i="2"/>
  <c r="AO81" i="2"/>
  <c r="AN81" i="2"/>
  <c r="AM81" i="2"/>
  <c r="I81" i="2"/>
  <c r="H81" i="2"/>
  <c r="F81" i="2"/>
  <c r="E81" i="2"/>
  <c r="D81" i="2"/>
  <c r="AV80" i="2"/>
  <c r="AU80" i="2"/>
  <c r="AT80" i="2"/>
  <c r="AS80" i="2"/>
  <c r="AR80" i="2"/>
  <c r="AQ80" i="2"/>
  <c r="AP80" i="2"/>
  <c r="AO80" i="2"/>
  <c r="AN80" i="2"/>
  <c r="AM80" i="2"/>
  <c r="AB80" i="2"/>
  <c r="AA80" i="2"/>
  <c r="Z80" i="2"/>
  <c r="Y80" i="2"/>
  <c r="X80" i="2"/>
  <c r="W80" i="2"/>
  <c r="V80" i="2"/>
  <c r="U80" i="2"/>
  <c r="T80" i="2"/>
  <c r="S80" i="2"/>
  <c r="L80" i="2"/>
  <c r="I80" i="2"/>
  <c r="H80" i="2"/>
  <c r="F80" i="2"/>
  <c r="E80" i="2"/>
  <c r="D80" i="2"/>
  <c r="AV79" i="2"/>
  <c r="AU79" i="2"/>
  <c r="AT79" i="2"/>
  <c r="AS79" i="2"/>
  <c r="AR79" i="2"/>
  <c r="AQ79" i="2"/>
  <c r="AP79" i="2"/>
  <c r="AO79" i="2"/>
  <c r="AN79" i="2"/>
  <c r="AM79" i="2"/>
  <c r="AJ79" i="2"/>
  <c r="AG79" i="2"/>
  <c r="AF79" i="2"/>
  <c r="AE79" i="2"/>
  <c r="AB79" i="2"/>
  <c r="W79" i="2"/>
  <c r="U79" i="2"/>
  <c r="T79" i="2"/>
  <c r="S79" i="2"/>
  <c r="R79" i="2"/>
  <c r="K79" i="2"/>
  <c r="A79" i="2"/>
  <c r="AV78" i="2"/>
  <c r="AU78" i="2"/>
  <c r="AT78" i="2"/>
  <c r="AS78" i="2"/>
  <c r="AR78" i="2"/>
  <c r="AQ78" i="2"/>
  <c r="AP78" i="2"/>
  <c r="AO78" i="2"/>
  <c r="AN78" i="2"/>
  <c r="AM78" i="2"/>
  <c r="I78" i="2"/>
  <c r="H78" i="2"/>
  <c r="F78" i="2"/>
  <c r="E78" i="2"/>
  <c r="D78" i="2"/>
  <c r="AV77" i="2"/>
  <c r="AU77" i="2"/>
  <c r="AT77" i="2"/>
  <c r="AS77" i="2"/>
  <c r="AR77" i="2"/>
  <c r="AQ77" i="2"/>
  <c r="AP77" i="2"/>
  <c r="AO77" i="2"/>
  <c r="AN77" i="2"/>
  <c r="AM77" i="2"/>
  <c r="AB77" i="2"/>
  <c r="AA77" i="2"/>
  <c r="Z77" i="2"/>
  <c r="Y77" i="2"/>
  <c r="X77" i="2"/>
  <c r="W77" i="2"/>
  <c r="V77" i="2"/>
  <c r="U77" i="2"/>
  <c r="T77" i="2"/>
  <c r="S77" i="2"/>
  <c r="L77" i="2"/>
  <c r="I77" i="2"/>
  <c r="H77" i="2"/>
  <c r="F77" i="2"/>
  <c r="E77" i="2"/>
  <c r="D77" i="2"/>
  <c r="AV76" i="2"/>
  <c r="AU76" i="2"/>
  <c r="AT76" i="2"/>
  <c r="AS76" i="2"/>
  <c r="AR76" i="2"/>
  <c r="AQ76" i="2"/>
  <c r="AP76" i="2"/>
  <c r="AO76" i="2"/>
  <c r="AN76" i="2"/>
  <c r="AM76" i="2"/>
  <c r="AJ76" i="2"/>
  <c r="AG76" i="2"/>
  <c r="AF76" i="2"/>
  <c r="AE76" i="2"/>
  <c r="AB76" i="2"/>
  <c r="W76" i="2"/>
  <c r="U76" i="2"/>
  <c r="T76" i="2"/>
  <c r="S76" i="2"/>
  <c r="R76" i="2"/>
  <c r="K76" i="2"/>
  <c r="A76" i="2"/>
  <c r="AV75" i="2"/>
  <c r="AU75" i="2"/>
  <c r="AT75" i="2"/>
  <c r="AS75" i="2"/>
  <c r="AR75" i="2"/>
  <c r="AQ75" i="2"/>
  <c r="AP75" i="2"/>
  <c r="AO75" i="2"/>
  <c r="AN75" i="2"/>
  <c r="AM75" i="2"/>
  <c r="I75" i="2"/>
  <c r="H75" i="2"/>
  <c r="F75" i="2"/>
  <c r="E75" i="2"/>
  <c r="D75" i="2"/>
  <c r="AV74" i="2"/>
  <c r="AU74" i="2"/>
  <c r="AT74" i="2"/>
  <c r="AS74" i="2"/>
  <c r="AR74" i="2"/>
  <c r="AQ74" i="2"/>
  <c r="AP74" i="2"/>
  <c r="AO74" i="2"/>
  <c r="AN74" i="2"/>
  <c r="AM74" i="2"/>
  <c r="AB74" i="2"/>
  <c r="AA74" i="2"/>
  <c r="Z74" i="2"/>
  <c r="Y74" i="2"/>
  <c r="X74" i="2"/>
  <c r="W74" i="2"/>
  <c r="V74" i="2"/>
  <c r="U74" i="2"/>
  <c r="T74" i="2"/>
  <c r="S74" i="2"/>
  <c r="L74" i="2"/>
  <c r="I74" i="2"/>
  <c r="H74" i="2"/>
  <c r="F74" i="2"/>
  <c r="E74" i="2"/>
  <c r="D74" i="2"/>
  <c r="AV73" i="2"/>
  <c r="AU73" i="2"/>
  <c r="AT73" i="2"/>
  <c r="AS73" i="2"/>
  <c r="AR73" i="2"/>
  <c r="AQ73" i="2"/>
  <c r="AP73" i="2"/>
  <c r="AO73" i="2"/>
  <c r="AN73" i="2"/>
  <c r="AM73" i="2"/>
  <c r="AJ73" i="2"/>
  <c r="AG73" i="2"/>
  <c r="AF73" i="2"/>
  <c r="AB73" i="2"/>
  <c r="W73" i="2"/>
  <c r="U73" i="2"/>
  <c r="T73" i="2"/>
  <c r="S73" i="2"/>
  <c r="R73" i="2"/>
  <c r="K73" i="2"/>
  <c r="A73" i="2"/>
  <c r="AV72" i="2"/>
  <c r="AU72" i="2"/>
  <c r="AT72" i="2"/>
  <c r="AS72" i="2"/>
  <c r="AR72" i="2"/>
  <c r="AQ72" i="2"/>
  <c r="AP72" i="2"/>
  <c r="AO72" i="2"/>
  <c r="AN72" i="2"/>
  <c r="AM72" i="2"/>
  <c r="I72" i="2"/>
  <c r="H72" i="2"/>
  <c r="F72" i="2"/>
  <c r="E72" i="2"/>
  <c r="D72" i="2"/>
  <c r="AV71" i="2"/>
  <c r="AU71" i="2"/>
  <c r="AT71" i="2"/>
  <c r="AS71" i="2"/>
  <c r="AR71" i="2"/>
  <c r="AQ71" i="2"/>
  <c r="AP71" i="2"/>
  <c r="AO71" i="2"/>
  <c r="AN71" i="2"/>
  <c r="AM71" i="2"/>
  <c r="AB71" i="2"/>
  <c r="AA71" i="2"/>
  <c r="Z71" i="2"/>
  <c r="Y71" i="2"/>
  <c r="X71" i="2"/>
  <c r="W71" i="2"/>
  <c r="V71" i="2"/>
  <c r="U71" i="2"/>
  <c r="T71" i="2"/>
  <c r="S71" i="2"/>
  <c r="L71" i="2"/>
  <c r="I71" i="2"/>
  <c r="H71" i="2"/>
  <c r="F71" i="2"/>
  <c r="E71" i="2"/>
  <c r="D71" i="2"/>
  <c r="AV70" i="2"/>
  <c r="AU70" i="2"/>
  <c r="AT70" i="2"/>
  <c r="AS70" i="2"/>
  <c r="AR70" i="2"/>
  <c r="AQ70" i="2"/>
  <c r="AP70" i="2"/>
  <c r="AO70" i="2"/>
  <c r="AN70" i="2"/>
  <c r="AM70" i="2"/>
  <c r="AJ70" i="2"/>
  <c r="AG70" i="2"/>
  <c r="AF70" i="2"/>
  <c r="AB70" i="2"/>
  <c r="W70" i="2"/>
  <c r="U70" i="2"/>
  <c r="T70" i="2"/>
  <c r="S70" i="2"/>
  <c r="R70" i="2"/>
  <c r="K70" i="2"/>
  <c r="A70" i="2"/>
  <c r="AV69" i="2"/>
  <c r="AU69" i="2"/>
  <c r="AT69" i="2"/>
  <c r="AS69" i="2"/>
  <c r="AR69" i="2"/>
  <c r="AQ69" i="2"/>
  <c r="AP69" i="2"/>
  <c r="AO69" i="2"/>
  <c r="AN69" i="2"/>
  <c r="AM69" i="2"/>
  <c r="I69" i="2"/>
  <c r="H69" i="2"/>
  <c r="F69" i="2"/>
  <c r="E69" i="2"/>
  <c r="D69" i="2"/>
  <c r="AV68" i="2"/>
  <c r="AU68" i="2"/>
  <c r="AT68" i="2"/>
  <c r="AS68" i="2"/>
  <c r="AR68" i="2"/>
  <c r="AQ68" i="2"/>
  <c r="AP68" i="2"/>
  <c r="AO68" i="2"/>
  <c r="AN68" i="2"/>
  <c r="AM68" i="2"/>
  <c r="AB68" i="2"/>
  <c r="AA68" i="2"/>
  <c r="Z68" i="2"/>
  <c r="Y68" i="2"/>
  <c r="X68" i="2"/>
  <c r="W68" i="2"/>
  <c r="V68" i="2"/>
  <c r="U68" i="2"/>
  <c r="T68" i="2"/>
  <c r="S68" i="2"/>
  <c r="R68" i="2"/>
  <c r="L68" i="2"/>
  <c r="I68" i="2"/>
  <c r="H68" i="2"/>
  <c r="F68" i="2"/>
  <c r="E68" i="2"/>
  <c r="D68" i="2"/>
  <c r="AV67" i="2"/>
  <c r="AU67" i="2"/>
  <c r="AT67" i="2"/>
  <c r="AS67" i="2"/>
  <c r="AR67" i="2"/>
  <c r="AQ67" i="2"/>
  <c r="AP67" i="2"/>
  <c r="AO67" i="2"/>
  <c r="AN67" i="2"/>
  <c r="AM67" i="2"/>
  <c r="AJ67" i="2"/>
  <c r="AG67" i="2"/>
  <c r="AF67" i="2"/>
  <c r="AE67" i="2"/>
  <c r="AB67" i="2"/>
  <c r="W67" i="2"/>
  <c r="U67" i="2"/>
  <c r="T67" i="2"/>
  <c r="S67" i="2"/>
  <c r="R67" i="2"/>
  <c r="K67" i="2"/>
  <c r="A67" i="2"/>
  <c r="AV66" i="2"/>
  <c r="AU66" i="2"/>
  <c r="AT66" i="2"/>
  <c r="AS66" i="2"/>
  <c r="AR66" i="2"/>
  <c r="AQ66" i="2"/>
  <c r="AP66" i="2"/>
  <c r="AO66" i="2"/>
  <c r="AN66" i="2"/>
  <c r="AM66" i="2"/>
  <c r="I66" i="2"/>
  <c r="H66" i="2"/>
  <c r="F66" i="2"/>
  <c r="E66" i="2"/>
  <c r="D66" i="2"/>
  <c r="AV65" i="2"/>
  <c r="AU65" i="2"/>
  <c r="AT65" i="2"/>
  <c r="AS65" i="2"/>
  <c r="AR65" i="2"/>
  <c r="AQ65" i="2"/>
  <c r="AP65" i="2"/>
  <c r="AO65" i="2"/>
  <c r="AN65" i="2"/>
  <c r="AM65" i="2"/>
  <c r="AB65" i="2"/>
  <c r="AA65" i="2"/>
  <c r="Z65" i="2"/>
  <c r="Y65" i="2"/>
  <c r="X65" i="2"/>
  <c r="W65" i="2"/>
  <c r="V65" i="2"/>
  <c r="U65" i="2"/>
  <c r="T65" i="2"/>
  <c r="S65" i="2"/>
  <c r="R65" i="2"/>
  <c r="L65" i="2"/>
  <c r="I65" i="2"/>
  <c r="H65" i="2"/>
  <c r="F65" i="2"/>
  <c r="E65" i="2"/>
  <c r="D65" i="2"/>
  <c r="AV64" i="2"/>
  <c r="AU64" i="2"/>
  <c r="AT64" i="2"/>
  <c r="AS64" i="2"/>
  <c r="AR64" i="2"/>
  <c r="AQ64" i="2"/>
  <c r="AP64" i="2"/>
  <c r="AO64" i="2"/>
  <c r="AN64" i="2"/>
  <c r="AM64" i="2"/>
  <c r="AJ64" i="2"/>
  <c r="AG64" i="2"/>
  <c r="AF64" i="2"/>
  <c r="AB64" i="2"/>
  <c r="W64" i="2"/>
  <c r="U64" i="2"/>
  <c r="T64" i="2"/>
  <c r="S64" i="2"/>
  <c r="R64" i="2"/>
  <c r="K64" i="2"/>
  <c r="A64" i="2"/>
  <c r="AV63" i="2"/>
  <c r="AU63" i="2"/>
  <c r="AT63" i="2"/>
  <c r="AS63" i="2"/>
  <c r="AR63" i="2"/>
  <c r="AQ63" i="2"/>
  <c r="AP63" i="2"/>
  <c r="AO63" i="2"/>
  <c r="AN63" i="2"/>
  <c r="AM63" i="2"/>
  <c r="I63" i="2"/>
  <c r="H63" i="2"/>
  <c r="F63" i="2"/>
  <c r="E63" i="2"/>
  <c r="D63" i="2"/>
  <c r="AV62" i="2"/>
  <c r="AU62" i="2"/>
  <c r="AT62" i="2"/>
  <c r="AS62" i="2"/>
  <c r="AR62" i="2"/>
  <c r="AQ62" i="2"/>
  <c r="AP62" i="2"/>
  <c r="AO62" i="2"/>
  <c r="AN62" i="2"/>
  <c r="AM62" i="2"/>
  <c r="AB62" i="2"/>
  <c r="AA62" i="2"/>
  <c r="Z62" i="2"/>
  <c r="Y62" i="2"/>
  <c r="X62" i="2"/>
  <c r="W62" i="2"/>
  <c r="V62" i="2"/>
  <c r="U62" i="2"/>
  <c r="T62" i="2"/>
  <c r="S62" i="2"/>
  <c r="R62" i="2"/>
  <c r="L62" i="2"/>
  <c r="I62" i="2"/>
  <c r="H62" i="2"/>
  <c r="F62" i="2"/>
  <c r="E62" i="2"/>
  <c r="D62" i="2"/>
  <c r="AV61" i="2"/>
  <c r="AU61" i="2"/>
  <c r="AT61" i="2"/>
  <c r="AS61" i="2"/>
  <c r="AR61" i="2"/>
  <c r="AQ61" i="2"/>
  <c r="AP61" i="2"/>
  <c r="AO61" i="2"/>
  <c r="AN61" i="2"/>
  <c r="AM61" i="2"/>
  <c r="AJ61" i="2"/>
  <c r="AG61" i="2"/>
  <c r="AF61" i="2"/>
  <c r="AE61" i="2"/>
  <c r="AB61" i="2"/>
  <c r="W61" i="2"/>
  <c r="U61" i="2"/>
  <c r="T61" i="2"/>
  <c r="S61" i="2"/>
  <c r="R61" i="2"/>
  <c r="K61" i="2"/>
  <c r="F61" i="2"/>
  <c r="A61" i="2"/>
  <c r="AV60" i="2"/>
  <c r="AU60" i="2"/>
  <c r="AT60" i="2"/>
  <c r="AS60" i="2"/>
  <c r="AR60" i="2"/>
  <c r="AQ60" i="2"/>
  <c r="AP60" i="2"/>
  <c r="AO60" i="2"/>
  <c r="AN60" i="2"/>
  <c r="AM60" i="2"/>
  <c r="I60" i="2"/>
  <c r="H60" i="2"/>
  <c r="F60" i="2"/>
  <c r="E60" i="2"/>
  <c r="D60" i="2"/>
  <c r="AV59" i="2"/>
  <c r="AU59" i="2"/>
  <c r="AT59" i="2"/>
  <c r="AS59" i="2"/>
  <c r="AR59" i="2"/>
  <c r="AQ59" i="2"/>
  <c r="AP59" i="2"/>
  <c r="AO59" i="2"/>
  <c r="AN59" i="2"/>
  <c r="AM59" i="2"/>
  <c r="AB59" i="2"/>
  <c r="AA59" i="2"/>
  <c r="Z59" i="2"/>
  <c r="Y59" i="2"/>
  <c r="X59" i="2"/>
  <c r="W59" i="2"/>
  <c r="V59" i="2"/>
  <c r="U59" i="2"/>
  <c r="T59" i="2"/>
  <c r="S59" i="2"/>
  <c r="R59" i="2"/>
  <c r="L59" i="2"/>
  <c r="I59" i="2"/>
  <c r="H59" i="2"/>
  <c r="F59" i="2"/>
  <c r="E59" i="2"/>
  <c r="D59" i="2"/>
  <c r="AV58" i="2"/>
  <c r="AU58" i="2"/>
  <c r="AT58" i="2"/>
  <c r="AS58" i="2"/>
  <c r="AR58" i="2"/>
  <c r="AQ58" i="2"/>
  <c r="AP58" i="2"/>
  <c r="AO58" i="2"/>
  <c r="AN58" i="2"/>
  <c r="AM58" i="2"/>
  <c r="AJ58" i="2"/>
  <c r="AG58" i="2"/>
  <c r="AF58" i="2"/>
  <c r="AE58" i="2"/>
  <c r="AB58" i="2"/>
  <c r="W58" i="2"/>
  <c r="U58" i="2"/>
  <c r="T58" i="2"/>
  <c r="S58" i="2"/>
  <c r="R58" i="2"/>
  <c r="K58" i="2"/>
  <c r="A58" i="2"/>
  <c r="AV57" i="2"/>
  <c r="AU57" i="2"/>
  <c r="AT57" i="2"/>
  <c r="AS57" i="2"/>
  <c r="AR57" i="2"/>
  <c r="AQ57" i="2"/>
  <c r="AP57" i="2"/>
  <c r="AO57" i="2"/>
  <c r="AN57" i="2"/>
  <c r="AM57" i="2"/>
  <c r="I57" i="2"/>
  <c r="H57" i="2"/>
  <c r="F57" i="2"/>
  <c r="E57" i="2"/>
  <c r="D57" i="2"/>
  <c r="AV56" i="2"/>
  <c r="AU56" i="2"/>
  <c r="AT56" i="2"/>
  <c r="AS56" i="2"/>
  <c r="AR56" i="2"/>
  <c r="AQ56" i="2"/>
  <c r="AP56" i="2"/>
  <c r="AO56" i="2"/>
  <c r="AN56" i="2"/>
  <c r="AM56" i="2"/>
  <c r="AB56" i="2"/>
  <c r="AA56" i="2"/>
  <c r="Z56" i="2"/>
  <c r="Y56" i="2"/>
  <c r="X56" i="2"/>
  <c r="W56" i="2"/>
  <c r="V56" i="2"/>
  <c r="U56" i="2"/>
  <c r="T56" i="2"/>
  <c r="S56" i="2"/>
  <c r="R56" i="2"/>
  <c r="L56" i="2"/>
  <c r="I56" i="2"/>
  <c r="H56" i="2"/>
  <c r="F56" i="2"/>
  <c r="E56" i="2"/>
  <c r="D56" i="2"/>
  <c r="AV55" i="2"/>
  <c r="AU55" i="2"/>
  <c r="AT55" i="2"/>
  <c r="AS55" i="2"/>
  <c r="AR55" i="2"/>
  <c r="AQ55" i="2"/>
  <c r="AP55" i="2"/>
  <c r="AO55" i="2"/>
  <c r="AN55" i="2"/>
  <c r="AM55" i="2"/>
  <c r="AJ55" i="2"/>
  <c r="AG55" i="2"/>
  <c r="AF55" i="2"/>
  <c r="AE55" i="2"/>
  <c r="AB55" i="2"/>
  <c r="W55" i="2"/>
  <c r="U55" i="2"/>
  <c r="T55" i="2"/>
  <c r="S55" i="2"/>
  <c r="R55" i="2"/>
  <c r="K55" i="2"/>
  <c r="A55" i="2"/>
  <c r="AV54" i="2"/>
  <c r="AU54" i="2"/>
  <c r="AT54" i="2"/>
  <c r="AS54" i="2"/>
  <c r="AR54" i="2"/>
  <c r="AQ54" i="2"/>
  <c r="AP54" i="2"/>
  <c r="AO54" i="2"/>
  <c r="AN54" i="2"/>
  <c r="AM54" i="2"/>
  <c r="I54" i="2"/>
  <c r="H54" i="2"/>
  <c r="F54" i="2"/>
  <c r="E54" i="2"/>
  <c r="D54" i="2"/>
  <c r="AV53" i="2"/>
  <c r="AU53" i="2"/>
  <c r="AT53" i="2"/>
  <c r="AS53" i="2"/>
  <c r="AR53" i="2"/>
  <c r="AQ53" i="2"/>
  <c r="AP53" i="2"/>
  <c r="AO53" i="2"/>
  <c r="AN53" i="2"/>
  <c r="AM53" i="2"/>
  <c r="AB53" i="2"/>
  <c r="AA53" i="2"/>
  <c r="Z53" i="2"/>
  <c r="Y53" i="2"/>
  <c r="X53" i="2"/>
  <c r="W53" i="2"/>
  <c r="V53" i="2"/>
  <c r="U53" i="2"/>
  <c r="T53" i="2"/>
  <c r="S53" i="2"/>
  <c r="R53" i="2"/>
  <c r="L53" i="2"/>
  <c r="I53" i="2"/>
  <c r="H53" i="2"/>
  <c r="F53" i="2"/>
  <c r="E53" i="2"/>
  <c r="D53" i="2"/>
  <c r="AV52" i="2"/>
  <c r="AU52" i="2"/>
  <c r="AT52" i="2"/>
  <c r="AS52" i="2"/>
  <c r="AR52" i="2"/>
  <c r="AQ52" i="2"/>
  <c r="AP52" i="2"/>
  <c r="AO52" i="2"/>
  <c r="AN52" i="2"/>
  <c r="AM52" i="2"/>
  <c r="AJ52" i="2"/>
  <c r="AG52" i="2"/>
  <c r="AF52" i="2"/>
  <c r="AE52" i="2"/>
  <c r="AB52" i="2"/>
  <c r="W52" i="2"/>
  <c r="U52" i="2"/>
  <c r="T52" i="2"/>
  <c r="S52" i="2"/>
  <c r="R52" i="2"/>
  <c r="K52" i="2"/>
  <c r="A52" i="2"/>
  <c r="AV51" i="2"/>
  <c r="AU51" i="2"/>
  <c r="AT51" i="2"/>
  <c r="AS51" i="2"/>
  <c r="AR51" i="2"/>
  <c r="AQ51" i="2"/>
  <c r="AP51" i="2"/>
  <c r="AO51" i="2"/>
  <c r="AN51" i="2"/>
  <c r="AM51" i="2"/>
  <c r="I51" i="2"/>
  <c r="H51" i="2"/>
  <c r="F51" i="2"/>
  <c r="E51" i="2"/>
  <c r="D51" i="2"/>
  <c r="AV50" i="2"/>
  <c r="AU50" i="2"/>
  <c r="AT50" i="2"/>
  <c r="AS50" i="2"/>
  <c r="AR50" i="2"/>
  <c r="AQ50" i="2"/>
  <c r="AP50" i="2"/>
  <c r="AO50" i="2"/>
  <c r="AN50" i="2"/>
  <c r="AM50" i="2"/>
  <c r="AB50" i="2"/>
  <c r="AA50" i="2"/>
  <c r="Z50" i="2"/>
  <c r="Y50" i="2"/>
  <c r="X50" i="2"/>
  <c r="W50" i="2"/>
  <c r="V50" i="2"/>
  <c r="U50" i="2"/>
  <c r="T50" i="2"/>
  <c r="S50" i="2"/>
  <c r="R50" i="2"/>
  <c r="L50" i="2"/>
  <c r="I50" i="2"/>
  <c r="H50" i="2"/>
  <c r="F50" i="2"/>
  <c r="E50" i="2"/>
  <c r="D50" i="2"/>
  <c r="AV49" i="2"/>
  <c r="AU49" i="2"/>
  <c r="AT49" i="2"/>
  <c r="AS49" i="2"/>
  <c r="AR49" i="2"/>
  <c r="AQ49" i="2"/>
  <c r="AP49" i="2"/>
  <c r="AO49" i="2"/>
  <c r="AN49" i="2"/>
  <c r="AM49" i="2"/>
  <c r="AJ49" i="2"/>
  <c r="AG49" i="2"/>
  <c r="AF49" i="2"/>
  <c r="AE49" i="2"/>
  <c r="AB49" i="2"/>
  <c r="W49" i="2"/>
  <c r="U49" i="2"/>
  <c r="T49" i="2"/>
  <c r="S49" i="2"/>
  <c r="R49" i="2"/>
  <c r="K49" i="2"/>
  <c r="F49" i="2"/>
  <c r="A49" i="2"/>
  <c r="AV48" i="2"/>
  <c r="AU48" i="2"/>
  <c r="AT48" i="2"/>
  <c r="AS48" i="2"/>
  <c r="AR48" i="2"/>
  <c r="AQ48" i="2"/>
  <c r="AP48" i="2"/>
  <c r="AO48" i="2"/>
  <c r="AN48" i="2"/>
  <c r="AM48" i="2"/>
  <c r="I48" i="2"/>
  <c r="H48" i="2"/>
  <c r="F48" i="2"/>
  <c r="E48" i="2"/>
  <c r="D48" i="2"/>
  <c r="AV47" i="2"/>
  <c r="AU47" i="2"/>
  <c r="AT47" i="2"/>
  <c r="AS47" i="2"/>
  <c r="AR47" i="2"/>
  <c r="AQ47" i="2"/>
  <c r="AP47" i="2"/>
  <c r="AO47" i="2"/>
  <c r="AN47" i="2"/>
  <c r="AM47" i="2"/>
  <c r="AB47" i="2"/>
  <c r="AA47" i="2"/>
  <c r="Z47" i="2"/>
  <c r="Y47" i="2"/>
  <c r="X47" i="2"/>
  <c r="W47" i="2"/>
  <c r="V47" i="2"/>
  <c r="U47" i="2"/>
  <c r="T47" i="2"/>
  <c r="S47" i="2"/>
  <c r="R47" i="2"/>
  <c r="L47" i="2"/>
  <c r="I47" i="2"/>
  <c r="H47" i="2"/>
  <c r="F47" i="2"/>
  <c r="E47" i="2"/>
  <c r="D47" i="2"/>
  <c r="AV46" i="2"/>
  <c r="AU46" i="2"/>
  <c r="AT46" i="2"/>
  <c r="AS46" i="2"/>
  <c r="AR46" i="2"/>
  <c r="AQ46" i="2"/>
  <c r="AP46" i="2"/>
  <c r="AO46" i="2"/>
  <c r="AN46" i="2"/>
  <c r="AM46" i="2"/>
  <c r="AJ46" i="2"/>
  <c r="AG46" i="2"/>
  <c r="AF46" i="2"/>
  <c r="AB46" i="2"/>
  <c r="W46" i="2"/>
  <c r="U46" i="2"/>
  <c r="T46" i="2"/>
  <c r="S46" i="2"/>
  <c r="R46" i="2"/>
  <c r="K46" i="2"/>
  <c r="F46" i="2"/>
  <c r="A46" i="2"/>
  <c r="AV45" i="2"/>
  <c r="AU45" i="2"/>
  <c r="AT45" i="2"/>
  <c r="AS45" i="2"/>
  <c r="AR45" i="2"/>
  <c r="AQ45" i="2"/>
  <c r="AP45" i="2"/>
  <c r="AO45" i="2"/>
  <c r="AN45" i="2"/>
  <c r="AM45" i="2"/>
  <c r="I45" i="2"/>
  <c r="H45" i="2"/>
  <c r="F45" i="2"/>
  <c r="E45" i="2"/>
  <c r="D45" i="2"/>
  <c r="AV44" i="2"/>
  <c r="AU44" i="2"/>
  <c r="AT44" i="2"/>
  <c r="AS44" i="2"/>
  <c r="AR44" i="2"/>
  <c r="AQ44" i="2"/>
  <c r="AP44" i="2"/>
  <c r="AO44" i="2"/>
  <c r="AN44" i="2"/>
  <c r="AM44" i="2"/>
  <c r="AB44" i="2"/>
  <c r="AA44" i="2"/>
  <c r="Z44" i="2"/>
  <c r="Y44" i="2"/>
  <c r="X44" i="2"/>
  <c r="W44" i="2"/>
  <c r="V44" i="2"/>
  <c r="U44" i="2"/>
  <c r="T44" i="2"/>
  <c r="S44" i="2"/>
  <c r="R44" i="2"/>
  <c r="L44" i="2"/>
  <c r="I44" i="2"/>
  <c r="H44" i="2"/>
  <c r="F44" i="2"/>
  <c r="E44" i="2"/>
  <c r="D44" i="2"/>
  <c r="AV43" i="2"/>
  <c r="AU43" i="2"/>
  <c r="AT43" i="2"/>
  <c r="AS43" i="2"/>
  <c r="AR43" i="2"/>
  <c r="AQ43" i="2"/>
  <c r="AP43" i="2"/>
  <c r="AO43" i="2"/>
  <c r="AN43" i="2"/>
  <c r="AM43" i="2"/>
  <c r="AJ43" i="2"/>
  <c r="AG43" i="2"/>
  <c r="AF43" i="2"/>
  <c r="AB43" i="2"/>
  <c r="W43" i="2"/>
  <c r="U43" i="2"/>
  <c r="T43" i="2"/>
  <c r="S43" i="2"/>
  <c r="R43" i="2"/>
  <c r="K43" i="2"/>
  <c r="F43" i="2"/>
  <c r="A43" i="2"/>
  <c r="AV42" i="2"/>
  <c r="AU42" i="2"/>
  <c r="AT42" i="2"/>
  <c r="AS42" i="2"/>
  <c r="AR42" i="2"/>
  <c r="AQ42" i="2"/>
  <c r="AP42" i="2"/>
  <c r="AO42" i="2"/>
  <c r="AN42" i="2"/>
  <c r="AM42" i="2"/>
  <c r="I42" i="2"/>
  <c r="H42" i="2"/>
  <c r="F42" i="2"/>
  <c r="E42" i="2"/>
  <c r="D42" i="2"/>
  <c r="AV41" i="2"/>
  <c r="AU41" i="2"/>
  <c r="AT41" i="2"/>
  <c r="AS41" i="2"/>
  <c r="AR41" i="2"/>
  <c r="AQ41" i="2"/>
  <c r="AP41" i="2"/>
  <c r="AO41" i="2"/>
  <c r="AN41" i="2"/>
  <c r="AM41" i="2"/>
  <c r="AB41" i="2"/>
  <c r="AA41" i="2"/>
  <c r="Z41" i="2"/>
  <c r="Y41" i="2"/>
  <c r="X41" i="2"/>
  <c r="W41" i="2"/>
  <c r="V41" i="2"/>
  <c r="U41" i="2"/>
  <c r="T41" i="2"/>
  <c r="S41" i="2"/>
  <c r="R41" i="2"/>
  <c r="L41" i="2"/>
  <c r="I41" i="2"/>
  <c r="H41" i="2"/>
  <c r="F41" i="2"/>
  <c r="E41" i="2"/>
  <c r="D41" i="2"/>
  <c r="AV40" i="2"/>
  <c r="AU40" i="2"/>
  <c r="AT40" i="2"/>
  <c r="AS40" i="2"/>
  <c r="AR40" i="2"/>
  <c r="AQ40" i="2"/>
  <c r="AP40" i="2"/>
  <c r="AO40" i="2"/>
  <c r="AN40" i="2"/>
  <c r="AM40" i="2"/>
  <c r="AJ40" i="2"/>
  <c r="AG40" i="2"/>
  <c r="AF40" i="2"/>
  <c r="AB40" i="2"/>
  <c r="W40" i="2"/>
  <c r="U40" i="2"/>
  <c r="T40" i="2"/>
  <c r="S40" i="2"/>
  <c r="R40" i="2"/>
  <c r="K40" i="2"/>
  <c r="A40" i="2"/>
  <c r="AV39" i="2"/>
  <c r="AU39" i="2"/>
  <c r="AT39" i="2"/>
  <c r="AS39" i="2"/>
  <c r="AR39" i="2"/>
  <c r="AQ39" i="2"/>
  <c r="AP39" i="2"/>
  <c r="AO39" i="2"/>
  <c r="AN39" i="2"/>
  <c r="AM39" i="2"/>
  <c r="I39" i="2"/>
  <c r="H39" i="2"/>
  <c r="F39" i="2"/>
  <c r="E39" i="2"/>
  <c r="D39" i="2"/>
  <c r="AV38" i="2"/>
  <c r="AU38" i="2"/>
  <c r="AT38" i="2"/>
  <c r="AS38" i="2"/>
  <c r="AR38" i="2"/>
  <c r="AQ38" i="2"/>
  <c r="AP38" i="2"/>
  <c r="AO38" i="2"/>
  <c r="AN38" i="2"/>
  <c r="AM38" i="2"/>
  <c r="AB38" i="2"/>
  <c r="AA38" i="2"/>
  <c r="Z38" i="2"/>
  <c r="Y38" i="2"/>
  <c r="X38" i="2"/>
  <c r="W38" i="2"/>
  <c r="V38" i="2"/>
  <c r="U38" i="2"/>
  <c r="T38" i="2"/>
  <c r="S38" i="2"/>
  <c r="R38" i="2"/>
  <c r="L38" i="2"/>
  <c r="I38" i="2"/>
  <c r="H38" i="2"/>
  <c r="F38" i="2"/>
  <c r="E38" i="2"/>
  <c r="D38" i="2"/>
  <c r="AV37" i="2"/>
  <c r="AU37" i="2"/>
  <c r="AT37" i="2"/>
  <c r="AS37" i="2"/>
  <c r="AR37" i="2"/>
  <c r="AQ37" i="2"/>
  <c r="AP37" i="2"/>
  <c r="AO37" i="2"/>
  <c r="AN37" i="2"/>
  <c r="AM37" i="2"/>
  <c r="AJ37" i="2"/>
  <c r="AG37" i="2"/>
  <c r="AF37" i="2"/>
  <c r="AB37" i="2"/>
  <c r="W37" i="2"/>
  <c r="U37" i="2"/>
  <c r="T37" i="2"/>
  <c r="S37" i="2"/>
  <c r="R37" i="2"/>
  <c r="K37" i="2"/>
  <c r="F37" i="2"/>
  <c r="A37" i="2"/>
  <c r="AV36" i="2"/>
  <c r="AU36" i="2"/>
  <c r="AT36" i="2"/>
  <c r="AS36" i="2"/>
  <c r="AR36" i="2"/>
  <c r="AQ36" i="2"/>
  <c r="AP36" i="2"/>
  <c r="AO36" i="2"/>
  <c r="AN36" i="2"/>
  <c r="AM36" i="2"/>
  <c r="I36" i="2"/>
  <c r="H36" i="2"/>
  <c r="F36" i="2"/>
  <c r="E36" i="2"/>
  <c r="D36" i="2"/>
  <c r="AV35" i="2"/>
  <c r="AU35" i="2"/>
  <c r="AT35" i="2"/>
  <c r="AS35" i="2"/>
  <c r="AR35" i="2"/>
  <c r="AQ35" i="2"/>
  <c r="AP35" i="2"/>
  <c r="AO35" i="2"/>
  <c r="AN35" i="2"/>
  <c r="AM35" i="2"/>
  <c r="AB35" i="2"/>
  <c r="AA35" i="2"/>
  <c r="Z35" i="2"/>
  <c r="Y35" i="2"/>
  <c r="X35" i="2"/>
  <c r="W35" i="2"/>
  <c r="V35" i="2"/>
  <c r="U35" i="2"/>
  <c r="T35" i="2"/>
  <c r="S35" i="2"/>
  <c r="R35" i="2"/>
  <c r="L35" i="2"/>
  <c r="I35" i="2"/>
  <c r="H35" i="2"/>
  <c r="F35" i="2"/>
  <c r="E35" i="2"/>
  <c r="D35" i="2"/>
  <c r="AV34" i="2"/>
  <c r="AU34" i="2"/>
  <c r="AT34" i="2"/>
  <c r="AS34" i="2"/>
  <c r="AR34" i="2"/>
  <c r="AQ34" i="2"/>
  <c r="AP34" i="2"/>
  <c r="AO34" i="2"/>
  <c r="AN34" i="2"/>
  <c r="AM34" i="2"/>
  <c r="AJ34" i="2"/>
  <c r="AG34" i="2"/>
  <c r="AF34" i="2"/>
  <c r="AB34" i="2"/>
  <c r="W34" i="2"/>
  <c r="U34" i="2"/>
  <c r="T34" i="2"/>
  <c r="S34" i="2"/>
  <c r="R34" i="2"/>
  <c r="K34" i="2"/>
  <c r="F34" i="2"/>
  <c r="A34" i="2"/>
  <c r="AV33" i="2"/>
  <c r="AU33" i="2"/>
  <c r="AT33" i="2"/>
  <c r="AS33" i="2"/>
  <c r="AR33" i="2"/>
  <c r="AQ33" i="2"/>
  <c r="AP33" i="2"/>
  <c r="AO33" i="2"/>
  <c r="AN33" i="2"/>
  <c r="AM33" i="2"/>
  <c r="I33" i="2"/>
  <c r="H33" i="2"/>
  <c r="F33" i="2"/>
  <c r="E33" i="2"/>
  <c r="D33" i="2"/>
  <c r="AV32" i="2"/>
  <c r="AU32" i="2"/>
  <c r="AT32" i="2"/>
  <c r="AS32" i="2"/>
  <c r="AR32" i="2"/>
  <c r="AQ32" i="2"/>
  <c r="AP32" i="2"/>
  <c r="AO32" i="2"/>
  <c r="AN32" i="2"/>
  <c r="AM32" i="2"/>
  <c r="AB32" i="2"/>
  <c r="AA32" i="2"/>
  <c r="Z32" i="2"/>
  <c r="Y32" i="2"/>
  <c r="X32" i="2"/>
  <c r="W32" i="2"/>
  <c r="V32" i="2"/>
  <c r="U32" i="2"/>
  <c r="T32" i="2"/>
  <c r="S32" i="2"/>
  <c r="R32" i="2"/>
  <c r="L32" i="2"/>
  <c r="I32" i="2"/>
  <c r="H32" i="2"/>
  <c r="F32" i="2"/>
  <c r="E32" i="2"/>
  <c r="D32" i="2"/>
  <c r="AV31" i="2"/>
  <c r="AU31" i="2"/>
  <c r="AT31" i="2"/>
  <c r="AS31" i="2"/>
  <c r="AR31" i="2"/>
  <c r="AQ31" i="2"/>
  <c r="AP31" i="2"/>
  <c r="AO31" i="2"/>
  <c r="AN31" i="2"/>
  <c r="AM31" i="2"/>
  <c r="AJ31" i="2"/>
  <c r="AG31" i="2"/>
  <c r="AF31" i="2"/>
  <c r="AB31" i="2"/>
  <c r="W31" i="2"/>
  <c r="U31" i="2"/>
  <c r="T31" i="2"/>
  <c r="S31" i="2"/>
  <c r="R31" i="2"/>
  <c r="K31" i="2"/>
  <c r="F31" i="2"/>
  <c r="A31" i="2"/>
  <c r="AV30" i="2"/>
  <c r="AU30" i="2"/>
  <c r="AT30" i="2"/>
  <c r="AS30" i="2"/>
  <c r="AR30" i="2"/>
  <c r="AQ30" i="2"/>
  <c r="AP30" i="2"/>
  <c r="AO30" i="2"/>
  <c r="AN30" i="2"/>
  <c r="AM30" i="2"/>
  <c r="I30" i="2"/>
  <c r="H30" i="2"/>
  <c r="F30" i="2"/>
  <c r="E30" i="2"/>
  <c r="D30" i="2"/>
  <c r="AV29" i="2"/>
  <c r="AU29" i="2"/>
  <c r="AT29" i="2"/>
  <c r="AS29" i="2"/>
  <c r="AR29" i="2"/>
  <c r="AQ29" i="2"/>
  <c r="AP29" i="2"/>
  <c r="AO29" i="2"/>
  <c r="AN29" i="2"/>
  <c r="AM29" i="2"/>
  <c r="AB29" i="2"/>
  <c r="AA29" i="2"/>
  <c r="Z29" i="2"/>
  <c r="Y29" i="2"/>
  <c r="X29" i="2"/>
  <c r="W29" i="2"/>
  <c r="V29" i="2"/>
  <c r="U29" i="2"/>
  <c r="T29" i="2"/>
  <c r="S29" i="2"/>
  <c r="R29" i="2"/>
  <c r="L29" i="2"/>
  <c r="I29" i="2"/>
  <c r="H29" i="2"/>
  <c r="F29" i="2"/>
  <c r="E29" i="2"/>
  <c r="D29" i="2"/>
  <c r="AV28" i="2"/>
  <c r="AU28" i="2"/>
  <c r="AT28" i="2"/>
  <c r="AS28" i="2"/>
  <c r="AR28" i="2"/>
  <c r="AQ28" i="2"/>
  <c r="AP28" i="2"/>
  <c r="AO28" i="2"/>
  <c r="AN28" i="2"/>
  <c r="AM28" i="2"/>
  <c r="AJ28" i="2"/>
  <c r="AG28" i="2"/>
  <c r="AF28" i="2"/>
  <c r="AE28" i="2"/>
  <c r="AB28" i="2"/>
  <c r="W28" i="2"/>
  <c r="U28" i="2"/>
  <c r="T28" i="2"/>
  <c r="S28" i="2"/>
  <c r="R28" i="2"/>
  <c r="K28" i="2"/>
  <c r="A28" i="2"/>
  <c r="AV27" i="2"/>
  <c r="AU27" i="2"/>
  <c r="AT27" i="2"/>
  <c r="AS27" i="2"/>
  <c r="AR27" i="2"/>
  <c r="AQ27" i="2"/>
  <c r="AP27" i="2"/>
  <c r="AO27" i="2"/>
  <c r="AN27" i="2"/>
  <c r="AM27" i="2"/>
  <c r="I27" i="2"/>
  <c r="H27" i="2"/>
  <c r="F27" i="2"/>
  <c r="E27" i="2"/>
  <c r="D27" i="2"/>
  <c r="AV26" i="2"/>
  <c r="AU26" i="2"/>
  <c r="AT26" i="2"/>
  <c r="AS26" i="2"/>
  <c r="AR26" i="2"/>
  <c r="AQ26" i="2"/>
  <c r="AP26" i="2"/>
  <c r="AO26" i="2"/>
  <c r="AN26" i="2"/>
  <c r="AM26" i="2"/>
  <c r="AB26" i="2"/>
  <c r="AA26" i="2"/>
  <c r="Z26" i="2"/>
  <c r="Y26" i="2"/>
  <c r="X26" i="2"/>
  <c r="W26" i="2"/>
  <c r="V26" i="2"/>
  <c r="U26" i="2"/>
  <c r="T26" i="2"/>
  <c r="S26" i="2"/>
  <c r="R26" i="2"/>
  <c r="L26" i="2"/>
  <c r="I26" i="2"/>
  <c r="H26" i="2"/>
  <c r="F26" i="2"/>
  <c r="E26" i="2"/>
  <c r="D26" i="2"/>
  <c r="AV25" i="2"/>
  <c r="AU25" i="2"/>
  <c r="AT25" i="2"/>
  <c r="AS25" i="2"/>
  <c r="AR25" i="2"/>
  <c r="AQ25" i="2"/>
  <c r="AP25" i="2"/>
  <c r="AO25" i="2"/>
  <c r="AN25" i="2"/>
  <c r="AM25" i="2"/>
  <c r="AJ25" i="2"/>
  <c r="AG25" i="2"/>
  <c r="AF25" i="2"/>
  <c r="AE25" i="2"/>
  <c r="AB25" i="2"/>
  <c r="W25" i="2"/>
  <c r="U25" i="2"/>
  <c r="T25" i="2"/>
  <c r="S25" i="2"/>
  <c r="R25" i="2"/>
  <c r="K25" i="2"/>
  <c r="A25" i="2"/>
  <c r="AV24" i="2"/>
  <c r="AU24" i="2"/>
  <c r="AT24" i="2"/>
  <c r="AS24" i="2"/>
  <c r="AR24" i="2"/>
  <c r="AQ24" i="2"/>
  <c r="AP24" i="2"/>
  <c r="AO24" i="2"/>
  <c r="AN24" i="2"/>
  <c r="AM24" i="2"/>
  <c r="I24" i="2"/>
  <c r="H24" i="2"/>
  <c r="F24" i="2"/>
  <c r="E24" i="2"/>
  <c r="D24" i="2"/>
  <c r="AV23" i="2"/>
  <c r="AU23" i="2"/>
  <c r="AT23" i="2"/>
  <c r="AS23" i="2"/>
  <c r="AR23" i="2"/>
  <c r="AQ23" i="2"/>
  <c r="AP23" i="2"/>
  <c r="AO23" i="2"/>
  <c r="AN23" i="2"/>
  <c r="AM23" i="2"/>
  <c r="AB23" i="2"/>
  <c r="AA23" i="2"/>
  <c r="Z23" i="2"/>
  <c r="Y23" i="2"/>
  <c r="X23" i="2"/>
  <c r="W23" i="2"/>
  <c r="V23" i="2"/>
  <c r="U23" i="2"/>
  <c r="T23" i="2"/>
  <c r="S23" i="2"/>
  <c r="R23" i="2"/>
  <c r="L23" i="2"/>
  <c r="I23" i="2"/>
  <c r="H23" i="2"/>
  <c r="F23" i="2"/>
  <c r="E23" i="2"/>
  <c r="D23" i="2"/>
  <c r="AV22" i="2"/>
  <c r="AU22" i="2"/>
  <c r="AT22" i="2"/>
  <c r="AS22" i="2"/>
  <c r="AR22" i="2"/>
  <c r="AQ22" i="2"/>
  <c r="AP22" i="2"/>
  <c r="AO22" i="2"/>
  <c r="AN22" i="2"/>
  <c r="AM22" i="2"/>
  <c r="AJ22" i="2"/>
  <c r="AG22" i="2"/>
  <c r="AF22" i="2"/>
  <c r="AB22" i="2"/>
  <c r="W22" i="2"/>
  <c r="U22" i="2"/>
  <c r="T22" i="2"/>
  <c r="S22" i="2"/>
  <c r="R22" i="2"/>
  <c r="K22" i="2"/>
  <c r="A22" i="2"/>
  <c r="AV21" i="2"/>
  <c r="AU21" i="2"/>
  <c r="AT21" i="2"/>
  <c r="AS21" i="2"/>
  <c r="AR21" i="2"/>
  <c r="AQ21" i="2"/>
  <c r="AP21" i="2"/>
  <c r="AO21" i="2"/>
  <c r="AN21" i="2"/>
  <c r="AM21" i="2"/>
  <c r="I21" i="2"/>
  <c r="H21" i="2"/>
  <c r="F21" i="2"/>
  <c r="E21" i="2"/>
  <c r="D21" i="2"/>
  <c r="AV20" i="2"/>
  <c r="AU20" i="2"/>
  <c r="AT20" i="2"/>
  <c r="AS20" i="2"/>
  <c r="AR20" i="2"/>
  <c r="AQ20" i="2"/>
  <c r="AP20" i="2"/>
  <c r="AO20" i="2"/>
  <c r="AN20" i="2"/>
  <c r="AM20" i="2"/>
  <c r="AB20" i="2"/>
  <c r="AA20" i="2"/>
  <c r="Z20" i="2"/>
  <c r="Y20" i="2"/>
  <c r="X20" i="2"/>
  <c r="W20" i="2"/>
  <c r="V20" i="2"/>
  <c r="U20" i="2"/>
  <c r="T20" i="2"/>
  <c r="S20" i="2"/>
  <c r="R20" i="2"/>
  <c r="L20" i="2"/>
  <c r="I20" i="2"/>
  <c r="H20" i="2"/>
  <c r="F20" i="2"/>
  <c r="E20" i="2"/>
  <c r="D20" i="2"/>
  <c r="AV19" i="2"/>
  <c r="AU19" i="2"/>
  <c r="AT19" i="2"/>
  <c r="AS19" i="2"/>
  <c r="AR19" i="2"/>
  <c r="AQ19" i="2"/>
  <c r="AP19" i="2"/>
  <c r="AO19" i="2"/>
  <c r="AN19" i="2"/>
  <c r="AM19" i="2"/>
  <c r="AJ19" i="2"/>
  <c r="AG19" i="2"/>
  <c r="AF19" i="2"/>
  <c r="AB19" i="2"/>
  <c r="W19" i="2"/>
  <c r="U19" i="2"/>
  <c r="T19" i="2"/>
  <c r="S19" i="2"/>
  <c r="R19" i="2"/>
  <c r="K19" i="2"/>
  <c r="F19" i="2"/>
  <c r="A19" i="2"/>
  <c r="AV18" i="2"/>
  <c r="AU18" i="2"/>
  <c r="AT18" i="2"/>
  <c r="AS18" i="2"/>
  <c r="AR18" i="2"/>
  <c r="AQ18" i="2"/>
  <c r="AP18" i="2"/>
  <c r="AO18" i="2"/>
  <c r="AN18" i="2"/>
  <c r="AM18" i="2"/>
  <c r="I18" i="2"/>
  <c r="H18" i="2"/>
  <c r="F18" i="2"/>
  <c r="E18" i="2"/>
  <c r="D18" i="2"/>
  <c r="AV17" i="2"/>
  <c r="AU17" i="2"/>
  <c r="AT17" i="2"/>
  <c r="AS17" i="2"/>
  <c r="AR17" i="2"/>
  <c r="AQ17" i="2"/>
  <c r="AP17" i="2"/>
  <c r="AO17" i="2"/>
  <c r="AN17" i="2"/>
  <c r="AM17" i="2"/>
  <c r="AB17" i="2"/>
  <c r="AA17" i="2"/>
  <c r="Z17" i="2"/>
  <c r="Y17" i="2"/>
  <c r="X17" i="2"/>
  <c r="W17" i="2"/>
  <c r="V17" i="2"/>
  <c r="U17" i="2"/>
  <c r="T17" i="2"/>
  <c r="S17" i="2"/>
  <c r="R17" i="2"/>
  <c r="L17" i="2"/>
  <c r="I17" i="2"/>
  <c r="H17" i="2"/>
  <c r="F17" i="2"/>
  <c r="E17" i="2"/>
  <c r="D17" i="2"/>
  <c r="AV16" i="2"/>
  <c r="AU16" i="2"/>
  <c r="AT16" i="2"/>
  <c r="AS16" i="2"/>
  <c r="AR16" i="2"/>
  <c r="AQ16" i="2"/>
  <c r="AP16" i="2"/>
  <c r="AO16" i="2"/>
  <c r="AN16" i="2"/>
  <c r="AM16" i="2"/>
  <c r="AJ16" i="2"/>
  <c r="AG16" i="2"/>
  <c r="AF16" i="2"/>
  <c r="AB16" i="2"/>
  <c r="W16" i="2"/>
  <c r="U16" i="2"/>
  <c r="T16" i="2"/>
  <c r="S16" i="2"/>
  <c r="R16" i="2"/>
  <c r="K16" i="2"/>
  <c r="A16" i="2"/>
  <c r="AV15" i="2"/>
  <c r="AU15" i="2"/>
  <c r="AT15" i="2"/>
  <c r="AS15" i="2"/>
  <c r="AR15" i="2"/>
  <c r="AQ15" i="2"/>
  <c r="AP15" i="2"/>
  <c r="AO15" i="2"/>
  <c r="AN15" i="2"/>
  <c r="AM15" i="2"/>
  <c r="I15" i="2"/>
  <c r="H15" i="2"/>
  <c r="F15" i="2"/>
  <c r="E15" i="2"/>
  <c r="D15" i="2"/>
  <c r="AV14" i="2"/>
  <c r="AU14" i="2"/>
  <c r="AT14" i="2"/>
  <c r="AS14" i="2"/>
  <c r="AR14" i="2"/>
  <c r="AQ14" i="2"/>
  <c r="AP14" i="2"/>
  <c r="AO14" i="2"/>
  <c r="AN14" i="2"/>
  <c r="AM14" i="2"/>
  <c r="AB14" i="2"/>
  <c r="AA14" i="2"/>
  <c r="Z14" i="2"/>
  <c r="Y14" i="2"/>
  <c r="X14" i="2"/>
  <c r="W14" i="2"/>
  <c r="V14" i="2"/>
  <c r="U14" i="2"/>
  <c r="T14" i="2"/>
  <c r="S14" i="2"/>
  <c r="R14" i="2"/>
  <c r="L14" i="2"/>
  <c r="I14" i="2"/>
  <c r="H14" i="2"/>
  <c r="F14" i="2"/>
  <c r="E14" i="2"/>
  <c r="D14" i="2"/>
  <c r="AV13" i="2"/>
  <c r="AU13" i="2"/>
  <c r="AT13" i="2"/>
  <c r="AS13" i="2"/>
  <c r="AR13" i="2"/>
  <c r="AQ13" i="2"/>
  <c r="AP13" i="2"/>
  <c r="AO13" i="2"/>
  <c r="AN13" i="2"/>
  <c r="AM13" i="2"/>
  <c r="AJ13" i="2"/>
  <c r="AG13" i="2"/>
  <c r="AF13" i="2"/>
  <c r="AB13" i="2"/>
  <c r="W13" i="2"/>
  <c r="U13" i="2"/>
  <c r="T13" i="2"/>
  <c r="S13" i="2"/>
  <c r="R13" i="2"/>
  <c r="K13" i="2"/>
  <c r="A13" i="2"/>
  <c r="AV12" i="2"/>
  <c r="AU12" i="2"/>
  <c r="AT12" i="2"/>
  <c r="AS12" i="2"/>
  <c r="AR12" i="2"/>
  <c r="AQ12" i="2"/>
  <c r="AP12" i="2"/>
  <c r="AO12" i="2"/>
  <c r="AN12" i="2"/>
  <c r="AM12" i="2"/>
  <c r="I12" i="2"/>
  <c r="H12" i="2"/>
  <c r="F12" i="2"/>
  <c r="E12" i="2"/>
  <c r="D12" i="2"/>
  <c r="AV11" i="2"/>
  <c r="AU11" i="2"/>
  <c r="AT11" i="2"/>
  <c r="AS11" i="2"/>
  <c r="AR11" i="2"/>
  <c r="AQ11" i="2"/>
  <c r="AP11" i="2"/>
  <c r="AO11" i="2"/>
  <c r="AN11" i="2"/>
  <c r="AM11" i="2"/>
  <c r="AB11" i="2"/>
  <c r="AA11" i="2"/>
  <c r="Z11" i="2"/>
  <c r="Y11" i="2"/>
  <c r="X11" i="2"/>
  <c r="W11" i="2"/>
  <c r="T11" i="2"/>
  <c r="S11" i="2"/>
  <c r="R11" i="2"/>
  <c r="L11" i="2"/>
  <c r="I11" i="2"/>
  <c r="H11" i="2"/>
  <c r="F11" i="2"/>
  <c r="E11" i="2"/>
  <c r="D11" i="2"/>
  <c r="BB10" i="2" a="1"/>
  <c r="AV10" i="2"/>
  <c r="AU10" i="2"/>
  <c r="AT10" i="2"/>
  <c r="AS10" i="2"/>
  <c r="AR10" i="2"/>
  <c r="AQ10" i="2"/>
  <c r="AP10" i="2"/>
  <c r="AO10" i="2"/>
  <c r="AN10" i="2"/>
  <c r="AM10" i="2"/>
  <c r="AJ10" i="2"/>
  <c r="AG10" i="2"/>
  <c r="AF10" i="2"/>
  <c r="AB10" i="2"/>
  <c r="W10" i="2"/>
  <c r="U10" i="2"/>
  <c r="T10" i="2"/>
  <c r="S10" i="2"/>
  <c r="R10" i="2"/>
  <c r="K10" i="2"/>
  <c r="F10" i="2"/>
  <c r="BB8" i="2"/>
  <c r="AW6" i="2"/>
  <c r="M5" i="2"/>
  <c r="AL247" i="1"/>
  <c r="AK247" i="1"/>
  <c r="AJ247" i="1"/>
  <c r="AI247" i="1"/>
  <c r="AH247" i="1"/>
  <c r="AG247" i="1"/>
  <c r="AF247" i="1"/>
  <c r="AE247" i="1"/>
  <c r="AD247" i="1"/>
  <c r="AC247" i="1"/>
  <c r="I247" i="1"/>
  <c r="G247" i="1"/>
  <c r="F247" i="1"/>
  <c r="AR246" i="1"/>
  <c r="AQ246" i="1"/>
  <c r="AP246"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R245" i="1"/>
  <c r="AQ245" i="1"/>
  <c r="AP245"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R243" i="1"/>
  <c r="AQ243" i="1"/>
  <c r="AP243"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R242" i="1"/>
  <c r="AQ242" i="1"/>
  <c r="AP242"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R240" i="1"/>
  <c r="AQ240" i="1"/>
  <c r="AP240"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R239" i="1"/>
  <c r="AQ239" i="1"/>
  <c r="AP239"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R237" i="1"/>
  <c r="AQ237" i="1"/>
  <c r="AP237"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R236" i="1"/>
  <c r="AQ236" i="1"/>
  <c r="AP236"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R234" i="1"/>
  <c r="AQ234" i="1"/>
  <c r="AP234"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R233" i="1"/>
  <c r="AQ233" i="1"/>
  <c r="AP233"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R231" i="1"/>
  <c r="AQ231" i="1"/>
  <c r="AP231"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R230" i="1"/>
  <c r="AQ230" i="1"/>
  <c r="AP230"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R228" i="1"/>
  <c r="AQ228" i="1"/>
  <c r="AP228"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R227" i="1"/>
  <c r="AQ227" i="1"/>
  <c r="AP227"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R225" i="1"/>
  <c r="AQ225" i="1"/>
  <c r="AP225"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R224" i="1"/>
  <c r="AQ224" i="1"/>
  <c r="AP224"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R222" i="1"/>
  <c r="AQ222" i="1"/>
  <c r="AP222"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R221" i="1"/>
  <c r="AQ221" i="1"/>
  <c r="AP221"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R219" i="1"/>
  <c r="AQ219" i="1"/>
  <c r="AP219"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R218" i="1"/>
  <c r="AQ218" i="1"/>
  <c r="AP218"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R216" i="1"/>
  <c r="AQ216" i="1"/>
  <c r="AP216"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R215" i="1"/>
  <c r="AQ215" i="1"/>
  <c r="AP215"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R213" i="1"/>
  <c r="AQ213" i="1"/>
  <c r="AP213"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R212" i="1"/>
  <c r="AQ212" i="1"/>
  <c r="AP212"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G211" i="1"/>
  <c r="X210" i="1"/>
  <c r="V210" i="1"/>
  <c r="U210" i="1"/>
  <c r="T210" i="1"/>
  <c r="S210" i="1"/>
  <c r="R210" i="1"/>
  <c r="O210" i="1"/>
  <c r="N210" i="1"/>
  <c r="M210" i="1"/>
  <c r="L210" i="1"/>
  <c r="K210" i="1"/>
  <c r="I210" i="1"/>
  <c r="G210" i="1"/>
  <c r="AB209" i="1"/>
  <c r="Y209" i="1"/>
  <c r="X209" i="1"/>
  <c r="W209" i="1"/>
  <c r="V209" i="1"/>
  <c r="U209" i="1"/>
  <c r="T209" i="1"/>
  <c r="S209" i="1"/>
  <c r="R209" i="1"/>
  <c r="P209" i="1"/>
  <c r="O209" i="1"/>
  <c r="N209" i="1"/>
  <c r="M209" i="1"/>
  <c r="L209" i="1"/>
  <c r="K209" i="1"/>
  <c r="I209" i="1"/>
  <c r="G209" i="1"/>
  <c r="I208" i="1"/>
  <c r="G208" i="1"/>
  <c r="X207" i="1"/>
  <c r="V207" i="1"/>
  <c r="U207" i="1"/>
  <c r="T207" i="1"/>
  <c r="S207" i="1"/>
  <c r="R207" i="1"/>
  <c r="O207" i="1"/>
  <c r="N207" i="1"/>
  <c r="M207" i="1"/>
  <c r="L207" i="1"/>
  <c r="K207" i="1"/>
  <c r="I207" i="1"/>
  <c r="G207" i="1"/>
  <c r="AB206" i="1"/>
  <c r="X206" i="1"/>
  <c r="W206" i="1"/>
  <c r="V206" i="1"/>
  <c r="U206" i="1"/>
  <c r="T206" i="1"/>
  <c r="S206" i="1"/>
  <c r="R206" i="1"/>
  <c r="P206" i="1"/>
  <c r="O206" i="1"/>
  <c r="N206" i="1"/>
  <c r="M206" i="1"/>
  <c r="L206" i="1"/>
  <c r="K206" i="1"/>
  <c r="I206" i="1"/>
  <c r="G206" i="1"/>
  <c r="I205" i="1"/>
  <c r="G205" i="1"/>
  <c r="X204" i="1"/>
  <c r="V204" i="1"/>
  <c r="U204" i="1"/>
  <c r="T204" i="1"/>
  <c r="S204" i="1"/>
  <c r="R204" i="1"/>
  <c r="O204" i="1"/>
  <c r="N204" i="1"/>
  <c r="M204" i="1"/>
  <c r="L204" i="1"/>
  <c r="K204" i="1"/>
  <c r="I204" i="1"/>
  <c r="G204" i="1"/>
  <c r="AB203" i="1"/>
  <c r="Y203" i="1"/>
  <c r="X203" i="1"/>
  <c r="W203" i="1"/>
  <c r="V203" i="1"/>
  <c r="U203" i="1"/>
  <c r="T203" i="1"/>
  <c r="S203" i="1"/>
  <c r="R203" i="1"/>
  <c r="P203" i="1"/>
  <c r="O203" i="1"/>
  <c r="N203" i="1"/>
  <c r="M203" i="1"/>
  <c r="L203" i="1"/>
  <c r="K203" i="1"/>
  <c r="I203" i="1"/>
  <c r="G203" i="1"/>
  <c r="I202" i="1"/>
  <c r="G202" i="1"/>
  <c r="X201" i="1"/>
  <c r="V201" i="1"/>
  <c r="U201" i="1"/>
  <c r="T201" i="1"/>
  <c r="S201" i="1"/>
  <c r="R201" i="1"/>
  <c r="O201" i="1"/>
  <c r="N201" i="1"/>
  <c r="M201" i="1"/>
  <c r="L201" i="1"/>
  <c r="K201" i="1"/>
  <c r="I201" i="1"/>
  <c r="G201" i="1"/>
  <c r="AB200" i="1"/>
  <c r="Y200" i="1"/>
  <c r="X200" i="1"/>
  <c r="W200" i="1"/>
  <c r="V200" i="1"/>
  <c r="U200" i="1"/>
  <c r="T200" i="1"/>
  <c r="S200" i="1"/>
  <c r="R200" i="1"/>
  <c r="P200" i="1"/>
  <c r="O200" i="1"/>
  <c r="N200" i="1"/>
  <c r="M200" i="1"/>
  <c r="L200" i="1"/>
  <c r="K200" i="1"/>
  <c r="I200" i="1"/>
  <c r="G200" i="1"/>
  <c r="I199" i="1"/>
  <c r="G199" i="1"/>
  <c r="X198" i="1"/>
  <c r="V198" i="1"/>
  <c r="U198" i="1"/>
  <c r="T198" i="1"/>
  <c r="S198" i="1"/>
  <c r="R198" i="1"/>
  <c r="O198" i="1"/>
  <c r="N198" i="1"/>
  <c r="M198" i="1"/>
  <c r="L198" i="1"/>
  <c r="K198" i="1"/>
  <c r="I198" i="1"/>
  <c r="G198" i="1"/>
  <c r="AB197" i="1"/>
  <c r="Y197" i="1"/>
  <c r="X197" i="1"/>
  <c r="W197" i="1"/>
  <c r="V197" i="1"/>
  <c r="U197" i="1"/>
  <c r="T197" i="1"/>
  <c r="S197" i="1"/>
  <c r="R197" i="1"/>
  <c r="P197" i="1"/>
  <c r="O197" i="1"/>
  <c r="N197" i="1"/>
  <c r="M197" i="1"/>
  <c r="L197" i="1"/>
  <c r="K197" i="1"/>
  <c r="I197" i="1"/>
  <c r="G197" i="1"/>
  <c r="I196" i="1"/>
  <c r="G196" i="1"/>
  <c r="X195" i="1"/>
  <c r="V195" i="1"/>
  <c r="U195" i="1"/>
  <c r="T195" i="1"/>
  <c r="S195" i="1"/>
  <c r="R195" i="1"/>
  <c r="O195" i="1"/>
  <c r="N195" i="1"/>
  <c r="M195" i="1"/>
  <c r="L195" i="1"/>
  <c r="K195" i="1"/>
  <c r="I195" i="1"/>
  <c r="G195" i="1"/>
  <c r="AU194" i="1"/>
  <c r="AB194" i="1"/>
  <c r="X194" i="1"/>
  <c r="W194" i="1"/>
  <c r="V194" i="1"/>
  <c r="U194" i="1"/>
  <c r="T194" i="1"/>
  <c r="S194" i="1"/>
  <c r="R194" i="1"/>
  <c r="P194" i="1"/>
  <c r="O194" i="1"/>
  <c r="N194" i="1"/>
  <c r="M194" i="1"/>
  <c r="L194" i="1"/>
  <c r="K194" i="1"/>
  <c r="I194" i="1"/>
  <c r="G194" i="1"/>
  <c r="I193" i="1"/>
  <c r="G193" i="1"/>
  <c r="X192" i="1"/>
  <c r="V192" i="1"/>
  <c r="U192" i="1"/>
  <c r="T192" i="1"/>
  <c r="S192" i="1"/>
  <c r="R192" i="1"/>
  <c r="O192" i="1"/>
  <c r="N192" i="1"/>
  <c r="M192" i="1"/>
  <c r="L192" i="1"/>
  <c r="K192" i="1"/>
  <c r="I192" i="1"/>
  <c r="G192" i="1"/>
  <c r="AB191" i="1"/>
  <c r="Y191" i="1"/>
  <c r="X191" i="1"/>
  <c r="W191" i="1"/>
  <c r="V191" i="1"/>
  <c r="U191" i="1"/>
  <c r="T191" i="1"/>
  <c r="S191" i="1"/>
  <c r="R191" i="1"/>
  <c r="P191" i="1"/>
  <c r="O191" i="1"/>
  <c r="N191" i="1"/>
  <c r="M191" i="1"/>
  <c r="L191" i="1"/>
  <c r="K191" i="1"/>
  <c r="I191" i="1"/>
  <c r="G191" i="1"/>
  <c r="I190" i="1"/>
  <c r="G190" i="1"/>
  <c r="X189" i="1"/>
  <c r="V189" i="1"/>
  <c r="U189" i="1"/>
  <c r="T189" i="1"/>
  <c r="S189" i="1"/>
  <c r="R189" i="1"/>
  <c r="O189" i="1"/>
  <c r="N189" i="1"/>
  <c r="M189" i="1"/>
  <c r="L189" i="1"/>
  <c r="K189" i="1"/>
  <c r="I189" i="1"/>
  <c r="G189" i="1"/>
  <c r="AB188" i="1"/>
  <c r="X188" i="1"/>
  <c r="W188" i="1"/>
  <c r="V188" i="1"/>
  <c r="U188" i="1"/>
  <c r="T188" i="1"/>
  <c r="S188" i="1"/>
  <c r="R188" i="1"/>
  <c r="P188" i="1"/>
  <c r="O188" i="1"/>
  <c r="N188" i="1"/>
  <c r="M188" i="1"/>
  <c r="L188" i="1"/>
  <c r="K188" i="1"/>
  <c r="I188" i="1"/>
  <c r="G188" i="1"/>
  <c r="I187" i="1"/>
  <c r="G187" i="1"/>
  <c r="X186" i="1"/>
  <c r="V186" i="1"/>
  <c r="U186" i="1"/>
  <c r="T186" i="1"/>
  <c r="S186" i="1"/>
  <c r="R186" i="1"/>
  <c r="O186" i="1"/>
  <c r="N186" i="1"/>
  <c r="M186" i="1"/>
  <c r="L186" i="1"/>
  <c r="K186" i="1"/>
  <c r="I186" i="1"/>
  <c r="G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G184" i="1"/>
  <c r="AR183" i="1"/>
  <c r="AQ183" i="1"/>
  <c r="AP183" i="1"/>
  <c r="AL183" i="1"/>
  <c r="AK183" i="1"/>
  <c r="AJ183" i="1"/>
  <c r="AI183" i="1"/>
  <c r="AH183" i="1"/>
  <c r="AG183" i="1"/>
  <c r="AF183" i="1"/>
  <c r="AE183" i="1"/>
  <c r="AD183" i="1"/>
  <c r="AC183" i="1"/>
  <c r="X183" i="1"/>
  <c r="V183" i="1"/>
  <c r="U183" i="1"/>
  <c r="T183" i="1"/>
  <c r="S183" i="1"/>
  <c r="R183" i="1"/>
  <c r="O183" i="1"/>
  <c r="N183" i="1"/>
  <c r="M183" i="1"/>
  <c r="L183" i="1"/>
  <c r="K183" i="1"/>
  <c r="I183" i="1"/>
  <c r="G183" i="1"/>
  <c r="AR182" i="1"/>
  <c r="AQ182" i="1"/>
  <c r="AP182"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G181" i="1"/>
  <c r="AR180" i="1"/>
  <c r="AQ180" i="1"/>
  <c r="AP180" i="1"/>
  <c r="AL180" i="1"/>
  <c r="AK180" i="1"/>
  <c r="AJ180" i="1"/>
  <c r="AI180" i="1"/>
  <c r="AH180" i="1"/>
  <c r="AG180" i="1"/>
  <c r="AF180" i="1"/>
  <c r="AE180" i="1"/>
  <c r="AD180" i="1"/>
  <c r="AC180" i="1"/>
  <c r="X180" i="1"/>
  <c r="V180" i="1"/>
  <c r="U180" i="1"/>
  <c r="T180" i="1"/>
  <c r="S180" i="1"/>
  <c r="R180" i="1"/>
  <c r="O180" i="1"/>
  <c r="N180" i="1"/>
  <c r="M180" i="1"/>
  <c r="L180" i="1"/>
  <c r="K180" i="1"/>
  <c r="I180" i="1"/>
  <c r="G180" i="1"/>
  <c r="AR179" i="1"/>
  <c r="AQ179" i="1"/>
  <c r="AP179"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G178" i="1"/>
  <c r="AR177" i="1"/>
  <c r="AQ177" i="1"/>
  <c r="AP177" i="1"/>
  <c r="AL177" i="1"/>
  <c r="AK177" i="1"/>
  <c r="AJ177" i="1"/>
  <c r="AI177" i="1"/>
  <c r="AH177" i="1"/>
  <c r="AG177" i="1"/>
  <c r="AF177" i="1"/>
  <c r="AE177" i="1"/>
  <c r="AD177" i="1"/>
  <c r="AC177" i="1"/>
  <c r="X177" i="1"/>
  <c r="V177" i="1"/>
  <c r="U177" i="1"/>
  <c r="T177" i="1"/>
  <c r="S177" i="1"/>
  <c r="R177" i="1"/>
  <c r="O177" i="1"/>
  <c r="N177" i="1"/>
  <c r="M177" i="1"/>
  <c r="L177" i="1"/>
  <c r="K177" i="1"/>
  <c r="I177" i="1"/>
  <c r="G177" i="1"/>
  <c r="AR176" i="1"/>
  <c r="AQ176" i="1"/>
  <c r="AP176"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R174" i="1"/>
  <c r="AQ174" i="1"/>
  <c r="AP174"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R173" i="1"/>
  <c r="AQ173" i="1"/>
  <c r="AP173"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R171" i="1"/>
  <c r="AQ171" i="1"/>
  <c r="AP171"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R170" i="1"/>
  <c r="AQ170" i="1"/>
  <c r="AP170"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R168" i="1"/>
  <c r="AQ168" i="1"/>
  <c r="AP168"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R167" i="1"/>
  <c r="AQ167" i="1"/>
  <c r="AP167"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R165" i="1"/>
  <c r="AQ165" i="1"/>
  <c r="AP165"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R164" i="1"/>
  <c r="AQ164" i="1"/>
  <c r="AP164"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R162" i="1"/>
  <c r="AQ162" i="1"/>
  <c r="AP162"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R161" i="1"/>
  <c r="AQ161" i="1"/>
  <c r="AP161"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R159" i="1"/>
  <c r="AQ159" i="1"/>
  <c r="AP159"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R158" i="1"/>
  <c r="AQ158" i="1"/>
  <c r="AP158"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R156" i="1"/>
  <c r="AQ156" i="1"/>
  <c r="AP156"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R155" i="1"/>
  <c r="AQ155" i="1"/>
  <c r="AP155"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R153" i="1"/>
  <c r="AQ153" i="1"/>
  <c r="AP153"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R152" i="1"/>
  <c r="AQ152" i="1"/>
  <c r="AP152"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R150" i="1"/>
  <c r="AQ150" i="1"/>
  <c r="AP150"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R149" i="1"/>
  <c r="AQ149" i="1"/>
  <c r="AP149"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R147" i="1"/>
  <c r="AQ147" i="1"/>
  <c r="AP147"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R146" i="1"/>
  <c r="AQ146" i="1"/>
  <c r="AP146"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R144" i="1"/>
  <c r="AQ144" i="1"/>
  <c r="AP144"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R143" i="1"/>
  <c r="AQ143" i="1"/>
  <c r="AP143"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R141" i="1"/>
  <c r="AQ141" i="1"/>
  <c r="AP141"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R140" i="1"/>
  <c r="AQ140" i="1"/>
  <c r="AP140"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R138" i="1"/>
  <c r="AQ138" i="1"/>
  <c r="AP138"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R137" i="1"/>
  <c r="AQ137" i="1"/>
  <c r="AP137"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R135" i="1"/>
  <c r="AQ135" i="1"/>
  <c r="AP135"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R134" i="1"/>
  <c r="AQ134" i="1"/>
  <c r="AP134"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R132" i="1"/>
  <c r="AQ132" i="1"/>
  <c r="AP132"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R131" i="1"/>
  <c r="AQ131" i="1"/>
  <c r="AP131"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R129" i="1"/>
  <c r="AQ129" i="1"/>
  <c r="AP129"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R128" i="1"/>
  <c r="AQ128" i="1"/>
  <c r="AP128"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R126" i="1"/>
  <c r="AQ126" i="1"/>
  <c r="AP126"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R125" i="1"/>
  <c r="AQ125" i="1"/>
  <c r="AP125"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R123" i="1"/>
  <c r="AQ123" i="1"/>
  <c r="AP123"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R122" i="1"/>
  <c r="AQ122" i="1"/>
  <c r="AP122"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R120" i="1"/>
  <c r="AQ120" i="1"/>
  <c r="AP120"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R119" i="1"/>
  <c r="AQ119" i="1"/>
  <c r="AP119"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R117" i="1"/>
  <c r="AQ117" i="1"/>
  <c r="AP117"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R116" i="1"/>
  <c r="AQ116" i="1"/>
  <c r="AP116"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R114" i="1"/>
  <c r="AQ114" i="1"/>
  <c r="AP114"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R113" i="1"/>
  <c r="AQ113" i="1"/>
  <c r="AP113"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R111" i="1"/>
  <c r="AQ111" i="1"/>
  <c r="AP111"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R110" i="1"/>
  <c r="AQ110" i="1"/>
  <c r="AP110"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R108" i="1"/>
  <c r="AQ108" i="1"/>
  <c r="AP108"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R107" i="1"/>
  <c r="AQ107" i="1"/>
  <c r="AP107"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R105" i="1"/>
  <c r="AQ105" i="1"/>
  <c r="AP105"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R104" i="1"/>
  <c r="AQ104" i="1"/>
  <c r="AP104"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R102" i="1"/>
  <c r="AQ102" i="1"/>
  <c r="AP102"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R101" i="1"/>
  <c r="AQ101" i="1"/>
  <c r="AP101"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R99" i="1"/>
  <c r="AQ99" i="1"/>
  <c r="AP99" i="1"/>
  <c r="AL99" i="1"/>
  <c r="AK99" i="1"/>
  <c r="AJ99" i="1"/>
  <c r="AI99" i="1"/>
  <c r="AH99" i="1"/>
  <c r="AG99" i="1"/>
  <c r="AF99" i="1"/>
  <c r="AE99" i="1"/>
  <c r="AD99" i="1"/>
  <c r="AC99" i="1"/>
  <c r="X99" i="1"/>
  <c r="V99" i="1"/>
  <c r="U99" i="1"/>
  <c r="T99" i="1"/>
  <c r="S99" i="1"/>
  <c r="R99" i="1"/>
  <c r="O99" i="1"/>
  <c r="N99" i="1"/>
  <c r="M99" i="1"/>
  <c r="L99" i="1"/>
  <c r="K99" i="1"/>
  <c r="I99" i="1"/>
  <c r="G99" i="1"/>
  <c r="F99" i="1"/>
  <c r="D99" i="1"/>
  <c r="C99" i="1"/>
  <c r="AR98" i="1"/>
  <c r="AQ98" i="1"/>
  <c r="AP98"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R96" i="1"/>
  <c r="AQ96" i="1"/>
  <c r="AP96" i="1"/>
  <c r="AL96" i="1"/>
  <c r="AK96" i="1"/>
  <c r="AJ96" i="1"/>
  <c r="AI96" i="1"/>
  <c r="AH96" i="1"/>
  <c r="AG96" i="1"/>
  <c r="AF96" i="1"/>
  <c r="AE96" i="1"/>
  <c r="AD96" i="1"/>
  <c r="AC96" i="1"/>
  <c r="X96" i="1"/>
  <c r="V96" i="1"/>
  <c r="U96" i="1"/>
  <c r="T96" i="1"/>
  <c r="S96" i="1"/>
  <c r="R96" i="1"/>
  <c r="O96" i="1"/>
  <c r="N96" i="1"/>
  <c r="M96" i="1"/>
  <c r="L96" i="1"/>
  <c r="K96" i="1"/>
  <c r="I96" i="1"/>
  <c r="G96" i="1"/>
  <c r="F96" i="1"/>
  <c r="D96" i="1"/>
  <c r="C96" i="1"/>
  <c r="AR95" i="1"/>
  <c r="AQ95" i="1"/>
  <c r="AP95"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R93" i="1"/>
  <c r="AQ93" i="1"/>
  <c r="AP93" i="1"/>
  <c r="AL93" i="1"/>
  <c r="AK93" i="1"/>
  <c r="AJ93" i="1"/>
  <c r="AI93" i="1"/>
  <c r="AH93" i="1"/>
  <c r="AG93" i="1"/>
  <c r="AF93" i="1"/>
  <c r="AE93" i="1"/>
  <c r="AD93" i="1"/>
  <c r="AC93" i="1"/>
  <c r="X93" i="1"/>
  <c r="V93" i="1"/>
  <c r="U93" i="1"/>
  <c r="T93" i="1"/>
  <c r="S93" i="1"/>
  <c r="R93" i="1"/>
  <c r="O93" i="1"/>
  <c r="N93" i="1"/>
  <c r="M93" i="1"/>
  <c r="L93" i="1"/>
  <c r="K93" i="1"/>
  <c r="I93" i="1"/>
  <c r="G93" i="1"/>
  <c r="F93" i="1"/>
  <c r="D93" i="1"/>
  <c r="C93" i="1"/>
  <c r="AR92" i="1"/>
  <c r="AQ92" i="1"/>
  <c r="AP92"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G91" i="1"/>
  <c r="F91" i="1"/>
  <c r="D91" i="1"/>
  <c r="C91" i="1"/>
  <c r="AR90" i="1"/>
  <c r="AQ90" i="1"/>
  <c r="AP90" i="1"/>
  <c r="AL90" i="1"/>
  <c r="AK90" i="1"/>
  <c r="AJ90" i="1"/>
  <c r="AI90" i="1"/>
  <c r="AH90" i="1"/>
  <c r="AG90" i="1"/>
  <c r="AF90" i="1"/>
  <c r="AE90" i="1"/>
  <c r="AD90" i="1"/>
  <c r="AC90" i="1"/>
  <c r="X90" i="1"/>
  <c r="V90" i="1"/>
  <c r="U90" i="1"/>
  <c r="T90" i="1"/>
  <c r="S90" i="1"/>
  <c r="R90" i="1"/>
  <c r="O90" i="1"/>
  <c r="N90" i="1"/>
  <c r="M90" i="1"/>
  <c r="L90" i="1"/>
  <c r="K90" i="1"/>
  <c r="I90" i="1"/>
  <c r="G90" i="1"/>
  <c r="F90" i="1"/>
  <c r="D90" i="1"/>
  <c r="C90" i="1"/>
  <c r="AR89" i="1"/>
  <c r="AQ89" i="1"/>
  <c r="AP89"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R87" i="1"/>
  <c r="AQ87" i="1"/>
  <c r="AP87" i="1"/>
  <c r="AL87" i="1"/>
  <c r="AK87" i="1"/>
  <c r="AJ87" i="1"/>
  <c r="AI87" i="1"/>
  <c r="AH87" i="1"/>
  <c r="AG87" i="1"/>
  <c r="AF87" i="1"/>
  <c r="AE87" i="1"/>
  <c r="AD87" i="1"/>
  <c r="AC87" i="1"/>
  <c r="X87" i="1"/>
  <c r="V87" i="1"/>
  <c r="U87" i="1"/>
  <c r="T87" i="1"/>
  <c r="S87" i="1"/>
  <c r="R87" i="1"/>
  <c r="O87" i="1"/>
  <c r="N87" i="1"/>
  <c r="M87" i="1"/>
  <c r="L87" i="1"/>
  <c r="K87" i="1"/>
  <c r="I87" i="1"/>
  <c r="G87" i="1"/>
  <c r="F87" i="1"/>
  <c r="D87" i="1"/>
  <c r="C87" i="1"/>
  <c r="AR86" i="1"/>
  <c r="AQ86" i="1"/>
  <c r="AP86"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R84" i="1"/>
  <c r="AQ84" i="1"/>
  <c r="AP84" i="1"/>
  <c r="AL84" i="1"/>
  <c r="AK84" i="1"/>
  <c r="AJ84" i="1"/>
  <c r="AI84" i="1"/>
  <c r="AH84" i="1"/>
  <c r="AG84" i="1"/>
  <c r="AF84" i="1"/>
  <c r="AE84" i="1"/>
  <c r="AD84" i="1"/>
  <c r="AC84" i="1"/>
  <c r="X84" i="1"/>
  <c r="V84" i="1"/>
  <c r="U84" i="1"/>
  <c r="T84" i="1"/>
  <c r="S84" i="1"/>
  <c r="R84" i="1"/>
  <c r="O84" i="1"/>
  <c r="N84" i="1"/>
  <c r="M84" i="1"/>
  <c r="L84" i="1"/>
  <c r="K84" i="1"/>
  <c r="I84" i="1"/>
  <c r="G84" i="1"/>
  <c r="F84" i="1"/>
  <c r="D84" i="1"/>
  <c r="C84" i="1"/>
  <c r="AR83" i="1"/>
  <c r="AQ83" i="1"/>
  <c r="AP83"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R81" i="1"/>
  <c r="AQ81" i="1"/>
  <c r="AP81" i="1"/>
  <c r="AL81" i="1"/>
  <c r="AK81" i="1"/>
  <c r="AJ81" i="1"/>
  <c r="AI81" i="1"/>
  <c r="AH81" i="1"/>
  <c r="AG81" i="1"/>
  <c r="AF81" i="1"/>
  <c r="AE81" i="1"/>
  <c r="AD81" i="1"/>
  <c r="AC81" i="1"/>
  <c r="X81" i="1"/>
  <c r="V81" i="1"/>
  <c r="U81" i="1"/>
  <c r="T81" i="1"/>
  <c r="S81" i="1"/>
  <c r="R81" i="1"/>
  <c r="O81" i="1"/>
  <c r="N81" i="1"/>
  <c r="M81" i="1"/>
  <c r="L81" i="1"/>
  <c r="K81" i="1"/>
  <c r="I81" i="1"/>
  <c r="G81" i="1"/>
  <c r="F81" i="1"/>
  <c r="D81" i="1"/>
  <c r="C81" i="1"/>
  <c r="AR80" i="1"/>
  <c r="AQ80" i="1"/>
  <c r="AP80"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R78" i="1"/>
  <c r="AQ78" i="1"/>
  <c r="AP78" i="1"/>
  <c r="AL78" i="1"/>
  <c r="AK78" i="1"/>
  <c r="AJ78" i="1"/>
  <c r="AI78" i="1"/>
  <c r="AH78" i="1"/>
  <c r="AG78" i="1"/>
  <c r="AF78" i="1"/>
  <c r="AE78" i="1"/>
  <c r="AD78" i="1"/>
  <c r="AC78" i="1"/>
  <c r="X78" i="1"/>
  <c r="V78" i="1"/>
  <c r="U78" i="1"/>
  <c r="T78" i="1"/>
  <c r="S78" i="1"/>
  <c r="R78" i="1"/>
  <c r="O78" i="1"/>
  <c r="N78" i="1"/>
  <c r="M78" i="1"/>
  <c r="L78" i="1"/>
  <c r="K78" i="1"/>
  <c r="I78" i="1"/>
  <c r="G78" i="1"/>
  <c r="F78" i="1"/>
  <c r="D78" i="1"/>
  <c r="C78" i="1"/>
  <c r="AR77" i="1"/>
  <c r="AQ77" i="1"/>
  <c r="AP77"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R75" i="1"/>
  <c r="AQ75" i="1"/>
  <c r="AP75" i="1"/>
  <c r="AL75" i="1"/>
  <c r="AK75" i="1"/>
  <c r="AJ75" i="1"/>
  <c r="AI75" i="1"/>
  <c r="AH75" i="1"/>
  <c r="AG75" i="1"/>
  <c r="AF75" i="1"/>
  <c r="AE75" i="1"/>
  <c r="AD75" i="1"/>
  <c r="AC75" i="1"/>
  <c r="X75" i="1"/>
  <c r="V75" i="1"/>
  <c r="U75" i="1"/>
  <c r="T75" i="1"/>
  <c r="S75" i="1"/>
  <c r="R75" i="1"/>
  <c r="O75" i="1"/>
  <c r="N75" i="1"/>
  <c r="M75" i="1"/>
  <c r="L75" i="1"/>
  <c r="K75" i="1"/>
  <c r="I75" i="1"/>
  <c r="G75" i="1"/>
  <c r="D75" i="1"/>
  <c r="C75" i="1"/>
  <c r="AR74" i="1"/>
  <c r="AQ74" i="1"/>
  <c r="AP74"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R72" i="1"/>
  <c r="AQ72" i="1"/>
  <c r="AP72" i="1"/>
  <c r="AL72" i="1"/>
  <c r="AK72" i="1"/>
  <c r="AJ72" i="1"/>
  <c r="AI72" i="1"/>
  <c r="AH72" i="1"/>
  <c r="AG72" i="1"/>
  <c r="AF72" i="1"/>
  <c r="AE72" i="1"/>
  <c r="AD72" i="1"/>
  <c r="AC72" i="1"/>
  <c r="X72" i="1"/>
  <c r="V72" i="1"/>
  <c r="U72" i="1"/>
  <c r="T72" i="1"/>
  <c r="S72" i="1"/>
  <c r="R72" i="1"/>
  <c r="O72" i="1"/>
  <c r="N72" i="1"/>
  <c r="M72" i="1"/>
  <c r="L72" i="1"/>
  <c r="K72" i="1"/>
  <c r="I72" i="1"/>
  <c r="G72" i="1"/>
  <c r="D72" i="1"/>
  <c r="C72" i="1"/>
  <c r="AR71" i="1"/>
  <c r="AQ71" i="1"/>
  <c r="AP71"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G70" i="1"/>
  <c r="D70" i="1"/>
  <c r="C70" i="1"/>
  <c r="AR69" i="1"/>
  <c r="AQ69" i="1"/>
  <c r="AP69" i="1"/>
  <c r="AO69" i="1"/>
  <c r="AL69" i="1"/>
  <c r="AK69" i="1"/>
  <c r="AJ69" i="1"/>
  <c r="AI69" i="1"/>
  <c r="AH69" i="1"/>
  <c r="AG69" i="1"/>
  <c r="AF69" i="1"/>
  <c r="AE69" i="1"/>
  <c r="AD69" i="1"/>
  <c r="AC69" i="1"/>
  <c r="X69" i="1"/>
  <c r="V69" i="1"/>
  <c r="U69" i="1"/>
  <c r="T69" i="1"/>
  <c r="S69" i="1"/>
  <c r="R69" i="1"/>
  <c r="O69" i="1"/>
  <c r="N69" i="1"/>
  <c r="M69" i="1"/>
  <c r="L69" i="1"/>
  <c r="K69" i="1"/>
  <c r="I69" i="1"/>
  <c r="G69" i="1"/>
  <c r="D69" i="1"/>
  <c r="C69" i="1"/>
  <c r="AR68" i="1"/>
  <c r="AQ68" i="1"/>
  <c r="AP68"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R66" i="1"/>
  <c r="AQ66" i="1"/>
  <c r="AP66" i="1"/>
  <c r="AO66" i="1"/>
  <c r="AL66" i="1"/>
  <c r="AK66" i="1"/>
  <c r="AJ66" i="1"/>
  <c r="AI66" i="1"/>
  <c r="AH66" i="1"/>
  <c r="AG66" i="1"/>
  <c r="AF66" i="1"/>
  <c r="AE66" i="1"/>
  <c r="AD66" i="1"/>
  <c r="AC66" i="1"/>
  <c r="X66" i="1"/>
  <c r="V66" i="1"/>
  <c r="U66" i="1"/>
  <c r="T66" i="1"/>
  <c r="S66" i="1"/>
  <c r="R66" i="1"/>
  <c r="O66" i="1"/>
  <c r="N66" i="1"/>
  <c r="M66" i="1"/>
  <c r="L66" i="1"/>
  <c r="K66" i="1"/>
  <c r="I66" i="1"/>
  <c r="G66" i="1"/>
  <c r="D66" i="1"/>
  <c r="C66" i="1"/>
  <c r="AR65" i="1"/>
  <c r="AQ65" i="1"/>
  <c r="AP65"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R63" i="1"/>
  <c r="AQ63" i="1"/>
  <c r="AP63" i="1"/>
  <c r="AO63" i="1"/>
  <c r="AL63" i="1"/>
  <c r="AK63" i="1"/>
  <c r="AJ63" i="1"/>
  <c r="AI63" i="1"/>
  <c r="AH63" i="1"/>
  <c r="AG63" i="1"/>
  <c r="AF63" i="1"/>
  <c r="AE63" i="1"/>
  <c r="AD63" i="1"/>
  <c r="AC63" i="1"/>
  <c r="X63" i="1"/>
  <c r="V63" i="1"/>
  <c r="U63" i="1"/>
  <c r="T63" i="1"/>
  <c r="S63" i="1"/>
  <c r="R63" i="1"/>
  <c r="O63" i="1"/>
  <c r="N63" i="1"/>
  <c r="M63" i="1"/>
  <c r="L63" i="1"/>
  <c r="K63" i="1"/>
  <c r="I63" i="1"/>
  <c r="G63" i="1"/>
  <c r="D63" i="1"/>
  <c r="C63" i="1"/>
  <c r="AR62" i="1"/>
  <c r="AQ62" i="1"/>
  <c r="AP62"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R60" i="1"/>
  <c r="AQ60" i="1"/>
  <c r="AP60" i="1"/>
  <c r="AO60" i="1"/>
  <c r="AL60" i="1"/>
  <c r="AK60" i="1"/>
  <c r="AJ60" i="1"/>
  <c r="AI60" i="1"/>
  <c r="AH60" i="1"/>
  <c r="AG60" i="1"/>
  <c r="AF60" i="1"/>
  <c r="AE60" i="1"/>
  <c r="AD60" i="1"/>
  <c r="AC60" i="1"/>
  <c r="X60" i="1"/>
  <c r="V60" i="1"/>
  <c r="U60" i="1"/>
  <c r="T60" i="1"/>
  <c r="S60" i="1"/>
  <c r="R60" i="1"/>
  <c r="O60" i="1"/>
  <c r="N60" i="1"/>
  <c r="M60" i="1"/>
  <c r="L60" i="1"/>
  <c r="K60" i="1"/>
  <c r="I60" i="1"/>
  <c r="G60" i="1"/>
  <c r="D60" i="1"/>
  <c r="C60" i="1"/>
  <c r="AR59" i="1"/>
  <c r="AQ59" i="1"/>
  <c r="AP59"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G58" i="1"/>
  <c r="D58" i="1"/>
  <c r="C58" i="1"/>
  <c r="AR57" i="1"/>
  <c r="AQ57" i="1"/>
  <c r="AP57" i="1"/>
  <c r="AO57" i="1"/>
  <c r="AL57" i="1"/>
  <c r="AK57" i="1"/>
  <c r="AJ57" i="1"/>
  <c r="AI57" i="1"/>
  <c r="AH57" i="1"/>
  <c r="AG57" i="1"/>
  <c r="AF57" i="1"/>
  <c r="AE57" i="1"/>
  <c r="AD57" i="1"/>
  <c r="AC57" i="1"/>
  <c r="X57" i="1"/>
  <c r="V57" i="1"/>
  <c r="U57" i="1"/>
  <c r="T57" i="1"/>
  <c r="S57" i="1"/>
  <c r="R57" i="1"/>
  <c r="O57" i="1"/>
  <c r="N57" i="1"/>
  <c r="M57" i="1"/>
  <c r="L57" i="1"/>
  <c r="K57" i="1"/>
  <c r="I57" i="1"/>
  <c r="G57" i="1"/>
  <c r="D57" i="1"/>
  <c r="C57" i="1"/>
  <c r="AR56" i="1"/>
  <c r="AQ56" i="1"/>
  <c r="AP56"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G55" i="1"/>
  <c r="D55" i="1"/>
  <c r="C55" i="1"/>
  <c r="AO54" i="1"/>
  <c r="AL54" i="1"/>
  <c r="AK54" i="1"/>
  <c r="AJ54" i="1"/>
  <c r="AI54" i="1"/>
  <c r="AH54" i="1"/>
  <c r="AG54" i="1"/>
  <c r="AF54" i="1"/>
  <c r="AE54" i="1"/>
  <c r="AD54" i="1"/>
  <c r="AC54" i="1"/>
  <c r="I54" i="1"/>
  <c r="G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G52" i="1"/>
  <c r="D52" i="1"/>
  <c r="C52" i="1"/>
  <c r="AO51" i="1"/>
  <c r="AL51" i="1"/>
  <c r="AK51" i="1"/>
  <c r="AJ51" i="1"/>
  <c r="AI51" i="1"/>
  <c r="AH51" i="1"/>
  <c r="AG51" i="1"/>
  <c r="AF51" i="1"/>
  <c r="AE51" i="1"/>
  <c r="AD51" i="1"/>
  <c r="AC51" i="1"/>
  <c r="I51" i="1"/>
  <c r="G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G46" i="1"/>
  <c r="D46" i="1"/>
  <c r="C46" i="1"/>
  <c r="AO45" i="1"/>
  <c r="AL45" i="1"/>
  <c r="AK45" i="1"/>
  <c r="AJ45" i="1"/>
  <c r="AI45" i="1"/>
  <c r="AH45" i="1"/>
  <c r="AG45" i="1"/>
  <c r="AF45" i="1"/>
  <c r="AE45" i="1"/>
  <c r="AD45" i="1"/>
  <c r="AC45" i="1"/>
  <c r="I45" i="1"/>
  <c r="G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G43" i="1"/>
  <c r="D43" i="1"/>
  <c r="C43" i="1"/>
  <c r="AO42" i="1"/>
  <c r="AL42" i="1"/>
  <c r="AK42" i="1"/>
  <c r="AJ42" i="1"/>
  <c r="AI42" i="1"/>
  <c r="AH42" i="1"/>
  <c r="AG42" i="1"/>
  <c r="AF42" i="1"/>
  <c r="AE42" i="1"/>
  <c r="AD42" i="1"/>
  <c r="AC42" i="1"/>
  <c r="I42" i="1"/>
  <c r="G42" i="1"/>
  <c r="D42" i="1"/>
  <c r="C42" i="1"/>
  <c r="AO41" i="1"/>
  <c r="AL41" i="1"/>
  <c r="AK41" i="1"/>
  <c r="AJ41" i="1"/>
  <c r="AI41" i="1"/>
  <c r="AH41" i="1"/>
  <c r="AG41" i="1"/>
  <c r="AF41" i="1"/>
  <c r="AE41" i="1"/>
  <c r="AD41" i="1"/>
  <c r="AC41" i="1"/>
  <c r="AB41" i="1"/>
  <c r="Y41" i="1"/>
  <c r="P41" i="1"/>
  <c r="G41" i="1"/>
  <c r="A41" i="1"/>
  <c r="AO40" i="1"/>
  <c r="AM40" i="1"/>
  <c r="AL40" i="1"/>
  <c r="AK40" i="1"/>
  <c r="AJ40" i="1"/>
  <c r="AI40" i="1"/>
  <c r="AH40" i="1"/>
  <c r="AG40" i="1"/>
  <c r="AF40" i="1"/>
  <c r="AE40" i="1"/>
  <c r="AD40" i="1"/>
  <c r="AC40" i="1"/>
  <c r="I40" i="1"/>
  <c r="G40" i="1"/>
  <c r="D40" i="1"/>
  <c r="C40" i="1"/>
  <c r="AO39" i="1"/>
  <c r="AL39" i="1"/>
  <c r="AK39" i="1"/>
  <c r="AJ39" i="1"/>
  <c r="AI39" i="1"/>
  <c r="AH39" i="1"/>
  <c r="AG39" i="1"/>
  <c r="AF39" i="1"/>
  <c r="AE39" i="1"/>
  <c r="AD39" i="1"/>
  <c r="AC39" i="1"/>
  <c r="I39" i="1"/>
  <c r="G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R36" i="1"/>
  <c r="AQ36" i="1"/>
  <c r="AP36" i="1"/>
  <c r="AO36" i="1"/>
  <c r="AL36" i="1"/>
  <c r="AK36" i="1"/>
  <c r="AJ36" i="1"/>
  <c r="AI36" i="1"/>
  <c r="AH36" i="1"/>
  <c r="AG36" i="1"/>
  <c r="AF36" i="1"/>
  <c r="AE36" i="1"/>
  <c r="AD36" i="1"/>
  <c r="AC36" i="1"/>
  <c r="X36" i="1"/>
  <c r="V36" i="1"/>
  <c r="U36" i="1"/>
  <c r="T36" i="1"/>
  <c r="S36" i="1"/>
  <c r="R36" i="1"/>
  <c r="O36" i="1"/>
  <c r="N36" i="1"/>
  <c r="M36" i="1"/>
  <c r="L36" i="1"/>
  <c r="K36" i="1"/>
  <c r="I36" i="1"/>
  <c r="G36" i="1"/>
  <c r="D36" i="1"/>
  <c r="C36" i="1"/>
  <c r="AR35" i="1"/>
  <c r="AQ35" i="1"/>
  <c r="AP35"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R33" i="1"/>
  <c r="AQ33" i="1"/>
  <c r="AP33" i="1"/>
  <c r="AO33" i="1"/>
  <c r="AL33" i="1"/>
  <c r="AK33" i="1"/>
  <c r="AJ33" i="1"/>
  <c r="AI33" i="1"/>
  <c r="AH33" i="1"/>
  <c r="AG33" i="1"/>
  <c r="AF33" i="1"/>
  <c r="AE33" i="1"/>
  <c r="AD33" i="1"/>
  <c r="AC33" i="1"/>
  <c r="X33" i="1"/>
  <c r="V33" i="1"/>
  <c r="U33" i="1"/>
  <c r="T33" i="1"/>
  <c r="S33" i="1"/>
  <c r="R33" i="1"/>
  <c r="O33" i="1"/>
  <c r="N33" i="1"/>
  <c r="M33" i="1"/>
  <c r="L33" i="1"/>
  <c r="K33" i="1"/>
  <c r="I33" i="1"/>
  <c r="G33" i="1"/>
  <c r="C33" i="1"/>
  <c r="AR32" i="1"/>
  <c r="AQ32" i="1"/>
  <c r="AP32"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G28" i="1"/>
  <c r="D28" i="1"/>
  <c r="C28" i="1"/>
  <c r="AO27" i="1"/>
  <c r="AL27" i="1"/>
  <c r="AK27" i="1"/>
  <c r="AJ27" i="1"/>
  <c r="AI27" i="1"/>
  <c r="AH27" i="1"/>
  <c r="AG27" i="1"/>
  <c r="AF27" i="1"/>
  <c r="AE27" i="1"/>
  <c r="AD27" i="1"/>
  <c r="AC27" i="1"/>
  <c r="I27" i="1"/>
  <c r="G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R24" i="1"/>
  <c r="AQ24" i="1"/>
  <c r="AP24" i="1"/>
  <c r="AO24" i="1"/>
  <c r="AL24" i="1"/>
  <c r="AK24" i="1"/>
  <c r="AJ24" i="1"/>
  <c r="AI24" i="1"/>
  <c r="AH24" i="1"/>
  <c r="AG24" i="1"/>
  <c r="AF24" i="1"/>
  <c r="AE24" i="1"/>
  <c r="AD24" i="1"/>
  <c r="AC24" i="1"/>
  <c r="X24" i="1"/>
  <c r="V24" i="1"/>
  <c r="U24" i="1"/>
  <c r="T24" i="1"/>
  <c r="S24" i="1"/>
  <c r="R24" i="1"/>
  <c r="O24" i="1"/>
  <c r="N24" i="1"/>
  <c r="M24" i="1"/>
  <c r="L24" i="1"/>
  <c r="K24" i="1"/>
  <c r="I24" i="1"/>
  <c r="G24" i="1"/>
  <c r="D24" i="1"/>
  <c r="C24" i="1"/>
  <c r="AR23" i="1"/>
  <c r="AQ23" i="1"/>
  <c r="AP23"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R21" i="1"/>
  <c r="AQ21" i="1"/>
  <c r="AP21" i="1"/>
  <c r="AO21" i="1"/>
  <c r="AL21" i="1"/>
  <c r="AK21" i="1"/>
  <c r="AJ21" i="1"/>
  <c r="AI21" i="1"/>
  <c r="AH21" i="1"/>
  <c r="AG21" i="1"/>
  <c r="AF21" i="1"/>
  <c r="AE21" i="1"/>
  <c r="AD21" i="1"/>
  <c r="AC21" i="1"/>
  <c r="X21" i="1"/>
  <c r="V21" i="1"/>
  <c r="U21" i="1"/>
  <c r="T21" i="1"/>
  <c r="S21" i="1"/>
  <c r="R21" i="1"/>
  <c r="O21" i="1"/>
  <c r="N21" i="1"/>
  <c r="M21" i="1"/>
  <c r="L21" i="1"/>
  <c r="K21" i="1"/>
  <c r="I21" i="1"/>
  <c r="G21" i="1"/>
  <c r="D21" i="1"/>
  <c r="C21" i="1"/>
  <c r="AR20" i="1"/>
  <c r="AQ20" i="1"/>
  <c r="AP20"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R18" i="1"/>
  <c r="AQ18" i="1"/>
  <c r="AP18"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W15" i="1"/>
  <c r="W14" i="1"/>
  <c r="W13" i="1"/>
  <c r="W12" i="1"/>
  <c r="AK321" i="3"/>
  <c r="S318" i="3"/>
  <c r="T318" i="3" s="1"/>
  <c r="R318" i="3"/>
  <c r="AO317" i="3"/>
  <c r="AN317" i="3"/>
  <c r="AL317" i="3"/>
  <c r="V317" i="3"/>
  <c r="X317" i="3" s="1"/>
  <c r="AM316" i="3"/>
  <c r="AR316" i="3" s="1"/>
  <c r="AG316" i="3"/>
  <c r="AF316" i="3"/>
  <c r="AO314" i="3"/>
  <c r="AL314" i="3"/>
  <c r="V314" i="3"/>
  <c r="X314" i="3" s="1"/>
  <c r="AM313" i="3"/>
  <c r="R312" i="3"/>
  <c r="S312" i="3" s="1"/>
  <c r="T312" i="3" s="1"/>
  <c r="AO311" i="3"/>
  <c r="AL311" i="3"/>
  <c r="AM311" i="3" s="1"/>
  <c r="AB311" i="3"/>
  <c r="Y311" i="3"/>
  <c r="Z311" i="3" s="1"/>
  <c r="AM310" i="3"/>
  <c r="AO308" i="3"/>
  <c r="AN308" i="3"/>
  <c r="AL308" i="3"/>
  <c r="P308" i="3"/>
  <c r="Q308" i="3" s="1"/>
  <c r="R308" i="3" s="1"/>
  <c r="S308" i="3" s="1"/>
  <c r="T308" i="3" s="1"/>
  <c r="U308" i="3" s="1"/>
  <c r="V308" i="3" s="1"/>
  <c r="X308" i="3" s="1"/>
  <c r="AM307" i="3"/>
  <c r="AR307" i="3" s="1"/>
  <c r="AO305" i="3"/>
  <c r="AN305" i="3"/>
  <c r="AL305" i="3"/>
  <c r="U305" i="3"/>
  <c r="V305" i="3" s="1"/>
  <c r="X305" i="3" s="1"/>
  <c r="V304" i="3"/>
  <c r="X304" i="3" s="1"/>
  <c r="R304" i="3"/>
  <c r="S304" i="3" s="1"/>
  <c r="AO302" i="3"/>
  <c r="AN302" i="3"/>
  <c r="AL302" i="3"/>
  <c r="U302" i="3"/>
  <c r="V302" i="3" s="1"/>
  <c r="X302" i="3" s="1"/>
  <c r="AM301" i="3"/>
  <c r="AR301" i="3" s="1"/>
  <c r="AO299" i="3"/>
  <c r="AN299" i="3"/>
  <c r="AL299" i="3"/>
  <c r="U299" i="3"/>
  <c r="V299" i="3" s="1"/>
  <c r="X299" i="3" s="1"/>
  <c r="AM298" i="3"/>
  <c r="AR298" i="3" s="1"/>
  <c r="AO296" i="3"/>
  <c r="AN296" i="3"/>
  <c r="AL296" i="3"/>
  <c r="U296" i="3"/>
  <c r="V296" i="3" s="1"/>
  <c r="X296" i="3" s="1"/>
  <c r="AM295" i="3"/>
  <c r="AR295" i="3" s="1"/>
  <c r="AO293" i="3"/>
  <c r="AN293" i="3"/>
  <c r="AL293" i="3"/>
  <c r="U293" i="3"/>
  <c r="V293" i="3" s="1"/>
  <c r="X293" i="3" s="1"/>
  <c r="AM292" i="3"/>
  <c r="AR292" i="3" s="1"/>
  <c r="AO290" i="3"/>
  <c r="AN290" i="3"/>
  <c r="AL290" i="3"/>
  <c r="U290" i="3"/>
  <c r="V290" i="3" s="1"/>
  <c r="X290" i="3" s="1"/>
  <c r="AM289" i="3"/>
  <c r="AR289" i="3" s="1"/>
  <c r="AO287" i="3"/>
  <c r="AN287" i="3"/>
  <c r="AL287" i="3"/>
  <c r="U287" i="3"/>
  <c r="V287" i="3" s="1"/>
  <c r="X287" i="3" s="1"/>
  <c r="AM286" i="3"/>
  <c r="AR286" i="3" s="1"/>
  <c r="AO284" i="3"/>
  <c r="AN284" i="3"/>
  <c r="AL284" i="3"/>
  <c r="V284" i="3"/>
  <c r="X284" i="3" s="1"/>
  <c r="AM283" i="3"/>
  <c r="AR283" i="3" s="1"/>
  <c r="AO281" i="3"/>
  <c r="AN281" i="3"/>
  <c r="AL281" i="3"/>
  <c r="P281" i="3"/>
  <c r="Q281" i="3" s="1"/>
  <c r="R281" i="3" s="1"/>
  <c r="S281" i="3" s="1"/>
  <c r="T281" i="3" s="1"/>
  <c r="U281" i="3" s="1"/>
  <c r="V281" i="3" s="1"/>
  <c r="X281" i="3" s="1"/>
  <c r="AM281" i="3" s="1"/>
  <c r="AM280" i="3"/>
  <c r="AR280" i="3" s="1"/>
  <c r="AH280" i="3"/>
  <c r="AC280" i="3"/>
  <c r="R279" i="3"/>
  <c r="AO278" i="3"/>
  <c r="AN278" i="3"/>
  <c r="AL278" i="3"/>
  <c r="S278" i="3"/>
  <c r="T278" i="3" s="1"/>
  <c r="U278" i="3" s="1"/>
  <c r="V278" i="3" s="1"/>
  <c r="X278" i="3" s="1"/>
  <c r="AM277" i="3"/>
  <c r="AR277" i="3" s="1"/>
  <c r="AO275" i="3"/>
  <c r="AN275" i="3"/>
  <c r="AL275" i="3"/>
  <c r="S275" i="3"/>
  <c r="T275" i="3" s="1"/>
  <c r="U275" i="3" s="1"/>
  <c r="V275" i="3" s="1"/>
  <c r="X275" i="3" s="1"/>
  <c r="AM274" i="3"/>
  <c r="AR274" i="3" s="1"/>
  <c r="R273" i="3"/>
  <c r="AO272" i="3"/>
  <c r="AN272" i="3"/>
  <c r="AL272" i="3"/>
  <c r="S272" i="3"/>
  <c r="T272" i="3" s="1"/>
  <c r="U272" i="3" s="1"/>
  <c r="V272" i="3" s="1"/>
  <c r="X272" i="3" s="1"/>
  <c r="AM271" i="3"/>
  <c r="AR271" i="3" s="1"/>
  <c r="R270" i="3"/>
  <c r="AO269" i="3"/>
  <c r="AN269" i="3"/>
  <c r="AL269" i="3"/>
  <c r="S269" i="3"/>
  <c r="T269" i="3" s="1"/>
  <c r="U269" i="3" s="1"/>
  <c r="V269" i="3" s="1"/>
  <c r="X269" i="3" s="1"/>
  <c r="AM268" i="3"/>
  <c r="AR268" i="3" s="1"/>
  <c r="R267" i="3"/>
  <c r="AO266" i="3"/>
  <c r="AN266" i="3"/>
  <c r="AL266" i="3"/>
  <c r="S266" i="3"/>
  <c r="T266" i="3" s="1"/>
  <c r="U266" i="3" s="1"/>
  <c r="V266" i="3" s="1"/>
  <c r="X266" i="3" s="1"/>
  <c r="AM265" i="3"/>
  <c r="AR265" i="3" s="1"/>
  <c r="R264" i="3"/>
  <c r="AO263" i="3"/>
  <c r="AN263" i="3"/>
  <c r="AL263" i="3"/>
  <c r="S263" i="3"/>
  <c r="T263" i="3" s="1"/>
  <c r="U263" i="3" s="1"/>
  <c r="V263" i="3" s="1"/>
  <c r="X263" i="3" s="1"/>
  <c r="AM262" i="3"/>
  <c r="AR262" i="3" s="1"/>
  <c r="AO260" i="3"/>
  <c r="AN260" i="3"/>
  <c r="AL260" i="3"/>
  <c r="P260" i="3"/>
  <c r="Q260" i="3" s="1"/>
  <c r="R260" i="3" s="1"/>
  <c r="S260" i="3" s="1"/>
  <c r="T260" i="3" s="1"/>
  <c r="U260" i="3" s="1"/>
  <c r="V260" i="3" s="1"/>
  <c r="X260" i="3" s="1"/>
  <c r="AM259" i="3"/>
  <c r="AC259" i="3"/>
  <c r="AO257" i="3"/>
  <c r="AN257" i="3"/>
  <c r="AL257" i="3"/>
  <c r="P257" i="3"/>
  <c r="Q257" i="3" s="1"/>
  <c r="R257" i="3" s="1"/>
  <c r="S257" i="3" s="1"/>
  <c r="T257" i="3" s="1"/>
  <c r="U257" i="3" s="1"/>
  <c r="V257" i="3" s="1"/>
  <c r="X257" i="3" s="1"/>
  <c r="AM256" i="3"/>
  <c r="AR256" i="3" s="1"/>
  <c r="AO254" i="3"/>
  <c r="AN254" i="3"/>
  <c r="AL254" i="3"/>
  <c r="P254" i="3"/>
  <c r="Q254" i="3" s="1"/>
  <c r="R254" i="3" s="1"/>
  <c r="S254" i="3" s="1"/>
  <c r="T254" i="3" s="1"/>
  <c r="U254" i="3" s="1"/>
  <c r="V254" i="3" s="1"/>
  <c r="X254" i="3" s="1"/>
  <c r="AM253" i="3"/>
  <c r="AR253" i="3" s="1"/>
  <c r="AO251" i="3"/>
  <c r="AN251" i="3"/>
  <c r="AL251" i="3"/>
  <c r="P251" i="3"/>
  <c r="Q251" i="3" s="1"/>
  <c r="R251" i="3" s="1"/>
  <c r="S251" i="3" s="1"/>
  <c r="T251" i="3" s="1"/>
  <c r="U251" i="3" s="1"/>
  <c r="V251" i="3" s="1"/>
  <c r="X251" i="3" s="1"/>
  <c r="AM250" i="3"/>
  <c r="AO248" i="3"/>
  <c r="AN248" i="3"/>
  <c r="AL248" i="3"/>
  <c r="P248" i="3"/>
  <c r="Q248" i="3" s="1"/>
  <c r="R248" i="3" s="1"/>
  <c r="S248" i="3" s="1"/>
  <c r="T248" i="3" s="1"/>
  <c r="U248" i="3" s="1"/>
  <c r="V248" i="3" s="1"/>
  <c r="X248" i="3" s="1"/>
  <c r="AM247" i="3"/>
  <c r="AR247" i="3" s="1"/>
  <c r="AO245" i="3"/>
  <c r="AN245" i="3"/>
  <c r="AL245" i="3"/>
  <c r="P245" i="3"/>
  <c r="Q245" i="3" s="1"/>
  <c r="R245" i="3" s="1"/>
  <c r="S245" i="3" s="1"/>
  <c r="T245" i="3" s="1"/>
  <c r="U245" i="3" s="1"/>
  <c r="V245" i="3" s="1"/>
  <c r="X245" i="3" s="1"/>
  <c r="AM244" i="3"/>
  <c r="AR244" i="3" s="1"/>
  <c r="AO242" i="3"/>
  <c r="AN242" i="3"/>
  <c r="AL242" i="3"/>
  <c r="P242" i="3"/>
  <c r="Q242" i="3" s="1"/>
  <c r="R242" i="3" s="1"/>
  <c r="S242" i="3" s="1"/>
  <c r="T242" i="3" s="1"/>
  <c r="U242" i="3" s="1"/>
  <c r="V242" i="3" s="1"/>
  <c r="X242" i="3" s="1"/>
  <c r="AM241" i="3"/>
  <c r="AR241" i="3" s="1"/>
  <c r="AO239" i="3"/>
  <c r="AN239" i="3"/>
  <c r="AL239" i="3"/>
  <c r="P239" i="3"/>
  <c r="Q239" i="3" s="1"/>
  <c r="R239" i="3" s="1"/>
  <c r="S239" i="3" s="1"/>
  <c r="T239" i="3" s="1"/>
  <c r="U239" i="3" s="1"/>
  <c r="V239" i="3" s="1"/>
  <c r="X239" i="3" s="1"/>
  <c r="AM238" i="3"/>
  <c r="AO236" i="3"/>
  <c r="AN236" i="3"/>
  <c r="AL236" i="3"/>
  <c r="AM236" i="3" s="1"/>
  <c r="AM235" i="3"/>
  <c r="AR235" i="3" s="1"/>
  <c r="AO233" i="3"/>
  <c r="AN233" i="3"/>
  <c r="AL233" i="3"/>
  <c r="AM233" i="3" s="1"/>
  <c r="AM232" i="3"/>
  <c r="AR232" i="3" s="1"/>
  <c r="AO230" i="3"/>
  <c r="AN230" i="3" s="1"/>
  <c r="AL230" i="3"/>
  <c r="P230" i="3"/>
  <c r="Q230" i="3" s="1"/>
  <c r="R230" i="3" s="1"/>
  <c r="S230" i="3" s="1"/>
  <c r="T230" i="3" s="1"/>
  <c r="U230" i="3" s="1"/>
  <c r="V230" i="3" s="1"/>
  <c r="X230" i="3" s="1"/>
  <c r="AM229" i="3"/>
  <c r="AO227" i="3"/>
  <c r="AN227" i="3"/>
  <c r="AL227" i="3"/>
  <c r="P227" i="3"/>
  <c r="Q227" i="3" s="1"/>
  <c r="R227" i="3" s="1"/>
  <c r="S227" i="3" s="1"/>
  <c r="T227" i="3" s="1"/>
  <c r="U227" i="3" s="1"/>
  <c r="V227" i="3" s="1"/>
  <c r="X227" i="3" s="1"/>
  <c r="AM226" i="3"/>
  <c r="AR226" i="3" s="1"/>
  <c r="AO224" i="3"/>
  <c r="AN224" i="3"/>
  <c r="AL224" i="3"/>
  <c r="P224" i="3"/>
  <c r="Q224" i="3" s="1"/>
  <c r="R224" i="3" s="1"/>
  <c r="S224" i="3" s="1"/>
  <c r="T224" i="3" s="1"/>
  <c r="U224" i="3" s="1"/>
  <c r="V224" i="3" s="1"/>
  <c r="X224" i="3" s="1"/>
  <c r="AM223" i="3"/>
  <c r="AR223" i="3" s="1"/>
  <c r="AO221" i="3"/>
  <c r="AN221" i="3"/>
  <c r="AL221" i="3"/>
  <c r="P221" i="3"/>
  <c r="Q221" i="3" s="1"/>
  <c r="R221" i="3" s="1"/>
  <c r="S221" i="3" s="1"/>
  <c r="T221" i="3" s="1"/>
  <c r="U221" i="3" s="1"/>
  <c r="V221" i="3" s="1"/>
  <c r="X221" i="3" s="1"/>
  <c r="AM220" i="3"/>
  <c r="AR220" i="3" s="1"/>
  <c r="AO218" i="3"/>
  <c r="AN218" i="3"/>
  <c r="AL218" i="3"/>
  <c r="P218" i="3"/>
  <c r="Q218" i="3" s="1"/>
  <c r="R218" i="3" s="1"/>
  <c r="S218" i="3" s="1"/>
  <c r="T218" i="3" s="1"/>
  <c r="U218" i="3" s="1"/>
  <c r="V218" i="3" s="1"/>
  <c r="X218" i="3" s="1"/>
  <c r="AM217" i="3"/>
  <c r="AR217" i="3" s="1"/>
  <c r="AO215" i="3"/>
  <c r="AN215" i="3"/>
  <c r="AL215" i="3"/>
  <c r="P215" i="3"/>
  <c r="Q215" i="3" s="1"/>
  <c r="R215" i="3" s="1"/>
  <c r="S215" i="3" s="1"/>
  <c r="T215" i="3" s="1"/>
  <c r="U215" i="3" s="1"/>
  <c r="V215" i="3" s="1"/>
  <c r="X215" i="3" s="1"/>
  <c r="AM214" i="3"/>
  <c r="AR214" i="3" s="1"/>
  <c r="AO212" i="3"/>
  <c r="AN212" i="3"/>
  <c r="AL212" i="3"/>
  <c r="P212" i="3"/>
  <c r="Q212" i="3" s="1"/>
  <c r="R212" i="3" s="1"/>
  <c r="S212" i="3" s="1"/>
  <c r="T212" i="3" s="1"/>
  <c r="U212" i="3" s="1"/>
  <c r="V212" i="3" s="1"/>
  <c r="X212" i="3" s="1"/>
  <c r="AM211" i="3"/>
  <c r="AR211" i="3" s="1"/>
  <c r="AO209" i="3"/>
  <c r="AN209" i="3"/>
  <c r="AL209" i="3"/>
  <c r="P209" i="3"/>
  <c r="Q209" i="3" s="1"/>
  <c r="R209" i="3" s="1"/>
  <c r="S209" i="3" s="1"/>
  <c r="T209" i="3" s="1"/>
  <c r="U209" i="3" s="1"/>
  <c r="V209" i="3" s="1"/>
  <c r="X209" i="3" s="1"/>
  <c r="AM208" i="3"/>
  <c r="AR208" i="3" s="1"/>
  <c r="AO206" i="3"/>
  <c r="AN206" i="3"/>
  <c r="AL206" i="3"/>
  <c r="AB206" i="3"/>
  <c r="AM205" i="3"/>
  <c r="AR205" i="3" s="1"/>
  <c r="AO203" i="3"/>
  <c r="AN203" i="3"/>
  <c r="AL203" i="3"/>
  <c r="AM203" i="3" s="1"/>
  <c r="AR203" i="3" s="1"/>
  <c r="Y203" i="3"/>
  <c r="Z203" i="3" s="1"/>
  <c r="AA203" i="3" s="1"/>
  <c r="AB203" i="3" s="1"/>
  <c r="AM202" i="3"/>
  <c r="AR202" i="3" s="1"/>
  <c r="R201" i="3"/>
  <c r="AL200" i="3"/>
  <c r="AB200" i="3"/>
  <c r="AM199" i="3"/>
  <c r="AI199" i="3"/>
  <c r="AH199" i="3"/>
  <c r="AG199" i="3" s="1"/>
  <c r="AF199" i="3" s="1"/>
  <c r="AD199" i="3"/>
  <c r="AE199" i="3" s="1"/>
  <c r="AC199" i="3"/>
  <c r="AN197" i="3"/>
  <c r="AL197" i="3"/>
  <c r="V197" i="3"/>
  <c r="X197" i="3" s="1"/>
  <c r="AM196" i="3"/>
  <c r="AL194" i="3"/>
  <c r="AM194" i="3" s="1"/>
  <c r="Y194" i="3"/>
  <c r="Z194" i="3" s="1"/>
  <c r="AA194" i="3" s="1"/>
  <c r="AB194" i="3" s="1"/>
  <c r="AM193" i="3"/>
  <c r="AR193" i="3" s="1"/>
  <c r="AO191" i="3"/>
  <c r="AN191" i="3"/>
  <c r="AL191" i="3"/>
  <c r="AM191" i="3" s="1"/>
  <c r="AR191" i="3" s="1"/>
  <c r="AB191" i="3"/>
  <c r="Y191" i="3"/>
  <c r="Z191" i="3" s="1"/>
  <c r="V191" i="3"/>
  <c r="AM190" i="3"/>
  <c r="AO188" i="3"/>
  <c r="AN188" i="3"/>
  <c r="AL188" i="3"/>
  <c r="T188" i="3"/>
  <c r="U188" i="3" s="1"/>
  <c r="V188" i="3" s="1"/>
  <c r="X188" i="3" s="1"/>
  <c r="P188" i="3"/>
  <c r="Q188" i="3" s="1"/>
  <c r="R188" i="3" s="1"/>
  <c r="S188" i="3" s="1"/>
  <c r="N188" i="3"/>
  <c r="AM187" i="3"/>
  <c r="AR187" i="3" s="1"/>
  <c r="AO185" i="3"/>
  <c r="AN185" i="3"/>
  <c r="AL185" i="3"/>
  <c r="T185" i="3"/>
  <c r="U185" i="3" s="1"/>
  <c r="V185" i="3" s="1"/>
  <c r="X185" i="3" s="1"/>
  <c r="P185" i="3"/>
  <c r="Q185" i="3" s="1"/>
  <c r="R185" i="3" s="1"/>
  <c r="S185" i="3" s="1"/>
  <c r="AM184" i="3"/>
  <c r="R183" i="3"/>
  <c r="S183" i="3" s="1"/>
  <c r="T183" i="3" s="1"/>
  <c r="AO182" i="3"/>
  <c r="AN182" i="3"/>
  <c r="AL182" i="3"/>
  <c r="V182" i="3"/>
  <c r="X182" i="3" s="1"/>
  <c r="C182" i="3"/>
  <c r="C183" i="3" s="1"/>
  <c r="AM181" i="3"/>
  <c r="Y180" i="3"/>
  <c r="AU179" i="3"/>
  <c r="AO179" i="3"/>
  <c r="AN179" i="3"/>
  <c r="AL179" i="3"/>
  <c r="AM179" i="3" s="1"/>
  <c r="AB179" i="3"/>
  <c r="AM178" i="3"/>
  <c r="AR178" i="3" s="1"/>
  <c r="AO176" i="3"/>
  <c r="AN176" i="3"/>
  <c r="AL176" i="3"/>
  <c r="AM176" i="3" s="1"/>
  <c r="AD176" i="3"/>
  <c r="AE176" i="3" s="1"/>
  <c r="AC176" i="3"/>
  <c r="AM175" i="3"/>
  <c r="AR175" i="3" s="1"/>
  <c r="Y175" i="3"/>
  <c r="Z175" i="3" s="1"/>
  <c r="AA175" i="3" s="1"/>
  <c r="AB175" i="3" s="1"/>
  <c r="AC175" i="3" s="1"/>
  <c r="AO173" i="3"/>
  <c r="AN173" i="3"/>
  <c r="AL173" i="3"/>
  <c r="V173" i="3"/>
  <c r="X173" i="3" s="1"/>
  <c r="AM172" i="3"/>
  <c r="AR172" i="3" s="1"/>
  <c r="AO170" i="3"/>
  <c r="AN170" i="3"/>
  <c r="AL170" i="3"/>
  <c r="V170" i="3"/>
  <c r="X170" i="3" s="1"/>
  <c r="AM169" i="3"/>
  <c r="AO167" i="3"/>
  <c r="AN167" i="3"/>
  <c r="AL167" i="3"/>
  <c r="V167" i="3"/>
  <c r="X167" i="3" s="1"/>
  <c r="AM166" i="3"/>
  <c r="AO164" i="3"/>
  <c r="AN164" i="3"/>
  <c r="AL164" i="3"/>
  <c r="V164" i="3"/>
  <c r="X164" i="3" s="1"/>
  <c r="AM163" i="3"/>
  <c r="AO161" i="3"/>
  <c r="AN161" i="3"/>
  <c r="AL161" i="3"/>
  <c r="V161" i="3"/>
  <c r="X161" i="3" s="1"/>
  <c r="AM160" i="3"/>
  <c r="AO158" i="3"/>
  <c r="AN158" i="3"/>
  <c r="AL158" i="3"/>
  <c r="V158" i="3"/>
  <c r="X158" i="3" s="1"/>
  <c r="AM157" i="3"/>
  <c r="AR157" i="3" s="1"/>
  <c r="AO155" i="3"/>
  <c r="AN155" i="3"/>
  <c r="AL155" i="3"/>
  <c r="V155" i="3"/>
  <c r="X155" i="3" s="1"/>
  <c r="AM154" i="3"/>
  <c r="AR154" i="3" s="1"/>
  <c r="AO152" i="3"/>
  <c r="AN152" i="3"/>
  <c r="AL152" i="3"/>
  <c r="V152" i="3"/>
  <c r="X152" i="3" s="1"/>
  <c r="AM151" i="3"/>
  <c r="AO149" i="3"/>
  <c r="AN149" i="3"/>
  <c r="AL149" i="3"/>
  <c r="V149" i="3"/>
  <c r="X149" i="3" s="1"/>
  <c r="AM148" i="3"/>
  <c r="AR148" i="3" s="1"/>
  <c r="AO146" i="3"/>
  <c r="AN146" i="3"/>
  <c r="AL146" i="3"/>
  <c r="X146" i="3"/>
  <c r="V146" i="3"/>
  <c r="AM145" i="3"/>
  <c r="AR145" i="3" s="1"/>
  <c r="AO143" i="3"/>
  <c r="AN143" i="3"/>
  <c r="AL143" i="3"/>
  <c r="P143" i="3"/>
  <c r="Q143" i="3" s="1"/>
  <c r="R143" i="3" s="1"/>
  <c r="S143" i="3" s="1"/>
  <c r="T143" i="3" s="1"/>
  <c r="U143" i="3" s="1"/>
  <c r="V143" i="3" s="1"/>
  <c r="X143" i="3" s="1"/>
  <c r="AM142" i="3"/>
  <c r="AR142" i="3" s="1"/>
  <c r="Y142" i="3"/>
  <c r="Z142" i="3" s="1"/>
  <c r="AA142" i="3" s="1"/>
  <c r="AB142" i="3" s="1"/>
  <c r="AC142" i="3" s="1"/>
  <c r="AO140" i="3"/>
  <c r="AN140" i="3"/>
  <c r="AL140" i="3"/>
  <c r="P140" i="3"/>
  <c r="Q140" i="3" s="1"/>
  <c r="R140" i="3" s="1"/>
  <c r="S140" i="3" s="1"/>
  <c r="T140" i="3" s="1"/>
  <c r="U140" i="3" s="1"/>
  <c r="V140" i="3" s="1"/>
  <c r="X140" i="3" s="1"/>
  <c r="AM139" i="3"/>
  <c r="AR139" i="3" s="1"/>
  <c r="Y139" i="3"/>
  <c r="Z139" i="3" s="1"/>
  <c r="AA139" i="3" s="1"/>
  <c r="AB139" i="3" s="1"/>
  <c r="AC139" i="3" s="1"/>
  <c r="R138" i="3"/>
  <c r="AO137" i="3"/>
  <c r="AN137" i="3"/>
  <c r="AL137" i="3"/>
  <c r="Q137" i="3"/>
  <c r="R137" i="3" s="1"/>
  <c r="S137" i="3" s="1"/>
  <c r="T137" i="3" s="1"/>
  <c r="U137" i="3" s="1"/>
  <c r="V137" i="3" s="1"/>
  <c r="X137" i="3" s="1"/>
  <c r="AM136" i="3"/>
  <c r="AR136" i="3" s="1"/>
  <c r="R135" i="3"/>
  <c r="AO134" i="3"/>
  <c r="AN134" i="3"/>
  <c r="AL134" i="3"/>
  <c r="Q134" i="3"/>
  <c r="R134" i="3" s="1"/>
  <c r="S134" i="3" s="1"/>
  <c r="T134" i="3" s="1"/>
  <c r="U134" i="3" s="1"/>
  <c r="V134" i="3" s="1"/>
  <c r="X134" i="3" s="1"/>
  <c r="AM133" i="3"/>
  <c r="AR133" i="3" s="1"/>
  <c r="AO131" i="3"/>
  <c r="AN131" i="3"/>
  <c r="AL131" i="3"/>
  <c r="P131" i="3"/>
  <c r="Q131" i="3" s="1"/>
  <c r="R131" i="3" s="1"/>
  <c r="S131" i="3" s="1"/>
  <c r="T131" i="3" s="1"/>
  <c r="U131" i="3" s="1"/>
  <c r="V131" i="3" s="1"/>
  <c r="X131" i="3" s="1"/>
  <c r="AM130" i="3"/>
  <c r="AR130" i="3" s="1"/>
  <c r="AO128" i="3"/>
  <c r="AN128" i="3"/>
  <c r="AL128" i="3"/>
  <c r="P128" i="3"/>
  <c r="Q128" i="3" s="1"/>
  <c r="R128" i="3" s="1"/>
  <c r="S128" i="3" s="1"/>
  <c r="T128" i="3" s="1"/>
  <c r="U128" i="3" s="1"/>
  <c r="V128" i="3" s="1"/>
  <c r="X128" i="3" s="1"/>
  <c r="AM127" i="3"/>
  <c r="AR127" i="3" s="1"/>
  <c r="R127" i="3"/>
  <c r="AO125" i="3"/>
  <c r="AN125" i="3"/>
  <c r="AL125" i="3"/>
  <c r="P125" i="3"/>
  <c r="Q125" i="3" s="1"/>
  <c r="R125" i="3" s="1"/>
  <c r="S125" i="3" s="1"/>
  <c r="T125" i="3" s="1"/>
  <c r="U125" i="3" s="1"/>
  <c r="V125" i="3" s="1"/>
  <c r="X125" i="3" s="1"/>
  <c r="AM124" i="3"/>
  <c r="AR124" i="3" s="1"/>
  <c r="AO122" i="3"/>
  <c r="AN122" i="3"/>
  <c r="AL122" i="3"/>
  <c r="AM122" i="3" s="1"/>
  <c r="Y122" i="3"/>
  <c r="Z122" i="3" s="1"/>
  <c r="AA122" i="3" s="1"/>
  <c r="AB122" i="3" s="1"/>
  <c r="AC122" i="3" s="1"/>
  <c r="AD122" i="3" s="1"/>
  <c r="AE122" i="3" s="1"/>
  <c r="AM121" i="3"/>
  <c r="AR121" i="3" s="1"/>
  <c r="R120" i="3"/>
  <c r="AO119" i="3"/>
  <c r="AN119" i="3"/>
  <c r="AL119" i="3"/>
  <c r="Q119" i="3"/>
  <c r="R119" i="3" s="1"/>
  <c r="S119" i="3" s="1"/>
  <c r="T119" i="3" s="1"/>
  <c r="U119" i="3" s="1"/>
  <c r="V119" i="3" s="1"/>
  <c r="X119" i="3" s="1"/>
  <c r="AM118" i="3"/>
  <c r="AR118" i="3" s="1"/>
  <c r="AO116" i="3"/>
  <c r="AN116" i="3"/>
  <c r="AL116" i="3"/>
  <c r="P116" i="3"/>
  <c r="Q116" i="3" s="1"/>
  <c r="R116" i="3" s="1"/>
  <c r="S116" i="3" s="1"/>
  <c r="T116" i="3" s="1"/>
  <c r="U116" i="3" s="1"/>
  <c r="V116" i="3" s="1"/>
  <c r="X116" i="3" s="1"/>
  <c r="AM115" i="3"/>
  <c r="AR115" i="3" s="1"/>
  <c r="R114" i="3"/>
  <c r="AO113" i="3"/>
  <c r="AN113" i="3"/>
  <c r="AL113" i="3"/>
  <c r="Q113" i="3"/>
  <c r="R113" i="3" s="1"/>
  <c r="S113" i="3" s="1"/>
  <c r="T113" i="3" s="1"/>
  <c r="U113" i="3" s="1"/>
  <c r="V113" i="3" s="1"/>
  <c r="X113" i="3" s="1"/>
  <c r="AM112" i="3"/>
  <c r="AR112" i="3" s="1"/>
  <c r="AO110" i="3"/>
  <c r="AN110" i="3"/>
  <c r="AL110" i="3"/>
  <c r="T110" i="3"/>
  <c r="U110" i="3" s="1"/>
  <c r="V110" i="3" s="1"/>
  <c r="X110" i="3" s="1"/>
  <c r="AM109" i="3"/>
  <c r="Y109" i="3"/>
  <c r="Z109" i="3" s="1"/>
  <c r="AA109" i="3" s="1"/>
  <c r="AB109" i="3" s="1"/>
  <c r="AC109" i="3" s="1"/>
  <c r="AD109" i="3" s="1"/>
  <c r="AE109" i="3" s="1"/>
  <c r="AO107" i="3"/>
  <c r="AN107" i="3"/>
  <c r="AL107" i="3"/>
  <c r="P107" i="3"/>
  <c r="Q107" i="3" s="1"/>
  <c r="R107" i="3" s="1"/>
  <c r="S107" i="3" s="1"/>
  <c r="T107" i="3" s="1"/>
  <c r="U107" i="3" s="1"/>
  <c r="V107" i="3" s="1"/>
  <c r="X107" i="3" s="1"/>
  <c r="AM106" i="3"/>
  <c r="AR106" i="3" s="1"/>
  <c r="AO104" i="3"/>
  <c r="AN104" i="3"/>
  <c r="AL104" i="3"/>
  <c r="P104" i="3"/>
  <c r="Q104" i="3" s="1"/>
  <c r="R104" i="3" s="1"/>
  <c r="S104" i="3" s="1"/>
  <c r="T104" i="3" s="1"/>
  <c r="U104" i="3" s="1"/>
  <c r="V104" i="3" s="1"/>
  <c r="X104" i="3" s="1"/>
  <c r="AM103" i="3"/>
  <c r="AR103" i="3" s="1"/>
  <c r="AO101" i="3"/>
  <c r="AN101" i="3"/>
  <c r="AL101" i="3"/>
  <c r="P101" i="3"/>
  <c r="Q101" i="3" s="1"/>
  <c r="R101" i="3" s="1"/>
  <c r="S101" i="3" s="1"/>
  <c r="T101" i="3" s="1"/>
  <c r="U101" i="3" s="1"/>
  <c r="V101" i="3" s="1"/>
  <c r="X101" i="3" s="1"/>
  <c r="AM100" i="3"/>
  <c r="AR100" i="3" s="1"/>
  <c r="AO98" i="3"/>
  <c r="AN98" i="3"/>
  <c r="AL98" i="3"/>
  <c r="P98" i="3"/>
  <c r="Q98" i="3" s="1"/>
  <c r="R98" i="3" s="1"/>
  <c r="S98" i="3" s="1"/>
  <c r="T98" i="3" s="1"/>
  <c r="U98" i="3" s="1"/>
  <c r="V98" i="3" s="1"/>
  <c r="X98" i="3" s="1"/>
  <c r="AM97" i="3"/>
  <c r="AR97" i="3" s="1"/>
  <c r="AO95" i="3"/>
  <c r="AN95" i="3"/>
  <c r="AL95" i="3"/>
  <c r="AM95" i="3" s="1"/>
  <c r="Y95" i="3"/>
  <c r="Z95" i="3" s="1"/>
  <c r="AA95" i="3" s="1"/>
  <c r="AB95" i="3" s="1"/>
  <c r="AC95" i="3" s="1"/>
  <c r="AD95" i="3" s="1"/>
  <c r="AE95" i="3" s="1"/>
  <c r="AM94" i="3"/>
  <c r="AR94" i="3" s="1"/>
  <c r="R93" i="3"/>
  <c r="AO92" i="3"/>
  <c r="AN92" i="3"/>
  <c r="AL92" i="3"/>
  <c r="T92" i="3"/>
  <c r="U92" i="3" s="1"/>
  <c r="V92" i="3" s="1"/>
  <c r="X92" i="3" s="1"/>
  <c r="AM91" i="3"/>
  <c r="AR91" i="3" s="1"/>
  <c r="AO89" i="3"/>
  <c r="AN89" i="3"/>
  <c r="AL89" i="3"/>
  <c r="V89" i="3"/>
  <c r="X89" i="3" s="1"/>
  <c r="AM88" i="3"/>
  <c r="AR88" i="3" s="1"/>
  <c r="AO86" i="3"/>
  <c r="AN86" i="3"/>
  <c r="AL86" i="3"/>
  <c r="V86" i="3"/>
  <c r="X86" i="3" s="1"/>
  <c r="AM85" i="3"/>
  <c r="AR85" i="3" s="1"/>
  <c r="AO83" i="3"/>
  <c r="AN83" i="3"/>
  <c r="AL83" i="3"/>
  <c r="V83" i="3"/>
  <c r="X83" i="3" s="1"/>
  <c r="AM82" i="3"/>
  <c r="AR82" i="3" s="1"/>
  <c r="AO80" i="3"/>
  <c r="AN80" i="3"/>
  <c r="AL80" i="3"/>
  <c r="V80" i="3"/>
  <c r="X80" i="3" s="1"/>
  <c r="AM79" i="3"/>
  <c r="AO77" i="3"/>
  <c r="AN77" i="3"/>
  <c r="AL77" i="3"/>
  <c r="V77" i="3"/>
  <c r="X77" i="3" s="1"/>
  <c r="AM76" i="3"/>
  <c r="AR76" i="3" s="1"/>
  <c r="AO74" i="3"/>
  <c r="AN74" i="3"/>
  <c r="AL74" i="3"/>
  <c r="V74" i="3"/>
  <c r="X74" i="3" s="1"/>
  <c r="AM73" i="3"/>
  <c r="AO71" i="3"/>
  <c r="AN71" i="3"/>
  <c r="AL71" i="3"/>
  <c r="AM71" i="3" s="1"/>
  <c r="AM70" i="3"/>
  <c r="AF70" i="3"/>
  <c r="AO68" i="3"/>
  <c r="AN68" i="3"/>
  <c r="AL68" i="3"/>
  <c r="X68" i="3"/>
  <c r="AM67" i="3"/>
  <c r="AR67" i="3" s="1"/>
  <c r="AO65" i="3"/>
  <c r="AN65" i="3"/>
  <c r="AL65" i="3"/>
  <c r="AM65" i="3" s="1"/>
  <c r="AR65" i="3" s="1"/>
  <c r="Y65" i="3"/>
  <c r="Z65" i="3" s="1"/>
  <c r="AA65" i="3" s="1"/>
  <c r="AB65" i="3" s="1"/>
  <c r="AC65" i="3" s="1"/>
  <c r="AD65" i="3" s="1"/>
  <c r="AE65" i="3" s="1"/>
  <c r="AM64" i="3"/>
  <c r="AR64" i="3" s="1"/>
  <c r="AO62" i="3"/>
  <c r="AN62" i="3"/>
  <c r="AL62" i="3"/>
  <c r="AM62" i="3" s="1"/>
  <c r="Y62" i="3"/>
  <c r="Z62" i="3" s="1"/>
  <c r="AA62" i="3" s="1"/>
  <c r="AB62" i="3" s="1"/>
  <c r="AC62" i="3" s="1"/>
  <c r="AD62" i="3" s="1"/>
  <c r="AE62" i="3" s="1"/>
  <c r="AM61" i="3"/>
  <c r="AO59" i="3"/>
  <c r="AN59" i="3"/>
  <c r="AL59" i="3"/>
  <c r="AM59" i="3" s="1"/>
  <c r="Y59" i="3"/>
  <c r="Z59" i="3" s="1"/>
  <c r="AA59" i="3" s="1"/>
  <c r="AB59" i="3" s="1"/>
  <c r="AC59" i="3" s="1"/>
  <c r="AD59" i="3" s="1"/>
  <c r="AE59" i="3" s="1"/>
  <c r="AM58" i="3"/>
  <c r="AR58" i="3" s="1"/>
  <c r="AJ58" i="3"/>
  <c r="AI58" i="3"/>
  <c r="AH58" i="3"/>
  <c r="AG58" i="3" s="1"/>
  <c r="AF58" i="3" s="1"/>
  <c r="AO56" i="3"/>
  <c r="AN56" i="3"/>
  <c r="AL56" i="3"/>
  <c r="AM56" i="3" s="1"/>
  <c r="Y56" i="3"/>
  <c r="Z56" i="3" s="1"/>
  <c r="AA56" i="3" s="1"/>
  <c r="AB56" i="3" s="1"/>
  <c r="AC56" i="3" s="1"/>
  <c r="AD56" i="3" s="1"/>
  <c r="AE56" i="3" s="1"/>
  <c r="AM55" i="3"/>
  <c r="AR55" i="3" s="1"/>
  <c r="AO53" i="3"/>
  <c r="AN53" i="3"/>
  <c r="AL53" i="3"/>
  <c r="AM53" i="3" s="1"/>
  <c r="Y53" i="3"/>
  <c r="Z53" i="3" s="1"/>
  <c r="AA53" i="3" s="1"/>
  <c r="AB53" i="3" s="1"/>
  <c r="AC53" i="3" s="1"/>
  <c r="AD53" i="3" s="1"/>
  <c r="AE53" i="3" s="1"/>
  <c r="AM52" i="3"/>
  <c r="AR52" i="3" s="1"/>
  <c r="AO50" i="3"/>
  <c r="AN50" i="3"/>
  <c r="AL50" i="3"/>
  <c r="AM50" i="3" s="1"/>
  <c r="AH50" i="3" s="1"/>
  <c r="AG50" i="3" s="1"/>
  <c r="AF50" i="3" s="1"/>
  <c r="AA50" i="3"/>
  <c r="AB50" i="3" s="1"/>
  <c r="AC50" i="3" s="1"/>
  <c r="AD50" i="3" s="1"/>
  <c r="AE50" i="3" s="1"/>
  <c r="AM49" i="3"/>
  <c r="AR49" i="3" s="1"/>
  <c r="AO47" i="3"/>
  <c r="AN47" i="3"/>
  <c r="AL47" i="3"/>
  <c r="AM47" i="3" s="1"/>
  <c r="AH47" i="3" s="1"/>
  <c r="AG47" i="3" s="1"/>
  <c r="AF47" i="3" s="1"/>
  <c r="AA47" i="3"/>
  <c r="AB47" i="3" s="1"/>
  <c r="AC47" i="3" s="1"/>
  <c r="AD47" i="3" s="1"/>
  <c r="AE47" i="3" s="1"/>
  <c r="AM46" i="3"/>
  <c r="AR46" i="3" s="1"/>
  <c r="AO44" i="3"/>
  <c r="AN44" i="3"/>
  <c r="AL44" i="3"/>
  <c r="AM44" i="3" s="1"/>
  <c r="AA44" i="3"/>
  <c r="AB44" i="3" s="1"/>
  <c r="AC44" i="3" s="1"/>
  <c r="AD44" i="3" s="1"/>
  <c r="AE44" i="3" s="1"/>
  <c r="AM43" i="3"/>
  <c r="S42" i="3"/>
  <c r="R42" i="3"/>
  <c r="AO41" i="3"/>
  <c r="AN41" i="3"/>
  <c r="AL41" i="3"/>
  <c r="AM41" i="3" s="1"/>
  <c r="AA41" i="3"/>
  <c r="AB41" i="3" s="1"/>
  <c r="AC41" i="3" s="1"/>
  <c r="AD41" i="3" s="1"/>
  <c r="AE41" i="3" s="1"/>
  <c r="AM40" i="3"/>
  <c r="AH40" i="3"/>
  <c r="AG40" i="3" s="1"/>
  <c r="S39" i="3"/>
  <c r="R39" i="3"/>
  <c r="AO38" i="3"/>
  <c r="AN38" i="3"/>
  <c r="AL38" i="3"/>
  <c r="AM38" i="3" s="1"/>
  <c r="AA38" i="3"/>
  <c r="AB38" i="3" s="1"/>
  <c r="AC38" i="3" s="1"/>
  <c r="AD38" i="3" s="1"/>
  <c r="AE38" i="3" s="1"/>
  <c r="AM37" i="3"/>
  <c r="AJ37" i="3"/>
  <c r="AI37" i="3"/>
  <c r="AH37" i="3"/>
  <c r="AG37" i="3"/>
  <c r="AO35" i="3"/>
  <c r="AN35" i="3"/>
  <c r="AL35" i="3"/>
  <c r="AM35" i="3" s="1"/>
  <c r="Y35" i="3"/>
  <c r="Z35" i="3" s="1"/>
  <c r="AA35" i="3" s="1"/>
  <c r="AB35" i="3" s="1"/>
  <c r="AC35" i="3" s="1"/>
  <c r="AD35" i="3" s="1"/>
  <c r="AE35" i="3" s="1"/>
  <c r="AM34" i="3"/>
  <c r="AH34" i="3" s="1"/>
  <c r="AG34" i="3" s="1"/>
  <c r="AO32" i="3"/>
  <c r="AN32" i="3"/>
  <c r="AL32" i="3"/>
  <c r="X32" i="3"/>
  <c r="AM31" i="3"/>
  <c r="AR31" i="3" s="1"/>
  <c r="V31" i="3"/>
  <c r="AO29" i="3"/>
  <c r="AN29" i="3"/>
  <c r="AL29" i="3"/>
  <c r="AM29" i="3" s="1"/>
  <c r="AH29" i="3" s="1"/>
  <c r="AG29" i="3" s="1"/>
  <c r="AF29" i="3" s="1"/>
  <c r="AA29" i="3"/>
  <c r="AB29" i="3" s="1"/>
  <c r="AC29" i="3" s="1"/>
  <c r="AD29" i="3" s="1"/>
  <c r="AE29" i="3" s="1"/>
  <c r="AM28" i="3"/>
  <c r="AJ28" i="3" s="1"/>
  <c r="AI28" i="3"/>
  <c r="AH28" i="3"/>
  <c r="AG28" i="3"/>
  <c r="AO26" i="3"/>
  <c r="AN26" i="3"/>
  <c r="AL26" i="3"/>
  <c r="AM26" i="3" s="1"/>
  <c r="AH26" i="3" s="1"/>
  <c r="AG26" i="3" s="1"/>
  <c r="AF26" i="3" s="1"/>
  <c r="AA26" i="3"/>
  <c r="AB26" i="3" s="1"/>
  <c r="AC26" i="3" s="1"/>
  <c r="AD26" i="3" s="1"/>
  <c r="AE26" i="3" s="1"/>
  <c r="AM25" i="3"/>
  <c r="AR25" i="3" s="1"/>
  <c r="AN23" i="3"/>
  <c r="AL23" i="3"/>
  <c r="V23" i="3"/>
  <c r="X23" i="3" s="1"/>
  <c r="AM22" i="3"/>
  <c r="Q21" i="3"/>
  <c r="R21" i="3" s="1"/>
  <c r="S21" i="3" s="1"/>
  <c r="AO20" i="3"/>
  <c r="AN20" i="3"/>
  <c r="AL20" i="3"/>
  <c r="AM20" i="3" s="1"/>
  <c r="Y20" i="3"/>
  <c r="Z20" i="3" s="1"/>
  <c r="AA20" i="3" s="1"/>
  <c r="AB20" i="3" s="1"/>
  <c r="AC20" i="3" s="1"/>
  <c r="AD20" i="3" s="1"/>
  <c r="AE20" i="3" s="1"/>
  <c r="AM19" i="3"/>
  <c r="AR176" i="3" l="1"/>
  <c r="AR47" i="3"/>
  <c r="AR236" i="3"/>
  <c r="AR233" i="3"/>
  <c r="AR50" i="3"/>
  <c r="AR29" i="3"/>
  <c r="AR26" i="3"/>
  <c r="AR59" i="3"/>
  <c r="AR56" i="3"/>
  <c r="AI179" i="3"/>
  <c r="AJ179" i="3"/>
  <c r="AR179" i="3"/>
  <c r="AH179" i="3"/>
  <c r="AG179" i="3" s="1"/>
  <c r="AF179" i="3" s="1"/>
  <c r="AH59" i="3"/>
  <c r="AG59" i="3" s="1"/>
  <c r="AF59" i="3" s="1"/>
  <c r="AI59" i="3"/>
  <c r="AJ59" i="3"/>
  <c r="AH56" i="3"/>
  <c r="AG56" i="3" s="1"/>
  <c r="AF56" i="3" s="1"/>
  <c r="AI56" i="3"/>
  <c r="AJ56" i="3"/>
  <c r="AI41" i="3"/>
  <c r="AR41" i="3"/>
  <c r="AH41" i="3"/>
  <c r="AG41" i="3" s="1"/>
  <c r="AF41" i="3" s="1"/>
  <c r="AJ41" i="3"/>
  <c r="AJ40" i="3"/>
  <c r="AI40" i="3"/>
  <c r="AR38" i="3"/>
  <c r="AH38" i="3"/>
  <c r="AG38" i="3" s="1"/>
  <c r="AF38" i="3" s="1"/>
  <c r="AI38" i="3"/>
  <c r="AJ38" i="3"/>
  <c r="AW151" i="2"/>
  <c r="AW113" i="2"/>
  <c r="AW112" i="2"/>
  <c r="AW111" i="2"/>
  <c r="AW110" i="2"/>
  <c r="AW109" i="2"/>
  <c r="AW108" i="2"/>
  <c r="AW107" i="2"/>
  <c r="AW106" i="2"/>
  <c r="AW104" i="2"/>
  <c r="AW103" i="2"/>
  <c r="AW102" i="2"/>
  <c r="AW101" i="2"/>
  <c r="AW99" i="2"/>
  <c r="AW98" i="2"/>
  <c r="AW95" i="2"/>
  <c r="AW93" i="2"/>
  <c r="AW91" i="2"/>
  <c r="AW89" i="2"/>
  <c r="AW87" i="2"/>
  <c r="AW84" i="2"/>
  <c r="AW82" i="2"/>
  <c r="AW79" i="2"/>
  <c r="AW77" i="2"/>
  <c r="AW75" i="2"/>
  <c r="AW73" i="2"/>
  <c r="AW69" i="2"/>
  <c r="AW67" i="2"/>
  <c r="AW65" i="2"/>
  <c r="AW100" i="2"/>
  <c r="AW85" i="2"/>
  <c r="AW86" i="2"/>
  <c r="AW88" i="2"/>
  <c r="AW90" i="2"/>
  <c r="AW92" i="2"/>
  <c r="AW94" i="2"/>
  <c r="AW96" i="2"/>
  <c r="AW97" i="2"/>
  <c r="AW66" i="2"/>
  <c r="AW68" i="2"/>
  <c r="AW70" i="2"/>
  <c r="AW71" i="2"/>
  <c r="AW105" i="2"/>
  <c r="AW72" i="2"/>
  <c r="AW74" i="2"/>
  <c r="AW76" i="2"/>
  <c r="AW78" i="2"/>
  <c r="AW80" i="2"/>
  <c r="AW81" i="2"/>
  <c r="AW83" i="2"/>
  <c r="Y317" i="3"/>
  <c r="Z317" i="3" s="1"/>
  <c r="AA317" i="3" s="1"/>
  <c r="AB317" i="3" s="1"/>
  <c r="AM317" i="3"/>
  <c r="Y314" i="3"/>
  <c r="Z314" i="3" s="1"/>
  <c r="AA314" i="3" s="1"/>
  <c r="AB314" i="3" s="1"/>
  <c r="AM314" i="3"/>
  <c r="AR313" i="3"/>
  <c r="AN313" i="3"/>
  <c r="AH311" i="3"/>
  <c r="AG311" i="3" s="1"/>
  <c r="AF311" i="3" s="1"/>
  <c r="AI311" i="3"/>
  <c r="AJ311" i="3"/>
  <c r="AR311" i="3"/>
  <c r="AC311" i="3"/>
  <c r="AD311" i="3"/>
  <c r="AE311" i="3" s="1"/>
  <c r="AR310" i="3"/>
  <c r="AN310" i="3"/>
  <c r="Y308" i="3"/>
  <c r="Z308" i="3" s="1"/>
  <c r="AA308" i="3" s="1"/>
  <c r="AB308" i="3" s="1"/>
  <c r="AC308" i="3" s="1"/>
  <c r="AD308" i="3" s="1"/>
  <c r="AE308" i="3" s="1"/>
  <c r="AM308" i="3"/>
  <c r="Y305" i="3"/>
  <c r="Z305" i="3" s="1"/>
  <c r="AA305" i="3" s="1"/>
  <c r="AM305" i="3"/>
  <c r="Y304" i="3"/>
  <c r="Z304" i="3" s="1"/>
  <c r="AA304" i="3" s="1"/>
  <c r="AM304" i="3"/>
  <c r="Y302" i="3"/>
  <c r="Z302" i="3" s="1"/>
  <c r="AA302" i="3" s="1"/>
  <c r="AB302" i="3" s="1"/>
  <c r="AC302" i="3" s="1"/>
  <c r="AD302" i="3" s="1"/>
  <c r="AE302" i="3" s="1"/>
  <c r="AM302" i="3"/>
  <c r="AM299" i="3"/>
  <c r="Y299" i="3"/>
  <c r="Z299" i="3" s="1"/>
  <c r="AA299" i="3" s="1"/>
  <c r="AB299" i="3" s="1"/>
  <c r="AC299" i="3" s="1"/>
  <c r="AD299" i="3" s="1"/>
  <c r="AE299" i="3" s="1"/>
  <c r="AM296" i="3"/>
  <c r="Y296" i="3"/>
  <c r="Z296" i="3" s="1"/>
  <c r="AA296" i="3" s="1"/>
  <c r="AB296" i="3" s="1"/>
  <c r="AC296" i="3" s="1"/>
  <c r="AD296" i="3" s="1"/>
  <c r="AE296" i="3" s="1"/>
  <c r="AM293" i="3"/>
  <c r="Y293" i="3"/>
  <c r="Z293" i="3" s="1"/>
  <c r="AA293" i="3" s="1"/>
  <c r="AB293" i="3" s="1"/>
  <c r="AC293" i="3" s="1"/>
  <c r="AD293" i="3" s="1"/>
  <c r="AE293" i="3" s="1"/>
  <c r="Y290" i="3"/>
  <c r="Z290" i="3" s="1"/>
  <c r="AA290" i="3" s="1"/>
  <c r="AB290" i="3" s="1"/>
  <c r="AC290" i="3" s="1"/>
  <c r="AD290" i="3" s="1"/>
  <c r="AE290" i="3" s="1"/>
  <c r="AM290" i="3"/>
  <c r="Y287" i="3"/>
  <c r="Z287" i="3" s="1"/>
  <c r="AA287" i="3" s="1"/>
  <c r="AB287" i="3" s="1"/>
  <c r="AC287" i="3" s="1"/>
  <c r="AD287" i="3" s="1"/>
  <c r="AE287" i="3" s="1"/>
  <c r="AM287" i="3"/>
  <c r="AM284" i="3"/>
  <c r="Y284" i="3"/>
  <c r="Z284" i="3" s="1"/>
  <c r="AA284" i="3" s="1"/>
  <c r="AB284" i="3" s="1"/>
  <c r="AC284" i="3" s="1"/>
  <c r="AD284" i="3" s="1"/>
  <c r="AE284" i="3" s="1"/>
  <c r="AJ280" i="3"/>
  <c r="AI280" i="3"/>
  <c r="AG280" i="3"/>
  <c r="AF280" i="3" s="1"/>
  <c r="AM278" i="3"/>
  <c r="Y278" i="3"/>
  <c r="Z278" i="3" s="1"/>
  <c r="AA278" i="3" s="1"/>
  <c r="AB278" i="3" s="1"/>
  <c r="AC278" i="3" s="1"/>
  <c r="AD278" i="3" s="1"/>
  <c r="AE278" i="3" s="1"/>
  <c r="AM275" i="3"/>
  <c r="Y275" i="3"/>
  <c r="Z275" i="3" s="1"/>
  <c r="AA275" i="3" s="1"/>
  <c r="AB275" i="3" s="1"/>
  <c r="AC275" i="3" s="1"/>
  <c r="AD275" i="3" s="1"/>
  <c r="AE275" i="3" s="1"/>
  <c r="Y272" i="3"/>
  <c r="Z272" i="3" s="1"/>
  <c r="AA272" i="3" s="1"/>
  <c r="AB272" i="3" s="1"/>
  <c r="AC272" i="3" s="1"/>
  <c r="AD272" i="3" s="1"/>
  <c r="AE272" i="3" s="1"/>
  <c r="AM272" i="3"/>
  <c r="Y269" i="3"/>
  <c r="Z269" i="3" s="1"/>
  <c r="AA269" i="3" s="1"/>
  <c r="AB269" i="3" s="1"/>
  <c r="AC269" i="3" s="1"/>
  <c r="AD269" i="3" s="1"/>
  <c r="AE269" i="3" s="1"/>
  <c r="AM269" i="3"/>
  <c r="Y266" i="3"/>
  <c r="Z266" i="3" s="1"/>
  <c r="AA266" i="3" s="1"/>
  <c r="AB266" i="3" s="1"/>
  <c r="AC266" i="3" s="1"/>
  <c r="AD266" i="3" s="1"/>
  <c r="AE266" i="3" s="1"/>
  <c r="AM266" i="3"/>
  <c r="Y263" i="3"/>
  <c r="Z263" i="3" s="1"/>
  <c r="AA263" i="3" s="1"/>
  <c r="AB263" i="3" s="1"/>
  <c r="AC263" i="3" s="1"/>
  <c r="AD263" i="3" s="1"/>
  <c r="AE263" i="3" s="1"/>
  <c r="AM263" i="3"/>
  <c r="Y260" i="3"/>
  <c r="Z260" i="3" s="1"/>
  <c r="AA260" i="3" s="1"/>
  <c r="AB260" i="3" s="1"/>
  <c r="AC260" i="3" s="1"/>
  <c r="AD260" i="3" s="1"/>
  <c r="AE260" i="3" s="1"/>
  <c r="AM260" i="3"/>
  <c r="AR259" i="3"/>
  <c r="AJ259" i="3"/>
  <c r="AI259" i="3"/>
  <c r="AH259" i="3"/>
  <c r="AM257" i="3"/>
  <c r="Y257" i="3"/>
  <c r="Z257" i="3" s="1"/>
  <c r="AA257" i="3" s="1"/>
  <c r="AB257" i="3" s="1"/>
  <c r="AC257" i="3" s="1"/>
  <c r="AD257" i="3" s="1"/>
  <c r="AE257" i="3" s="1"/>
  <c r="Y254" i="3"/>
  <c r="Z254" i="3" s="1"/>
  <c r="AA254" i="3" s="1"/>
  <c r="AB254" i="3" s="1"/>
  <c r="AC254" i="3" s="1"/>
  <c r="AD254" i="3" s="1"/>
  <c r="AE254" i="3" s="1"/>
  <c r="AM254" i="3"/>
  <c r="Y251" i="3"/>
  <c r="Z251" i="3" s="1"/>
  <c r="AA251" i="3" s="1"/>
  <c r="AB251" i="3" s="1"/>
  <c r="AC251" i="3" s="1"/>
  <c r="AD251" i="3" s="1"/>
  <c r="AE251" i="3" s="1"/>
  <c r="AM251" i="3"/>
  <c r="AN250" i="3"/>
  <c r="AR250" i="3"/>
  <c r="Y248" i="3"/>
  <c r="Z248" i="3" s="1"/>
  <c r="AA248" i="3" s="1"/>
  <c r="AB248" i="3" s="1"/>
  <c r="AC248" i="3" s="1"/>
  <c r="AD248" i="3" s="1"/>
  <c r="AE248" i="3" s="1"/>
  <c r="AM248" i="3"/>
  <c r="Y245" i="3"/>
  <c r="Z245" i="3" s="1"/>
  <c r="AA245" i="3" s="1"/>
  <c r="AB245" i="3" s="1"/>
  <c r="AC245" i="3" s="1"/>
  <c r="AD245" i="3" s="1"/>
  <c r="AE245" i="3" s="1"/>
  <c r="AM245" i="3"/>
  <c r="AM242" i="3"/>
  <c r="Y242" i="3"/>
  <c r="Z242" i="3" s="1"/>
  <c r="AA242" i="3" s="1"/>
  <c r="AB242" i="3" s="1"/>
  <c r="AC242" i="3" s="1"/>
  <c r="AD242" i="3" s="1"/>
  <c r="AE242" i="3" s="1"/>
  <c r="AM239" i="3"/>
  <c r="Y239" i="3"/>
  <c r="Z239" i="3" s="1"/>
  <c r="AA239" i="3" s="1"/>
  <c r="AB239" i="3" s="1"/>
  <c r="AC239" i="3" s="1"/>
  <c r="AD239" i="3" s="1"/>
  <c r="AE239" i="3" s="1"/>
  <c r="AN238" i="3"/>
  <c r="AR238" i="3"/>
  <c r="AR229" i="3"/>
  <c r="AM230" i="3"/>
  <c r="AR230" i="3" s="1"/>
  <c r="Y230" i="3"/>
  <c r="Z230" i="3" s="1"/>
  <c r="AA230" i="3" s="1"/>
  <c r="AB230" i="3" s="1"/>
  <c r="AC230" i="3" s="1"/>
  <c r="AD230" i="3" s="1"/>
  <c r="AE230" i="3" s="1"/>
  <c r="AM227" i="3"/>
  <c r="Y227" i="3"/>
  <c r="Z227" i="3" s="1"/>
  <c r="AA227" i="3" s="1"/>
  <c r="AB227" i="3" s="1"/>
  <c r="AC227" i="3" s="1"/>
  <c r="AD227" i="3" s="1"/>
  <c r="AE227" i="3" s="1"/>
  <c r="Y224" i="3"/>
  <c r="Z224" i="3" s="1"/>
  <c r="AA224" i="3" s="1"/>
  <c r="AB224" i="3" s="1"/>
  <c r="AC224" i="3" s="1"/>
  <c r="AD224" i="3" s="1"/>
  <c r="AE224" i="3" s="1"/>
  <c r="AM224" i="3"/>
  <c r="AM221" i="3"/>
  <c r="Y221" i="3"/>
  <c r="Z221" i="3" s="1"/>
  <c r="AA221" i="3" s="1"/>
  <c r="AB221" i="3" s="1"/>
  <c r="AC221" i="3" s="1"/>
  <c r="AD221" i="3" s="1"/>
  <c r="AE221" i="3" s="1"/>
  <c r="AM218" i="3"/>
  <c r="Y218" i="3"/>
  <c r="Z218" i="3" s="1"/>
  <c r="AA218" i="3" s="1"/>
  <c r="AB218" i="3" s="1"/>
  <c r="AC218" i="3" s="1"/>
  <c r="AD218" i="3" s="1"/>
  <c r="AE218" i="3" s="1"/>
  <c r="Y215" i="3"/>
  <c r="Z215" i="3" s="1"/>
  <c r="AA215" i="3" s="1"/>
  <c r="AB215" i="3" s="1"/>
  <c r="AC215" i="3" s="1"/>
  <c r="AD215" i="3" s="1"/>
  <c r="AE215" i="3" s="1"/>
  <c r="AM215" i="3"/>
  <c r="Y212" i="3"/>
  <c r="Z212" i="3" s="1"/>
  <c r="AA212" i="3" s="1"/>
  <c r="AB212" i="3" s="1"/>
  <c r="AC212" i="3" s="1"/>
  <c r="AD212" i="3" s="1"/>
  <c r="AE212" i="3" s="1"/>
  <c r="AM212" i="3"/>
  <c r="AM209" i="3"/>
  <c r="Y209" i="3"/>
  <c r="Z209" i="3" s="1"/>
  <c r="AA209" i="3" s="1"/>
  <c r="AB209" i="3" s="1"/>
  <c r="AC209" i="3" s="1"/>
  <c r="AD209" i="3" s="1"/>
  <c r="AE209" i="3" s="1"/>
  <c r="AD206" i="3"/>
  <c r="AA206" i="3"/>
  <c r="Z206" i="3" s="1"/>
  <c r="Y206" i="3" s="1"/>
  <c r="X206" i="3" s="1"/>
  <c r="AM206" i="3" s="1"/>
  <c r="AH203" i="3"/>
  <c r="AJ203" i="3"/>
  <c r="AI203" i="3"/>
  <c r="AC203" i="3"/>
  <c r="AD203" i="3"/>
  <c r="AE203" i="3" s="1"/>
  <c r="AA200" i="3"/>
  <c r="Z200" i="3" s="1"/>
  <c r="Y200" i="3" s="1"/>
  <c r="X200" i="3" s="1"/>
  <c r="AD200" i="3"/>
  <c r="AE200" i="3" s="1"/>
  <c r="AF200" i="3" s="1"/>
  <c r="AN199" i="3"/>
  <c r="AJ199" i="3"/>
  <c r="AR199" i="3"/>
  <c r="AM197" i="3"/>
  <c r="Y197" i="3"/>
  <c r="Z197" i="3" s="1"/>
  <c r="AA197" i="3" s="1"/>
  <c r="AB197" i="3" s="1"/>
  <c r="AJ196" i="3"/>
  <c r="AH196" i="3"/>
  <c r="AG196" i="3" s="1"/>
  <c r="AF196" i="3" s="1"/>
  <c r="AN196" i="3"/>
  <c r="AI196" i="3"/>
  <c r="AR196" i="3"/>
  <c r="AI194" i="3"/>
  <c r="AR194" i="3"/>
  <c r="AH194" i="3"/>
  <c r="AG194" i="3" s="1"/>
  <c r="AF194" i="3" s="1"/>
  <c r="AJ194" i="3"/>
  <c r="AC194" i="3"/>
  <c r="AD194" i="3"/>
  <c r="AE194" i="3" s="1"/>
  <c r="AJ191" i="3"/>
  <c r="AI191" i="3"/>
  <c r="AH191" i="3"/>
  <c r="AG191" i="3" s="1"/>
  <c r="AD191" i="3"/>
  <c r="AE191" i="3" s="1"/>
  <c r="AF191" i="3" s="1"/>
  <c r="AA191" i="3"/>
  <c r="AR190" i="3"/>
  <c r="AH190" i="3"/>
  <c r="AI190" i="3"/>
  <c r="AJ190" i="3"/>
  <c r="Y188" i="3"/>
  <c r="Z188" i="3" s="1"/>
  <c r="AA188" i="3" s="1"/>
  <c r="AB188" i="3" s="1"/>
  <c r="AM188" i="3"/>
  <c r="AM185" i="3"/>
  <c r="Y185" i="3"/>
  <c r="Z185" i="3" s="1"/>
  <c r="AA185" i="3" s="1"/>
  <c r="AB185" i="3" s="1"/>
  <c r="AR184" i="3"/>
  <c r="AN184" i="3"/>
  <c r="Y182" i="3"/>
  <c r="Z182" i="3" s="1"/>
  <c r="AA182" i="3" s="1"/>
  <c r="AB182" i="3" s="1"/>
  <c r="AM182" i="3"/>
  <c r="AN181" i="3"/>
  <c r="AR181" i="3"/>
  <c r="AD179" i="3"/>
  <c r="AE179" i="3" s="1"/>
  <c r="AC179" i="3"/>
  <c r="AJ176" i="3"/>
  <c r="AI176" i="3"/>
  <c r="AH176" i="3"/>
  <c r="AG176" i="3" s="1"/>
  <c r="AF176" i="3" s="1"/>
  <c r="Y173" i="3"/>
  <c r="Z173" i="3" s="1"/>
  <c r="AA173" i="3" s="1"/>
  <c r="AB173" i="3" s="1"/>
  <c r="AC173" i="3" s="1"/>
  <c r="AD173" i="3" s="1"/>
  <c r="AE173" i="3" s="1"/>
  <c r="AM173" i="3"/>
  <c r="Y170" i="3"/>
  <c r="Z170" i="3" s="1"/>
  <c r="AA170" i="3" s="1"/>
  <c r="AB170" i="3" s="1"/>
  <c r="AC170" i="3" s="1"/>
  <c r="AD170" i="3" s="1"/>
  <c r="AE170" i="3" s="1"/>
  <c r="AM170" i="3"/>
  <c r="AR169" i="3"/>
  <c r="AN169" i="3"/>
  <c r="Y167" i="3"/>
  <c r="Z167" i="3" s="1"/>
  <c r="AA167" i="3" s="1"/>
  <c r="AB167" i="3" s="1"/>
  <c r="AC167" i="3" s="1"/>
  <c r="AD167" i="3" s="1"/>
  <c r="AE167" i="3" s="1"/>
  <c r="AM167" i="3"/>
  <c r="AN166" i="3"/>
  <c r="AR166" i="3"/>
  <c r="Y164" i="3"/>
  <c r="Z164" i="3" s="1"/>
  <c r="AA164" i="3" s="1"/>
  <c r="AB164" i="3" s="1"/>
  <c r="AC164" i="3" s="1"/>
  <c r="AD164" i="3" s="1"/>
  <c r="AE164" i="3" s="1"/>
  <c r="AM164" i="3"/>
  <c r="AN163" i="3"/>
  <c r="AR163" i="3"/>
  <c r="AM161" i="3"/>
  <c r="Y161" i="3"/>
  <c r="Z161" i="3" s="1"/>
  <c r="AA161" i="3" s="1"/>
  <c r="AB161" i="3" s="1"/>
  <c r="AC161" i="3" s="1"/>
  <c r="AD161" i="3" s="1"/>
  <c r="AE161" i="3" s="1"/>
  <c r="AN160" i="3"/>
  <c r="AR160" i="3"/>
  <c r="Y158" i="3"/>
  <c r="Z158" i="3" s="1"/>
  <c r="AA158" i="3" s="1"/>
  <c r="AB158" i="3" s="1"/>
  <c r="AC158" i="3" s="1"/>
  <c r="AD158" i="3" s="1"/>
  <c r="AE158" i="3" s="1"/>
  <c r="AM158" i="3"/>
  <c r="AM155" i="3"/>
  <c r="Y155" i="3"/>
  <c r="Z155" i="3" s="1"/>
  <c r="AA155" i="3" s="1"/>
  <c r="AB155" i="3" s="1"/>
  <c r="AC155" i="3" s="1"/>
  <c r="AD155" i="3" s="1"/>
  <c r="AE155" i="3" s="1"/>
  <c r="Y152" i="3"/>
  <c r="Z152" i="3" s="1"/>
  <c r="AA152" i="3" s="1"/>
  <c r="AB152" i="3" s="1"/>
  <c r="AC152" i="3" s="1"/>
  <c r="AD152" i="3" s="1"/>
  <c r="AE152" i="3" s="1"/>
  <c r="AM152" i="3"/>
  <c r="AR151" i="3"/>
  <c r="AN151" i="3"/>
  <c r="Y149" i="3"/>
  <c r="Z149" i="3" s="1"/>
  <c r="AA149" i="3" s="1"/>
  <c r="AB149" i="3" s="1"/>
  <c r="AC149" i="3" s="1"/>
  <c r="AD149" i="3" s="1"/>
  <c r="AE149" i="3" s="1"/>
  <c r="AM149" i="3"/>
  <c r="AM146" i="3"/>
  <c r="Y146" i="3"/>
  <c r="Z146" i="3" s="1"/>
  <c r="AA146" i="3" s="1"/>
  <c r="AB146" i="3" s="1"/>
  <c r="AC146" i="3" s="1"/>
  <c r="AD146" i="3" s="1"/>
  <c r="AE146" i="3" s="1"/>
  <c r="AM143" i="3"/>
  <c r="Y143" i="3"/>
  <c r="Z143" i="3" s="1"/>
  <c r="AA143" i="3" s="1"/>
  <c r="AB143" i="3" s="1"/>
  <c r="AC143" i="3" s="1"/>
  <c r="AD143" i="3" s="1"/>
  <c r="AE143" i="3" s="1"/>
  <c r="Y140" i="3"/>
  <c r="Z140" i="3" s="1"/>
  <c r="AA140" i="3" s="1"/>
  <c r="AB140" i="3" s="1"/>
  <c r="AC140" i="3" s="1"/>
  <c r="AD140" i="3" s="1"/>
  <c r="AE140" i="3" s="1"/>
  <c r="AM140" i="3"/>
  <c r="AM137" i="3"/>
  <c r="Y137" i="3"/>
  <c r="Z137" i="3" s="1"/>
  <c r="AA137" i="3" s="1"/>
  <c r="AB137" i="3" s="1"/>
  <c r="AC137" i="3" s="1"/>
  <c r="AD137" i="3" s="1"/>
  <c r="AE137" i="3" s="1"/>
  <c r="Y134" i="3"/>
  <c r="Z134" i="3" s="1"/>
  <c r="AA134" i="3" s="1"/>
  <c r="AB134" i="3" s="1"/>
  <c r="AC134" i="3" s="1"/>
  <c r="AD134" i="3" s="1"/>
  <c r="AE134" i="3" s="1"/>
  <c r="AM134" i="3"/>
  <c r="AM131" i="3"/>
  <c r="Y131" i="3"/>
  <c r="Z131" i="3" s="1"/>
  <c r="AA131" i="3" s="1"/>
  <c r="AB131" i="3" s="1"/>
  <c r="AC131" i="3" s="1"/>
  <c r="AD131" i="3" s="1"/>
  <c r="AE131" i="3" s="1"/>
  <c r="AM128" i="3"/>
  <c r="Y128" i="3"/>
  <c r="Z128" i="3" s="1"/>
  <c r="AA128" i="3" s="1"/>
  <c r="AB128" i="3" s="1"/>
  <c r="AC128" i="3" s="1"/>
  <c r="AD128" i="3" s="1"/>
  <c r="AE128" i="3" s="1"/>
  <c r="Y125" i="3"/>
  <c r="Z125" i="3" s="1"/>
  <c r="AA125" i="3" s="1"/>
  <c r="AB125" i="3" s="1"/>
  <c r="AC125" i="3" s="1"/>
  <c r="AD125" i="3" s="1"/>
  <c r="AE125" i="3" s="1"/>
  <c r="AM125" i="3"/>
  <c r="AH122" i="3"/>
  <c r="AG122" i="3" s="1"/>
  <c r="AF122" i="3" s="1"/>
  <c r="AI122" i="3"/>
  <c r="AJ122" i="3"/>
  <c r="AM119" i="3"/>
  <c r="Y119" i="3"/>
  <c r="Z119" i="3" s="1"/>
  <c r="AA119" i="3" s="1"/>
  <c r="AB119" i="3" s="1"/>
  <c r="AC119" i="3" s="1"/>
  <c r="AD119" i="3" s="1"/>
  <c r="AE119" i="3" s="1"/>
  <c r="Y116" i="3"/>
  <c r="Z116" i="3" s="1"/>
  <c r="AA116" i="3" s="1"/>
  <c r="AB116" i="3" s="1"/>
  <c r="AC116" i="3" s="1"/>
  <c r="AD116" i="3" s="1"/>
  <c r="AE116" i="3" s="1"/>
  <c r="AM116" i="3"/>
  <c r="AM113" i="3"/>
  <c r="Y113" i="3"/>
  <c r="Z113" i="3" s="1"/>
  <c r="AA113" i="3" s="1"/>
  <c r="AB113" i="3" s="1"/>
  <c r="AC113" i="3" s="1"/>
  <c r="AD113" i="3" s="1"/>
  <c r="AE113" i="3" s="1"/>
  <c r="AM110" i="3"/>
  <c r="Y110" i="3"/>
  <c r="Z110" i="3" s="1"/>
  <c r="AA110" i="3" s="1"/>
  <c r="AB110" i="3" s="1"/>
  <c r="AC110" i="3" s="1"/>
  <c r="AD110" i="3" s="1"/>
  <c r="AE110" i="3" s="1"/>
  <c r="AI109" i="3"/>
  <c r="AR109" i="3"/>
  <c r="AJ109" i="3"/>
  <c r="AH109" i="3"/>
  <c r="AG109" i="3" s="1"/>
  <c r="AF109" i="3" s="1"/>
  <c r="AM107" i="3"/>
  <c r="Y107" i="3"/>
  <c r="Z107" i="3" s="1"/>
  <c r="AA107" i="3" s="1"/>
  <c r="AB107" i="3" s="1"/>
  <c r="AC107" i="3" s="1"/>
  <c r="AD107" i="3" s="1"/>
  <c r="AE107" i="3" s="1"/>
  <c r="Y104" i="3"/>
  <c r="Z104" i="3" s="1"/>
  <c r="AA104" i="3" s="1"/>
  <c r="AB104" i="3" s="1"/>
  <c r="AC104" i="3" s="1"/>
  <c r="AD104" i="3" s="1"/>
  <c r="AE104" i="3" s="1"/>
  <c r="AM104" i="3"/>
  <c r="AM101" i="3"/>
  <c r="Y101" i="3"/>
  <c r="Z101" i="3" s="1"/>
  <c r="AA101" i="3" s="1"/>
  <c r="AB101" i="3" s="1"/>
  <c r="AC101" i="3" s="1"/>
  <c r="AD101" i="3" s="1"/>
  <c r="AE101" i="3" s="1"/>
  <c r="Y98" i="3"/>
  <c r="Z98" i="3" s="1"/>
  <c r="AA98" i="3" s="1"/>
  <c r="AB98" i="3" s="1"/>
  <c r="AC98" i="3" s="1"/>
  <c r="AD98" i="3" s="1"/>
  <c r="AE98" i="3" s="1"/>
  <c r="AM98" i="3"/>
  <c r="AH95" i="3"/>
  <c r="AG95" i="3" s="1"/>
  <c r="AF95" i="3" s="1"/>
  <c r="AJ95" i="3"/>
  <c r="AI95" i="3"/>
  <c r="AM92" i="3"/>
  <c r="Y92" i="3"/>
  <c r="Z92" i="3" s="1"/>
  <c r="AA92" i="3" s="1"/>
  <c r="AB92" i="3" s="1"/>
  <c r="AC92" i="3" s="1"/>
  <c r="AD92" i="3" s="1"/>
  <c r="AE92" i="3" s="1"/>
  <c r="AM89" i="3"/>
  <c r="Y89" i="3"/>
  <c r="Z89" i="3" s="1"/>
  <c r="AA89" i="3" s="1"/>
  <c r="AB89" i="3" s="1"/>
  <c r="AC89" i="3" s="1"/>
  <c r="AD89" i="3" s="1"/>
  <c r="AE89" i="3" s="1"/>
  <c r="Y86" i="3"/>
  <c r="Z86" i="3" s="1"/>
  <c r="AA86" i="3" s="1"/>
  <c r="AB86" i="3" s="1"/>
  <c r="AC86" i="3" s="1"/>
  <c r="AD86" i="3" s="1"/>
  <c r="AE86" i="3" s="1"/>
  <c r="AM86" i="3"/>
  <c r="Y83" i="3"/>
  <c r="Z83" i="3" s="1"/>
  <c r="AA83" i="3" s="1"/>
  <c r="AB83" i="3" s="1"/>
  <c r="AC83" i="3" s="1"/>
  <c r="AD83" i="3" s="1"/>
  <c r="AE83" i="3" s="1"/>
  <c r="AM83" i="3"/>
  <c r="AM80" i="3"/>
  <c r="Y80" i="3"/>
  <c r="Z80" i="3" s="1"/>
  <c r="AA80" i="3" s="1"/>
  <c r="AB80" i="3" s="1"/>
  <c r="AC80" i="3" s="1"/>
  <c r="AD80" i="3" s="1"/>
  <c r="AE80" i="3" s="1"/>
  <c r="AR79" i="3"/>
  <c r="AN79" i="3"/>
  <c r="Y77" i="3"/>
  <c r="Z77" i="3" s="1"/>
  <c r="AA77" i="3" s="1"/>
  <c r="AB77" i="3" s="1"/>
  <c r="AC77" i="3" s="1"/>
  <c r="AD77" i="3" s="1"/>
  <c r="AE77" i="3" s="1"/>
  <c r="AM77" i="3"/>
  <c r="AM74" i="3"/>
  <c r="Y74" i="3"/>
  <c r="Z74" i="3" s="1"/>
  <c r="AA74" i="3" s="1"/>
  <c r="AB74" i="3" s="1"/>
  <c r="AC74" i="3" s="1"/>
  <c r="AD74" i="3" s="1"/>
  <c r="AE74" i="3" s="1"/>
  <c r="AN73" i="3"/>
  <c r="AR73" i="3"/>
  <c r="AH71" i="3"/>
  <c r="AG71" i="3" s="1"/>
  <c r="AF71" i="3" s="1"/>
  <c r="AJ71" i="3"/>
  <c r="AI71" i="3"/>
  <c r="AN70" i="3"/>
  <c r="AR70" i="3"/>
  <c r="Y68" i="3"/>
  <c r="Z68" i="3" s="1"/>
  <c r="AA68" i="3" s="1"/>
  <c r="AB68" i="3" s="1"/>
  <c r="AC68" i="3" s="1"/>
  <c r="AD68" i="3" s="1"/>
  <c r="AE68" i="3" s="1"/>
  <c r="AM68" i="3"/>
  <c r="AJ65" i="3"/>
  <c r="AI65" i="3"/>
  <c r="AH65" i="3"/>
  <c r="AG65" i="3" s="1"/>
  <c r="AF65" i="3" s="1"/>
  <c r="AI62" i="3"/>
  <c r="AH62" i="3"/>
  <c r="AG62" i="3" s="1"/>
  <c r="AF62" i="3" s="1"/>
  <c r="AJ62" i="3"/>
  <c r="AN61" i="3"/>
  <c r="AR61" i="3"/>
  <c r="AH53" i="3"/>
  <c r="AG53" i="3" s="1"/>
  <c r="AF53" i="3" s="1"/>
  <c r="AI53" i="3"/>
  <c r="AJ53" i="3"/>
  <c r="AJ50" i="3"/>
  <c r="AI50" i="3"/>
  <c r="AJ47" i="3"/>
  <c r="AI47" i="3"/>
  <c r="AH44" i="3"/>
  <c r="AG44" i="3" s="1"/>
  <c r="AF44" i="3" s="1"/>
  <c r="AI44" i="3"/>
  <c r="AJ44" i="3"/>
  <c r="AN43" i="3"/>
  <c r="AR43" i="3"/>
  <c r="AN40" i="3"/>
  <c r="AR40" i="3"/>
  <c r="AR37" i="3"/>
  <c r="AN37" i="3"/>
  <c r="AI35" i="3"/>
  <c r="AH35" i="3"/>
  <c r="AG35" i="3" s="1"/>
  <c r="AF35" i="3" s="1"/>
  <c r="AJ35" i="3"/>
  <c r="AN34" i="3"/>
  <c r="AR34" i="3"/>
  <c r="AI34" i="3"/>
  <c r="AJ34" i="3"/>
  <c r="AM32" i="3"/>
  <c r="Y32" i="3"/>
  <c r="Z32" i="3" s="1"/>
  <c r="AA32" i="3" s="1"/>
  <c r="AB32" i="3" s="1"/>
  <c r="AC32" i="3" s="1"/>
  <c r="AD32" i="3" s="1"/>
  <c r="AE32" i="3" s="1"/>
  <c r="AJ29" i="3"/>
  <c r="AI29" i="3"/>
  <c r="AR28" i="3"/>
  <c r="AN28" i="3"/>
  <c r="AI26" i="3"/>
  <c r="AJ26" i="3"/>
  <c r="AM23" i="3"/>
  <c r="Y23" i="3"/>
  <c r="Z23" i="3" s="1"/>
  <c r="AA23" i="3" s="1"/>
  <c r="AB23" i="3" s="1"/>
  <c r="AC23" i="3" s="1"/>
  <c r="AD23" i="3" s="1"/>
  <c r="AE23" i="3" s="1"/>
  <c r="AI20" i="3"/>
  <c r="AH20" i="3"/>
  <c r="AG20" i="3" s="1"/>
  <c r="AF20" i="3" s="1"/>
  <c r="AJ20" i="3"/>
  <c r="AR35" i="3"/>
  <c r="AR281" i="3"/>
  <c r="AR95" i="3"/>
  <c r="AR71" i="3"/>
  <c r="AR62" i="3"/>
  <c r="AR44" i="3"/>
  <c r="AR20" i="3"/>
  <c r="AR122" i="3"/>
  <c r="AR53" i="3"/>
  <c r="AW300" i="2"/>
  <c r="AW299" i="2"/>
  <c r="AW298" i="2"/>
  <c r="AW297" i="2"/>
  <c r="AW296" i="2"/>
  <c r="AW295" i="2"/>
  <c r="AW294" i="2"/>
  <c r="AW293" i="2"/>
  <c r="AW292" i="2"/>
  <c r="AW291" i="2"/>
  <c r="AW290" i="2"/>
  <c r="AW289" i="2"/>
  <c r="AW288" i="2"/>
  <c r="AW287" i="2"/>
  <c r="AW286" i="2"/>
  <c r="AW285" i="2"/>
  <c r="AW284" i="2"/>
  <c r="AW283" i="2"/>
  <c r="AW282" i="2"/>
  <c r="AW281" i="2"/>
  <c r="AW280" i="2"/>
  <c r="AW279" i="2"/>
  <c r="AW278" i="2"/>
  <c r="AW277" i="2"/>
  <c r="AW276" i="2"/>
  <c r="AW275" i="2"/>
  <c r="AW274" i="2"/>
  <c r="AW273" i="2"/>
  <c r="AW272" i="2"/>
  <c r="AW271" i="2"/>
  <c r="AW270" i="2"/>
  <c r="AW269" i="2"/>
  <c r="AW268" i="2"/>
  <c r="AW267" i="2"/>
  <c r="AW266" i="2"/>
  <c r="AW265" i="2"/>
  <c r="AW264" i="2"/>
  <c r="AW263" i="2"/>
  <c r="AW262" i="2"/>
  <c r="AW261" i="2"/>
  <c r="AW260" i="2"/>
  <c r="AW259" i="2"/>
  <c r="AW258" i="2"/>
  <c r="AW257" i="2"/>
  <c r="AW256" i="2"/>
  <c r="AW255" i="2"/>
  <c r="AW254" i="2"/>
  <c r="AW253" i="2"/>
  <c r="AW252" i="2"/>
  <c r="AW251" i="2"/>
  <c r="AW250" i="2"/>
  <c r="AW249" i="2"/>
  <c r="AW248" i="2"/>
  <c r="AW247" i="2"/>
  <c r="AW246" i="2"/>
  <c r="AW245" i="2"/>
  <c r="AW244" i="2"/>
  <c r="AW243" i="2"/>
  <c r="AW242" i="2"/>
  <c r="AW241" i="2"/>
  <c r="AW240" i="2"/>
  <c r="AW239" i="2"/>
  <c r="AW238" i="2"/>
  <c r="AW237" i="2"/>
  <c r="AW236" i="2"/>
  <c r="AW235" i="2"/>
  <c r="AW234" i="2"/>
  <c r="AW233" i="2"/>
  <c r="AW232" i="2"/>
  <c r="AW231" i="2"/>
  <c r="AW230" i="2"/>
  <c r="AW229" i="2"/>
  <c r="AW228" i="2"/>
  <c r="AW227" i="2"/>
  <c r="AW226" i="2"/>
  <c r="AW225" i="2"/>
  <c r="AW224" i="2"/>
  <c r="AW223" i="2"/>
  <c r="AW20" i="2"/>
  <c r="AW222" i="2"/>
  <c r="AW221" i="2"/>
  <c r="AW220" i="2"/>
  <c r="AW219" i="2"/>
  <c r="AW218" i="2"/>
  <c r="AW217" i="2"/>
  <c r="AW216" i="2"/>
  <c r="AW215" i="2"/>
  <c r="AW214" i="2"/>
  <c r="AW213" i="2"/>
  <c r="AW212" i="2"/>
  <c r="AW211" i="2"/>
  <c r="AW210" i="2"/>
  <c r="AW209" i="2"/>
  <c r="AW208" i="2"/>
  <c r="AW207" i="2"/>
  <c r="AW206" i="2"/>
  <c r="AW205" i="2"/>
  <c r="AW204" i="2"/>
  <c r="AW203" i="2"/>
  <c r="AW202" i="2"/>
  <c r="AW201" i="2"/>
  <c r="AW200" i="2"/>
  <c r="AW199" i="2"/>
  <c r="AW198" i="2"/>
  <c r="AW197" i="2"/>
  <c r="AW196" i="2"/>
  <c r="AW195" i="2"/>
  <c r="AW194" i="2"/>
  <c r="AW193" i="2"/>
  <c r="AW192" i="2"/>
  <c r="AW191" i="2"/>
  <c r="AW190" i="2"/>
  <c r="AW189" i="2"/>
  <c r="AW188" i="2"/>
  <c r="AW187" i="2"/>
  <c r="AW186" i="2"/>
  <c r="AW185" i="2"/>
  <c r="AW184" i="2"/>
  <c r="AW183" i="2"/>
  <c r="AW182" i="2"/>
  <c r="AW181" i="2"/>
  <c r="AW180" i="2"/>
  <c r="AW179" i="2"/>
  <c r="AW178" i="2"/>
  <c r="AW177" i="2"/>
  <c r="AW176" i="2"/>
  <c r="AW175" i="2"/>
  <c r="AW174" i="2"/>
  <c r="AW173" i="2"/>
  <c r="AW172" i="2"/>
  <c r="AW171" i="2"/>
  <c r="AW170" i="2"/>
  <c r="AW169" i="2"/>
  <c r="AW168" i="2"/>
  <c r="AW167" i="2"/>
  <c r="AW166" i="2"/>
  <c r="AW165" i="2"/>
  <c r="AW164" i="2"/>
  <c r="AW163" i="2"/>
  <c r="AW162" i="2"/>
  <c r="AW161" i="2"/>
  <c r="AW160" i="2"/>
  <c r="AW159" i="2"/>
  <c r="AW158" i="2"/>
  <c r="AW157" i="2"/>
  <c r="AW156" i="2"/>
  <c r="AW155" i="2"/>
  <c r="AW154" i="2"/>
  <c r="AW153" i="2"/>
  <c r="AW152" i="2"/>
  <c r="AW150" i="2"/>
  <c r="AW149" i="2"/>
  <c r="AW148" i="2"/>
  <c r="AW147" i="2"/>
  <c r="AW146" i="2"/>
  <c r="AW145" i="2"/>
  <c r="AW19" i="2"/>
  <c r="AW18" i="2"/>
  <c r="AW17" i="2"/>
  <c r="AW16" i="2"/>
  <c r="AW15" i="2"/>
  <c r="AW144" i="2"/>
  <c r="AW143" i="2"/>
  <c r="AW142" i="2"/>
  <c r="AW141" i="2"/>
  <c r="AW140" i="2"/>
  <c r="AW139" i="2"/>
  <c r="AW138" i="2"/>
  <c r="AW137" i="2"/>
  <c r="AW136" i="2"/>
  <c r="AW135" i="2"/>
  <c r="AW134" i="2"/>
  <c r="AW133" i="2"/>
  <c r="AW132" i="2"/>
  <c r="AW131" i="2"/>
  <c r="AW130" i="2"/>
  <c r="AW129" i="2"/>
  <c r="AW128" i="2"/>
  <c r="AW127" i="2"/>
  <c r="AW126" i="2"/>
  <c r="AW125" i="2"/>
  <c r="AW124" i="2"/>
  <c r="AW123" i="2"/>
  <c r="AW122" i="2"/>
  <c r="AW121" i="2"/>
  <c r="AW120" i="2"/>
  <c r="AW119" i="2"/>
  <c r="AW118" i="2"/>
  <c r="AW117" i="2"/>
  <c r="AW116" i="2"/>
  <c r="AW115" i="2"/>
  <c r="AW114" i="2"/>
  <c r="AW14" i="2"/>
  <c r="AW13" i="2"/>
  <c r="AW12" i="2"/>
  <c r="AW11" i="2"/>
  <c r="AW10" i="2"/>
  <c r="AW64" i="2"/>
  <c r="AW63" i="2"/>
  <c r="AW62" i="2"/>
  <c r="AW61" i="2"/>
  <c r="AW60" i="2"/>
  <c r="AW59" i="2"/>
  <c r="AW58" i="2"/>
  <c r="AW57" i="2"/>
  <c r="AW56" i="2"/>
  <c r="AW55" i="2"/>
  <c r="AW54" i="2"/>
  <c r="AW53" i="2"/>
  <c r="AW52" i="2"/>
  <c r="AW51" i="2"/>
  <c r="AW50" i="2"/>
  <c r="AW49" i="2"/>
  <c r="AW48" i="2"/>
  <c r="AW47" i="2"/>
  <c r="AW46" i="2"/>
  <c r="AW45" i="2"/>
  <c r="AW44" i="2"/>
  <c r="AW43" i="2"/>
  <c r="AW42" i="2"/>
  <c r="AW41" i="2"/>
  <c r="AW40" i="2"/>
  <c r="AW39" i="2"/>
  <c r="AW38" i="2"/>
  <c r="AW37" i="2"/>
  <c r="AW36" i="2"/>
  <c r="AW35" i="2"/>
  <c r="AW34" i="2"/>
  <c r="AW33" i="2"/>
  <c r="AW32" i="2"/>
  <c r="AW31" i="2"/>
  <c r="AW30" i="2"/>
  <c r="AW29" i="2"/>
  <c r="AW28" i="2"/>
  <c r="AW27" i="2"/>
  <c r="AW26" i="2"/>
  <c r="AW25" i="2"/>
  <c r="AW24" i="2"/>
  <c r="AW23" i="2"/>
  <c r="AW22" i="2"/>
  <c r="AW21" i="2"/>
  <c r="AM81" i="1"/>
  <c r="AM86" i="1"/>
  <c r="AM73" i="1"/>
  <c r="AM70" i="1"/>
  <c r="AM68" i="1"/>
  <c r="AM19" i="1"/>
  <c r="AM76" i="1"/>
  <c r="AM59" i="1"/>
  <c r="AM54" i="1"/>
  <c r="AM50" i="1"/>
  <c r="AM45"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6" i="1"/>
  <c r="AM135" i="1"/>
  <c r="AM134" i="1"/>
  <c r="AM133" i="1"/>
  <c r="AM132" i="1"/>
  <c r="AM131" i="1"/>
  <c r="AM130" i="1"/>
  <c r="AM129" i="1"/>
  <c r="AM128" i="1"/>
  <c r="AM127" i="1"/>
  <c r="AM126" i="1"/>
  <c r="AM125" i="1"/>
  <c r="AM124" i="1"/>
  <c r="AM123" i="1"/>
  <c r="AM122" i="1"/>
  <c r="AM121" i="1"/>
  <c r="AM120" i="1"/>
  <c r="AM119" i="1"/>
  <c r="AM117" i="1"/>
  <c r="AM116" i="1"/>
  <c r="AM115" i="1"/>
  <c r="AM113" i="1"/>
  <c r="AM112" i="1"/>
  <c r="AM110" i="1"/>
  <c r="AM108" i="1"/>
  <c r="AM106" i="1"/>
  <c r="AM105" i="1"/>
  <c r="AM103" i="1"/>
  <c r="AM101" i="1"/>
  <c r="AM100" i="1"/>
  <c r="AM98" i="1"/>
  <c r="AM96" i="1"/>
  <c r="AM95" i="1"/>
  <c r="AM87" i="1"/>
  <c r="AM85" i="1"/>
  <c r="AM83" i="1"/>
  <c r="AM80" i="1"/>
  <c r="AM78" i="1"/>
  <c r="AM77" i="1"/>
  <c r="AM74" i="1"/>
  <c r="AM72" i="1"/>
  <c r="AM69" i="1"/>
  <c r="AM67" i="1"/>
  <c r="AM65" i="1"/>
  <c r="AM63" i="1"/>
  <c r="AM62" i="1"/>
  <c r="AM60" i="1"/>
  <c r="AM57" i="1"/>
  <c r="AM55" i="1"/>
  <c r="AM53" i="1"/>
  <c r="AM51" i="1"/>
  <c r="AM48" i="1"/>
  <c r="AM47" i="1"/>
  <c r="AM44" i="1"/>
  <c r="AM42" i="1"/>
  <c r="AM39" i="1"/>
  <c r="AM38" i="1"/>
  <c r="AM36" i="1"/>
  <c r="AM34" i="1"/>
  <c r="AM33" i="1"/>
  <c r="AM31" i="1"/>
  <c r="AM30" i="1"/>
  <c r="AM29" i="1"/>
  <c r="AM27" i="1"/>
  <c r="AM26" i="1"/>
  <c r="AM24" i="1"/>
  <c r="AM23" i="1"/>
  <c r="AM21" i="1"/>
  <c r="AM18" i="1"/>
  <c r="AM137" i="1"/>
  <c r="AM118" i="1"/>
  <c r="AM114" i="1"/>
  <c r="AM111" i="1"/>
  <c r="AM109" i="1"/>
  <c r="AM107" i="1"/>
  <c r="AM104" i="1"/>
  <c r="AM102" i="1"/>
  <c r="AM99" i="1"/>
  <c r="AM97" i="1"/>
  <c r="AM94" i="1"/>
  <c r="AM93" i="1"/>
  <c r="AM92" i="1"/>
  <c r="AM91" i="1"/>
  <c r="AM90" i="1"/>
  <c r="AM89" i="1"/>
  <c r="AM88" i="1"/>
  <c r="AM84" i="1"/>
  <c r="AM82" i="1"/>
  <c r="AM79" i="1"/>
  <c r="AM75" i="1"/>
  <c r="AM71" i="1"/>
  <c r="AM66" i="1"/>
  <c r="AM64" i="1"/>
  <c r="AM61" i="1"/>
  <c r="AM58" i="1"/>
  <c r="AM56" i="1"/>
  <c r="AM52" i="1"/>
  <c r="AM49" i="1"/>
  <c r="AM46" i="1"/>
  <c r="AM43" i="1"/>
  <c r="AM41" i="1"/>
  <c r="AM37" i="1"/>
  <c r="AM35" i="1"/>
  <c r="AM32" i="1"/>
  <c r="AM28" i="1"/>
  <c r="AM25" i="1"/>
  <c r="AM22" i="1"/>
  <c r="AM20" i="1"/>
  <c r="AM17" i="1"/>
  <c r="AC317" i="3" l="1"/>
  <c r="AD317" i="3"/>
  <c r="AE317" i="3" s="1"/>
  <c r="AR317" i="3"/>
  <c r="AH317" i="3"/>
  <c r="AG317" i="3" s="1"/>
  <c r="AF317" i="3" s="1"/>
  <c r="AI317" i="3"/>
  <c r="AJ317" i="3"/>
  <c r="AC314" i="3"/>
  <c r="AD314" i="3"/>
  <c r="AE314" i="3" s="1"/>
  <c r="AJ314" i="3"/>
  <c r="AR314" i="3"/>
  <c r="AH314" i="3"/>
  <c r="AG314" i="3" s="1"/>
  <c r="AF314" i="3" s="1"/>
  <c r="AI314" i="3"/>
  <c r="AR308" i="3"/>
  <c r="AI308" i="3"/>
  <c r="AJ308" i="3"/>
  <c r="AH308" i="3"/>
  <c r="AG308" i="3" s="1"/>
  <c r="AF308" i="3" s="1"/>
  <c r="AC305" i="3"/>
  <c r="AD305" i="3" s="1"/>
  <c r="AE305" i="3" s="1"/>
  <c r="AB305" i="3"/>
  <c r="AR305" i="3"/>
  <c r="AI305" i="3"/>
  <c r="AH305" i="3"/>
  <c r="AG305" i="3" s="1"/>
  <c r="AF305" i="3" s="1"/>
  <c r="AJ305" i="3"/>
  <c r="AB304" i="3"/>
  <c r="AC304" i="3"/>
  <c r="AD304" i="3" s="1"/>
  <c r="AE304" i="3" s="1"/>
  <c r="AR304" i="3"/>
  <c r="AH304" i="3"/>
  <c r="AG304" i="3" s="1"/>
  <c r="AF304" i="3" s="1"/>
  <c r="AI304" i="3"/>
  <c r="AJ304" i="3"/>
  <c r="AR302" i="3"/>
  <c r="AI302" i="3"/>
  <c r="AH302" i="3"/>
  <c r="AG302" i="3" s="1"/>
  <c r="AF302" i="3" s="1"/>
  <c r="AJ302" i="3"/>
  <c r="AR299" i="3"/>
  <c r="AI299" i="3"/>
  <c r="AJ299" i="3"/>
  <c r="AH299" i="3"/>
  <c r="AG299" i="3" s="1"/>
  <c r="AF299" i="3" s="1"/>
  <c r="AR296" i="3"/>
  <c r="AI296" i="3"/>
  <c r="AJ296" i="3"/>
  <c r="AH296" i="3"/>
  <c r="AG296" i="3" s="1"/>
  <c r="AF296" i="3" s="1"/>
  <c r="AR293" i="3"/>
  <c r="AH293" i="3"/>
  <c r="AG293" i="3" s="1"/>
  <c r="AF293" i="3" s="1"/>
  <c r="AJ293" i="3"/>
  <c r="AI293" i="3"/>
  <c r="AR290" i="3"/>
  <c r="AI290" i="3"/>
  <c r="AH290" i="3"/>
  <c r="AG290" i="3" s="1"/>
  <c r="AF290" i="3" s="1"/>
  <c r="AJ290" i="3"/>
  <c r="AR287" i="3"/>
  <c r="AH287" i="3"/>
  <c r="AG287" i="3" s="1"/>
  <c r="AF287" i="3" s="1"/>
  <c r="AI287" i="3"/>
  <c r="AJ287" i="3"/>
  <c r="AR284" i="3"/>
  <c r="AI284" i="3"/>
  <c r="AJ284" i="3"/>
  <c r="AH284" i="3"/>
  <c r="AG284" i="3" s="1"/>
  <c r="AF284" i="3" s="1"/>
  <c r="AR278" i="3"/>
  <c r="AH278" i="3"/>
  <c r="AH275" i="3"/>
  <c r="AG275" i="3" s="1"/>
  <c r="AF275" i="3" s="1"/>
  <c r="AR275" i="3"/>
  <c r="AJ275" i="3"/>
  <c r="AI275" i="3"/>
  <c r="AR272" i="3"/>
  <c r="AJ272" i="3"/>
  <c r="AH272" i="3"/>
  <c r="AG272" i="3" s="1"/>
  <c r="AF272" i="3" s="1"/>
  <c r="AI272" i="3"/>
  <c r="AR269" i="3"/>
  <c r="AH269" i="3"/>
  <c r="AG269" i="3" s="1"/>
  <c r="AF269" i="3" s="1"/>
  <c r="AJ269" i="3"/>
  <c r="AI269" i="3"/>
  <c r="AR266" i="3"/>
  <c r="AH266" i="3"/>
  <c r="AG266" i="3" s="1"/>
  <c r="AF266" i="3" s="1"/>
  <c r="AI266" i="3"/>
  <c r="AJ266" i="3"/>
  <c r="AR263" i="3"/>
  <c r="AI263" i="3"/>
  <c r="AJ263" i="3"/>
  <c r="AH263" i="3"/>
  <c r="AG263" i="3" s="1"/>
  <c r="AF263" i="3" s="1"/>
  <c r="AR260" i="3"/>
  <c r="AI260" i="3"/>
  <c r="AJ260" i="3"/>
  <c r="AH260" i="3"/>
  <c r="AG260" i="3" s="1"/>
  <c r="AF260" i="3" s="1"/>
  <c r="AR257" i="3"/>
  <c r="AI257" i="3"/>
  <c r="AH257" i="3"/>
  <c r="AG257" i="3" s="1"/>
  <c r="AF257" i="3" s="1"/>
  <c r="AJ257" i="3"/>
  <c r="AR254" i="3"/>
  <c r="AI254" i="3"/>
  <c r="AH254" i="3"/>
  <c r="AG254" i="3" s="1"/>
  <c r="AF254" i="3" s="1"/>
  <c r="AJ254" i="3"/>
  <c r="AR251" i="3"/>
  <c r="AH251" i="3"/>
  <c r="AG251" i="3" s="1"/>
  <c r="AF251" i="3" s="1"/>
  <c r="AJ251" i="3"/>
  <c r="AI251" i="3"/>
  <c r="AR248" i="3"/>
  <c r="AI248" i="3"/>
  <c r="AJ248" i="3"/>
  <c r="AH248" i="3"/>
  <c r="AG248" i="3" s="1"/>
  <c r="AF248" i="3" s="1"/>
  <c r="AR245" i="3"/>
  <c r="AI245" i="3"/>
  <c r="AJ245" i="3"/>
  <c r="AH245" i="3"/>
  <c r="AG245" i="3" s="1"/>
  <c r="AF245" i="3" s="1"/>
  <c r="AR242" i="3"/>
  <c r="AI242" i="3"/>
  <c r="AJ242" i="3"/>
  <c r="AH242" i="3"/>
  <c r="AG242" i="3" s="1"/>
  <c r="AF242" i="3" s="1"/>
  <c r="AR239" i="3"/>
  <c r="AJ239" i="3"/>
  <c r="AH239" i="3"/>
  <c r="AG239" i="3" s="1"/>
  <c r="AF239" i="3" s="1"/>
  <c r="AI239" i="3"/>
  <c r="AI230" i="3"/>
  <c r="AH230" i="3"/>
  <c r="AG230" i="3" s="1"/>
  <c r="AF230" i="3" s="1"/>
  <c r="AJ230" i="3"/>
  <c r="AR227" i="3"/>
  <c r="AI227" i="3"/>
  <c r="AJ227" i="3"/>
  <c r="AH227" i="3"/>
  <c r="AG227" i="3" s="1"/>
  <c r="AF227" i="3" s="1"/>
  <c r="AR224" i="3"/>
  <c r="AH224" i="3"/>
  <c r="AG224" i="3" s="1"/>
  <c r="AF224" i="3" s="1"/>
  <c r="AJ224" i="3"/>
  <c r="AI224" i="3"/>
  <c r="AR221" i="3"/>
  <c r="AH221" i="3"/>
  <c r="AG221" i="3" s="1"/>
  <c r="AF221" i="3" s="1"/>
  <c r="AI221" i="3"/>
  <c r="AJ221" i="3"/>
  <c r="AR218" i="3"/>
  <c r="AJ218" i="3"/>
  <c r="AH218" i="3"/>
  <c r="AG218" i="3" s="1"/>
  <c r="AF218" i="3" s="1"/>
  <c r="AI218" i="3"/>
  <c r="AR215" i="3"/>
  <c r="AH215" i="3"/>
  <c r="AG215" i="3" s="1"/>
  <c r="AF215" i="3" s="1"/>
  <c r="AJ215" i="3"/>
  <c r="AI215" i="3"/>
  <c r="AR212" i="3"/>
  <c r="AH212" i="3"/>
  <c r="AG212" i="3" s="1"/>
  <c r="AF212" i="3" s="1"/>
  <c r="AI212" i="3"/>
  <c r="AJ212" i="3"/>
  <c r="AR209" i="3"/>
  <c r="AI209" i="3"/>
  <c r="AJ209" i="3"/>
  <c r="AH209" i="3"/>
  <c r="AG209" i="3" s="1"/>
  <c r="AF209" i="3" s="1"/>
  <c r="AR206" i="3"/>
  <c r="AH206" i="3"/>
  <c r="AG206" i="3" s="1"/>
  <c r="AF206" i="3" s="1"/>
  <c r="AI206" i="3"/>
  <c r="AJ206" i="3"/>
  <c r="AG203" i="3"/>
  <c r="AF203" i="3" s="1"/>
  <c r="AE206" i="3"/>
  <c r="AM200" i="3"/>
  <c r="V200" i="3"/>
  <c r="U200" i="3" s="1"/>
  <c r="T200" i="3" s="1"/>
  <c r="AR197" i="3"/>
  <c r="AI197" i="3"/>
  <c r="AJ197" i="3"/>
  <c r="AH197" i="3"/>
  <c r="AG197" i="3" s="1"/>
  <c r="AF197" i="3" s="1"/>
  <c r="AD197" i="3"/>
  <c r="AE197" i="3" s="1"/>
  <c r="AC197" i="3"/>
  <c r="AC188" i="3"/>
  <c r="AD188" i="3"/>
  <c r="AE188" i="3" s="1"/>
  <c r="AR188" i="3"/>
  <c r="AJ188" i="3"/>
  <c r="AH188" i="3"/>
  <c r="AG188" i="3" s="1"/>
  <c r="AF188" i="3" s="1"/>
  <c r="AI188" i="3"/>
  <c r="AR185" i="3"/>
  <c r="AI185" i="3"/>
  <c r="AJ185" i="3"/>
  <c r="AH185" i="3"/>
  <c r="AG185" i="3" s="1"/>
  <c r="AF185" i="3" s="1"/>
  <c r="AD185" i="3"/>
  <c r="AE185" i="3" s="1"/>
  <c r="AC185" i="3"/>
  <c r="AC182" i="3"/>
  <c r="AD182" i="3"/>
  <c r="AE182" i="3" s="1"/>
  <c r="AR182" i="3"/>
  <c r="AH182" i="3"/>
  <c r="AG182" i="3" s="1"/>
  <c r="AF182" i="3" s="1"/>
  <c r="AI182" i="3"/>
  <c r="AJ182" i="3"/>
  <c r="AI173" i="3"/>
  <c r="AJ173" i="3"/>
  <c r="AH173" i="3"/>
  <c r="AG173" i="3" s="1"/>
  <c r="AF173" i="3" s="1"/>
  <c r="AR173" i="3"/>
  <c r="AR170" i="3"/>
  <c r="AI170" i="3"/>
  <c r="AH170" i="3"/>
  <c r="AG170" i="3" s="1"/>
  <c r="AF170" i="3" s="1"/>
  <c r="AJ170" i="3"/>
  <c r="AR167" i="3"/>
  <c r="AH167" i="3"/>
  <c r="AG167" i="3" s="1"/>
  <c r="AF167" i="3" s="1"/>
  <c r="AI167" i="3"/>
  <c r="AJ167" i="3"/>
  <c r="AR164" i="3"/>
  <c r="AJ164" i="3"/>
  <c r="AH164" i="3"/>
  <c r="AG164" i="3" s="1"/>
  <c r="AF164" i="3" s="1"/>
  <c r="AI164" i="3"/>
  <c r="AR161" i="3"/>
  <c r="AH161" i="3"/>
  <c r="AG161" i="3" s="1"/>
  <c r="AF161" i="3" s="1"/>
  <c r="AI161" i="3"/>
  <c r="AJ161" i="3"/>
  <c r="AR158" i="3"/>
  <c r="AH158" i="3"/>
  <c r="AG158" i="3" s="1"/>
  <c r="AF158" i="3" s="1"/>
  <c r="AI158" i="3"/>
  <c r="AJ158" i="3"/>
  <c r="AR155" i="3"/>
  <c r="AH155" i="3"/>
  <c r="AG155" i="3" s="1"/>
  <c r="AF155" i="3" s="1"/>
  <c r="AJ155" i="3"/>
  <c r="AI155" i="3"/>
  <c r="AR152" i="3"/>
  <c r="AH152" i="3"/>
  <c r="AR149" i="3"/>
  <c r="AH149" i="3"/>
  <c r="AG149" i="3" s="1"/>
  <c r="AF149" i="3" s="1"/>
  <c r="AI149" i="3"/>
  <c r="AJ149" i="3"/>
  <c r="AR146" i="3"/>
  <c r="AJ146" i="3"/>
  <c r="AH146" i="3"/>
  <c r="AG146" i="3" s="1"/>
  <c r="AF146" i="3" s="1"/>
  <c r="AI146" i="3"/>
  <c r="AR143" i="3"/>
  <c r="AH143" i="3"/>
  <c r="AG143" i="3" s="1"/>
  <c r="AF143" i="3" s="1"/>
  <c r="AJ143" i="3"/>
  <c r="AI143" i="3"/>
  <c r="AI140" i="3"/>
  <c r="AH140" i="3"/>
  <c r="AG140" i="3" s="1"/>
  <c r="AF140" i="3" s="1"/>
  <c r="AJ140" i="3"/>
  <c r="AR140" i="3"/>
  <c r="AR137" i="3"/>
  <c r="AH137" i="3"/>
  <c r="AG137" i="3" s="1"/>
  <c r="AF137" i="3" s="1"/>
  <c r="AJ137" i="3"/>
  <c r="AI137" i="3"/>
  <c r="AR134" i="3"/>
  <c r="AH134" i="3"/>
  <c r="AG134" i="3" s="1"/>
  <c r="AF134" i="3" s="1"/>
  <c r="AJ134" i="3"/>
  <c r="AI134" i="3"/>
  <c r="AR131" i="3"/>
  <c r="AH131" i="3"/>
  <c r="AG131" i="3" s="1"/>
  <c r="AF131" i="3" s="1"/>
  <c r="AI131" i="3"/>
  <c r="AJ131" i="3"/>
  <c r="AR128" i="3"/>
  <c r="AH128" i="3"/>
  <c r="AG128" i="3" s="1"/>
  <c r="AF128" i="3" s="1"/>
  <c r="AI128" i="3"/>
  <c r="AJ128" i="3"/>
  <c r="AR125" i="3"/>
  <c r="AI125" i="3"/>
  <c r="AJ125" i="3"/>
  <c r="AH125" i="3"/>
  <c r="AG125" i="3" s="1"/>
  <c r="AF125" i="3" s="1"/>
  <c r="AR119" i="3"/>
  <c r="AH119" i="3"/>
  <c r="AG119" i="3" s="1"/>
  <c r="AF119" i="3" s="1"/>
  <c r="AI119" i="3"/>
  <c r="AJ119" i="3"/>
  <c r="AR116" i="3"/>
  <c r="AI116" i="3"/>
  <c r="AJ116" i="3"/>
  <c r="AH116" i="3"/>
  <c r="AG116" i="3" s="1"/>
  <c r="AF116" i="3" s="1"/>
  <c r="AR113" i="3"/>
  <c r="AI113" i="3"/>
  <c r="AH113" i="3"/>
  <c r="AG113" i="3" s="1"/>
  <c r="AF113" i="3" s="1"/>
  <c r="AJ113" i="3"/>
  <c r="AR110" i="3"/>
  <c r="AH110" i="3"/>
  <c r="AG110" i="3" s="1"/>
  <c r="AF110" i="3" s="1"/>
  <c r="AI110" i="3"/>
  <c r="AJ110" i="3"/>
  <c r="AR107" i="3"/>
  <c r="AI107" i="3"/>
  <c r="AH107" i="3"/>
  <c r="AG107" i="3" s="1"/>
  <c r="AF107" i="3" s="1"/>
  <c r="AJ107" i="3"/>
  <c r="AR104" i="3"/>
  <c r="AH104" i="3"/>
  <c r="AG104" i="3" s="1"/>
  <c r="AF104" i="3" s="1"/>
  <c r="AI104" i="3"/>
  <c r="AJ104" i="3"/>
  <c r="AR101" i="3"/>
  <c r="AH101" i="3"/>
  <c r="AG101" i="3" s="1"/>
  <c r="AF101" i="3" s="1"/>
  <c r="AJ101" i="3"/>
  <c r="AI101" i="3"/>
  <c r="AR98" i="3"/>
  <c r="AH98" i="3"/>
  <c r="AG98" i="3" s="1"/>
  <c r="AF98" i="3" s="1"/>
  <c r="AJ98" i="3"/>
  <c r="AI98" i="3"/>
  <c r="AR92" i="3"/>
  <c r="AJ92" i="3"/>
  <c r="AH92" i="3"/>
  <c r="AG92" i="3" s="1"/>
  <c r="AF92" i="3" s="1"/>
  <c r="AI92" i="3"/>
  <c r="AR89" i="3"/>
  <c r="AI89" i="3"/>
  <c r="AJ89" i="3"/>
  <c r="AH89" i="3"/>
  <c r="AG89" i="3" s="1"/>
  <c r="AF89" i="3" s="1"/>
  <c r="AR86" i="3"/>
  <c r="AH86" i="3"/>
  <c r="AG86" i="3" s="1"/>
  <c r="AF86" i="3" s="1"/>
  <c r="AI86" i="3"/>
  <c r="AJ86" i="3"/>
  <c r="AR83" i="3"/>
  <c r="AH83" i="3"/>
  <c r="AG83" i="3" s="1"/>
  <c r="AF83" i="3" s="1"/>
  <c r="AJ83" i="3"/>
  <c r="AI83" i="3"/>
  <c r="AR80" i="3"/>
  <c r="AI80" i="3"/>
  <c r="AJ80" i="3"/>
  <c r="AH80" i="3"/>
  <c r="AG80" i="3" s="1"/>
  <c r="AF80" i="3" s="1"/>
  <c r="AR77" i="3"/>
  <c r="AJ77" i="3"/>
  <c r="AI77" i="3"/>
  <c r="AH77" i="3"/>
  <c r="AG77" i="3" s="1"/>
  <c r="AF77" i="3" s="1"/>
  <c r="AR74" i="3"/>
  <c r="AH74" i="3"/>
  <c r="AG74" i="3" s="1"/>
  <c r="AF74" i="3" s="1"/>
  <c r="AJ74" i="3"/>
  <c r="AI74" i="3"/>
  <c r="AR68" i="3"/>
  <c r="AI68" i="3"/>
  <c r="AH68" i="3"/>
  <c r="AG68" i="3" s="1"/>
  <c r="AF68" i="3" s="1"/>
  <c r="AJ68" i="3"/>
  <c r="AR32" i="3"/>
  <c r="AI32" i="3"/>
  <c r="AJ32" i="3"/>
  <c r="AH32" i="3"/>
  <c r="AG32" i="3" s="1"/>
  <c r="AF32" i="3" s="1"/>
  <c r="AR23" i="3"/>
  <c r="AH23" i="3"/>
  <c r="AG23" i="3" s="1"/>
  <c r="AF23" i="3" s="1"/>
  <c r="AI23" i="3"/>
  <c r="AJ23" i="3"/>
  <c r="AG259" i="3"/>
  <c r="AF259" i="3" s="1"/>
  <c r="AN259" i="3"/>
  <c r="AG190" i="3"/>
  <c r="AF190" i="3" s="1"/>
  <c r="AN190" i="3"/>
  <c r="AI278" i="3" l="1"/>
  <c r="AJ278" i="3"/>
  <c r="AG278" i="3"/>
  <c r="AF278" i="3" s="1"/>
  <c r="AH200" i="3"/>
  <c r="AG200" i="3" s="1"/>
  <c r="AJ200" i="3"/>
  <c r="AI200" i="3"/>
  <c r="AR200" i="3"/>
  <c r="AJ152" i="3"/>
  <c r="AG152" i="3"/>
  <c r="AF152" i="3" s="1"/>
  <c r="AI15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<sst xmlns="http://schemas.openxmlformats.org/spreadsheetml/2006/main" count="10638" uniqueCount="4991">
  <si>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</si>
  <si>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</si>
  <si>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</si>
  <si>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</si>
  <si>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</si>
  <si>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</si>
  <si>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</si>
  <si>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</si>
  <si>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</si>
  <si>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</si>
  <si>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</si>
  <si>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</si>
  <si>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</si>
  <si>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</si>
  <si>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</si>
  <si>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</si>
  <si>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</si>
  <si>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</si>
  <si>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Float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</si>
  <si>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</si>
  <si>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</si>
  <si>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</si>
  <si>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</si>
  <si>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</si>
  <si>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</si>
  <si>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</si>
  <si>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</si>
  <si>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</si>
  <si>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</si>
  <si>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</si>
  <si>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</si>
  <si>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</si>
  <si>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</si>
  <si>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</si>
  <si>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</si>
  <si>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</si>
  <si>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</si>
  <si>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</si>
  <si>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</si>
  <si>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</si>
  <si>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</si>
  <si>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</si>
  <si>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</si>
  <si>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</si>
  <si>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</si>
  <si>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</si>
  <si>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</si>
  <si>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</si>
  <si>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</si>
  <si>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</si>
  <si>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</si>
  <si>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</si>
  <si>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</si>
  <si>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Matrix</t>
  </si>
  <si>
    <t>Installation</t>
  </si>
  <si>
    <t>Holiday</t>
  </si>
  <si>
    <t>China</t>
  </si>
  <si>
    <t>Thai</t>
  </si>
  <si>
    <t>RFQ-MEC-001</t>
  </si>
  <si>
    <t>Offshore Pedestal Crane</t>
  </si>
  <si>
    <t>Mechanical</t>
  </si>
  <si>
    <t>New Plan</t>
  </si>
  <si>
    <t>WPA-01</t>
  </si>
  <si>
    <t>4-2.1</t>
  </si>
  <si>
    <t>Y</t>
  </si>
  <si>
    <t>Forecast</t>
  </si>
  <si>
    <t>WPA-02</t>
  </si>
  <si>
    <t>Actual</t>
  </si>
  <si>
    <t>Upper Deck</t>
  </si>
  <si>
    <t>RFQ-MEC-002</t>
  </si>
  <si>
    <t>Material Handling Equipment</t>
  </si>
  <si>
    <t>4-2.2</t>
  </si>
  <si>
    <t>N</t>
  </si>
  <si>
    <t>check Location</t>
  </si>
  <si>
    <t>RFQ-MEC-003</t>
  </si>
  <si>
    <t>Instrument Gas Filter Coalescer</t>
  </si>
  <si>
    <t>4-2.4</t>
  </si>
  <si>
    <t>Lower Deck</t>
  </si>
  <si>
    <t>RFQ-MEC-004</t>
  </si>
  <si>
    <t>TEST AND PRODUCTION SEPARATOR</t>
  </si>
  <si>
    <t>4-2.3</t>
  </si>
  <si>
    <t>RFQ-PIP-005</t>
  </si>
  <si>
    <t>QUICK OPENING CLOSURE</t>
  </si>
  <si>
    <t>Piping</t>
  </si>
  <si>
    <t>4-2.6</t>
  </si>
  <si>
    <t>RFQ-MEC-006</t>
  </si>
  <si>
    <t>CHEMICAL INJECTION PUMPS PACKAGE</t>
  </si>
  <si>
    <t>4-2.8</t>
  </si>
  <si>
    <t>5/15/202</t>
  </si>
  <si>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</si>
  <si>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</si>
  <si>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</si>
  <si>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</si>
  <si>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</si>
  <si>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</si>
  <si>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</si>
  <si>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</si>
  <si>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</si>
  <si>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</si>
  <si>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</si>
  <si>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</si>
  <si>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</si>
  <si>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</si>
  <si>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</si>
  <si>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</si>
  <si>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</si>
  <si>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</si>
  <si>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</si>
  <si>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</si>
  <si>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</si>
  <si>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</si>
  <si>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RFQ-MEC-015</t>
  </si>
  <si>
    <t>DIESEL TRANSFER PUMP PACKAGE</t>
  </si>
  <si>
    <t>4-2.23</t>
  </si>
  <si>
    <t>RFQ-MEC-016</t>
  </si>
  <si>
    <t>OPEN DRAIN CAISSON PUMP PACKAGE</t>
  </si>
  <si>
    <t>4-2.24</t>
  </si>
  <si>
    <t>RFQ-ELE-017</t>
  </si>
  <si>
    <t>AC/DC Distribution Board</t>
  </si>
  <si>
    <t>Electrical</t>
  </si>
  <si>
    <t>4-3.1</t>
  </si>
  <si>
    <t>It is included in RFQ for Solar Power System</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</si>
  <si>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</si>
  <si>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</si>
  <si>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</si>
  <si>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</si>
  <si>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</si>
  <si>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</si>
  <si>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</si>
  <si>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</si>
  <si>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</si>
  <si>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</si>
  <si>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</si>
  <si>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</si>
  <si>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</si>
  <si>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</si>
  <si>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</si>
  <si>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</si>
  <si>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</si>
  <si>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</si>
  <si>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</si>
  <si>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</si>
  <si>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</si>
  <si>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</si>
  <si>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</si>
  <si>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</si>
  <si>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</si>
  <si>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</si>
  <si>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</si>
  <si>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</si>
  <si>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</si>
  <si>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</si>
  <si>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</si>
  <si>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</si>
  <si>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</si>
  <si>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</si>
  <si>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</si>
  <si>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</si>
  <si>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</si>
  <si>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</si>
  <si>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</si>
  <si>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</si>
  <si>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</si>
  <si>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</si>
  <si>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</si>
  <si>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</si>
  <si>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</si>
  <si>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</si>
  <si>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</si>
  <si>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</si>
  <si>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</si>
  <si>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</si>
  <si>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</si>
  <si>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Rrestriction Orifice</t>
  </si>
  <si>
    <t>RFQ-INS-037</t>
  </si>
  <si>
    <t>PLC System</t>
  </si>
  <si>
    <t>4-4.1</t>
  </si>
  <si>
    <t>RFQ-INS-038</t>
  </si>
  <si>
    <t>Fire and Gas Detector</t>
  </si>
  <si>
    <t>4-4.20</t>
  </si>
  <si>
    <t>RFQ-INS-039</t>
  </si>
  <si>
    <t>Dip Tape Level Indicator</t>
  </si>
  <si>
    <t>Combined into RFQ-006 CHEMICAL INJECTION PUMPS PACKAGE</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</si>
  <si>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</si>
  <si>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</si>
  <si>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</si>
  <si>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</si>
  <si>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</si>
  <si>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</si>
  <si>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</si>
  <si>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</si>
  <si>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</si>
  <si>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</si>
  <si>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</si>
  <si>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</si>
  <si>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</si>
  <si>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</si>
  <si>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</si>
  <si>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</si>
  <si>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</si>
  <si>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</si>
  <si>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</si>
  <si>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</si>
  <si>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</si>
  <si>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</si>
  <si>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</si>
  <si>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</si>
  <si>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</si>
  <si>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</si>
  <si>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</si>
  <si>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</si>
  <si>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</si>
  <si>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</si>
  <si>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</si>
  <si>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</si>
  <si>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</si>
  <si>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</si>
  <si>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</si>
  <si>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</si>
  <si>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</si>
  <si>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</si>
  <si>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</si>
  <si>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</si>
  <si>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RFQ-STR-055</t>
  </si>
  <si>
    <t>Primary Steel - Plates for topside</t>
  </si>
  <si>
    <t>Structural</t>
  </si>
  <si>
    <t>5-2</t>
  </si>
  <si>
    <t>1st Cutting Change to 16-Aug</t>
  </si>
  <si>
    <t>RFQ-STR-056</t>
  </si>
  <si>
    <t>Primary Steel – Beam for topside</t>
  </si>
  <si>
    <t>for Deck Pre-assembly</t>
  </si>
  <si>
    <t>RFQ-STR-057</t>
  </si>
  <si>
    <t>Secondary Steel – Beam for topside (W-Type)</t>
  </si>
  <si>
    <t>5-4</t>
  </si>
  <si>
    <t>RFQ-STR-102</t>
  </si>
  <si>
    <t>Secondary Steel – Beam for topside (L&amp;C Type)</t>
  </si>
  <si>
    <t>RFQ-STR-058</t>
  </si>
  <si>
    <t xml:space="preserve">Topside Tertiary Steel </t>
  </si>
  <si>
    <t>RFQ-STR-059</t>
  </si>
  <si>
    <t xml:space="preserve">Primary Steel - Tubular for topside </t>
  </si>
  <si>
    <t>Column and Brace</t>
  </si>
  <si>
    <t>RFQ-STR-060</t>
  </si>
  <si>
    <t>Primary Steel - Plates for jacket</t>
  </si>
  <si>
    <t>RFQ-STR-061</t>
  </si>
  <si>
    <t xml:space="preserve">Secondary Steel -Beam for jacket </t>
  </si>
  <si>
    <t>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</si>
  <si>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</si>
  <si>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</si>
  <si>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</si>
  <si>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</si>
  <si>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</si>
  <si>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</si>
  <si>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</si>
  <si>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</si>
  <si>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</si>
  <si>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</si>
  <si>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</si>
  <si>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</si>
  <si>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</si>
  <si>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</si>
  <si>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</si>
  <si>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</si>
  <si>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</si>
  <si>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</si>
  <si>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</si>
  <si>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</si>
  <si>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</si>
  <si>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</si>
  <si>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</si>
  <si>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</si>
  <si>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</si>
  <si>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</si>
  <si>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</si>
  <si>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</si>
  <si>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</si>
  <si>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</si>
  <si>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</si>
  <si>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</si>
  <si>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</si>
  <si>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</si>
  <si>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</si>
  <si>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</si>
  <si>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</si>
  <si>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</si>
  <si>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</si>
  <si>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</si>
  <si>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</si>
  <si>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</si>
  <si>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</si>
  <si>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</si>
  <si>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</si>
  <si>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</si>
  <si>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</si>
  <si>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</si>
  <si>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</si>
  <si>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</si>
  <si>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</si>
  <si>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</si>
  <si>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</si>
  <si>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</si>
  <si>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</si>
  <si>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</si>
  <si>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</si>
  <si>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</si>
  <si>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</si>
  <si>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</si>
  <si>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</si>
  <si>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</si>
  <si>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</si>
  <si>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</si>
  <si>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</si>
  <si>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</si>
  <si>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</si>
  <si>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</si>
  <si>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</si>
  <si>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</si>
  <si>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</si>
  <si>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</si>
  <si>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</si>
  <si>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</si>
  <si>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</si>
  <si>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</si>
  <si>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</si>
  <si>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</si>
  <si>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</si>
  <si>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</si>
  <si>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</si>
  <si>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</si>
  <si>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</si>
  <si>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</si>
  <si>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</si>
  <si>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</si>
  <si>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rPr>
      <t>基于</t>
    </r>
    <r>
      <rPr>
        <sz val="10"/>
        <rFont val="Arial"/>
        <family val="2"/>
      </rPr>
      <t>Standard Piping Support</t>
    </r>
  </si>
  <si>
    <t>RFQ-INS-101</t>
  </si>
  <si>
    <t>DP LEVEL TRANSMITTERS</t>
  </si>
  <si>
    <t>RFQ-STR-105</t>
  </si>
  <si>
    <t>Primary Seamless Pipe</t>
  </si>
  <si>
    <t>RFQ-STR-106</t>
  </si>
  <si>
    <t xml:space="preserve">Secondary Steel – Seamless pipe </t>
  </si>
  <si>
    <t>Secondary Steel – Seamless pipe</t>
  </si>
  <si>
    <t>RFQ-STR-107</t>
  </si>
  <si>
    <t>Secondary Steel – Plate</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</si>
  <si>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</si>
  <si>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</si>
  <si>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</si>
  <si>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</si>
  <si>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</si>
  <si>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</si>
  <si>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</si>
  <si>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</si>
  <si>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</si>
  <si>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</si>
  <si>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</si>
  <si>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</si>
  <si>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</si>
  <si>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</si>
  <si>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</si>
  <si>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</si>
  <si>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</si>
  <si>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</si>
  <si>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</si>
  <si>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</si>
  <si>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</si>
  <si>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</si>
  <si>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</si>
  <si>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</si>
  <si>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</si>
  <si>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</si>
  <si>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</si>
  <si>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</si>
  <si>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</si>
  <si>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</si>
  <si>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</si>
  <si>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</si>
  <si>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</si>
  <si>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</si>
  <si>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</si>
  <si>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</si>
  <si>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</si>
  <si>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</si>
  <si>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</si>
  <si>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</si>
  <si>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</si>
  <si>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</si>
  <si>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</si>
  <si>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</si>
  <si>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</si>
  <si>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</si>
  <si>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</si>
  <si>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</si>
  <si>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</si>
  <si>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</si>
  <si>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</si>
  <si>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</si>
  <si>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</si>
  <si>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</si>
  <si>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</si>
  <si>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</si>
  <si>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</si>
  <si>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</si>
  <si>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</si>
  <si>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</si>
  <si>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</si>
  <si>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</si>
  <si>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</si>
  <si>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</si>
  <si>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</si>
  <si>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</si>
  <si>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</si>
  <si>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</si>
  <si>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</si>
  <si>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</si>
  <si>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</si>
  <si>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</si>
  <si>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</si>
  <si>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</si>
  <si>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</si>
  <si>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</si>
  <si>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</si>
  <si>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</si>
  <si>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</si>
  <si>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</si>
  <si>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</si>
  <si>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</si>
  <si>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</si>
  <si>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</si>
  <si>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</si>
  <si>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</si>
  <si>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</si>
  <si>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</si>
  <si>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</si>
  <si>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</si>
  <si>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</si>
  <si>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</si>
  <si>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</si>
  <si>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</si>
  <si>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</si>
  <si>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</si>
  <si>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</si>
  <si>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</si>
  <si>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</si>
  <si>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</si>
  <si>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</si>
  <si>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</si>
  <si>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</si>
  <si>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</si>
  <si>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</si>
  <si>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</si>
  <si>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</si>
  <si>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</si>
  <si>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</si>
  <si>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</si>
  <si>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</si>
  <si>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</si>
  <si>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</si>
  <si>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</si>
  <si>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</si>
  <si>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</si>
  <si>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</si>
  <si>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</si>
  <si>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</si>
  <si>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</si>
  <si>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</si>
  <si>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</si>
  <si>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</si>
  <si>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</si>
  <si>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</si>
  <si>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</si>
  <si>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</si>
  <si>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</si>
  <si>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</si>
  <si>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</si>
  <si>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</si>
  <si>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</si>
  <si>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</si>
  <si>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</si>
  <si>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</si>
  <si>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</si>
  <si>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</si>
  <si>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</si>
  <si>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</si>
  <si>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</si>
  <si>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</si>
  <si>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</si>
  <si>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</si>
  <si>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</si>
  <si>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</si>
  <si>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</si>
  <si>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</si>
  <si>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</si>
  <si>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</si>
  <si>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</si>
  <si>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</si>
  <si>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</si>
  <si>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</si>
  <si>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</si>
  <si>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</si>
  <si>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</si>
  <si>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</si>
  <si>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</si>
  <si>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</si>
  <si>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</si>
  <si>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</si>
  <si>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</si>
  <si>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</si>
  <si>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</si>
  <si>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</si>
  <si>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</si>
  <si>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</si>
  <si>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</si>
  <si>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</si>
  <si>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</si>
  <si>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</si>
  <si>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</si>
  <si>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</si>
  <si>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</si>
  <si>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</si>
  <si>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</si>
  <si>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</si>
  <si>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</si>
  <si>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</si>
  <si>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</si>
  <si>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</si>
  <si>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</si>
  <si>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</si>
  <si>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</si>
  <si>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</si>
  <si>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</si>
  <si>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</si>
  <si>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</si>
  <si>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</si>
  <si>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</si>
  <si>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</si>
  <si>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</si>
  <si>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</si>
  <si>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</si>
  <si>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</si>
  <si>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</si>
  <si>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</si>
  <si>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</si>
  <si>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</si>
  <si>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</si>
  <si>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</si>
  <si>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</si>
  <si>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</si>
  <si>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</si>
  <si>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</si>
  <si>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</si>
  <si>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</si>
  <si>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</si>
  <si>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</si>
  <si>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</si>
  <si>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</si>
  <si>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</si>
  <si>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</si>
  <si>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</si>
  <si>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</si>
  <si>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</si>
  <si>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</si>
  <si>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</si>
  <si>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</si>
  <si>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</si>
  <si>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</si>
  <si>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</si>
  <si>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</si>
  <si>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</si>
  <si>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</si>
  <si>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</si>
  <si>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</si>
  <si>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</si>
  <si>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</si>
  <si>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</si>
  <si>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</si>
  <si>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</si>
  <si>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</si>
  <si>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</si>
  <si>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</si>
  <si>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</si>
  <si>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</si>
  <si>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</si>
  <si>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</si>
  <si>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</si>
  <si>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</si>
  <si>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</si>
  <si>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</si>
  <si>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</si>
  <si>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</si>
  <si>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</si>
  <si>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</si>
  <si>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</si>
  <si>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</si>
  <si>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</si>
  <si>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</si>
  <si>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</si>
  <si>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</si>
  <si>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</si>
  <si>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</si>
  <si>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</si>
  <si>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</si>
  <si>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</si>
  <si>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</si>
  <si>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</si>
  <si>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</si>
  <si>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</si>
  <si>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</si>
  <si>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</si>
  <si>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</si>
  <si>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</si>
  <si>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</si>
  <si>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</si>
  <si>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</si>
  <si>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</si>
  <si>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</si>
  <si>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</si>
  <si>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</si>
  <si>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</si>
  <si>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</si>
  <si>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</si>
  <si>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</si>
  <si>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</si>
  <si>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</si>
  <si>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</si>
  <si>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</si>
  <si>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</si>
  <si>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</si>
  <si>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</si>
  <si>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</si>
  <si>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</si>
  <si>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</si>
  <si>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</si>
  <si>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</si>
  <si>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</si>
  <si>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</si>
  <si>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</si>
  <si>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</si>
  <si>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</si>
  <si>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</si>
  <si>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</si>
  <si>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</si>
  <si>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</si>
  <si>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</si>
  <si>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</si>
  <si>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</si>
  <si>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</si>
  <si>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</si>
  <si>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</si>
  <si>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</si>
  <si>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</si>
  <si>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</si>
  <si>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</si>
  <si>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</si>
  <si>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</si>
  <si>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</si>
  <si>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</si>
  <si>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</si>
  <si>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</si>
  <si>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</si>
  <si>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</si>
  <si>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</si>
  <si>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</si>
  <si>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</si>
  <si>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</si>
  <si>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</si>
  <si>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</si>
  <si>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</si>
  <si>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</si>
  <si>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</si>
  <si>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</si>
  <si>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</si>
  <si>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</si>
  <si>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</si>
  <si>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</si>
  <si>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</si>
  <si>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</si>
  <si>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</si>
  <si>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</si>
  <si>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</si>
  <si>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</si>
  <si>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</si>
  <si>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</si>
  <si>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</si>
  <si>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</si>
  <si>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</si>
  <si>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</si>
  <si>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</si>
  <si>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</si>
  <si>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</si>
  <si>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</si>
  <si>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</si>
  <si>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</si>
  <si>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</si>
  <si>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</si>
  <si>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</si>
  <si>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</si>
  <si>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</si>
  <si>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</si>
  <si>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</si>
  <si>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</si>
  <si>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</si>
  <si>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</si>
  <si>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</si>
  <si>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</si>
  <si>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</si>
  <si>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</si>
  <si>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</si>
  <si>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</si>
  <si>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</si>
  <si>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</si>
  <si>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</si>
  <si>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</si>
  <si>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</si>
  <si>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</si>
  <si>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</si>
  <si>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</si>
  <si>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</si>
  <si>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</si>
  <si>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</si>
  <si>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</si>
  <si>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</si>
  <si>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</si>
  <si>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</si>
  <si>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</si>
  <si>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</si>
  <si>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</si>
  <si>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</si>
  <si>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</si>
  <si>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</si>
  <si>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</si>
  <si>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</si>
  <si>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</si>
  <si>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</si>
  <si>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</si>
  <si>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</si>
  <si>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</si>
  <si>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</si>
  <si>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</si>
  <si>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</si>
  <si>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</si>
  <si>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</si>
  <si>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</si>
  <si>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</si>
  <si>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</si>
  <si>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</si>
  <si>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</si>
  <si>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</si>
  <si>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</si>
  <si>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</si>
  <si>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</si>
  <si>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</si>
  <si>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</si>
  <si>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</si>
  <si>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</si>
  <si>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</si>
  <si>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</si>
  <si>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</si>
  <si>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</si>
  <si>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</si>
  <si>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</si>
  <si>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</si>
  <si>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</si>
  <si>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</si>
  <si>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</si>
  <si>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</si>
  <si>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</si>
  <si>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</si>
  <si>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</si>
  <si>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</si>
  <si>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</si>
  <si>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</si>
  <si>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</si>
  <si>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</si>
  <si>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</si>
  <si>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</si>
  <si>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</si>
  <si>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</si>
  <si>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</si>
  <si>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</si>
  <si>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</si>
  <si>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</si>
  <si>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</si>
  <si>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</si>
  <si>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</si>
  <si>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</si>
  <si>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</si>
  <si>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</si>
  <si>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</si>
  <si>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</si>
  <si>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</si>
  <si>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</si>
  <si>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</si>
  <si>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</si>
  <si>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</si>
  <si>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</si>
  <si>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</si>
  <si>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</si>
  <si>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</si>
  <si>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</si>
  <si>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</si>
  <si>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</si>
  <si>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</si>
  <si>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</si>
  <si>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</si>
  <si>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</si>
  <si>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</si>
  <si>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</si>
  <si>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</si>
  <si>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</si>
  <si>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</si>
  <si>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</si>
  <si>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</si>
  <si>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</si>
  <si>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</si>
  <si>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</si>
  <si>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</si>
  <si>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</si>
  <si>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</si>
  <si>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</si>
  <si>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</si>
  <si>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</si>
  <si>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</si>
  <si>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</si>
  <si>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</si>
  <si>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</si>
  <si>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</si>
  <si>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</si>
  <si>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</si>
  <si>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</si>
  <si>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</si>
  <si>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</si>
  <si>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</si>
  <si>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</si>
  <si>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</si>
  <si>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</si>
  <si>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</si>
  <si>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</si>
  <si>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</si>
  <si>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</si>
  <si>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</si>
  <si>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</si>
  <si>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</si>
  <si>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</si>
  <si>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</si>
  <si>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</si>
  <si>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</si>
  <si>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</si>
  <si>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</si>
  <si>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</si>
  <si>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</si>
  <si>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</si>
  <si>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</si>
  <si>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</si>
  <si>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</si>
  <si>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</si>
  <si>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</si>
  <si>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</si>
  <si>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</si>
  <si>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</si>
  <si>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</si>
  <si>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</si>
  <si>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</si>
  <si>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</si>
  <si>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</si>
  <si>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</si>
  <si>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</si>
  <si>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</si>
  <si>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</si>
  <si>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</si>
  <si>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</si>
  <si>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</si>
  <si>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</si>
  <si>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</si>
  <si>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</si>
  <si>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</si>
  <si>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</si>
  <si>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</si>
  <si>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</si>
  <si>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</si>
  <si>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</si>
  <si>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</si>
  <si>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</si>
  <si>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</si>
  <si>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</si>
  <si>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</si>
  <si>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</si>
  <si>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</si>
  <si>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</si>
  <si>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</si>
  <si>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</si>
  <si>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</si>
  <si>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</si>
  <si>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</si>
  <si>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</si>
  <si>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</si>
  <si>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</si>
  <si>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</si>
  <si>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</si>
  <si>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</si>
  <si>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</si>
  <si>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</si>
  <si>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</si>
  <si>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</si>
  <si>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</si>
  <si>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</si>
  <si>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</si>
  <si>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</si>
  <si>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</si>
  <si>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</si>
  <si>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</si>
  <si>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</si>
  <si>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</si>
  <si>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</si>
  <si>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</si>
  <si>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</si>
  <si>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</si>
  <si>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</si>
  <si>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</si>
  <si>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</si>
  <si>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</si>
  <si>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</si>
  <si>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</si>
  <si>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</si>
  <si>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</si>
  <si>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</si>
  <si>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</si>
  <si>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</si>
  <si>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</si>
  <si>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</si>
  <si>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</si>
  <si>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</si>
  <si>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</si>
  <si>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</si>
  <si>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</si>
  <si>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</si>
  <si>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</si>
  <si>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</si>
  <si>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</si>
  <si>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</si>
  <si>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</si>
  <si>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</si>
  <si>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</si>
  <si>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</si>
  <si>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</si>
  <si>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</si>
  <si>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</si>
  <si>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</si>
  <si>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</si>
  <si>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</si>
  <si>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</si>
  <si>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</si>
  <si>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</si>
  <si>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</si>
  <si>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</si>
  <si>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</si>
  <si>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</si>
  <si>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</si>
  <si>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</si>
  <si>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</si>
  <si>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</si>
  <si>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</si>
  <si>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</si>
  <si>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</si>
  <si>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</si>
  <si>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</si>
  <si>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</si>
  <si>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</si>
  <si>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</si>
  <si>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</si>
  <si>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</si>
  <si>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</si>
  <si>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</si>
  <si>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</si>
  <si>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</si>
  <si>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</si>
  <si>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</si>
  <si>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</si>
  <si>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</si>
  <si>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</si>
  <si>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</si>
  <si>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</si>
  <si>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</si>
  <si>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</si>
  <si>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</si>
  <si>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</si>
  <si>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</si>
  <si>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</si>
  <si>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</si>
  <si>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</si>
  <si>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</si>
  <si>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</si>
  <si>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</si>
  <si>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</si>
  <si>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</si>
  <si>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</si>
  <si>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</si>
  <si>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</si>
  <si>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</si>
  <si>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</si>
  <si>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</si>
  <si>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</si>
  <si>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</si>
  <si>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</si>
  <si>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</si>
  <si>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</si>
  <si>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</si>
  <si>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</si>
  <si>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</si>
  <si>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</si>
  <si>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</si>
  <si>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</si>
  <si>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</si>
  <si>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</si>
  <si>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</si>
  <si>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</si>
  <si>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</si>
  <si>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</si>
  <si>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</si>
  <si>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</si>
  <si>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</si>
  <si>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</si>
  <si>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</si>
  <si>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</si>
  <si>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</si>
  <si>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</si>
  <si>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</si>
  <si>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</si>
  <si>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</si>
  <si>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</si>
  <si>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</si>
  <si>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</si>
  <si>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</si>
  <si>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</si>
  <si>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</si>
  <si>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</si>
  <si>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</si>
  <si>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</si>
  <si>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</si>
  <si>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</si>
  <si>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</si>
  <si>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</si>
  <si>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</si>
  <si>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</si>
  <si>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</si>
  <si>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</si>
  <si>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</si>
  <si>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</si>
  <si>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</si>
  <si>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</si>
  <si>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</si>
  <si>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</si>
  <si>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</si>
  <si>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</si>
  <si>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</si>
  <si>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</si>
  <si>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</si>
  <si>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</si>
  <si>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</si>
  <si>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</si>
  <si>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</si>
  <si>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</si>
  <si>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</si>
  <si>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</si>
  <si>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</si>
  <si>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</si>
  <si>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</si>
  <si>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</si>
  <si>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</si>
  <si>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</si>
  <si>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</si>
  <si>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</si>
  <si>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</si>
  <si>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</si>
  <si>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</si>
  <si>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</si>
  <si>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</si>
  <si>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</si>
  <si>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</si>
  <si>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</si>
  <si>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</si>
  <si>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</si>
  <si>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</si>
  <si>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</si>
  <si>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</si>
  <si>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</si>
  <si>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</si>
  <si>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</si>
  <si>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</si>
  <si>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</si>
  <si>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</si>
  <si>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</si>
  <si>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</si>
  <si>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</si>
  <si>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</si>
  <si>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</si>
  <si>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</si>
  <si>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</si>
  <si>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</si>
  <si>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</si>
  <si>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</si>
  <si>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</si>
  <si>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</si>
  <si>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</si>
  <si>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</si>
  <si>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</si>
  <si>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</si>
  <si>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</si>
  <si>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</si>
  <si>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</si>
  <si>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</si>
  <si>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</si>
  <si>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</si>
  <si>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</si>
  <si>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</si>
  <si>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</si>
  <si>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</si>
  <si>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</si>
  <si>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</si>
  <si>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</si>
  <si>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</si>
  <si>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</si>
  <si>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</si>
  <si>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</si>
  <si>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</si>
  <si>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</si>
  <si>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</si>
  <si>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</si>
  <si>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</si>
  <si>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</si>
  <si>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</si>
  <si>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</si>
  <si>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</si>
  <si>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</si>
  <si>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</si>
  <si>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</si>
  <si>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</si>
  <si>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</si>
  <si>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</si>
  <si>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</si>
  <si>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</si>
  <si>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</si>
  <si>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</si>
  <si>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</si>
  <si>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</si>
  <si>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</si>
  <si>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</si>
  <si>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</si>
  <si>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</si>
  <si>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</si>
  <si>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</si>
  <si>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</si>
  <si>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</si>
  <si>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</si>
  <si>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</si>
  <si>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</si>
  <si>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</si>
  <si>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</si>
  <si>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</si>
  <si>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</si>
  <si>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</si>
  <si>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</si>
  <si>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</si>
  <si>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</si>
  <si>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</si>
  <si>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</si>
  <si>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</si>
  <si>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</si>
  <si>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</si>
  <si>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</si>
  <si>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</si>
  <si>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</si>
  <si>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</si>
  <si>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</si>
  <si>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</si>
  <si>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</si>
  <si>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</si>
  <si>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</si>
  <si>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</si>
  <si>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</si>
  <si>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</si>
  <si>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</si>
  <si>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</si>
  <si>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</si>
  <si>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</si>
  <si>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</si>
  <si>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</si>
  <si>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</si>
  <si>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</si>
  <si>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</si>
  <si>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</si>
  <si>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</si>
  <si>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</si>
  <si>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</si>
  <si>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</si>
  <si>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</si>
  <si>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</si>
  <si>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</si>
  <si>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</si>
  <si>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</si>
  <si>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</si>
  <si>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</si>
  <si>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</si>
  <si>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</si>
  <si>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</si>
  <si>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</si>
  <si>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</si>
  <si>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</si>
  <si>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</si>
  <si>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</si>
  <si>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</si>
  <si>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</si>
  <si>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</si>
  <si>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</si>
  <si>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</si>
  <si>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</si>
  <si>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</si>
  <si>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</si>
  <si>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</si>
  <si>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</si>
  <si>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</si>
  <si>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</si>
  <si>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</si>
  <si>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</si>
  <si>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</si>
  <si>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</si>
  <si>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</si>
  <si>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</si>
  <si>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</si>
  <si>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</si>
  <si>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</si>
  <si>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</si>
  <si>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</si>
  <si>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</si>
  <si>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</si>
  <si>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</si>
  <si>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</si>
  <si>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</si>
  <si>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</si>
  <si>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</si>
  <si>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</si>
  <si>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</si>
  <si>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</si>
  <si>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</si>
  <si>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</si>
  <si>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</si>
  <si>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</si>
  <si>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</si>
  <si>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</si>
  <si>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</si>
  <si>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</si>
  <si>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</si>
  <si>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</si>
  <si>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</si>
  <si>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</si>
  <si>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</si>
  <si>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</si>
  <si>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</si>
  <si>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</si>
  <si>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</si>
  <si>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</si>
  <si>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</si>
  <si>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</si>
  <si>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</si>
  <si>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</si>
  <si>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</si>
  <si>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</si>
  <si>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</si>
  <si>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</si>
  <si>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</si>
  <si>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</si>
  <si>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</si>
  <si>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</si>
  <si>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</si>
  <si>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</si>
  <si>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</si>
  <si>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</si>
  <si>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</si>
  <si>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</si>
  <si>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</si>
  <si>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</si>
  <si>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</si>
  <si>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</si>
  <si>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</si>
  <si>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</si>
  <si>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</si>
  <si>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</si>
  <si>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</si>
  <si>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</si>
  <si>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</si>
  <si>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</si>
  <si>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</si>
  <si>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</si>
  <si>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</si>
  <si>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</si>
  <si>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</si>
  <si>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</si>
  <si>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</si>
  <si>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</si>
  <si>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</si>
  <si>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</si>
  <si>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</si>
  <si>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</si>
  <si>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</si>
  <si>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</si>
  <si>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</si>
  <si>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</si>
  <si>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</si>
  <si>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</si>
  <si>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</si>
  <si>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</si>
  <si>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</si>
  <si>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</si>
  <si>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</si>
  <si>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</si>
  <si>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</si>
  <si>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</si>
  <si>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</si>
  <si>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</si>
  <si>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</si>
  <si>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</si>
  <si>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</si>
  <si>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</si>
  <si>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</si>
  <si>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</si>
  <si>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</si>
  <si>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</si>
  <si>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</si>
  <si>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</si>
  <si>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</si>
  <si>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</si>
  <si>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</si>
  <si>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</si>
  <si>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</si>
  <si>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</si>
  <si>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</si>
  <si>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</si>
  <si>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</si>
  <si>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</si>
  <si>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</si>
  <si>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</si>
  <si>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</si>
  <si>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</si>
  <si>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</si>
  <si>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</si>
  <si>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</si>
  <si>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</si>
  <si>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</si>
  <si>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</si>
  <si>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</si>
  <si>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</si>
  <si>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</si>
  <si>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</si>
  <si>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</si>
  <si>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</si>
  <si>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</si>
  <si>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</si>
  <si>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</si>
  <si>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</si>
  <si>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</si>
  <si>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</si>
  <si>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</si>
  <si>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</si>
  <si>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</si>
  <si>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</si>
  <si>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</si>
  <si>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</si>
  <si>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</si>
  <si>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</si>
  <si>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</si>
  <si>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</si>
  <si>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</si>
  <si>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</si>
  <si>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</si>
  <si>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</si>
  <si>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</si>
  <si>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</si>
  <si>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</si>
  <si>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</si>
  <si>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</si>
  <si>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</si>
  <si>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</si>
  <si>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</si>
  <si>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</si>
  <si>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</si>
  <si>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</si>
  <si>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</si>
  <si>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</si>
  <si>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</si>
  <si>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</si>
  <si>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</si>
  <si>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</si>
  <si>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</si>
  <si>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</si>
  <si>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</si>
  <si>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</si>
  <si>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</si>
  <si>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</si>
  <si>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</si>
  <si>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</si>
  <si>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</si>
  <si>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</si>
  <si>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</si>
  <si>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</si>
  <si>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</si>
  <si>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</si>
  <si>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</si>
  <si>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</si>
  <si>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</si>
  <si>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</si>
  <si>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</si>
  <si>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</si>
  <si>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</si>
  <si>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</si>
  <si>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</si>
  <si>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</si>
  <si>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</si>
  <si>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</si>
  <si>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</si>
  <si>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</si>
  <si>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</si>
  <si>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</si>
  <si>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</si>
  <si>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</si>
  <si>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</si>
  <si>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</si>
  <si>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</si>
  <si>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</si>
  <si>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</si>
  <si>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</si>
  <si>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</si>
  <si>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</si>
  <si>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</si>
  <si>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</si>
  <si>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</si>
  <si>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</si>
  <si>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</si>
  <si>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</si>
  <si>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</si>
  <si>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</si>
  <si>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</si>
  <si>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</si>
  <si>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</si>
  <si>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</si>
  <si>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</si>
  <si>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</si>
  <si>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</si>
  <si>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</si>
  <si>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</si>
  <si>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</si>
  <si>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</si>
  <si>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</si>
  <si>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</si>
  <si>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</si>
  <si>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</si>
  <si>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</si>
  <si>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</si>
  <si>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</si>
  <si>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</si>
  <si>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</si>
  <si>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</si>
  <si>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</si>
  <si>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</si>
  <si>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</si>
  <si>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</si>
  <si>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</si>
  <si>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</si>
  <si>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</si>
  <si>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</si>
  <si>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</si>
  <si>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</si>
  <si>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</si>
  <si>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</si>
  <si>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</si>
  <si>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</si>
  <si>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</si>
  <si>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</si>
  <si>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</si>
  <si>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</si>
  <si>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</si>
  <si>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</si>
  <si>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</si>
  <si>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</si>
  <si>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</si>
  <si>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</si>
  <si>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</si>
  <si>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</si>
  <si>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</si>
  <si>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</si>
  <si>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</si>
  <si>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</si>
  <si>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</si>
  <si>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</si>
  <si>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</si>
  <si>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</si>
  <si>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</si>
  <si>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</si>
  <si>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</si>
  <si>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</si>
  <si>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</si>
  <si>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</si>
  <si>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</si>
  <si>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</si>
  <si>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</si>
  <si>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</si>
  <si>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</si>
  <si>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</si>
  <si>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</si>
  <si>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</si>
  <si>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</si>
  <si>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</si>
  <si>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</si>
  <si>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</si>
  <si>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</si>
  <si>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</si>
  <si>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</si>
  <si>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</si>
  <si>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</si>
  <si>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</si>
  <si>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</si>
  <si>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</si>
  <si>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</si>
  <si>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</si>
  <si>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</si>
  <si>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</si>
  <si>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</si>
  <si>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</si>
  <si>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</si>
  <si>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</si>
  <si>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</si>
  <si>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</si>
  <si>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</si>
  <si>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</si>
  <si>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</si>
  <si>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</si>
  <si>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</si>
  <si>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</si>
  <si>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</si>
  <si>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</si>
  <si>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</si>
  <si>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</si>
  <si>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</si>
  <si>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</si>
  <si>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</si>
  <si>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</si>
  <si>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</si>
  <si>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</si>
  <si>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</si>
  <si>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</si>
  <si>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</si>
  <si>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</si>
  <si>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</si>
  <si>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</si>
  <si>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</si>
  <si>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</si>
  <si>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</si>
  <si>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</si>
  <si>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</si>
  <si>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</si>
  <si>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</si>
  <si>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</si>
  <si>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</si>
  <si>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</si>
  <si>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</si>
  <si>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</si>
  <si>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</si>
  <si>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</si>
  <si>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</si>
  <si>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</si>
  <si>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</si>
  <si>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</si>
  <si>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</si>
  <si>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</si>
  <si>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</si>
  <si>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</si>
  <si>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</si>
  <si>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</si>
  <si>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</si>
  <si>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</si>
  <si>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</si>
  <si>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</si>
  <si>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</si>
  <si>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</si>
  <si>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</si>
  <si>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</si>
  <si>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</si>
  <si>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</si>
  <si>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</si>
  <si>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</si>
  <si>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</si>
  <si>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</si>
  <si>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</si>
  <si>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</si>
  <si>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</si>
  <si>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</si>
  <si>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</si>
  <si>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</si>
  <si>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</si>
  <si>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</si>
  <si>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</si>
  <si>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</si>
  <si>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</si>
  <si>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</si>
  <si>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</si>
  <si>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</si>
  <si>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</si>
  <si>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</si>
  <si>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</si>
  <si>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</si>
  <si>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</si>
  <si>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</si>
  <si>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</si>
  <si>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</si>
  <si>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</si>
  <si>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</si>
  <si>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</si>
  <si>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</si>
  <si>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</si>
  <si>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</si>
  <si>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</si>
  <si>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</si>
  <si>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</si>
  <si>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</si>
  <si>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</si>
  <si>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</si>
  <si>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</si>
  <si>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</si>
  <si>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</si>
  <si>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</si>
  <si>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</si>
  <si>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</si>
  <si>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</si>
  <si>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</si>
  <si>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</si>
  <si>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</si>
  <si>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</si>
  <si>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</si>
  <si>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</si>
  <si>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</si>
  <si>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</si>
  <si>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</si>
  <si>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</si>
  <si>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</si>
  <si>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</si>
  <si>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</si>
  <si>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</si>
  <si>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</si>
  <si>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</si>
  <si>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</si>
  <si>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</si>
  <si>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</si>
  <si>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</si>
  <si>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</si>
  <si>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</si>
  <si>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</si>
  <si>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</si>
  <si>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</si>
  <si>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</si>
  <si>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</si>
  <si>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</si>
  <si>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</si>
  <si>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</si>
  <si>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</si>
  <si>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</si>
  <si>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</si>
  <si>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</si>
  <si>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</si>
  <si>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</si>
  <si>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</si>
  <si>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</si>
  <si>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</si>
  <si>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</si>
  <si>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</si>
  <si>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</si>
  <si>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</si>
  <si>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</si>
  <si>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</si>
  <si>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</si>
  <si>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</si>
  <si>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</si>
  <si>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</si>
  <si>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</si>
  <si>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</si>
  <si>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</si>
  <si>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</si>
  <si>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</si>
  <si>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</si>
  <si>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</si>
  <si>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</si>
  <si>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</si>
  <si>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</si>
  <si>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</si>
  <si>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</si>
  <si>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</si>
  <si>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</si>
  <si>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</si>
  <si>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</si>
  <si>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</si>
  <si>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</si>
  <si>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</si>
  <si>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</si>
  <si>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</si>
  <si>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</si>
  <si>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</si>
  <si>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</si>
  <si>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</si>
  <si>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</si>
  <si>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</si>
  <si>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</si>
  <si>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</si>
  <si>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</si>
  <si>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</si>
  <si>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</si>
  <si>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</si>
  <si>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</si>
  <si>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</si>
  <si>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</si>
  <si>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</si>
  <si>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</si>
  <si>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</si>
  <si>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</si>
  <si>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</si>
  <si>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</si>
  <si>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</si>
  <si>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</si>
  <si>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</si>
  <si>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</si>
  <si>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</si>
  <si>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</si>
  <si>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</si>
  <si>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</si>
  <si>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</si>
  <si>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</si>
  <si>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</si>
  <si>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</si>
  <si>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</si>
  <si>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</si>
  <si>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</si>
  <si>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</si>
  <si>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</si>
  <si>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</si>
  <si>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</si>
  <si>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</si>
  <si>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</si>
  <si>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</si>
  <si>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</si>
  <si>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</si>
  <si>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</si>
  <si>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</si>
  <si>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</si>
  <si>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</si>
  <si>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</si>
  <si>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</si>
  <si>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</si>
  <si>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</si>
  <si>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</si>
  <si>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</si>
  <si>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</si>
  <si>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</si>
  <si>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</si>
  <si>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</si>
  <si>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</si>
  <si>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</si>
  <si>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</si>
  <si>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</si>
  <si>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</si>
  <si>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</si>
  <si>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</si>
  <si>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</si>
  <si>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</si>
  <si>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</si>
  <si>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</si>
  <si>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</si>
  <si>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</si>
  <si>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</si>
  <si>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</si>
  <si>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</si>
  <si>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</si>
  <si>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</si>
  <si>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</si>
  <si>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</si>
  <si>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</si>
  <si>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</si>
  <si>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</si>
  <si>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</si>
  <si>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</si>
  <si>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</si>
  <si>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</si>
  <si>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</si>
  <si>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</si>
  <si>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</si>
  <si>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</si>
  <si>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</si>
  <si>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</si>
  <si>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</si>
  <si>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</si>
  <si>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</si>
  <si>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</si>
  <si>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</si>
  <si>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</si>
  <si>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</si>
  <si>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</si>
  <si>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</si>
  <si>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</si>
  <si>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</si>
  <si>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</si>
  <si>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</si>
  <si>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</si>
  <si>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</si>
  <si>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</si>
  <si>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</si>
  <si>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</si>
  <si>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</si>
  <si>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</si>
  <si>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</si>
  <si>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</si>
  <si>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</si>
  <si>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</si>
  <si>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</si>
  <si>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</si>
  <si>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</si>
  <si>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</si>
  <si>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</si>
  <si>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</si>
  <si>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</si>
  <si>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</si>
  <si>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</si>
  <si>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</si>
  <si>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</si>
  <si>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</si>
  <si>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</si>
  <si>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</si>
  <si>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</si>
  <si>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</si>
  <si>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</si>
  <si>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</si>
  <si>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</si>
  <si>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</si>
  <si>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</si>
  <si>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</si>
  <si>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</si>
  <si>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</si>
  <si>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</si>
  <si>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</si>
  <si>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</si>
  <si>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</si>
  <si>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</si>
  <si>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</si>
  <si>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</si>
  <si>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</si>
  <si>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</si>
  <si>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</si>
  <si>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</si>
  <si>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</si>
  <si>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</si>
  <si>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</si>
  <si>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</si>
  <si>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</si>
  <si>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</si>
  <si>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</si>
  <si>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</si>
  <si>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</si>
  <si>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</si>
  <si>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</si>
  <si>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</si>
  <si>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</si>
  <si>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</si>
  <si>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</si>
  <si>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</si>
  <si>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</si>
  <si>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</si>
  <si>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</si>
  <si>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</si>
  <si>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</si>
  <si>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</si>
  <si>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</si>
  <si>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</si>
  <si>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</si>
  <si>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</si>
  <si>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</si>
  <si>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</si>
  <si>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</si>
  <si>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</si>
  <si>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</si>
  <si>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</si>
  <si>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</si>
  <si>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</si>
  <si>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</si>
  <si>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</si>
  <si>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</si>
  <si>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</si>
  <si>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</si>
  <si>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</si>
  <si>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</si>
  <si>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</si>
  <si>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</si>
  <si>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</si>
  <si>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</si>
  <si>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</si>
  <si>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</si>
  <si>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</si>
  <si>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</si>
  <si>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</si>
  <si>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</si>
  <si>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</si>
  <si>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</si>
  <si>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</si>
  <si>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</si>
  <si>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</si>
  <si>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</si>
  <si>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</si>
  <si>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</si>
  <si>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</si>
  <si>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</si>
  <si>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</si>
  <si>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</si>
  <si>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</si>
  <si>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</si>
  <si>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</si>
  <si>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</si>
  <si>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</si>
  <si>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</si>
  <si>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</si>
  <si>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</si>
  <si>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</si>
  <si>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</si>
  <si>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</si>
  <si>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</si>
  <si>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</si>
  <si>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</si>
  <si>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</si>
  <si>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</si>
  <si>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</si>
  <si>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</si>
  <si>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</si>
  <si>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</si>
  <si>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</si>
  <si>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</si>
  <si>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</si>
  <si>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</si>
  <si>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</si>
  <si>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</si>
  <si>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</si>
  <si>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</si>
  <si>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</si>
  <si>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</si>
  <si>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</si>
  <si>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</si>
  <si>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</si>
  <si>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</si>
  <si>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</si>
  <si>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</si>
  <si>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</si>
  <si>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</si>
  <si>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</si>
  <si>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</si>
  <si>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</si>
  <si>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</si>
  <si>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</si>
  <si>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</si>
  <si>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</si>
  <si>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</si>
  <si>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</si>
  <si>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</si>
  <si>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</si>
  <si>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</si>
  <si>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</si>
  <si>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</si>
  <si>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</si>
  <si>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</si>
  <si>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</si>
  <si>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</si>
  <si>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</si>
  <si>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</si>
  <si>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</si>
  <si>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</si>
  <si>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</si>
  <si>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</si>
  <si>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</si>
  <si>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</si>
  <si>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</si>
  <si>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</si>
  <si>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</si>
  <si>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</si>
  <si>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</si>
  <si>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</si>
  <si>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</si>
  <si>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</si>
  <si>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</si>
  <si>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</si>
  <si>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</si>
  <si>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</si>
  <si>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</si>
  <si>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</si>
  <si>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</si>
  <si>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</si>
  <si>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</si>
  <si>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</si>
  <si>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</si>
  <si>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</si>
  <si>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</si>
  <si>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</si>
  <si>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</si>
  <si>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</si>
  <si>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</si>
  <si>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</si>
  <si>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</si>
  <si>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</si>
  <si>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</si>
  <si>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</si>
  <si>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</si>
  <si>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</si>
  <si>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</si>
  <si>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</si>
  <si>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</si>
  <si>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</si>
  <si>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</si>
  <si>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</si>
  <si>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</si>
  <si>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</si>
  <si>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</si>
  <si>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</si>
  <si>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</si>
  <si>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</si>
  <si>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</si>
  <si>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</si>
  <si>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</si>
  <si>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</si>
  <si>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</si>
  <si>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</si>
  <si>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</si>
  <si>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</si>
  <si>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</si>
  <si>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</si>
  <si>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</si>
  <si>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</si>
  <si>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</si>
  <si>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</si>
  <si>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</si>
  <si>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</si>
  <si>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</si>
  <si>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</si>
  <si>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</si>
  <si>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</si>
  <si>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</si>
  <si>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</si>
  <si>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</si>
  <si>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</si>
  <si>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</si>
  <si>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</si>
  <si>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</si>
  <si>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</si>
  <si>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</si>
  <si>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</si>
  <si>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</si>
  <si>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</si>
  <si>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</si>
  <si>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</si>
  <si>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</si>
  <si>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</si>
  <si>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</si>
  <si>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</si>
  <si>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</si>
  <si>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</si>
  <si>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</si>
  <si>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</si>
  <si>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</si>
  <si>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</si>
  <si>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</si>
  <si>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</si>
  <si>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</si>
  <si>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</si>
  <si>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</si>
  <si>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</si>
  <si>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</si>
  <si>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</si>
  <si>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</si>
  <si>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</si>
  <si>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</si>
  <si>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</si>
  <si>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</si>
  <si>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</si>
  <si>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</si>
  <si>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</si>
  <si>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</si>
  <si>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</si>
  <si>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</si>
  <si>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</si>
  <si>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</si>
  <si>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</si>
  <si>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</si>
  <si>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</si>
  <si>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</si>
  <si>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</si>
  <si>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</si>
  <si>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</si>
  <si>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</si>
  <si>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</si>
  <si>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</si>
  <si>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</si>
  <si>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</si>
  <si>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</si>
  <si>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</si>
  <si>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</si>
  <si>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</si>
  <si>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</si>
  <si>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</si>
  <si>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</si>
  <si>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</si>
  <si>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</si>
  <si>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</si>
  <si>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</si>
  <si>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</si>
  <si>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</si>
  <si>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</si>
  <si>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</si>
  <si>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</si>
  <si>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</si>
  <si>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</si>
  <si>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</si>
  <si>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</si>
  <si>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</si>
  <si>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</si>
  <si>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</si>
  <si>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</si>
  <si>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</si>
  <si>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</si>
  <si>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</si>
  <si>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</si>
  <si>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</si>
  <si>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</si>
  <si>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</si>
  <si>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</si>
  <si>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</si>
  <si>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</si>
  <si>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</si>
  <si>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</si>
  <si>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</si>
  <si>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</si>
  <si>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</si>
  <si>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</si>
  <si>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</si>
  <si>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</si>
  <si>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</si>
  <si>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</si>
  <si>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</si>
  <si>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</si>
  <si>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</si>
  <si>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</si>
  <si>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</si>
  <si>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</si>
  <si>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</si>
  <si>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</si>
  <si>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</si>
  <si>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</si>
  <si>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</si>
  <si>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</si>
  <si>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</si>
  <si>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</si>
  <si>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</si>
  <si>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</si>
  <si>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</si>
  <si>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</si>
  <si>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</si>
  <si>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</si>
  <si>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</si>
  <si>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</si>
  <si>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</si>
  <si>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</si>
  <si>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</si>
  <si>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</si>
  <si>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</si>
  <si>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</si>
  <si>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</si>
  <si>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</si>
  <si>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</si>
  <si>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</si>
  <si>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</si>
  <si>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</si>
  <si>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</si>
  <si>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</si>
  <si>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</si>
  <si>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</si>
  <si>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</si>
  <si>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</si>
  <si>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</si>
  <si>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</si>
  <si>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</si>
  <si>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</si>
  <si>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</si>
  <si>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</si>
  <si>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</si>
  <si>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</si>
  <si>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</si>
  <si>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</si>
  <si>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</si>
  <si>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</si>
  <si>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</si>
  <si>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</si>
  <si>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</si>
  <si>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</si>
  <si>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</si>
  <si>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</si>
  <si>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</si>
  <si>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</si>
  <si>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</si>
  <si>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</si>
  <si>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</si>
  <si>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</si>
  <si>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</si>
  <si>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</si>
  <si>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</si>
  <si>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</si>
  <si>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</si>
  <si>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</si>
  <si>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</si>
  <si>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</si>
  <si>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</si>
  <si>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</si>
  <si>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</si>
  <si>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</si>
  <si>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</si>
  <si>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</si>
  <si>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</si>
  <si>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</si>
  <si>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</si>
  <si>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</si>
  <si>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</si>
  <si>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</si>
  <si>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</si>
  <si>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</si>
  <si>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</si>
  <si>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</si>
  <si>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</si>
  <si>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</si>
  <si>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</si>
  <si>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</si>
  <si>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</si>
  <si>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</si>
  <si>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</si>
  <si>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</si>
  <si>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</si>
  <si>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</si>
  <si>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</si>
  <si>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</si>
  <si>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</si>
  <si>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</si>
  <si>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</si>
  <si>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</si>
  <si>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</si>
  <si>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</si>
  <si>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</si>
  <si>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</si>
  <si>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</si>
  <si>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</si>
  <si>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</si>
  <si>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</si>
  <si>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</si>
  <si>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</si>
  <si>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</si>
  <si>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</si>
  <si>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</si>
  <si>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</si>
  <si>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</si>
  <si>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</si>
  <si>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</si>
  <si>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</si>
  <si>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</si>
  <si>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</si>
  <si>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</si>
  <si>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</si>
  <si>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</si>
  <si>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</si>
  <si>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</si>
  <si>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</si>
  <si>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</si>
  <si>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</si>
  <si>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</si>
  <si>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</si>
  <si>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</si>
  <si>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</si>
  <si>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</si>
  <si>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</si>
  <si>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</si>
  <si>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</si>
  <si>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</si>
  <si>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</si>
  <si>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</si>
  <si>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</si>
  <si>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</si>
  <si>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</si>
  <si>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</si>
  <si>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</si>
  <si>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</si>
  <si>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</si>
  <si>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</si>
  <si>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</si>
  <si>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</si>
  <si>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</si>
  <si>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</si>
  <si>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</si>
  <si>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</si>
  <si>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</si>
  <si>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</si>
  <si>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</si>
  <si>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</si>
  <si>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</si>
  <si>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</si>
  <si>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</si>
  <si>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</si>
  <si>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</si>
  <si>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</si>
  <si>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</si>
  <si>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</si>
  <si>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</si>
  <si>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</si>
  <si>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</si>
  <si>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</si>
  <si>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</si>
  <si>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</si>
  <si>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</si>
  <si>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</si>
  <si>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</si>
  <si>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</si>
  <si>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</si>
  <si>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</si>
  <si>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</si>
  <si>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</si>
  <si>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</si>
  <si>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</si>
  <si>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</si>
  <si>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</si>
  <si>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</si>
  <si>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</si>
  <si>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</si>
  <si>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</si>
  <si>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</si>
  <si>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</si>
  <si>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</si>
  <si>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</si>
  <si>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</si>
  <si>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</si>
  <si>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</si>
  <si>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</si>
  <si>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</si>
  <si>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</si>
  <si>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</si>
  <si>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</si>
  <si>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</si>
  <si>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</si>
  <si>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</si>
  <si>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</si>
  <si>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</si>
  <si>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</si>
  <si>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</si>
  <si>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</si>
  <si>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</si>
  <si>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</si>
  <si>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</si>
  <si>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</si>
  <si>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</si>
  <si>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</si>
  <si>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</si>
  <si>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</si>
  <si>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</si>
  <si>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</si>
  <si>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</si>
  <si>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</si>
  <si>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</si>
  <si>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</si>
  <si>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</si>
  <si>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</si>
  <si>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</si>
  <si>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</si>
  <si>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</si>
  <si>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</si>
  <si>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</si>
  <si>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</si>
  <si>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</si>
  <si>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</si>
  <si>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</si>
  <si>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</si>
  <si>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</si>
  <si>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</si>
  <si>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</si>
  <si>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</si>
  <si>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</si>
  <si>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</si>
  <si>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</si>
  <si>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</si>
  <si>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</si>
  <si>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</si>
  <si>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</si>
  <si>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</si>
  <si>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</si>
  <si>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</si>
  <si>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</si>
  <si>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</si>
  <si>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</si>
  <si>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</si>
  <si>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</si>
  <si>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</si>
  <si>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</si>
  <si>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</si>
  <si>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</si>
  <si>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</si>
  <si>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</si>
  <si>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</si>
  <si>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</si>
  <si>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</si>
  <si>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</si>
  <si>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</si>
  <si>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</si>
  <si>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</si>
  <si>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</si>
  <si>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</si>
  <si>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</si>
  <si>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</si>
  <si>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</si>
  <si>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</si>
  <si>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</si>
  <si>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</si>
  <si>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</si>
  <si>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</si>
  <si>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</si>
  <si>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</si>
  <si>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</si>
  <si>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</si>
  <si>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</si>
  <si>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</si>
  <si>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</si>
  <si>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</si>
  <si>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</si>
  <si>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</si>
  <si>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</si>
  <si>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</si>
  <si>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</si>
  <si>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</si>
  <si>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</si>
  <si>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</si>
  <si>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</si>
  <si>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</si>
  <si>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</si>
  <si>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</si>
  <si>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</si>
  <si>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</si>
  <si>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</si>
  <si>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</si>
  <si>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</si>
  <si>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</si>
  <si>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</si>
  <si>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</si>
  <si>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</si>
  <si>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</si>
  <si>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</si>
  <si>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</si>
  <si>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</si>
  <si>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</si>
  <si>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</si>
  <si>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</si>
  <si>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</si>
  <si>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</si>
  <si>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</si>
  <si>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</si>
  <si>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</si>
  <si>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</si>
  <si>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</si>
  <si>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</si>
  <si>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</si>
  <si>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</si>
  <si>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</si>
  <si>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</si>
  <si>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</si>
  <si>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</si>
  <si>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</si>
  <si>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</si>
  <si>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</si>
  <si>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</si>
  <si>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</si>
  <si>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</si>
  <si>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</si>
  <si>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</si>
  <si>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</si>
  <si>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</si>
  <si>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</si>
  <si>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</si>
  <si>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</si>
  <si>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</si>
  <si>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</si>
  <si>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</si>
  <si>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</si>
  <si>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</si>
  <si>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</si>
  <si>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</si>
  <si>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</si>
  <si>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</si>
  <si>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</si>
  <si>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</si>
  <si>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</si>
  <si>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</si>
  <si>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</si>
  <si>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</si>
  <si>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</si>
  <si>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</si>
  <si>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</si>
  <si>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</si>
  <si>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</si>
  <si>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</si>
  <si>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</si>
  <si>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</si>
  <si>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</si>
  <si>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</si>
  <si>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</si>
  <si>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</si>
  <si>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</si>
  <si>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</si>
  <si>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</si>
  <si>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</si>
  <si>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</si>
  <si>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</si>
  <si>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</si>
  <si>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</si>
  <si>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</si>
  <si>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</si>
  <si>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</si>
  <si>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</si>
  <si>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</si>
  <si>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</si>
  <si>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</si>
  <si>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</si>
  <si>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</si>
  <si>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</si>
  <si>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</si>
  <si>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</si>
  <si>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</si>
  <si>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</si>
  <si>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</si>
  <si>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</si>
  <si>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</si>
  <si>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</si>
  <si>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</si>
  <si>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</si>
  <si>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</si>
  <si>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</si>
  <si>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</si>
  <si>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</si>
  <si>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</si>
  <si>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</si>
  <si>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</si>
  <si>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</si>
  <si>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</si>
  <si>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</si>
  <si>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</si>
  <si>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</si>
  <si>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</si>
  <si>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</si>
  <si>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</si>
  <si>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</si>
  <si>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</si>
  <si>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</si>
  <si>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</si>
  <si>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</si>
  <si>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</si>
  <si>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</si>
  <si>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</si>
  <si>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</si>
  <si>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</si>
  <si>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</si>
  <si>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</si>
  <si>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</si>
  <si>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</si>
  <si>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</si>
  <si>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</si>
  <si>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</si>
  <si>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</si>
  <si>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</si>
  <si>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</si>
  <si>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</si>
  <si>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</si>
  <si>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</si>
  <si>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</si>
  <si>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</si>
  <si>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</si>
  <si>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</si>
  <si>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</si>
  <si>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</si>
  <si>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</si>
  <si>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</si>
  <si>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</si>
  <si>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</si>
  <si>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</si>
  <si>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</si>
  <si>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</si>
  <si>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</si>
  <si>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</si>
  <si>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</si>
  <si>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</si>
  <si>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</si>
  <si>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</si>
  <si>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</si>
  <si>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</si>
  <si>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</si>
  <si>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</si>
  <si>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</si>
  <si>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</si>
  <si>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</si>
  <si>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</si>
  <si>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</si>
  <si>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</si>
  <si>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</si>
  <si>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</si>
  <si>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</si>
  <si>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</si>
  <si>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</si>
  <si>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</si>
  <si>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</si>
  <si>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</si>
  <si>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</si>
  <si>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</si>
  <si>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</si>
  <si>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</si>
  <si>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</si>
  <si>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</si>
  <si>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</si>
  <si>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</si>
  <si>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</si>
  <si>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</si>
  <si>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</si>
  <si>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</si>
  <si>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</si>
  <si>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</si>
  <si>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</si>
  <si>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</si>
  <si>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</si>
  <si>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</si>
  <si>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</si>
  <si>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</si>
  <si>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</si>
  <si>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</si>
  <si>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</si>
  <si>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</si>
  <si>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</si>
  <si>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</si>
  <si>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</si>
  <si>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</si>
  <si>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</si>
  <si>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</si>
  <si>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</si>
  <si>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</si>
  <si>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</si>
  <si>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</si>
  <si>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</si>
  <si>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</si>
  <si>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</si>
  <si>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</si>
  <si>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</si>
  <si>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</si>
  <si>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</si>
  <si>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</si>
  <si>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</si>
  <si>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</si>
  <si>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</si>
  <si>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</si>
  <si>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</si>
  <si>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</si>
  <si>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</si>
  <si>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</si>
  <si>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</si>
  <si>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</si>
  <si>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</si>
  <si>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</si>
  <si>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</si>
  <si>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</si>
  <si>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</si>
  <si>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</si>
  <si>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</si>
  <si>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</si>
  <si>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</si>
  <si>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</si>
  <si>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</si>
  <si>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</si>
  <si>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</si>
  <si>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</si>
  <si>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</si>
  <si>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</si>
  <si>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</si>
  <si>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</si>
  <si>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</si>
  <si>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</si>
  <si>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</si>
  <si>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</si>
  <si>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</si>
  <si>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</si>
  <si>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</si>
  <si>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</si>
  <si>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</si>
  <si>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</si>
  <si>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</si>
  <si>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</si>
  <si>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</si>
  <si>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</si>
  <si>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</si>
  <si>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</si>
  <si>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</si>
  <si>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</si>
  <si>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</si>
  <si>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</si>
  <si>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</si>
  <si>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</si>
  <si>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</si>
  <si>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</si>
  <si>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</si>
  <si>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</si>
  <si>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</si>
  <si>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</si>
  <si>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</si>
  <si>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</si>
  <si>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</si>
  <si>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</si>
  <si>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</si>
  <si>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</si>
  <si>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</si>
  <si>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</si>
  <si>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</si>
  <si>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</si>
  <si>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</si>
  <si>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</si>
  <si>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</si>
  <si>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</si>
  <si>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</si>
  <si>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</si>
  <si>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</si>
  <si>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</si>
  <si>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</si>
  <si>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</si>
  <si>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</si>
  <si>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</si>
  <si>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</si>
  <si>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</si>
  <si>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</si>
  <si>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</si>
  <si>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</si>
  <si>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</si>
  <si>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</si>
  <si>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</si>
  <si>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</si>
  <si>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</si>
  <si>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</si>
  <si>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</si>
  <si>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</si>
  <si>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</si>
  <si>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</si>
  <si>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</si>
  <si>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</si>
  <si>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</si>
  <si>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</si>
  <si>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</si>
  <si>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</si>
  <si>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</si>
  <si>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</si>
  <si>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</si>
  <si>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</si>
  <si>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</si>
  <si>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</si>
  <si>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</si>
  <si>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</si>
  <si>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</si>
  <si>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</si>
  <si>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</si>
  <si>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</si>
  <si>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</si>
  <si>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</si>
  <si>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</si>
  <si>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</si>
  <si>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</si>
  <si>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</si>
  <si>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</si>
  <si>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</si>
  <si>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</si>
  <si>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</si>
  <si>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</si>
  <si>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</si>
  <si>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</si>
  <si>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</si>
  <si>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</si>
  <si>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</si>
  <si>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</si>
  <si>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</si>
  <si>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</si>
  <si>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</si>
  <si>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</si>
  <si>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</si>
  <si>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</si>
  <si>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</si>
  <si>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</si>
  <si>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</si>
  <si>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</si>
  <si>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</si>
  <si>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</si>
  <si>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</si>
  <si>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</si>
  <si>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</si>
  <si>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</si>
  <si>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</si>
  <si>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</si>
  <si>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</si>
  <si>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</si>
  <si>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</si>
  <si>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</si>
  <si>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</si>
  <si>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</si>
  <si>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</si>
  <si>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</si>
  <si>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</si>
  <si>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</si>
  <si>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</si>
  <si>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</si>
  <si>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</si>
  <si>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</si>
  <si>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</si>
  <si>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</si>
  <si>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</si>
  <si>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</si>
  <si>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</si>
  <si>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</si>
  <si>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</si>
  <si>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</si>
  <si>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</si>
  <si>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</si>
  <si>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</si>
  <si>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</si>
  <si>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</si>
  <si>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</si>
  <si>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</si>
  <si>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</si>
  <si>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</si>
  <si>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</si>
  <si>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</si>
  <si>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</si>
  <si>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</si>
  <si>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</si>
  <si>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</si>
  <si>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</si>
  <si>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</si>
  <si>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</si>
  <si>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</si>
  <si>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</si>
  <si>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</si>
  <si>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</si>
  <si>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</si>
  <si>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</si>
  <si>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</si>
  <si>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</si>
  <si>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</si>
  <si>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</si>
  <si>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</si>
  <si>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</si>
  <si>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</si>
  <si>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</si>
  <si>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</si>
  <si>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</si>
  <si>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</si>
  <si>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</si>
  <si>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</si>
  <si>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</si>
  <si>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</si>
  <si>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</si>
  <si>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</si>
  <si>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</si>
  <si>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</si>
  <si>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</si>
  <si>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</si>
  <si>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</si>
  <si>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</si>
  <si>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</si>
  <si>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</si>
  <si>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</si>
  <si>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</si>
  <si>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</si>
  <si>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</si>
  <si>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</si>
  <si>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</si>
  <si>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</si>
  <si>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</si>
  <si>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</si>
  <si>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</si>
  <si>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</si>
  <si>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</si>
  <si>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</si>
  <si>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</si>
  <si>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</si>
  <si>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</si>
  <si>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</si>
  <si>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</si>
  <si>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</si>
  <si>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</si>
  <si>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</si>
  <si>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</si>
  <si>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</si>
  <si>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</si>
  <si>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</si>
  <si>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</si>
  <si>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</si>
  <si>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</si>
  <si>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</si>
  <si>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</si>
  <si>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</si>
  <si>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</si>
  <si>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</si>
  <si>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</si>
  <si>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</si>
  <si>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</si>
  <si>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</si>
  <si>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</si>
  <si>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</si>
  <si>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</si>
  <si>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</si>
  <si>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</si>
  <si>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</si>
  <si>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</si>
  <si>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</si>
  <si>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</si>
  <si>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</si>
  <si>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</si>
  <si>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</si>
  <si>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</si>
  <si>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</si>
  <si>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</si>
  <si>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</si>
  <si>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</si>
  <si>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</si>
  <si>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</si>
  <si>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</si>
  <si>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</si>
  <si>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</si>
  <si>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</si>
  <si>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</si>
  <si>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</si>
  <si>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</si>
  <si>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</si>
  <si>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</si>
  <si>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</si>
  <si>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</si>
  <si>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</si>
  <si>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</si>
  <si>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</si>
  <si>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</si>
  <si>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</si>
  <si>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</si>
  <si>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</si>
  <si>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</si>
  <si>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</si>
  <si>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</si>
  <si>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</si>
  <si>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</si>
  <si>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</si>
  <si>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</si>
  <si>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</si>
  <si>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</si>
  <si>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</si>
  <si>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</si>
  <si>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</si>
  <si>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</si>
  <si>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</si>
  <si>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</si>
  <si>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</si>
  <si>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</si>
  <si>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</si>
  <si>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</si>
  <si>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</si>
  <si>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</si>
  <si>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</si>
  <si>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</si>
  <si>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</si>
  <si>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</si>
  <si>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</si>
  <si>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</si>
  <si>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</si>
  <si>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</si>
  <si>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</si>
  <si>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</si>
  <si>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</si>
  <si>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</si>
  <si>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</si>
  <si>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</si>
  <si>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</si>
  <si>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</si>
  <si>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</si>
  <si>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</si>
  <si>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</si>
  <si>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</si>
  <si>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</si>
  <si>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</si>
  <si>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</si>
  <si>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</si>
  <si>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</si>
  <si>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</si>
  <si>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</si>
  <si>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</si>
  <si>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</si>
  <si>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</si>
  <si>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</si>
  <si>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</si>
  <si>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</si>
  <si>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</si>
  <si>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</si>
  <si>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</si>
  <si>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</si>
  <si>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</si>
  <si>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</si>
  <si>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</si>
  <si>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</si>
  <si>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</si>
  <si>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</si>
  <si>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</si>
  <si>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</si>
  <si>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</si>
  <si>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</si>
  <si>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</si>
  <si>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</si>
  <si>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</si>
  <si>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</si>
  <si>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</si>
  <si>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</si>
  <si>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</si>
  <si>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</si>
  <si>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</si>
  <si>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</si>
  <si>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</si>
  <si>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</si>
  <si>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</si>
  <si>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</si>
  <si>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</si>
  <si>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</si>
  <si>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</si>
  <si>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</si>
  <si>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</si>
  <si>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</si>
  <si>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</si>
  <si>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</si>
  <si>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</si>
  <si>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</si>
  <si>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</si>
  <si>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</si>
  <si>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</si>
  <si>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</si>
  <si>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</si>
  <si>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</si>
  <si>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</si>
  <si>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</si>
  <si>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</si>
  <si>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</si>
  <si>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</si>
  <si>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</si>
  <si>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</si>
  <si>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</si>
  <si>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</si>
  <si>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</si>
  <si>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</si>
  <si>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</si>
  <si>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</si>
  <si>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</si>
  <si>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</si>
  <si>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</si>
  <si>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</si>
  <si>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</si>
  <si>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</si>
  <si>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</si>
  <si>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</si>
  <si>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</si>
  <si>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</si>
  <si>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</si>
  <si>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</si>
  <si>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</si>
  <si>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</si>
  <si>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</si>
  <si>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</si>
  <si>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</si>
  <si>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</si>
  <si>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</si>
  <si>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</si>
  <si>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</si>
  <si>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</si>
  <si>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</si>
  <si>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</si>
  <si>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</si>
  <si>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</si>
  <si>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</si>
  <si>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</si>
  <si>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</si>
  <si>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</si>
  <si>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</si>
  <si>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</si>
  <si>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</si>
  <si>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</si>
  <si>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</si>
  <si>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</si>
  <si>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</si>
  <si>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</si>
  <si>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</si>
  <si>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</si>
  <si>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</si>
  <si>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</si>
  <si>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</si>
  <si>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</si>
  <si>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</si>
  <si>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</si>
  <si>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</si>
  <si>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</si>
  <si>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</si>
  <si>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</si>
  <si>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</si>
  <si>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</si>
  <si>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</si>
  <si>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</si>
  <si>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</si>
  <si>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</si>
  <si>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</si>
  <si>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</si>
  <si>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</si>
  <si>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</si>
  <si>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</si>
  <si>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</si>
  <si>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</si>
  <si>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</si>
  <si>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</si>
  <si>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</si>
  <si>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</si>
  <si>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</si>
  <si>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</si>
  <si>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</si>
  <si>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</si>
  <si>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</si>
  <si>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</si>
  <si>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</si>
  <si>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</si>
  <si>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</si>
  <si>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</si>
  <si>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</si>
  <si>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</si>
  <si>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</si>
  <si>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</si>
  <si>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</si>
  <si>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</si>
  <si>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</si>
  <si>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</si>
  <si>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</si>
  <si>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</si>
  <si>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</si>
  <si>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</si>
  <si>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</si>
  <si>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</si>
  <si>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</si>
  <si>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</si>
  <si>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</si>
  <si>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</si>
  <si>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</si>
  <si>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</si>
  <si>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</si>
  <si>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</si>
  <si>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</si>
  <si>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</si>
  <si>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</si>
  <si>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</si>
  <si>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</si>
  <si>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</si>
  <si>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</si>
  <si>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</si>
  <si>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</si>
  <si>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</si>
  <si>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</si>
  <si>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</si>
  <si>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</si>
  <si>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</si>
  <si>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</si>
  <si>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</si>
  <si>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</si>
  <si>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</si>
  <si>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</si>
  <si>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</si>
  <si>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</si>
  <si>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</si>
  <si>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</si>
  <si>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</si>
  <si>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</si>
  <si>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</si>
  <si>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</si>
  <si>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</si>
  <si>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</si>
  <si>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</si>
  <si>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</si>
  <si>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</si>
  <si>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</si>
  <si>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</si>
  <si>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</si>
  <si>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</si>
  <si>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</si>
  <si>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</si>
  <si>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</si>
  <si>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</si>
  <si>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</si>
  <si>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</si>
  <si>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</si>
  <si>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</si>
  <si>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</si>
  <si>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</si>
  <si>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</si>
  <si>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</si>
  <si>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</si>
  <si>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</si>
  <si>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</si>
  <si>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</si>
  <si>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</si>
  <si>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</si>
  <si>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</si>
  <si>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</si>
  <si>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</si>
  <si>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</si>
  <si>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</si>
  <si>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</si>
  <si>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</si>
  <si>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</si>
  <si>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</si>
  <si>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</si>
  <si>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</si>
  <si>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</si>
  <si>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</si>
  <si>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</si>
  <si>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</si>
  <si>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</si>
  <si>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</si>
  <si>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</si>
  <si>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</si>
  <si>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</si>
  <si>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</si>
  <si>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</si>
  <si>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</si>
  <si>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</si>
  <si>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</si>
  <si>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</si>
  <si>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</si>
  <si>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</si>
  <si>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</si>
  <si>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</si>
  <si>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</si>
  <si>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</si>
  <si>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</si>
  <si>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</si>
  <si>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</si>
  <si>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</si>
  <si>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</si>
  <si>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</si>
  <si>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</si>
  <si>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</si>
  <si>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</si>
  <si>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</si>
  <si>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</si>
  <si>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</si>
  <si>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</si>
  <si>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</si>
  <si>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</si>
  <si>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</si>
  <si>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</si>
  <si>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</si>
  <si>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</si>
  <si>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</si>
  <si>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</si>
  <si>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</si>
  <si>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</si>
  <si>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</si>
  <si>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</si>
  <si>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</si>
  <si>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</si>
  <si>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</si>
  <si>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</si>
  <si>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</si>
  <si>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</si>
  <si>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</si>
  <si>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</si>
  <si>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</si>
  <si>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</si>
  <si>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</si>
  <si>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</si>
  <si>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</si>
  <si>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</si>
  <si>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</si>
  <si>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</si>
  <si>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</si>
  <si>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</si>
  <si>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</si>
  <si>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</si>
  <si>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</si>
  <si>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</si>
  <si>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</si>
  <si>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</si>
  <si>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</si>
  <si>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</si>
  <si>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</si>
  <si>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</si>
  <si>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</si>
  <si>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</si>
  <si>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</si>
  <si>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</si>
  <si>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</si>
  <si>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</si>
  <si>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</si>
  <si>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</si>
  <si>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</si>
  <si>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</si>
  <si>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</si>
  <si>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</si>
  <si>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</si>
  <si>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</si>
  <si>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</si>
  <si>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</si>
  <si>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</si>
  <si>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</si>
  <si>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</si>
  <si>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</si>
  <si>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</si>
  <si>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</si>
  <si>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</si>
  <si>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</si>
  <si>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</si>
  <si>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</si>
  <si>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</si>
  <si>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</si>
  <si>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</si>
  <si>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</si>
  <si>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</si>
  <si>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</si>
  <si>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</si>
  <si>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</si>
  <si>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</si>
  <si>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</si>
  <si>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</si>
  <si>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</si>
  <si>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</si>
  <si>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</si>
  <si>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</si>
  <si>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</si>
  <si>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</si>
  <si>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</si>
  <si>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</si>
  <si>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</si>
  <si>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</si>
  <si>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</si>
  <si>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</si>
  <si>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</si>
  <si>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</si>
  <si>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</si>
  <si>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</si>
  <si>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</si>
  <si>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</si>
  <si>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</si>
  <si>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</si>
  <si>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</si>
  <si>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</si>
  <si>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</si>
  <si>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</si>
  <si>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</si>
  <si>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</si>
  <si>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</si>
  <si>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</si>
  <si>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</si>
  <si>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</si>
  <si>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</si>
  <si>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</si>
  <si>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</si>
  <si>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</si>
  <si>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</si>
  <si>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</si>
  <si>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</si>
  <si>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</si>
  <si>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</si>
  <si>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</si>
  <si>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</si>
  <si>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</si>
  <si>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</si>
  <si>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</si>
  <si>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</si>
  <si>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</si>
  <si>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</si>
  <si>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</si>
  <si>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</si>
  <si>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</si>
  <si>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</si>
  <si>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</si>
  <si>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</si>
  <si>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</si>
  <si>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</si>
  <si>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</si>
  <si>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</si>
  <si>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</si>
  <si>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</si>
  <si>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</si>
  <si>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</si>
  <si>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</si>
  <si>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</si>
  <si>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</si>
  <si>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</si>
  <si>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</si>
  <si>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</si>
  <si>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</si>
  <si>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</si>
  <si>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</si>
  <si>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</si>
  <si>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</si>
  <si>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</si>
  <si>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</si>
  <si>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</si>
  <si>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</si>
  <si>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</si>
  <si>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</si>
  <si>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</si>
  <si>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</si>
  <si>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</si>
  <si>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</si>
  <si>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</si>
  <si>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</si>
  <si>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</si>
  <si>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</si>
  <si>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</si>
  <si>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</si>
  <si>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</si>
  <si>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</si>
  <si>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</si>
  <si>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</si>
  <si>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</si>
  <si>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</si>
  <si>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</si>
  <si>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</si>
  <si>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</si>
  <si>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</si>
  <si>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</si>
  <si>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</si>
  <si>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</si>
  <si>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</si>
  <si>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</si>
  <si>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</si>
  <si>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</si>
  <si>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</si>
  <si>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</si>
  <si>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</si>
  <si>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</si>
  <si>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</si>
  <si>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</si>
  <si>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</si>
  <si>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</si>
  <si>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</si>
  <si>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</si>
  <si>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</si>
  <si>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</si>
  <si>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</si>
  <si>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</si>
  <si>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</si>
  <si>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</si>
  <si>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</si>
  <si>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</si>
  <si>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</si>
  <si>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</si>
  <si>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</si>
  <si>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</si>
  <si>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</si>
  <si>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</si>
  <si>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</si>
  <si>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</si>
  <si>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</si>
  <si>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</si>
  <si>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</si>
  <si>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</si>
  <si>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</si>
  <si>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</si>
  <si>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</si>
  <si>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</si>
  <si>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</si>
  <si>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</si>
  <si>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</si>
  <si>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</si>
  <si>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</si>
  <si>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</si>
  <si>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</si>
  <si>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</si>
  <si>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</si>
  <si>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</si>
  <si>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</si>
  <si>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</si>
  <si>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</si>
  <si>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</si>
  <si>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</si>
  <si>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</si>
  <si>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</si>
  <si>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</si>
  <si>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</si>
  <si>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</si>
  <si>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</si>
  <si>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</si>
  <si>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</si>
  <si>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</si>
  <si>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</si>
  <si>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</si>
  <si>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</si>
  <si>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</si>
  <si>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</si>
  <si>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</si>
  <si>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</si>
  <si>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</si>
  <si>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</si>
  <si>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</si>
  <si>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</si>
  <si>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</si>
  <si>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</si>
  <si>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</si>
  <si>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</si>
  <si>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</si>
  <si>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</si>
  <si>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</si>
  <si>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</si>
  <si>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</si>
  <si>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</si>
  <si>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</si>
  <si>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</si>
  <si>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</si>
  <si>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</si>
  <si>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</si>
  <si>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</si>
  <si>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</si>
  <si>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</si>
  <si>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</si>
  <si>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</si>
  <si>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</si>
  <si>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</si>
  <si>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</si>
  <si>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</si>
  <si>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</si>
  <si>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</si>
  <si>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</si>
  <si>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</si>
  <si>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</si>
  <si>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</si>
  <si>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</si>
  <si>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</si>
  <si>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</si>
  <si>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</si>
  <si>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</si>
  <si>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</si>
  <si>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</si>
  <si>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</si>
  <si>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</si>
  <si>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</si>
  <si>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</si>
  <si>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</si>
  <si>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</si>
  <si>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</si>
  <si>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</si>
  <si>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</si>
  <si>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</si>
  <si>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</si>
  <si>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</si>
  <si>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</si>
  <si>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</si>
  <si>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</si>
  <si>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</si>
  <si>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</si>
  <si>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</si>
  <si>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</si>
  <si>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</si>
  <si>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</si>
  <si>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</si>
  <si>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</si>
  <si>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</si>
  <si>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</si>
  <si>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</si>
  <si>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</si>
  <si>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</si>
  <si>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</si>
  <si>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</si>
  <si>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</si>
  <si>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</si>
  <si>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</si>
  <si>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</si>
  <si>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</si>
  <si>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</si>
  <si>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</si>
  <si>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</si>
  <si>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</si>
  <si>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</si>
  <si>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</si>
  <si>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</si>
  <si>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</si>
  <si>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</si>
  <si>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</si>
  <si>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</si>
  <si>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</si>
  <si>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</si>
  <si>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</si>
  <si>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</si>
  <si>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</si>
  <si>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</si>
  <si>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</si>
  <si>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</si>
  <si>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</si>
  <si>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</si>
  <si>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</si>
  <si>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</si>
  <si>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</si>
  <si>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</si>
  <si>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</si>
  <si>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</si>
  <si>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</si>
  <si>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</si>
  <si>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</si>
  <si>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</si>
  <si>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</si>
  <si>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</si>
  <si>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</si>
  <si>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</si>
  <si>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</si>
  <si>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</si>
  <si>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</si>
  <si>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</si>
  <si>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</si>
  <si>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</si>
  <si>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</si>
  <si>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</si>
  <si>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</si>
  <si>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</si>
  <si>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</si>
  <si>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</si>
  <si>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</si>
  <si>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</si>
  <si>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</si>
  <si>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</si>
  <si>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</si>
  <si>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</si>
  <si>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</si>
  <si>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</si>
  <si>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</si>
  <si>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</si>
  <si>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</si>
  <si>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</si>
  <si>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</si>
  <si>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</si>
  <si>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</si>
  <si>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</si>
  <si>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</si>
  <si>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</si>
  <si>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</si>
  <si>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</si>
  <si>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</si>
  <si>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</si>
  <si>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</si>
  <si>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</si>
  <si>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</si>
  <si>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</si>
  <si>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</si>
  <si>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</si>
  <si>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</si>
  <si>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</si>
  <si>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</si>
  <si>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</si>
  <si>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</si>
  <si>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</si>
  <si>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</si>
  <si>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</si>
  <si>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</si>
  <si>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</si>
  <si>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</si>
  <si>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</si>
  <si>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</si>
  <si>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</si>
  <si>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</si>
  <si>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</si>
  <si>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</si>
  <si>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</si>
  <si>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</si>
  <si>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</si>
  <si>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</si>
  <si>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</si>
  <si>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</si>
  <si>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</si>
  <si>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</si>
  <si>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</si>
  <si>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</si>
  <si>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</si>
  <si>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</si>
  <si>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</si>
  <si>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</si>
  <si>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</si>
  <si>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</si>
  <si>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</si>
  <si>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</si>
  <si>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</si>
  <si>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</si>
  <si>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</si>
  <si>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</si>
  <si>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</si>
  <si>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</si>
  <si>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</si>
  <si>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</si>
  <si>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</si>
  <si>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</si>
  <si>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</si>
  <si>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</si>
  <si>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</si>
  <si>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</si>
  <si>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</si>
  <si>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</si>
  <si>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</si>
  <si>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</si>
  <si>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</si>
  <si>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</si>
  <si>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</si>
  <si>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</si>
  <si>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</si>
  <si>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</si>
  <si>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</si>
  <si>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</si>
  <si>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</si>
  <si>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</si>
  <si>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</si>
  <si>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</si>
  <si>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</si>
  <si>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</si>
  <si>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</si>
  <si>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</si>
  <si>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</si>
  <si>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</si>
  <si>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</si>
  <si>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</si>
  <si>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</si>
  <si>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</si>
  <si>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</si>
  <si>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</si>
  <si>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</si>
  <si>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</si>
  <si>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</si>
  <si>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</si>
  <si>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</si>
  <si>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</si>
  <si>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</si>
  <si>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</si>
  <si>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</si>
  <si>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</si>
  <si>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</si>
  <si>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</si>
  <si>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</si>
  <si>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</si>
  <si>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</si>
  <si>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</si>
  <si>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</si>
  <si>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</si>
  <si>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</si>
  <si>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</si>
  <si>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</si>
  <si>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</si>
  <si>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</si>
  <si>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</si>
  <si>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</si>
  <si>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</si>
  <si>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</si>
  <si>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</si>
  <si>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</si>
  <si>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</si>
  <si>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</si>
  <si>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</si>
  <si>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</si>
  <si>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</si>
  <si>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</si>
  <si>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</si>
  <si>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</si>
  <si>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</si>
  <si>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</si>
  <si>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</si>
  <si>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</si>
  <si>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</si>
  <si>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</si>
  <si>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</si>
  <si>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</si>
  <si>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</si>
  <si>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</si>
  <si>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</si>
  <si>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</si>
  <si>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</si>
  <si>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</si>
  <si>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</si>
  <si>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</si>
  <si>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</si>
  <si>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</si>
  <si>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</si>
  <si>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</si>
  <si>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</si>
  <si>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</si>
  <si>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</si>
  <si>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</si>
  <si>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</si>
  <si>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</si>
  <si>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</si>
  <si>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</si>
  <si>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</si>
  <si>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</si>
  <si>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</si>
  <si>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</si>
  <si>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</si>
  <si>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</si>
  <si>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</si>
  <si>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</si>
  <si>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</si>
  <si>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</si>
  <si>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</si>
  <si>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</si>
  <si>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</si>
  <si>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</si>
  <si>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</si>
  <si>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</si>
  <si>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</si>
  <si>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</si>
  <si>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</si>
  <si>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</si>
  <si>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</si>
  <si>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</si>
  <si>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</si>
  <si>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</si>
  <si>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</si>
  <si>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</si>
  <si>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</si>
  <si>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</si>
  <si>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</si>
  <si>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</si>
  <si>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</si>
  <si>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</si>
  <si>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</si>
  <si>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</si>
  <si>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</si>
  <si>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</si>
  <si>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</si>
  <si>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</si>
  <si>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</si>
  <si>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</si>
  <si>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</si>
  <si>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</si>
  <si>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</si>
  <si>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</si>
  <si>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</si>
  <si>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</si>
  <si>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</si>
  <si>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</si>
  <si>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</si>
  <si>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</si>
  <si>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</si>
  <si>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</si>
  <si>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</si>
  <si>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</si>
  <si>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</si>
  <si>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</si>
  <si>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</si>
  <si>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</si>
  <si>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</si>
  <si>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</si>
  <si>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</si>
  <si>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</si>
  <si>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</si>
  <si>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</si>
  <si>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</si>
  <si>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</si>
  <si>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</si>
  <si>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</si>
  <si>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</si>
  <si>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</si>
  <si>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</si>
  <si>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</si>
  <si>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</si>
  <si>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</si>
  <si>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</si>
  <si>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</si>
  <si>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</si>
  <si>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</si>
  <si>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</si>
  <si>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</si>
  <si>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</si>
  <si>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</si>
  <si>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</si>
  <si>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</si>
  <si>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</si>
  <si>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</si>
  <si>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</si>
  <si>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</si>
  <si>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</si>
  <si>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</si>
  <si>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</si>
  <si>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</si>
  <si>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</si>
  <si>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</si>
  <si>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</si>
  <si>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</si>
  <si>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</si>
  <si>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</si>
  <si>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</si>
  <si>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</si>
  <si>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</si>
  <si>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</si>
  <si>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</si>
  <si>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</si>
  <si>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</si>
  <si>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</si>
  <si>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</si>
  <si>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</si>
  <si>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</si>
  <si>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</si>
  <si>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</si>
  <si>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</si>
  <si>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</si>
  <si>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</si>
  <si>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</si>
  <si>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</si>
  <si>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</si>
  <si>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</si>
  <si>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</si>
  <si>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</si>
  <si>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</si>
  <si>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</si>
  <si>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</si>
  <si>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</si>
  <si>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</si>
  <si>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</si>
  <si>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</si>
  <si>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</si>
  <si>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</si>
  <si>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</si>
  <si>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</si>
  <si>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</si>
  <si>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</si>
  <si>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</si>
  <si>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</si>
  <si>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</si>
  <si>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</si>
  <si>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</si>
  <si>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</si>
  <si>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</si>
  <si>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</si>
  <si>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</si>
  <si>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</si>
  <si>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</si>
  <si>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</si>
  <si>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</si>
  <si>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</si>
  <si>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</si>
  <si>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</si>
  <si>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</si>
  <si>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</si>
  <si>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</si>
  <si>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</si>
  <si>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</si>
  <si>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</si>
  <si>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</si>
  <si>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</si>
  <si>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</si>
  <si>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</si>
  <si>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</si>
  <si>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</si>
  <si>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</si>
  <si>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</si>
  <si>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</si>
  <si>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</si>
  <si>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</si>
  <si>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</si>
  <si>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</si>
  <si>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</si>
  <si>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</si>
  <si>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</si>
  <si>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</si>
  <si>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</si>
  <si>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</si>
  <si>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</si>
  <si>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</si>
  <si>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</si>
  <si>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</si>
  <si>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</si>
  <si>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</si>
  <si>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</si>
  <si>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</si>
  <si>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</si>
  <si>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</si>
  <si>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</si>
  <si>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</si>
  <si>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</si>
  <si>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</si>
  <si>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</si>
  <si>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</si>
  <si>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</si>
  <si>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</si>
  <si>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</si>
  <si>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</si>
  <si>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</si>
  <si>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</si>
  <si>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</si>
  <si>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</si>
  <si>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</si>
  <si>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</si>
  <si>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</si>
  <si>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</si>
  <si>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</si>
  <si>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</si>
  <si>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</si>
  <si>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</si>
  <si>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</si>
  <si>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</si>
  <si>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</si>
  <si>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</si>
  <si>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</si>
  <si>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</si>
  <si>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</si>
  <si>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</si>
  <si>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</si>
  <si>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</si>
  <si>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</si>
  <si>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</si>
  <si>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</si>
  <si>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</si>
  <si>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</si>
  <si>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</si>
  <si>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</si>
  <si>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</si>
  <si>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</si>
  <si>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</si>
  <si>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</si>
  <si>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</si>
  <si>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</si>
  <si>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</si>
  <si>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</si>
  <si>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</si>
  <si>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</si>
  <si>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</si>
  <si>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</si>
  <si>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</si>
  <si>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</si>
  <si>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</si>
  <si>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</si>
  <si>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</si>
  <si>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</si>
  <si>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</si>
  <si>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</si>
  <si>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</si>
  <si>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</si>
  <si>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</si>
  <si>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</si>
  <si>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</si>
  <si>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</si>
  <si>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</si>
  <si>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</si>
  <si>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</si>
  <si>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</si>
  <si>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</si>
  <si>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</si>
  <si>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</si>
  <si>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</si>
  <si>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</si>
  <si>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</si>
  <si>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</si>
  <si>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</si>
  <si>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</si>
  <si>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</si>
  <si>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</si>
  <si>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</si>
  <si>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</si>
  <si>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</si>
  <si>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</si>
  <si>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</si>
  <si>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</si>
  <si>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</si>
  <si>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</si>
  <si>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</si>
  <si>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</si>
  <si>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</si>
  <si>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</si>
  <si>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</si>
  <si>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</si>
  <si>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</si>
  <si>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</si>
  <si>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</si>
  <si>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</si>
  <si>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</si>
  <si>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</si>
  <si>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</si>
  <si>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</si>
  <si>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</si>
  <si>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</si>
  <si>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</si>
  <si>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</si>
  <si>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</si>
  <si>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</si>
  <si>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</si>
  <si>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</si>
  <si>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</si>
  <si>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</si>
  <si>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</si>
  <si>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</si>
  <si>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</si>
  <si>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</si>
  <si>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</si>
  <si>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</si>
  <si>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</si>
  <si>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</si>
  <si>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</si>
  <si>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</si>
  <si>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</si>
  <si>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</si>
  <si>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</si>
  <si>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</si>
  <si>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</si>
  <si>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</si>
  <si>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</si>
  <si>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</si>
  <si>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</si>
  <si>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</si>
  <si>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</si>
  <si>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</si>
  <si>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</si>
  <si>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</si>
  <si>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</si>
  <si>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</si>
  <si>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</si>
  <si>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</si>
  <si>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</si>
  <si>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</si>
  <si>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</si>
  <si>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</si>
  <si>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</si>
  <si>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</si>
  <si>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</si>
  <si>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</si>
  <si>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</si>
  <si>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</si>
  <si>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</si>
  <si>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</si>
  <si>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</si>
  <si>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</si>
  <si>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</si>
  <si>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</si>
  <si>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</si>
  <si>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</si>
  <si>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</si>
  <si>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</si>
  <si>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</si>
  <si>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</si>
  <si>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</si>
  <si>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</si>
  <si>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</si>
  <si>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</si>
  <si>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</si>
  <si>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</si>
  <si>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</si>
  <si>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</si>
  <si>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</si>
  <si>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</si>
  <si>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</si>
  <si>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</si>
  <si>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</si>
  <si>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</si>
  <si>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</si>
  <si>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</si>
  <si>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</si>
  <si>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</si>
  <si>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</si>
  <si>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</si>
  <si>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</si>
  <si>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</si>
  <si>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</si>
  <si>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</si>
  <si>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</si>
  <si>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</si>
  <si>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</si>
  <si>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</si>
  <si>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</si>
  <si>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</si>
  <si>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</si>
  <si>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</si>
  <si>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</si>
  <si>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</si>
  <si>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</si>
  <si>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</si>
  <si>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</si>
  <si>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</si>
  <si>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</si>
  <si>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</si>
  <si>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</si>
  <si>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</si>
  <si>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</si>
  <si>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</si>
  <si>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</si>
  <si>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</si>
  <si>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</si>
  <si>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</si>
  <si>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</si>
  <si>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</si>
  <si>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</si>
  <si>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</si>
  <si>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</si>
  <si>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</si>
  <si>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</si>
  <si>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</si>
  <si>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</si>
  <si>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</si>
  <si>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</si>
  <si>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</si>
  <si>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</si>
  <si>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</si>
  <si>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</si>
  <si>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</si>
  <si>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</si>
  <si>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</si>
  <si>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</si>
  <si>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</si>
  <si>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</si>
  <si>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</si>
  <si>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</si>
  <si>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</si>
  <si>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</si>
  <si>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</si>
  <si>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</si>
  <si>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</si>
  <si>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</si>
  <si>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</si>
  <si>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</si>
  <si>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</si>
  <si>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</si>
  <si>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</si>
  <si>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</si>
  <si>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</si>
  <si>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</si>
  <si>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</si>
  <si>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</si>
  <si>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</si>
  <si>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</si>
  <si>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</si>
  <si>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</si>
  <si>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</si>
  <si>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</si>
  <si>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</si>
  <si>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</si>
  <si>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</si>
  <si>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</si>
  <si>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</si>
  <si>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</si>
  <si>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</si>
  <si>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</si>
  <si>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</si>
  <si>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</si>
  <si>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</si>
  <si>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</si>
  <si>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</si>
  <si>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</si>
  <si>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</si>
  <si>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</si>
  <si>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</si>
  <si>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</si>
  <si>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</si>
  <si>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</si>
  <si>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</si>
  <si>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</si>
  <si>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</si>
  <si>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</si>
  <si>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</si>
  <si>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</si>
  <si>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</si>
  <si>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</si>
  <si>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</si>
  <si>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</si>
  <si>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</si>
  <si>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</si>
  <si>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</si>
  <si>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</si>
  <si>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</si>
  <si>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</si>
  <si>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</si>
  <si>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</si>
  <si>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</si>
  <si>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</si>
  <si>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</si>
  <si>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</si>
  <si>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</si>
  <si>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</si>
  <si>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</si>
  <si>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</si>
  <si>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</si>
  <si>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</si>
  <si>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</si>
  <si>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</si>
  <si>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</si>
  <si>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</si>
  <si>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</si>
  <si>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</si>
  <si>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</si>
  <si>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</si>
  <si>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</si>
  <si>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</si>
  <si>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</si>
  <si>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</si>
  <si>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</si>
  <si>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</si>
  <si>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</si>
  <si>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</si>
  <si>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</si>
  <si>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</si>
  <si>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</si>
  <si>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</si>
  <si>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</si>
  <si>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</si>
  <si>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</si>
  <si>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</si>
  <si>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</si>
  <si>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</si>
  <si>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</si>
  <si>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</si>
  <si>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</si>
  <si>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</si>
  <si>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</si>
  <si>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</si>
  <si>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</si>
  <si>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</si>
  <si>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</si>
  <si>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</si>
  <si>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</si>
  <si>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</si>
  <si>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</si>
  <si>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</si>
  <si>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</si>
  <si>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</si>
  <si>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</si>
  <si>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</si>
  <si>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</si>
  <si>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</si>
  <si>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</si>
  <si>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</si>
  <si>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</si>
  <si>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</si>
  <si>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</si>
  <si>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</si>
  <si>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</si>
  <si>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</si>
  <si>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</si>
  <si>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</si>
  <si>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</si>
  <si>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</si>
  <si>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</si>
  <si>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</si>
  <si>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</si>
  <si>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</si>
  <si>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</si>
  <si>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</si>
  <si>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</si>
  <si>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</si>
  <si>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</si>
  <si>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</si>
  <si>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</si>
  <si>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</si>
  <si>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</si>
  <si>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</si>
  <si>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</si>
  <si>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</si>
  <si>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</si>
  <si>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</si>
  <si>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</si>
  <si>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</si>
  <si>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</si>
  <si>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</si>
  <si>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</si>
  <si>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</si>
  <si>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</si>
  <si>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</si>
  <si>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</si>
  <si>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</si>
  <si>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</si>
  <si>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</si>
  <si>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</si>
  <si>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</si>
  <si>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</si>
  <si>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</si>
  <si>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</si>
  <si>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</si>
  <si>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</si>
  <si>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</si>
  <si>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</si>
  <si>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</si>
  <si>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</si>
  <si>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</si>
  <si>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</si>
  <si>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</si>
  <si>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</si>
  <si>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</si>
  <si>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</si>
  <si>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</si>
  <si>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</si>
  <si>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</si>
  <si>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</si>
  <si>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</si>
  <si>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</si>
  <si>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</si>
  <si>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</si>
  <si>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</si>
  <si>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</si>
  <si>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</si>
  <si>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</si>
  <si>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</si>
  <si>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</si>
  <si>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</si>
  <si>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</si>
  <si>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</si>
  <si>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</si>
  <si>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</si>
  <si>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</si>
  <si>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</si>
  <si>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</si>
  <si>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</si>
  <si>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</si>
  <si>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</si>
  <si>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</si>
  <si>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</si>
  <si>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</si>
  <si>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</si>
  <si>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</si>
  <si>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</si>
  <si>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</si>
  <si>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</si>
  <si>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</si>
  <si>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</si>
  <si>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</si>
  <si>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</si>
  <si>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</si>
  <si>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</si>
  <si>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</si>
  <si>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</si>
  <si>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</si>
  <si>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</si>
  <si>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</si>
  <si>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</si>
  <si>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</si>
  <si>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</si>
  <si>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</si>
  <si>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</si>
  <si>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</si>
  <si>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</si>
  <si>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</si>
  <si>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</si>
  <si>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</si>
  <si>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</si>
  <si>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</si>
  <si>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</si>
  <si>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</si>
  <si>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</si>
  <si>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</si>
  <si>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</si>
  <si>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</si>
  <si>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</si>
  <si>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</si>
  <si>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</si>
  <si>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</si>
  <si>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</si>
  <si>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</si>
  <si>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</si>
  <si>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</si>
  <si>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</si>
  <si>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</si>
  <si>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</si>
  <si>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</si>
  <si>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</si>
  <si>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</si>
  <si>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</si>
  <si>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</si>
  <si>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</si>
  <si>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</si>
  <si>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</si>
  <si>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</si>
  <si>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</si>
  <si>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</si>
  <si>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</si>
  <si>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</si>
  <si>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</si>
  <si>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</si>
  <si>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</si>
  <si>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</si>
  <si>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</si>
  <si>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</si>
  <si>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</si>
  <si>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</si>
  <si>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</si>
  <si>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</si>
  <si>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</si>
  <si>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</si>
  <si>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</si>
  <si>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</si>
  <si>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</si>
  <si>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</si>
  <si>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</si>
  <si>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</si>
  <si>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</si>
  <si>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</si>
  <si>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</si>
  <si>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</si>
  <si>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</si>
  <si>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</si>
  <si>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</si>
  <si>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</si>
  <si>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</si>
  <si>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</si>
  <si>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</si>
  <si>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</si>
  <si>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</si>
  <si>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</si>
  <si>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</si>
  <si>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</si>
  <si>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</si>
  <si>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</si>
  <si>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</si>
  <si>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</si>
  <si>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</si>
  <si>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</si>
  <si>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</si>
  <si>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</si>
  <si>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</si>
  <si>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</si>
  <si>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</si>
  <si>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</si>
  <si>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</si>
  <si>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</si>
  <si>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</si>
  <si>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</si>
  <si>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</si>
  <si>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</si>
  <si>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</si>
  <si>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</si>
  <si>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</si>
  <si>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</si>
  <si>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</si>
  <si>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</si>
  <si>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</si>
  <si>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</si>
  <si>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</si>
  <si>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</si>
  <si>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</si>
  <si>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</si>
  <si>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</si>
  <si>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</si>
  <si>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</si>
  <si>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</si>
  <si>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</si>
  <si>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</si>
  <si>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</si>
  <si>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</si>
  <si>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</si>
  <si>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</si>
  <si>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</si>
  <si>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</si>
  <si>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</si>
  <si>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</si>
  <si>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</si>
  <si>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</si>
  <si>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</si>
  <si>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</si>
  <si>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</si>
  <si>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</si>
  <si>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</si>
  <si>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</si>
  <si>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</si>
  <si>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</si>
  <si>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</si>
  <si>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</si>
  <si>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</si>
  <si>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</si>
  <si>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</si>
  <si>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</si>
  <si>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</si>
  <si>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</si>
  <si>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</si>
  <si>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</si>
  <si>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</si>
  <si>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</si>
  <si>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</si>
  <si>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</si>
  <si>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</si>
  <si>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</si>
  <si>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</si>
  <si>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</si>
  <si>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</si>
  <si>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</si>
  <si>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</si>
  <si>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</si>
  <si>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</si>
  <si>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</si>
  <si>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</si>
  <si>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</si>
  <si>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</si>
  <si>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</si>
  <si>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</si>
  <si>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</si>
  <si>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</si>
  <si>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</si>
  <si>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</si>
  <si>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</si>
  <si>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</si>
  <si>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</si>
  <si>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</si>
  <si>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</si>
  <si>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</si>
  <si>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</si>
  <si>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</si>
  <si>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</si>
  <si>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</si>
  <si>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</si>
  <si>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</si>
  <si>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</si>
  <si>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</si>
  <si>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</si>
  <si>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</si>
  <si>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</si>
  <si>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</si>
  <si>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</si>
  <si>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</si>
  <si>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</si>
  <si>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</si>
  <si>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</si>
  <si>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</si>
  <si>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</si>
  <si>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</si>
  <si>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</si>
  <si>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</si>
  <si>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</si>
  <si>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</si>
  <si>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</si>
  <si>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</si>
  <si>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</si>
  <si>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</si>
  <si>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</si>
  <si>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</si>
  <si>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</si>
  <si>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</si>
  <si>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</si>
  <si>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</si>
  <si>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</si>
  <si>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</si>
  <si>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</si>
  <si>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</si>
  <si>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</si>
  <si>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</si>
  <si>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</si>
  <si>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</si>
  <si>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</si>
  <si>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</si>
  <si>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</si>
  <si>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</si>
  <si>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</si>
  <si>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</si>
  <si>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</si>
  <si>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</si>
  <si>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</si>
  <si>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</si>
  <si>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</si>
  <si>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</si>
  <si>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</si>
  <si>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</si>
  <si>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</si>
  <si>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</si>
  <si>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</si>
  <si>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</si>
  <si>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</si>
  <si>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</si>
  <si>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</si>
  <si>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</si>
  <si>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</si>
  <si>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</si>
  <si>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</si>
  <si>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</si>
  <si>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</si>
  <si>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</si>
  <si>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</si>
  <si>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</si>
  <si>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</si>
  <si>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</si>
  <si>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</si>
  <si>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</si>
  <si>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</si>
  <si>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</si>
  <si>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</si>
  <si>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</si>
  <si>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</si>
  <si>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</si>
  <si>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</si>
  <si>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</si>
  <si>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</si>
  <si>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</si>
  <si>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</si>
  <si>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</si>
  <si>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</si>
  <si>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</si>
  <si>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</si>
  <si>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</si>
  <si>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</si>
  <si>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</si>
  <si>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</si>
  <si>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</si>
  <si>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</si>
  <si>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</si>
  <si>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</si>
  <si>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</si>
  <si>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</si>
  <si>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</si>
  <si>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</si>
  <si>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</si>
  <si>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</si>
  <si>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</si>
  <si>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</si>
  <si>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</si>
  <si>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</si>
  <si>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</si>
  <si>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</si>
  <si>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</si>
  <si>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</si>
  <si>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</si>
  <si>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</si>
  <si>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</si>
  <si>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</si>
  <si>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</si>
  <si>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</si>
  <si>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</si>
  <si>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</si>
  <si>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</si>
  <si>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</si>
  <si>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</si>
  <si>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</si>
  <si>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</si>
  <si>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</si>
  <si>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</si>
  <si>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</si>
  <si>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</si>
  <si>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</si>
  <si>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</si>
  <si>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</si>
  <si>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</si>
  <si>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</si>
  <si>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</si>
  <si>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</si>
  <si>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</si>
  <si>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</si>
  <si>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</si>
  <si>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</si>
  <si>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</si>
  <si>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</si>
  <si>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</si>
  <si>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</si>
  <si>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</si>
  <si>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</si>
  <si>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</si>
  <si>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</si>
  <si>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</si>
  <si>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</si>
  <si>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</si>
  <si>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</si>
  <si>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</si>
  <si>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</si>
  <si>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</si>
  <si>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</si>
  <si>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</si>
  <si>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</si>
  <si>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</si>
  <si>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</si>
  <si>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</si>
  <si>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</si>
  <si>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</si>
  <si>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</si>
  <si>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</si>
  <si>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</si>
  <si>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</si>
  <si>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</si>
  <si>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</si>
  <si>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</si>
  <si>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</si>
  <si>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</si>
  <si>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</si>
  <si>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</si>
  <si>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</si>
  <si>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</si>
  <si>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</si>
  <si>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</si>
  <si>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</si>
  <si>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</si>
  <si>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RFQ-040</t>
  </si>
  <si>
    <t>RFQ-041</t>
  </si>
  <si>
    <t>RFQ-042</t>
  </si>
  <si>
    <t>Oil in Water Analyzer</t>
  </si>
  <si>
    <t>RFQ-043</t>
  </si>
  <si>
    <t>RFQ-044</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</si>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</sst>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5" formatCode="yyyy/m/d;@"/>
    <numFmt numFmtId="166" formatCode="yy\.mm\.dd"/>
    <numFmt numFmtId="167" formatCode="0_);[Red]\(0\)"/>
    <numFmt numFmtId="168" formatCode="0.0%"/>
    <numFmt numFmtId="169" formatCode="0.000%"/>
    <numFmt numFmtId="170" formatCode="yy/m/d;@"/>
    <numFmt numFmtId="171" formatCode="yyyy/mm/dd;@"/>
    <numFmt numFmtId="172" formatCode="[$-409]d\-mmm\-yy;@"/>
    <numFmt numFmtId="173" formatCode="m/d/yyyy;@"/>
    <numFmt numFmtId="174" formatCode="[$-409]dd\-mmm\-yy;@"/>
    <numFmt numFmtId="175" formatCode="0.00_);[Red]\(0.00\)"/>
    <numFmt numFmtId="176" formatCode="0.00_ "/>
  </numFmts>
  <fonts count="53">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family val="2"/>
    </font>
    <font>
      <sz val="11"/>
      <name val="Arial"/>
      <family val="2"/>
    </font>
    <font>
      <strike/>
      <sz val="10"/>
      <name val="Arial"/>
      <family val="2"/>
    </font>
    <font>
      <sz val="10"/>
      <color rgb="FFFF0000"/>
      <name val="Arial"/>
      <family val="2"/>
    </font>
    <font>
      <sz val="11"/>
      <color theme="1"/>
      <name val="Arial"/>
      <family val="2"/>
    </font>
    <font>
      <sz val="11"/>
      <color rgb="FFFF0000"/>
      <name val="Arial"/>
      <family val="2"/>
    </font>
    <font>
      <b/>
      <sz val="11"/>
      <color theme="1"/>
      <name val="Arial"/>
      <family val="2"/>
    </font>
    <font>
      <b/>
      <sz val="12"/>
      <color theme="1"/>
      <name val="Arial"/>
      <family val="2"/>
    </font>
    <font>
      <b/>
      <sz val="16"/>
      <name val="Arial"/>
      <family val="2"/>
    </font>
    <font>
      <b/>
      <sz val="11"/>
      <name val="Arial"/>
      <family val="2"/>
    </font>
    <font>
      <b/>
      <sz val="10"/>
      <name val="Arial"/>
      <family val="2"/>
    </font>
    <font>
      <sz val="10"/>
      <color theme="8"/>
      <name val="Arial"/>
      <family val="2"/>
    </font>
    <font>
      <b/>
      <strike/>
      <sz val="10"/>
      <name val="Arial"/>
      <family val="2"/>
    </font>
    <font>
      <sz val="10"/>
      <name val="SimSun"/>
    </font>
    <font>
      <sz val="10"/>
      <color theme="4"/>
      <name val="Arial"/>
      <family val="2"/>
    </font>
    <font>
      <u/>
      <sz val="14.4"/>
      <color indexed="12"/>
      <name val="Arial"/>
      <family val="2"/>
    </font>
    <font>
      <sz val="9"/>
      <name val="微软雅黑"/>
      <charset val="134"/>
    </font>
    <font>
      <sz val="11"/>
      <color theme="1"/>
      <name val="Calibri"/>
      <family val="2"/>
      <scheme val="minor"/>
    </font>
  </fonts>
  <fills count="23">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67650379955446"/>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67040009765925"/>
        <bgColor indexed="64"/>
      </patternFill>
    </fill>
    <fill>
      <patternFill patternType="solid">
        <fgColor indexed="43"/>
        <bgColor indexed="64"/>
      </patternFill>
    </fill>
    <fill>
      <patternFill patternType="solid">
        <fgColor theme="7" tint="0.39967040009765925"/>
        <bgColor indexed="64"/>
      </patternFill>
    </fill>
    <fill>
      <patternFill patternType="solid">
        <fgColor theme="7" tint="0.79967650379955446"/>
        <bgColor indexed="64"/>
      </patternFill>
    </fill>
    <fill>
      <patternFill patternType="solid">
        <fgColor theme="5" tint="0.79967650379955446"/>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92D050"/>
        <bgColor indexed="64"/>
      </patternFill>
    </fill>
    <fill>
      <patternFill patternType="solid">
        <fgColor theme="7"/>
        <bgColor indexed="64"/>
      </patternFill>
    </fill>
    <fill>
      <patternFill patternType="solid">
        <fgColor theme="5" tint="0.79976805932798245"/>
        <bgColor indexed="64"/>
      </patternFill>
    </fill>
    <fill>
      <patternFill patternType="solid">
        <fgColor rgb="FFFFF2CC"/>
        <bgColor indexed="64"/>
      </patternFill>
    </fill>
    <fill>
      <patternFill patternType="solid">
        <fgColor theme="0" tint="-4.9989318521683403E-2"/>
        <bgColor indexed="64"/>
      </patternFill>
    </fill>
  </fills>
  <borders count="4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2" fillId="0" borderId="0" applyFont="0" applyFill="0" applyBorder="0" applyAlignment="0" applyProtection="0"/>
    <xf numFmtId="9" fontId="52" fillId="0" borderId="0" applyFont="0" applyFill="0" applyBorder="0" applyAlignment="0" applyProtection="0"/>
    <xf numFmtId="0" fontId="50" fillId="0" borderId="0" applyNumberFormat="0" applyFill="0" applyBorder="0" applyAlignment="0" applyProtection="0">
      <alignment vertical="top"/>
      <protection locked="0"/>
    </xf>
    <xf numFmtId="0" fontId="52" fillId="0" borderId="0"/>
    <xf numFmtId="0" fontId="14" fillId="0" borderId="0"/>
    <xf numFmtId="0" fontId="3" fillId="0" borderId="0"/>
    <xf numFmtId="0" fontId="3" fillId="0" borderId="0"/>
  </cellStyleXfs>
  <cellXfs count="523">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5" fontId="3" fillId="0" borderId="0" xfId="7" applyNumberFormat="1" applyAlignment="1">
      <alignment horizontal="center" vertical="top"/>
    </xf>
    <xf numFmtId="0" fontId="3" fillId="0" borderId="0" xfId="7" applyAlignment="1">
      <alignment horizontal="left" vertical="top"/>
    </xf>
    <xf numFmtId="165"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5"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5" fontId="1" fillId="0" borderId="0" xfId="7" applyNumberFormat="1" applyFont="1" applyAlignment="1">
      <alignment horizontal="center" vertical="top"/>
    </xf>
    <xf numFmtId="165"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5"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6" fontId="16" fillId="0" borderId="0" xfId="0" applyNumberFormat="1" applyFont="1"/>
    <xf numFmtId="166" fontId="16" fillId="3" borderId="0" xfId="0" applyNumberFormat="1" applyFont="1" applyFill="1"/>
    <xf numFmtId="166"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7"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8" fontId="10" fillId="3" borderId="0" xfId="1" applyNumberFormat="1" applyFont="1" applyFill="1" applyBorder="1" applyAlignment="1"/>
    <xf numFmtId="169" fontId="10" fillId="3" borderId="0" xfId="1" applyNumberFormat="1" applyFont="1" applyFill="1" applyBorder="1" applyAlignment="1"/>
    <xf numFmtId="167" fontId="21" fillId="3" borderId="0" xfId="0" applyNumberFormat="1" applyFont="1" applyFill="1" applyAlignment="1">
      <alignment horizontal="right" vertical="center"/>
    </xf>
    <xf numFmtId="167"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5" fontId="10" fillId="3" borderId="0" xfId="0" applyNumberFormat="1" applyFont="1" applyFill="1" applyAlignment="1">
      <alignment horizontal="right" vertical="center"/>
    </xf>
    <xf numFmtId="165"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70" fontId="23" fillId="9" borderId="2" xfId="0" applyNumberFormat="1" applyFont="1" applyFill="1" applyBorder="1" applyAlignment="1">
      <alignment horizontal="center"/>
    </xf>
    <xf numFmtId="170"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5"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7"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5" fontId="15" fillId="9" borderId="17" xfId="0" applyNumberFormat="1" applyFont="1" applyFill="1" applyBorder="1" applyAlignment="1">
      <alignment horizontal="center" vertical="center"/>
    </xf>
    <xf numFmtId="165" fontId="15" fillId="9" borderId="17" xfId="0" applyNumberFormat="1" applyFont="1" applyFill="1" applyBorder="1" applyAlignment="1">
      <alignment horizontal="center" vertical="center" wrapText="1"/>
    </xf>
    <xf numFmtId="165"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7"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7"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1" fontId="15" fillId="9" borderId="17" xfId="0" applyNumberFormat="1" applyFont="1" applyFill="1" applyBorder="1" applyAlignment="1">
      <alignment horizontal="center" vertical="center" wrapText="1"/>
    </xf>
    <xf numFmtId="165"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7"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5" fontId="15" fillId="9" borderId="17" xfId="0" applyNumberFormat="1" applyFont="1" applyFill="1" applyBorder="1" applyAlignment="1">
      <alignment horizontal="left" vertical="center"/>
    </xf>
    <xf numFmtId="165" fontId="15" fillId="9" borderId="17" xfId="0" applyNumberFormat="1" applyFont="1" applyFill="1" applyBorder="1" applyAlignment="1">
      <alignment horizontal="left" vertical="center" wrapText="1"/>
    </xf>
    <xf numFmtId="165" fontId="15" fillId="9" borderId="18" xfId="0" applyNumberFormat="1" applyFont="1" applyFill="1" applyBorder="1" applyAlignment="1">
      <alignment horizontal="left" vertical="center"/>
    </xf>
    <xf numFmtId="167"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5" fontId="15" fillId="8" borderId="23" xfId="0" applyNumberFormat="1" applyFont="1" applyFill="1" applyBorder="1" applyAlignment="1">
      <alignment horizontal="left" vertical="center"/>
    </xf>
    <xf numFmtId="167"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5"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6"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2" fontId="16" fillId="15" borderId="0" xfId="0" applyNumberFormat="1" applyFont="1" applyFill="1"/>
    <xf numFmtId="1" fontId="16" fillId="15" borderId="0" xfId="0" applyNumberFormat="1" applyFont="1" applyFill="1"/>
    <xf numFmtId="166"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2"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7" fontId="20" fillId="15" borderId="0" xfId="0" applyNumberFormat="1" applyFont="1" applyFill="1" applyAlignment="1">
      <alignment horizontal="right" vertical="center"/>
    </xf>
    <xf numFmtId="167"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9" fontId="10" fillId="0" borderId="0" xfId="1" applyNumberFormat="1" applyFont="1" applyFill="1" applyBorder="1" applyAlignment="1"/>
    <xf numFmtId="172"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7"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70" fontId="23" fillId="0" borderId="2" xfId="0" applyNumberFormat="1" applyFont="1" applyBorder="1" applyAlignment="1">
      <alignment horizontal="center"/>
    </xf>
    <xf numFmtId="170"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2"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2"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7"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5"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14" fontId="0" fillId="0" borderId="0" xfId="0" applyNumberFormat="1"/>
    <xf numFmtId="0" fontId="36" fillId="0" borderId="0" xfId="0" applyFont="1"/>
    <xf numFmtId="0" fontId="36"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7" fillId="17" borderId="0" xfId="0" applyFont="1" applyFill="1" applyAlignment="1">
      <alignment vertical="center"/>
    </xf>
    <xf numFmtId="0" fontId="38" fillId="0" borderId="0" xfId="0" applyFont="1" applyAlignment="1">
      <alignment vertical="center"/>
    </xf>
    <xf numFmtId="0" fontId="2" fillId="17" borderId="0" xfId="0" applyFont="1" applyFill="1" applyAlignment="1">
      <alignment vertical="center"/>
    </xf>
    <xf numFmtId="0" fontId="39" fillId="0" borderId="0" xfId="0" applyFont="1"/>
    <xf numFmtId="0" fontId="39" fillId="0" borderId="0" xfId="0" applyFont="1" applyAlignment="1">
      <alignment horizontal="center" vertical="center"/>
    </xf>
    <xf numFmtId="0" fontId="39" fillId="15" borderId="0" xfId="0" applyFont="1" applyFill="1"/>
    <xf numFmtId="0" fontId="39" fillId="0" borderId="0" xfId="0" applyFont="1" applyAlignment="1">
      <alignment wrapText="1"/>
    </xf>
    <xf numFmtId="0" fontId="39" fillId="0" borderId="0" xfId="0" applyFont="1" applyAlignment="1">
      <alignment horizontal="center"/>
    </xf>
    <xf numFmtId="0" fontId="39" fillId="15" borderId="0" xfId="0" applyFont="1" applyFill="1" applyAlignment="1">
      <alignment horizontal="center"/>
    </xf>
    <xf numFmtId="0" fontId="40" fillId="15" borderId="0" xfId="0" applyFont="1" applyFill="1"/>
    <xf numFmtId="0" fontId="41" fillId="0" borderId="0" xfId="0" applyFont="1"/>
    <xf numFmtId="0" fontId="41" fillId="0" borderId="0" xfId="0" applyFont="1" applyAlignment="1">
      <alignment horizontal="center" vertical="center"/>
    </xf>
    <xf numFmtId="0" fontId="42" fillId="0" borderId="0" xfId="0" applyFont="1" applyAlignment="1">
      <alignment horizontal="right"/>
    </xf>
    <xf numFmtId="0" fontId="36" fillId="0" borderId="0" xfId="0" applyFont="1" applyAlignment="1">
      <alignment horizontal="center" vertical="center"/>
    </xf>
    <xf numFmtId="0" fontId="36" fillId="15" borderId="0" xfId="0" applyFont="1" applyFill="1"/>
    <xf numFmtId="0" fontId="15" fillId="16" borderId="0" xfId="0" applyFont="1" applyFill="1" applyAlignment="1">
      <alignment horizontal="left" vertical="center"/>
    </xf>
    <xf numFmtId="0" fontId="36" fillId="16" borderId="0" xfId="0" applyFont="1" applyFill="1" applyAlignment="1">
      <alignment wrapText="1"/>
    </xf>
    <xf numFmtId="0" fontId="36" fillId="16" borderId="0" xfId="0" applyFont="1" applyFill="1"/>
    <xf numFmtId="0" fontId="36" fillId="15" borderId="0" xfId="0" applyFont="1" applyFill="1" applyAlignment="1">
      <alignment horizontal="center"/>
    </xf>
    <xf numFmtId="0" fontId="43" fillId="0" borderId="0" xfId="0" applyFont="1" applyAlignment="1">
      <alignment vertical="center"/>
    </xf>
    <xf numFmtId="0" fontId="15" fillId="0" borderId="0" xfId="0" applyFont="1" applyAlignment="1">
      <alignment horizontal="left" vertical="center"/>
    </xf>
    <xf numFmtId="0" fontId="36" fillId="0" borderId="0" xfId="0" applyFont="1" applyAlignment="1">
      <alignment wrapText="1"/>
    </xf>
    <xf numFmtId="167" fontId="21" fillId="0" borderId="0" xfId="0" applyNumberFormat="1" applyFont="1" applyAlignment="1">
      <alignment horizontal="right" vertical="center"/>
    </xf>
    <xf numFmtId="0" fontId="36" fillId="15" borderId="0" xfId="0" applyFont="1" applyFill="1" applyAlignment="1">
      <alignment horizontal="center" vertical="center"/>
    </xf>
    <xf numFmtId="167" fontId="20" fillId="0" borderId="0" xfId="0" applyNumberFormat="1" applyFont="1" applyAlignment="1">
      <alignment horizontal="center" vertical="center"/>
    </xf>
    <xf numFmtId="167" fontId="20" fillId="19" borderId="0" xfId="0" applyNumberFormat="1" applyFont="1" applyFill="1" applyAlignment="1">
      <alignment horizontal="right" vertical="center"/>
    </xf>
    <xf numFmtId="167" fontId="20" fillId="20" borderId="0" xfId="0" applyNumberFormat="1" applyFont="1" applyFill="1" applyAlignment="1">
      <alignment horizontal="right" vertical="center"/>
    </xf>
    <xf numFmtId="0" fontId="44" fillId="8"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44" fillId="21" borderId="31" xfId="0" applyFont="1" applyFill="1" applyBorder="1" applyAlignment="1">
      <alignment horizontal="center" vertical="center" wrapText="1"/>
    </xf>
    <xf numFmtId="0" fontId="44" fillId="6" borderId="1" xfId="0" applyFont="1" applyFill="1" applyBorder="1" applyAlignment="1">
      <alignment horizontal="center" vertical="center" wrapText="1"/>
    </xf>
    <xf numFmtId="0" fontId="44" fillId="20" borderId="1" xfId="0" applyFont="1" applyFill="1" applyBorder="1" applyAlignment="1">
      <alignment horizontal="center" vertical="center" wrapText="1"/>
    </xf>
    <xf numFmtId="0" fontId="44" fillId="18" borderId="1" xfId="0" applyFont="1" applyFill="1" applyBorder="1" applyAlignment="1">
      <alignment horizontal="center" vertical="center" wrapText="1"/>
    </xf>
    <xf numFmtId="0" fontId="36" fillId="4" borderId="1" xfId="0" applyFont="1" applyFill="1" applyBorder="1"/>
    <xf numFmtId="0" fontId="36" fillId="0" borderId="1" xfId="0" applyFont="1" applyBorder="1"/>
    <xf numFmtId="0" fontId="36" fillId="21" borderId="31" xfId="0" applyFont="1" applyFill="1" applyBorder="1" applyAlignment="1">
      <alignment horizontal="center" vertical="center"/>
    </xf>
    <xf numFmtId="0" fontId="44" fillId="4" borderId="1" xfId="0" applyFont="1" applyFill="1" applyBorder="1" applyAlignment="1">
      <alignment horizontal="center" vertical="center" wrapText="1"/>
    </xf>
    <xf numFmtId="0" fontId="36" fillId="4" borderId="5" xfId="0" applyFont="1" applyFill="1" applyBorder="1" applyAlignment="1">
      <alignment horizontal="center"/>
    </xf>
    <xf numFmtId="0" fontId="36" fillId="0" borderId="5" xfId="0" applyFont="1" applyBorder="1" applyAlignment="1">
      <alignment horizontal="center"/>
    </xf>
    <xf numFmtId="0" fontId="36" fillId="21" borderId="32" xfId="0" applyFont="1" applyFill="1" applyBorder="1" applyAlignment="1">
      <alignment horizontal="center" vertical="center"/>
    </xf>
    <xf numFmtId="0" fontId="44" fillId="4" borderId="5" xfId="0" applyFont="1" applyFill="1" applyBorder="1" applyAlignment="1">
      <alignment horizontal="center" vertical="center" wrapText="1"/>
    </xf>
    <xf numFmtId="0" fontId="24" fillId="8" borderId="16" xfId="0" applyFont="1" applyFill="1" applyBorder="1" applyAlignment="1">
      <alignment horizontal="center" vertical="center" wrapText="1"/>
    </xf>
    <xf numFmtId="0" fontId="36" fillId="4" borderId="5" xfId="0" applyFont="1" applyFill="1" applyBorder="1" applyAlignment="1">
      <alignment horizontal="center" vertical="center"/>
    </xf>
    <xf numFmtId="0" fontId="45" fillId="0" borderId="16" xfId="0" applyFont="1" applyBorder="1" applyAlignment="1">
      <alignment vertical="center" wrapText="1"/>
    </xf>
    <xf numFmtId="0" fontId="2" fillId="0" borderId="17" xfId="0" applyFont="1" applyBorder="1" applyAlignment="1">
      <alignment horizontal="center"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5"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72" fontId="2" fillId="0" borderId="35" xfId="0" applyNumberFormat="1" applyFont="1" applyBorder="1" applyAlignment="1">
      <alignment horizontal="center" vertical="center"/>
    </xf>
    <xf numFmtId="172" fontId="2" fillId="0" borderId="17" xfId="0" applyNumberFormat="1" applyFont="1" applyBorder="1" applyAlignment="1">
      <alignment horizontal="center" vertical="center"/>
    </xf>
    <xf numFmtId="2" fontId="2" fillId="0" borderId="17" xfId="1" applyNumberFormat="1" applyFont="1" applyFill="1" applyBorder="1" applyAlignment="1">
      <alignment horizontal="center" vertical="center"/>
    </xf>
    <xf numFmtId="167" fontId="2" fillId="0" borderId="16" xfId="0" applyNumberFormat="1" applyFont="1" applyBorder="1" applyAlignment="1">
      <alignment horizontal="center" vertical="center" wrapText="1"/>
    </xf>
    <xf numFmtId="172" fontId="2" fillId="0" borderId="16" xfId="0" applyNumberFormat="1" applyFont="1" applyBorder="1" applyAlignment="1">
      <alignment horizontal="center" vertical="center"/>
    </xf>
    <xf numFmtId="173" fontId="2" fillId="0" borderId="16" xfId="0" applyNumberFormat="1" applyFont="1" applyBorder="1" applyAlignment="1">
      <alignment horizontal="center" vertical="center"/>
    </xf>
    <xf numFmtId="0" fontId="2" fillId="0" borderId="16" xfId="0" applyFont="1" applyBorder="1" applyAlignment="1">
      <alignment vertical="center"/>
    </xf>
    <xf numFmtId="174" fontId="2" fillId="0" borderId="36" xfId="0" applyNumberFormat="1" applyFont="1" applyBorder="1" applyAlignment="1">
      <alignment horizontal="left" vertical="center" wrapText="1"/>
    </xf>
    <xf numFmtId="173" fontId="2" fillId="0" borderId="17" xfId="0" applyNumberFormat="1" applyFont="1" applyBorder="1" applyAlignment="1">
      <alignment horizontal="center" vertical="center"/>
    </xf>
    <xf numFmtId="0" fontId="45" fillId="0" borderId="22" xfId="0" applyFont="1" applyBorder="1" applyAlignment="1">
      <alignment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5"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72" fontId="2" fillId="0" borderId="23" xfId="0" applyNumberFormat="1" applyFont="1" applyBorder="1" applyAlignment="1">
      <alignment horizontal="center" vertical="center"/>
    </xf>
    <xf numFmtId="2" fontId="2" fillId="0" borderId="23" xfId="1" applyNumberFormat="1" applyFont="1" applyFill="1" applyBorder="1" applyAlignment="1">
      <alignment horizontal="center" vertical="center" wrapText="1"/>
    </xf>
    <xf numFmtId="167" fontId="2" fillId="0" borderId="22" xfId="0" applyNumberFormat="1" applyFont="1" applyBorder="1" applyAlignment="1">
      <alignment horizontal="center" vertical="center" wrapText="1"/>
    </xf>
    <xf numFmtId="172"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22" xfId="0" applyFont="1" applyBorder="1" applyAlignment="1">
      <alignment vertical="center" wrapText="1"/>
    </xf>
    <xf numFmtId="0" fontId="2" fillId="0" borderId="34" xfId="0" applyFont="1" applyBorder="1" applyAlignment="1">
      <alignment vertical="center" wrapText="1"/>
    </xf>
    <xf numFmtId="2" fontId="2" fillId="0" borderId="17" xfId="1" applyNumberFormat="1" applyFont="1" applyFill="1" applyBorder="1" applyAlignment="1">
      <alignment horizontal="center" vertical="center" wrapText="1"/>
    </xf>
    <xf numFmtId="0" fontId="2" fillId="0" borderId="39" xfId="0" applyFont="1" applyBorder="1" applyAlignment="1">
      <alignment vertical="center" wrapText="1"/>
    </xf>
    <xf numFmtId="0" fontId="2" fillId="0" borderId="33" xfId="0" applyFont="1" applyBorder="1" applyAlignment="1">
      <alignment vertical="center"/>
    </xf>
    <xf numFmtId="0" fontId="2" fillId="0" borderId="37" xfId="0" applyFont="1" applyBorder="1" applyAlignment="1">
      <alignment vertical="center"/>
    </xf>
    <xf numFmtId="172" fontId="46" fillId="0" borderId="23" xfId="0" applyNumberFormat="1" applyFont="1" applyBorder="1" applyAlignment="1">
      <alignment horizontal="center" vertical="center"/>
    </xf>
    <xf numFmtId="0" fontId="2" fillId="0" borderId="16" xfId="0" applyFont="1" applyBorder="1" applyAlignment="1">
      <alignment horizontal="center" vertical="center"/>
    </xf>
    <xf numFmtId="2" fontId="2" fillId="0" borderId="34" xfId="0" applyNumberFormat="1" applyFont="1" applyBorder="1" applyAlignment="1">
      <alignment vertical="center" wrapText="1"/>
    </xf>
    <xf numFmtId="172" fontId="2" fillId="0" borderId="17" xfId="0" applyNumberFormat="1" applyFont="1" applyBorder="1" applyAlignment="1">
      <alignment horizontal="center" vertical="center" wrapText="1"/>
    </xf>
    <xf numFmtId="173"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72" fontId="2" fillId="0" borderId="23" xfId="0" applyNumberFormat="1" applyFont="1" applyBorder="1" applyAlignment="1">
      <alignment horizontal="center" vertical="center" wrapText="1"/>
    </xf>
    <xf numFmtId="172" fontId="46" fillId="0" borderId="23" xfId="0" applyNumberFormat="1" applyFont="1" applyBorder="1" applyAlignment="1">
      <alignment horizontal="center" vertical="center" wrapText="1"/>
    </xf>
    <xf numFmtId="172" fontId="2" fillId="0" borderId="22" xfId="0" applyNumberFormat="1" applyFont="1" applyBorder="1" applyAlignment="1">
      <alignment horizontal="center" vertical="center" wrapText="1"/>
    </xf>
    <xf numFmtId="172" fontId="38" fillId="16" borderId="23" xfId="0" applyNumberFormat="1" applyFont="1" applyFill="1" applyBorder="1" applyAlignment="1">
      <alignment horizontal="center" vertical="center"/>
    </xf>
    <xf numFmtId="0" fontId="2" fillId="0" borderId="36" xfId="0" applyFont="1" applyBorder="1" applyAlignment="1">
      <alignment horizontal="center" vertical="center" wrapText="1"/>
    </xf>
    <xf numFmtId="0" fontId="2" fillId="0" borderId="22" xfId="0" applyFont="1" applyBorder="1" applyAlignment="1">
      <alignment vertical="top" wrapText="1"/>
    </xf>
    <xf numFmtId="175" fontId="2" fillId="0" borderId="23" xfId="0" applyNumberFormat="1" applyFont="1" applyBorder="1" applyAlignment="1">
      <alignment horizontal="center" vertical="center"/>
    </xf>
    <xf numFmtId="0" fontId="2" fillId="0" borderId="40" xfId="0" applyFont="1" applyBorder="1" applyAlignment="1">
      <alignment vertical="center" wrapText="1"/>
    </xf>
    <xf numFmtId="0" fontId="2" fillId="0" borderId="33" xfId="0" applyFont="1" applyBorder="1" applyAlignment="1">
      <alignment horizontal="center" vertical="center" wrapText="1"/>
    </xf>
    <xf numFmtId="2" fontId="45"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0" fontId="47" fillId="17" borderId="16" xfId="0" applyFont="1" applyFill="1" applyBorder="1" applyAlignment="1">
      <alignment vertical="center" wrapText="1"/>
    </xf>
    <xf numFmtId="0" fontId="37" fillId="0" borderId="17" xfId="0" applyFont="1" applyBorder="1" applyAlignment="1">
      <alignment horizontal="center" vertical="center" wrapText="1"/>
    </xf>
    <xf numFmtId="0" fontId="37" fillId="17" borderId="17" xfId="0" applyFont="1" applyFill="1" applyBorder="1" applyAlignment="1">
      <alignment horizontal="center" vertical="center" wrapText="1"/>
    </xf>
    <xf numFmtId="0" fontId="37" fillId="17" borderId="17" xfId="0" applyFont="1" applyFill="1" applyBorder="1" applyAlignment="1">
      <alignment horizontal="center" vertical="center"/>
    </xf>
    <xf numFmtId="0" fontId="37" fillId="17" borderId="17" xfId="0" applyFont="1" applyFill="1" applyBorder="1" applyAlignment="1">
      <alignment horizontal="left" vertical="center" wrapText="1"/>
    </xf>
    <xf numFmtId="172" fontId="37" fillId="17" borderId="17" xfId="0" applyNumberFormat="1" applyFont="1" applyFill="1" applyBorder="1" applyAlignment="1">
      <alignment horizontal="center" vertical="center"/>
    </xf>
    <xf numFmtId="2" fontId="37" fillId="17" borderId="17" xfId="1" applyNumberFormat="1" applyFont="1" applyFill="1" applyBorder="1" applyAlignment="1">
      <alignment horizontal="center" vertical="center"/>
    </xf>
    <xf numFmtId="167" fontId="37" fillId="17" borderId="16" xfId="0" applyNumberFormat="1" applyFont="1" applyFill="1" applyBorder="1" applyAlignment="1">
      <alignment horizontal="center" vertical="center" wrapText="1"/>
    </xf>
    <xf numFmtId="172" fontId="37" fillId="17" borderId="16" xfId="0" applyNumberFormat="1" applyFont="1" applyFill="1" applyBorder="1" applyAlignment="1">
      <alignment horizontal="center" vertical="center"/>
    </xf>
    <xf numFmtId="173" fontId="37" fillId="17" borderId="16" xfId="0" applyNumberFormat="1" applyFont="1" applyFill="1" applyBorder="1" applyAlignment="1">
      <alignment horizontal="center" vertical="center"/>
    </xf>
    <xf numFmtId="0" fontId="37" fillId="17" borderId="16" xfId="0" applyFont="1" applyFill="1" applyBorder="1" applyAlignment="1">
      <alignment vertical="center"/>
    </xf>
    <xf numFmtId="174" fontId="37" fillId="17" borderId="36" xfId="0" applyNumberFormat="1" applyFont="1" applyFill="1" applyBorder="1" applyAlignment="1">
      <alignment horizontal="left" vertical="center" wrapText="1"/>
    </xf>
    <xf numFmtId="2" fontId="37" fillId="17" borderId="17" xfId="1" applyNumberFormat="1" applyFont="1" applyFill="1" applyBorder="1" applyAlignment="1">
      <alignment horizontal="center" vertical="center" wrapText="1"/>
    </xf>
    <xf numFmtId="0" fontId="47" fillId="17" borderId="22" xfId="0" applyFont="1" applyFill="1" applyBorder="1" applyAlignment="1">
      <alignment vertical="center" wrapText="1"/>
    </xf>
    <xf numFmtId="0" fontId="37" fillId="0" borderId="23" xfId="0" applyFont="1" applyBorder="1" applyAlignment="1">
      <alignment horizontal="center" vertical="center" wrapText="1"/>
    </xf>
    <xf numFmtId="0" fontId="37" fillId="17" borderId="23" xfId="0" applyFont="1" applyFill="1" applyBorder="1" applyAlignment="1">
      <alignment horizontal="center" vertical="center" wrapText="1"/>
    </xf>
    <xf numFmtId="0" fontId="37" fillId="17" borderId="23" xfId="0" applyFont="1" applyFill="1" applyBorder="1" applyAlignment="1">
      <alignment horizontal="center" vertical="center"/>
    </xf>
    <xf numFmtId="0" fontId="37" fillId="17" borderId="23" xfId="0" applyFont="1" applyFill="1" applyBorder="1" applyAlignment="1">
      <alignment horizontal="left" vertical="center" wrapText="1"/>
    </xf>
    <xf numFmtId="172" fontId="37" fillId="17" borderId="23" xfId="0" applyNumberFormat="1" applyFont="1" applyFill="1" applyBorder="1" applyAlignment="1">
      <alignment horizontal="center" vertical="center"/>
    </xf>
    <xf numFmtId="2" fontId="37" fillId="17" borderId="23" xfId="1" applyNumberFormat="1" applyFont="1" applyFill="1" applyBorder="1" applyAlignment="1">
      <alignment horizontal="center" vertical="center" wrapText="1"/>
    </xf>
    <xf numFmtId="167" fontId="37" fillId="17" borderId="22" xfId="0" applyNumberFormat="1" applyFont="1" applyFill="1" applyBorder="1" applyAlignment="1">
      <alignment horizontal="center" vertical="center" wrapText="1"/>
    </xf>
    <xf numFmtId="172" fontId="37" fillId="17" borderId="22" xfId="0" applyNumberFormat="1" applyFont="1" applyFill="1" applyBorder="1" applyAlignment="1">
      <alignment horizontal="center" vertical="center"/>
    </xf>
    <xf numFmtId="0" fontId="37" fillId="17" borderId="22" xfId="0" applyFont="1" applyFill="1" applyBorder="1" applyAlignment="1">
      <alignment horizontal="center" vertical="center"/>
    </xf>
    <xf numFmtId="0" fontId="37" fillId="17" borderId="22" xfId="0" applyFont="1" applyFill="1" applyBorder="1" applyAlignment="1">
      <alignment vertical="center"/>
    </xf>
    <xf numFmtId="172" fontId="38" fillId="0" borderId="16" xfId="0" applyNumberFormat="1" applyFont="1" applyBorder="1" applyAlignment="1">
      <alignment horizontal="center" vertical="center"/>
    </xf>
    <xf numFmtId="174" fontId="38" fillId="0" borderId="36" xfId="0" applyNumberFormat="1" applyFont="1" applyBorder="1" applyAlignment="1">
      <alignment horizontal="left" vertical="center" wrapText="1"/>
    </xf>
    <xf numFmtId="0" fontId="45" fillId="0" borderId="16" xfId="0" applyFont="1" applyBorder="1" applyAlignment="1">
      <alignment horizontal="center" vertical="center" wrapText="1"/>
    </xf>
    <xf numFmtId="0" fontId="45" fillId="0" borderId="22" xfId="0" applyFont="1" applyBorder="1" applyAlignment="1">
      <alignment horizontal="center" vertical="center" wrapText="1"/>
    </xf>
    <xf numFmtId="0" fontId="2" fillId="21"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1" borderId="33" xfId="0" applyFont="1" applyFill="1" applyBorder="1" applyAlignment="1">
      <alignment horizontal="center" vertical="center"/>
    </xf>
    <xf numFmtId="2" fontId="2" fillId="15" borderId="33" xfId="1" applyNumberFormat="1" applyFont="1" applyFill="1" applyBorder="1" applyAlignment="1">
      <alignment vertical="center"/>
    </xf>
    <xf numFmtId="167" fontId="2" fillId="15" borderId="16" xfId="0" applyNumberFormat="1" applyFont="1" applyFill="1" applyBorder="1" applyAlignment="1">
      <alignment horizontal="center" vertical="center" wrapText="1"/>
    </xf>
    <xf numFmtId="172" fontId="2" fillId="22" borderId="16" xfId="0" applyNumberFormat="1" applyFont="1" applyFill="1" applyBorder="1" applyAlignment="1">
      <alignment horizontal="center" vertical="center"/>
    </xf>
    <xf numFmtId="0" fontId="45" fillId="17" borderId="16" xfId="0" applyFont="1" applyFill="1" applyBorder="1" applyAlignment="1">
      <alignment vertical="center" wrapText="1"/>
    </xf>
    <xf numFmtId="0" fontId="2" fillId="17" borderId="17" xfId="0" applyFont="1" applyFill="1" applyBorder="1" applyAlignment="1">
      <alignment horizontal="center" vertical="center" wrapText="1"/>
    </xf>
    <xf numFmtId="0" fontId="2" fillId="17" borderId="33" xfId="0" applyFont="1" applyFill="1" applyBorder="1" applyAlignment="1">
      <alignment horizontal="center" vertical="center" wrapText="1"/>
    </xf>
    <xf numFmtId="2" fontId="2" fillId="17" borderId="33" xfId="1" applyNumberFormat="1" applyFont="1" applyFill="1" applyBorder="1" applyAlignment="1">
      <alignment vertical="center"/>
    </xf>
    <xf numFmtId="2" fontId="45" fillId="17" borderId="34" xfId="0" applyNumberFormat="1" applyFont="1" applyFill="1" applyBorder="1" applyAlignment="1">
      <alignment horizontal="center" vertical="center" wrapText="1"/>
    </xf>
    <xf numFmtId="0" fontId="2" fillId="17" borderId="17" xfId="0" applyFont="1" applyFill="1" applyBorder="1" applyAlignment="1">
      <alignment horizontal="center" vertical="center"/>
    </xf>
    <xf numFmtId="0" fontId="2" fillId="17" borderId="16" xfId="0" applyFont="1" applyFill="1" applyBorder="1" applyAlignment="1">
      <alignment horizontal="center" vertical="center" wrapText="1"/>
    </xf>
    <xf numFmtId="0" fontId="2" fillId="17" borderId="35" xfId="0" applyFont="1" applyFill="1" applyBorder="1" applyAlignment="1">
      <alignment horizontal="center" vertical="center" wrapText="1"/>
    </xf>
    <xf numFmtId="0" fontId="2" fillId="17" borderId="17" xfId="0" applyFont="1" applyFill="1" applyBorder="1" applyAlignment="1">
      <alignment horizontal="left" vertical="center" wrapText="1"/>
    </xf>
    <xf numFmtId="172" fontId="2" fillId="17" borderId="35" xfId="0" applyNumberFormat="1" applyFont="1" applyFill="1" applyBorder="1" applyAlignment="1">
      <alignment horizontal="center" vertical="center"/>
    </xf>
    <xf numFmtId="172" fontId="2" fillId="17" borderId="17" xfId="0" applyNumberFormat="1" applyFont="1" applyFill="1" applyBorder="1" applyAlignment="1">
      <alignment horizontal="center" vertical="center"/>
    </xf>
    <xf numFmtId="176" fontId="2" fillId="17" borderId="17" xfId="0" applyNumberFormat="1" applyFont="1" applyFill="1" applyBorder="1" applyAlignment="1">
      <alignment horizontal="center" vertical="center"/>
    </xf>
    <xf numFmtId="173" fontId="2" fillId="17" borderId="16" xfId="0" applyNumberFormat="1" applyFont="1" applyFill="1" applyBorder="1" applyAlignment="1">
      <alignment horizontal="center" vertical="center"/>
    </xf>
    <xf numFmtId="0" fontId="2" fillId="17" borderId="16" xfId="0" applyFont="1" applyFill="1" applyBorder="1" applyAlignment="1">
      <alignment vertical="center"/>
    </xf>
    <xf numFmtId="174" fontId="2" fillId="17" borderId="36" xfId="0" applyNumberFormat="1" applyFont="1" applyFill="1" applyBorder="1" applyAlignment="1">
      <alignment horizontal="left" vertical="center" wrapText="1"/>
    </xf>
    <xf numFmtId="172" fontId="2" fillId="17" borderId="41" xfId="0" applyNumberFormat="1" applyFont="1" applyFill="1" applyBorder="1" applyAlignment="1">
      <alignment horizontal="center" vertical="center"/>
    </xf>
    <xf numFmtId="0" fontId="45" fillId="17" borderId="22" xfId="0" applyFont="1" applyFill="1" applyBorder="1" applyAlignment="1">
      <alignment vertical="center" wrapText="1"/>
    </xf>
    <xf numFmtId="0" fontId="2" fillId="17" borderId="23" xfId="0" applyFont="1" applyFill="1" applyBorder="1" applyAlignment="1">
      <alignment horizontal="center" vertical="center"/>
    </xf>
    <xf numFmtId="172" fontId="37" fillId="17" borderId="42" xfId="0" applyNumberFormat="1" applyFont="1" applyFill="1" applyBorder="1" applyAlignment="1">
      <alignment horizontal="center" vertical="center"/>
    </xf>
    <xf numFmtId="2" fontId="2" fillId="17" borderId="38" xfId="1" applyNumberFormat="1" applyFont="1" applyFill="1" applyBorder="1" applyAlignment="1">
      <alignment vertical="center"/>
    </xf>
    <xf numFmtId="0" fontId="2" fillId="17" borderId="22" xfId="0" applyFont="1" applyFill="1" applyBorder="1" applyAlignment="1">
      <alignment horizontal="center" vertical="center" wrapText="1"/>
    </xf>
    <xf numFmtId="0" fontId="2" fillId="17" borderId="23" xfId="0" applyFont="1" applyFill="1" applyBorder="1" applyAlignment="1">
      <alignment horizontal="center" vertical="center" wrapText="1"/>
    </xf>
    <xf numFmtId="0" fontId="2" fillId="17" borderId="23" xfId="0" applyFont="1" applyFill="1" applyBorder="1" applyAlignment="1">
      <alignment horizontal="left" vertical="center" wrapText="1"/>
    </xf>
    <xf numFmtId="172" fontId="2" fillId="17" borderId="23" xfId="0" applyNumberFormat="1" applyFont="1" applyFill="1" applyBorder="1" applyAlignment="1">
      <alignment horizontal="center" vertical="center"/>
    </xf>
    <xf numFmtId="0" fontId="2" fillId="17" borderId="22" xfId="0" applyFont="1" applyFill="1" applyBorder="1" applyAlignment="1">
      <alignment horizontal="center" vertical="center"/>
    </xf>
    <xf numFmtId="0" fontId="2" fillId="17" borderId="22" xfId="0" applyFont="1" applyFill="1" applyBorder="1" applyAlignment="1">
      <alignment vertical="center"/>
    </xf>
    <xf numFmtId="49" fontId="2" fillId="0" borderId="22" xfId="0" applyNumberFormat="1" applyFont="1" applyBorder="1" applyAlignment="1">
      <alignment horizontal="center" vertical="center" wrapText="1"/>
    </xf>
    <xf numFmtId="172" fontId="45" fillId="0" borderId="17" xfId="0" applyNumberFormat="1" applyFont="1" applyBorder="1" applyAlignment="1">
      <alignment horizontal="center" vertical="center"/>
    </xf>
    <xf numFmtId="173" fontId="38"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vertical="center" wrapText="1"/>
    </xf>
    <xf numFmtId="0" fontId="33" fillId="0" borderId="16" xfId="0" applyFont="1" applyBorder="1" applyAlignment="1">
      <alignment vertical="center" wrapText="1"/>
    </xf>
    <xf numFmtId="0" fontId="45" fillId="0" borderId="23" xfId="0" applyFont="1" applyBorder="1" applyAlignment="1">
      <alignment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67" fontId="2" fillId="0" borderId="23" xfId="0" applyNumberFormat="1" applyFont="1" applyBorder="1" applyAlignment="1">
      <alignment vertical="center"/>
    </xf>
    <xf numFmtId="172"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72" fontId="48" fillId="0" borderId="22" xfId="0" applyNumberFormat="1" applyFont="1" applyBorder="1" applyAlignment="1">
      <alignment horizontal="center" vertical="center"/>
    </xf>
    <xf numFmtId="172" fontId="2" fillId="0" borderId="22" xfId="0" applyNumberFormat="1" applyFont="1" applyBorder="1" applyAlignment="1">
      <alignment vertical="center" wrapText="1"/>
    </xf>
    <xf numFmtId="172" fontId="49" fillId="0" borderId="23" xfId="0" applyNumberFormat="1" applyFont="1" applyBorder="1" applyAlignment="1">
      <alignment horizontal="center" vertical="center"/>
    </xf>
    <xf numFmtId="0" fontId="2" fillId="0" borderId="23" xfId="0" quotePrefix="1" applyFont="1" applyBorder="1" applyAlignment="1">
      <alignment horizontal="center" vertical="center" wrapText="1"/>
    </xf>
    <xf numFmtId="0" fontId="36" fillId="18" borderId="0" xfId="0" applyFont="1" applyFill="1" applyAlignment="1">
      <alignment horizontal="center" vertical="center"/>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27" fillId="10" borderId="1" xfId="0" applyFont="1" applyFill="1" applyBorder="1" applyAlignment="1">
      <alignment horizontal="center" vertical="center" wrapText="1"/>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67" fontId="15" fillId="15" borderId="1" xfId="0" applyNumberFormat="1" applyFont="1" applyFill="1" applyBorder="1" applyAlignment="1">
      <alignment horizontal="center" vertical="center" wrapText="1"/>
    </xf>
    <xf numFmtId="167" fontId="15" fillId="15" borderId="5" xfId="0" applyNumberFormat="1" applyFont="1" applyFill="1" applyBorder="1" applyAlignment="1">
      <alignment horizontal="center" vertical="center" wrapText="1"/>
    </xf>
    <xf numFmtId="167" fontId="15" fillId="15" borderId="16" xfId="0" applyNumberFormat="1" applyFont="1" applyFill="1" applyBorder="1" applyAlignment="1">
      <alignment horizontal="center" vertical="center" wrapText="1"/>
    </xf>
    <xf numFmtId="167" fontId="15" fillId="15" borderId="3" xfId="0" applyNumberFormat="1" applyFont="1" applyFill="1" applyBorder="1" applyAlignment="1">
      <alignment horizontal="center" vertical="center" wrapText="1"/>
    </xf>
    <xf numFmtId="172" fontId="15" fillId="16" borderId="1" xfId="0" applyNumberFormat="1" applyFont="1" applyFill="1" applyBorder="1" applyAlignment="1">
      <alignment horizontal="center" vertical="center" wrapText="1"/>
    </xf>
    <xf numFmtId="172" fontId="15" fillId="15" borderId="1" xfId="0" applyNumberFormat="1" applyFont="1" applyFill="1" applyBorder="1" applyAlignment="1">
      <alignment horizontal="center" vertical="center" wrapText="1"/>
    </xf>
    <xf numFmtId="172" fontId="15" fillId="15" borderId="5" xfId="0" applyNumberFormat="1" applyFont="1" applyFill="1" applyBorder="1" applyAlignment="1">
      <alignment horizontal="center" vertical="center" wrapText="1"/>
    </xf>
    <xf numFmtId="172" fontId="15" fillId="15" borderId="16" xfId="0" applyNumberFormat="1" applyFont="1" applyFill="1" applyBorder="1" applyAlignment="1">
      <alignment horizontal="center" vertical="center" wrapText="1"/>
    </xf>
    <xf numFmtId="172" fontId="15" fillId="15" borderId="3"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67"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167" fontId="27" fillId="12" borderId="1" xfId="0" applyNumberFormat="1" applyFont="1" applyFill="1" applyBorder="1" applyAlignment="1">
      <alignment horizontal="center" vertical="center" wrapText="1"/>
    </xf>
    <xf numFmtId="167" fontId="15" fillId="13" borderId="1" xfId="0" applyNumberFormat="1" applyFont="1" applyFill="1" applyBorder="1" applyAlignment="1">
      <alignment horizontal="center" vertical="center" wrapText="1"/>
    </xf>
    <xf numFmtId="167" fontId="27" fillId="13" borderId="1" xfId="0" applyNumberFormat="1" applyFont="1" applyFill="1" applyBorder="1" applyAlignment="1">
      <alignment horizontal="center" vertical="center" wrapText="1"/>
    </xf>
    <xf numFmtId="167" fontId="15" fillId="9" borderId="28" xfId="0" applyNumberFormat="1" applyFont="1" applyFill="1" applyBorder="1" applyAlignment="1">
      <alignment horizontal="center" vertical="center" wrapText="1"/>
    </xf>
    <xf numFmtId="167" fontId="15" fillId="9" borderId="29" xfId="0" applyNumberFormat="1" applyFont="1" applyFill="1" applyBorder="1" applyAlignment="1">
      <alignment horizontal="center" vertical="center" wrapText="1"/>
    </xf>
    <xf numFmtId="167" fontId="15" fillId="9" borderId="30"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0">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64598529007846"/>
        </patternFill>
      </fill>
    </dxf>
    <dxf>
      <fill>
        <patternFill patternType="solid">
          <bgColor theme="5" tint="0.79964598529007846"/>
        </patternFill>
      </fill>
    </dxf>
    <dxf>
      <fill>
        <patternFill patternType="solid">
          <bgColor theme="5" tint="0.79964598529007846"/>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64598529007846"/>
        </patternFill>
      </fill>
    </dxf>
    <dxf>
      <fill>
        <patternFill patternType="solid">
          <bgColor theme="5" tint="0.79964598529007846"/>
        </patternFill>
      </fill>
    </dxf>
    <dxf>
      <fill>
        <patternFill patternType="solid">
          <bgColor theme="5" tint="0.79964598529007846"/>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s>
  <tableStyles count="0" defaultTableStyle="TableStyleMedium2" defaultPivotStyle="PivotStyleLight16"/>
  <colors>
    <mruColors>
      <color rgb="FF92D050"/>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Administrator/Desktop/Procurement%20Plan/Procurement%20Plan-ROS-19%20Mar-%20LLI.xlsx" TargetMode="External"/><Relationship Id="rId1" Type="http://schemas.openxmlformats.org/officeDocument/2006/relationships/externalLinkPath" Target="/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sheetData sheetId="650" refreshError="1"/>
      <sheetData sheetId="651" refreshError="1"/>
      <sheetData sheetId="652"/>
      <sheetData sheetId="653"/>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refreshError="1"/>
      <sheetData sheetId="795" refreshError="1"/>
      <sheetData sheetId="796" refreshError="1"/>
      <sheetData sheetId="797"/>
      <sheetData sheetId="798" refreshError="1"/>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refreshError="1"/>
      <sheetData sheetId="848" refreshError="1"/>
      <sheetData sheetId="849" refreshError="1"/>
      <sheetData sheetId="850"/>
      <sheetData sheetId="85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sheetData sheetId="887" refreshError="1"/>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sheetData sheetId="2188" refreshError="1"/>
      <sheetData sheetId="2189" refreshError="1"/>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refreshError="1"/>
      <sheetData sheetId="2212" refreshError="1"/>
      <sheetData sheetId="2213"/>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refreshError="1"/>
      <sheetData sheetId="2450"/>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refreshError="1"/>
      <sheetData sheetId="2582"/>
      <sheetData sheetId="2583"/>
      <sheetData sheetId="2584"/>
      <sheetData sheetId="2585"/>
      <sheetData sheetId="2586" refreshError="1"/>
      <sheetData sheetId="2587" refreshError="1"/>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sheetData sheetId="2606"/>
      <sheetData sheetId="2607"/>
      <sheetData sheetId="2608"/>
      <sheetData sheetId="2609"/>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sheetData sheetId="2641"/>
      <sheetData sheetId="2642"/>
      <sheetData sheetId="2643"/>
      <sheetData sheetId="2644"/>
      <sheetData sheetId="2645"/>
      <sheetData sheetId="2646"/>
      <sheetData sheetId="2647"/>
      <sheetData sheetId="2648"/>
      <sheetData sheetId="2649" refreshError="1"/>
      <sheetData sheetId="2650"/>
      <sheetData sheetId="2651"/>
      <sheetData sheetId="2652"/>
      <sheetData sheetId="2653" refreshError="1"/>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sheetData sheetId="2696"/>
      <sheetData sheetId="2697"/>
      <sheetData sheetId="2698"/>
      <sheetData sheetId="2699"/>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refreshError="1"/>
      <sheetData sheetId="3358" refreshError="1"/>
      <sheetData sheetId="3359" refreshError="1"/>
      <sheetData sheetId="3360"/>
      <sheetData sheetId="3361" refreshError="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refreshError="1"/>
      <sheetData sheetId="4108" refreshError="1"/>
      <sheetData sheetId="4109" refreshError="1"/>
      <sheetData sheetId="4110" refreshError="1"/>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refreshError="1"/>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refreshError="1"/>
      <sheetData sheetId="10733"/>
      <sheetData sheetId="10734"/>
      <sheetData sheetId="10735" refreshError="1"/>
      <sheetData sheetId="10736"/>
      <sheetData sheetId="10737" refreshError="1"/>
      <sheetData sheetId="10738" refreshError="1"/>
      <sheetData sheetId="10739" refreshError="1"/>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refreshError="1"/>
      <sheetData sheetId="10781" refreshError="1"/>
      <sheetData sheetId="10782" refreshError="1"/>
      <sheetData sheetId="10783" refreshError="1"/>
      <sheetData sheetId="10784" refreshError="1"/>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sheetData sheetId="11100"/>
      <sheetData sheetId="11101" refreshError="1"/>
      <sheetData sheetId="11102" refreshError="1"/>
      <sheetData sheetId="11103" refreshError="1"/>
      <sheetData sheetId="11104" refreshError="1"/>
      <sheetData sheetId="11105"/>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sheetData sheetId="11182"/>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sheetData sheetId="11286"/>
      <sheetData sheetId="11287"/>
      <sheetData sheetId="11288" refreshError="1"/>
      <sheetData sheetId="11289" refreshError="1"/>
      <sheetData sheetId="11290" refreshError="1"/>
      <sheetData sheetId="11291"/>
      <sheetData sheetId="11292"/>
      <sheetData sheetId="11293" refreshError="1"/>
      <sheetData sheetId="11294" refreshError="1"/>
      <sheetData sheetId="11295" refreshError="1"/>
      <sheetData sheetId="11296" refreshError="1"/>
      <sheetData sheetId="11297" refreshError="1"/>
      <sheetData sheetId="11298"/>
      <sheetData sheetId="11299" refreshError="1"/>
      <sheetData sheetId="11300" refreshError="1"/>
      <sheetData sheetId="11301" refreshError="1"/>
      <sheetData sheetId="11302" refreshError="1"/>
      <sheetData sheetId="11303" refreshError="1"/>
      <sheetData sheetId="11304"/>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refreshError="1"/>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refreshError="1"/>
      <sheetData sheetId="11427" refreshError="1"/>
      <sheetData sheetId="11428"/>
      <sheetData sheetId="11429"/>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sheetData sheetId="11451" refreshError="1"/>
      <sheetData sheetId="11452" refreshError="1"/>
      <sheetData sheetId="11453" refreshError="1"/>
      <sheetData sheetId="11454"/>
      <sheetData sheetId="11455"/>
      <sheetData sheetId="11456"/>
      <sheetData sheetId="11457" refreshError="1"/>
      <sheetData sheetId="11458"/>
      <sheetData sheetId="11459"/>
      <sheetData sheetId="11460"/>
      <sheetData sheetId="11461"/>
      <sheetData sheetId="11462"/>
      <sheetData sheetId="11463"/>
      <sheetData sheetId="11464"/>
      <sheetData sheetId="11465" refreshError="1"/>
      <sheetData sheetId="11466" refreshError="1"/>
      <sheetData sheetId="11467" refreshError="1"/>
      <sheetData sheetId="11468" refreshError="1"/>
      <sheetData sheetId="11469"/>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refreshError="1"/>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sheetData sheetId="12437"/>
      <sheetData sheetId="12438"/>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sheetData sheetId="12447"/>
      <sheetData sheetId="12448"/>
      <sheetData sheetId="12449" refreshError="1"/>
      <sheetData sheetId="12450" refreshError="1"/>
      <sheetData sheetId="12451" refreshError="1"/>
      <sheetData sheetId="12452"/>
      <sheetData sheetId="12453"/>
      <sheetData sheetId="12454" refreshError="1"/>
      <sheetData sheetId="12455" refreshError="1"/>
      <sheetData sheetId="12456" refreshError="1"/>
      <sheetData sheetId="12457"/>
      <sheetData sheetId="12458"/>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sheetData sheetId="12484"/>
      <sheetData sheetId="12485"/>
      <sheetData sheetId="12486"/>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refreshError="1"/>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sheetData sheetId="12726"/>
      <sheetData sheetId="12727" refreshError="1"/>
      <sheetData sheetId="12728" refreshError="1"/>
      <sheetData sheetId="12729" refreshError="1"/>
      <sheetData sheetId="12730" refreshError="1"/>
      <sheetData sheetId="12731" refreshError="1"/>
      <sheetData sheetId="12732" refreshError="1"/>
      <sheetData sheetId="12733"/>
      <sheetData sheetId="12734"/>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sheetData sheetId="12786" refreshError="1"/>
      <sheetData sheetId="12787" refreshError="1"/>
      <sheetData sheetId="12788"/>
      <sheetData sheetId="12789"/>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sheetData sheetId="12932" refreshError="1"/>
      <sheetData sheetId="12933" refreshError="1"/>
      <sheetData sheetId="12934"/>
      <sheetData sheetId="12935"/>
      <sheetData sheetId="12936"/>
      <sheetData sheetId="12937"/>
      <sheetData sheetId="12938"/>
      <sheetData sheetId="12939"/>
      <sheetData sheetId="12940"/>
      <sheetData sheetId="12941"/>
      <sheetData sheetId="12942"/>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sheetData sheetId="12954"/>
      <sheetData sheetId="12955" refreshError="1"/>
      <sheetData sheetId="12956" refreshError="1"/>
      <sheetData sheetId="12957" refreshError="1"/>
      <sheetData sheetId="12958" refreshError="1"/>
      <sheetData sheetId="12959" refreshError="1"/>
      <sheetData sheetId="12960"/>
      <sheetData sheetId="12961" refreshError="1"/>
      <sheetData sheetId="12962" refreshError="1"/>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refreshError="1"/>
      <sheetData sheetId="13016"/>
      <sheetData sheetId="13017"/>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sheetData sheetId="13968"/>
      <sheetData sheetId="13969"/>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sheetData sheetId="13993"/>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refreshError="1"/>
      <sheetData sheetId="14054" refreshError="1"/>
      <sheetData sheetId="14055"/>
      <sheetData sheetId="14056"/>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sheetData sheetId="14113" refreshError="1"/>
      <sheetData sheetId="14114" refreshError="1"/>
      <sheetData sheetId="14115"/>
      <sheetData sheetId="14116" refreshError="1"/>
      <sheetData sheetId="14117" refreshError="1"/>
      <sheetData sheetId="14118"/>
      <sheetData sheetId="14119"/>
      <sheetData sheetId="14120"/>
      <sheetData sheetId="14121"/>
      <sheetData sheetId="14122" refreshError="1"/>
      <sheetData sheetId="14123"/>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sheetData sheetId="14146"/>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sheetData sheetId="14164"/>
      <sheetData sheetId="14165"/>
      <sheetData sheetId="14166" refreshError="1"/>
      <sheetData sheetId="14167" refreshError="1"/>
      <sheetData sheetId="14168" refreshError="1"/>
      <sheetData sheetId="14169"/>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sheetData sheetId="14533"/>
      <sheetData sheetId="14534" refreshError="1"/>
      <sheetData sheetId="14535"/>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sheetData sheetId="14552"/>
      <sheetData sheetId="14553"/>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sheetData sheetId="14636"/>
      <sheetData sheetId="14637"/>
      <sheetData sheetId="14638"/>
      <sheetData sheetId="14639" refreshError="1"/>
      <sheetData sheetId="14640" refreshError="1"/>
      <sheetData sheetId="14641" refreshError="1"/>
      <sheetData sheetId="14642"/>
      <sheetData sheetId="14643"/>
      <sheetData sheetId="14644"/>
      <sheetData sheetId="14645"/>
      <sheetData sheetId="14646"/>
      <sheetData sheetId="14647"/>
      <sheetData sheetId="14648"/>
      <sheetData sheetId="14649"/>
      <sheetData sheetId="14650"/>
      <sheetData sheetId="14651"/>
      <sheetData sheetId="14652"/>
      <sheetData sheetId="14653" refreshError="1"/>
      <sheetData sheetId="14654" refreshError="1"/>
      <sheetData sheetId="14655" refreshError="1"/>
      <sheetData sheetId="14656"/>
      <sheetData sheetId="14657"/>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sheetData sheetId="14689"/>
      <sheetData sheetId="14690" refreshError="1"/>
      <sheetData sheetId="14691"/>
      <sheetData sheetId="14692" refreshError="1"/>
      <sheetData sheetId="14693"/>
      <sheetData sheetId="14694"/>
      <sheetData sheetId="14695"/>
      <sheetData sheetId="14696"/>
      <sheetData sheetId="14697" refreshError="1"/>
      <sheetData sheetId="14698"/>
      <sheetData sheetId="14699" refreshError="1"/>
      <sheetData sheetId="14700" refreshError="1"/>
      <sheetData sheetId="14701" refreshError="1"/>
      <sheetData sheetId="14702" refreshError="1"/>
      <sheetData sheetId="14703"/>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sheetData sheetId="14718"/>
      <sheetData sheetId="14719"/>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REF!"/>
      <sheetName val="RFP012"/>
      <sheetName val="NOTES"/>
      <sheetName val="MH(on site)"/>
      <sheetName val="SPEC SHEET"/>
      <sheetName val="计算稿"/>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明细表 "/>
      <sheetName val="Summary"/>
      <sheetName val="Summary "/>
      <sheetName val="Process Piping"/>
      <sheetName val="C11-2(103)-Prelims"/>
      <sheetName val="RFP002"/>
      <sheetName val="lookups"/>
      <sheetName val="Lagerhalle"/>
      <sheetName val="加压气化606ab工艺综合单价分析表"/>
      <sheetName val="3"/>
      <sheetName val="140TT447"/>
      <sheetName val="工业炉"/>
      <sheetName val="04暖通"/>
      <sheetName val="resu"/>
      <sheetName val="373A"/>
      <sheetName val="SPEC"/>
      <sheetName val="Area"/>
      <sheetName val="PVC"/>
      <sheetName val="XLPE"/>
      <sheetName val="Estimate Details"/>
      <sheetName val="Pricing"/>
      <sheetName val="合成単価作成表-BLDG"/>
      <sheetName val="10 barg Steam_Cond"/>
      <sheetName val="mesc"/>
      <sheetName val="April"/>
      <sheetName val="CFS3"/>
      <sheetName val="Rate"/>
      <sheetName val="GPP"/>
      <sheetName val="P1260Projected.5700 Detail"/>
      <sheetName val="P852.5000 Detail"/>
      <sheetName val="P854.5000 Detail"/>
      <sheetName val="P856.5000 Detail"/>
      <sheetName val="P858.5000 Detail"/>
      <sheetName val="P860Baseline.5000 Detail"/>
      <sheetName val="401_1"/>
      <sheetName val="401_2"/>
      <sheetName val="401_3"/>
      <sheetName val="401_4"/>
      <sheetName val="401_5"/>
      <sheetName val="401_7"/>
      <sheetName val="Cover Sheet"/>
      <sheetName val="Pull-Down Menus"/>
      <sheetName val="Macro1"/>
      <sheetName val="code"/>
      <sheetName val="utility"/>
      <sheetName val="Register"/>
      <sheetName val="Piping ClASS"/>
      <sheetName val="PB for Mapping"/>
      <sheetName val="Project Data Page"/>
      <sheetName val="LINE LIST"/>
      <sheetName val="Fee Rate Summary"/>
      <sheetName val="LEGEND"/>
      <sheetName val="Details"/>
      <sheetName val="110TE001"/>
      <sheetName val="703r"/>
      <sheetName val="702r"/>
      <sheetName val="Dropdown LISTs"/>
      <sheetName val="Overall"/>
      <sheetName val="Sum"/>
      <sheetName val="A"/>
      <sheetName val="MhrCost Data"/>
      <sheetName val="Process Equipment"/>
      <sheetName val="Insulation"/>
      <sheetName val="Piping&amp;Valve Code"/>
      <sheetName val="Painting"/>
      <sheetName val="電気設備表"/>
      <sheetName val="CIV-DWG-ADA"/>
      <sheetName val="CIV-DOC-ADA"/>
      <sheetName val="基本设置"/>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海盐加工装置"/>
      <sheetName val="内外控制表"/>
      <sheetName val="SP"/>
      <sheetName val="eqplist"/>
      <sheetName val="ΔVp &amp; Ω"/>
      <sheetName val="변수"/>
      <sheetName val="Factor"/>
      <sheetName val="Connections"/>
      <sheetName val="DWTables"/>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300 Instrumentation "/>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計算本体2"/>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V328"/>
  <sheetViews>
    <sheetView tabSelected="1" view="pageBreakPreview" topLeftCell="A7" zoomScale="70" zoomScaleNormal="40" workbookViewId="0">
      <pane ySplit="12" topLeftCell="A63" activePane="bottomLeft" state="frozen"/>
      <selection pane="bottomLeft" activeCell="C263" sqref="C263:C278"/>
    </sheetView>
  </sheetViews>
  <sheetFormatPr defaultColWidth="9" defaultRowHeight="13.5" outlineLevelCol="1"/>
  <cols>
    <col min="1" max="1" width="6.3984375" style="269" customWidth="1"/>
    <col min="2" max="2" width="15.1328125" style="269" customWidth="1"/>
    <col min="3" max="3" width="25" style="269" customWidth="1"/>
    <col min="4" max="4" width="8.9296875" style="270" hidden="1" customWidth="1"/>
    <col min="5" max="5" width="8.9296875" style="269" hidden="1" customWidth="1"/>
    <col min="6" max="6" width="8.9296875" style="270" hidden="1" customWidth="1"/>
    <col min="7" max="7" width="7.53125" style="271" hidden="1" customWidth="1"/>
    <col min="8" max="8" width="15.73046875" style="269" customWidth="1"/>
    <col min="9" max="9" width="12.265625" style="269" customWidth="1"/>
    <col min="10" max="10" width="12.3984375" style="269" hidden="1" customWidth="1"/>
    <col min="11" max="11" width="9.3984375" style="269" hidden="1" customWidth="1"/>
    <col min="12" max="12" width="10" style="269" customWidth="1"/>
    <col min="13" max="13" width="11.1328125" style="272" customWidth="1"/>
    <col min="14" max="14" width="13.3984375" style="269" hidden="1" customWidth="1"/>
    <col min="15" max="15" width="11.73046875" style="262" customWidth="1"/>
    <col min="16" max="16" width="11.86328125" style="262" customWidth="1"/>
    <col min="17" max="17" width="10.265625" style="262" customWidth="1"/>
    <col min="18" max="18" width="10.73046875" style="262" customWidth="1"/>
    <col min="19" max="19" width="11.1328125" style="262" customWidth="1"/>
    <col min="20" max="20" width="13.265625" style="262" customWidth="1"/>
    <col min="21" max="21" width="11.265625" style="262" customWidth="1"/>
    <col min="22" max="23" width="11.3984375" style="262" customWidth="1"/>
    <col min="24" max="24" width="13.3984375" style="262" customWidth="1"/>
    <col min="25" max="25" width="14.1328125" style="269" customWidth="1"/>
    <col min="26" max="26" width="12.1328125" style="269" customWidth="1"/>
    <col min="27" max="27" width="12.06640625" style="269" customWidth="1"/>
    <col min="28" max="28" width="14.1328125" style="269" customWidth="1"/>
    <col min="29" max="29" width="15.1328125" style="269" customWidth="1"/>
    <col min="30" max="30" width="15.1328125" style="269" hidden="1" customWidth="1"/>
    <col min="31" max="31" width="14.265625" style="269" hidden="1" customWidth="1"/>
    <col min="32" max="32" width="11.46484375" style="269" customWidth="1" outlineLevel="1"/>
    <col min="33" max="35" width="13.59765625" style="269" customWidth="1"/>
    <col min="36" max="36" width="16.86328125" style="269" customWidth="1"/>
    <col min="37" max="37" width="10.73046875" style="269" customWidth="1"/>
    <col min="38" max="38" width="9.86328125" style="270" customWidth="1"/>
    <col min="39" max="39" width="13.73046875" style="273" customWidth="1"/>
    <col min="40" max="40" width="13.73046875" style="274" customWidth="1"/>
    <col min="41" max="42" width="13.73046875" style="274" hidden="1" customWidth="1"/>
    <col min="43" max="43" width="25.3984375" style="274" hidden="1" customWidth="1"/>
    <col min="44" max="45" width="15" style="274" customWidth="1"/>
    <col min="46" max="46" width="15" style="271" customWidth="1"/>
    <col min="47" max="47" width="45.59765625" style="275" customWidth="1"/>
    <col min="48" max="48" width="15.46484375" style="269"/>
    <col min="49" max="16384" width="9" style="269"/>
  </cols>
  <sheetData>
    <row r="1" spans="1:47" ht="13.5" hidden="1" customHeight="1">
      <c r="AN1" s="273"/>
      <c r="AO1" s="273"/>
      <c r="AP1" s="273"/>
      <c r="AQ1" s="273"/>
    </row>
    <row r="2" spans="1:47" ht="21.6" hidden="1" customHeight="1">
      <c r="B2" s="276" t="s">
        <v>0</v>
      </c>
      <c r="C2" s="276" t="s">
        <v>1</v>
      </c>
      <c r="D2" s="277"/>
      <c r="F2" s="277"/>
      <c r="AN2" s="273"/>
      <c r="AO2" s="273"/>
      <c r="AP2" s="273"/>
      <c r="AQ2" s="273"/>
    </row>
    <row r="3" spans="1:47" ht="19.350000000000001" hidden="1" customHeight="1">
      <c r="C3" s="276" t="s">
        <v>2</v>
      </c>
      <c r="D3" s="277"/>
      <c r="F3" s="277"/>
      <c r="AN3" s="273"/>
      <c r="AO3" s="273"/>
      <c r="AP3" s="273"/>
      <c r="AQ3" s="273"/>
    </row>
    <row r="4" spans="1:47" ht="21" hidden="1" customHeight="1">
      <c r="C4" s="276" t="s">
        <v>3</v>
      </c>
      <c r="D4" s="277"/>
      <c r="F4" s="277"/>
      <c r="AN4" s="273"/>
      <c r="AO4" s="273"/>
      <c r="AP4" s="273"/>
      <c r="AQ4" s="273"/>
    </row>
    <row r="5" spans="1:47" ht="23.45" hidden="1" customHeight="1">
      <c r="B5" s="278"/>
      <c r="C5" s="276" t="s">
        <v>4</v>
      </c>
      <c r="D5" s="277"/>
      <c r="F5" s="277"/>
      <c r="AN5" s="273"/>
      <c r="AO5" s="273"/>
      <c r="AP5" s="273"/>
      <c r="AQ5" s="273"/>
    </row>
    <row r="6" spans="1:47" ht="23.45" hidden="1" customHeight="1">
      <c r="B6" s="278"/>
      <c r="C6" s="276" t="s">
        <v>5</v>
      </c>
      <c r="D6" s="277"/>
      <c r="F6" s="277"/>
      <c r="AN6" s="273"/>
      <c r="AO6" s="273"/>
      <c r="AP6" s="273"/>
      <c r="AQ6" s="273"/>
    </row>
    <row r="7" spans="1:47" ht="13.35" hidden="1" customHeight="1">
      <c r="AN7" s="273"/>
      <c r="AO7" s="273"/>
      <c r="AP7" s="273"/>
      <c r="AQ7" s="273"/>
    </row>
    <row r="8" spans="1:47" s="262" customFormat="1" ht="13.35" hidden="1" customHeight="1">
      <c r="D8" s="279"/>
      <c r="F8" s="279"/>
      <c r="G8" s="280"/>
      <c r="L8" s="281" t="s">
        <v>6</v>
      </c>
      <c r="M8" s="282"/>
      <c r="N8" s="283"/>
      <c r="O8" s="283">
        <v>1</v>
      </c>
      <c r="P8" s="283">
        <v>10</v>
      </c>
      <c r="Q8" s="283">
        <v>0</v>
      </c>
      <c r="R8" s="283">
        <v>0</v>
      </c>
      <c r="S8" s="283">
        <v>0</v>
      </c>
      <c r="T8" s="283">
        <v>10</v>
      </c>
      <c r="U8" s="283">
        <v>17</v>
      </c>
      <c r="V8" s="283">
        <v>10</v>
      </c>
      <c r="W8" s="283"/>
      <c r="X8" s="283">
        <v>9</v>
      </c>
      <c r="AL8" s="279"/>
      <c r="AM8" s="263"/>
      <c r="AN8" s="263"/>
      <c r="AO8" s="263"/>
      <c r="AP8" s="263"/>
      <c r="AQ8" s="263"/>
      <c r="AR8" s="284"/>
      <c r="AS8" s="284"/>
      <c r="AT8" s="280"/>
      <c r="AU8" s="280"/>
    </row>
    <row r="9" spans="1:47" s="262" customFormat="1" ht="13.35" hidden="1" customHeight="1">
      <c r="D9" s="279"/>
      <c r="F9" s="279"/>
      <c r="G9" s="280"/>
      <c r="L9" s="281" t="s">
        <v>7</v>
      </c>
      <c r="M9" s="282"/>
      <c r="N9" s="283"/>
      <c r="O9" s="283">
        <v>1</v>
      </c>
      <c r="P9" s="283">
        <v>10</v>
      </c>
      <c r="Q9" s="283">
        <v>0</v>
      </c>
      <c r="R9" s="283">
        <v>0</v>
      </c>
      <c r="S9" s="283">
        <v>0</v>
      </c>
      <c r="T9" s="283">
        <v>10</v>
      </c>
      <c r="U9" s="283">
        <v>17</v>
      </c>
      <c r="V9" s="283">
        <v>10</v>
      </c>
      <c r="W9" s="283"/>
      <c r="X9" s="283">
        <v>9</v>
      </c>
      <c r="AL9" s="279"/>
      <c r="AM9" s="263"/>
      <c r="AN9" s="263"/>
      <c r="AO9" s="263"/>
      <c r="AP9" s="263"/>
      <c r="AQ9" s="263"/>
      <c r="AR9" s="284"/>
      <c r="AS9" s="284"/>
      <c r="AT9" s="280"/>
      <c r="AU9" s="280"/>
    </row>
    <row r="10" spans="1:47" s="262" customFormat="1" ht="13.35" hidden="1" customHeight="1">
      <c r="D10" s="279"/>
      <c r="F10" s="279"/>
      <c r="G10" s="280"/>
      <c r="L10" s="281" t="s">
        <v>8</v>
      </c>
      <c r="M10" s="282"/>
      <c r="N10" s="283"/>
      <c r="O10" s="283">
        <v>1</v>
      </c>
      <c r="P10" s="283">
        <v>10</v>
      </c>
      <c r="Q10" s="283">
        <v>0</v>
      </c>
      <c r="R10" s="283">
        <v>0</v>
      </c>
      <c r="S10" s="283">
        <v>0</v>
      </c>
      <c r="T10" s="283">
        <v>10</v>
      </c>
      <c r="U10" s="283">
        <v>13</v>
      </c>
      <c r="V10" s="283">
        <v>10</v>
      </c>
      <c r="W10" s="283"/>
      <c r="X10" s="283">
        <v>9</v>
      </c>
      <c r="AL10" s="279"/>
      <c r="AM10" s="263"/>
      <c r="AN10" s="263"/>
      <c r="AO10" s="263"/>
      <c r="AP10" s="263"/>
      <c r="AQ10" s="263"/>
      <c r="AR10" s="284"/>
      <c r="AS10" s="284"/>
      <c r="AT10" s="280"/>
      <c r="AU10" s="280"/>
    </row>
    <row r="11" spans="1:47" s="262" customFormat="1" ht="13.35" hidden="1" customHeight="1">
      <c r="D11" s="279"/>
      <c r="F11" s="279"/>
      <c r="G11" s="280"/>
      <c r="L11" s="281" t="s">
        <v>9</v>
      </c>
      <c r="M11" s="282"/>
      <c r="N11" s="283"/>
      <c r="O11" s="283">
        <v>1</v>
      </c>
      <c r="P11" s="283">
        <v>10</v>
      </c>
      <c r="Q11" s="283">
        <v>0</v>
      </c>
      <c r="R11" s="283">
        <v>0</v>
      </c>
      <c r="S11" s="283">
        <v>0</v>
      </c>
      <c r="T11" s="283">
        <v>5</v>
      </c>
      <c r="U11" s="283">
        <v>7</v>
      </c>
      <c r="V11" s="283">
        <v>10</v>
      </c>
      <c r="W11" s="283"/>
      <c r="X11" s="283">
        <v>5</v>
      </c>
      <c r="AL11" s="279"/>
      <c r="AM11" s="263"/>
      <c r="AN11" s="263"/>
      <c r="AO11" s="263"/>
      <c r="AP11" s="263"/>
      <c r="AQ11" s="263"/>
      <c r="AR11" s="284"/>
      <c r="AS11" s="284"/>
      <c r="AT11" s="280"/>
      <c r="AU11" s="280"/>
    </row>
    <row r="12" spans="1:47" s="262" customFormat="1" ht="20.100000000000001" hidden="1" customHeight="1">
      <c r="B12" s="285" t="s">
        <v>10</v>
      </c>
      <c r="D12" s="279"/>
      <c r="F12" s="279"/>
      <c r="G12" s="280"/>
      <c r="L12" s="286" t="s">
        <v>6</v>
      </c>
      <c r="M12" s="287"/>
      <c r="O12" s="47">
        <v>1</v>
      </c>
      <c r="P12" s="47">
        <v>5</v>
      </c>
      <c r="Q12" s="288">
        <v>1</v>
      </c>
      <c r="R12" s="47">
        <v>5</v>
      </c>
      <c r="T12" s="288">
        <v>10</v>
      </c>
      <c r="U12" s="47">
        <v>20</v>
      </c>
      <c r="V12" s="47">
        <v>3</v>
      </c>
      <c r="W12" s="47"/>
      <c r="X12" s="288">
        <v>10</v>
      </c>
      <c r="Y12" s="288">
        <v>2</v>
      </c>
      <c r="Z12" s="262">
        <v>5</v>
      </c>
      <c r="AA12" s="47">
        <v>20</v>
      </c>
      <c r="AB12" s="47">
        <v>10</v>
      </c>
      <c r="AF12" s="47">
        <v>5</v>
      </c>
      <c r="AG12" s="47">
        <v>5</v>
      </c>
      <c r="AH12" s="47"/>
      <c r="AI12" s="47"/>
      <c r="AJ12" s="47"/>
      <c r="AL12" s="289"/>
      <c r="AM12" s="290"/>
      <c r="AN12" s="284"/>
      <c r="AO12" s="443" t="s">
        <v>11</v>
      </c>
      <c r="AP12" s="443"/>
      <c r="AQ12" s="443"/>
      <c r="AR12" s="284"/>
      <c r="AS12" s="284"/>
      <c r="AT12" s="280"/>
      <c r="AU12" s="280"/>
    </row>
    <row r="13" spans="1:47" s="262" customFormat="1" ht="12.75" hidden="1" customHeight="1">
      <c r="D13" s="279"/>
      <c r="F13" s="279"/>
      <c r="G13" s="280"/>
      <c r="L13" s="286" t="s">
        <v>7</v>
      </c>
      <c r="M13" s="287"/>
      <c r="O13" s="47">
        <v>1</v>
      </c>
      <c r="P13" s="47">
        <v>5</v>
      </c>
      <c r="Q13" s="288">
        <v>1</v>
      </c>
      <c r="R13" s="47">
        <v>5</v>
      </c>
      <c r="T13" s="288">
        <v>10</v>
      </c>
      <c r="U13" s="47">
        <v>20</v>
      </c>
      <c r="V13" s="47">
        <v>3</v>
      </c>
      <c r="W13" s="47"/>
      <c r="X13" s="288">
        <v>10</v>
      </c>
      <c r="Y13" s="288">
        <v>2</v>
      </c>
      <c r="Z13" s="262">
        <v>5</v>
      </c>
      <c r="AA13" s="47">
        <v>20</v>
      </c>
      <c r="AB13" s="47">
        <v>10</v>
      </c>
      <c r="AF13" s="47">
        <v>5</v>
      </c>
      <c r="AG13" s="47">
        <v>5</v>
      </c>
      <c r="AH13" s="47"/>
      <c r="AI13" s="47"/>
      <c r="AJ13" s="47"/>
      <c r="AL13" s="289"/>
      <c r="AM13" s="290"/>
      <c r="AN13" s="284"/>
      <c r="AO13" s="443"/>
      <c r="AP13" s="443"/>
      <c r="AQ13" s="443"/>
      <c r="AR13" s="284"/>
      <c r="AS13" s="284"/>
      <c r="AT13" s="280"/>
      <c r="AU13" s="280"/>
    </row>
    <row r="14" spans="1:47" s="262" customFormat="1" ht="12.75" hidden="1" customHeight="1">
      <c r="D14" s="279"/>
      <c r="F14" s="279"/>
      <c r="G14" s="280"/>
      <c r="L14" s="286" t="s">
        <v>8</v>
      </c>
      <c r="M14" s="287"/>
      <c r="O14" s="47">
        <v>3</v>
      </c>
      <c r="P14" s="291">
        <v>5</v>
      </c>
      <c r="Q14" s="288">
        <v>1</v>
      </c>
      <c r="R14" s="291">
        <v>5</v>
      </c>
      <c r="T14" s="288">
        <v>10</v>
      </c>
      <c r="U14" s="47">
        <v>15</v>
      </c>
      <c r="V14" s="291">
        <v>3</v>
      </c>
      <c r="W14" s="291"/>
      <c r="X14" s="288">
        <v>10</v>
      </c>
      <c r="Y14" s="288">
        <v>2</v>
      </c>
      <c r="Z14" s="262">
        <v>5</v>
      </c>
      <c r="AA14" s="47">
        <v>15</v>
      </c>
      <c r="AB14" s="47">
        <v>10</v>
      </c>
      <c r="AF14" s="47">
        <v>5</v>
      </c>
      <c r="AG14" s="47">
        <v>5</v>
      </c>
      <c r="AH14" s="47"/>
      <c r="AI14" s="47"/>
      <c r="AJ14" s="47"/>
      <c r="AL14" s="289"/>
      <c r="AM14" s="290"/>
      <c r="AN14" s="284"/>
      <c r="AO14" s="443"/>
      <c r="AP14" s="443"/>
      <c r="AQ14" s="443"/>
      <c r="AR14" s="284"/>
      <c r="AS14" s="284"/>
      <c r="AT14" s="280"/>
      <c r="AU14" s="280"/>
    </row>
    <row r="15" spans="1:47" s="262" customFormat="1" ht="12.75" hidden="1" customHeight="1">
      <c r="D15" s="279"/>
      <c r="F15" s="279"/>
      <c r="G15" s="280"/>
      <c r="L15" s="286" t="s">
        <v>9</v>
      </c>
      <c r="M15" s="287"/>
      <c r="O15" s="47">
        <v>3</v>
      </c>
      <c r="P15" s="47">
        <v>5</v>
      </c>
      <c r="Q15" s="288">
        <v>1</v>
      </c>
      <c r="R15" s="47">
        <v>3</v>
      </c>
      <c r="T15" s="288">
        <v>5</v>
      </c>
      <c r="U15" s="47">
        <v>7</v>
      </c>
      <c r="V15" s="47">
        <v>2</v>
      </c>
      <c r="W15" s="47"/>
      <c r="X15" s="288">
        <v>5</v>
      </c>
      <c r="Y15" s="288">
        <v>2</v>
      </c>
      <c r="Z15" s="262">
        <v>5</v>
      </c>
      <c r="AA15" s="47">
        <v>10</v>
      </c>
      <c r="AB15" s="47">
        <v>10</v>
      </c>
      <c r="AF15" s="292">
        <v>5</v>
      </c>
      <c r="AG15" s="292">
        <v>5</v>
      </c>
      <c r="AH15" s="292"/>
      <c r="AI15" s="47"/>
      <c r="AJ15" s="47"/>
      <c r="AL15" s="289"/>
      <c r="AM15" s="290"/>
      <c r="AN15" s="284"/>
      <c r="AO15" s="443"/>
      <c r="AP15" s="443"/>
      <c r="AQ15" s="443"/>
      <c r="AR15" s="284"/>
      <c r="AS15" s="284"/>
      <c r="AT15" s="280"/>
      <c r="AU15" s="280"/>
    </row>
    <row r="16" spans="1:47" s="262" customFormat="1" ht="31.5" customHeight="1">
      <c r="A16" s="293" t="s">
        <v>12</v>
      </c>
      <c r="B16" s="294" t="s">
        <v>13</v>
      </c>
      <c r="C16" s="294" t="s">
        <v>14</v>
      </c>
      <c r="D16" s="295" t="s">
        <v>15</v>
      </c>
      <c r="E16" s="293" t="s">
        <v>16</v>
      </c>
      <c r="F16" s="295" t="s">
        <v>17</v>
      </c>
      <c r="G16" s="293" t="s">
        <v>18</v>
      </c>
      <c r="H16" s="293" t="s">
        <v>19</v>
      </c>
      <c r="I16" s="293" t="s">
        <v>20</v>
      </c>
      <c r="J16" s="293" t="s">
        <v>21</v>
      </c>
      <c r="K16" s="293" t="s">
        <v>22</v>
      </c>
      <c r="L16" s="293" t="s">
        <v>23</v>
      </c>
      <c r="M16" s="293"/>
      <c r="N16" s="293" t="s">
        <v>24</v>
      </c>
      <c r="O16" s="293" t="s">
        <v>25</v>
      </c>
      <c r="P16" s="293" t="s">
        <v>26</v>
      </c>
      <c r="Q16" s="296" t="s">
        <v>27</v>
      </c>
      <c r="R16" s="293" t="s">
        <v>28</v>
      </c>
      <c r="S16" s="293" t="s">
        <v>29</v>
      </c>
      <c r="T16" s="293" t="s">
        <v>30</v>
      </c>
      <c r="U16" s="296" t="s">
        <v>31</v>
      </c>
      <c r="V16" s="293" t="s">
        <v>32</v>
      </c>
      <c r="W16" s="293" t="s">
        <v>33</v>
      </c>
      <c r="X16" s="296" t="s">
        <v>34</v>
      </c>
      <c r="Y16" s="293" t="s">
        <v>35</v>
      </c>
      <c r="Z16" s="293" t="s">
        <v>36</v>
      </c>
      <c r="AA16" s="296" t="s">
        <v>37</v>
      </c>
      <c r="AB16" s="296" t="s">
        <v>38</v>
      </c>
      <c r="AC16" s="296" t="s">
        <v>39</v>
      </c>
      <c r="AD16" s="293" t="s">
        <v>40</v>
      </c>
      <c r="AE16" s="293" t="s">
        <v>41</v>
      </c>
      <c r="AF16" s="297" t="s">
        <v>42</v>
      </c>
      <c r="AG16" s="296" t="s">
        <v>43</v>
      </c>
      <c r="AH16" s="296" t="s">
        <v>44</v>
      </c>
      <c r="AI16" s="296" t="s">
        <v>45</v>
      </c>
      <c r="AJ16" s="296" t="s">
        <v>46</v>
      </c>
      <c r="AK16" s="293" t="s">
        <v>16</v>
      </c>
      <c r="AL16" s="293" t="s">
        <v>47</v>
      </c>
      <c r="AM16" s="293" t="s">
        <v>48</v>
      </c>
      <c r="AN16" s="293" t="s">
        <v>49</v>
      </c>
      <c r="AO16" s="298" t="s">
        <v>50</v>
      </c>
      <c r="AP16" s="298" t="s">
        <v>51</v>
      </c>
      <c r="AQ16" s="298" t="s">
        <v>52</v>
      </c>
      <c r="AR16" s="293" t="s">
        <v>18</v>
      </c>
      <c r="AS16" s="293"/>
      <c r="AT16" s="293"/>
      <c r="AU16" s="293" t="s">
        <v>52</v>
      </c>
    </row>
    <row r="17" spans="1:48" s="262" customFormat="1" ht="15.75" customHeight="1">
      <c r="A17" s="299"/>
      <c r="B17" s="300"/>
      <c r="C17" s="300"/>
      <c r="D17" s="301"/>
      <c r="E17" s="302"/>
      <c r="F17" s="301"/>
      <c r="G17" s="302"/>
      <c r="H17" s="299"/>
      <c r="I17" s="299"/>
      <c r="J17" s="299"/>
      <c r="K17" s="299"/>
      <c r="L17" s="299"/>
      <c r="M17" s="65" t="s">
        <v>53</v>
      </c>
      <c r="N17" s="299"/>
      <c r="O17" s="299"/>
      <c r="P17" s="299"/>
      <c r="Q17" s="299"/>
      <c r="R17" s="299"/>
      <c r="S17" s="299"/>
      <c r="T17" s="299"/>
      <c r="U17" s="299"/>
      <c r="V17" s="299"/>
      <c r="W17" s="299"/>
      <c r="X17" s="299"/>
      <c r="Y17" s="299"/>
      <c r="Z17" s="302"/>
      <c r="AA17" s="302"/>
      <c r="AB17" s="302"/>
      <c r="AC17" s="302"/>
      <c r="AD17" s="302"/>
      <c r="AE17" s="302"/>
      <c r="AF17" s="302"/>
      <c r="AG17" s="302"/>
      <c r="AH17" s="302"/>
      <c r="AI17" s="302"/>
      <c r="AJ17" s="302"/>
      <c r="AK17" s="302"/>
      <c r="AL17" s="302"/>
      <c r="AM17" s="302"/>
      <c r="AN17" s="302"/>
      <c r="AO17" s="302"/>
      <c r="AP17" s="302"/>
      <c r="AQ17" s="302"/>
      <c r="AR17" s="302"/>
      <c r="AS17" s="302"/>
      <c r="AT17" s="302"/>
      <c r="AU17" s="302" t="s">
        <v>54</v>
      </c>
    </row>
    <row r="18" spans="1:48" s="263" customFormat="1" ht="15.75" customHeight="1">
      <c r="A18" s="303"/>
      <c r="B18" s="304"/>
      <c r="C18" s="304"/>
      <c r="D18" s="305"/>
      <c r="E18" s="306"/>
      <c r="F18" s="305"/>
      <c r="G18" s="306"/>
      <c r="H18" s="303"/>
      <c r="I18" s="303"/>
      <c r="J18" s="303"/>
      <c r="K18" s="303"/>
      <c r="L18" s="303"/>
      <c r="M18" s="307" t="s">
        <v>55</v>
      </c>
      <c r="N18" s="308" t="s">
        <v>56</v>
      </c>
      <c r="O18" s="303" t="s">
        <v>57</v>
      </c>
      <c r="P18" s="303" t="s">
        <v>57</v>
      </c>
      <c r="Q18" s="303" t="s">
        <v>56</v>
      </c>
      <c r="R18" s="303" t="s">
        <v>57</v>
      </c>
      <c r="S18" s="303"/>
      <c r="T18" s="303" t="s">
        <v>56</v>
      </c>
      <c r="U18" s="303" t="s">
        <v>57</v>
      </c>
      <c r="V18" s="303" t="s">
        <v>57</v>
      </c>
      <c r="W18" s="303" t="s">
        <v>56</v>
      </c>
      <c r="X18" s="303" t="s">
        <v>56</v>
      </c>
      <c r="Y18" s="303" t="s">
        <v>56</v>
      </c>
      <c r="Z18" s="303" t="s">
        <v>56</v>
      </c>
      <c r="AA18" s="306" t="s">
        <v>56</v>
      </c>
      <c r="AB18" s="306" t="s">
        <v>57</v>
      </c>
      <c r="AC18" s="306"/>
      <c r="AD18" s="306"/>
      <c r="AE18" s="306"/>
      <c r="AF18" s="306"/>
      <c r="AG18" s="306"/>
      <c r="AH18" s="306"/>
      <c r="AI18" s="306"/>
      <c r="AJ18" s="306"/>
      <c r="AK18" s="306"/>
      <c r="AL18" s="306"/>
      <c r="AM18" s="306"/>
      <c r="AN18" s="306"/>
      <c r="AO18" s="306"/>
      <c r="AP18" s="306"/>
      <c r="AQ18" s="306"/>
      <c r="AR18" s="306"/>
      <c r="AS18" s="306"/>
      <c r="AT18" s="306"/>
      <c r="AU18" s="306"/>
    </row>
    <row r="19" spans="1:48" s="264" customFormat="1" ht="25.05" customHeight="1">
      <c r="A19" s="309">
        <v>1</v>
      </c>
      <c r="B19" s="310" t="s">
        <v>58</v>
      </c>
      <c r="C19" s="310" t="s">
        <v>59</v>
      </c>
      <c r="D19" s="311"/>
      <c r="E19" s="312"/>
      <c r="F19" s="313"/>
      <c r="G19" s="314"/>
      <c r="H19" s="315"/>
      <c r="I19" s="314" t="s">
        <v>60</v>
      </c>
      <c r="J19" s="310"/>
      <c r="K19" s="316"/>
      <c r="L19" s="310" t="s">
        <v>6</v>
      </c>
      <c r="M19" s="317" t="s">
        <v>61</v>
      </c>
      <c r="N19" s="318"/>
      <c r="O19" s="319">
        <v>46122</v>
      </c>
      <c r="P19" s="319">
        <v>46145</v>
      </c>
      <c r="Q19" s="319">
        <v>46145</v>
      </c>
      <c r="R19" s="319">
        <v>46145</v>
      </c>
      <c r="S19" s="319">
        <v>46145</v>
      </c>
      <c r="T19" s="319">
        <v>46157</v>
      </c>
      <c r="U19" s="319">
        <v>46184</v>
      </c>
      <c r="V19" s="319">
        <v>46198</v>
      </c>
      <c r="W19" s="319"/>
      <c r="X19" s="319">
        <v>46211</v>
      </c>
      <c r="Y19" s="319">
        <v>46213</v>
      </c>
      <c r="Z19" s="319">
        <v>46220</v>
      </c>
      <c r="AA19" s="319">
        <v>46248</v>
      </c>
      <c r="AB19" s="319">
        <v>46262</v>
      </c>
      <c r="AC19" s="319">
        <v>46307</v>
      </c>
      <c r="AD19" s="319">
        <v>46310</v>
      </c>
      <c r="AE19" s="319">
        <v>46313</v>
      </c>
      <c r="AF19" s="319">
        <v>46496</v>
      </c>
      <c r="AG19" s="319">
        <v>46526</v>
      </c>
      <c r="AH19" s="319">
        <v>46540</v>
      </c>
      <c r="AI19" s="319">
        <v>46554</v>
      </c>
      <c r="AJ19" s="319">
        <v>46570</v>
      </c>
      <c r="AK19" s="320">
        <v>47</v>
      </c>
      <c r="AL19" s="321"/>
      <c r="AM19" s="319">
        <f>X19+AL20</f>
        <v>46540</v>
      </c>
      <c r="AN19" s="322"/>
      <c r="AO19" s="322"/>
      <c r="AP19" s="322"/>
      <c r="AQ19" s="322"/>
      <c r="AR19" s="314"/>
      <c r="AS19" s="323"/>
      <c r="AT19" s="324" t="s">
        <v>62</v>
      </c>
      <c r="AU19" s="325">
        <v>46568</v>
      </c>
    </row>
    <row r="20" spans="1:48" s="265" customFormat="1" ht="25.05" customHeight="1">
      <c r="A20" s="309"/>
      <c r="B20" s="310" t="s">
        <v>58</v>
      </c>
      <c r="C20" s="310" t="s">
        <v>59</v>
      </c>
      <c r="D20" s="311"/>
      <c r="E20" s="312"/>
      <c r="F20" s="313"/>
      <c r="G20" s="314">
        <v>4</v>
      </c>
      <c r="H20" s="315" t="s">
        <v>63</v>
      </c>
      <c r="I20" s="314" t="s">
        <v>60</v>
      </c>
      <c r="J20" s="310" t="s">
        <v>64</v>
      </c>
      <c r="K20" s="310">
        <v>2</v>
      </c>
      <c r="L20" s="310" t="s">
        <v>6</v>
      </c>
      <c r="M20" s="317" t="s">
        <v>65</v>
      </c>
      <c r="N20" s="319"/>
      <c r="O20" s="319"/>
      <c r="P20" s="319"/>
      <c r="Q20" s="319"/>
      <c r="R20" s="319"/>
      <c r="S20" s="319"/>
      <c r="T20" s="319"/>
      <c r="U20" s="319"/>
      <c r="V20" s="319"/>
      <c r="W20" s="319"/>
      <c r="X20" s="319">
        <v>46211</v>
      </c>
      <c r="Y20" s="319">
        <f>WORKDAY.INTL(X20,INDEX(Y$12:Y$15,MATCH($L20,$L$12:$L$15,0)),1,IF(Y$18="China",'China Holidays'!$A$2:$A$82,'Thai Holidays'!$A$2:$A$63))</f>
        <v>46213</v>
      </c>
      <c r="Z20" s="319">
        <f>WORKDAY.INTL(Y20,INDEX(Z$12:Z$15,MATCH($L20,$L$12:$L$15,0)),1,IF(Z$18="China",'China Holidays'!$A$2:$A$82,'Thai Holidays'!$A$2:$A$63))</f>
        <v>46220</v>
      </c>
      <c r="AA20" s="319">
        <f>WORKDAY.INTL(Z20,INDEX(AA$12:AA$15,MATCH($L20,$L$12:$L$15,0)),1,IF(AA$18="China",'China Holidays'!$A$2:$A$82,'Thai Holidays'!$A$2:$A$63))</f>
        <v>46248</v>
      </c>
      <c r="AB20" s="319">
        <f>WORKDAY.INTL(AA20,INDEX(AB$12:AB$15,MATCH($L20,$L$12:$L$15,0)),1,IF(AB$18="China",'China Holidays'!$A$2:$A$82,'Thai Holidays'!$A$2:$A$63))</f>
        <v>46262</v>
      </c>
      <c r="AC20" s="319">
        <f>AB20+45</f>
        <v>46307</v>
      </c>
      <c r="AD20" s="319">
        <f>AC20+3</f>
        <v>46310</v>
      </c>
      <c r="AE20" s="319">
        <f>AD20+3</f>
        <v>46313</v>
      </c>
      <c r="AF20" s="319">
        <f>AG20-30</f>
        <v>46496</v>
      </c>
      <c r="AG20" s="319">
        <f>AH20-14</f>
        <v>46526</v>
      </c>
      <c r="AH20" s="319">
        <f>AM20</f>
        <v>46540</v>
      </c>
      <c r="AI20" s="319">
        <f>AM20+14</f>
        <v>46554</v>
      </c>
      <c r="AJ20" s="319">
        <f>AM20+30</f>
        <v>46570</v>
      </c>
      <c r="AK20" s="320"/>
      <c r="AL20" s="321">
        <f>AK19*7</f>
        <v>329</v>
      </c>
      <c r="AM20" s="319">
        <f>X20+AL20</f>
        <v>46540</v>
      </c>
      <c r="AN20" s="322">
        <f>AU19-3</f>
        <v>46565</v>
      </c>
      <c r="AO20" s="322">
        <f>AP20-7</f>
        <v>46561</v>
      </c>
      <c r="AP20" s="322">
        <v>46568</v>
      </c>
      <c r="AQ20" s="322"/>
      <c r="AR20" s="314">
        <f>AN20-AM20</f>
        <v>25</v>
      </c>
      <c r="AS20" s="326"/>
      <c r="AT20" s="324" t="s">
        <v>66</v>
      </c>
      <c r="AU20" s="325">
        <v>46574</v>
      </c>
    </row>
    <row r="21" spans="1:48" s="264" customFormat="1" ht="25.05" customHeight="1">
      <c r="A21" s="327"/>
      <c r="B21" s="328" t="s">
        <v>58</v>
      </c>
      <c r="C21" s="328" t="s">
        <v>59</v>
      </c>
      <c r="D21" s="329"/>
      <c r="E21" s="330"/>
      <c r="F21" s="331"/>
      <c r="G21" s="332"/>
      <c r="H21" s="333"/>
      <c r="I21" s="332" t="s">
        <v>60</v>
      </c>
      <c r="J21" s="328" t="s">
        <v>64</v>
      </c>
      <c r="K21" s="310">
        <v>2</v>
      </c>
      <c r="L21" s="328" t="s">
        <v>6</v>
      </c>
      <c r="M21" s="334" t="s">
        <v>67</v>
      </c>
      <c r="N21" s="335">
        <v>46120</v>
      </c>
      <c r="O21" s="335">
        <v>46122</v>
      </c>
      <c r="P21" s="335">
        <v>46139</v>
      </c>
      <c r="Q21" s="335">
        <f>P21</f>
        <v>46139</v>
      </c>
      <c r="R21" s="335">
        <f>Q21</f>
        <v>46139</v>
      </c>
      <c r="S21" s="335">
        <f>R21</f>
        <v>46139</v>
      </c>
      <c r="T21" s="335">
        <v>46143</v>
      </c>
      <c r="U21" s="335">
        <v>46185</v>
      </c>
      <c r="V21" s="335">
        <v>46190</v>
      </c>
      <c r="W21" s="335">
        <v>46223</v>
      </c>
      <c r="X21" s="335"/>
      <c r="Y21" s="335"/>
      <c r="Z21" s="335">
        <v>46213</v>
      </c>
      <c r="AA21" s="335"/>
      <c r="AB21" s="335"/>
      <c r="AC21" s="335"/>
      <c r="AD21" s="335"/>
      <c r="AE21" s="335"/>
      <c r="AF21" s="335"/>
      <c r="AG21" s="335"/>
      <c r="AH21" s="335"/>
      <c r="AI21" s="335"/>
      <c r="AJ21" s="335"/>
      <c r="AK21" s="336"/>
      <c r="AL21" s="337"/>
      <c r="AM21" s="335"/>
      <c r="AN21" s="338"/>
      <c r="AO21" s="338"/>
      <c r="AP21" s="338"/>
      <c r="AQ21" s="338" t="s">
        <v>68</v>
      </c>
      <c r="AR21" s="332"/>
      <c r="AS21" s="339"/>
      <c r="AT21" s="340"/>
      <c r="AU21" s="341"/>
    </row>
    <row r="22" spans="1:48" s="264" customFormat="1" ht="25.05" customHeight="1">
      <c r="A22" s="309">
        <v>2</v>
      </c>
      <c r="B22" s="310" t="s">
        <v>69</v>
      </c>
      <c r="C22" s="310" t="s">
        <v>70</v>
      </c>
      <c r="D22" s="311"/>
      <c r="E22" s="312"/>
      <c r="F22" s="342"/>
      <c r="G22" s="314"/>
      <c r="H22" s="315"/>
      <c r="I22" s="314" t="s">
        <v>60</v>
      </c>
      <c r="J22" s="310"/>
      <c r="K22" s="316"/>
      <c r="L22" s="310" t="s">
        <v>8</v>
      </c>
      <c r="M22" s="317" t="s">
        <v>61</v>
      </c>
      <c r="N22" s="319"/>
      <c r="O22" s="319">
        <v>46203</v>
      </c>
      <c r="P22" s="319">
        <v>46217</v>
      </c>
      <c r="Q22" s="319">
        <v>46217</v>
      </c>
      <c r="R22" s="319">
        <v>46217</v>
      </c>
      <c r="S22" s="319">
        <v>46217</v>
      </c>
      <c r="T22" s="319">
        <v>46231</v>
      </c>
      <c r="U22" s="319">
        <v>46252</v>
      </c>
      <c r="V22" s="319">
        <v>46266</v>
      </c>
      <c r="W22" s="319"/>
      <c r="X22" s="319">
        <v>46279</v>
      </c>
      <c r="Y22" s="319">
        <v>46281</v>
      </c>
      <c r="Z22" s="319">
        <v>46288</v>
      </c>
      <c r="AA22" s="319">
        <v>46317</v>
      </c>
      <c r="AB22" s="319">
        <v>46332</v>
      </c>
      <c r="AC22" s="319">
        <v>46377</v>
      </c>
      <c r="AD22" s="319">
        <v>46380</v>
      </c>
      <c r="AE22" s="319">
        <v>46381</v>
      </c>
      <c r="AF22" s="319">
        <v>46410</v>
      </c>
      <c r="AG22" s="319">
        <v>46440</v>
      </c>
      <c r="AH22" s="319">
        <v>46454</v>
      </c>
      <c r="AI22" s="319">
        <v>46468</v>
      </c>
      <c r="AJ22" s="319">
        <v>46484</v>
      </c>
      <c r="AK22" s="320">
        <v>25</v>
      </c>
      <c r="AL22" s="321"/>
      <c r="AM22" s="319">
        <f>X22+AL23</f>
        <v>46454</v>
      </c>
      <c r="AN22" s="322"/>
      <c r="AO22" s="322"/>
      <c r="AP22" s="322"/>
      <c r="AQ22" s="322"/>
      <c r="AR22" s="314"/>
      <c r="AS22" s="323"/>
      <c r="AT22" s="324" t="s">
        <v>62</v>
      </c>
      <c r="AU22" s="325">
        <v>46568</v>
      </c>
    </row>
    <row r="23" spans="1:48" s="265" customFormat="1" ht="25.05" customHeight="1">
      <c r="A23" s="309"/>
      <c r="B23" s="310" t="s">
        <v>69</v>
      </c>
      <c r="C23" s="310" t="s">
        <v>70</v>
      </c>
      <c r="D23" s="311"/>
      <c r="E23" s="312"/>
      <c r="F23" s="342"/>
      <c r="G23" s="314">
        <v>111</v>
      </c>
      <c r="H23" s="315" t="s">
        <v>71</v>
      </c>
      <c r="I23" s="314" t="s">
        <v>60</v>
      </c>
      <c r="J23" s="310" t="s">
        <v>72</v>
      </c>
      <c r="K23" s="310">
        <v>4</v>
      </c>
      <c r="L23" s="310" t="s">
        <v>8</v>
      </c>
      <c r="M23" s="317" t="s">
        <v>65</v>
      </c>
      <c r="N23" s="319"/>
      <c r="O23" s="319"/>
      <c r="P23" s="319"/>
      <c r="Q23" s="319"/>
      <c r="R23" s="319"/>
      <c r="S23" s="319"/>
      <c r="T23" s="319"/>
      <c r="U23" s="319">
        <v>46252</v>
      </c>
      <c r="V23" s="319">
        <f>WORKDAY.INTL(U23,INDEX(V$8:V$11,MATCH($L23,$L$8:$L$11,0)),1,IF(V$18="China",'China Holidays'!$A$2:$A$82,'Thai Holidays'!$A$2:$A$63))</f>
        <v>46266</v>
      </c>
      <c r="W23" s="319"/>
      <c r="X23" s="319">
        <f>WORKDAY.INTL(V23,INDEX(X$8:X$11,MATCH($L23,$L$8:$L$11,0)),1,IF(X$18="China",'China Holidays'!$A$2:$A$82,'Thai Holidays'!$A$2:$A$63))</f>
        <v>46279</v>
      </c>
      <c r="Y23" s="319">
        <f>WORKDAY.INTL(X23,INDEX(Y$12:Y$15,MATCH($L23,$L$12:$L$15,0)),1,IF(Y$18="China",'China Holidays'!$A$2:$A$82,'Thai Holidays'!$A$2:$A$63))</f>
        <v>46281</v>
      </c>
      <c r="Z23" s="319">
        <f>WORKDAY.INTL(Y23,INDEX(Z$12:Z$15,MATCH($L23,$L$12:$L$15,0)),1,IF(Z$18="China",'China Holidays'!$A$2:$A$82,'Thai Holidays'!$A$2:$A$63))</f>
        <v>46288</v>
      </c>
      <c r="AA23" s="319">
        <f>WORKDAY.INTL(Z23,INDEX(AA$12:AA$15,MATCH($L23,$L$12:$L$15,0)),1,IF(AA$18="China",'China Holidays'!$A$2:$A$82,'Thai Holidays'!$A$2:$A$63))</f>
        <v>46317</v>
      </c>
      <c r="AB23" s="319">
        <f>WORKDAY.INTL(AA23,INDEX(AB$12:AB$15,MATCH($L23,$L$12:$L$15,0)),1,IF(AB$18="China",'China Holidays'!$A$2:$A$82,'Thai Holidays'!$A$2:$A$63))</f>
        <v>46332</v>
      </c>
      <c r="AC23" s="319">
        <f>AB23+45</f>
        <v>46377</v>
      </c>
      <c r="AD23" s="319">
        <f>AC23+3</f>
        <v>46380</v>
      </c>
      <c r="AE23" s="319">
        <f>AD23+1</f>
        <v>46381</v>
      </c>
      <c r="AF23" s="319">
        <f>AG23-30</f>
        <v>46410</v>
      </c>
      <c r="AG23" s="319">
        <f>AH23-14</f>
        <v>46440</v>
      </c>
      <c r="AH23" s="319">
        <f>AM23</f>
        <v>46454</v>
      </c>
      <c r="AI23" s="319">
        <f>AM23+14</f>
        <v>46468</v>
      </c>
      <c r="AJ23" s="319">
        <f>AM23+30</f>
        <v>46484</v>
      </c>
      <c r="AK23" s="343"/>
      <c r="AL23" s="321">
        <f>AK22*7</f>
        <v>175</v>
      </c>
      <c r="AM23" s="319">
        <f>X23+AL23</f>
        <v>46454</v>
      </c>
      <c r="AN23" s="322">
        <f>AU22-3</f>
        <v>46565</v>
      </c>
      <c r="AO23" s="322"/>
      <c r="AP23" s="322"/>
      <c r="AQ23" s="322" t="s">
        <v>73</v>
      </c>
      <c r="AR23" s="314">
        <f>AN23-AM23</f>
        <v>111</v>
      </c>
      <c r="AS23" s="323"/>
      <c r="AT23" s="324" t="s">
        <v>66</v>
      </c>
      <c r="AU23" s="325">
        <v>46574</v>
      </c>
    </row>
    <row r="24" spans="1:48" s="264" customFormat="1" ht="25.05" customHeight="1">
      <c r="A24" s="327"/>
      <c r="B24" s="328" t="s">
        <v>69</v>
      </c>
      <c r="C24" s="328" t="s">
        <v>70</v>
      </c>
      <c r="D24" s="329"/>
      <c r="E24" s="330"/>
      <c r="F24" s="344"/>
      <c r="G24" s="332"/>
      <c r="H24" s="333"/>
      <c r="I24" s="332" t="s">
        <v>60</v>
      </c>
      <c r="J24" s="328" t="s">
        <v>72</v>
      </c>
      <c r="K24" s="310">
        <v>4</v>
      </c>
      <c r="L24" s="328" t="s">
        <v>8</v>
      </c>
      <c r="M24" s="334" t="s">
        <v>67</v>
      </c>
      <c r="N24" s="332"/>
      <c r="O24" s="335">
        <v>46170</v>
      </c>
      <c r="P24" s="335">
        <v>46188</v>
      </c>
      <c r="Q24" s="335">
        <v>46188</v>
      </c>
      <c r="R24" s="335">
        <v>46188</v>
      </c>
      <c r="S24" s="335">
        <v>46191</v>
      </c>
      <c r="T24" s="335">
        <v>48000</v>
      </c>
      <c r="U24" s="335"/>
      <c r="V24" s="335"/>
      <c r="W24" s="335"/>
      <c r="X24" s="332"/>
      <c r="Y24" s="335"/>
      <c r="Z24" s="335"/>
      <c r="AA24" s="335"/>
      <c r="AB24" s="335"/>
      <c r="AC24" s="335"/>
      <c r="AD24" s="335"/>
      <c r="AE24" s="335"/>
      <c r="AF24" s="335"/>
      <c r="AG24" s="335"/>
      <c r="AH24" s="335"/>
      <c r="AI24" s="335"/>
      <c r="AJ24" s="335"/>
      <c r="AK24" s="336"/>
      <c r="AL24" s="337"/>
      <c r="AM24" s="335"/>
      <c r="AN24" s="338"/>
      <c r="AO24" s="338"/>
      <c r="AP24" s="338"/>
      <c r="AQ24" s="338"/>
      <c r="AR24" s="332"/>
      <c r="AS24" s="339"/>
      <c r="AT24" s="340"/>
      <c r="AU24" s="339"/>
    </row>
    <row r="25" spans="1:48" s="264" customFormat="1" ht="25.05" customHeight="1">
      <c r="A25" s="309">
        <v>3</v>
      </c>
      <c r="B25" s="310" t="s">
        <v>74</v>
      </c>
      <c r="C25" s="310" t="s">
        <v>75</v>
      </c>
      <c r="D25" s="345"/>
      <c r="E25" s="312"/>
      <c r="F25" s="313"/>
      <c r="G25" s="314"/>
      <c r="H25" s="315"/>
      <c r="I25" s="314" t="s">
        <v>60</v>
      </c>
      <c r="J25" s="310"/>
      <c r="K25" s="316"/>
      <c r="L25" s="310" t="s">
        <v>6</v>
      </c>
      <c r="M25" s="317" t="s">
        <v>61</v>
      </c>
      <c r="N25" s="319"/>
      <c r="O25" s="319">
        <v>46170</v>
      </c>
      <c r="P25" s="319">
        <v>46181</v>
      </c>
      <c r="Q25" s="319">
        <v>46182</v>
      </c>
      <c r="R25" s="319">
        <v>46189</v>
      </c>
      <c r="S25" s="319">
        <v>46190</v>
      </c>
      <c r="T25" s="319">
        <v>46204</v>
      </c>
      <c r="U25" s="319">
        <v>46224</v>
      </c>
      <c r="V25" s="319">
        <v>46240</v>
      </c>
      <c r="W25" s="319"/>
      <c r="X25" s="319">
        <v>46253</v>
      </c>
      <c r="Y25" s="319">
        <v>46255</v>
      </c>
      <c r="Z25" s="319">
        <v>46262</v>
      </c>
      <c r="AA25" s="319">
        <v>46293</v>
      </c>
      <c r="AB25" s="319">
        <v>46307</v>
      </c>
      <c r="AC25" s="319">
        <v>46367</v>
      </c>
      <c r="AD25" s="319">
        <v>46370</v>
      </c>
      <c r="AE25" s="319">
        <v>46371</v>
      </c>
      <c r="AF25" s="319">
        <v>46402</v>
      </c>
      <c r="AG25" s="319">
        <v>46432</v>
      </c>
      <c r="AH25" s="319">
        <v>46433</v>
      </c>
      <c r="AI25" s="319">
        <v>46447</v>
      </c>
      <c r="AJ25" s="319">
        <v>46463</v>
      </c>
      <c r="AK25" s="320">
        <v>25.714285714285701</v>
      </c>
      <c r="AL25" s="321"/>
      <c r="AM25" s="319">
        <f>X25+AL26</f>
        <v>46433</v>
      </c>
      <c r="AN25" s="322"/>
      <c r="AO25" s="322"/>
      <c r="AP25" s="322"/>
      <c r="AQ25" s="322"/>
      <c r="AR25" s="314">
        <f>AN26-AM25</f>
        <v>7</v>
      </c>
      <c r="AS25" s="323"/>
      <c r="AT25" s="324" t="s">
        <v>62</v>
      </c>
      <c r="AU25" s="325">
        <v>46443</v>
      </c>
    </row>
    <row r="26" spans="1:48" s="264" customFormat="1" ht="25.05" customHeight="1">
      <c r="A26" s="309"/>
      <c r="B26" s="310" t="s">
        <v>74</v>
      </c>
      <c r="C26" s="310" t="s">
        <v>75</v>
      </c>
      <c r="D26" s="345"/>
      <c r="E26" s="312"/>
      <c r="F26" s="313"/>
      <c r="G26" s="314">
        <v>7</v>
      </c>
      <c r="H26" s="315" t="s">
        <v>76</v>
      </c>
      <c r="I26" s="314" t="s">
        <v>60</v>
      </c>
      <c r="J26" s="310" t="s">
        <v>64</v>
      </c>
      <c r="K26" s="310">
        <v>3</v>
      </c>
      <c r="L26" s="310" t="s">
        <v>6</v>
      </c>
      <c r="M26" s="317" t="s">
        <v>65</v>
      </c>
      <c r="N26" s="319"/>
      <c r="O26" s="319"/>
      <c r="P26" s="319"/>
      <c r="Q26" s="319"/>
      <c r="R26" s="319"/>
      <c r="S26" s="319"/>
      <c r="T26" s="319"/>
      <c r="U26" s="319"/>
      <c r="V26" s="319"/>
      <c r="W26" s="319"/>
      <c r="X26" s="319"/>
      <c r="Y26" s="319"/>
      <c r="Z26" s="319"/>
      <c r="AA26" s="319">
        <f>WORKDAY.INTL(Z27,INDEX(AA$12:AA$15,MATCH($L26,$L$12:$L$15,0)),1,IF(AA$18="China",'China Holidays'!$A$2:$A$82,'Thai Holidays'!$A$2:$A$63))</f>
        <v>46254</v>
      </c>
      <c r="AB26" s="319">
        <f>WORKDAY.INTL(AA26,INDEX(AB$12:AB$15,MATCH($L26,$L$12:$L$15,0)),1,IF(AB$18="China",'China Holidays'!$A$2:$A$82,'Thai Holidays'!$A$2:$A$63))</f>
        <v>46268</v>
      </c>
      <c r="AC26" s="319">
        <f>AB26+60</f>
        <v>46328</v>
      </c>
      <c r="AD26" s="319">
        <f>AC26+3</f>
        <v>46331</v>
      </c>
      <c r="AE26" s="319">
        <f>AD26+1</f>
        <v>46332</v>
      </c>
      <c r="AF26" s="319">
        <f>AG26-30</f>
        <v>46368</v>
      </c>
      <c r="AG26" s="319">
        <f>AH26-1</f>
        <v>46398</v>
      </c>
      <c r="AH26" s="319">
        <f>AM26</f>
        <v>46399</v>
      </c>
      <c r="AI26" s="319">
        <f>AM26+14</f>
        <v>46413</v>
      </c>
      <c r="AJ26" s="319">
        <f>AM26+30</f>
        <v>46429</v>
      </c>
      <c r="AK26" s="343"/>
      <c r="AL26" s="321">
        <f>AK25*7</f>
        <v>179.99999999999991</v>
      </c>
      <c r="AM26" s="319">
        <f>IF(X26&lt;&gt;"",X26+AL26,X27+AL26)</f>
        <v>46399</v>
      </c>
      <c r="AN26" s="322">
        <f>AU25-3</f>
        <v>46440</v>
      </c>
      <c r="AO26" s="322">
        <f>AP26-7</f>
        <v>46440</v>
      </c>
      <c r="AP26" s="322">
        <v>46447</v>
      </c>
      <c r="AQ26" s="322"/>
      <c r="AR26" s="314">
        <f>AN26-AM26</f>
        <v>41</v>
      </c>
      <c r="AS26" s="323"/>
      <c r="AT26" s="324" t="s">
        <v>66</v>
      </c>
      <c r="AU26" s="325">
        <v>46464</v>
      </c>
      <c r="AV26" s="265"/>
    </row>
    <row r="27" spans="1:48" s="264" customFormat="1" ht="25.05" customHeight="1">
      <c r="A27" s="327"/>
      <c r="B27" s="328" t="s">
        <v>74</v>
      </c>
      <c r="C27" s="328" t="s">
        <v>75</v>
      </c>
      <c r="D27" s="346"/>
      <c r="E27" s="330"/>
      <c r="F27" s="331"/>
      <c r="G27" s="332"/>
      <c r="H27" s="333"/>
      <c r="I27" s="332" t="s">
        <v>60</v>
      </c>
      <c r="J27" s="328" t="s">
        <v>64</v>
      </c>
      <c r="K27" s="310">
        <v>3</v>
      </c>
      <c r="L27" s="328" t="s">
        <v>6</v>
      </c>
      <c r="M27" s="334" t="s">
        <v>67</v>
      </c>
      <c r="N27" s="335">
        <v>46136</v>
      </c>
      <c r="O27" s="335">
        <v>46165</v>
      </c>
      <c r="P27" s="335">
        <v>46183</v>
      </c>
      <c r="Q27" s="335">
        <v>46183</v>
      </c>
      <c r="R27" s="335">
        <v>46183</v>
      </c>
      <c r="S27" s="335">
        <v>46183</v>
      </c>
      <c r="T27" s="335">
        <v>46192</v>
      </c>
      <c r="U27" s="335">
        <v>46220</v>
      </c>
      <c r="V27" s="347">
        <v>46224</v>
      </c>
      <c r="W27" s="335">
        <v>46219</v>
      </c>
      <c r="X27" s="335">
        <v>46219</v>
      </c>
      <c r="Y27" s="335">
        <v>46219</v>
      </c>
      <c r="Z27" s="335">
        <v>46226</v>
      </c>
      <c r="AA27" s="335"/>
      <c r="AB27" s="335"/>
      <c r="AC27" s="335"/>
      <c r="AD27" s="335"/>
      <c r="AE27" s="335"/>
      <c r="AF27" s="335"/>
      <c r="AG27" s="335"/>
      <c r="AH27" s="335"/>
      <c r="AI27" s="335"/>
      <c r="AJ27" s="335"/>
      <c r="AK27" s="336"/>
      <c r="AL27" s="337"/>
      <c r="AM27" s="335"/>
      <c r="AN27" s="338"/>
      <c r="AO27" s="338"/>
      <c r="AP27" s="338"/>
      <c r="AQ27" s="338" t="s">
        <v>77</v>
      </c>
      <c r="AR27" s="332"/>
      <c r="AS27" s="339"/>
      <c r="AT27" s="340"/>
      <c r="AU27" s="339"/>
    </row>
    <row r="28" spans="1:48" s="264" customFormat="1" ht="24" customHeight="1">
      <c r="A28" s="309">
        <v>4</v>
      </c>
      <c r="B28" s="310" t="s">
        <v>78</v>
      </c>
      <c r="C28" s="310" t="s">
        <v>79</v>
      </c>
      <c r="D28" s="311"/>
      <c r="E28" s="312"/>
      <c r="F28" s="313"/>
      <c r="G28" s="314"/>
      <c r="H28" s="315"/>
      <c r="I28" s="314" t="s">
        <v>60</v>
      </c>
      <c r="J28" s="310"/>
      <c r="K28" s="316"/>
      <c r="L28" s="310" t="s">
        <v>6</v>
      </c>
      <c r="M28" s="317" t="s">
        <v>61</v>
      </c>
      <c r="N28" s="318"/>
      <c r="O28" s="319">
        <v>46154</v>
      </c>
      <c r="P28" s="319">
        <v>46161</v>
      </c>
      <c r="Q28" s="319">
        <v>46162</v>
      </c>
      <c r="R28" s="319">
        <v>46169</v>
      </c>
      <c r="S28" s="319">
        <v>46170</v>
      </c>
      <c r="T28" s="319">
        <v>46183</v>
      </c>
      <c r="U28" s="319">
        <v>46211</v>
      </c>
      <c r="V28" s="319">
        <v>46216</v>
      </c>
      <c r="W28" s="319"/>
      <c r="X28" s="319">
        <v>46230</v>
      </c>
      <c r="Y28" s="319">
        <v>46232</v>
      </c>
      <c r="Z28" s="319">
        <v>46239</v>
      </c>
      <c r="AA28" s="319">
        <v>46267</v>
      </c>
      <c r="AB28" s="319">
        <v>46281</v>
      </c>
      <c r="AC28" s="319">
        <v>46341</v>
      </c>
      <c r="AD28" s="319">
        <v>46344</v>
      </c>
      <c r="AE28" s="319">
        <v>46345</v>
      </c>
      <c r="AF28" s="319">
        <v>46430</v>
      </c>
      <c r="AG28" s="319">
        <f>AH28-7</f>
        <v>46433</v>
      </c>
      <c r="AH28" s="319">
        <f>AM28</f>
        <v>46440</v>
      </c>
      <c r="AI28" s="319">
        <f>AM28+14</f>
        <v>46454</v>
      </c>
      <c r="AJ28" s="319">
        <f>AM28+30</f>
        <v>46470</v>
      </c>
      <c r="AK28" s="320">
        <v>30</v>
      </c>
      <c r="AL28" s="321"/>
      <c r="AM28" s="319">
        <f>X28+AL29</f>
        <v>46440</v>
      </c>
      <c r="AN28" s="348">
        <f>AM28-AH28</f>
        <v>0</v>
      </c>
      <c r="AO28" s="322"/>
      <c r="AP28" s="322"/>
      <c r="AQ28" s="322"/>
      <c r="AR28" s="314">
        <f>AN29-AM28</f>
        <v>7</v>
      </c>
      <c r="AS28" s="323"/>
      <c r="AT28" s="324" t="s">
        <v>62</v>
      </c>
      <c r="AU28" s="325">
        <v>46450</v>
      </c>
    </row>
    <row r="29" spans="1:48" s="264" customFormat="1" ht="25.05" customHeight="1">
      <c r="A29" s="309"/>
      <c r="B29" s="310" t="s">
        <v>78</v>
      </c>
      <c r="C29" s="310" t="s">
        <v>79</v>
      </c>
      <c r="D29" s="311"/>
      <c r="E29" s="312"/>
      <c r="F29" s="313"/>
      <c r="G29" s="314">
        <v>7</v>
      </c>
      <c r="H29" s="315" t="s">
        <v>80</v>
      </c>
      <c r="I29" s="314" t="s">
        <v>60</v>
      </c>
      <c r="J29" s="310" t="s">
        <v>64</v>
      </c>
      <c r="K29" s="310">
        <v>2</v>
      </c>
      <c r="L29" s="310" t="s">
        <v>6</v>
      </c>
      <c r="M29" s="317" t="s">
        <v>65</v>
      </c>
      <c r="N29" s="319"/>
      <c r="O29" s="319"/>
      <c r="P29" s="319"/>
      <c r="Q29" s="319"/>
      <c r="R29" s="319"/>
      <c r="S29" s="319"/>
      <c r="T29" s="319"/>
      <c r="U29" s="319"/>
      <c r="V29" s="319"/>
      <c r="W29" s="319"/>
      <c r="X29" s="319"/>
      <c r="Y29" s="319"/>
      <c r="Z29" s="319"/>
      <c r="AA29" s="319">
        <f>WORKDAY.INTL(Z30,INDEX(AA$12:AA$15,MATCH($L29,$L$12:$L$15,0)),1,IF(AA$18="China",'China Holidays'!$A$2:$A$82,'Thai Holidays'!$A$2:$A$63))</f>
        <v>46254</v>
      </c>
      <c r="AB29" s="319">
        <f>WORKDAY.INTL(AA29,INDEX(AB$12:AB$15,MATCH($L29,$L$12:$L$15,0)),1,IF(AB$18="China",'China Holidays'!$A$2:$A$82,'Thai Holidays'!$A$2:$A$63))</f>
        <v>46268</v>
      </c>
      <c r="AC29" s="319">
        <f>AB29+60</f>
        <v>46328</v>
      </c>
      <c r="AD29" s="319">
        <f>AC29+3</f>
        <v>46331</v>
      </c>
      <c r="AE29" s="319">
        <f>AD29+1</f>
        <v>46332</v>
      </c>
      <c r="AF29" s="319">
        <f>AG29-30</f>
        <v>46398</v>
      </c>
      <c r="AG29" s="319">
        <f>AH29-1</f>
        <v>46428</v>
      </c>
      <c r="AH29" s="319">
        <f>AM29</f>
        <v>46429</v>
      </c>
      <c r="AI29" s="319">
        <f>AM29+14</f>
        <v>46443</v>
      </c>
      <c r="AJ29" s="319">
        <f>AM29+30</f>
        <v>46459</v>
      </c>
      <c r="AK29" s="343"/>
      <c r="AL29" s="321">
        <f>AK28*7</f>
        <v>210</v>
      </c>
      <c r="AM29" s="319">
        <f>IF(X29&lt;&gt;"",X29+AL29,X30+AL29)</f>
        <v>46429</v>
      </c>
      <c r="AN29" s="322">
        <f>AU28-3</f>
        <v>46447</v>
      </c>
      <c r="AO29" s="322">
        <f>AP29-7</f>
        <v>46440</v>
      </c>
      <c r="AP29" s="322">
        <v>46447</v>
      </c>
      <c r="AQ29" s="322"/>
      <c r="AR29" s="314">
        <f>AN29-AM29</f>
        <v>18</v>
      </c>
      <c r="AS29" s="323"/>
      <c r="AT29" s="324" t="s">
        <v>66</v>
      </c>
      <c r="AU29" s="325">
        <v>46464</v>
      </c>
      <c r="AV29" s="265"/>
    </row>
    <row r="30" spans="1:48" s="264" customFormat="1" ht="25.05" customHeight="1">
      <c r="A30" s="327"/>
      <c r="B30" s="328" t="s">
        <v>78</v>
      </c>
      <c r="C30" s="328" t="s">
        <v>79</v>
      </c>
      <c r="D30" s="329"/>
      <c r="E30" s="330"/>
      <c r="F30" s="331"/>
      <c r="G30" s="332"/>
      <c r="H30" s="333"/>
      <c r="I30" s="332" t="s">
        <v>60</v>
      </c>
      <c r="J30" s="328" t="s">
        <v>64</v>
      </c>
      <c r="K30" s="310">
        <v>2</v>
      </c>
      <c r="L30" s="328" t="s">
        <v>6</v>
      </c>
      <c r="M30" s="334" t="s">
        <v>67</v>
      </c>
      <c r="N30" s="335">
        <v>46136</v>
      </c>
      <c r="O30" s="335">
        <v>46157</v>
      </c>
      <c r="P30" s="335">
        <v>46182</v>
      </c>
      <c r="Q30" s="335">
        <v>46182</v>
      </c>
      <c r="R30" s="335">
        <v>46182</v>
      </c>
      <c r="S30" s="335">
        <v>46182</v>
      </c>
      <c r="T30" s="335">
        <v>46190</v>
      </c>
      <c r="U30" s="335">
        <v>46206</v>
      </c>
      <c r="V30" s="335">
        <v>46210</v>
      </c>
      <c r="W30" s="335">
        <v>46219</v>
      </c>
      <c r="X30" s="335">
        <v>46219</v>
      </c>
      <c r="Y30" s="335">
        <v>46219</v>
      </c>
      <c r="Z30" s="335">
        <v>46226</v>
      </c>
      <c r="AA30" s="335"/>
      <c r="AB30" s="335"/>
      <c r="AC30" s="335"/>
      <c r="AD30" s="335"/>
      <c r="AE30" s="335"/>
      <c r="AF30" s="335"/>
      <c r="AG30" s="335"/>
      <c r="AH30" s="335"/>
      <c r="AI30" s="335"/>
      <c r="AJ30" s="335"/>
      <c r="AK30" s="336"/>
      <c r="AL30" s="337"/>
      <c r="AM30" s="335"/>
      <c r="AN30" s="338"/>
      <c r="AO30" s="338"/>
      <c r="AP30" s="338"/>
      <c r="AQ30" s="338" t="s">
        <v>77</v>
      </c>
      <c r="AR30" s="332"/>
      <c r="AS30" s="339"/>
      <c r="AT30" s="340"/>
      <c r="AU30" s="339"/>
    </row>
    <row r="31" spans="1:48" s="264" customFormat="1" ht="25.05" customHeight="1">
      <c r="A31" s="309">
        <v>5</v>
      </c>
      <c r="B31" s="310" t="s">
        <v>81</v>
      </c>
      <c r="C31" s="310" t="s">
        <v>82</v>
      </c>
      <c r="D31" s="311"/>
      <c r="E31" s="312"/>
      <c r="F31" s="313"/>
      <c r="G31" s="314"/>
      <c r="H31" s="315"/>
      <c r="I31" s="310" t="s">
        <v>83</v>
      </c>
      <c r="J31" s="310"/>
      <c r="K31" s="316"/>
      <c r="L31" s="310" t="s">
        <v>6</v>
      </c>
      <c r="M31" s="317" t="s">
        <v>61</v>
      </c>
      <c r="N31" s="318"/>
      <c r="O31" s="319">
        <v>46157</v>
      </c>
      <c r="P31" s="319">
        <v>46164</v>
      </c>
      <c r="Q31" s="319">
        <v>46167</v>
      </c>
      <c r="R31" s="319">
        <v>46175</v>
      </c>
      <c r="S31" s="319">
        <v>46176</v>
      </c>
      <c r="T31" s="319">
        <v>46189</v>
      </c>
      <c r="U31" s="319">
        <v>46217</v>
      </c>
      <c r="V31" s="319">
        <f>U31+10</f>
        <v>46227</v>
      </c>
      <c r="W31" s="319"/>
      <c r="X31" s="319">
        <v>46234</v>
      </c>
      <c r="Y31" s="319">
        <v>46238</v>
      </c>
      <c r="Z31" s="319">
        <v>46245</v>
      </c>
      <c r="AA31" s="319">
        <v>46273</v>
      </c>
      <c r="AB31" s="319">
        <v>46287</v>
      </c>
      <c r="AC31" s="319">
        <v>46347</v>
      </c>
      <c r="AD31" s="319">
        <v>46350</v>
      </c>
      <c r="AE31" s="319">
        <v>46351</v>
      </c>
      <c r="AF31" s="319">
        <v>46427</v>
      </c>
      <c r="AG31" s="319">
        <v>46457</v>
      </c>
      <c r="AH31" s="319">
        <v>46458</v>
      </c>
      <c r="AI31" s="319">
        <v>46472</v>
      </c>
      <c r="AJ31" s="319">
        <v>46488</v>
      </c>
      <c r="AK31" s="320">
        <v>32</v>
      </c>
      <c r="AL31" s="321"/>
      <c r="AM31" s="319">
        <f>X31+AL32</f>
        <v>46458</v>
      </c>
      <c r="AN31" s="322"/>
      <c r="AO31" s="322"/>
      <c r="AP31" s="322"/>
      <c r="AQ31" s="322"/>
      <c r="AR31" s="314">
        <f>AN32-AM31</f>
        <v>10</v>
      </c>
      <c r="AS31" s="323"/>
      <c r="AT31" s="324" t="s">
        <v>62</v>
      </c>
      <c r="AU31" s="325">
        <v>46471</v>
      </c>
    </row>
    <row r="32" spans="1:48" s="264" customFormat="1" ht="25.05" customHeight="1">
      <c r="A32" s="309"/>
      <c r="B32" s="310" t="s">
        <v>81</v>
      </c>
      <c r="C32" s="310" t="s">
        <v>82</v>
      </c>
      <c r="D32" s="311"/>
      <c r="E32" s="312"/>
      <c r="F32" s="349"/>
      <c r="G32" s="310">
        <v>10</v>
      </c>
      <c r="H32" s="315" t="s">
        <v>84</v>
      </c>
      <c r="I32" s="310" t="s">
        <v>83</v>
      </c>
      <c r="J32" s="310" t="s">
        <v>64</v>
      </c>
      <c r="K32" s="310">
        <v>2</v>
      </c>
      <c r="L32" s="310" t="s">
        <v>6</v>
      </c>
      <c r="M32" s="317" t="s">
        <v>65</v>
      </c>
      <c r="N32" s="350"/>
      <c r="O32" s="350"/>
      <c r="P32" s="350"/>
      <c r="Q32" s="350"/>
      <c r="R32" s="350"/>
      <c r="S32" s="350"/>
      <c r="T32" s="350"/>
      <c r="U32" s="350"/>
      <c r="V32" s="350">
        <v>46227</v>
      </c>
      <c r="W32" s="350"/>
      <c r="X32" s="350">
        <f>WORKDAY.INTL(V32,INDEX(X$8:X$11,MATCH($L32,$L$8:$L$11,0)),1,IF(X$18="China",'China Holidays'!$A$2:$A$82,'Thai Holidays'!$A$2:$A$63))</f>
        <v>46240</v>
      </c>
      <c r="Y32" s="350">
        <f>WORKDAY.INTL(X32,INDEX(Y$12:Y$15,MATCH($L32,$L$12:$L$15,0)),1,IF(Y$18="China",'China Holidays'!$A$2:$A$82,'Thai Holidays'!$A$2:$A$63))</f>
        <v>46244</v>
      </c>
      <c r="Z32" s="350">
        <f>WORKDAY.INTL(Y32,INDEX(Z$12:Z$15,MATCH($L32,$L$12:$L$15,0)),1,IF(Z$18="China",'China Holidays'!$A$2:$A$82,'Thai Holidays'!$A$2:$A$63))</f>
        <v>46251</v>
      </c>
      <c r="AA32" s="350">
        <f>WORKDAY.INTL(Z32,INDEX(AA$12:AA$15,MATCH($L32,$L$12:$L$15,0)),1,IF(AA$18="China",'China Holidays'!$A$2:$A$82,'Thai Holidays'!$A$2:$A$63))</f>
        <v>46279</v>
      </c>
      <c r="AB32" s="350">
        <f>WORKDAY.INTL(AA32,INDEX(AB$12:AB$15,MATCH($L32,$L$12:$L$15,0)),1,IF(AB$18="China",'China Holidays'!$A$2:$A$82,'Thai Holidays'!$A$2:$A$63))</f>
        <v>46293</v>
      </c>
      <c r="AC32" s="350">
        <f>AB32+60</f>
        <v>46353</v>
      </c>
      <c r="AD32" s="350">
        <f>AC32+3</f>
        <v>46356</v>
      </c>
      <c r="AE32" s="350">
        <f>AD32+1</f>
        <v>46357</v>
      </c>
      <c r="AF32" s="350">
        <f>AG32-30</f>
        <v>46433</v>
      </c>
      <c r="AG32" s="350">
        <f>AH32-1</f>
        <v>46463</v>
      </c>
      <c r="AH32" s="350">
        <f>AM32</f>
        <v>46464</v>
      </c>
      <c r="AI32" s="350">
        <f>AM32+14</f>
        <v>46478</v>
      </c>
      <c r="AJ32" s="350">
        <f>AM32+30</f>
        <v>46494</v>
      </c>
      <c r="AK32" s="343"/>
      <c r="AL32" s="321">
        <f>AK31*7</f>
        <v>224</v>
      </c>
      <c r="AM32" s="319">
        <f>IF(X32&lt;&gt;"",X32+AL32,X33+AL32)</f>
        <v>46464</v>
      </c>
      <c r="AN32" s="322">
        <f>AU31-3</f>
        <v>46468</v>
      </c>
      <c r="AO32" s="322">
        <f>AP32-7</f>
        <v>46464</v>
      </c>
      <c r="AP32" s="322">
        <v>46471</v>
      </c>
      <c r="AQ32" s="322" t="s">
        <v>77</v>
      </c>
      <c r="AR32" s="310">
        <f>AN32-AM32</f>
        <v>4</v>
      </c>
      <c r="AS32" s="351"/>
      <c r="AT32" s="324" t="s">
        <v>66</v>
      </c>
      <c r="AU32" s="325">
        <v>46472</v>
      </c>
      <c r="AV32" s="265"/>
    </row>
    <row r="33" spans="1:48" s="264" customFormat="1" ht="25.05" customHeight="1">
      <c r="A33" s="327"/>
      <c r="B33" s="328" t="s">
        <v>81</v>
      </c>
      <c r="C33" s="328" t="s">
        <v>82</v>
      </c>
      <c r="D33" s="329"/>
      <c r="E33" s="330"/>
      <c r="F33" s="352"/>
      <c r="G33" s="328"/>
      <c r="H33" s="333"/>
      <c r="I33" s="328" t="s">
        <v>83</v>
      </c>
      <c r="J33" s="328" t="s">
        <v>64</v>
      </c>
      <c r="K33" s="310">
        <v>2</v>
      </c>
      <c r="L33" s="328" t="s">
        <v>6</v>
      </c>
      <c r="M33" s="334" t="s">
        <v>67</v>
      </c>
      <c r="N33" s="353">
        <v>46136</v>
      </c>
      <c r="O33" s="353">
        <v>46163</v>
      </c>
      <c r="P33" s="335">
        <v>46182</v>
      </c>
      <c r="Q33" s="335">
        <v>46182</v>
      </c>
      <c r="R33" s="335">
        <v>46182</v>
      </c>
      <c r="S33" s="335">
        <v>46182</v>
      </c>
      <c r="T33" s="353">
        <v>46199</v>
      </c>
      <c r="U33" s="354">
        <v>46225</v>
      </c>
      <c r="V33" s="353"/>
      <c r="W33" s="353"/>
      <c r="X33" s="332"/>
      <c r="Y33" s="353"/>
      <c r="Z33" s="353"/>
      <c r="AA33" s="353"/>
      <c r="AB33" s="353"/>
      <c r="AC33" s="353"/>
      <c r="AD33" s="353"/>
      <c r="AE33" s="353"/>
      <c r="AF33" s="353"/>
      <c r="AG33" s="353"/>
      <c r="AH33" s="353"/>
      <c r="AI33" s="353"/>
      <c r="AJ33" s="353"/>
      <c r="AK33" s="336"/>
      <c r="AL33" s="337"/>
      <c r="AM33" s="353"/>
      <c r="AN33" s="355"/>
      <c r="AO33" s="355"/>
      <c r="AP33" s="355"/>
      <c r="AQ33" s="355"/>
      <c r="AR33" s="328"/>
      <c r="AS33" s="333"/>
      <c r="AT33" s="341"/>
      <c r="AU33" s="339"/>
    </row>
    <row r="34" spans="1:48" s="264" customFormat="1" ht="25.05" customHeight="1">
      <c r="A34" s="309">
        <v>6</v>
      </c>
      <c r="B34" s="310" t="s">
        <v>85</v>
      </c>
      <c r="C34" s="310" t="s">
        <v>86</v>
      </c>
      <c r="D34" s="311"/>
      <c r="E34" s="312"/>
      <c r="F34" s="313"/>
      <c r="G34" s="314"/>
      <c r="H34" s="315"/>
      <c r="I34" s="314" t="s">
        <v>60</v>
      </c>
      <c r="J34" s="310"/>
      <c r="K34" s="316"/>
      <c r="L34" s="310" t="s">
        <v>6</v>
      </c>
      <c r="M34" s="317" t="s">
        <v>61</v>
      </c>
      <c r="N34" s="318"/>
      <c r="O34" s="319">
        <v>46153</v>
      </c>
      <c r="P34" s="319">
        <v>46160</v>
      </c>
      <c r="Q34" s="319">
        <v>46161</v>
      </c>
      <c r="R34" s="319">
        <v>46168</v>
      </c>
      <c r="S34" s="319">
        <v>46169</v>
      </c>
      <c r="T34" s="319">
        <v>46182</v>
      </c>
      <c r="U34" s="319">
        <v>46210</v>
      </c>
      <c r="V34" s="319">
        <v>46213</v>
      </c>
      <c r="W34" s="319"/>
      <c r="X34" s="319">
        <v>46227</v>
      </c>
      <c r="Y34" s="319">
        <v>46231</v>
      </c>
      <c r="Z34" s="319">
        <v>46238</v>
      </c>
      <c r="AA34" s="319">
        <v>46266</v>
      </c>
      <c r="AB34" s="319">
        <v>46280</v>
      </c>
      <c r="AC34" s="319">
        <v>46392</v>
      </c>
      <c r="AD34" s="319">
        <v>46395</v>
      </c>
      <c r="AE34" s="319">
        <v>46396</v>
      </c>
      <c r="AF34" s="319">
        <v>46421</v>
      </c>
      <c r="AG34" s="319">
        <f>AH34-14</f>
        <v>46437</v>
      </c>
      <c r="AH34" s="319">
        <f>AM34</f>
        <v>46451</v>
      </c>
      <c r="AI34" s="319">
        <f>AM34+14</f>
        <v>46465</v>
      </c>
      <c r="AJ34" s="319">
        <f>AM34+30</f>
        <v>46481</v>
      </c>
      <c r="AK34" s="320">
        <v>32</v>
      </c>
      <c r="AL34" s="321"/>
      <c r="AM34" s="319">
        <f>X34+AL35</f>
        <v>46451</v>
      </c>
      <c r="AN34" s="348">
        <f>AM34-AH34</f>
        <v>0</v>
      </c>
      <c r="AO34" s="322"/>
      <c r="AP34" s="322"/>
      <c r="AQ34" s="322"/>
      <c r="AR34" s="314">
        <f>AN35-AM34</f>
        <v>18</v>
      </c>
      <c r="AS34" s="323"/>
      <c r="AT34" s="324" t="s">
        <v>62</v>
      </c>
      <c r="AU34" s="325">
        <v>46472</v>
      </c>
    </row>
    <row r="35" spans="1:48" s="264" customFormat="1" ht="25.05" customHeight="1">
      <c r="A35" s="309"/>
      <c r="B35" s="310" t="s">
        <v>85</v>
      </c>
      <c r="C35" s="310" t="s">
        <v>86</v>
      </c>
      <c r="D35" s="311"/>
      <c r="E35" s="312"/>
      <c r="F35" s="313"/>
      <c r="G35" s="314">
        <v>4</v>
      </c>
      <c r="H35" s="315" t="s">
        <v>87</v>
      </c>
      <c r="I35" s="314" t="s">
        <v>60</v>
      </c>
      <c r="J35" s="310" t="s">
        <v>64</v>
      </c>
      <c r="K35" s="310">
        <v>3</v>
      </c>
      <c r="L35" s="310" t="s">
        <v>6</v>
      </c>
      <c r="M35" s="317" t="s">
        <v>65</v>
      </c>
      <c r="N35" s="319"/>
      <c r="O35" s="319"/>
      <c r="P35" s="350"/>
      <c r="Q35" s="319"/>
      <c r="R35" s="319"/>
      <c r="S35" s="319"/>
      <c r="T35" s="319"/>
      <c r="U35" s="319"/>
      <c r="V35" s="319"/>
      <c r="W35" s="319"/>
      <c r="X35" s="319">
        <v>46227</v>
      </c>
      <c r="Y35" s="319">
        <f>WORKDAY.INTL(X35,INDEX(Y$12:Y$15,MATCH($L35,$L$12:$L$15,0)),1,IF(Y$18="China",'China Holidays'!$A$2:$A$82,'Thai Holidays'!$A$2:$A$63))</f>
        <v>46231</v>
      </c>
      <c r="Z35" s="319">
        <f>WORKDAY.INTL(Y35,INDEX(Z$12:Z$15,MATCH($L35,$L$12:$L$15,0)),1,IF(Z$18="China",'China Holidays'!$A$2:$A$82,'Thai Holidays'!$A$2:$A$63))</f>
        <v>46238</v>
      </c>
      <c r="AA35" s="319">
        <f>WORKDAY.INTL(Z35,INDEX(AA$12:AA$15,MATCH($L35,$L$12:$L$15,0)),1,IF(AA$18="China",'China Holidays'!$A$2:$A$82,'Thai Holidays'!$A$2:$A$63))</f>
        <v>46266</v>
      </c>
      <c r="AB35" s="319">
        <f>WORKDAY.INTL(AA35,INDEX(AB$12:AB$15,MATCH($L35,$L$12:$L$15,0)),1,IF(AB$18="China",'China Holidays'!$A$2:$A$82,'Thai Holidays'!$A$2:$A$63))</f>
        <v>46280</v>
      </c>
      <c r="AC35" s="319">
        <f>AB35+16*7</f>
        <v>46392</v>
      </c>
      <c r="AD35" s="319">
        <f>AC35+3</f>
        <v>46395</v>
      </c>
      <c r="AE35" s="319">
        <f>AD35+1</f>
        <v>46396</v>
      </c>
      <c r="AF35" s="319">
        <f>AG35-30</f>
        <v>46407</v>
      </c>
      <c r="AG35" s="319">
        <f>AH35-14</f>
        <v>46437</v>
      </c>
      <c r="AH35" s="319">
        <f>AM35</f>
        <v>46451</v>
      </c>
      <c r="AI35" s="319">
        <f>AM35+14</f>
        <v>46465</v>
      </c>
      <c r="AJ35" s="319">
        <f>AM35+30</f>
        <v>46481</v>
      </c>
      <c r="AK35" s="343"/>
      <c r="AL35" s="321">
        <f>AK34*7</f>
        <v>224</v>
      </c>
      <c r="AM35" s="319">
        <f>IF(X35&lt;&gt;"",X35+AL35,X36+AL35)</f>
        <v>46451</v>
      </c>
      <c r="AN35" s="322">
        <f>AU34-3</f>
        <v>46469</v>
      </c>
      <c r="AO35" s="322">
        <f>AP35-7</f>
        <v>46465</v>
      </c>
      <c r="AP35" s="322">
        <v>46472</v>
      </c>
      <c r="AQ35" s="322"/>
      <c r="AR35" s="314">
        <f>AN35-AM35</f>
        <v>18</v>
      </c>
      <c r="AS35" s="323"/>
      <c r="AT35" s="324" t="s">
        <v>66</v>
      </c>
      <c r="AU35" s="325">
        <v>46477</v>
      </c>
      <c r="AV35" s="265"/>
    </row>
    <row r="36" spans="1:48" s="264" customFormat="1" ht="25.05" customHeight="1">
      <c r="A36" s="327"/>
      <c r="B36" s="328" t="s">
        <v>85</v>
      </c>
      <c r="C36" s="328" t="s">
        <v>86</v>
      </c>
      <c r="D36" s="329"/>
      <c r="E36" s="330"/>
      <c r="F36" s="331"/>
      <c r="G36" s="332"/>
      <c r="H36" s="333"/>
      <c r="I36" s="332" t="s">
        <v>60</v>
      </c>
      <c r="J36" s="328" t="s">
        <v>64</v>
      </c>
      <c r="K36" s="310">
        <v>3</v>
      </c>
      <c r="L36" s="328" t="s">
        <v>6</v>
      </c>
      <c r="M36" s="334" t="s">
        <v>67</v>
      </c>
      <c r="N36" s="335">
        <v>46133</v>
      </c>
      <c r="O36" s="335" t="s">
        <v>88</v>
      </c>
      <c r="P36" s="335">
        <v>46182</v>
      </c>
      <c r="Q36" s="335">
        <v>46182</v>
      </c>
      <c r="R36" s="335">
        <v>46182</v>
      </c>
      <c r="S36" s="335">
        <v>46182</v>
      </c>
      <c r="T36" s="335">
        <v>46183</v>
      </c>
      <c r="U36" s="335">
        <v>46206</v>
      </c>
      <c r="V36" s="335">
        <v>46210</v>
      </c>
      <c r="W36" s="335"/>
      <c r="X36" s="332"/>
      <c r="Y36" s="335"/>
      <c r="Z36" s="335"/>
      <c r="AA36" s="335"/>
      <c r="AB36" s="335"/>
      <c r="AC36" s="335"/>
      <c r="AD36" s="335"/>
      <c r="AE36" s="335"/>
      <c r="AF36" s="335"/>
      <c r="AG36" s="335"/>
      <c r="AH36" s="335"/>
      <c r="AI36" s="335"/>
      <c r="AJ36" s="335"/>
      <c r="AK36" s="336"/>
      <c r="AL36" s="337"/>
      <c r="AM36" s="335"/>
      <c r="AN36" s="338"/>
      <c r="AO36" s="338"/>
      <c r="AP36" s="338"/>
      <c r="AQ36" s="338" t="s">
        <v>77</v>
      </c>
      <c r="AR36" s="332"/>
      <c r="AS36" s="339"/>
      <c r="AT36" s="340"/>
      <c r="AU36" s="339"/>
    </row>
    <row r="37" spans="1:48" s="264" customFormat="1" ht="25.05" customHeight="1">
      <c r="A37" s="309">
        <v>8</v>
      </c>
      <c r="B37" s="310" t="s">
        <v>89</v>
      </c>
      <c r="C37" s="310" t="s">
        <v>90</v>
      </c>
      <c r="D37" s="311"/>
      <c r="E37" s="312"/>
      <c r="F37" s="313"/>
      <c r="G37" s="314"/>
      <c r="H37" s="315"/>
      <c r="I37" s="314" t="s">
        <v>60</v>
      </c>
      <c r="J37" s="310"/>
      <c r="K37" s="316"/>
      <c r="L37" s="310" t="s">
        <v>6</v>
      </c>
      <c r="M37" s="317" t="s">
        <v>61</v>
      </c>
      <c r="N37" s="318"/>
      <c r="O37" s="319">
        <v>46141</v>
      </c>
      <c r="P37" s="319">
        <v>46150</v>
      </c>
      <c r="Q37" s="319">
        <v>46153</v>
      </c>
      <c r="R37" s="319">
        <v>46160</v>
      </c>
      <c r="S37" s="319">
        <v>46161</v>
      </c>
      <c r="T37" s="319">
        <v>46174</v>
      </c>
      <c r="U37" s="319">
        <v>46203</v>
      </c>
      <c r="V37" s="319">
        <v>46206</v>
      </c>
      <c r="W37" s="319"/>
      <c r="X37" s="319">
        <v>46220</v>
      </c>
      <c r="Y37" s="319">
        <v>46224</v>
      </c>
      <c r="Z37" s="319">
        <v>46231</v>
      </c>
      <c r="AA37" s="319">
        <v>46259</v>
      </c>
      <c r="AB37" s="319">
        <v>46273</v>
      </c>
      <c r="AC37" s="319">
        <v>46333</v>
      </c>
      <c r="AD37" s="319">
        <v>46336</v>
      </c>
      <c r="AE37" s="319">
        <v>46337</v>
      </c>
      <c r="AF37" s="319">
        <v>46371</v>
      </c>
      <c r="AG37" s="319">
        <f>AH37-7</f>
        <v>46451</v>
      </c>
      <c r="AH37" s="319">
        <f>AM37</f>
        <v>46458</v>
      </c>
      <c r="AI37" s="319">
        <f>AM37+14</f>
        <v>46472</v>
      </c>
      <c r="AJ37" s="319">
        <f>AM37+30</f>
        <v>46488</v>
      </c>
      <c r="AK37" s="320">
        <v>34</v>
      </c>
      <c r="AL37" s="321"/>
      <c r="AM37" s="319">
        <f>X37+AL38</f>
        <v>46458</v>
      </c>
      <c r="AN37" s="348">
        <f>AM37-AH37</f>
        <v>0</v>
      </c>
      <c r="AO37" s="322"/>
      <c r="AP37" s="322"/>
      <c r="AQ37" s="322"/>
      <c r="AR37" s="314">
        <f>AN38-AM37</f>
        <v>9</v>
      </c>
      <c r="AS37" s="323"/>
      <c r="AT37" s="324" t="s">
        <v>62</v>
      </c>
      <c r="AU37" s="325" t="s">
        <v>91</v>
      </c>
    </row>
    <row r="38" spans="1:48" s="264" customFormat="1" ht="25.05" customHeight="1">
      <c r="A38" s="309"/>
      <c r="B38" s="310" t="s">
        <v>89</v>
      </c>
      <c r="C38" s="310" t="s">
        <v>90</v>
      </c>
      <c r="D38" s="345"/>
      <c r="E38" s="312"/>
      <c r="F38" s="313"/>
      <c r="G38" s="314">
        <v>65</v>
      </c>
      <c r="H38" s="315" t="s">
        <v>92</v>
      </c>
      <c r="I38" s="314" t="s">
        <v>60</v>
      </c>
      <c r="J38" s="310" t="s">
        <v>64</v>
      </c>
      <c r="K38" s="310">
        <v>2</v>
      </c>
      <c r="L38" s="310" t="s">
        <v>6</v>
      </c>
      <c r="M38" s="317" t="s">
        <v>65</v>
      </c>
      <c r="N38" s="319"/>
      <c r="O38" s="319"/>
      <c r="P38" s="319"/>
      <c r="Q38" s="319"/>
      <c r="R38" s="319"/>
      <c r="S38" s="319"/>
      <c r="T38" s="319"/>
      <c r="U38" s="319"/>
      <c r="V38" s="319"/>
      <c r="W38" s="319"/>
      <c r="X38" s="319"/>
      <c r="Y38" s="319"/>
      <c r="Z38" s="319">
        <v>46231</v>
      </c>
      <c r="AA38" s="319">
        <f>WORKDAY.INTL(Z38,INDEX(AA$12:AA$15,MATCH($L38,$L$12:$L$15,0)),1,IF(AA$18="China",'China Holidays'!$A$2:$A$82,'Thai Holidays'!$A$2:$A$63))</f>
        <v>46259</v>
      </c>
      <c r="AB38" s="319">
        <f>WORKDAY.INTL(AA38,INDEX(AB$12:AB$15,MATCH($L38,$L$12:$L$15,0)),1,IF(AB$18="China",'China Holidays'!$A$2:$A$82,'Thai Holidays'!$A$2:$A$63))</f>
        <v>46273</v>
      </c>
      <c r="AC38" s="319">
        <f>AB38+60</f>
        <v>46333</v>
      </c>
      <c r="AD38" s="319">
        <f>AC38+3</f>
        <v>46336</v>
      </c>
      <c r="AE38" s="319">
        <f>AD38+1</f>
        <v>46337</v>
      </c>
      <c r="AF38" s="319">
        <f>AG38-30</f>
        <v>46426</v>
      </c>
      <c r="AG38" s="319">
        <f>AH38-1</f>
        <v>46456</v>
      </c>
      <c r="AH38" s="319">
        <f>AM38</f>
        <v>46457</v>
      </c>
      <c r="AI38" s="319">
        <f>AM38+14</f>
        <v>46471</v>
      </c>
      <c r="AJ38" s="319">
        <f>AM38+30</f>
        <v>46487</v>
      </c>
      <c r="AK38" s="343"/>
      <c r="AL38" s="321">
        <f>AK37*7</f>
        <v>238</v>
      </c>
      <c r="AM38" s="319">
        <f>IF(X38&lt;&gt;"",X38+AL38,X39+AL38)</f>
        <v>46457</v>
      </c>
      <c r="AN38" s="322">
        <f>AU38-3</f>
        <v>46467</v>
      </c>
      <c r="AO38" s="322">
        <f>AP38-7</f>
        <v>46463</v>
      </c>
      <c r="AP38" s="322">
        <v>46470</v>
      </c>
      <c r="AQ38" s="322" t="s">
        <v>93</v>
      </c>
      <c r="AR38" s="314">
        <f>AN38-AM38</f>
        <v>10</v>
      </c>
      <c r="AS38" s="323"/>
      <c r="AT38" s="324" t="s">
        <v>66</v>
      </c>
      <c r="AU38" s="325">
        <v>46470</v>
      </c>
      <c r="AV38" s="265"/>
    </row>
    <row r="39" spans="1:48" s="264" customFormat="1" ht="25.05" customHeight="1">
      <c r="A39" s="327"/>
      <c r="B39" s="328" t="s">
        <v>89</v>
      </c>
      <c r="C39" s="328" t="s">
        <v>90</v>
      </c>
      <c r="D39" s="346"/>
      <c r="E39" s="330"/>
      <c r="F39" s="331"/>
      <c r="G39" s="332"/>
      <c r="H39" s="333"/>
      <c r="I39" s="332" t="s">
        <v>60</v>
      </c>
      <c r="J39" s="328" t="s">
        <v>64</v>
      </c>
      <c r="K39" s="310">
        <v>2</v>
      </c>
      <c r="L39" s="328" t="s">
        <v>6</v>
      </c>
      <c r="M39" s="334" t="s">
        <v>67</v>
      </c>
      <c r="N39" s="335">
        <v>46136</v>
      </c>
      <c r="O39" s="335">
        <v>46139</v>
      </c>
      <c r="P39" s="335">
        <v>46153</v>
      </c>
      <c r="Q39" s="335">
        <v>46153</v>
      </c>
      <c r="R39" s="335">
        <f>P39</f>
        <v>46153</v>
      </c>
      <c r="S39" s="335">
        <f>P39</f>
        <v>46153</v>
      </c>
      <c r="T39" s="335">
        <v>46182</v>
      </c>
      <c r="U39" s="335">
        <v>46200</v>
      </c>
      <c r="V39" s="335">
        <v>46202</v>
      </c>
      <c r="W39" s="335">
        <v>46219</v>
      </c>
      <c r="X39" s="335">
        <v>46219</v>
      </c>
      <c r="Y39" s="335">
        <v>46219</v>
      </c>
      <c r="Z39" s="356">
        <v>46226</v>
      </c>
      <c r="AA39" s="335"/>
      <c r="AB39" s="335"/>
      <c r="AC39" s="335"/>
      <c r="AD39" s="335"/>
      <c r="AE39" s="335"/>
      <c r="AF39" s="335"/>
      <c r="AG39" s="335"/>
      <c r="AH39" s="335"/>
      <c r="AI39" s="335"/>
      <c r="AJ39" s="335"/>
      <c r="AK39" s="336"/>
      <c r="AL39" s="337"/>
      <c r="AM39" s="335"/>
      <c r="AN39" s="338"/>
      <c r="AO39" s="338"/>
      <c r="AP39" s="338"/>
      <c r="AQ39" s="338" t="s">
        <v>77</v>
      </c>
      <c r="AR39" s="332"/>
      <c r="AS39" s="339"/>
      <c r="AT39" s="340"/>
      <c r="AU39" s="339"/>
    </row>
    <row r="40" spans="1:48" s="264" customFormat="1" ht="25.05" customHeight="1">
      <c r="A40" s="309">
        <v>9</v>
      </c>
      <c r="B40" s="310" t="s">
        <v>94</v>
      </c>
      <c r="C40" s="310" t="s">
        <v>95</v>
      </c>
      <c r="D40" s="311"/>
      <c r="E40" s="312"/>
      <c r="F40" s="313"/>
      <c r="G40" s="314"/>
      <c r="H40" s="315"/>
      <c r="I40" s="314" t="s">
        <v>60</v>
      </c>
      <c r="J40" s="310"/>
      <c r="K40" s="316"/>
      <c r="L40" s="310" t="s">
        <v>6</v>
      </c>
      <c r="M40" s="317" t="s">
        <v>61</v>
      </c>
      <c r="N40" s="318"/>
      <c r="O40" s="319">
        <v>46134</v>
      </c>
      <c r="P40" s="319">
        <v>46141</v>
      </c>
      <c r="Q40" s="319">
        <v>46142</v>
      </c>
      <c r="R40" s="319">
        <v>46153</v>
      </c>
      <c r="S40" s="319">
        <v>46154</v>
      </c>
      <c r="T40" s="319">
        <v>46167</v>
      </c>
      <c r="U40" s="319">
        <v>46197</v>
      </c>
      <c r="V40" s="319">
        <v>46202</v>
      </c>
      <c r="W40" s="319"/>
      <c r="X40" s="319">
        <v>46216</v>
      </c>
      <c r="Y40" s="319">
        <v>46218</v>
      </c>
      <c r="Z40" s="319">
        <v>46225</v>
      </c>
      <c r="AA40" s="319">
        <v>46253</v>
      </c>
      <c r="AB40" s="319">
        <v>46267</v>
      </c>
      <c r="AC40" s="319">
        <v>46327</v>
      </c>
      <c r="AD40" s="319">
        <v>46330</v>
      </c>
      <c r="AE40" s="319">
        <v>46331</v>
      </c>
      <c r="AF40" s="319">
        <v>46380</v>
      </c>
      <c r="AG40" s="319">
        <f>AH40-7</f>
        <v>46419</v>
      </c>
      <c r="AH40" s="319">
        <f>AM40</f>
        <v>46426</v>
      </c>
      <c r="AI40" s="319">
        <f>AM40+14</f>
        <v>46440</v>
      </c>
      <c r="AJ40" s="319">
        <f>AM40+30</f>
        <v>46456</v>
      </c>
      <c r="AK40" s="320">
        <v>30</v>
      </c>
      <c r="AL40" s="321"/>
      <c r="AM40" s="319">
        <f>X40+AL41</f>
        <v>46426</v>
      </c>
      <c r="AN40" s="348">
        <f>AM40-AH40</f>
        <v>0</v>
      </c>
      <c r="AO40" s="322"/>
      <c r="AP40" s="322"/>
      <c r="AQ40" s="322"/>
      <c r="AR40" s="314">
        <f>AN41-AM40</f>
        <v>36</v>
      </c>
      <c r="AS40" s="323"/>
      <c r="AT40" s="324" t="s">
        <v>62</v>
      </c>
      <c r="AU40" s="325" t="s">
        <v>91</v>
      </c>
    </row>
    <row r="41" spans="1:48" s="264" customFormat="1" ht="25.05" customHeight="1">
      <c r="A41" s="309"/>
      <c r="B41" s="310" t="s">
        <v>94</v>
      </c>
      <c r="C41" s="310" t="s">
        <v>95</v>
      </c>
      <c r="D41" s="345"/>
      <c r="E41" s="312"/>
      <c r="F41" s="313"/>
      <c r="G41" s="314">
        <v>54</v>
      </c>
      <c r="H41" s="315" t="s">
        <v>96</v>
      </c>
      <c r="I41" s="314" t="s">
        <v>60</v>
      </c>
      <c r="J41" s="310" t="s">
        <v>64</v>
      </c>
      <c r="K41" s="310">
        <v>2</v>
      </c>
      <c r="L41" s="310" t="s">
        <v>6</v>
      </c>
      <c r="M41" s="317" t="s">
        <v>65</v>
      </c>
      <c r="N41" s="319"/>
      <c r="O41" s="319"/>
      <c r="P41" s="319"/>
      <c r="Q41" s="319"/>
      <c r="R41" s="319"/>
      <c r="S41" s="319"/>
      <c r="T41" s="319"/>
      <c r="U41" s="319"/>
      <c r="V41" s="319"/>
      <c r="W41" s="319"/>
      <c r="X41" s="319"/>
      <c r="Y41" s="319"/>
      <c r="Z41" s="319">
        <v>46225</v>
      </c>
      <c r="AA41" s="319">
        <f>WORKDAY.INTL(Z41,INDEX(AA$12:AA$15,MATCH($L41,$L$12:$L$15,0)),1,IF(AA$18="China",'China Holidays'!$A$2:$A$82,'Thai Holidays'!$A$2:$A$63))</f>
        <v>46253</v>
      </c>
      <c r="AB41" s="319">
        <f>WORKDAY.INTL(AA41,INDEX(AB$12:AB$15,MATCH($L41,$L$12:$L$15,0)),1,IF(AB$18="China",'China Holidays'!$A$2:$A$82,'Thai Holidays'!$A$2:$A$63))</f>
        <v>46267</v>
      </c>
      <c r="AC41" s="319">
        <f>AB41+60</f>
        <v>46327</v>
      </c>
      <c r="AD41" s="319">
        <f>AC41+3</f>
        <v>46330</v>
      </c>
      <c r="AE41" s="319">
        <f>AD41+1</f>
        <v>46331</v>
      </c>
      <c r="AF41" s="319">
        <f>AG41-30</f>
        <v>46398</v>
      </c>
      <c r="AG41" s="319">
        <f>AH41-1</f>
        <v>46428</v>
      </c>
      <c r="AH41" s="319">
        <f>AM41</f>
        <v>46429</v>
      </c>
      <c r="AI41" s="319">
        <f>AM41+14</f>
        <v>46443</v>
      </c>
      <c r="AJ41" s="319">
        <f>AM41+30</f>
        <v>46459</v>
      </c>
      <c r="AK41" s="343"/>
      <c r="AL41" s="321">
        <f>AK40*7</f>
        <v>210</v>
      </c>
      <c r="AM41" s="319">
        <f>IF(X41&lt;&gt;"",X41+AL41,X42+AL41)</f>
        <v>46429</v>
      </c>
      <c r="AN41" s="322">
        <f>AU41-3</f>
        <v>46462</v>
      </c>
      <c r="AO41" s="322">
        <f>AP41-7</f>
        <v>46457</v>
      </c>
      <c r="AP41" s="322">
        <v>46464</v>
      </c>
      <c r="AQ41" s="322" t="s">
        <v>93</v>
      </c>
      <c r="AR41" s="314">
        <f>AN41-AM41</f>
        <v>33</v>
      </c>
      <c r="AS41" s="323"/>
      <c r="AT41" s="324" t="s">
        <v>66</v>
      </c>
      <c r="AU41" s="325">
        <v>46465</v>
      </c>
      <c r="AV41" s="265"/>
    </row>
    <row r="42" spans="1:48" s="264" customFormat="1" ht="25.05" customHeight="1">
      <c r="A42" s="327"/>
      <c r="B42" s="328" t="s">
        <v>94</v>
      </c>
      <c r="C42" s="328" t="s">
        <v>95</v>
      </c>
      <c r="D42" s="346"/>
      <c r="E42" s="330"/>
      <c r="F42" s="331"/>
      <c r="G42" s="332"/>
      <c r="H42" s="333"/>
      <c r="I42" s="332" t="s">
        <v>60</v>
      </c>
      <c r="J42" s="328" t="s">
        <v>64</v>
      </c>
      <c r="K42" s="310">
        <v>2</v>
      </c>
      <c r="L42" s="328" t="s">
        <v>6</v>
      </c>
      <c r="M42" s="334" t="s">
        <v>67</v>
      </c>
      <c r="N42" s="335">
        <v>46135</v>
      </c>
      <c r="O42" s="335">
        <v>46135</v>
      </c>
      <c r="P42" s="335">
        <v>46151</v>
      </c>
      <c r="Q42" s="335">
        <v>46151</v>
      </c>
      <c r="R42" s="335">
        <f>P42</f>
        <v>46151</v>
      </c>
      <c r="S42" s="335">
        <f>P42</f>
        <v>46151</v>
      </c>
      <c r="T42" s="335">
        <v>46181</v>
      </c>
      <c r="U42" s="335">
        <v>46202</v>
      </c>
      <c r="V42" s="335">
        <v>46204</v>
      </c>
      <c r="W42" s="335">
        <v>46219</v>
      </c>
      <c r="X42" s="335">
        <v>46219</v>
      </c>
      <c r="Y42" s="335">
        <v>46219</v>
      </c>
      <c r="Z42" s="356">
        <v>46226</v>
      </c>
      <c r="AA42" s="335"/>
      <c r="AB42" s="335"/>
      <c r="AC42" s="335"/>
      <c r="AD42" s="335"/>
      <c r="AE42" s="335"/>
      <c r="AF42" s="335"/>
      <c r="AG42" s="335"/>
      <c r="AH42" s="335"/>
      <c r="AI42" s="335"/>
      <c r="AJ42" s="335"/>
      <c r="AK42" s="336"/>
      <c r="AL42" s="337"/>
      <c r="AM42" s="335"/>
      <c r="AN42" s="338"/>
      <c r="AO42" s="338"/>
      <c r="AP42" s="338"/>
      <c r="AQ42" s="338" t="s">
        <v>77</v>
      </c>
      <c r="AR42" s="332"/>
      <c r="AS42" s="339"/>
      <c r="AT42" s="340"/>
      <c r="AU42" s="339"/>
    </row>
    <row r="43" spans="1:48" s="264" customFormat="1" ht="25.05" customHeight="1">
      <c r="A43" s="309">
        <v>10</v>
      </c>
      <c r="B43" s="310" t="s">
        <v>97</v>
      </c>
      <c r="C43" s="310" t="s">
        <v>98</v>
      </c>
      <c r="D43" s="311"/>
      <c r="E43" s="312"/>
      <c r="F43" s="313"/>
      <c r="G43" s="314"/>
      <c r="H43" s="315"/>
      <c r="I43" s="314" t="s">
        <v>60</v>
      </c>
      <c r="J43" s="310"/>
      <c r="K43" s="316"/>
      <c r="L43" s="310" t="s">
        <v>6</v>
      </c>
      <c r="M43" s="317" t="s">
        <v>61</v>
      </c>
      <c r="N43" s="318"/>
      <c r="O43" s="319">
        <v>46147</v>
      </c>
      <c r="P43" s="319">
        <v>46154</v>
      </c>
      <c r="Q43" s="319">
        <v>46155</v>
      </c>
      <c r="R43" s="319">
        <v>46162</v>
      </c>
      <c r="S43" s="319">
        <v>46163</v>
      </c>
      <c r="T43" s="319">
        <v>46176</v>
      </c>
      <c r="U43" s="319">
        <v>46204</v>
      </c>
      <c r="V43" s="319">
        <v>46209</v>
      </c>
      <c r="W43" s="319"/>
      <c r="X43" s="319">
        <v>46223</v>
      </c>
      <c r="Y43" s="319">
        <v>46225</v>
      </c>
      <c r="Z43" s="319">
        <v>46232</v>
      </c>
      <c r="AA43" s="319">
        <v>46260</v>
      </c>
      <c r="AB43" s="319">
        <v>46274</v>
      </c>
      <c r="AC43" s="319">
        <v>46334</v>
      </c>
      <c r="AD43" s="319">
        <v>46337</v>
      </c>
      <c r="AE43" s="319">
        <v>46338</v>
      </c>
      <c r="AF43" s="319">
        <v>46374</v>
      </c>
      <c r="AG43" s="319">
        <v>46446</v>
      </c>
      <c r="AH43" s="319">
        <v>46447</v>
      </c>
      <c r="AI43" s="319">
        <v>46461</v>
      </c>
      <c r="AJ43" s="319">
        <v>46477</v>
      </c>
      <c r="AK43" s="320">
        <v>32</v>
      </c>
      <c r="AL43" s="321"/>
      <c r="AM43" s="319">
        <f>X43+AL44</f>
        <v>46447</v>
      </c>
      <c r="AN43" s="348">
        <f>AM43-AH43</f>
        <v>0</v>
      </c>
      <c r="AO43" s="322"/>
      <c r="AP43" s="322"/>
      <c r="AQ43" s="322"/>
      <c r="AR43" s="314">
        <f>AN44-AM43</f>
        <v>18</v>
      </c>
      <c r="AS43" s="323"/>
      <c r="AT43" s="324" t="s">
        <v>62</v>
      </c>
      <c r="AU43" s="325" t="s">
        <v>91</v>
      </c>
    </row>
    <row r="44" spans="1:48" s="264" customFormat="1" ht="25.05" customHeight="1">
      <c r="A44" s="309"/>
      <c r="B44" s="310" t="s">
        <v>97</v>
      </c>
      <c r="C44" s="310" t="s">
        <v>98</v>
      </c>
      <c r="D44" s="345"/>
      <c r="E44" s="312"/>
      <c r="F44" s="313"/>
      <c r="G44" s="314">
        <v>60</v>
      </c>
      <c r="H44" s="315" t="s">
        <v>99</v>
      </c>
      <c r="I44" s="314" t="s">
        <v>60</v>
      </c>
      <c r="J44" s="310" t="s">
        <v>64</v>
      </c>
      <c r="K44" s="310">
        <v>2</v>
      </c>
      <c r="L44" s="310" t="s">
        <v>6</v>
      </c>
      <c r="M44" s="317" t="s">
        <v>65</v>
      </c>
      <c r="N44" s="319"/>
      <c r="O44" s="319"/>
      <c r="P44" s="319"/>
      <c r="Q44" s="319"/>
      <c r="R44" s="319"/>
      <c r="S44" s="319"/>
      <c r="T44" s="319"/>
      <c r="U44" s="319"/>
      <c r="V44" s="319"/>
      <c r="W44" s="319"/>
      <c r="X44" s="319"/>
      <c r="Y44" s="319"/>
      <c r="Z44" s="319"/>
      <c r="AA44" s="319">
        <f>WORKDAY.INTL(Z45,INDEX(AA$12:AA$15,MATCH($L44,$L$12:$L$15,0)),1,IF(AA$18="China",'China Holidays'!$A$2:$A$82,'Thai Holidays'!$A$2:$A$63))</f>
        <v>46254</v>
      </c>
      <c r="AB44" s="319">
        <f>WORKDAY.INTL(AA44,INDEX(AB$12:AB$15,MATCH($L44,$L$12:$L$15,0)),1,IF(AB$18="China",'China Holidays'!$A$2:$A$82,'Thai Holidays'!$A$2:$A$63))</f>
        <v>46268</v>
      </c>
      <c r="AC44" s="319">
        <f>AB44+60</f>
        <v>46328</v>
      </c>
      <c r="AD44" s="319">
        <f>AC44+3</f>
        <v>46331</v>
      </c>
      <c r="AE44" s="319">
        <f>AD44+1</f>
        <v>46332</v>
      </c>
      <c r="AF44" s="319">
        <f>AG44-30</f>
        <v>46412</v>
      </c>
      <c r="AG44" s="319">
        <f>AH44-1</f>
        <v>46442</v>
      </c>
      <c r="AH44" s="319">
        <f>AM44</f>
        <v>46443</v>
      </c>
      <c r="AI44" s="319">
        <f>AM44+14</f>
        <v>46457</v>
      </c>
      <c r="AJ44" s="319">
        <f>AM44+30</f>
        <v>46473</v>
      </c>
      <c r="AK44" s="343"/>
      <c r="AL44" s="321">
        <f>AK43*7</f>
        <v>224</v>
      </c>
      <c r="AM44" s="319">
        <f>IF(X44&lt;&gt;"",X44+AL44,X45+AL44)</f>
        <v>46443</v>
      </c>
      <c r="AN44" s="322">
        <f>AU44-3</f>
        <v>46465</v>
      </c>
      <c r="AO44" s="322">
        <f>AP44-7</f>
        <v>46454</v>
      </c>
      <c r="AP44" s="322">
        <v>46461</v>
      </c>
      <c r="AQ44" s="322" t="s">
        <v>93</v>
      </c>
      <c r="AR44" s="314">
        <f>AN44-AM44</f>
        <v>22</v>
      </c>
      <c r="AS44" s="323"/>
      <c r="AT44" s="324" t="s">
        <v>66</v>
      </c>
      <c r="AU44" s="325">
        <v>46468</v>
      </c>
      <c r="AV44" s="265"/>
    </row>
    <row r="45" spans="1:48" s="264" customFormat="1" ht="25.05" customHeight="1">
      <c r="A45" s="327"/>
      <c r="B45" s="328" t="s">
        <v>97</v>
      </c>
      <c r="C45" s="328" t="s">
        <v>98</v>
      </c>
      <c r="D45" s="346"/>
      <c r="E45" s="330"/>
      <c r="F45" s="331"/>
      <c r="G45" s="332"/>
      <c r="H45" s="333"/>
      <c r="I45" s="332" t="s">
        <v>60</v>
      </c>
      <c r="J45" s="328" t="s">
        <v>64</v>
      </c>
      <c r="K45" s="310">
        <v>2</v>
      </c>
      <c r="L45" s="328" t="s">
        <v>6</v>
      </c>
      <c r="M45" s="334" t="s">
        <v>67</v>
      </c>
      <c r="N45" s="335">
        <v>46136</v>
      </c>
      <c r="O45" s="335">
        <v>46150</v>
      </c>
      <c r="P45" s="335">
        <v>46167</v>
      </c>
      <c r="Q45" s="335">
        <v>46167</v>
      </c>
      <c r="R45" s="335">
        <v>46167</v>
      </c>
      <c r="S45" s="335">
        <v>46167</v>
      </c>
      <c r="T45" s="335">
        <v>46190</v>
      </c>
      <c r="U45" s="335">
        <v>46206</v>
      </c>
      <c r="V45" s="335">
        <v>46210</v>
      </c>
      <c r="W45" s="335">
        <v>46219</v>
      </c>
      <c r="X45" s="335">
        <v>46219</v>
      </c>
      <c r="Y45" s="335">
        <v>46219</v>
      </c>
      <c r="Z45" s="335">
        <v>46226</v>
      </c>
      <c r="AA45" s="335"/>
      <c r="AB45" s="335"/>
      <c r="AC45" s="335"/>
      <c r="AD45" s="335"/>
      <c r="AE45" s="335"/>
      <c r="AF45" s="335"/>
      <c r="AG45" s="335"/>
      <c r="AH45" s="335"/>
      <c r="AI45" s="335"/>
      <c r="AJ45" s="335"/>
      <c r="AK45" s="336"/>
      <c r="AL45" s="337"/>
      <c r="AM45" s="335"/>
      <c r="AN45" s="338"/>
      <c r="AO45" s="338"/>
      <c r="AP45" s="338"/>
      <c r="AQ45" s="338" t="s">
        <v>77</v>
      </c>
      <c r="AR45" s="332"/>
      <c r="AS45" s="339"/>
      <c r="AT45" s="340"/>
      <c r="AU45" s="339"/>
    </row>
    <row r="46" spans="1:48" s="264" customFormat="1" ht="25.05" customHeight="1">
      <c r="A46" s="309">
        <v>11</v>
      </c>
      <c r="B46" s="310" t="s">
        <v>100</v>
      </c>
      <c r="C46" s="310" t="s">
        <v>101</v>
      </c>
      <c r="D46" s="311"/>
      <c r="E46" s="312"/>
      <c r="F46" s="313"/>
      <c r="G46" s="314"/>
      <c r="H46" s="315"/>
      <c r="I46" s="314" t="s">
        <v>60</v>
      </c>
      <c r="J46" s="310"/>
      <c r="K46" s="316"/>
      <c r="L46" s="310" t="s">
        <v>6</v>
      </c>
      <c r="M46" s="317" t="s">
        <v>61</v>
      </c>
      <c r="N46" s="318"/>
      <c r="O46" s="319">
        <v>46155</v>
      </c>
      <c r="P46" s="319">
        <v>46162</v>
      </c>
      <c r="Q46" s="319">
        <v>46163</v>
      </c>
      <c r="R46" s="319">
        <v>46170</v>
      </c>
      <c r="S46" s="319">
        <v>46171</v>
      </c>
      <c r="T46" s="319">
        <v>46184</v>
      </c>
      <c r="U46" s="319">
        <v>46212</v>
      </c>
      <c r="V46" s="319">
        <v>46217</v>
      </c>
      <c r="W46" s="319"/>
      <c r="X46" s="319">
        <v>46231</v>
      </c>
      <c r="Y46" s="319">
        <v>46233</v>
      </c>
      <c r="Z46" s="319">
        <v>46240</v>
      </c>
      <c r="AA46" s="319">
        <v>46268</v>
      </c>
      <c r="AB46" s="319">
        <v>46282</v>
      </c>
      <c r="AC46" s="319">
        <v>46342</v>
      </c>
      <c r="AD46" s="319">
        <v>46345</v>
      </c>
      <c r="AE46" s="319">
        <v>46346</v>
      </c>
      <c r="AF46" s="319">
        <v>46382</v>
      </c>
      <c r="AG46" s="319">
        <v>46412</v>
      </c>
      <c r="AH46" s="319">
        <v>46413</v>
      </c>
      <c r="AI46" s="319">
        <v>46427</v>
      </c>
      <c r="AJ46" s="319">
        <v>46443</v>
      </c>
      <c r="AK46" s="320">
        <v>26</v>
      </c>
      <c r="AL46" s="321"/>
      <c r="AM46" s="319">
        <f>X46+AL47</f>
        <v>46413</v>
      </c>
      <c r="AN46" s="322"/>
      <c r="AO46" s="322"/>
      <c r="AP46" s="322"/>
      <c r="AQ46" s="322"/>
      <c r="AR46" s="314">
        <f>AN47-AM46</f>
        <v>4</v>
      </c>
      <c r="AS46" s="323"/>
      <c r="AT46" s="324" t="s">
        <v>62</v>
      </c>
      <c r="AU46" s="325">
        <v>46420</v>
      </c>
    </row>
    <row r="47" spans="1:48" s="264" customFormat="1" ht="25.05" customHeight="1">
      <c r="A47" s="309"/>
      <c r="B47" s="310" t="s">
        <v>100</v>
      </c>
      <c r="C47" s="310" t="s">
        <v>101</v>
      </c>
      <c r="D47" s="345"/>
      <c r="E47" s="312"/>
      <c r="F47" s="313"/>
      <c r="G47" s="314">
        <v>22</v>
      </c>
      <c r="H47" s="315" t="s">
        <v>102</v>
      </c>
      <c r="I47" s="314" t="s">
        <v>60</v>
      </c>
      <c r="J47" s="310" t="s">
        <v>64</v>
      </c>
      <c r="K47" s="310">
        <v>3</v>
      </c>
      <c r="L47" s="310" t="s">
        <v>6</v>
      </c>
      <c r="M47" s="317" t="s">
        <v>65</v>
      </c>
      <c r="N47" s="319"/>
      <c r="O47" s="319"/>
      <c r="P47" s="319"/>
      <c r="Q47" s="319"/>
      <c r="R47" s="319"/>
      <c r="S47" s="319"/>
      <c r="T47" s="319"/>
      <c r="U47" s="319"/>
      <c r="V47" s="319"/>
      <c r="W47" s="319"/>
      <c r="X47" s="319"/>
      <c r="Y47" s="319"/>
      <c r="Z47" s="319"/>
      <c r="AA47" s="319">
        <f>WORKDAY.INTL(Z48,INDEX(AA$12:AA$15,MATCH($L47,$L$12:$L$15,0)),1,IF(AA$18="China",'China Holidays'!$A$2:$A$82,'Thai Holidays'!$A$2:$A$63))</f>
        <v>46254</v>
      </c>
      <c r="AB47" s="319">
        <f>WORKDAY.INTL(AA47,INDEX(AB$12:AB$15,MATCH($L47,$L$12:$L$15,0)),1,IF(AB$18="China",'China Holidays'!$A$2:$A$82,'Thai Holidays'!$A$2:$A$63))</f>
        <v>46268</v>
      </c>
      <c r="AC47" s="319">
        <f>AB47+60</f>
        <v>46328</v>
      </c>
      <c r="AD47" s="319">
        <f>AC47+3</f>
        <v>46331</v>
      </c>
      <c r="AE47" s="319">
        <f>AD47+1</f>
        <v>46332</v>
      </c>
      <c r="AF47" s="319">
        <f>AG47-30</f>
        <v>46370</v>
      </c>
      <c r="AG47" s="319">
        <f>AH47-1</f>
        <v>46400</v>
      </c>
      <c r="AH47" s="319">
        <f>AM47</f>
        <v>46401</v>
      </c>
      <c r="AI47" s="319">
        <f>AM47+14</f>
        <v>46415</v>
      </c>
      <c r="AJ47" s="319">
        <f>AM47+30</f>
        <v>46431</v>
      </c>
      <c r="AK47" s="343"/>
      <c r="AL47" s="321">
        <f>AK46*7</f>
        <v>182</v>
      </c>
      <c r="AM47" s="319">
        <f>IF(X47&lt;&gt;"",X47+AL47,X48+AL47)</f>
        <v>46401</v>
      </c>
      <c r="AN47" s="322">
        <f>AU46-3</f>
        <v>46417</v>
      </c>
      <c r="AO47" s="322">
        <f>AP47-7</f>
        <v>46412</v>
      </c>
      <c r="AP47" s="322">
        <v>46419</v>
      </c>
      <c r="AQ47" s="322"/>
      <c r="AR47" s="314">
        <f>AN47-AM47</f>
        <v>16</v>
      </c>
      <c r="AS47" s="323"/>
      <c r="AT47" s="324" t="s">
        <v>66</v>
      </c>
      <c r="AU47" s="325">
        <v>46451</v>
      </c>
      <c r="AV47" s="265"/>
    </row>
    <row r="48" spans="1:48" s="264" customFormat="1" ht="25.05" customHeight="1">
      <c r="A48" s="327"/>
      <c r="B48" s="328" t="s">
        <v>100</v>
      </c>
      <c r="C48" s="328" t="s">
        <v>101</v>
      </c>
      <c r="D48" s="346"/>
      <c r="E48" s="330"/>
      <c r="F48" s="331"/>
      <c r="G48" s="332"/>
      <c r="H48" s="333"/>
      <c r="I48" s="332" t="s">
        <v>60</v>
      </c>
      <c r="J48" s="328" t="s">
        <v>64</v>
      </c>
      <c r="K48" s="310">
        <v>3</v>
      </c>
      <c r="L48" s="328" t="s">
        <v>6</v>
      </c>
      <c r="M48" s="334" t="s">
        <v>67</v>
      </c>
      <c r="N48" s="335">
        <v>46136</v>
      </c>
      <c r="O48" s="335">
        <v>46157</v>
      </c>
      <c r="P48" s="335">
        <v>46182</v>
      </c>
      <c r="Q48" s="335">
        <v>46182</v>
      </c>
      <c r="R48" s="335">
        <v>46182</v>
      </c>
      <c r="S48" s="335">
        <v>46182</v>
      </c>
      <c r="T48" s="335">
        <v>46185</v>
      </c>
      <c r="U48" s="335">
        <v>46206</v>
      </c>
      <c r="V48" s="335">
        <v>46210</v>
      </c>
      <c r="W48" s="335">
        <v>46219</v>
      </c>
      <c r="X48" s="335">
        <v>46219</v>
      </c>
      <c r="Y48" s="335">
        <v>46219</v>
      </c>
      <c r="Z48" s="335">
        <v>46226</v>
      </c>
      <c r="AA48" s="335"/>
      <c r="AB48" s="335"/>
      <c r="AC48" s="335"/>
      <c r="AD48" s="335"/>
      <c r="AE48" s="335"/>
      <c r="AF48" s="335"/>
      <c r="AG48" s="335"/>
      <c r="AH48" s="335"/>
      <c r="AI48" s="335"/>
      <c r="AJ48" s="335"/>
      <c r="AK48" s="336"/>
      <c r="AL48" s="337"/>
      <c r="AM48" s="335"/>
      <c r="AN48" s="338"/>
      <c r="AO48" s="338"/>
      <c r="AP48" s="338"/>
      <c r="AQ48" s="338" t="s">
        <v>103</v>
      </c>
      <c r="AR48" s="332"/>
      <c r="AS48" s="339"/>
      <c r="AT48" s="340"/>
      <c r="AU48" s="339"/>
    </row>
    <row r="49" spans="1:48" s="264" customFormat="1" ht="25.05" customHeight="1">
      <c r="A49" s="309">
        <v>13</v>
      </c>
      <c r="B49" s="310" t="s">
        <v>104</v>
      </c>
      <c r="C49" s="310" t="s">
        <v>105</v>
      </c>
      <c r="D49" s="311"/>
      <c r="E49" s="312"/>
      <c r="F49" s="313"/>
      <c r="G49" s="314"/>
      <c r="H49" s="315"/>
      <c r="I49" s="314" t="s">
        <v>60</v>
      </c>
      <c r="J49" s="310"/>
      <c r="K49" s="316"/>
      <c r="L49" s="310" t="s">
        <v>6</v>
      </c>
      <c r="M49" s="317" t="s">
        <v>61</v>
      </c>
      <c r="N49" s="318"/>
      <c r="O49" s="319">
        <v>46164</v>
      </c>
      <c r="P49" s="319">
        <v>46171</v>
      </c>
      <c r="Q49" s="319">
        <v>46174</v>
      </c>
      <c r="R49" s="319">
        <v>46182</v>
      </c>
      <c r="S49" s="319">
        <v>46183</v>
      </c>
      <c r="T49" s="319">
        <v>46197</v>
      </c>
      <c r="U49" s="319">
        <v>46225</v>
      </c>
      <c r="V49" s="319">
        <v>46241</v>
      </c>
      <c r="W49" s="319"/>
      <c r="X49" s="319">
        <v>46254</v>
      </c>
      <c r="Y49" s="319">
        <v>46258</v>
      </c>
      <c r="Z49" s="319">
        <v>46265</v>
      </c>
      <c r="AA49" s="319">
        <v>46294</v>
      </c>
      <c r="AB49" s="319">
        <v>46309</v>
      </c>
      <c r="AC49" s="319">
        <v>46369</v>
      </c>
      <c r="AD49" s="319">
        <v>46372</v>
      </c>
      <c r="AE49" s="319">
        <v>46373</v>
      </c>
      <c r="AF49" s="319">
        <v>46391</v>
      </c>
      <c r="AG49" s="319">
        <v>46421</v>
      </c>
      <c r="AH49" s="319">
        <v>46422</v>
      </c>
      <c r="AI49" s="319">
        <v>46436</v>
      </c>
      <c r="AJ49" s="319">
        <v>46452</v>
      </c>
      <c r="AK49" s="320">
        <v>24</v>
      </c>
      <c r="AL49" s="321"/>
      <c r="AM49" s="319">
        <f>X49+AL50</f>
        <v>46422</v>
      </c>
      <c r="AN49" s="322"/>
      <c r="AO49" s="322"/>
      <c r="AP49" s="322"/>
      <c r="AQ49" s="322"/>
      <c r="AR49" s="314">
        <f>AN50-AM49</f>
        <v>40</v>
      </c>
      <c r="AS49" s="323"/>
      <c r="AT49" s="324" t="s">
        <v>62</v>
      </c>
      <c r="AU49" s="325">
        <v>46465</v>
      </c>
    </row>
    <row r="50" spans="1:48" s="264" customFormat="1" ht="25.05" customHeight="1">
      <c r="A50" s="309"/>
      <c r="B50" s="310" t="s">
        <v>104</v>
      </c>
      <c r="C50" s="310" t="s">
        <v>105</v>
      </c>
      <c r="D50" s="345"/>
      <c r="E50" s="312"/>
      <c r="F50" s="313"/>
      <c r="G50" s="314">
        <v>53</v>
      </c>
      <c r="H50" s="315" t="s">
        <v>106</v>
      </c>
      <c r="I50" s="314" t="s">
        <v>60</v>
      </c>
      <c r="J50" s="310" t="s">
        <v>64</v>
      </c>
      <c r="K50" s="310">
        <v>3</v>
      </c>
      <c r="L50" s="310" t="s">
        <v>6</v>
      </c>
      <c r="M50" s="317" t="s">
        <v>65</v>
      </c>
      <c r="N50" s="319"/>
      <c r="O50" s="319"/>
      <c r="P50" s="319"/>
      <c r="Q50" s="319"/>
      <c r="R50" s="319"/>
      <c r="S50" s="319"/>
      <c r="T50" s="319"/>
      <c r="U50" s="319"/>
      <c r="V50" s="319"/>
      <c r="W50" s="319"/>
      <c r="X50" s="319"/>
      <c r="Y50" s="319"/>
      <c r="Z50" s="319"/>
      <c r="AA50" s="319">
        <f>WORKDAY.INTL(Z51,INDEX(AA$12:AA$15,MATCH($L50,$L$12:$L$15,0)),1,IF(AA$18="China",'China Holidays'!$A$2:$A$82,'Thai Holidays'!$A$2:$A$63))</f>
        <v>46254</v>
      </c>
      <c r="AB50" s="319">
        <f>WORKDAY.INTL(AA50,INDEX(AB$12:AB$15,MATCH($L50,$L$12:$L$15,0)),1,IF(AB$18="China",'China Holidays'!$A$2:$A$82,'Thai Holidays'!$A$2:$A$63))</f>
        <v>46268</v>
      </c>
      <c r="AC50" s="319">
        <f>AB50+60</f>
        <v>46328</v>
      </c>
      <c r="AD50" s="319">
        <f>AC50+3</f>
        <v>46331</v>
      </c>
      <c r="AE50" s="319">
        <f>AD50+1</f>
        <v>46332</v>
      </c>
      <c r="AF50" s="319">
        <f>AG50-30</f>
        <v>46356</v>
      </c>
      <c r="AG50" s="319">
        <f>AH50-1</f>
        <v>46386</v>
      </c>
      <c r="AH50" s="319">
        <f>AM50</f>
        <v>46387</v>
      </c>
      <c r="AI50" s="319">
        <f>AM50+14</f>
        <v>46401</v>
      </c>
      <c r="AJ50" s="319">
        <f>AM50+30</f>
        <v>46417</v>
      </c>
      <c r="AK50" s="343"/>
      <c r="AL50" s="321">
        <f>AK49*7</f>
        <v>168</v>
      </c>
      <c r="AM50" s="319">
        <f>IF(X50&lt;&gt;"",X50+AL50,X51+AL50)</f>
        <v>46387</v>
      </c>
      <c r="AN50" s="322">
        <f>AU49-3</f>
        <v>46462</v>
      </c>
      <c r="AO50" s="322">
        <f>AP50-7</f>
        <v>46456</v>
      </c>
      <c r="AP50" s="322">
        <v>46463</v>
      </c>
      <c r="AQ50" s="322"/>
      <c r="AR50" s="314">
        <f>AN50-AM50</f>
        <v>75</v>
      </c>
      <c r="AS50" s="323"/>
      <c r="AT50" s="324" t="s">
        <v>66</v>
      </c>
      <c r="AU50" s="325">
        <v>46489</v>
      </c>
      <c r="AV50" s="265"/>
    </row>
    <row r="51" spans="1:48" s="264" customFormat="1" ht="25.05" customHeight="1">
      <c r="A51" s="327"/>
      <c r="B51" s="328" t="s">
        <v>104</v>
      </c>
      <c r="C51" s="328" t="s">
        <v>105</v>
      </c>
      <c r="D51" s="346"/>
      <c r="E51" s="330"/>
      <c r="F51" s="331"/>
      <c r="G51" s="332"/>
      <c r="H51" s="333"/>
      <c r="I51" s="332" t="s">
        <v>60</v>
      </c>
      <c r="J51" s="328" t="s">
        <v>64</v>
      </c>
      <c r="K51" s="310">
        <v>3</v>
      </c>
      <c r="L51" s="328" t="s">
        <v>6</v>
      </c>
      <c r="M51" s="334" t="s">
        <v>67</v>
      </c>
      <c r="N51" s="335">
        <v>46136</v>
      </c>
      <c r="O51" s="335">
        <v>46164</v>
      </c>
      <c r="P51" s="335">
        <v>46183</v>
      </c>
      <c r="Q51" s="335">
        <v>46183</v>
      </c>
      <c r="R51" s="335">
        <v>46183</v>
      </c>
      <c r="S51" s="335">
        <v>46183</v>
      </c>
      <c r="T51" s="335">
        <v>46183</v>
      </c>
      <c r="U51" s="335">
        <v>46212</v>
      </c>
      <c r="V51" s="335">
        <v>46219</v>
      </c>
      <c r="W51" s="335">
        <v>46219</v>
      </c>
      <c r="X51" s="335">
        <v>46219</v>
      </c>
      <c r="Y51" s="335">
        <v>46219</v>
      </c>
      <c r="Z51" s="335">
        <v>46226</v>
      </c>
      <c r="AA51" s="335"/>
      <c r="AB51" s="335"/>
      <c r="AC51" s="335"/>
      <c r="AD51" s="335"/>
      <c r="AE51" s="335"/>
      <c r="AF51" s="335"/>
      <c r="AG51" s="335"/>
      <c r="AH51" s="335"/>
      <c r="AI51" s="335"/>
      <c r="AJ51" s="335"/>
      <c r="AK51" s="336"/>
      <c r="AL51" s="337"/>
      <c r="AM51" s="335"/>
      <c r="AN51" s="338"/>
      <c r="AO51" s="338"/>
      <c r="AP51" s="338"/>
      <c r="AQ51" s="338" t="s">
        <v>107</v>
      </c>
      <c r="AR51" s="332"/>
      <c r="AS51" s="339"/>
      <c r="AT51" s="340"/>
      <c r="AU51" s="339"/>
    </row>
    <row r="52" spans="1:48" s="264" customFormat="1" ht="25.05" customHeight="1">
      <c r="A52" s="309">
        <v>14</v>
      </c>
      <c r="B52" s="310" t="s">
        <v>108</v>
      </c>
      <c r="C52" s="310" t="s">
        <v>109</v>
      </c>
      <c r="D52" s="311"/>
      <c r="E52" s="312"/>
      <c r="F52" s="313"/>
      <c r="G52" s="314"/>
      <c r="H52" s="315"/>
      <c r="I52" s="314" t="s">
        <v>60</v>
      </c>
      <c r="J52" s="310"/>
      <c r="K52" s="316"/>
      <c r="L52" s="310" t="s">
        <v>6</v>
      </c>
      <c r="M52" s="317" t="s">
        <v>61</v>
      </c>
      <c r="N52" s="318"/>
      <c r="O52" s="319">
        <v>46155</v>
      </c>
      <c r="P52" s="319">
        <v>46162</v>
      </c>
      <c r="Q52" s="319">
        <v>46163</v>
      </c>
      <c r="R52" s="319">
        <v>46170</v>
      </c>
      <c r="S52" s="319">
        <v>46171</v>
      </c>
      <c r="T52" s="319">
        <v>46184</v>
      </c>
      <c r="U52" s="319">
        <v>46212</v>
      </c>
      <c r="V52" s="319">
        <v>46217</v>
      </c>
      <c r="W52" s="319"/>
      <c r="X52" s="319">
        <v>46231</v>
      </c>
      <c r="Y52" s="319">
        <v>46233</v>
      </c>
      <c r="Z52" s="319">
        <v>46240</v>
      </c>
      <c r="AA52" s="319">
        <v>46268</v>
      </c>
      <c r="AB52" s="319">
        <v>46282</v>
      </c>
      <c r="AC52" s="319">
        <v>46394</v>
      </c>
      <c r="AD52" s="319">
        <v>46397</v>
      </c>
      <c r="AE52" s="319">
        <v>46398</v>
      </c>
      <c r="AF52" s="319">
        <v>46411</v>
      </c>
      <c r="AG52" s="319">
        <v>46441</v>
      </c>
      <c r="AH52" s="319">
        <v>46455</v>
      </c>
      <c r="AI52" s="319">
        <v>46469</v>
      </c>
      <c r="AJ52" s="319">
        <v>46485</v>
      </c>
      <c r="AK52" s="320">
        <v>32</v>
      </c>
      <c r="AL52" s="321"/>
      <c r="AM52" s="319">
        <f>X52+AL53</f>
        <v>46455</v>
      </c>
      <c r="AN52" s="322"/>
      <c r="AO52" s="322"/>
      <c r="AP52" s="322"/>
      <c r="AQ52" s="322"/>
      <c r="AR52" s="314">
        <f>AN53-AM52</f>
        <v>10</v>
      </c>
      <c r="AS52" s="323"/>
      <c r="AT52" s="324" t="s">
        <v>62</v>
      </c>
      <c r="AU52" s="325">
        <v>46468</v>
      </c>
    </row>
    <row r="53" spans="1:48" s="264" customFormat="1" ht="25.05" customHeight="1">
      <c r="A53" s="309"/>
      <c r="B53" s="310" t="s">
        <v>108</v>
      </c>
      <c r="C53" s="310" t="s">
        <v>109</v>
      </c>
      <c r="D53" s="311"/>
      <c r="E53" s="312"/>
      <c r="F53" s="313"/>
      <c r="G53" s="314">
        <v>10</v>
      </c>
      <c r="H53" s="315" t="s">
        <v>110</v>
      </c>
      <c r="I53" s="314" t="s">
        <v>60</v>
      </c>
      <c r="J53" s="310" t="s">
        <v>64</v>
      </c>
      <c r="K53" s="310">
        <v>3</v>
      </c>
      <c r="L53" s="310" t="s">
        <v>6</v>
      </c>
      <c r="M53" s="317" t="s">
        <v>65</v>
      </c>
      <c r="N53" s="319"/>
      <c r="O53" s="319"/>
      <c r="P53" s="319"/>
      <c r="Q53" s="319"/>
      <c r="R53" s="319"/>
      <c r="S53" s="319"/>
      <c r="T53" s="319"/>
      <c r="U53" s="319"/>
      <c r="V53" s="319"/>
      <c r="W53" s="319"/>
      <c r="X53" s="319">
        <v>46231</v>
      </c>
      <c r="Y53" s="319">
        <f>WORKDAY.INTL(X53,INDEX(Y$12:Y$15,MATCH($L53,$L$12:$L$15,0)),1,IF(Y$18="China",'China Holidays'!$A$2:$A$82,'Thai Holidays'!$A$2:$A$63))</f>
        <v>46233</v>
      </c>
      <c r="Z53" s="319">
        <f>WORKDAY.INTL(Y53,INDEX(Z$12:Z$15,MATCH($L53,$L$12:$L$15,0)),1,IF(Z$18="China",'China Holidays'!$A$2:$A$82,'Thai Holidays'!$A$2:$A$63))</f>
        <v>46240</v>
      </c>
      <c r="AA53" s="319">
        <f>WORKDAY.INTL(Z53,INDEX(AA$12:AA$15,MATCH($L53,$L$12:$L$15,0)),1,IF(AA$18="China",'China Holidays'!$A$2:$A$82,'Thai Holidays'!$A$2:$A$63))</f>
        <v>46268</v>
      </c>
      <c r="AB53" s="319">
        <f>WORKDAY.INTL(AA53,INDEX(AB$12:AB$15,MATCH($L53,$L$12:$L$15,0)),1,IF(AB$18="China",'China Holidays'!$A$2:$A$82,'Thai Holidays'!$A$2:$A$63))</f>
        <v>46282</v>
      </c>
      <c r="AC53" s="319">
        <f>AB53+16*7</f>
        <v>46394</v>
      </c>
      <c r="AD53" s="319">
        <f>AC53+3</f>
        <v>46397</v>
      </c>
      <c r="AE53" s="319">
        <f>AD53+1</f>
        <v>46398</v>
      </c>
      <c r="AF53" s="319">
        <f>AG53-30</f>
        <v>46411</v>
      </c>
      <c r="AG53" s="319">
        <f>AH53-14</f>
        <v>46441</v>
      </c>
      <c r="AH53" s="319">
        <f>AM53</f>
        <v>46455</v>
      </c>
      <c r="AI53" s="319">
        <f>AM53+14</f>
        <v>46469</v>
      </c>
      <c r="AJ53" s="319">
        <f>AM53+30</f>
        <v>46485</v>
      </c>
      <c r="AK53" s="343"/>
      <c r="AL53" s="321">
        <f>AK52*7</f>
        <v>224</v>
      </c>
      <c r="AM53" s="319">
        <f>IF(X53&lt;&gt;"",X53+AL53,X54+AL53)</f>
        <v>46455</v>
      </c>
      <c r="AN53" s="322">
        <f>AU52-3</f>
        <v>46465</v>
      </c>
      <c r="AO53" s="322">
        <f>AP53-7</f>
        <v>46461</v>
      </c>
      <c r="AP53" s="322">
        <v>46468</v>
      </c>
      <c r="AQ53" s="322"/>
      <c r="AR53" s="314">
        <f>AN53-AM53</f>
        <v>10</v>
      </c>
      <c r="AS53" s="323"/>
      <c r="AT53" s="324" t="s">
        <v>66</v>
      </c>
      <c r="AU53" s="325">
        <v>46468</v>
      </c>
      <c r="AV53" s="265"/>
    </row>
    <row r="54" spans="1:48" s="264" customFormat="1" ht="25.05" customHeight="1">
      <c r="A54" s="327"/>
      <c r="B54" s="328" t="s">
        <v>108</v>
      </c>
      <c r="C54" s="328" t="s">
        <v>109</v>
      </c>
      <c r="D54" s="329"/>
      <c r="E54" s="330"/>
      <c r="F54" s="331"/>
      <c r="G54" s="332"/>
      <c r="H54" s="333"/>
      <c r="I54" s="332" t="s">
        <v>60</v>
      </c>
      <c r="J54" s="328" t="s">
        <v>64</v>
      </c>
      <c r="K54" s="310">
        <v>3</v>
      </c>
      <c r="L54" s="328" t="s">
        <v>6</v>
      </c>
      <c r="M54" s="334" t="s">
        <v>67</v>
      </c>
      <c r="N54" s="335">
        <v>46133</v>
      </c>
      <c r="O54" s="335">
        <v>46157</v>
      </c>
      <c r="P54" s="335">
        <v>46182</v>
      </c>
      <c r="Q54" s="335">
        <v>46182</v>
      </c>
      <c r="R54" s="335">
        <v>46182</v>
      </c>
      <c r="S54" s="335">
        <v>46182</v>
      </c>
      <c r="T54" s="335">
        <v>46178</v>
      </c>
      <c r="U54" s="335">
        <v>46206</v>
      </c>
      <c r="V54" s="335">
        <v>46211</v>
      </c>
      <c r="W54" s="335"/>
      <c r="X54" s="332"/>
      <c r="Y54" s="335"/>
      <c r="Z54" s="335"/>
      <c r="AA54" s="335"/>
      <c r="AB54" s="335"/>
      <c r="AC54" s="335"/>
      <c r="AD54" s="335"/>
      <c r="AE54" s="335"/>
      <c r="AF54" s="335"/>
      <c r="AG54" s="335"/>
      <c r="AH54" s="335"/>
      <c r="AI54" s="335"/>
      <c r="AJ54" s="335"/>
      <c r="AK54" s="336"/>
      <c r="AL54" s="337"/>
      <c r="AM54" s="335"/>
      <c r="AN54" s="338"/>
      <c r="AO54" s="338"/>
      <c r="AP54" s="338"/>
      <c r="AQ54" s="338" t="s">
        <v>103</v>
      </c>
      <c r="AR54" s="332"/>
      <c r="AS54" s="339"/>
      <c r="AT54" s="340"/>
      <c r="AU54" s="339"/>
    </row>
    <row r="55" spans="1:48" s="264" customFormat="1" ht="25.05" customHeight="1">
      <c r="A55" s="309">
        <v>15</v>
      </c>
      <c r="B55" s="310" t="s">
        <v>111</v>
      </c>
      <c r="C55" s="310" t="s">
        <v>112</v>
      </c>
      <c r="D55" s="311"/>
      <c r="E55" s="312"/>
      <c r="F55" s="313"/>
      <c r="G55" s="314"/>
      <c r="H55" s="315"/>
      <c r="I55" s="314" t="s">
        <v>60</v>
      </c>
      <c r="J55" s="310"/>
      <c r="K55" s="316"/>
      <c r="L55" s="310" t="s">
        <v>6</v>
      </c>
      <c r="M55" s="317" t="s">
        <v>61</v>
      </c>
      <c r="N55" s="318"/>
      <c r="O55" s="319">
        <v>46177</v>
      </c>
      <c r="P55" s="319">
        <v>46184</v>
      </c>
      <c r="Q55" s="319">
        <v>46185</v>
      </c>
      <c r="R55" s="319">
        <v>46192</v>
      </c>
      <c r="S55" s="319">
        <v>46193</v>
      </c>
      <c r="T55" s="319">
        <v>46206</v>
      </c>
      <c r="U55" s="319">
        <v>46238</v>
      </c>
      <c r="V55" s="319">
        <v>46241</v>
      </c>
      <c r="W55" s="319"/>
      <c r="X55" s="319">
        <v>46255</v>
      </c>
      <c r="Y55" s="319">
        <v>46259</v>
      </c>
      <c r="Z55" s="319">
        <v>46266</v>
      </c>
      <c r="AA55" s="319">
        <v>46295</v>
      </c>
      <c r="AB55" s="319">
        <v>46310</v>
      </c>
      <c r="AC55" s="319">
        <v>46421</v>
      </c>
      <c r="AD55" s="319">
        <v>46424</v>
      </c>
      <c r="AE55" s="319">
        <v>46425</v>
      </c>
      <c r="AF55" s="319">
        <v>46435</v>
      </c>
      <c r="AG55" s="319">
        <v>46465</v>
      </c>
      <c r="AH55" s="319">
        <v>46479</v>
      </c>
      <c r="AI55" s="319">
        <v>46493</v>
      </c>
      <c r="AJ55" s="319">
        <v>46509</v>
      </c>
      <c r="AK55" s="320">
        <v>32</v>
      </c>
      <c r="AL55" s="321"/>
      <c r="AM55" s="319">
        <f>X55+AL56</f>
        <v>46479</v>
      </c>
      <c r="AN55" s="322"/>
      <c r="AO55" s="322"/>
      <c r="AP55" s="322"/>
      <c r="AQ55" s="322"/>
      <c r="AR55" s="314">
        <f>AN56-AM55</f>
        <v>1</v>
      </c>
      <c r="AS55" s="323"/>
      <c r="AT55" s="324" t="s">
        <v>62</v>
      </c>
      <c r="AU55" s="325">
        <v>46483</v>
      </c>
    </row>
    <row r="56" spans="1:48" s="264" customFormat="1" ht="25.05" customHeight="1">
      <c r="A56" s="309"/>
      <c r="B56" s="310" t="s">
        <v>111</v>
      </c>
      <c r="C56" s="310" t="s">
        <v>112</v>
      </c>
      <c r="D56" s="311"/>
      <c r="E56" s="312"/>
      <c r="F56" s="313"/>
      <c r="G56" s="314">
        <v>1</v>
      </c>
      <c r="H56" s="315" t="s">
        <v>113</v>
      </c>
      <c r="I56" s="314" t="s">
        <v>60</v>
      </c>
      <c r="J56" s="310" t="s">
        <v>64</v>
      </c>
      <c r="K56" s="310">
        <v>3</v>
      </c>
      <c r="L56" s="310" t="s">
        <v>6</v>
      </c>
      <c r="M56" s="317" t="s">
        <v>65</v>
      </c>
      <c r="N56" s="319"/>
      <c r="O56" s="319"/>
      <c r="P56" s="319"/>
      <c r="Q56" s="319"/>
      <c r="R56" s="319"/>
      <c r="S56" s="319"/>
      <c r="T56" s="319"/>
      <c r="U56" s="319"/>
      <c r="V56" s="319"/>
      <c r="W56" s="319"/>
      <c r="X56" s="319">
        <v>46240</v>
      </c>
      <c r="Y56" s="319">
        <f>WORKDAY.INTL(X56,INDEX(Y$12:Y$15,MATCH($L56,$L$12:$L$15,0)),1,IF(Y$18="China",'China Holidays'!$A$2:$A$82,'Thai Holidays'!$A$2:$A$63))</f>
        <v>46244</v>
      </c>
      <c r="Z56" s="319">
        <f>WORKDAY.INTL(Y56,INDEX(Z$12:Z$15,MATCH($L56,$L$12:$L$15,0)),1,IF(Z$18="China",'China Holidays'!$A$2:$A$82,'Thai Holidays'!$A$2:$A$63))</f>
        <v>46251</v>
      </c>
      <c r="AA56" s="319">
        <f>WORKDAY.INTL(Z56,INDEX(AA$12:AA$15,MATCH($L56,$L$12:$L$15,0)),1,IF(AA$18="China",'China Holidays'!$A$2:$A$82,'Thai Holidays'!$A$2:$A$63))</f>
        <v>46279</v>
      </c>
      <c r="AB56" s="319">
        <f>WORKDAY.INTL(AA56,INDEX(AB$12:AB$15,MATCH($L56,$L$12:$L$15,0)),1,IF(AB$18="China",'China Holidays'!$A$2:$A$82,'Thai Holidays'!$A$2:$A$63))</f>
        <v>46293</v>
      </c>
      <c r="AC56" s="319">
        <f>AB56+16*7</f>
        <v>46405</v>
      </c>
      <c r="AD56" s="319">
        <f>AC56+3</f>
        <v>46408</v>
      </c>
      <c r="AE56" s="319">
        <f>AD56+1</f>
        <v>46409</v>
      </c>
      <c r="AF56" s="319">
        <f>AG56-30</f>
        <v>46420</v>
      </c>
      <c r="AG56" s="319">
        <f>AH56-14</f>
        <v>46450</v>
      </c>
      <c r="AH56" s="319">
        <f>AM56</f>
        <v>46464</v>
      </c>
      <c r="AI56" s="319">
        <f>AM56+14</f>
        <v>46478</v>
      </c>
      <c r="AJ56" s="319">
        <f>AM56+30</f>
        <v>46494</v>
      </c>
      <c r="AK56" s="343"/>
      <c r="AL56" s="321">
        <f>AK55*7</f>
        <v>224</v>
      </c>
      <c r="AM56" s="319">
        <f>IF(X56&lt;&gt;"",X56+AL56,X57+AL56)</f>
        <v>46464</v>
      </c>
      <c r="AN56" s="322">
        <f>AU55-3</f>
        <v>46480</v>
      </c>
      <c r="AO56" s="322">
        <f>AP56-7</f>
        <v>46476</v>
      </c>
      <c r="AP56" s="322">
        <v>46483</v>
      </c>
      <c r="AQ56" s="322"/>
      <c r="AR56" s="314">
        <f>AN56-AM56</f>
        <v>16</v>
      </c>
      <c r="AS56" s="323"/>
      <c r="AT56" s="324" t="s">
        <v>66</v>
      </c>
      <c r="AU56" s="325">
        <v>46486</v>
      </c>
      <c r="AV56" s="265"/>
    </row>
    <row r="57" spans="1:48" s="264" customFormat="1" ht="25.05" customHeight="1">
      <c r="A57" s="327"/>
      <c r="B57" s="328" t="s">
        <v>111</v>
      </c>
      <c r="C57" s="328" t="s">
        <v>112</v>
      </c>
      <c r="D57" s="329"/>
      <c r="E57" s="330"/>
      <c r="F57" s="331"/>
      <c r="G57" s="332"/>
      <c r="H57" s="333"/>
      <c r="I57" s="332" t="s">
        <v>60</v>
      </c>
      <c r="J57" s="328" t="s">
        <v>64</v>
      </c>
      <c r="K57" s="310">
        <v>3</v>
      </c>
      <c r="L57" s="328" t="s">
        <v>6</v>
      </c>
      <c r="M57" s="334" t="s">
        <v>67</v>
      </c>
      <c r="N57" s="335"/>
      <c r="O57" s="335">
        <v>46170</v>
      </c>
      <c r="P57" s="335">
        <v>46188</v>
      </c>
      <c r="Q57" s="335">
        <v>46188</v>
      </c>
      <c r="R57" s="335">
        <v>46188</v>
      </c>
      <c r="S57" s="335">
        <v>46188</v>
      </c>
      <c r="T57" s="335">
        <v>46191</v>
      </c>
      <c r="U57" s="335">
        <v>46213</v>
      </c>
      <c r="V57" s="335">
        <v>46217</v>
      </c>
      <c r="W57" s="335"/>
      <c r="X57" s="332"/>
      <c r="Y57" s="335"/>
      <c r="Z57" s="335"/>
      <c r="AA57" s="335"/>
      <c r="AB57" s="335"/>
      <c r="AC57" s="335"/>
      <c r="AD57" s="335"/>
      <c r="AE57" s="335"/>
      <c r="AF57" s="335"/>
      <c r="AG57" s="335"/>
      <c r="AH57" s="335"/>
      <c r="AI57" s="335"/>
      <c r="AJ57" s="335"/>
      <c r="AK57" s="336"/>
      <c r="AL57" s="337"/>
      <c r="AM57" s="335"/>
      <c r="AN57" s="338"/>
      <c r="AO57" s="338"/>
      <c r="AP57" s="338"/>
      <c r="AQ57" s="338" t="s">
        <v>77</v>
      </c>
      <c r="AR57" s="332"/>
      <c r="AS57" s="339"/>
      <c r="AT57" s="340"/>
      <c r="AU57" s="339"/>
    </row>
    <row r="58" spans="1:48" s="264" customFormat="1" ht="25.05" customHeight="1">
      <c r="A58" s="309">
        <v>16</v>
      </c>
      <c r="B58" s="310" t="s">
        <v>114</v>
      </c>
      <c r="C58" s="310" t="s">
        <v>115</v>
      </c>
      <c r="D58" s="311"/>
      <c r="E58" s="312"/>
      <c r="F58" s="313"/>
      <c r="G58" s="314"/>
      <c r="H58" s="315"/>
      <c r="I58" s="314" t="s">
        <v>60</v>
      </c>
      <c r="J58" s="310"/>
      <c r="K58" s="316"/>
      <c r="L58" s="310" t="s">
        <v>6</v>
      </c>
      <c r="M58" s="317" t="s">
        <v>61</v>
      </c>
      <c r="N58" s="318"/>
      <c r="O58" s="319">
        <v>46150</v>
      </c>
      <c r="P58" s="319">
        <v>46157</v>
      </c>
      <c r="Q58" s="319">
        <v>46160</v>
      </c>
      <c r="R58" s="319">
        <v>46167</v>
      </c>
      <c r="S58" s="319">
        <v>46168</v>
      </c>
      <c r="T58" s="319">
        <v>46181</v>
      </c>
      <c r="U58" s="319">
        <v>46223</v>
      </c>
      <c r="V58" s="319">
        <v>46239</v>
      </c>
      <c r="W58" s="319"/>
      <c r="X58" s="319">
        <v>46252</v>
      </c>
      <c r="Y58" s="319">
        <v>46254</v>
      </c>
      <c r="Z58" s="319">
        <v>46261</v>
      </c>
      <c r="AA58" s="319">
        <v>46289</v>
      </c>
      <c r="AB58" s="319">
        <v>46303</v>
      </c>
      <c r="AC58" s="319">
        <v>46415</v>
      </c>
      <c r="AD58" s="319">
        <v>46394</v>
      </c>
      <c r="AE58" s="319">
        <v>46395</v>
      </c>
      <c r="AF58" s="319">
        <f>AG58-30</f>
        <v>46445</v>
      </c>
      <c r="AG58" s="319">
        <f>AH58-1</f>
        <v>46475</v>
      </c>
      <c r="AH58" s="319">
        <f>AM58</f>
        <v>46476</v>
      </c>
      <c r="AI58" s="319">
        <f>AM58+14</f>
        <v>46490</v>
      </c>
      <c r="AJ58" s="319">
        <f>AM58+30</f>
        <v>46506</v>
      </c>
      <c r="AK58" s="320">
        <v>32</v>
      </c>
      <c r="AL58" s="321"/>
      <c r="AM58" s="319">
        <f>X58+AL59</f>
        <v>46476</v>
      </c>
      <c r="AN58" s="322"/>
      <c r="AO58" s="322"/>
      <c r="AP58" s="322"/>
      <c r="AQ58" s="322"/>
      <c r="AR58" s="314">
        <f>AN59-AM58</f>
        <v>95</v>
      </c>
      <c r="AS58" s="323"/>
      <c r="AT58" s="324" t="s">
        <v>62</v>
      </c>
      <c r="AU58" s="325" t="s">
        <v>91</v>
      </c>
    </row>
    <row r="59" spans="1:48" s="264" customFormat="1" ht="25.05" customHeight="1">
      <c r="A59" s="309"/>
      <c r="B59" s="310" t="s">
        <v>114</v>
      </c>
      <c r="C59" s="310" t="s">
        <v>115</v>
      </c>
      <c r="D59" s="311"/>
      <c r="E59" s="312"/>
      <c r="F59" s="313"/>
      <c r="G59" s="314">
        <v>121</v>
      </c>
      <c r="H59" s="315" t="s">
        <v>116</v>
      </c>
      <c r="I59" s="314" t="s">
        <v>60</v>
      </c>
      <c r="J59" s="310" t="s">
        <v>64</v>
      </c>
      <c r="K59" s="310">
        <v>2</v>
      </c>
      <c r="L59" s="310" t="s">
        <v>6</v>
      </c>
      <c r="M59" s="317" t="s">
        <v>65</v>
      </c>
      <c r="N59" s="319"/>
      <c r="O59" s="319"/>
      <c r="P59" s="319"/>
      <c r="Q59" s="319"/>
      <c r="R59" s="319"/>
      <c r="S59" s="319"/>
      <c r="T59" s="319"/>
      <c r="U59" s="319"/>
      <c r="V59" s="319"/>
      <c r="W59" s="319"/>
      <c r="X59" s="319">
        <v>46240</v>
      </c>
      <c r="Y59" s="319">
        <f>WORKDAY.INTL(X59,INDEX(Y$12:Y$15,MATCH($L59,$L$12:$L$15,0)),1,IF(Y$18="China",'China Holidays'!$A$2:$A$82,'Thai Holidays'!$A$2:$A$63))</f>
        <v>46244</v>
      </c>
      <c r="Z59" s="319">
        <f>WORKDAY.INTL(Y59,INDEX(Z$12:Z$15,MATCH($L59,$L$12:$L$15,0)),1,IF(Z$18="China",'China Holidays'!$A$2:$A$82,'Thai Holidays'!$A$2:$A$63))</f>
        <v>46251</v>
      </c>
      <c r="AA59" s="319">
        <f>WORKDAY.INTL(Z59,INDEX(AA$12:AA$15,MATCH($L59,$L$12:$L$15,0)),1,IF(AA$18="China",'China Holidays'!$A$2:$A$82,'Thai Holidays'!$A$2:$A$63))</f>
        <v>46279</v>
      </c>
      <c r="AB59" s="319">
        <f>WORKDAY.INTL(AA59,INDEX(AB$12:AB$15,MATCH($L59,$L$12:$L$15,0)),1,IF(AB$18="China",'China Holidays'!$A$2:$A$82,'Thai Holidays'!$A$2:$A$63))</f>
        <v>46293</v>
      </c>
      <c r="AC59" s="319">
        <f>AB59+16*7</f>
        <v>46405</v>
      </c>
      <c r="AD59" s="319">
        <f>AC59+3</f>
        <v>46408</v>
      </c>
      <c r="AE59" s="319">
        <f>AD59+1</f>
        <v>46409</v>
      </c>
      <c r="AF59" s="319">
        <f>AG59-30</f>
        <v>46404</v>
      </c>
      <c r="AG59" s="319">
        <f>AH59-30</f>
        <v>46434</v>
      </c>
      <c r="AH59" s="319">
        <f>AM59</f>
        <v>46464</v>
      </c>
      <c r="AI59" s="319">
        <f>AM59+14</f>
        <v>46478</v>
      </c>
      <c r="AJ59" s="319">
        <f>AM59+30</f>
        <v>46494</v>
      </c>
      <c r="AK59" s="343"/>
      <c r="AL59" s="321">
        <f>AK58*7</f>
        <v>224</v>
      </c>
      <c r="AM59" s="319">
        <f>IF(X59&lt;&gt;"",X59+AL59,X60+AL59)</f>
        <v>46464</v>
      </c>
      <c r="AN59" s="322">
        <f>AU59-3</f>
        <v>46571</v>
      </c>
      <c r="AO59" s="322">
        <f>AP59-7</f>
        <v>46479</v>
      </c>
      <c r="AP59" s="322">
        <v>46486</v>
      </c>
      <c r="AQ59" s="322"/>
      <c r="AR59" s="314">
        <f>AN59-AM59</f>
        <v>107</v>
      </c>
      <c r="AS59" s="323"/>
      <c r="AT59" s="324" t="s">
        <v>66</v>
      </c>
      <c r="AU59" s="325">
        <v>46574</v>
      </c>
      <c r="AV59" s="265"/>
    </row>
    <row r="60" spans="1:48" s="264" customFormat="1" ht="25.05" customHeight="1">
      <c r="A60" s="327"/>
      <c r="B60" s="328" t="s">
        <v>114</v>
      </c>
      <c r="C60" s="328" t="s">
        <v>115</v>
      </c>
      <c r="D60" s="329"/>
      <c r="E60" s="330"/>
      <c r="F60" s="331"/>
      <c r="G60" s="332"/>
      <c r="H60" s="333"/>
      <c r="I60" s="332" t="s">
        <v>60</v>
      </c>
      <c r="J60" s="328" t="s">
        <v>64</v>
      </c>
      <c r="K60" s="357">
        <v>2</v>
      </c>
      <c r="L60" s="328" t="s">
        <v>6</v>
      </c>
      <c r="M60" s="334" t="s">
        <v>67</v>
      </c>
      <c r="N60" s="335">
        <v>46133</v>
      </c>
      <c r="O60" s="335">
        <v>46152</v>
      </c>
      <c r="P60" s="335">
        <v>46167</v>
      </c>
      <c r="Q60" s="335">
        <v>46167</v>
      </c>
      <c r="R60" s="335">
        <v>46167</v>
      </c>
      <c r="S60" s="335">
        <v>46167</v>
      </c>
      <c r="T60" s="335">
        <v>46184</v>
      </c>
      <c r="U60" s="335">
        <v>46213</v>
      </c>
      <c r="V60" s="335">
        <v>46219</v>
      </c>
      <c r="W60" s="335"/>
      <c r="X60" s="332"/>
      <c r="Y60" s="335"/>
      <c r="Z60" s="335"/>
      <c r="AA60" s="335"/>
      <c r="AB60" s="335"/>
      <c r="AC60" s="335"/>
      <c r="AD60" s="335"/>
      <c r="AE60" s="335"/>
      <c r="AF60" s="335"/>
      <c r="AG60" s="335"/>
      <c r="AH60" s="335"/>
      <c r="AI60" s="335"/>
      <c r="AJ60" s="335"/>
      <c r="AK60" s="336"/>
      <c r="AL60" s="337"/>
      <c r="AM60" s="335"/>
      <c r="AN60" s="338"/>
      <c r="AO60" s="338"/>
      <c r="AP60" s="338"/>
      <c r="AQ60" s="338" t="s">
        <v>73</v>
      </c>
      <c r="AR60" s="332"/>
      <c r="AS60" s="339"/>
      <c r="AT60" s="340"/>
      <c r="AU60" s="339"/>
    </row>
    <row r="61" spans="1:48" s="264" customFormat="1" ht="25.05" customHeight="1">
      <c r="A61" s="309">
        <v>17</v>
      </c>
      <c r="B61" s="310" t="s">
        <v>117</v>
      </c>
      <c r="C61" s="310" t="s">
        <v>118</v>
      </c>
      <c r="D61" s="311"/>
      <c r="E61" s="312"/>
      <c r="F61" s="313"/>
      <c r="G61" s="314"/>
      <c r="H61" s="315"/>
      <c r="I61" s="314" t="s">
        <v>119</v>
      </c>
      <c r="J61" s="310"/>
      <c r="K61" s="316"/>
      <c r="L61" s="310" t="s">
        <v>7</v>
      </c>
      <c r="M61" s="317" t="s">
        <v>61</v>
      </c>
      <c r="N61" s="318"/>
      <c r="O61" s="319">
        <v>46139</v>
      </c>
      <c r="P61" s="319">
        <v>46155</v>
      </c>
      <c r="Q61" s="319">
        <v>46155</v>
      </c>
      <c r="R61" s="319">
        <v>46155</v>
      </c>
      <c r="S61" s="319">
        <v>46155</v>
      </c>
      <c r="T61" s="319">
        <v>46164</v>
      </c>
      <c r="U61" s="319">
        <v>46199</v>
      </c>
      <c r="V61" s="319">
        <v>46213</v>
      </c>
      <c r="W61" s="319"/>
      <c r="X61" s="319">
        <v>46226</v>
      </c>
      <c r="Y61" s="319">
        <v>46230</v>
      </c>
      <c r="Z61" s="319">
        <v>46237</v>
      </c>
      <c r="AA61" s="319">
        <v>46265</v>
      </c>
      <c r="AB61" s="319">
        <v>46279</v>
      </c>
      <c r="AC61" s="319">
        <v>46299</v>
      </c>
      <c r="AD61" s="319">
        <v>46302</v>
      </c>
      <c r="AE61" s="319">
        <v>46303</v>
      </c>
      <c r="AF61" s="319">
        <v>46458</v>
      </c>
      <c r="AG61" s="319">
        <v>46471</v>
      </c>
      <c r="AH61" s="319">
        <v>46478</v>
      </c>
      <c r="AI61" s="319">
        <v>46492</v>
      </c>
      <c r="AJ61" s="319">
        <v>46508</v>
      </c>
      <c r="AK61" s="320">
        <v>36</v>
      </c>
      <c r="AL61" s="321"/>
      <c r="AM61" s="319">
        <f>X61+AL62</f>
        <v>46478</v>
      </c>
      <c r="AN61" s="348">
        <f>AM61-AH61</f>
        <v>0</v>
      </c>
      <c r="AO61" s="322"/>
      <c r="AP61" s="322"/>
      <c r="AQ61" s="322"/>
      <c r="AR61" s="314">
        <f>AN62-AM61</f>
        <v>20</v>
      </c>
      <c r="AS61" s="323"/>
      <c r="AT61" s="324" t="s">
        <v>62</v>
      </c>
      <c r="AU61" s="325">
        <v>46505</v>
      </c>
    </row>
    <row r="62" spans="1:48" s="264" customFormat="1" ht="25.05" customHeight="1">
      <c r="A62" s="309"/>
      <c r="B62" s="310" t="s">
        <v>117</v>
      </c>
      <c r="C62" s="310" t="s">
        <v>118</v>
      </c>
      <c r="D62" s="311"/>
      <c r="E62" s="312"/>
      <c r="F62" s="313"/>
      <c r="G62" s="314">
        <v>0</v>
      </c>
      <c r="H62" s="315" t="s">
        <v>120</v>
      </c>
      <c r="I62" s="314" t="s">
        <v>119</v>
      </c>
      <c r="J62" s="310" t="s">
        <v>64</v>
      </c>
      <c r="K62" s="310">
        <v>3</v>
      </c>
      <c r="L62" s="310" t="s">
        <v>7</v>
      </c>
      <c r="M62" s="317" t="s">
        <v>65</v>
      </c>
      <c r="N62" s="319"/>
      <c r="O62" s="319"/>
      <c r="P62" s="319"/>
      <c r="Q62" s="319"/>
      <c r="R62" s="319"/>
      <c r="S62" s="319"/>
      <c r="T62" s="319"/>
      <c r="U62" s="319"/>
      <c r="V62" s="319"/>
      <c r="W62" s="319"/>
      <c r="X62" s="319">
        <v>46226</v>
      </c>
      <c r="Y62" s="319">
        <f>WORKDAY.INTL(X62,INDEX(Y$12:Y$15,MATCH($L62,$L$12:$L$15,0)),1,IF(Y$18="China",'China Holidays'!$A$2:$A$82,'Thai Holidays'!$A$2:$A$63))</f>
        <v>46230</v>
      </c>
      <c r="Z62" s="319">
        <f>WORKDAY.INTL(Y62,INDEX(Z$12:Z$15,MATCH($L62,$L$12:$L$15,0)),1,IF(Z$18="China",'China Holidays'!$A$2:$A$82,'Thai Holidays'!$A$2:$A$63))</f>
        <v>46237</v>
      </c>
      <c r="AA62" s="319">
        <f>WORKDAY.INTL(Z62,INDEX(AA$12:AA$15,MATCH($L62,$L$12:$L$15,0)),1,IF(AA$18="China",'China Holidays'!$A$2:$A$82,'Thai Holidays'!$A$2:$A$63))</f>
        <v>46265</v>
      </c>
      <c r="AB62" s="319">
        <f>WORKDAY.INTL(AA62,INDEX(AB$12:AB$15,MATCH($L62,$L$12:$L$15,0)),1,IF(AB$18="China",'China Holidays'!$A$2:$A$82,'Thai Holidays'!$A$2:$A$63))</f>
        <v>46279</v>
      </c>
      <c r="AC62" s="319">
        <f>AB62+20</f>
        <v>46299</v>
      </c>
      <c r="AD62" s="319">
        <f>AC62+3</f>
        <v>46302</v>
      </c>
      <c r="AE62" s="319">
        <f>AD62+1</f>
        <v>46303</v>
      </c>
      <c r="AF62" s="319">
        <f>AG62-20</f>
        <v>46451</v>
      </c>
      <c r="AG62" s="319">
        <f>AH62-7</f>
        <v>46471</v>
      </c>
      <c r="AH62" s="319">
        <f>AM62</f>
        <v>46478</v>
      </c>
      <c r="AI62" s="319">
        <f>AM62+14</f>
        <v>46492</v>
      </c>
      <c r="AJ62" s="319">
        <f>AM62+30</f>
        <v>46508</v>
      </c>
      <c r="AL62" s="321">
        <f>AK61*7</f>
        <v>252</v>
      </c>
      <c r="AM62" s="319">
        <f>IF(X62&lt;&gt;"",X62+AL62,X63+AL62)</f>
        <v>46478</v>
      </c>
      <c r="AN62" s="322">
        <f>AU61-7</f>
        <v>46498</v>
      </c>
      <c r="AO62" s="322">
        <f>AP62-7</f>
        <v>46498</v>
      </c>
      <c r="AP62" s="322">
        <v>46505</v>
      </c>
      <c r="AQ62" s="322"/>
      <c r="AR62" s="314">
        <f>AN62-AM62</f>
        <v>20</v>
      </c>
      <c r="AS62" s="323"/>
      <c r="AT62" s="324" t="s">
        <v>66</v>
      </c>
      <c r="AU62" s="325">
        <v>46518</v>
      </c>
      <c r="AV62" s="265"/>
    </row>
    <row r="63" spans="1:48" s="264" customFormat="1" ht="25.05" customHeight="1">
      <c r="A63" s="327"/>
      <c r="B63" s="328" t="s">
        <v>117</v>
      </c>
      <c r="C63" s="328" t="s">
        <v>118</v>
      </c>
      <c r="D63" s="329"/>
      <c r="E63" s="330"/>
      <c r="F63" s="331"/>
      <c r="G63" s="332"/>
      <c r="H63" s="333"/>
      <c r="I63" s="332" t="s">
        <v>119</v>
      </c>
      <c r="J63" s="328" t="s">
        <v>64</v>
      </c>
      <c r="K63" s="357">
        <v>3</v>
      </c>
      <c r="L63" s="328" t="s">
        <v>7</v>
      </c>
      <c r="M63" s="334" t="s">
        <v>67</v>
      </c>
      <c r="N63" s="335">
        <v>46133</v>
      </c>
      <c r="O63" s="335">
        <v>46139</v>
      </c>
      <c r="P63" s="335">
        <v>46156</v>
      </c>
      <c r="Q63" s="335">
        <v>46156</v>
      </c>
      <c r="R63" s="335">
        <v>46156</v>
      </c>
      <c r="S63" s="335">
        <v>46156</v>
      </c>
      <c r="T63" s="335">
        <v>46164</v>
      </c>
      <c r="U63" s="335">
        <v>46206</v>
      </c>
      <c r="V63" s="335">
        <v>46213</v>
      </c>
      <c r="W63" s="335"/>
      <c r="X63" s="332"/>
      <c r="Y63" s="335"/>
      <c r="Z63" s="335"/>
      <c r="AA63" s="335"/>
      <c r="AB63" s="335"/>
      <c r="AC63" s="335"/>
      <c r="AD63" s="335"/>
      <c r="AE63" s="335"/>
      <c r="AF63" s="335"/>
      <c r="AG63" s="335"/>
      <c r="AH63" s="335"/>
      <c r="AI63" s="335"/>
      <c r="AJ63" s="335"/>
      <c r="AK63" s="336"/>
      <c r="AL63" s="337"/>
      <c r="AM63" s="335"/>
      <c r="AN63" s="338"/>
      <c r="AO63" s="338"/>
      <c r="AP63" s="338"/>
      <c r="AQ63" s="338"/>
      <c r="AR63" s="332"/>
      <c r="AS63" s="339"/>
      <c r="AT63" s="340"/>
      <c r="AU63" s="358" t="s">
        <v>121</v>
      </c>
    </row>
    <row r="64" spans="1:48" s="264" customFormat="1" ht="25.05" customHeight="1">
      <c r="A64" s="309">
        <v>18</v>
      </c>
      <c r="B64" s="310" t="s">
        <v>122</v>
      </c>
      <c r="C64" s="310" t="s">
        <v>123</v>
      </c>
      <c r="D64" s="311"/>
      <c r="E64" s="312"/>
      <c r="F64" s="313"/>
      <c r="G64" s="314"/>
      <c r="H64" s="315"/>
      <c r="I64" s="314" t="s">
        <v>119</v>
      </c>
      <c r="J64" s="310"/>
      <c r="K64" s="316"/>
      <c r="L64" s="310" t="s">
        <v>6</v>
      </c>
      <c r="M64" s="317" t="s">
        <v>61</v>
      </c>
      <c r="N64" s="318"/>
      <c r="O64" s="319">
        <v>46139</v>
      </c>
      <c r="P64" s="319">
        <v>46155</v>
      </c>
      <c r="Q64" s="319">
        <v>46155</v>
      </c>
      <c r="R64" s="319">
        <v>46155</v>
      </c>
      <c r="S64" s="319">
        <v>46155</v>
      </c>
      <c r="T64" s="319">
        <v>46164</v>
      </c>
      <c r="U64" s="319">
        <v>46199</v>
      </c>
      <c r="V64" s="319">
        <v>46213</v>
      </c>
      <c r="W64" s="319"/>
      <c r="X64" s="319">
        <v>46226</v>
      </c>
      <c r="Y64" s="319">
        <v>46230</v>
      </c>
      <c r="Z64" s="319">
        <v>46237</v>
      </c>
      <c r="AA64" s="319">
        <v>46265</v>
      </c>
      <c r="AB64" s="319">
        <v>46279</v>
      </c>
      <c r="AC64" s="319">
        <v>46299</v>
      </c>
      <c r="AD64" s="319">
        <v>46302</v>
      </c>
      <c r="AE64" s="319">
        <v>46303</v>
      </c>
      <c r="AF64" s="319">
        <v>46458</v>
      </c>
      <c r="AG64" s="319">
        <v>46478</v>
      </c>
      <c r="AH64" s="319">
        <v>46485</v>
      </c>
      <c r="AI64" s="319">
        <v>46499</v>
      </c>
      <c r="AJ64" s="319">
        <v>46515</v>
      </c>
      <c r="AK64" s="320">
        <v>37</v>
      </c>
      <c r="AL64" s="321"/>
      <c r="AM64" s="319">
        <f>X64+AL65</f>
        <v>46485</v>
      </c>
      <c r="AN64" s="322"/>
      <c r="AO64" s="322"/>
      <c r="AP64" s="322"/>
      <c r="AQ64" s="322"/>
      <c r="AR64" s="314">
        <f>AN65-AM64</f>
        <v>13</v>
      </c>
      <c r="AS64" s="323"/>
      <c r="AT64" s="324" t="s">
        <v>62</v>
      </c>
      <c r="AU64" s="325">
        <v>46505</v>
      </c>
    </row>
    <row r="65" spans="1:48" s="264" customFormat="1" ht="25.05" customHeight="1">
      <c r="A65" s="309"/>
      <c r="B65" s="310" t="s">
        <v>122</v>
      </c>
      <c r="C65" s="310" t="s">
        <v>123</v>
      </c>
      <c r="D65" s="311"/>
      <c r="E65" s="312"/>
      <c r="F65" s="313"/>
      <c r="G65" s="314">
        <v>0</v>
      </c>
      <c r="H65" s="315" t="s">
        <v>124</v>
      </c>
      <c r="I65" s="314" t="s">
        <v>119</v>
      </c>
      <c r="J65" s="310" t="s">
        <v>64</v>
      </c>
      <c r="K65" s="310">
        <v>2</v>
      </c>
      <c r="L65" s="310" t="s">
        <v>6</v>
      </c>
      <c r="M65" s="317" t="s">
        <v>65</v>
      </c>
      <c r="N65" s="319"/>
      <c r="O65" s="319"/>
      <c r="P65" s="319"/>
      <c r="Q65" s="319"/>
      <c r="R65" s="319"/>
      <c r="S65" s="319"/>
      <c r="T65" s="319"/>
      <c r="U65" s="319"/>
      <c r="V65" s="319"/>
      <c r="W65" s="319"/>
      <c r="X65" s="319">
        <v>46226</v>
      </c>
      <c r="Y65" s="319">
        <f>WORKDAY.INTL(X65,INDEX(Y$12:Y$15,MATCH($L65,$L$12:$L$15,0)),1,IF(Y$18="China",'China Holidays'!$A$2:$A$82,'Thai Holidays'!$A$2:$A$63))</f>
        <v>46230</v>
      </c>
      <c r="Z65" s="319">
        <f>WORKDAY.INTL(Y65,INDEX(Z$12:Z$15,MATCH($L65,$L$12:$L$15,0)),1,IF(Z$18="China",'China Holidays'!$A$2:$A$82,'Thai Holidays'!$A$2:$A$63))</f>
        <v>46237</v>
      </c>
      <c r="AA65" s="319">
        <f>WORKDAY.INTL(Z65,INDEX(AA$12:AA$15,MATCH($L65,$L$12:$L$15,0)),1,IF(AA$18="China",'China Holidays'!$A$2:$A$82,'Thai Holidays'!$A$2:$A$63))</f>
        <v>46265</v>
      </c>
      <c r="AB65" s="319">
        <f>WORKDAY.INTL(AA65,INDEX(AB$12:AB$15,MATCH($L65,$L$12:$L$15,0)),1,IF(AB$18="China",'China Holidays'!$A$2:$A$82,'Thai Holidays'!$A$2:$A$63))</f>
        <v>46279</v>
      </c>
      <c r="AC65" s="319">
        <f>AB65+20</f>
        <v>46299</v>
      </c>
      <c r="AD65" s="319">
        <f>AC65+3</f>
        <v>46302</v>
      </c>
      <c r="AE65" s="319">
        <f>AD65+1</f>
        <v>46303</v>
      </c>
      <c r="AF65" s="319">
        <f>AG65-20</f>
        <v>46458</v>
      </c>
      <c r="AG65" s="319">
        <f>AH65-7</f>
        <v>46478</v>
      </c>
      <c r="AH65" s="319">
        <f>AM65</f>
        <v>46485</v>
      </c>
      <c r="AI65" s="319">
        <f>AM65+14</f>
        <v>46499</v>
      </c>
      <c r="AJ65" s="319">
        <f>AM65+30</f>
        <v>46515</v>
      </c>
      <c r="AK65" s="343"/>
      <c r="AL65" s="321">
        <f>AK64*7</f>
        <v>259</v>
      </c>
      <c r="AM65" s="319">
        <f>IF(X65&lt;&gt;"",X65+AL65,X66+AL65)</f>
        <v>46485</v>
      </c>
      <c r="AN65" s="322">
        <f>AU64-7</f>
        <v>46498</v>
      </c>
      <c r="AO65" s="322">
        <f>AP65-7</f>
        <v>46498</v>
      </c>
      <c r="AP65" s="322">
        <v>46505</v>
      </c>
      <c r="AQ65" s="322"/>
      <c r="AR65" s="314">
        <f>AN65-AM65</f>
        <v>13</v>
      </c>
      <c r="AS65" s="323"/>
      <c r="AT65" s="324" t="s">
        <v>66</v>
      </c>
      <c r="AU65" s="325">
        <v>46518</v>
      </c>
      <c r="AV65" s="265"/>
    </row>
    <row r="66" spans="1:48" s="264" customFormat="1" ht="25.05" customHeight="1">
      <c r="A66" s="327"/>
      <c r="B66" s="328" t="s">
        <v>122</v>
      </c>
      <c r="C66" s="328" t="s">
        <v>123</v>
      </c>
      <c r="D66" s="329"/>
      <c r="E66" s="330"/>
      <c r="F66" s="331"/>
      <c r="G66" s="332"/>
      <c r="H66" s="333"/>
      <c r="I66" s="332" t="s">
        <v>119</v>
      </c>
      <c r="J66" s="328" t="s">
        <v>64</v>
      </c>
      <c r="K66" s="357">
        <v>2</v>
      </c>
      <c r="L66" s="328" t="s">
        <v>6</v>
      </c>
      <c r="M66" s="334" t="s">
        <v>67</v>
      </c>
      <c r="N66" s="335">
        <v>46133</v>
      </c>
      <c r="O66" s="335">
        <v>46139</v>
      </c>
      <c r="P66" s="335">
        <v>46156</v>
      </c>
      <c r="Q66" s="335">
        <v>46156</v>
      </c>
      <c r="R66" s="335">
        <v>46156</v>
      </c>
      <c r="S66" s="335">
        <v>46156</v>
      </c>
      <c r="T66" s="335">
        <v>46164</v>
      </c>
      <c r="U66" s="335">
        <v>46206</v>
      </c>
      <c r="V66" s="335">
        <v>46213</v>
      </c>
      <c r="W66" s="335"/>
      <c r="X66" s="332"/>
      <c r="Y66" s="335"/>
      <c r="Z66" s="335"/>
      <c r="AA66" s="335"/>
      <c r="AB66" s="335"/>
      <c r="AC66" s="335"/>
      <c r="AD66" s="335"/>
      <c r="AE66" s="335"/>
      <c r="AF66" s="335"/>
      <c r="AG66" s="335"/>
      <c r="AH66" s="335"/>
      <c r="AI66" s="335"/>
      <c r="AJ66" s="335"/>
      <c r="AK66" s="336"/>
      <c r="AL66" s="337"/>
      <c r="AM66" s="335"/>
      <c r="AN66" s="338"/>
      <c r="AO66" s="338"/>
      <c r="AP66" s="338"/>
      <c r="AQ66" s="338"/>
      <c r="AR66" s="332"/>
      <c r="AS66" s="339"/>
      <c r="AT66" s="340"/>
      <c r="AU66" s="339"/>
    </row>
    <row r="67" spans="1:48" s="264" customFormat="1" ht="25.05" customHeight="1">
      <c r="A67" s="309">
        <v>19</v>
      </c>
      <c r="B67" s="310" t="s">
        <v>125</v>
      </c>
      <c r="C67" s="310" t="s">
        <v>126</v>
      </c>
      <c r="D67" s="311"/>
      <c r="E67" s="312"/>
      <c r="F67" s="313"/>
      <c r="G67" s="314"/>
      <c r="H67" s="315"/>
      <c r="I67" s="314" t="s">
        <v>119</v>
      </c>
      <c r="J67" s="310"/>
      <c r="K67" s="316"/>
      <c r="L67" s="310" t="s">
        <v>7</v>
      </c>
      <c r="M67" s="317" t="s">
        <v>61</v>
      </c>
      <c r="N67" s="318"/>
      <c r="O67" s="319">
        <v>46150</v>
      </c>
      <c r="P67" s="319">
        <v>46164</v>
      </c>
      <c r="Q67" s="319">
        <v>46164</v>
      </c>
      <c r="R67" s="319">
        <v>46164</v>
      </c>
      <c r="S67" s="319">
        <v>46164</v>
      </c>
      <c r="T67" s="319">
        <v>46171</v>
      </c>
      <c r="U67" s="319">
        <v>46218</v>
      </c>
      <c r="V67" s="319">
        <v>46234</v>
      </c>
      <c r="W67" s="319"/>
      <c r="X67" s="319">
        <v>46247</v>
      </c>
      <c r="Y67" s="319">
        <v>46251</v>
      </c>
      <c r="Z67" s="319">
        <v>46258</v>
      </c>
      <c r="AA67" s="319">
        <v>46286</v>
      </c>
      <c r="AB67" s="319">
        <v>46300</v>
      </c>
      <c r="AC67" s="319">
        <v>46320</v>
      </c>
      <c r="AD67" s="319">
        <v>46320</v>
      </c>
      <c r="AE67" s="319">
        <v>46323</v>
      </c>
      <c r="AF67" s="319">
        <v>46472</v>
      </c>
      <c r="AG67" s="319">
        <v>46492</v>
      </c>
      <c r="AH67" s="319">
        <v>46499</v>
      </c>
      <c r="AI67" s="319">
        <v>46513</v>
      </c>
      <c r="AJ67" s="319">
        <v>46529</v>
      </c>
      <c r="AK67" s="320">
        <v>36</v>
      </c>
      <c r="AL67" s="321"/>
      <c r="AM67" s="319">
        <f>X67+AL68</f>
        <v>46499</v>
      </c>
      <c r="AN67" s="322"/>
      <c r="AO67" s="322"/>
      <c r="AP67" s="322"/>
      <c r="AQ67" s="322"/>
      <c r="AR67" s="314">
        <f>AN68-AM67</f>
        <v>31</v>
      </c>
      <c r="AS67" s="323"/>
      <c r="AT67" s="324" t="s">
        <v>62</v>
      </c>
      <c r="AU67" s="325">
        <v>46537</v>
      </c>
    </row>
    <row r="68" spans="1:48" s="264" customFormat="1" ht="25.05" customHeight="1">
      <c r="A68" s="309"/>
      <c r="B68" s="310" t="s">
        <v>125</v>
      </c>
      <c r="C68" s="310" t="s">
        <v>126</v>
      </c>
      <c r="D68" s="311"/>
      <c r="E68" s="312"/>
      <c r="F68" s="313"/>
      <c r="G68" s="314">
        <v>12</v>
      </c>
      <c r="H68" s="315" t="s">
        <v>127</v>
      </c>
      <c r="I68" s="314" t="s">
        <v>119</v>
      </c>
      <c r="J68" s="310" t="s">
        <v>64</v>
      </c>
      <c r="K68" s="310">
        <v>4</v>
      </c>
      <c r="L68" s="310" t="s">
        <v>7</v>
      </c>
      <c r="M68" s="317" t="s">
        <v>65</v>
      </c>
      <c r="N68" s="319"/>
      <c r="O68" s="319"/>
      <c r="P68" s="319"/>
      <c r="Q68" s="319"/>
      <c r="R68" s="319"/>
      <c r="S68" s="319"/>
      <c r="T68" s="319"/>
      <c r="U68" s="319"/>
      <c r="V68" s="319">
        <v>46234</v>
      </c>
      <c r="W68" s="319"/>
      <c r="X68" s="319">
        <f>WORKDAY.INTL(V68,INDEX(X$8:X$11,MATCH($L68,$L$8:$L$11,0)),1,IF(X$18="China",'China Holidays'!$A$2:$A$82,'Thai Holidays'!$A$2:$A$63))</f>
        <v>46247</v>
      </c>
      <c r="Y68" s="319">
        <f>WORKDAY.INTL(X68,INDEX(Y$12:Y$15,MATCH($L68,$L$12:$L$15,0)),1,IF(Y$18="China",'China Holidays'!$A$2:$A$82,'Thai Holidays'!$A$2:$A$63))</f>
        <v>46251</v>
      </c>
      <c r="Z68" s="319">
        <f>WORKDAY.INTL(Y68,INDEX(Z$12:Z$15,MATCH($L68,$L$12:$L$15,0)),1,IF(Z$18="China",'China Holidays'!$A$2:$A$82,'Thai Holidays'!$A$2:$A$63))</f>
        <v>46258</v>
      </c>
      <c r="AA68" s="319">
        <f>WORKDAY.INTL(Z68,INDEX(AA$12:AA$15,MATCH($L68,$L$12:$L$15,0)),1,IF(AA$18="China",'China Holidays'!$A$2:$A$82,'Thai Holidays'!$A$2:$A$63))</f>
        <v>46286</v>
      </c>
      <c r="AB68" s="319">
        <f>WORKDAY.INTL(AA68,INDEX(AB$12:AB$15,MATCH($L68,$L$12:$L$15,0)),1,IF(AB$18="China",'China Holidays'!$A$2:$A$82,'Thai Holidays'!$A$2:$A$63))</f>
        <v>46300</v>
      </c>
      <c r="AC68" s="319">
        <f>AB68+20</f>
        <v>46320</v>
      </c>
      <c r="AD68" s="319">
        <f>AC68</f>
        <v>46320</v>
      </c>
      <c r="AE68" s="319">
        <f>AD68+3</f>
        <v>46323</v>
      </c>
      <c r="AF68" s="319">
        <f>AG68-20</f>
        <v>46472</v>
      </c>
      <c r="AG68" s="319">
        <f>AH68-7</f>
        <v>46492</v>
      </c>
      <c r="AH68" s="319">
        <f>AM68</f>
        <v>46499</v>
      </c>
      <c r="AI68" s="319">
        <f>AM68+14</f>
        <v>46513</v>
      </c>
      <c r="AJ68" s="319">
        <f>AM68+30</f>
        <v>46529</v>
      </c>
      <c r="AK68" s="343"/>
      <c r="AL68" s="321">
        <f>AK67*7</f>
        <v>252</v>
      </c>
      <c r="AM68" s="319">
        <f>IF(X68&lt;&gt;"",X68+AL68,X69+AL68)</f>
        <v>46499</v>
      </c>
      <c r="AN68" s="322">
        <f>AU67-7</f>
        <v>46530</v>
      </c>
      <c r="AO68" s="322">
        <f>AP68-7</f>
        <v>46530</v>
      </c>
      <c r="AP68" s="322">
        <v>46537</v>
      </c>
      <c r="AQ68" s="322"/>
      <c r="AR68" s="314">
        <f>AN68-AM68</f>
        <v>31</v>
      </c>
      <c r="AS68" s="323"/>
      <c r="AT68" s="324" t="s">
        <v>66</v>
      </c>
      <c r="AU68" s="325">
        <v>46537</v>
      </c>
      <c r="AV68" s="265"/>
    </row>
    <row r="69" spans="1:48" s="264" customFormat="1" ht="25.05" customHeight="1">
      <c r="A69" s="327"/>
      <c r="B69" s="328" t="s">
        <v>125</v>
      </c>
      <c r="C69" s="328" t="s">
        <v>126</v>
      </c>
      <c r="D69" s="329"/>
      <c r="E69" s="330"/>
      <c r="F69" s="331"/>
      <c r="G69" s="332"/>
      <c r="H69" s="333"/>
      <c r="I69" s="332" t="s">
        <v>119</v>
      </c>
      <c r="J69" s="328" t="s">
        <v>64</v>
      </c>
      <c r="K69" s="357">
        <v>4</v>
      </c>
      <c r="L69" s="328" t="s">
        <v>7</v>
      </c>
      <c r="M69" s="334" t="s">
        <v>67</v>
      </c>
      <c r="N69" s="335">
        <v>46133</v>
      </c>
      <c r="O69" s="335">
        <v>46150</v>
      </c>
      <c r="P69" s="335">
        <v>46170</v>
      </c>
      <c r="Q69" s="335">
        <v>46170</v>
      </c>
      <c r="R69" s="335">
        <v>46170</v>
      </c>
      <c r="S69" s="335">
        <v>46170</v>
      </c>
      <c r="T69" s="335">
        <v>46171</v>
      </c>
      <c r="U69" s="335">
        <v>46215</v>
      </c>
      <c r="V69" s="335">
        <v>46224</v>
      </c>
      <c r="W69" s="335"/>
      <c r="X69" s="332"/>
      <c r="Y69" s="335"/>
      <c r="Z69" s="335"/>
      <c r="AA69" s="335"/>
      <c r="AB69" s="335"/>
      <c r="AC69" s="335"/>
      <c r="AD69" s="335"/>
      <c r="AE69" s="335"/>
      <c r="AF69" s="335"/>
      <c r="AG69" s="335"/>
      <c r="AH69" s="335"/>
      <c r="AI69" s="335"/>
      <c r="AJ69" s="335"/>
      <c r="AK69" s="336"/>
      <c r="AL69" s="337"/>
      <c r="AM69" s="335"/>
      <c r="AN69" s="338"/>
      <c r="AO69" s="338"/>
      <c r="AP69" s="338"/>
      <c r="AQ69" s="338"/>
      <c r="AR69" s="332"/>
      <c r="AS69" s="339"/>
      <c r="AT69" s="340"/>
      <c r="AU69" s="339"/>
    </row>
    <row r="70" spans="1:48" s="264" customFormat="1" ht="25.05" customHeight="1">
      <c r="A70" s="309">
        <v>20</v>
      </c>
      <c r="B70" s="310" t="s">
        <v>128</v>
      </c>
      <c r="C70" s="310" t="s">
        <v>129</v>
      </c>
      <c r="D70" s="311"/>
      <c r="E70" s="312"/>
      <c r="F70" s="313"/>
      <c r="G70" s="314"/>
      <c r="H70" s="315"/>
      <c r="I70" s="314" t="s">
        <v>119</v>
      </c>
      <c r="J70" s="310"/>
      <c r="K70" s="316"/>
      <c r="L70" s="310" t="s">
        <v>8</v>
      </c>
      <c r="M70" s="317" t="s">
        <v>61</v>
      </c>
      <c r="N70" s="318"/>
      <c r="O70" s="319">
        <v>46136</v>
      </c>
      <c r="P70" s="319">
        <v>46147</v>
      </c>
      <c r="Q70" s="319">
        <v>46148</v>
      </c>
      <c r="R70" s="319">
        <v>46155</v>
      </c>
      <c r="S70" s="319">
        <v>46156</v>
      </c>
      <c r="T70" s="319">
        <v>46169</v>
      </c>
      <c r="U70" s="319">
        <v>46199</v>
      </c>
      <c r="V70" s="319">
        <v>46213</v>
      </c>
      <c r="W70" s="319"/>
      <c r="X70" s="319">
        <v>46226</v>
      </c>
      <c r="Y70" s="319">
        <v>46230</v>
      </c>
      <c r="Z70" s="319">
        <v>46237</v>
      </c>
      <c r="AA70" s="319">
        <v>46265</v>
      </c>
      <c r="AB70" s="319">
        <v>46279</v>
      </c>
      <c r="AC70" s="319">
        <v>46299</v>
      </c>
      <c r="AD70" s="319">
        <v>46458</v>
      </c>
      <c r="AE70" s="319">
        <v>46478</v>
      </c>
      <c r="AF70" s="319">
        <f>AG70-20</f>
        <v>46458</v>
      </c>
      <c r="AG70" s="319">
        <v>46478</v>
      </c>
      <c r="AH70" s="319">
        <v>46485</v>
      </c>
      <c r="AI70" s="319">
        <v>46499</v>
      </c>
      <c r="AJ70" s="319">
        <v>46515</v>
      </c>
      <c r="AK70" s="320">
        <v>37</v>
      </c>
      <c r="AL70" s="321"/>
      <c r="AM70" s="319">
        <f>X70+AL71</f>
        <v>46485</v>
      </c>
      <c r="AN70" s="348">
        <f>AM70-AH70</f>
        <v>0</v>
      </c>
      <c r="AO70" s="322"/>
      <c r="AP70" s="322"/>
      <c r="AQ70" s="322"/>
      <c r="AR70" s="314">
        <f>AN71-AM70</f>
        <v>13</v>
      </c>
      <c r="AS70" s="323"/>
      <c r="AT70" s="324" t="s">
        <v>62</v>
      </c>
      <c r="AU70" s="325">
        <v>46505</v>
      </c>
    </row>
    <row r="71" spans="1:48" s="264" customFormat="1" ht="25.05" customHeight="1">
      <c r="A71" s="309"/>
      <c r="B71" s="310" t="s">
        <v>128</v>
      </c>
      <c r="C71" s="310" t="s">
        <v>129</v>
      </c>
      <c r="D71" s="311"/>
      <c r="E71" s="312"/>
      <c r="F71" s="313"/>
      <c r="G71" s="314">
        <v>6</v>
      </c>
      <c r="H71" s="315" t="s">
        <v>124</v>
      </c>
      <c r="I71" s="314" t="s">
        <v>119</v>
      </c>
      <c r="J71" s="310" t="s">
        <v>72</v>
      </c>
      <c r="K71" s="310">
        <v>3</v>
      </c>
      <c r="L71" s="310" t="s">
        <v>8</v>
      </c>
      <c r="M71" s="317" t="s">
        <v>65</v>
      </c>
      <c r="N71" s="319"/>
      <c r="O71" s="319"/>
      <c r="P71" s="319"/>
      <c r="Q71" s="319"/>
      <c r="R71" s="319"/>
      <c r="S71" s="319"/>
      <c r="T71" s="319"/>
      <c r="U71" s="319"/>
      <c r="V71" s="319"/>
      <c r="W71" s="319"/>
      <c r="X71" s="319">
        <v>46226</v>
      </c>
      <c r="Y71" s="319">
        <v>46230</v>
      </c>
      <c r="Z71" s="319">
        <v>46237</v>
      </c>
      <c r="AA71" s="319">
        <v>46265</v>
      </c>
      <c r="AB71" s="319">
        <v>46279</v>
      </c>
      <c r="AC71" s="319">
        <v>46299</v>
      </c>
      <c r="AD71" s="319">
        <v>46458</v>
      </c>
      <c r="AE71" s="319">
        <v>46478</v>
      </c>
      <c r="AF71" s="319">
        <f>AG71-20</f>
        <v>46458</v>
      </c>
      <c r="AG71" s="319">
        <f>AH71-7</f>
        <v>46478</v>
      </c>
      <c r="AH71" s="319">
        <f>AM71</f>
        <v>46485</v>
      </c>
      <c r="AI71" s="319">
        <f>AM71+14</f>
        <v>46499</v>
      </c>
      <c r="AJ71" s="319">
        <f>AM71+30</f>
        <v>46515</v>
      </c>
      <c r="AK71" s="343"/>
      <c r="AL71" s="321">
        <f>AK70*7</f>
        <v>259</v>
      </c>
      <c r="AM71" s="319">
        <f>IF(X71&lt;&gt;"",X71+AL71,X72+AL71)</f>
        <v>46485</v>
      </c>
      <c r="AN71" s="322">
        <f>AU70-7</f>
        <v>46498</v>
      </c>
      <c r="AO71" s="322">
        <f>AP71-7</f>
        <v>46498</v>
      </c>
      <c r="AP71" s="322">
        <v>46505</v>
      </c>
      <c r="AQ71" s="322"/>
      <c r="AR71" s="314">
        <f>AN71-AM71</f>
        <v>13</v>
      </c>
      <c r="AS71" s="323"/>
      <c r="AT71" s="324" t="s">
        <v>66</v>
      </c>
      <c r="AU71" s="325">
        <v>46518</v>
      </c>
      <c r="AV71" s="265"/>
    </row>
    <row r="72" spans="1:48" s="264" customFormat="1" ht="25.05" customHeight="1">
      <c r="A72" s="327"/>
      <c r="B72" s="328" t="s">
        <v>128</v>
      </c>
      <c r="C72" s="328" t="s">
        <v>129</v>
      </c>
      <c r="D72" s="329"/>
      <c r="E72" s="330"/>
      <c r="F72" s="331"/>
      <c r="G72" s="332"/>
      <c r="H72" s="333"/>
      <c r="I72" s="332" t="s">
        <v>119</v>
      </c>
      <c r="J72" s="328" t="s">
        <v>72</v>
      </c>
      <c r="K72" s="357">
        <v>3</v>
      </c>
      <c r="L72" s="328" t="s">
        <v>8</v>
      </c>
      <c r="M72" s="334" t="s">
        <v>67</v>
      </c>
      <c r="N72" s="335">
        <v>46133</v>
      </c>
      <c r="O72" s="335">
        <v>46139</v>
      </c>
      <c r="P72" s="335">
        <v>46156</v>
      </c>
      <c r="Q72" s="335">
        <v>46156</v>
      </c>
      <c r="R72" s="335">
        <v>46156</v>
      </c>
      <c r="S72" s="335">
        <v>46156</v>
      </c>
      <c r="T72" s="335">
        <v>46164</v>
      </c>
      <c r="U72" s="335">
        <v>46210</v>
      </c>
      <c r="V72" s="335">
        <v>46219</v>
      </c>
      <c r="W72" s="335"/>
      <c r="X72" s="332"/>
      <c r="Y72" s="335"/>
      <c r="Z72" s="335"/>
      <c r="AA72" s="335"/>
      <c r="AB72" s="335"/>
      <c r="AC72" s="335"/>
      <c r="AD72" s="335"/>
      <c r="AE72" s="335"/>
      <c r="AF72" s="335"/>
      <c r="AG72" s="335"/>
      <c r="AH72" s="335"/>
      <c r="AI72" s="359"/>
      <c r="AJ72" s="335"/>
      <c r="AK72" s="336"/>
      <c r="AL72" s="337"/>
      <c r="AM72" s="335"/>
      <c r="AN72" s="338"/>
      <c r="AO72" s="338"/>
      <c r="AP72" s="338"/>
      <c r="AQ72" s="338"/>
      <c r="AR72" s="332"/>
      <c r="AS72" s="339"/>
      <c r="AT72" s="340"/>
      <c r="AU72" s="358" t="s">
        <v>121</v>
      </c>
    </row>
    <row r="73" spans="1:48" s="264" customFormat="1" ht="25.05" customHeight="1">
      <c r="A73" s="309">
        <v>21</v>
      </c>
      <c r="B73" s="310" t="s">
        <v>130</v>
      </c>
      <c r="C73" s="310" t="s">
        <v>131</v>
      </c>
      <c r="D73" s="311"/>
      <c r="E73" s="312"/>
      <c r="F73" s="313"/>
      <c r="G73" s="314"/>
      <c r="H73" s="315"/>
      <c r="I73" s="314" t="s">
        <v>132</v>
      </c>
      <c r="J73" s="310"/>
      <c r="K73" s="316"/>
      <c r="L73" s="310" t="s">
        <v>7</v>
      </c>
      <c r="M73" s="317" t="s">
        <v>61</v>
      </c>
      <c r="N73" s="318"/>
      <c r="O73" s="319">
        <v>46164</v>
      </c>
      <c r="P73" s="319">
        <v>46171</v>
      </c>
      <c r="Q73" s="319">
        <v>46174</v>
      </c>
      <c r="R73" s="319">
        <v>46182</v>
      </c>
      <c r="S73" s="319">
        <v>46183</v>
      </c>
      <c r="T73" s="319">
        <v>46197</v>
      </c>
      <c r="U73" s="319">
        <v>46225</v>
      </c>
      <c r="V73" s="319">
        <v>46241</v>
      </c>
      <c r="W73" s="319"/>
      <c r="X73" s="319">
        <v>46254</v>
      </c>
      <c r="Y73" s="319">
        <v>46258</v>
      </c>
      <c r="Z73" s="319">
        <v>46265</v>
      </c>
      <c r="AA73" s="319">
        <v>46294</v>
      </c>
      <c r="AB73" s="319">
        <v>46309</v>
      </c>
      <c r="AC73" s="319">
        <v>46369</v>
      </c>
      <c r="AD73" s="319">
        <v>46372</v>
      </c>
      <c r="AE73" s="319">
        <v>46373</v>
      </c>
      <c r="AF73" s="319">
        <v>46443</v>
      </c>
      <c r="AG73" s="319">
        <v>46457</v>
      </c>
      <c r="AH73" s="319">
        <v>46464</v>
      </c>
      <c r="AI73" s="319">
        <v>46478</v>
      </c>
      <c r="AJ73" s="319">
        <v>46494</v>
      </c>
      <c r="AK73" s="320">
        <v>30</v>
      </c>
      <c r="AL73" s="321"/>
      <c r="AM73" s="319">
        <f>X73+AL74</f>
        <v>46464</v>
      </c>
      <c r="AN73" s="348">
        <f>AM73-AH73</f>
        <v>0</v>
      </c>
      <c r="AO73" s="322"/>
      <c r="AP73" s="322"/>
      <c r="AQ73" s="322"/>
      <c r="AR73" s="314">
        <f>AN74-AM73</f>
        <v>14</v>
      </c>
      <c r="AS73" s="323"/>
      <c r="AT73" s="324" t="s">
        <v>62</v>
      </c>
      <c r="AU73" s="325">
        <v>46485</v>
      </c>
    </row>
    <row r="74" spans="1:48" s="264" customFormat="1" ht="25.05" customHeight="1">
      <c r="A74" s="309"/>
      <c r="B74" s="310" t="s">
        <v>130</v>
      </c>
      <c r="C74" s="310" t="s">
        <v>131</v>
      </c>
      <c r="D74" s="311"/>
      <c r="E74" s="312"/>
      <c r="F74" s="342"/>
      <c r="G74" s="314">
        <v>6</v>
      </c>
      <c r="H74" s="315" t="s">
        <v>133</v>
      </c>
      <c r="I74" s="314" t="s">
        <v>132</v>
      </c>
      <c r="J74" s="310" t="s">
        <v>72</v>
      </c>
      <c r="K74" s="310">
        <v>2</v>
      </c>
      <c r="L74" s="310" t="s">
        <v>7</v>
      </c>
      <c r="M74" s="317" t="s">
        <v>65</v>
      </c>
      <c r="N74" s="319"/>
      <c r="O74" s="319"/>
      <c r="P74" s="319"/>
      <c r="Q74" s="319"/>
      <c r="R74" s="319"/>
      <c r="S74" s="319"/>
      <c r="T74" s="319"/>
      <c r="U74" s="319">
        <v>46225</v>
      </c>
      <c r="V74" s="319">
        <f>WORKDAY.INTL(U74,INDEX(V$8:V$11,MATCH($L74,$L$8:$L$11,0)),1,IF(V$18="China",'China Holidays'!$A$2:$A$82,'Thai Holidays'!$A$2:$A$63))</f>
        <v>46241</v>
      </c>
      <c r="W74" s="319"/>
      <c r="X74" s="319">
        <f>WORKDAY.INTL(V74,INDEX(X$8:X$11,MATCH($L74,$L$8:$L$11,0)),1,IF(X$18="China",'China Holidays'!$A$2:$A$82,'Thai Holidays'!$A$2:$A$63))</f>
        <v>46254</v>
      </c>
      <c r="Y74" s="319">
        <f>WORKDAY.INTL(X74,INDEX(Y$12:Y$15,MATCH($L74,$L$12:$L$15,0)),1,IF(Y$18="China",'China Holidays'!$A$2:$A$82,'Thai Holidays'!$A$2:$A$63))</f>
        <v>46258</v>
      </c>
      <c r="Z74" s="319">
        <f>WORKDAY.INTL(Y74,INDEX(Z$12:Z$15,MATCH($L74,$L$12:$L$15,0)),1,IF(Z$18="China",'China Holidays'!$A$2:$A$82,'Thai Holidays'!$A$2:$A$63))</f>
        <v>46265</v>
      </c>
      <c r="AA74" s="319">
        <f>WORKDAY.INTL(Z74,INDEX(AA$12:AA$15,MATCH($L74,$L$12:$L$15,0)),1,IF(AA$18="China",'China Holidays'!$A$2:$A$82,'Thai Holidays'!$A$2:$A$63))</f>
        <v>46294</v>
      </c>
      <c r="AB74" s="319">
        <f>WORKDAY.INTL(AA74,INDEX(AB$12:AB$15,MATCH($L74,$L$12:$L$15,0)),1,IF(AB$18="China",'China Holidays'!$A$2:$A$82,'Thai Holidays'!$A$2:$A$63))</f>
        <v>46309</v>
      </c>
      <c r="AC74" s="319">
        <f>AB74+60</f>
        <v>46369</v>
      </c>
      <c r="AD74" s="319">
        <f>AC74+3</f>
        <v>46372</v>
      </c>
      <c r="AE74" s="319">
        <f>AD74+1</f>
        <v>46373</v>
      </c>
      <c r="AF74" s="319">
        <f>AG74-14</f>
        <v>46443</v>
      </c>
      <c r="AG74" s="319">
        <f>AH74-7</f>
        <v>46457</v>
      </c>
      <c r="AH74" s="319">
        <f>AM74</f>
        <v>46464</v>
      </c>
      <c r="AI74" s="319">
        <f>AM74+14</f>
        <v>46478</v>
      </c>
      <c r="AJ74" s="319">
        <f>AM74+30</f>
        <v>46494</v>
      </c>
      <c r="AK74" s="343"/>
      <c r="AL74" s="321">
        <f>AK73*7</f>
        <v>210</v>
      </c>
      <c r="AM74" s="319">
        <f>IF(X74&lt;&gt;"",X74+AL74,X75+AL74)</f>
        <v>46464</v>
      </c>
      <c r="AN74" s="322">
        <f>AU73-7</f>
        <v>46478</v>
      </c>
      <c r="AO74" s="322">
        <f>AP74-7</f>
        <v>46498</v>
      </c>
      <c r="AP74" s="322">
        <v>46505</v>
      </c>
      <c r="AQ74" s="322" t="s">
        <v>134</v>
      </c>
      <c r="AR74" s="314">
        <f>AN74-AM74</f>
        <v>14</v>
      </c>
      <c r="AS74" s="323"/>
      <c r="AT74" s="324" t="s">
        <v>66</v>
      </c>
      <c r="AU74" s="325">
        <v>46485</v>
      </c>
      <c r="AV74" s="265"/>
    </row>
    <row r="75" spans="1:48" s="264" customFormat="1" ht="25.05" customHeight="1">
      <c r="A75" s="327"/>
      <c r="B75" s="328" t="s">
        <v>130</v>
      </c>
      <c r="C75" s="328" t="s">
        <v>131</v>
      </c>
      <c r="D75" s="329"/>
      <c r="E75" s="330"/>
      <c r="F75" s="344"/>
      <c r="G75" s="332"/>
      <c r="H75" s="333"/>
      <c r="I75" s="332" t="s">
        <v>132</v>
      </c>
      <c r="J75" s="328" t="s">
        <v>72</v>
      </c>
      <c r="K75" s="310">
        <v>2</v>
      </c>
      <c r="L75" s="328" t="s">
        <v>7</v>
      </c>
      <c r="M75" s="334" t="s">
        <v>67</v>
      </c>
      <c r="N75" s="335">
        <v>46133</v>
      </c>
      <c r="O75" s="335">
        <v>46165</v>
      </c>
      <c r="P75" s="335">
        <v>46182</v>
      </c>
      <c r="Q75" s="335">
        <v>46182</v>
      </c>
      <c r="R75" s="335">
        <v>46182</v>
      </c>
      <c r="S75" s="335">
        <v>46182</v>
      </c>
      <c r="T75" s="335">
        <v>46188</v>
      </c>
      <c r="U75" s="335"/>
      <c r="V75" s="335"/>
      <c r="W75" s="335"/>
      <c r="X75" s="332"/>
      <c r="Y75" s="335"/>
      <c r="Z75" s="335"/>
      <c r="AA75" s="335"/>
      <c r="AB75" s="335"/>
      <c r="AC75" s="335"/>
      <c r="AD75" s="335"/>
      <c r="AE75" s="335"/>
      <c r="AF75" s="335"/>
      <c r="AG75" s="335"/>
      <c r="AH75" s="335"/>
      <c r="AI75" s="335"/>
      <c r="AJ75" s="335"/>
      <c r="AK75" s="336"/>
      <c r="AL75" s="337"/>
      <c r="AM75" s="335"/>
      <c r="AN75" s="338"/>
      <c r="AO75" s="338"/>
      <c r="AP75" s="338"/>
      <c r="AQ75" s="338"/>
      <c r="AR75" s="332"/>
      <c r="AS75" s="339"/>
      <c r="AT75" s="340"/>
      <c r="AU75" s="339"/>
    </row>
    <row r="76" spans="1:48" s="264" customFormat="1" ht="24" customHeight="1">
      <c r="A76" s="309">
        <v>22</v>
      </c>
      <c r="B76" s="310" t="s">
        <v>135</v>
      </c>
      <c r="C76" s="310" t="s">
        <v>136</v>
      </c>
      <c r="D76" s="311"/>
      <c r="E76" s="312"/>
      <c r="F76" s="313"/>
      <c r="G76" s="314"/>
      <c r="H76" s="315"/>
      <c r="I76" s="314" t="s">
        <v>132</v>
      </c>
      <c r="J76" s="310"/>
      <c r="K76" s="316"/>
      <c r="L76" s="310" t="s">
        <v>7</v>
      </c>
      <c r="M76" s="317" t="s">
        <v>61</v>
      </c>
      <c r="N76" s="318"/>
      <c r="O76" s="319">
        <v>46164</v>
      </c>
      <c r="P76" s="319">
        <v>46171</v>
      </c>
      <c r="Q76" s="319">
        <v>46174</v>
      </c>
      <c r="R76" s="319">
        <v>46182</v>
      </c>
      <c r="S76" s="319">
        <v>46183</v>
      </c>
      <c r="T76" s="319">
        <v>46197</v>
      </c>
      <c r="U76" s="319">
        <v>46225</v>
      </c>
      <c r="V76" s="319">
        <v>46241</v>
      </c>
      <c r="W76" s="319"/>
      <c r="X76" s="319">
        <v>46254</v>
      </c>
      <c r="Y76" s="319">
        <v>46258</v>
      </c>
      <c r="Z76" s="319">
        <v>46265</v>
      </c>
      <c r="AA76" s="319">
        <v>46294</v>
      </c>
      <c r="AB76" s="319">
        <v>46309</v>
      </c>
      <c r="AC76" s="319">
        <v>46369</v>
      </c>
      <c r="AD76" s="319">
        <v>46372</v>
      </c>
      <c r="AE76" s="319">
        <v>46373</v>
      </c>
      <c r="AF76" s="319">
        <v>46457</v>
      </c>
      <c r="AG76" s="319">
        <v>46471</v>
      </c>
      <c r="AH76" s="319">
        <v>46478</v>
      </c>
      <c r="AI76" s="319">
        <v>46492</v>
      </c>
      <c r="AJ76" s="319">
        <v>46508</v>
      </c>
      <c r="AK76" s="320">
        <v>32</v>
      </c>
      <c r="AL76" s="321"/>
      <c r="AM76" s="319">
        <f>X76+AL77</f>
        <v>46478</v>
      </c>
      <c r="AN76" s="322"/>
      <c r="AO76" s="322"/>
      <c r="AP76" s="322"/>
      <c r="AQ76" s="322"/>
      <c r="AR76" s="314">
        <f>AN77-AM76</f>
        <v>0</v>
      </c>
      <c r="AS76" s="323"/>
      <c r="AT76" s="324" t="s">
        <v>62</v>
      </c>
      <c r="AU76" s="325">
        <v>46485</v>
      </c>
    </row>
    <row r="77" spans="1:48" s="264" customFormat="1" ht="25.05" customHeight="1">
      <c r="A77" s="309"/>
      <c r="B77" s="310" t="s">
        <v>135</v>
      </c>
      <c r="C77" s="310" t="s">
        <v>136</v>
      </c>
      <c r="D77" s="311"/>
      <c r="E77" s="312"/>
      <c r="F77" s="313"/>
      <c r="G77" s="314">
        <v>13</v>
      </c>
      <c r="H77" s="315" t="s">
        <v>137</v>
      </c>
      <c r="I77" s="314" t="s">
        <v>132</v>
      </c>
      <c r="J77" s="310" t="s">
        <v>72</v>
      </c>
      <c r="K77" s="310">
        <v>4</v>
      </c>
      <c r="L77" s="310" t="s">
        <v>7</v>
      </c>
      <c r="M77" s="317" t="s">
        <v>65</v>
      </c>
      <c r="N77" s="319"/>
      <c r="O77" s="319"/>
      <c r="P77" s="319"/>
      <c r="Q77" s="319"/>
      <c r="R77" s="319"/>
      <c r="S77" s="319"/>
      <c r="T77" s="319"/>
      <c r="U77" s="319">
        <v>46225</v>
      </c>
      <c r="V77" s="319">
        <f>WORKDAY.INTL(U77,INDEX(V$8:V$11,MATCH($L77,$L$8:$L$11,0)),1,IF(V$18="China",'China Holidays'!$A$2:$A$82,'Thai Holidays'!$A$2:$A$63))</f>
        <v>46241</v>
      </c>
      <c r="W77" s="319"/>
      <c r="X77" s="319">
        <f>WORKDAY.INTL(V77,INDEX(X$8:X$11,MATCH($L77,$L$8:$L$11,0)),1,IF(X$18="China",'China Holidays'!$A$2:$A$82,'Thai Holidays'!$A$2:$A$63))</f>
        <v>46254</v>
      </c>
      <c r="Y77" s="319">
        <f>WORKDAY.INTL(X77,INDEX(Y$12:Y$15,MATCH($L77,$L$12:$L$15,0)),1,IF(Y$18="China",'China Holidays'!$A$2:$A$82,'Thai Holidays'!$A$2:$A$63))</f>
        <v>46258</v>
      </c>
      <c r="Z77" s="319">
        <f>WORKDAY.INTL(Y77,INDEX(Z$12:Z$15,MATCH($L77,$L$12:$L$15,0)),1,IF(Z$18="China",'China Holidays'!$A$2:$A$82,'Thai Holidays'!$A$2:$A$63))</f>
        <v>46265</v>
      </c>
      <c r="AA77" s="319">
        <f>WORKDAY.INTL(Z77,INDEX(AA$12:AA$15,MATCH($L77,$L$12:$L$15,0)),1,IF(AA$18="China",'China Holidays'!$A$2:$A$82,'Thai Holidays'!$A$2:$A$63))</f>
        <v>46294</v>
      </c>
      <c r="AB77" s="319">
        <f>WORKDAY.INTL(AA77,INDEX(AB$12:AB$15,MATCH($L77,$L$12:$L$15,0)),1,IF(AB$18="China",'China Holidays'!$A$2:$A$82,'Thai Holidays'!$A$2:$A$63))</f>
        <v>46309</v>
      </c>
      <c r="AC77" s="319">
        <f>AB77+60</f>
        <v>46369</v>
      </c>
      <c r="AD77" s="319">
        <f>AC77+3</f>
        <v>46372</v>
      </c>
      <c r="AE77" s="319">
        <f>AD77+1</f>
        <v>46373</v>
      </c>
      <c r="AF77" s="319">
        <f>AG77-14</f>
        <v>46457</v>
      </c>
      <c r="AG77" s="319">
        <f>AH77-7</f>
        <v>46471</v>
      </c>
      <c r="AH77" s="319">
        <f>AM77</f>
        <v>46478</v>
      </c>
      <c r="AI77" s="319">
        <f>AM77+14</f>
        <v>46492</v>
      </c>
      <c r="AJ77" s="319">
        <f>AM77+30</f>
        <v>46508</v>
      </c>
      <c r="AK77" s="343"/>
      <c r="AL77" s="321">
        <f>AK76*7</f>
        <v>224</v>
      </c>
      <c r="AM77" s="319">
        <f>IF(X77&lt;&gt;"",X77+AL77,X78+AL77)</f>
        <v>46478</v>
      </c>
      <c r="AN77" s="322">
        <f>AU76-7</f>
        <v>46478</v>
      </c>
      <c r="AO77" s="322">
        <f>AP77-7</f>
        <v>46498</v>
      </c>
      <c r="AP77" s="322">
        <v>46505</v>
      </c>
      <c r="AQ77" s="322" t="s">
        <v>134</v>
      </c>
      <c r="AR77" s="314">
        <f>AN77-AM77</f>
        <v>0</v>
      </c>
      <c r="AS77" s="323"/>
      <c r="AT77" s="324" t="s">
        <v>66</v>
      </c>
      <c r="AU77" s="325">
        <v>46485</v>
      </c>
      <c r="AV77" s="265"/>
    </row>
    <row r="78" spans="1:48" s="264" customFormat="1" ht="25.05" customHeight="1">
      <c r="A78" s="327"/>
      <c r="B78" s="328" t="s">
        <v>135</v>
      </c>
      <c r="C78" s="328" t="s">
        <v>136</v>
      </c>
      <c r="D78" s="360"/>
      <c r="E78" s="330"/>
      <c r="F78" s="331"/>
      <c r="G78" s="332"/>
      <c r="H78" s="333"/>
      <c r="I78" s="332" t="s">
        <v>132</v>
      </c>
      <c r="J78" s="328" t="s">
        <v>72</v>
      </c>
      <c r="K78" s="310">
        <v>4</v>
      </c>
      <c r="L78" s="328" t="s">
        <v>7</v>
      </c>
      <c r="M78" s="334" t="s">
        <v>67</v>
      </c>
      <c r="N78" s="335">
        <v>46133</v>
      </c>
      <c r="O78" s="335">
        <v>46165</v>
      </c>
      <c r="P78" s="335">
        <v>46182</v>
      </c>
      <c r="Q78" s="335">
        <v>46182</v>
      </c>
      <c r="R78" s="335">
        <v>46182</v>
      </c>
      <c r="S78" s="335">
        <v>46182</v>
      </c>
      <c r="T78" s="335">
        <v>46188</v>
      </c>
      <c r="U78" s="356">
        <v>46227</v>
      </c>
      <c r="V78" s="335"/>
      <c r="W78" s="335"/>
      <c r="X78" s="332"/>
      <c r="Y78" s="335"/>
      <c r="Z78" s="335"/>
      <c r="AA78" s="335"/>
      <c r="AB78" s="335"/>
      <c r="AC78" s="335"/>
      <c r="AD78" s="335"/>
      <c r="AE78" s="335"/>
      <c r="AF78" s="335"/>
      <c r="AG78" s="335"/>
      <c r="AH78" s="335"/>
      <c r="AI78" s="335"/>
      <c r="AJ78" s="335"/>
      <c r="AK78" s="336"/>
      <c r="AL78" s="337"/>
      <c r="AM78" s="335"/>
      <c r="AN78" s="338"/>
      <c r="AO78" s="338"/>
      <c r="AP78" s="338"/>
      <c r="AQ78" s="338"/>
      <c r="AR78" s="332"/>
      <c r="AS78" s="339"/>
      <c r="AT78" s="340"/>
      <c r="AU78" s="339"/>
    </row>
    <row r="79" spans="1:48" s="264" customFormat="1" ht="24.75" customHeight="1">
      <c r="A79" s="309">
        <v>23</v>
      </c>
      <c r="B79" s="310" t="s">
        <v>138</v>
      </c>
      <c r="C79" s="310" t="s">
        <v>139</v>
      </c>
      <c r="D79" s="311"/>
      <c r="E79" s="312"/>
      <c r="F79" s="313"/>
      <c r="G79" s="314"/>
      <c r="H79" s="315"/>
      <c r="I79" s="314" t="s">
        <v>132</v>
      </c>
      <c r="J79" s="310"/>
      <c r="K79" s="316"/>
      <c r="L79" s="310" t="s">
        <v>6</v>
      </c>
      <c r="M79" s="317" t="s">
        <v>61</v>
      </c>
      <c r="N79" s="318"/>
      <c r="O79" s="319">
        <v>46164</v>
      </c>
      <c r="P79" s="319">
        <v>46171</v>
      </c>
      <c r="Q79" s="319">
        <v>46174</v>
      </c>
      <c r="R79" s="319">
        <v>46182</v>
      </c>
      <c r="S79" s="319">
        <v>46183</v>
      </c>
      <c r="T79" s="319">
        <v>46197</v>
      </c>
      <c r="U79" s="319">
        <v>46225</v>
      </c>
      <c r="V79" s="319">
        <v>46241</v>
      </c>
      <c r="W79" s="319"/>
      <c r="X79" s="319">
        <v>46254</v>
      </c>
      <c r="Y79" s="319">
        <v>46258</v>
      </c>
      <c r="Z79" s="319">
        <v>46265</v>
      </c>
      <c r="AA79" s="319">
        <v>46294</v>
      </c>
      <c r="AB79" s="319">
        <v>46309</v>
      </c>
      <c r="AC79" s="319">
        <v>46369</v>
      </c>
      <c r="AD79" s="319">
        <v>46372</v>
      </c>
      <c r="AE79" s="319">
        <v>46373</v>
      </c>
      <c r="AF79" s="319">
        <v>46490</v>
      </c>
      <c r="AG79" s="319">
        <v>46504</v>
      </c>
      <c r="AH79" s="319">
        <v>46534</v>
      </c>
      <c r="AI79" s="319">
        <v>46548</v>
      </c>
      <c r="AJ79" s="319">
        <v>46564</v>
      </c>
      <c r="AK79" s="320">
        <v>40</v>
      </c>
      <c r="AL79" s="321"/>
      <c r="AM79" s="319">
        <f>X79+AL80</f>
        <v>46534</v>
      </c>
      <c r="AN79" s="348">
        <f>AM79-AH79</f>
        <v>0</v>
      </c>
      <c r="AO79" s="322"/>
      <c r="AP79" s="322"/>
      <c r="AQ79" s="322"/>
      <c r="AR79" s="314">
        <f>AN80-AM79</f>
        <v>16</v>
      </c>
      <c r="AS79" s="323"/>
      <c r="AT79" s="324" t="s">
        <v>62</v>
      </c>
      <c r="AU79" s="325">
        <v>46553</v>
      </c>
    </row>
    <row r="80" spans="1:48" s="264" customFormat="1" ht="25.05" customHeight="1">
      <c r="A80" s="309"/>
      <c r="B80" s="310" t="s">
        <v>138</v>
      </c>
      <c r="C80" s="310" t="s">
        <v>139</v>
      </c>
      <c r="D80" s="311"/>
      <c r="E80" s="312"/>
      <c r="F80" s="313"/>
      <c r="G80" s="314">
        <v>1</v>
      </c>
      <c r="H80" s="315" t="s">
        <v>140</v>
      </c>
      <c r="I80" s="314" t="s">
        <v>132</v>
      </c>
      <c r="J80" s="310" t="s">
        <v>64</v>
      </c>
      <c r="K80" s="310">
        <v>2</v>
      </c>
      <c r="L80" s="310" t="s">
        <v>6</v>
      </c>
      <c r="M80" s="317" t="s">
        <v>65</v>
      </c>
      <c r="N80" s="319"/>
      <c r="O80" s="319"/>
      <c r="P80" s="319"/>
      <c r="Q80" s="319"/>
      <c r="R80" s="319"/>
      <c r="S80" s="319"/>
      <c r="T80" s="319"/>
      <c r="U80" s="319">
        <v>46225</v>
      </c>
      <c r="V80" s="319">
        <f>WORKDAY.INTL(U80,INDEX(V$8:V$11,MATCH($L80,$L$8:$L$11,0)),1,IF(V$18="China",'China Holidays'!$A$2:$A$82,'Thai Holidays'!$A$2:$A$63))</f>
        <v>46241</v>
      </c>
      <c r="W80" s="319"/>
      <c r="X80" s="319">
        <f>WORKDAY.INTL(V80,INDEX(X$8:X$11,MATCH($L80,$L$8:$L$11,0)),1,IF(X$18="China",'China Holidays'!$A$2:$A$82,'Thai Holidays'!$A$2:$A$63))</f>
        <v>46254</v>
      </c>
      <c r="Y80" s="319">
        <f>WORKDAY.INTL(X80,INDEX(Y$12:Y$15,MATCH($L80,$L$12:$L$15,0)),1,IF(Y$18="China",'China Holidays'!$A$2:$A$82,'Thai Holidays'!$A$2:$A$63))</f>
        <v>46258</v>
      </c>
      <c r="Z80" s="319">
        <f>WORKDAY.INTL(Y80,INDEX(Z$12:Z$15,MATCH($L80,$L$12:$L$15,0)),1,IF(Z$18="China",'China Holidays'!$A$2:$A$82,'Thai Holidays'!$A$2:$A$63))</f>
        <v>46265</v>
      </c>
      <c r="AA80" s="319">
        <f>WORKDAY.INTL(Z80,INDEX(AA$12:AA$15,MATCH($L80,$L$12:$L$15,0)),1,IF(AA$18="China",'China Holidays'!$A$2:$A$82,'Thai Holidays'!$A$2:$A$63))</f>
        <v>46294</v>
      </c>
      <c r="AB80" s="319">
        <f>WORKDAY.INTL(AA80,INDEX(AB$12:AB$15,MATCH($L80,$L$12:$L$15,0)),1,IF(AB$18="China",'China Holidays'!$A$2:$A$82,'Thai Holidays'!$A$2:$A$63))</f>
        <v>46309</v>
      </c>
      <c r="AC80" s="319">
        <f>AB80+60</f>
        <v>46369</v>
      </c>
      <c r="AD80" s="319">
        <f>AC80+3</f>
        <v>46372</v>
      </c>
      <c r="AE80" s="319">
        <f>AD80+1</f>
        <v>46373</v>
      </c>
      <c r="AF80" s="319">
        <f>AG80-14</f>
        <v>46490</v>
      </c>
      <c r="AG80" s="319">
        <f>AH80-30</f>
        <v>46504</v>
      </c>
      <c r="AH80" s="319">
        <f>AM80</f>
        <v>46534</v>
      </c>
      <c r="AI80" s="319">
        <f>AM80+14</f>
        <v>46548</v>
      </c>
      <c r="AJ80" s="319">
        <f>AM80+30</f>
        <v>46564</v>
      </c>
      <c r="AK80" s="343"/>
      <c r="AL80" s="321">
        <f>AK79*7</f>
        <v>280</v>
      </c>
      <c r="AM80" s="319">
        <f>IF(X80&lt;&gt;"",X80+AL80,X81+AL80)</f>
        <v>46534</v>
      </c>
      <c r="AN80" s="322">
        <f>AU79-3</f>
        <v>46550</v>
      </c>
      <c r="AO80" s="322">
        <f>AP80-7</f>
        <v>46551</v>
      </c>
      <c r="AP80" s="322">
        <v>46558</v>
      </c>
      <c r="AQ80" s="322" t="s">
        <v>134</v>
      </c>
      <c r="AR80" s="314">
        <f>AN80-AM80</f>
        <v>16</v>
      </c>
      <c r="AS80" s="323"/>
      <c r="AT80" s="324" t="s">
        <v>66</v>
      </c>
      <c r="AU80" s="325">
        <v>46553</v>
      </c>
      <c r="AV80" s="265"/>
    </row>
    <row r="81" spans="1:48" s="264" customFormat="1" ht="25.05" customHeight="1">
      <c r="A81" s="327"/>
      <c r="B81" s="328" t="s">
        <v>138</v>
      </c>
      <c r="C81" s="328" t="s">
        <v>139</v>
      </c>
      <c r="D81" s="360"/>
      <c r="E81" s="330"/>
      <c r="F81" s="331"/>
      <c r="G81" s="332"/>
      <c r="H81" s="333"/>
      <c r="I81" s="332" t="s">
        <v>132</v>
      </c>
      <c r="J81" s="328" t="s">
        <v>64</v>
      </c>
      <c r="K81" s="310">
        <v>2</v>
      </c>
      <c r="L81" s="328" t="s">
        <v>6</v>
      </c>
      <c r="M81" s="334" t="s">
        <v>67</v>
      </c>
      <c r="N81" s="335">
        <v>46133</v>
      </c>
      <c r="O81" s="335">
        <v>46165</v>
      </c>
      <c r="P81" s="335">
        <v>46182</v>
      </c>
      <c r="Q81" s="335">
        <v>46182</v>
      </c>
      <c r="R81" s="335">
        <v>46182</v>
      </c>
      <c r="S81" s="335">
        <v>46182</v>
      </c>
      <c r="T81" s="335">
        <v>46191</v>
      </c>
      <c r="U81" s="356">
        <v>46227</v>
      </c>
      <c r="V81" s="335"/>
      <c r="W81" s="335"/>
      <c r="X81" s="332"/>
      <c r="Y81" s="335"/>
      <c r="Z81" s="335"/>
      <c r="AA81" s="335"/>
      <c r="AB81" s="335"/>
      <c r="AC81" s="335"/>
      <c r="AD81" s="335"/>
      <c r="AE81" s="335"/>
      <c r="AF81" s="335"/>
      <c r="AG81" s="335"/>
      <c r="AH81" s="335"/>
      <c r="AI81" s="335"/>
      <c r="AJ81" s="335"/>
      <c r="AK81" s="336"/>
      <c r="AL81" s="337"/>
      <c r="AM81" s="335"/>
      <c r="AN81" s="338"/>
      <c r="AO81" s="338"/>
      <c r="AP81" s="338"/>
      <c r="AQ81" s="338"/>
      <c r="AR81" s="332"/>
      <c r="AS81" s="339"/>
      <c r="AT81" s="340"/>
      <c r="AU81" s="339"/>
    </row>
    <row r="82" spans="1:48" s="264" customFormat="1" ht="25.05" customHeight="1">
      <c r="A82" s="309">
        <v>24</v>
      </c>
      <c r="B82" s="310" t="s">
        <v>141</v>
      </c>
      <c r="C82" s="310" t="s">
        <v>142</v>
      </c>
      <c r="D82" s="311"/>
      <c r="E82" s="312"/>
      <c r="F82" s="313"/>
      <c r="G82" s="314"/>
      <c r="H82" s="315"/>
      <c r="I82" s="314" t="s">
        <v>132</v>
      </c>
      <c r="J82" s="310"/>
      <c r="K82" s="316"/>
      <c r="L82" s="310" t="s">
        <v>7</v>
      </c>
      <c r="M82" s="317" t="s">
        <v>61</v>
      </c>
      <c r="N82" s="318"/>
      <c r="O82" s="319">
        <v>46178</v>
      </c>
      <c r="P82" s="319">
        <v>46185</v>
      </c>
      <c r="Q82" s="319">
        <v>46188</v>
      </c>
      <c r="R82" s="319">
        <v>46195</v>
      </c>
      <c r="S82" s="319">
        <v>46196</v>
      </c>
      <c r="T82" s="319">
        <v>46209</v>
      </c>
      <c r="U82" s="319">
        <v>46239</v>
      </c>
      <c r="V82" s="319">
        <v>46254</v>
      </c>
      <c r="W82" s="319"/>
      <c r="X82" s="319">
        <v>46267</v>
      </c>
      <c r="Y82" s="319">
        <v>46269</v>
      </c>
      <c r="Z82" s="319">
        <v>46276</v>
      </c>
      <c r="AA82" s="319">
        <v>46314</v>
      </c>
      <c r="AB82" s="319">
        <v>46329</v>
      </c>
      <c r="AC82" s="319">
        <v>46389</v>
      </c>
      <c r="AD82" s="319">
        <v>46392</v>
      </c>
      <c r="AE82" s="319">
        <v>46393</v>
      </c>
      <c r="AF82" s="319">
        <v>46475</v>
      </c>
      <c r="AG82" s="319">
        <v>46489</v>
      </c>
      <c r="AH82" s="319">
        <v>46519</v>
      </c>
      <c r="AI82" s="319">
        <v>46533</v>
      </c>
      <c r="AJ82" s="319">
        <v>46549</v>
      </c>
      <c r="AK82" s="320">
        <v>36</v>
      </c>
      <c r="AL82" s="321"/>
      <c r="AM82" s="319">
        <f>X82+AL83</f>
        <v>46519</v>
      </c>
      <c r="AN82" s="322"/>
      <c r="AO82" s="322"/>
      <c r="AP82" s="322"/>
      <c r="AQ82" s="322"/>
      <c r="AR82" s="314">
        <f>AN83-AM82</f>
        <v>11</v>
      </c>
      <c r="AS82" s="323"/>
      <c r="AT82" s="324" t="s">
        <v>62</v>
      </c>
      <c r="AU82" s="325">
        <v>46537</v>
      </c>
    </row>
    <row r="83" spans="1:48" s="264" customFormat="1" ht="25.05" customHeight="1">
      <c r="A83" s="309"/>
      <c r="B83" s="310" t="s">
        <v>141</v>
      </c>
      <c r="C83" s="310" t="s">
        <v>142</v>
      </c>
      <c r="D83" s="311"/>
      <c r="E83" s="312"/>
      <c r="F83" s="313"/>
      <c r="G83" s="314">
        <v>20</v>
      </c>
      <c r="H83" s="315" t="s">
        <v>143</v>
      </c>
      <c r="I83" s="314" t="s">
        <v>132</v>
      </c>
      <c r="J83" s="310" t="s">
        <v>72</v>
      </c>
      <c r="K83" s="310">
        <v>2</v>
      </c>
      <c r="L83" s="310" t="s">
        <v>7</v>
      </c>
      <c r="M83" s="317" t="s">
        <v>65</v>
      </c>
      <c r="N83" s="319"/>
      <c r="O83" s="319"/>
      <c r="P83" s="319"/>
      <c r="Q83" s="319"/>
      <c r="R83" s="319"/>
      <c r="S83" s="319"/>
      <c r="T83" s="319"/>
      <c r="U83" s="319">
        <v>46239</v>
      </c>
      <c r="V83" s="319">
        <f>WORKDAY.INTL(U83,INDEX(V$8:V$11,MATCH($L83,$L$8:$L$11,0)),1,IF(V$18="China",'China Holidays'!$A$2:$A$82,'Thai Holidays'!$A$2:$A$63))</f>
        <v>46254</v>
      </c>
      <c r="W83" s="319"/>
      <c r="X83" s="319">
        <f>WORKDAY.INTL(V83,INDEX(X$8:X$11,MATCH($L83,$L$8:$L$11,0)),1,IF(X$18="China",'China Holidays'!$A$2:$A$82,'Thai Holidays'!$A$2:$A$63))</f>
        <v>46267</v>
      </c>
      <c r="Y83" s="319">
        <f>WORKDAY.INTL(X83,INDEX(Y$12:Y$15,MATCH($L83,$L$12:$L$15,0)),1,IF(Y$18="China",'China Holidays'!$A$2:$A$82,'Thai Holidays'!$A$2:$A$63))</f>
        <v>46269</v>
      </c>
      <c r="Z83" s="319">
        <f>WORKDAY.INTL(Y83,INDEX(Z$12:Z$15,MATCH($L83,$L$12:$L$15,0)),1,IF(Z$18="China",'China Holidays'!$A$2:$A$82,'Thai Holidays'!$A$2:$A$63))</f>
        <v>46276</v>
      </c>
      <c r="AA83" s="319">
        <f>WORKDAY.INTL(Z83,INDEX(AA$12:AA$15,MATCH($L83,$L$12:$L$15,0)),1,IF(AA$18="China",'China Holidays'!$A$2:$A$82,'Thai Holidays'!$A$2:$A$63))</f>
        <v>46314</v>
      </c>
      <c r="AB83" s="319">
        <f>WORKDAY.INTL(AA83,INDEX(AB$12:AB$15,MATCH($L83,$L$12:$L$15,0)),1,IF(AB$18="China",'China Holidays'!$A$2:$A$82,'Thai Holidays'!$A$2:$A$63))</f>
        <v>46329</v>
      </c>
      <c r="AC83" s="319">
        <f>AB83+60</f>
        <v>46389</v>
      </c>
      <c r="AD83" s="319">
        <f>AC83+3</f>
        <v>46392</v>
      </c>
      <c r="AE83" s="319">
        <f>AD83+1</f>
        <v>46393</v>
      </c>
      <c r="AF83" s="319">
        <f>AG83-14</f>
        <v>46475</v>
      </c>
      <c r="AG83" s="319">
        <f>AH83-30</f>
        <v>46489</v>
      </c>
      <c r="AH83" s="319">
        <f>AM83</f>
        <v>46519</v>
      </c>
      <c r="AI83" s="319">
        <f>AM83+14</f>
        <v>46533</v>
      </c>
      <c r="AJ83" s="319">
        <f>AM83+30</f>
        <v>46549</v>
      </c>
      <c r="AK83" s="343"/>
      <c r="AL83" s="321">
        <f>AK82*7</f>
        <v>252</v>
      </c>
      <c r="AM83" s="319">
        <f>IF(X83&lt;&gt;"",X83+AL83,X84+AL83)</f>
        <v>46519</v>
      </c>
      <c r="AN83" s="322">
        <f>AU82-7</f>
        <v>46530</v>
      </c>
      <c r="AO83" s="322">
        <f>AP83-7</f>
        <v>46530</v>
      </c>
      <c r="AP83" s="322">
        <v>46537</v>
      </c>
      <c r="AQ83" s="322" t="s">
        <v>134</v>
      </c>
      <c r="AR83" s="314">
        <f>AN83-AM83</f>
        <v>11</v>
      </c>
      <c r="AS83" s="323"/>
      <c r="AT83" s="324" t="s">
        <v>66</v>
      </c>
      <c r="AU83" s="325">
        <v>46537</v>
      </c>
      <c r="AV83" s="265"/>
    </row>
    <row r="84" spans="1:48" s="264" customFormat="1" ht="25.05" customHeight="1">
      <c r="A84" s="327"/>
      <c r="B84" s="328" t="s">
        <v>141</v>
      </c>
      <c r="C84" s="328" t="s">
        <v>142</v>
      </c>
      <c r="D84" s="329"/>
      <c r="E84" s="330"/>
      <c r="F84" s="331"/>
      <c r="G84" s="332"/>
      <c r="H84" s="333"/>
      <c r="I84" s="332" t="s">
        <v>132</v>
      </c>
      <c r="J84" s="328" t="s">
        <v>72</v>
      </c>
      <c r="K84" s="310">
        <v>2</v>
      </c>
      <c r="L84" s="328" t="s">
        <v>7</v>
      </c>
      <c r="M84" s="334" t="s">
        <v>67</v>
      </c>
      <c r="N84" s="335"/>
      <c r="O84" s="335">
        <v>46178</v>
      </c>
      <c r="P84" s="335">
        <v>46186</v>
      </c>
      <c r="Q84" s="335">
        <v>46186</v>
      </c>
      <c r="R84" s="335">
        <v>46186</v>
      </c>
      <c r="S84" s="335">
        <v>46186</v>
      </c>
      <c r="T84" s="335">
        <v>46196</v>
      </c>
      <c r="U84" s="335"/>
      <c r="V84" s="335"/>
      <c r="W84" s="335"/>
      <c r="X84" s="332"/>
      <c r="Y84" s="335"/>
      <c r="Z84" s="335"/>
      <c r="AA84" s="335"/>
      <c r="AB84" s="335"/>
      <c r="AC84" s="335"/>
      <c r="AD84" s="335"/>
      <c r="AE84" s="335"/>
      <c r="AF84" s="335"/>
      <c r="AG84" s="335"/>
      <c r="AH84" s="335"/>
      <c r="AI84" s="335"/>
      <c r="AJ84" s="335"/>
      <c r="AK84" s="336"/>
      <c r="AL84" s="337"/>
      <c r="AM84" s="335"/>
      <c r="AN84" s="338"/>
      <c r="AO84" s="338"/>
      <c r="AP84" s="338"/>
      <c r="AQ84" s="338"/>
      <c r="AR84" s="332"/>
      <c r="AS84" s="339"/>
      <c r="AT84" s="340"/>
      <c r="AU84" s="339"/>
    </row>
    <row r="85" spans="1:48" s="264" customFormat="1" ht="25.05" customHeight="1">
      <c r="A85" s="309">
        <v>25</v>
      </c>
      <c r="B85" s="310" t="s">
        <v>144</v>
      </c>
      <c r="C85" s="310" t="s">
        <v>145</v>
      </c>
      <c r="D85" s="311"/>
      <c r="E85" s="312"/>
      <c r="F85" s="313"/>
      <c r="G85" s="314"/>
      <c r="H85" s="315"/>
      <c r="I85" s="314" t="s">
        <v>132</v>
      </c>
      <c r="J85" s="310"/>
      <c r="K85" s="316"/>
      <c r="L85" s="310" t="s">
        <v>7</v>
      </c>
      <c r="M85" s="317" t="s">
        <v>61</v>
      </c>
      <c r="N85" s="318"/>
      <c r="O85" s="319">
        <v>46162</v>
      </c>
      <c r="P85" s="319">
        <v>46169</v>
      </c>
      <c r="Q85" s="319">
        <v>46170</v>
      </c>
      <c r="R85" s="319">
        <v>46181</v>
      </c>
      <c r="S85" s="319">
        <v>46182</v>
      </c>
      <c r="T85" s="319">
        <v>46196</v>
      </c>
      <c r="U85" s="319">
        <v>46224</v>
      </c>
      <c r="V85" s="319">
        <v>46230</v>
      </c>
      <c r="W85" s="319"/>
      <c r="X85" s="319">
        <v>46241</v>
      </c>
      <c r="Y85" s="319">
        <v>46245</v>
      </c>
      <c r="Z85" s="319">
        <v>46252</v>
      </c>
      <c r="AA85" s="319">
        <v>46280</v>
      </c>
      <c r="AB85" s="319">
        <v>46294</v>
      </c>
      <c r="AC85" s="319">
        <v>46354</v>
      </c>
      <c r="AD85" s="319">
        <v>46357</v>
      </c>
      <c r="AE85" s="319">
        <v>46358</v>
      </c>
      <c r="AF85" s="319">
        <v>46477</v>
      </c>
      <c r="AG85" s="319">
        <v>46491</v>
      </c>
      <c r="AH85" s="319">
        <v>46521</v>
      </c>
      <c r="AI85" s="319">
        <v>46535</v>
      </c>
      <c r="AJ85" s="319">
        <v>46551</v>
      </c>
      <c r="AK85" s="320">
        <v>40</v>
      </c>
      <c r="AL85" s="321"/>
      <c r="AM85" s="319">
        <f>X85+AL86</f>
        <v>46521</v>
      </c>
      <c r="AN85" s="322"/>
      <c r="AO85" s="322"/>
      <c r="AP85" s="322"/>
      <c r="AQ85" s="322"/>
      <c r="AR85" s="314">
        <f>AN86-AM85</f>
        <v>9</v>
      </c>
      <c r="AS85" s="323"/>
      <c r="AT85" s="324" t="s">
        <v>62</v>
      </c>
      <c r="AU85" s="325">
        <v>46537</v>
      </c>
    </row>
    <row r="86" spans="1:48" s="264" customFormat="1" ht="25.05" customHeight="1">
      <c r="A86" s="309"/>
      <c r="B86" s="310" t="s">
        <v>144</v>
      </c>
      <c r="C86" s="310" t="s">
        <v>145</v>
      </c>
      <c r="D86" s="311"/>
      <c r="E86" s="312"/>
      <c r="F86" s="342"/>
      <c r="G86" s="314">
        <v>9</v>
      </c>
      <c r="H86" s="315" t="s">
        <v>143</v>
      </c>
      <c r="I86" s="314" t="s">
        <v>132</v>
      </c>
      <c r="J86" s="310" t="s">
        <v>64</v>
      </c>
      <c r="K86" s="310">
        <v>2</v>
      </c>
      <c r="L86" s="310" t="s">
        <v>7</v>
      </c>
      <c r="M86" s="317" t="s">
        <v>65</v>
      </c>
      <c r="N86" s="319"/>
      <c r="O86" s="319"/>
      <c r="P86" s="319"/>
      <c r="Q86" s="319"/>
      <c r="R86" s="319"/>
      <c r="S86" s="319"/>
      <c r="T86" s="319"/>
      <c r="U86" s="319">
        <v>46216</v>
      </c>
      <c r="V86" s="319">
        <f>WORKDAY.INTL(U86,INDEX(V$8:V$11,MATCH($L86,$L$8:$L$11,0)),1,IF(V$18="China",'China Holidays'!$A$2:$A$82,'Thai Holidays'!$A$2:$A$63))</f>
        <v>46230</v>
      </c>
      <c r="W86" s="319"/>
      <c r="X86" s="319">
        <f>WORKDAY.INTL(V86,INDEX(X$8:X$11,MATCH($L86,$L$8:$L$11,0)),1,IF(X$18="China",'China Holidays'!$A$2:$A$82,'Thai Holidays'!$A$2:$A$63))</f>
        <v>46241</v>
      </c>
      <c r="Y86" s="319">
        <f>WORKDAY.INTL(X86,INDEX(Y$12:Y$15,MATCH($L86,$L$12:$L$15,0)),1,IF(Y$18="China",'China Holidays'!$A$2:$A$82,'Thai Holidays'!$A$2:$A$63))</f>
        <v>46245</v>
      </c>
      <c r="Z86" s="319">
        <f>WORKDAY.INTL(Y86,INDEX(Z$12:Z$15,MATCH($L86,$L$12:$L$15,0)),1,IF(Z$18="China",'China Holidays'!$A$2:$A$82,'Thai Holidays'!$A$2:$A$63))</f>
        <v>46252</v>
      </c>
      <c r="AA86" s="319">
        <f>WORKDAY.INTL(Z86,INDEX(AA$12:AA$15,MATCH($L86,$L$12:$L$15,0)),1,IF(AA$18="China",'China Holidays'!$A$2:$A$82,'Thai Holidays'!$A$2:$A$63))</f>
        <v>46280</v>
      </c>
      <c r="AB86" s="319">
        <f>WORKDAY.INTL(AA86,INDEX(AB$12:AB$15,MATCH($L86,$L$12:$L$15,0)),1,IF(AB$18="China",'China Holidays'!$A$2:$A$82,'Thai Holidays'!$A$2:$A$63))</f>
        <v>46294</v>
      </c>
      <c r="AC86" s="319">
        <f>AB86+60</f>
        <v>46354</v>
      </c>
      <c r="AD86" s="319">
        <f>AC86+3</f>
        <v>46357</v>
      </c>
      <c r="AE86" s="319">
        <f>AD86+1</f>
        <v>46358</v>
      </c>
      <c r="AF86" s="319">
        <f>AG86-14</f>
        <v>46477</v>
      </c>
      <c r="AG86" s="319">
        <f>AH86-30</f>
        <v>46491</v>
      </c>
      <c r="AH86" s="319">
        <f>AM86</f>
        <v>46521</v>
      </c>
      <c r="AI86" s="319">
        <f>AM86+14</f>
        <v>46535</v>
      </c>
      <c r="AJ86" s="319">
        <f>AM86+30</f>
        <v>46551</v>
      </c>
      <c r="AK86" s="343"/>
      <c r="AL86" s="321">
        <f>AK85*7</f>
        <v>280</v>
      </c>
      <c r="AM86" s="319">
        <f>IF(X86&lt;&gt;"",X86+AL86,X87+AL86)</f>
        <v>46521</v>
      </c>
      <c r="AN86" s="322">
        <f>AU85-7</f>
        <v>46530</v>
      </c>
      <c r="AO86" s="322">
        <f>AP86-7</f>
        <v>46530</v>
      </c>
      <c r="AP86" s="322">
        <v>46537</v>
      </c>
      <c r="AQ86" s="322" t="s">
        <v>134</v>
      </c>
      <c r="AR86" s="314">
        <f>AN86-AM86</f>
        <v>9</v>
      </c>
      <c r="AS86" s="323"/>
      <c r="AT86" s="324" t="s">
        <v>66</v>
      </c>
      <c r="AU86" s="325">
        <v>46537</v>
      </c>
      <c r="AV86" s="265"/>
    </row>
    <row r="87" spans="1:48" s="264" customFormat="1" ht="25.05" customHeight="1">
      <c r="A87" s="327"/>
      <c r="B87" s="328" t="s">
        <v>144</v>
      </c>
      <c r="C87" s="328" t="s">
        <v>145</v>
      </c>
      <c r="D87" s="329"/>
      <c r="E87" s="330"/>
      <c r="F87" s="344"/>
      <c r="G87" s="332"/>
      <c r="H87" s="333"/>
      <c r="I87" s="332" t="s">
        <v>132</v>
      </c>
      <c r="J87" s="328" t="s">
        <v>64</v>
      </c>
      <c r="K87" s="310">
        <v>2</v>
      </c>
      <c r="L87" s="328" t="s">
        <v>7</v>
      </c>
      <c r="M87" s="334" t="s">
        <v>67</v>
      </c>
      <c r="N87" s="335">
        <v>46133</v>
      </c>
      <c r="O87" s="335">
        <v>46169</v>
      </c>
      <c r="P87" s="335">
        <v>46183</v>
      </c>
      <c r="Q87" s="335">
        <v>46183</v>
      </c>
      <c r="R87" s="335">
        <v>46183</v>
      </c>
      <c r="S87" s="335">
        <v>46183</v>
      </c>
      <c r="T87" s="335">
        <v>46191</v>
      </c>
      <c r="U87" s="335"/>
      <c r="V87" s="335"/>
      <c r="W87" s="335"/>
      <c r="X87" s="332"/>
      <c r="Y87" s="335"/>
      <c r="Z87" s="335"/>
      <c r="AA87" s="335"/>
      <c r="AB87" s="335"/>
      <c r="AC87" s="335"/>
      <c r="AD87" s="335"/>
      <c r="AE87" s="335"/>
      <c r="AF87" s="335"/>
      <c r="AG87" s="335"/>
      <c r="AH87" s="335"/>
      <c r="AI87" s="335"/>
      <c r="AJ87" s="335"/>
      <c r="AK87" s="336"/>
      <c r="AL87" s="337"/>
      <c r="AM87" s="335"/>
      <c r="AN87" s="338"/>
      <c r="AO87" s="338"/>
      <c r="AP87" s="338"/>
      <c r="AQ87" s="338"/>
      <c r="AR87" s="332"/>
      <c r="AS87" s="339"/>
      <c r="AT87" s="340"/>
      <c r="AU87" s="339"/>
    </row>
    <row r="88" spans="1:48" s="264" customFormat="1" ht="25.05" customHeight="1">
      <c r="A88" s="309">
        <v>26</v>
      </c>
      <c r="B88" s="310" t="s">
        <v>146</v>
      </c>
      <c r="C88" s="310" t="s">
        <v>147</v>
      </c>
      <c r="D88" s="311"/>
      <c r="E88" s="312"/>
      <c r="F88" s="313"/>
      <c r="G88" s="314"/>
      <c r="H88" s="315"/>
      <c r="I88" s="314" t="s">
        <v>132</v>
      </c>
      <c r="J88" s="310"/>
      <c r="K88" s="316"/>
      <c r="L88" s="310" t="s">
        <v>7</v>
      </c>
      <c r="M88" s="317" t="s">
        <v>61</v>
      </c>
      <c r="N88" s="318"/>
      <c r="O88" s="319">
        <v>46185</v>
      </c>
      <c r="P88" s="319">
        <v>46192</v>
      </c>
      <c r="Q88" s="319">
        <v>46195</v>
      </c>
      <c r="R88" s="319">
        <v>46202</v>
      </c>
      <c r="S88" s="319">
        <v>46203</v>
      </c>
      <c r="T88" s="319">
        <v>46216</v>
      </c>
      <c r="U88" s="319">
        <v>46247</v>
      </c>
      <c r="V88" s="319">
        <v>46261</v>
      </c>
      <c r="W88" s="319"/>
      <c r="X88" s="319">
        <v>46274</v>
      </c>
      <c r="Y88" s="319">
        <v>46276</v>
      </c>
      <c r="Z88" s="319">
        <v>46283</v>
      </c>
      <c r="AA88" s="319">
        <v>46321</v>
      </c>
      <c r="AB88" s="319">
        <v>46335</v>
      </c>
      <c r="AC88" s="319">
        <v>46395</v>
      </c>
      <c r="AD88" s="319">
        <v>46398</v>
      </c>
      <c r="AE88" s="319">
        <v>46399</v>
      </c>
      <c r="AF88" s="319">
        <v>46477</v>
      </c>
      <c r="AG88" s="319">
        <v>46491</v>
      </c>
      <c r="AH88" s="319">
        <v>46498</v>
      </c>
      <c r="AI88" s="319">
        <v>46512</v>
      </c>
      <c r="AJ88" s="319">
        <v>46528</v>
      </c>
      <c r="AK88" s="320">
        <v>32</v>
      </c>
      <c r="AL88" s="321"/>
      <c r="AM88" s="319">
        <f>X88+AL89</f>
        <v>46498</v>
      </c>
      <c r="AN88" s="322"/>
      <c r="AO88" s="322"/>
      <c r="AP88" s="322"/>
      <c r="AQ88" s="322"/>
      <c r="AR88" s="314">
        <f>AN89-AM88</f>
        <v>32</v>
      </c>
      <c r="AS88" s="323"/>
      <c r="AT88" s="324" t="s">
        <v>62</v>
      </c>
      <c r="AU88" s="325">
        <v>46537</v>
      </c>
    </row>
    <row r="89" spans="1:48" s="264" customFormat="1" ht="25.05" customHeight="1">
      <c r="A89" s="309"/>
      <c r="B89" s="310" t="s">
        <v>146</v>
      </c>
      <c r="C89" s="310" t="s">
        <v>147</v>
      </c>
      <c r="D89" s="311"/>
      <c r="E89" s="312"/>
      <c r="F89" s="342"/>
      <c r="G89" s="314">
        <v>40</v>
      </c>
      <c r="H89" s="315" t="s">
        <v>148</v>
      </c>
      <c r="I89" s="314" t="s">
        <v>132</v>
      </c>
      <c r="J89" s="310" t="s">
        <v>72</v>
      </c>
      <c r="K89" s="310">
        <v>2</v>
      </c>
      <c r="L89" s="310" t="s">
        <v>7</v>
      </c>
      <c r="M89" s="317" t="s">
        <v>65</v>
      </c>
      <c r="N89" s="319"/>
      <c r="O89" s="319"/>
      <c r="P89" s="319"/>
      <c r="Q89" s="319"/>
      <c r="R89" s="319"/>
      <c r="S89" s="319"/>
      <c r="T89" s="319">
        <v>46216</v>
      </c>
      <c r="U89" s="319">
        <v>46247</v>
      </c>
      <c r="V89" s="319">
        <f>WORKDAY.INTL(U89,INDEX(V$8:V$11,MATCH($L89,$L$8:$L$11,0)),1,IF(V$18="China",'China Holidays'!$A$2:$A$82,'Thai Holidays'!$A$2:$A$63))</f>
        <v>46261</v>
      </c>
      <c r="W89" s="319"/>
      <c r="X89" s="319">
        <f>WORKDAY.INTL(V89,INDEX(X$8:X$11,MATCH($L89,$L$8:$L$11,0)),1,IF(X$18="China",'China Holidays'!$A$2:$A$82,'Thai Holidays'!$A$2:$A$63))</f>
        <v>46274</v>
      </c>
      <c r="Y89" s="319">
        <f>WORKDAY.INTL(X89,INDEX(Y$12:Y$15,MATCH($L89,$L$12:$L$15,0)),1,IF(Y$18="China",'China Holidays'!$A$2:$A$82,'Thai Holidays'!$A$2:$A$63))</f>
        <v>46276</v>
      </c>
      <c r="Z89" s="319">
        <f>WORKDAY.INTL(Y89,INDEX(Z$12:Z$15,MATCH($L89,$L$12:$L$15,0)),1,IF(Z$18="China",'China Holidays'!$A$2:$A$82,'Thai Holidays'!$A$2:$A$63))</f>
        <v>46283</v>
      </c>
      <c r="AA89" s="319">
        <f>WORKDAY.INTL(Z89,INDEX(AA$12:AA$15,MATCH($L89,$L$12:$L$15,0)),1,IF(AA$18="China",'China Holidays'!$A$2:$A$82,'Thai Holidays'!$A$2:$A$63))</f>
        <v>46321</v>
      </c>
      <c r="AB89" s="319">
        <f>WORKDAY.INTL(AA89,INDEX(AB$12:AB$15,MATCH($L89,$L$12:$L$15,0)),1,IF(AB$18="China",'China Holidays'!$A$2:$A$82,'Thai Holidays'!$A$2:$A$63))</f>
        <v>46335</v>
      </c>
      <c r="AC89" s="319">
        <f>AB89+60</f>
        <v>46395</v>
      </c>
      <c r="AD89" s="319">
        <f>AC89+3</f>
        <v>46398</v>
      </c>
      <c r="AE89" s="319">
        <f>AD89+1</f>
        <v>46399</v>
      </c>
      <c r="AF89" s="319">
        <f>AG89-14</f>
        <v>46477</v>
      </c>
      <c r="AG89" s="319">
        <f>AH89-7</f>
        <v>46491</v>
      </c>
      <c r="AH89" s="319">
        <f>AM89</f>
        <v>46498</v>
      </c>
      <c r="AI89" s="319">
        <f>AM89+14</f>
        <v>46512</v>
      </c>
      <c r="AJ89" s="319">
        <f>AM89+30</f>
        <v>46528</v>
      </c>
      <c r="AK89" s="343"/>
      <c r="AL89" s="321">
        <f>AK88*7</f>
        <v>224</v>
      </c>
      <c r="AM89" s="319">
        <f>IF(X89&lt;&gt;"",X89+AL89,X90+AL89)</f>
        <v>46498</v>
      </c>
      <c r="AN89" s="322">
        <f>AU88-7</f>
        <v>46530</v>
      </c>
      <c r="AO89" s="322">
        <f>AP89-7</f>
        <v>46530</v>
      </c>
      <c r="AP89" s="322">
        <v>46537</v>
      </c>
      <c r="AQ89" s="322" t="s">
        <v>134</v>
      </c>
      <c r="AR89" s="314">
        <f>AN89-AM89</f>
        <v>32</v>
      </c>
      <c r="AS89" s="323"/>
      <c r="AT89" s="324" t="s">
        <v>66</v>
      </c>
      <c r="AU89" s="325">
        <v>46537</v>
      </c>
      <c r="AV89" s="265"/>
    </row>
    <row r="90" spans="1:48" s="264" customFormat="1" ht="25.05" customHeight="1">
      <c r="A90" s="327"/>
      <c r="B90" s="328" t="s">
        <v>146</v>
      </c>
      <c r="C90" s="328" t="s">
        <v>147</v>
      </c>
      <c r="D90" s="329"/>
      <c r="E90" s="330"/>
      <c r="F90" s="344"/>
      <c r="G90" s="332"/>
      <c r="H90" s="333"/>
      <c r="I90" s="332" t="s">
        <v>132</v>
      </c>
      <c r="J90" s="328" t="s">
        <v>72</v>
      </c>
      <c r="K90" s="310">
        <v>2</v>
      </c>
      <c r="L90" s="328" t="s">
        <v>7</v>
      </c>
      <c r="M90" s="334" t="s">
        <v>67</v>
      </c>
      <c r="N90" s="335"/>
      <c r="O90" s="335">
        <v>46189</v>
      </c>
      <c r="P90" s="335">
        <v>46203</v>
      </c>
      <c r="Q90" s="335">
        <v>46203</v>
      </c>
      <c r="R90" s="335">
        <v>46203</v>
      </c>
      <c r="S90" s="335">
        <v>46203</v>
      </c>
      <c r="T90" s="335"/>
      <c r="U90" s="335"/>
      <c r="V90" s="335"/>
      <c r="W90" s="335"/>
      <c r="X90" s="332"/>
      <c r="Y90" s="335"/>
      <c r="Z90" s="335"/>
      <c r="AA90" s="335"/>
      <c r="AB90" s="335"/>
      <c r="AC90" s="335"/>
      <c r="AD90" s="335"/>
      <c r="AE90" s="335"/>
      <c r="AF90" s="335"/>
      <c r="AG90" s="335"/>
      <c r="AH90" s="335"/>
      <c r="AI90" s="335"/>
      <c r="AJ90" s="335"/>
      <c r="AK90" s="336"/>
      <c r="AL90" s="337"/>
      <c r="AM90" s="335"/>
      <c r="AN90" s="338"/>
      <c r="AO90" s="338"/>
      <c r="AP90" s="338"/>
      <c r="AQ90" s="338"/>
      <c r="AR90" s="332"/>
      <c r="AS90" s="339"/>
      <c r="AT90" s="340"/>
      <c r="AU90" s="339"/>
    </row>
    <row r="91" spans="1:48" s="264" customFormat="1" ht="25.05" customHeight="1">
      <c r="A91" s="309">
        <v>27</v>
      </c>
      <c r="B91" s="310" t="s">
        <v>149</v>
      </c>
      <c r="C91" s="310" t="s">
        <v>150</v>
      </c>
      <c r="D91" s="361"/>
      <c r="E91" s="312"/>
      <c r="F91" s="362"/>
      <c r="G91" s="314"/>
      <c r="H91" s="315"/>
      <c r="I91" s="314" t="s">
        <v>132</v>
      </c>
      <c r="J91" s="310"/>
      <c r="K91" s="316"/>
      <c r="L91" s="310" t="s">
        <v>8</v>
      </c>
      <c r="M91" s="317" t="s">
        <v>61</v>
      </c>
      <c r="N91" s="318"/>
      <c r="O91" s="319">
        <v>46227</v>
      </c>
      <c r="P91" s="319">
        <v>46245</v>
      </c>
      <c r="Q91" s="319">
        <v>46209</v>
      </c>
      <c r="R91" s="319">
        <v>46245</v>
      </c>
      <c r="S91" s="319">
        <v>46245</v>
      </c>
      <c r="T91" s="319">
        <v>46259</v>
      </c>
      <c r="U91" s="319">
        <v>46276</v>
      </c>
      <c r="V91" s="319">
        <v>46290</v>
      </c>
      <c r="W91" s="319"/>
      <c r="X91" s="319">
        <v>46310</v>
      </c>
      <c r="Y91" s="319">
        <v>46314</v>
      </c>
      <c r="Z91" s="319">
        <v>46321</v>
      </c>
      <c r="AA91" s="319">
        <v>46342</v>
      </c>
      <c r="AB91" s="319">
        <v>46356</v>
      </c>
      <c r="AC91" s="319">
        <v>46371</v>
      </c>
      <c r="AD91" s="319">
        <v>46371</v>
      </c>
      <c r="AE91" s="319">
        <v>46373</v>
      </c>
      <c r="AF91" s="319">
        <v>46434</v>
      </c>
      <c r="AG91" s="319">
        <v>46448</v>
      </c>
      <c r="AH91" s="319">
        <v>46455</v>
      </c>
      <c r="AI91" s="319">
        <v>46469</v>
      </c>
      <c r="AJ91" s="319">
        <v>46485</v>
      </c>
      <c r="AK91" s="320">
        <v>20.714285714285701</v>
      </c>
      <c r="AL91" s="321"/>
      <c r="AM91" s="319">
        <f>X91+AL92</f>
        <v>46455</v>
      </c>
      <c r="AN91" s="322"/>
      <c r="AO91" s="322"/>
      <c r="AP91" s="322"/>
      <c r="AQ91" s="322"/>
      <c r="AR91" s="314">
        <f>AN92-AM91</f>
        <v>23</v>
      </c>
      <c r="AS91" s="323"/>
      <c r="AT91" s="324" t="s">
        <v>62</v>
      </c>
      <c r="AU91" s="325">
        <v>46485</v>
      </c>
    </row>
    <row r="92" spans="1:48" s="264" customFormat="1" ht="25.05" customHeight="1">
      <c r="A92" s="309"/>
      <c r="B92" s="310" t="s">
        <v>149</v>
      </c>
      <c r="C92" s="310" t="s">
        <v>150</v>
      </c>
      <c r="D92" s="363"/>
      <c r="E92" s="312"/>
      <c r="F92" s="363"/>
      <c r="G92" s="314">
        <v>60</v>
      </c>
      <c r="H92" s="315" t="s">
        <v>151</v>
      </c>
      <c r="I92" s="314" t="s">
        <v>132</v>
      </c>
      <c r="J92" s="310" t="s">
        <v>72</v>
      </c>
      <c r="K92" s="310">
        <v>3</v>
      </c>
      <c r="L92" s="310" t="s">
        <v>8</v>
      </c>
      <c r="M92" s="317" t="s">
        <v>65</v>
      </c>
      <c r="N92" s="319"/>
      <c r="O92" s="319"/>
      <c r="P92" s="319"/>
      <c r="Q92" s="319"/>
      <c r="R92" s="319"/>
      <c r="S92" s="319">
        <v>46245</v>
      </c>
      <c r="T92" s="319">
        <f>WORKDAY.INTL(S92,INDEX(T$8:T$11,MATCH($L92,$L$8:$L$11,0)),1,IF(T$18="China",'China Holidays'!$A$2:$A$82,'Thai Holidays'!$A$2:$A$63))</f>
        <v>46259</v>
      </c>
      <c r="U92" s="319">
        <f>WORKDAY.INTL(T92,INDEX(U$8:U$11,MATCH($L92,$L$8:$L$11,0)),1,IF(U$18="China",'China Holidays'!$A$2:$A$82,'Thai Holidays'!$A$2:$A$63))</f>
        <v>46276</v>
      </c>
      <c r="V92" s="319">
        <f>WORKDAY.INTL(U92,INDEX(V$8:V$11,MATCH($L92,$L$8:$L$11,0)),1,IF(V$18="China",'China Holidays'!$A$2:$A$82,'Thai Holidays'!$A$2:$A$63))</f>
        <v>46290</v>
      </c>
      <c r="W92" s="319"/>
      <c r="X92" s="319">
        <f>WORKDAY.INTL(V92,INDEX(X$8:X$11,MATCH($L92,$L$8:$L$11,0)),1,IF(X$18="China",'China Holidays'!$A$2:$A$82,'Thai Holidays'!$A$2:$A$63))</f>
        <v>46310</v>
      </c>
      <c r="Y92" s="319">
        <f>WORKDAY.INTL(X92,INDEX(Y$12:Y$15,MATCH($L92,$L$12:$L$15,0)),1,IF(Y$18="China",'China Holidays'!$A$2:$A$82,'Thai Holidays'!$A$2:$A$63))</f>
        <v>46314</v>
      </c>
      <c r="Z92" s="319">
        <f>WORKDAY.INTL(Y92,INDEX(Z$12:Z$15,MATCH($L92,$L$12:$L$15,0)),1,IF(Z$18="China",'China Holidays'!$A$2:$A$82,'Thai Holidays'!$A$2:$A$63))</f>
        <v>46321</v>
      </c>
      <c r="AA92" s="319">
        <f>WORKDAY.INTL(Z92,INDEX(AA$12:AA$15,MATCH($L92,$L$12:$L$15,0)),1,IF(AA$18="China",'China Holidays'!$A$2:$A$82,'Thai Holidays'!$A$2:$A$63))</f>
        <v>46342</v>
      </c>
      <c r="AB92" s="319">
        <f>WORKDAY.INTL(AA92,INDEX(AB$12:AB$15,MATCH($L92,$L$12:$L$15,0)),1,IF(AB$18="China",'China Holidays'!$A$2:$A$82,'Thai Holidays'!$A$2:$A$63))</f>
        <v>46356</v>
      </c>
      <c r="AC92" s="319">
        <f>AB92+15</f>
        <v>46371</v>
      </c>
      <c r="AD92" s="319">
        <f>AC92</f>
        <v>46371</v>
      </c>
      <c r="AE92" s="319">
        <f>AD92+2</f>
        <v>46373</v>
      </c>
      <c r="AF92" s="319">
        <f>AG92-14</f>
        <v>46434</v>
      </c>
      <c r="AG92" s="319">
        <f>AH92-7</f>
        <v>46448</v>
      </c>
      <c r="AH92" s="319">
        <f>AM92</f>
        <v>46455</v>
      </c>
      <c r="AI92" s="319">
        <f>AM92+14</f>
        <v>46469</v>
      </c>
      <c r="AJ92" s="319">
        <f>AM92+30</f>
        <v>46485</v>
      </c>
      <c r="AK92" s="343"/>
      <c r="AL92" s="321">
        <f>AK91*7</f>
        <v>144.99999999999991</v>
      </c>
      <c r="AM92" s="319">
        <f>IF(X92&lt;&gt;"",X92+AL92,X93+AL92)</f>
        <v>46455</v>
      </c>
      <c r="AN92" s="322">
        <f>AU91-7</f>
        <v>46478</v>
      </c>
      <c r="AO92" s="322">
        <f>AP92-7</f>
        <v>46498</v>
      </c>
      <c r="AP92" s="322">
        <v>46505</v>
      </c>
      <c r="AQ92" s="322" t="s">
        <v>134</v>
      </c>
      <c r="AR92" s="314">
        <f>AN92-AM92</f>
        <v>23</v>
      </c>
      <c r="AS92" s="323"/>
      <c r="AT92" s="324" t="s">
        <v>66</v>
      </c>
      <c r="AU92" s="325">
        <v>46485</v>
      </c>
      <c r="AV92" s="265"/>
    </row>
    <row r="93" spans="1:48" s="264" customFormat="1" ht="25.05" customHeight="1">
      <c r="A93" s="327"/>
      <c r="B93" s="328" t="s">
        <v>149</v>
      </c>
      <c r="C93" s="328" t="s">
        <v>150</v>
      </c>
      <c r="D93" s="364"/>
      <c r="E93" s="330"/>
      <c r="F93" s="364"/>
      <c r="G93" s="332"/>
      <c r="H93" s="333"/>
      <c r="I93" s="332" t="s">
        <v>132</v>
      </c>
      <c r="J93" s="328" t="s">
        <v>72</v>
      </c>
      <c r="K93" s="310">
        <v>3</v>
      </c>
      <c r="L93" s="328" t="s">
        <v>8</v>
      </c>
      <c r="M93" s="334" t="s">
        <v>67</v>
      </c>
      <c r="N93" s="335"/>
      <c r="O93" s="335">
        <v>46198</v>
      </c>
      <c r="P93" s="335">
        <v>46219</v>
      </c>
      <c r="Q93" s="335">
        <v>46219</v>
      </c>
      <c r="R93" s="335">
        <f>Q93</f>
        <v>46219</v>
      </c>
      <c r="S93" s="335"/>
      <c r="T93" s="335"/>
      <c r="U93" s="335"/>
      <c r="V93" s="335"/>
      <c r="W93" s="335"/>
      <c r="X93" s="332"/>
      <c r="Y93" s="335"/>
      <c r="Z93" s="335"/>
      <c r="AA93" s="335"/>
      <c r="AB93" s="335"/>
      <c r="AC93" s="335"/>
      <c r="AD93" s="335"/>
      <c r="AE93" s="335"/>
      <c r="AF93" s="335"/>
      <c r="AG93" s="335"/>
      <c r="AH93" s="335"/>
      <c r="AI93" s="335"/>
      <c r="AJ93" s="335"/>
      <c r="AK93" s="336"/>
      <c r="AL93" s="337"/>
      <c r="AM93" s="335"/>
      <c r="AN93" s="338"/>
      <c r="AO93" s="338"/>
      <c r="AP93" s="338"/>
      <c r="AQ93" s="338"/>
      <c r="AR93" s="332"/>
      <c r="AS93" s="339"/>
      <c r="AT93" s="340"/>
      <c r="AU93" s="339"/>
    </row>
    <row r="94" spans="1:48" s="264" customFormat="1" ht="25.05" customHeight="1">
      <c r="A94" s="309">
        <v>28</v>
      </c>
      <c r="B94" s="310" t="s">
        <v>152</v>
      </c>
      <c r="C94" s="310" t="s">
        <v>153</v>
      </c>
      <c r="D94" s="311"/>
      <c r="E94" s="312"/>
      <c r="F94" s="313"/>
      <c r="G94" s="314"/>
      <c r="H94" s="315"/>
      <c r="I94" s="314" t="s">
        <v>132</v>
      </c>
      <c r="J94" s="310"/>
      <c r="K94" s="316"/>
      <c r="L94" s="310" t="s">
        <v>6</v>
      </c>
      <c r="M94" s="317" t="s">
        <v>61</v>
      </c>
      <c r="N94" s="318"/>
      <c r="O94" s="319">
        <v>46136</v>
      </c>
      <c r="P94" s="319">
        <v>46147</v>
      </c>
      <c r="Q94" s="319">
        <v>46148</v>
      </c>
      <c r="R94" s="319">
        <v>46155</v>
      </c>
      <c r="S94" s="319">
        <v>46156</v>
      </c>
      <c r="T94" s="319">
        <v>46169</v>
      </c>
      <c r="U94" s="319">
        <v>46199</v>
      </c>
      <c r="V94" s="319">
        <v>46204</v>
      </c>
      <c r="W94" s="319"/>
      <c r="X94" s="319">
        <v>46218</v>
      </c>
      <c r="Y94" s="319">
        <v>46220</v>
      </c>
      <c r="Z94" s="319">
        <v>46227</v>
      </c>
      <c r="AA94" s="319">
        <v>46255</v>
      </c>
      <c r="AB94" s="319">
        <v>46269</v>
      </c>
      <c r="AC94" s="319">
        <v>46309</v>
      </c>
      <c r="AD94" s="319">
        <v>46309</v>
      </c>
      <c r="AE94" s="319">
        <v>46311</v>
      </c>
      <c r="AF94" s="319">
        <v>46433</v>
      </c>
      <c r="AG94" s="319">
        <v>46463</v>
      </c>
      <c r="AH94" s="319">
        <v>46470</v>
      </c>
      <c r="AI94" s="319">
        <v>46484</v>
      </c>
      <c r="AJ94" s="319">
        <v>46500</v>
      </c>
      <c r="AK94" s="320">
        <v>36</v>
      </c>
      <c r="AL94" s="321"/>
      <c r="AM94" s="319">
        <f>X94+AL95</f>
        <v>46470</v>
      </c>
      <c r="AN94" s="322"/>
      <c r="AO94" s="322"/>
      <c r="AP94" s="322"/>
      <c r="AQ94" s="322"/>
      <c r="AR94" s="314">
        <f>AN95-AM94</f>
        <v>8</v>
      </c>
      <c r="AS94" s="323"/>
      <c r="AT94" s="324" t="s">
        <v>62</v>
      </c>
      <c r="AU94" s="325">
        <v>46485</v>
      </c>
    </row>
    <row r="95" spans="1:48" s="264" customFormat="1" ht="25.05" customHeight="1">
      <c r="A95" s="309"/>
      <c r="B95" s="310" t="s">
        <v>152</v>
      </c>
      <c r="C95" s="310" t="s">
        <v>153</v>
      </c>
      <c r="D95" s="311"/>
      <c r="E95" s="312"/>
      <c r="F95" s="342"/>
      <c r="G95" s="314">
        <v>10</v>
      </c>
      <c r="H95" s="315" t="s">
        <v>154</v>
      </c>
      <c r="I95" s="314" t="s">
        <v>132</v>
      </c>
      <c r="J95" s="310" t="s">
        <v>64</v>
      </c>
      <c r="K95" s="310">
        <v>2</v>
      </c>
      <c r="L95" s="310" t="s">
        <v>6</v>
      </c>
      <c r="M95" s="317" t="s">
        <v>65</v>
      </c>
      <c r="N95" s="319"/>
      <c r="O95" s="319"/>
      <c r="P95" s="319"/>
      <c r="Q95" s="319"/>
      <c r="R95" s="319"/>
      <c r="S95" s="319"/>
      <c r="T95" s="319"/>
      <c r="U95" s="319"/>
      <c r="V95" s="319"/>
      <c r="W95" s="319"/>
      <c r="X95" s="319">
        <v>46226</v>
      </c>
      <c r="Y95" s="319">
        <f>WORKDAY.INTL(X95,INDEX(Y$12:Y$15,MATCH($L95,$L$12:$L$15,0)),1,IF(Y$18="China",'China Holidays'!$A$2:$A$82,'Thai Holidays'!$A$2:$A$63))</f>
        <v>46230</v>
      </c>
      <c r="Z95" s="319">
        <f>WORKDAY.INTL(Y95,INDEX(Z$12:Z$15,MATCH($L95,$L$12:$L$15,0)),1,IF(Z$18="China",'China Holidays'!$A$2:$A$82,'Thai Holidays'!$A$2:$A$63))</f>
        <v>46237</v>
      </c>
      <c r="AA95" s="319">
        <f>WORKDAY.INTL(Z95,INDEX(AA$12:AA$15,MATCH($L95,$L$12:$L$15,0)),1,IF(AA$18="China",'China Holidays'!$A$2:$A$82,'Thai Holidays'!$A$2:$A$63))</f>
        <v>46265</v>
      </c>
      <c r="AB95" s="319">
        <f>WORKDAY.INTL(AA95,INDEX(AB$12:AB$15,MATCH($L95,$L$12:$L$15,0)),1,IF(AB$18="China",'China Holidays'!$A$2:$A$82,'Thai Holidays'!$A$2:$A$63))</f>
        <v>46279</v>
      </c>
      <c r="AC95" s="319">
        <f>AB95+40</f>
        <v>46319</v>
      </c>
      <c r="AD95" s="319">
        <f>AC95</f>
        <v>46319</v>
      </c>
      <c r="AE95" s="319">
        <f>AD95+2</f>
        <v>46321</v>
      </c>
      <c r="AF95" s="319">
        <f>AG95-30</f>
        <v>46441</v>
      </c>
      <c r="AG95" s="319">
        <f>AH95-7</f>
        <v>46471</v>
      </c>
      <c r="AH95" s="319">
        <f>AM95</f>
        <v>46478</v>
      </c>
      <c r="AI95" s="319">
        <f>AM95+14</f>
        <v>46492</v>
      </c>
      <c r="AJ95" s="319">
        <f>AM95+30</f>
        <v>46508</v>
      </c>
      <c r="AK95" s="343"/>
      <c r="AL95" s="321">
        <f>AK94*7</f>
        <v>252</v>
      </c>
      <c r="AM95" s="319">
        <f>IF(X95&lt;&gt;"",X95+AL95,X96+AL95)</f>
        <v>46478</v>
      </c>
      <c r="AN95" s="322">
        <f>AU94-7</f>
        <v>46478</v>
      </c>
      <c r="AO95" s="322">
        <f>AP95-7</f>
        <v>46498</v>
      </c>
      <c r="AP95" s="322">
        <v>46505</v>
      </c>
      <c r="AQ95" s="322" t="s">
        <v>134</v>
      </c>
      <c r="AR95" s="314">
        <f>AN95-AM95</f>
        <v>0</v>
      </c>
      <c r="AS95" s="323"/>
      <c r="AT95" s="324" t="s">
        <v>66</v>
      </c>
      <c r="AU95" s="325">
        <v>46485</v>
      </c>
      <c r="AV95" s="265"/>
    </row>
    <row r="96" spans="1:48" s="264" customFormat="1" ht="25.05" customHeight="1">
      <c r="A96" s="327"/>
      <c r="B96" s="328" t="s">
        <v>152</v>
      </c>
      <c r="C96" s="328" t="s">
        <v>153</v>
      </c>
      <c r="D96" s="329"/>
      <c r="E96" s="330"/>
      <c r="F96" s="344"/>
      <c r="G96" s="332"/>
      <c r="H96" s="333"/>
      <c r="I96" s="332" t="s">
        <v>132</v>
      </c>
      <c r="J96" s="328" t="s">
        <v>64</v>
      </c>
      <c r="K96" s="310">
        <v>2</v>
      </c>
      <c r="L96" s="328" t="s">
        <v>6</v>
      </c>
      <c r="M96" s="334" t="s">
        <v>67</v>
      </c>
      <c r="N96" s="335">
        <v>46133</v>
      </c>
      <c r="O96" s="335">
        <v>46140</v>
      </c>
      <c r="P96" s="335">
        <v>46157</v>
      </c>
      <c r="Q96" s="335">
        <v>46157</v>
      </c>
      <c r="R96" s="335">
        <v>46157</v>
      </c>
      <c r="S96" s="335">
        <v>46157</v>
      </c>
      <c r="T96" s="335">
        <v>46162</v>
      </c>
      <c r="U96" s="335">
        <v>46206</v>
      </c>
      <c r="V96" s="335">
        <v>46210</v>
      </c>
      <c r="W96" s="335">
        <v>46227</v>
      </c>
      <c r="X96" s="332"/>
      <c r="Y96" s="335"/>
      <c r="Z96" s="335"/>
      <c r="AA96" s="335"/>
      <c r="AB96" s="335"/>
      <c r="AC96" s="335"/>
      <c r="AD96" s="335"/>
      <c r="AE96" s="335"/>
      <c r="AF96" s="335"/>
      <c r="AG96" s="335"/>
      <c r="AH96" s="335"/>
      <c r="AI96" s="335"/>
      <c r="AJ96" s="335"/>
      <c r="AK96" s="336"/>
      <c r="AL96" s="337"/>
      <c r="AM96" s="335"/>
      <c r="AN96" s="338"/>
      <c r="AO96" s="338"/>
      <c r="AP96" s="338"/>
      <c r="AQ96" s="338"/>
      <c r="AR96" s="332"/>
      <c r="AS96" s="339"/>
      <c r="AT96" s="340"/>
      <c r="AU96" s="339"/>
    </row>
    <row r="97" spans="1:48" s="264" customFormat="1" ht="25.05" customHeight="1">
      <c r="A97" s="309">
        <v>29</v>
      </c>
      <c r="B97" s="310" t="s">
        <v>155</v>
      </c>
      <c r="C97" s="310" t="s">
        <v>156</v>
      </c>
      <c r="D97" s="361"/>
      <c r="E97" s="312"/>
      <c r="F97" s="362"/>
      <c r="G97" s="314"/>
      <c r="H97" s="315"/>
      <c r="I97" s="314" t="s">
        <v>132</v>
      </c>
      <c r="J97" s="310"/>
      <c r="K97" s="316"/>
      <c r="L97" s="310" t="s">
        <v>8</v>
      </c>
      <c r="M97" s="317" t="s">
        <v>61</v>
      </c>
      <c r="N97" s="318"/>
      <c r="O97" s="319">
        <v>46239</v>
      </c>
      <c r="P97" s="319">
        <v>46254</v>
      </c>
      <c r="Q97" s="319">
        <v>46254</v>
      </c>
      <c r="R97" s="319">
        <v>46254</v>
      </c>
      <c r="S97" s="319">
        <v>46254</v>
      </c>
      <c r="T97" s="319">
        <v>46268</v>
      </c>
      <c r="U97" s="319">
        <v>46287</v>
      </c>
      <c r="V97" s="319">
        <v>46301</v>
      </c>
      <c r="W97" s="319"/>
      <c r="X97" s="319">
        <v>46316</v>
      </c>
      <c r="Y97" s="319">
        <v>46318</v>
      </c>
      <c r="Z97" s="319">
        <v>46325</v>
      </c>
      <c r="AA97" s="319">
        <v>46346</v>
      </c>
      <c r="AB97" s="319">
        <v>46360</v>
      </c>
      <c r="AC97" s="319">
        <v>46375</v>
      </c>
      <c r="AD97" s="319">
        <v>46375</v>
      </c>
      <c r="AE97" s="319">
        <v>46377</v>
      </c>
      <c r="AF97" s="319">
        <v>46421</v>
      </c>
      <c r="AG97" s="319">
        <v>46435</v>
      </c>
      <c r="AH97" s="319">
        <v>46442</v>
      </c>
      <c r="AI97" s="319">
        <v>46456</v>
      </c>
      <c r="AJ97" s="319">
        <v>46472</v>
      </c>
      <c r="AK97" s="320">
        <v>18</v>
      </c>
      <c r="AL97" s="321"/>
      <c r="AM97" s="319">
        <f>X97+AL98</f>
        <v>46442</v>
      </c>
      <c r="AN97" s="322"/>
      <c r="AO97" s="322"/>
      <c r="AP97" s="322"/>
      <c r="AQ97" s="322"/>
      <c r="AR97" s="314">
        <f>AN98-AM97</f>
        <v>36</v>
      </c>
      <c r="AS97" s="323"/>
      <c r="AT97" s="324" t="s">
        <v>62</v>
      </c>
      <c r="AU97" s="325">
        <v>46485</v>
      </c>
    </row>
    <row r="98" spans="1:48" s="264" customFormat="1" ht="25.05" customHeight="1">
      <c r="A98" s="309"/>
      <c r="B98" s="310" t="s">
        <v>155</v>
      </c>
      <c r="C98" s="310" t="s">
        <v>156</v>
      </c>
      <c r="D98" s="363"/>
      <c r="E98" s="312"/>
      <c r="F98" s="363"/>
      <c r="G98" s="314">
        <v>37</v>
      </c>
      <c r="H98" s="315" t="s">
        <v>157</v>
      </c>
      <c r="I98" s="314" t="s">
        <v>132</v>
      </c>
      <c r="J98" s="310" t="s">
        <v>72</v>
      </c>
      <c r="K98" s="310">
        <v>4</v>
      </c>
      <c r="L98" s="310" t="s">
        <v>8</v>
      </c>
      <c r="M98" s="317" t="s">
        <v>65</v>
      </c>
      <c r="N98" s="319"/>
      <c r="O98" s="319">
        <v>46239</v>
      </c>
      <c r="P98" s="319">
        <f>WORKDAY.INTL(O98,INDEX(P$8:P$11,MATCH($L98,$L$8:$L$11,0)),1,IF(P$18="China",'China Holidays'!$A$2:$A$82,'Thai Holidays'!$A$2:$A$63))</f>
        <v>46254</v>
      </c>
      <c r="Q98" s="319">
        <f>WORKDAY.INTL(P98,INDEX(Q$8:Q$11,MATCH($L98,$L$8:$L$11,0)),1,IF(Q$18="China",'China Holidays'!$A$2:$A$82,'Thai Holidays'!$A$2:$A$63))</f>
        <v>46254</v>
      </c>
      <c r="R98" s="319">
        <f>WORKDAY.INTL(Q98,INDEX(R$8:R$11,MATCH($L98,$L$8:$L$11,0)),1,IF(R$18="China",'China Holidays'!$A$2:$A$82,'Thai Holidays'!$A$2:$A$63))</f>
        <v>46254</v>
      </c>
      <c r="S98" s="319">
        <f>WORKDAY.INTL(R98,INDEX(S$8:S$11,MATCH($L98,$L$8:$L$11,0)),1,IF(S$18="China",'China Holidays'!$A$2:$A$82,'Thai Holidays'!$A$2:$A$63))</f>
        <v>46254</v>
      </c>
      <c r="T98" s="319">
        <f>WORKDAY.INTL(S98,INDEX(T$8:T$11,MATCH($L98,$L$8:$L$11,0)),1,IF(T$18="China",'China Holidays'!$A$2:$A$82,'Thai Holidays'!$A$2:$A$63))</f>
        <v>46268</v>
      </c>
      <c r="U98" s="319">
        <f>WORKDAY.INTL(T98,INDEX(U$8:U$11,MATCH($L98,$L$8:$L$11,0)),1,IF(U$18="China",'China Holidays'!$A$2:$A$82,'Thai Holidays'!$A$2:$A$63))</f>
        <v>46287</v>
      </c>
      <c r="V98" s="319">
        <f>WORKDAY.INTL(U98,INDEX(V$8:V$11,MATCH($L98,$L$8:$L$11,0)),1,IF(V$18="China",'China Holidays'!$A$2:$A$82,'Thai Holidays'!$A$2:$A$63))</f>
        <v>46301</v>
      </c>
      <c r="W98" s="319"/>
      <c r="X98" s="319">
        <f>WORKDAY.INTL(V98,INDEX(X$8:X$11,MATCH($L98,$L$8:$L$11,0)),1,IF(X$18="China",'China Holidays'!$A$2:$A$82,'Thai Holidays'!$A$2:$A$63))</f>
        <v>46315</v>
      </c>
      <c r="Y98" s="319">
        <f>WORKDAY.INTL(X98,INDEX(Y$12:Y$15,MATCH($L98,$L$12:$L$15,0)),1,IF(Y$18="China",'China Holidays'!$A$2:$A$82,'Thai Holidays'!$A$2:$A$63))</f>
        <v>46317</v>
      </c>
      <c r="Z98" s="319">
        <f>WORKDAY.INTL(Y98,INDEX(Z$12:Z$15,MATCH($L98,$L$12:$L$15,0)),1,IF(Z$18="China",'China Holidays'!$A$2:$A$82,'Thai Holidays'!$A$2:$A$63))</f>
        <v>46324</v>
      </c>
      <c r="AA98" s="319">
        <f>WORKDAY.INTL(Z98,INDEX(AA$12:AA$15,MATCH($L98,$L$12:$L$15,0)),1,IF(AA$18="China",'China Holidays'!$A$2:$A$82,'Thai Holidays'!$A$2:$A$63))</f>
        <v>46345</v>
      </c>
      <c r="AB98" s="319">
        <f>WORKDAY.INTL(AA98,INDEX(AB$12:AB$15,MATCH($L98,$L$12:$L$15,0)),1,IF(AB$18="China",'China Holidays'!$A$2:$A$82,'Thai Holidays'!$A$2:$A$63))</f>
        <v>46359</v>
      </c>
      <c r="AC98" s="319">
        <f>AB98+15</f>
        <v>46374</v>
      </c>
      <c r="AD98" s="319">
        <f>AC98</f>
        <v>46374</v>
      </c>
      <c r="AE98" s="319">
        <f>AD98+2</f>
        <v>46376</v>
      </c>
      <c r="AF98" s="319">
        <f>AG98-14</f>
        <v>46420</v>
      </c>
      <c r="AG98" s="319">
        <f>AH98-7</f>
        <v>46434</v>
      </c>
      <c r="AH98" s="319">
        <f>AM98</f>
        <v>46441</v>
      </c>
      <c r="AI98" s="319">
        <f>AM98+14</f>
        <v>46455</v>
      </c>
      <c r="AJ98" s="319">
        <f>AM98+30</f>
        <v>46471</v>
      </c>
      <c r="AK98" s="343"/>
      <c r="AL98" s="321">
        <f>AK97*7</f>
        <v>126</v>
      </c>
      <c r="AM98" s="319">
        <f>IF(X98&lt;&gt;"",X98+AL98,X99+AL98)</f>
        <v>46441</v>
      </c>
      <c r="AN98" s="322">
        <f>AU97-7</f>
        <v>46478</v>
      </c>
      <c r="AO98" s="322">
        <f>AP98-7</f>
        <v>46498</v>
      </c>
      <c r="AP98" s="322">
        <v>46505</v>
      </c>
      <c r="AQ98" s="322" t="s">
        <v>134</v>
      </c>
      <c r="AR98" s="314">
        <f>AN98-AM98</f>
        <v>37</v>
      </c>
      <c r="AS98" s="323"/>
      <c r="AT98" s="324" t="s">
        <v>66</v>
      </c>
      <c r="AU98" s="325">
        <v>46485</v>
      </c>
      <c r="AV98" s="265"/>
    </row>
    <row r="99" spans="1:48" s="264" customFormat="1" ht="25.05" customHeight="1">
      <c r="A99" s="327"/>
      <c r="B99" s="328" t="s">
        <v>155</v>
      </c>
      <c r="C99" s="328" t="s">
        <v>156</v>
      </c>
      <c r="D99" s="364"/>
      <c r="E99" s="330"/>
      <c r="F99" s="364"/>
      <c r="G99" s="332"/>
      <c r="H99" s="333"/>
      <c r="I99" s="332" t="s">
        <v>132</v>
      </c>
      <c r="J99" s="328" t="s">
        <v>72</v>
      </c>
      <c r="K99" s="310">
        <v>4</v>
      </c>
      <c r="L99" s="328" t="s">
        <v>8</v>
      </c>
      <c r="M99" s="334" t="s">
        <v>67</v>
      </c>
      <c r="N99" s="332"/>
      <c r="O99" s="335"/>
      <c r="P99" s="335"/>
      <c r="Q99" s="335"/>
      <c r="R99" s="335"/>
      <c r="S99" s="335"/>
      <c r="T99" s="335"/>
      <c r="U99" s="335"/>
      <c r="V99" s="335"/>
      <c r="W99" s="335"/>
      <c r="X99" s="332"/>
      <c r="Y99" s="335"/>
      <c r="Z99" s="335"/>
      <c r="AA99" s="335"/>
      <c r="AB99" s="335"/>
      <c r="AC99" s="335"/>
      <c r="AD99" s="335"/>
      <c r="AE99" s="335"/>
      <c r="AF99" s="335"/>
      <c r="AG99" s="335"/>
      <c r="AH99" s="335"/>
      <c r="AI99" s="335"/>
      <c r="AJ99" s="335"/>
      <c r="AK99" s="336"/>
      <c r="AL99" s="337"/>
      <c r="AM99" s="335"/>
      <c r="AN99" s="338"/>
      <c r="AO99" s="338"/>
      <c r="AP99" s="338"/>
      <c r="AQ99" s="338"/>
      <c r="AR99" s="332"/>
      <c r="AS99" s="339"/>
      <c r="AT99" s="340"/>
      <c r="AU99" s="339"/>
    </row>
    <row r="100" spans="1:48" s="264" customFormat="1" ht="25.05" customHeight="1">
      <c r="A100" s="309">
        <v>30</v>
      </c>
      <c r="B100" s="310" t="s">
        <v>158</v>
      </c>
      <c r="C100" s="310" t="s">
        <v>159</v>
      </c>
      <c r="D100" s="361"/>
      <c r="E100" s="312"/>
      <c r="F100" s="362"/>
      <c r="G100" s="314"/>
      <c r="H100" s="315"/>
      <c r="I100" s="314" t="s">
        <v>132</v>
      </c>
      <c r="J100" s="310"/>
      <c r="K100" s="316"/>
      <c r="L100" s="310" t="s">
        <v>8</v>
      </c>
      <c r="M100" s="317" t="s">
        <v>61</v>
      </c>
      <c r="N100" s="318"/>
      <c r="O100" s="319">
        <v>46239</v>
      </c>
      <c r="P100" s="319">
        <v>46254</v>
      </c>
      <c r="Q100" s="319">
        <v>46254</v>
      </c>
      <c r="R100" s="319">
        <v>46254</v>
      </c>
      <c r="S100" s="319">
        <v>46254</v>
      </c>
      <c r="T100" s="319">
        <v>46268</v>
      </c>
      <c r="U100" s="319">
        <v>46287</v>
      </c>
      <c r="V100" s="319">
        <v>46301</v>
      </c>
      <c r="W100" s="319"/>
      <c r="X100" s="319">
        <v>46316</v>
      </c>
      <c r="Y100" s="319">
        <v>46318</v>
      </c>
      <c r="Z100" s="319">
        <v>46325</v>
      </c>
      <c r="AA100" s="319">
        <v>46346</v>
      </c>
      <c r="AB100" s="319">
        <v>46360</v>
      </c>
      <c r="AC100" s="319">
        <v>46375</v>
      </c>
      <c r="AD100" s="319">
        <v>46375</v>
      </c>
      <c r="AE100" s="319">
        <v>46377</v>
      </c>
      <c r="AF100" s="319">
        <v>46421</v>
      </c>
      <c r="AG100" s="319">
        <v>46435</v>
      </c>
      <c r="AH100" s="319">
        <v>46442</v>
      </c>
      <c r="AI100" s="319">
        <v>46456</v>
      </c>
      <c r="AJ100" s="319">
        <v>46472</v>
      </c>
      <c r="AK100" s="320">
        <v>18</v>
      </c>
      <c r="AL100" s="321"/>
      <c r="AM100" s="319">
        <f>X100+AL101</f>
        <v>46442</v>
      </c>
      <c r="AN100" s="322"/>
      <c r="AO100" s="322"/>
      <c r="AP100" s="322"/>
      <c r="AQ100" s="322"/>
      <c r="AR100" s="314">
        <f>AN101-AM100</f>
        <v>36</v>
      </c>
      <c r="AS100" s="323"/>
      <c r="AT100" s="324" t="s">
        <v>62</v>
      </c>
      <c r="AU100" s="325">
        <v>46485</v>
      </c>
    </row>
    <row r="101" spans="1:48" s="264" customFormat="1" ht="25.05" customHeight="1">
      <c r="A101" s="309"/>
      <c r="B101" s="310" t="s">
        <v>158</v>
      </c>
      <c r="C101" s="310" t="s">
        <v>159</v>
      </c>
      <c r="D101" s="363"/>
      <c r="E101" s="312"/>
      <c r="F101" s="363"/>
      <c r="G101" s="314">
        <v>37</v>
      </c>
      <c r="H101" s="315" t="s">
        <v>157</v>
      </c>
      <c r="I101" s="314" t="s">
        <v>132</v>
      </c>
      <c r="J101" s="310" t="s">
        <v>72</v>
      </c>
      <c r="K101" s="310">
        <v>4</v>
      </c>
      <c r="L101" s="310" t="s">
        <v>8</v>
      </c>
      <c r="M101" s="317" t="s">
        <v>65</v>
      </c>
      <c r="N101" s="319"/>
      <c r="O101" s="319">
        <v>46239</v>
      </c>
      <c r="P101" s="319">
        <f>WORKDAY.INTL(O101,INDEX(P$8:P$11,MATCH($L101,$L$8:$L$11,0)),1,IF(P$18="China",'China Holidays'!$A$2:$A$82,'Thai Holidays'!$A$2:$A$63))</f>
        <v>46254</v>
      </c>
      <c r="Q101" s="319">
        <f>WORKDAY.INTL(P101,INDEX(Q$8:Q$11,MATCH($L101,$L$8:$L$11,0)),1,IF(Q$18="China",'China Holidays'!$A$2:$A$82,'Thai Holidays'!$A$2:$A$63))</f>
        <v>46254</v>
      </c>
      <c r="R101" s="319">
        <f>WORKDAY.INTL(Q101,INDEX(R$8:R$11,MATCH($L101,$L$8:$L$11,0)),1,IF(R$18="China",'China Holidays'!$A$2:$A$82,'Thai Holidays'!$A$2:$A$63))</f>
        <v>46254</v>
      </c>
      <c r="S101" s="319">
        <f>WORKDAY.INTL(R101,INDEX(S$8:S$11,MATCH($L101,$L$8:$L$11,0)),1,IF(S$18="China",'China Holidays'!$A$2:$A$82,'Thai Holidays'!$A$2:$A$63))</f>
        <v>46254</v>
      </c>
      <c r="T101" s="319">
        <f>WORKDAY.INTL(S101,INDEX(T$8:T$11,MATCH($L101,$L$8:$L$11,0)),1,IF(T$18="China",'China Holidays'!$A$2:$A$82,'Thai Holidays'!$A$2:$A$63))</f>
        <v>46268</v>
      </c>
      <c r="U101" s="319">
        <f>WORKDAY.INTL(T101,INDEX(U$8:U$11,MATCH($L101,$L$8:$L$11,0)),1,IF(U$18="China",'China Holidays'!$A$2:$A$82,'Thai Holidays'!$A$2:$A$63))</f>
        <v>46287</v>
      </c>
      <c r="V101" s="319">
        <f>WORKDAY.INTL(U101,INDEX(V$8:V$11,MATCH($L101,$L$8:$L$11,0)),1,IF(V$18="China",'China Holidays'!$A$2:$A$82,'Thai Holidays'!$A$2:$A$63))</f>
        <v>46301</v>
      </c>
      <c r="W101" s="319"/>
      <c r="X101" s="319">
        <f>WORKDAY.INTL(V101,INDEX(X$8:X$11,MATCH($L101,$L$8:$L$11,0)),1,IF(X$18="China",'China Holidays'!$A$2:$A$82,'Thai Holidays'!$A$2:$A$63))</f>
        <v>46315</v>
      </c>
      <c r="Y101" s="319">
        <f>WORKDAY.INTL(X101,INDEX(Y$12:Y$15,MATCH($L101,$L$12:$L$15,0)),1,IF(Y$18="China",'China Holidays'!$A$2:$A$82,'Thai Holidays'!$A$2:$A$63))</f>
        <v>46317</v>
      </c>
      <c r="Z101" s="319">
        <f>WORKDAY.INTL(Y101,INDEX(Z$12:Z$15,MATCH($L101,$L$12:$L$15,0)),1,IF(Z$18="China",'China Holidays'!$A$2:$A$82,'Thai Holidays'!$A$2:$A$63))</f>
        <v>46324</v>
      </c>
      <c r="AA101" s="319">
        <f>WORKDAY.INTL(Z101,INDEX(AA$12:AA$15,MATCH($L101,$L$12:$L$15,0)),1,IF(AA$18="China",'China Holidays'!$A$2:$A$82,'Thai Holidays'!$A$2:$A$63))</f>
        <v>46345</v>
      </c>
      <c r="AB101" s="319">
        <f>WORKDAY.INTL(AA101,INDEX(AB$12:AB$15,MATCH($L101,$L$12:$L$15,0)),1,IF(AB$18="China",'China Holidays'!$A$2:$A$82,'Thai Holidays'!$A$2:$A$63))</f>
        <v>46359</v>
      </c>
      <c r="AC101" s="319">
        <f>AB101+15</f>
        <v>46374</v>
      </c>
      <c r="AD101" s="319">
        <f>AC101</f>
        <v>46374</v>
      </c>
      <c r="AE101" s="319">
        <f>AD101+2</f>
        <v>46376</v>
      </c>
      <c r="AF101" s="319">
        <f>AG101-14</f>
        <v>46420</v>
      </c>
      <c r="AG101" s="319">
        <f>AH101-7</f>
        <v>46434</v>
      </c>
      <c r="AH101" s="319">
        <f>AM101</f>
        <v>46441</v>
      </c>
      <c r="AI101" s="319">
        <f>AM101+14</f>
        <v>46455</v>
      </c>
      <c r="AJ101" s="319">
        <f>AM101+30</f>
        <v>46471</v>
      </c>
      <c r="AK101" s="343"/>
      <c r="AL101" s="321">
        <f>AK100*7</f>
        <v>126</v>
      </c>
      <c r="AM101" s="319">
        <f>IF(X101&lt;&gt;"",X101+AL101,X102+AL101)</f>
        <v>46441</v>
      </c>
      <c r="AN101" s="322">
        <f>AU100-7</f>
        <v>46478</v>
      </c>
      <c r="AO101" s="322">
        <f>AP101-7</f>
        <v>46498</v>
      </c>
      <c r="AP101" s="322">
        <v>46505</v>
      </c>
      <c r="AQ101" s="322" t="s">
        <v>134</v>
      </c>
      <c r="AR101" s="314">
        <f>AN101-AM101</f>
        <v>37</v>
      </c>
      <c r="AS101" s="323"/>
      <c r="AT101" s="324" t="s">
        <v>66</v>
      </c>
      <c r="AU101" s="325">
        <v>46485</v>
      </c>
      <c r="AV101" s="265"/>
    </row>
    <row r="102" spans="1:48" s="264" customFormat="1" ht="25.05" customHeight="1">
      <c r="A102" s="327"/>
      <c r="B102" s="328" t="s">
        <v>158</v>
      </c>
      <c r="C102" s="328" t="s">
        <v>159</v>
      </c>
      <c r="D102" s="364"/>
      <c r="E102" s="330"/>
      <c r="F102" s="364"/>
      <c r="G102" s="332"/>
      <c r="H102" s="333"/>
      <c r="I102" s="332" t="s">
        <v>132</v>
      </c>
      <c r="J102" s="328" t="s">
        <v>72</v>
      </c>
      <c r="K102" s="310">
        <v>4</v>
      </c>
      <c r="L102" s="328" t="s">
        <v>8</v>
      </c>
      <c r="M102" s="334" t="s">
        <v>67</v>
      </c>
      <c r="N102" s="332"/>
      <c r="O102" s="335"/>
      <c r="P102" s="335"/>
      <c r="Q102" s="335"/>
      <c r="R102" s="335"/>
      <c r="S102" s="335"/>
      <c r="T102" s="335"/>
      <c r="U102" s="335"/>
      <c r="V102" s="335"/>
      <c r="W102" s="335"/>
      <c r="X102" s="332"/>
      <c r="Y102" s="335"/>
      <c r="Z102" s="335"/>
      <c r="AA102" s="335"/>
      <c r="AB102" s="335"/>
      <c r="AC102" s="335"/>
      <c r="AD102" s="335"/>
      <c r="AE102" s="335"/>
      <c r="AF102" s="335"/>
      <c r="AG102" s="335"/>
      <c r="AH102" s="335"/>
      <c r="AI102" s="335"/>
      <c r="AJ102" s="335"/>
      <c r="AK102" s="336"/>
      <c r="AL102" s="337"/>
      <c r="AM102" s="335"/>
      <c r="AN102" s="338"/>
      <c r="AO102" s="338"/>
      <c r="AP102" s="338"/>
      <c r="AQ102" s="338"/>
      <c r="AR102" s="332"/>
      <c r="AS102" s="339"/>
      <c r="AT102" s="340"/>
      <c r="AU102" s="339"/>
    </row>
    <row r="103" spans="1:48" s="264" customFormat="1" ht="25.05" customHeight="1">
      <c r="A103" s="309">
        <v>31</v>
      </c>
      <c r="B103" s="310" t="s">
        <v>160</v>
      </c>
      <c r="C103" s="310" t="s">
        <v>161</v>
      </c>
      <c r="D103" s="361"/>
      <c r="E103" s="312"/>
      <c r="F103" s="362"/>
      <c r="G103" s="314"/>
      <c r="H103" s="315"/>
      <c r="I103" s="314" t="s">
        <v>132</v>
      </c>
      <c r="J103" s="310"/>
      <c r="K103" s="316"/>
      <c r="L103" s="310" t="s">
        <v>8</v>
      </c>
      <c r="M103" s="317" t="s">
        <v>61</v>
      </c>
      <c r="N103" s="318"/>
      <c r="O103" s="319">
        <v>46239</v>
      </c>
      <c r="P103" s="319">
        <v>46254</v>
      </c>
      <c r="Q103" s="319">
        <v>46254</v>
      </c>
      <c r="R103" s="319">
        <v>46254</v>
      </c>
      <c r="S103" s="319">
        <v>46254</v>
      </c>
      <c r="T103" s="319">
        <v>46268</v>
      </c>
      <c r="U103" s="319">
        <v>46287</v>
      </c>
      <c r="V103" s="319">
        <v>46301</v>
      </c>
      <c r="W103" s="319"/>
      <c r="X103" s="319">
        <v>46316</v>
      </c>
      <c r="Y103" s="319">
        <v>46318</v>
      </c>
      <c r="Z103" s="319">
        <v>46325</v>
      </c>
      <c r="AA103" s="319">
        <v>46346</v>
      </c>
      <c r="AB103" s="319">
        <v>46360</v>
      </c>
      <c r="AC103" s="319">
        <v>46375</v>
      </c>
      <c r="AD103" s="319">
        <v>46375</v>
      </c>
      <c r="AE103" s="319">
        <v>46377</v>
      </c>
      <c r="AF103" s="319">
        <v>46421</v>
      </c>
      <c r="AG103" s="319">
        <v>46435</v>
      </c>
      <c r="AH103" s="319">
        <v>46442</v>
      </c>
      <c r="AI103" s="319">
        <v>46456</v>
      </c>
      <c r="AJ103" s="319">
        <v>46472</v>
      </c>
      <c r="AK103" s="320">
        <v>18</v>
      </c>
      <c r="AL103" s="321"/>
      <c r="AM103" s="319">
        <f>X103+AL104</f>
        <v>46442</v>
      </c>
      <c r="AN103" s="322"/>
      <c r="AO103" s="322"/>
      <c r="AP103" s="322"/>
      <c r="AQ103" s="322"/>
      <c r="AR103" s="314">
        <f>AN104-AM103</f>
        <v>36</v>
      </c>
      <c r="AS103" s="323"/>
      <c r="AT103" s="324" t="s">
        <v>62</v>
      </c>
      <c r="AU103" s="325">
        <v>46485</v>
      </c>
    </row>
    <row r="104" spans="1:48" s="264" customFormat="1" ht="25.05" customHeight="1">
      <c r="A104" s="309"/>
      <c r="B104" s="310" t="s">
        <v>160</v>
      </c>
      <c r="C104" s="310" t="s">
        <v>161</v>
      </c>
      <c r="D104" s="363"/>
      <c r="E104" s="312"/>
      <c r="F104" s="363"/>
      <c r="G104" s="314">
        <v>37</v>
      </c>
      <c r="H104" s="315" t="s">
        <v>157</v>
      </c>
      <c r="I104" s="314" t="s">
        <v>132</v>
      </c>
      <c r="J104" s="310" t="s">
        <v>72</v>
      </c>
      <c r="K104" s="310">
        <v>4</v>
      </c>
      <c r="L104" s="310" t="s">
        <v>8</v>
      </c>
      <c r="M104" s="317" t="s">
        <v>65</v>
      </c>
      <c r="N104" s="319"/>
      <c r="O104" s="319">
        <v>46239</v>
      </c>
      <c r="P104" s="319">
        <f>WORKDAY.INTL(O104,INDEX(P$8:P$11,MATCH($L104,$L$8:$L$11,0)),1,IF(P$18="China",'China Holidays'!$A$2:$A$82,'Thai Holidays'!$A$2:$A$63))</f>
        <v>46254</v>
      </c>
      <c r="Q104" s="319">
        <f>WORKDAY.INTL(P104,INDEX(Q$8:Q$11,MATCH($L104,$L$8:$L$11,0)),1,IF(Q$18="China",'China Holidays'!$A$2:$A$82,'Thai Holidays'!$A$2:$A$63))</f>
        <v>46254</v>
      </c>
      <c r="R104" s="319">
        <f>WORKDAY.INTL(Q104,INDEX(R$8:R$11,MATCH($L104,$L$8:$L$11,0)),1,IF(R$18="China",'China Holidays'!$A$2:$A$82,'Thai Holidays'!$A$2:$A$63))</f>
        <v>46254</v>
      </c>
      <c r="S104" s="319">
        <f>WORKDAY.INTL(R104,INDEX(S$8:S$11,MATCH($L104,$L$8:$L$11,0)),1,IF(S$18="China",'China Holidays'!$A$2:$A$82,'Thai Holidays'!$A$2:$A$63))</f>
        <v>46254</v>
      </c>
      <c r="T104" s="319">
        <f>WORKDAY.INTL(S104,INDEX(T$8:T$11,MATCH($L104,$L$8:$L$11,0)),1,IF(T$18="China",'China Holidays'!$A$2:$A$82,'Thai Holidays'!$A$2:$A$63))</f>
        <v>46268</v>
      </c>
      <c r="U104" s="319">
        <f>WORKDAY.INTL(T104,INDEX(U$8:U$11,MATCH($L104,$L$8:$L$11,0)),1,IF(U$18="China",'China Holidays'!$A$2:$A$82,'Thai Holidays'!$A$2:$A$63))</f>
        <v>46287</v>
      </c>
      <c r="V104" s="319">
        <f>WORKDAY.INTL(U104,INDEX(V$8:V$11,MATCH($L104,$L$8:$L$11,0)),1,IF(V$18="China",'China Holidays'!$A$2:$A$82,'Thai Holidays'!$A$2:$A$63))</f>
        <v>46301</v>
      </c>
      <c r="W104" s="319"/>
      <c r="X104" s="319">
        <f>WORKDAY.INTL(V104,INDEX(X$8:X$11,MATCH($L104,$L$8:$L$11,0)),1,IF(X$18="China",'China Holidays'!$A$2:$A$82,'Thai Holidays'!$A$2:$A$63))</f>
        <v>46315</v>
      </c>
      <c r="Y104" s="319">
        <f>WORKDAY.INTL(X104,INDEX(Y$12:Y$15,MATCH($L104,$L$12:$L$15,0)),1,IF(Y$18="China",'China Holidays'!$A$2:$A$82,'Thai Holidays'!$A$2:$A$63))</f>
        <v>46317</v>
      </c>
      <c r="Z104" s="319">
        <f>WORKDAY.INTL(Y104,INDEX(Z$12:Z$15,MATCH($L104,$L$12:$L$15,0)),1,IF(Z$18="China",'China Holidays'!$A$2:$A$82,'Thai Holidays'!$A$2:$A$63))</f>
        <v>46324</v>
      </c>
      <c r="AA104" s="319">
        <f>WORKDAY.INTL(Z104,INDEX(AA$12:AA$15,MATCH($L104,$L$12:$L$15,0)),1,IF(AA$18="China",'China Holidays'!$A$2:$A$82,'Thai Holidays'!$A$2:$A$63))</f>
        <v>46345</v>
      </c>
      <c r="AB104" s="319">
        <f>WORKDAY.INTL(AA104,INDEX(AB$12:AB$15,MATCH($L104,$L$12:$L$15,0)),1,IF(AB$18="China",'China Holidays'!$A$2:$A$82,'Thai Holidays'!$A$2:$A$63))</f>
        <v>46359</v>
      </c>
      <c r="AC104" s="319">
        <f>AB104+15</f>
        <v>46374</v>
      </c>
      <c r="AD104" s="319">
        <f>AC104</f>
        <v>46374</v>
      </c>
      <c r="AE104" s="319">
        <f>AD104+2</f>
        <v>46376</v>
      </c>
      <c r="AF104" s="319">
        <f>AG104-14</f>
        <v>46420</v>
      </c>
      <c r="AG104" s="319">
        <f>AH104-7</f>
        <v>46434</v>
      </c>
      <c r="AH104" s="319">
        <f>AM104</f>
        <v>46441</v>
      </c>
      <c r="AI104" s="319">
        <f>AM104+14</f>
        <v>46455</v>
      </c>
      <c r="AJ104" s="319">
        <f>AM104+30</f>
        <v>46471</v>
      </c>
      <c r="AK104" s="343"/>
      <c r="AL104" s="321">
        <f>AK103*7</f>
        <v>126</v>
      </c>
      <c r="AM104" s="319">
        <f>IF(X104&lt;&gt;"",X104+AL104,X105+AL104)</f>
        <v>46441</v>
      </c>
      <c r="AN104" s="322">
        <f>AU103-7</f>
        <v>46478</v>
      </c>
      <c r="AO104" s="322">
        <f>AP104-7</f>
        <v>46498</v>
      </c>
      <c r="AP104" s="322">
        <v>46505</v>
      </c>
      <c r="AQ104" s="322" t="s">
        <v>134</v>
      </c>
      <c r="AR104" s="314">
        <f>AN104-AM104</f>
        <v>37</v>
      </c>
      <c r="AS104" s="323"/>
      <c r="AT104" s="324" t="s">
        <v>66</v>
      </c>
      <c r="AU104" s="325">
        <v>46485</v>
      </c>
      <c r="AV104" s="265"/>
    </row>
    <row r="105" spans="1:48" s="264" customFormat="1" ht="25.05" customHeight="1">
      <c r="A105" s="327"/>
      <c r="B105" s="328" t="s">
        <v>160</v>
      </c>
      <c r="C105" s="328" t="s">
        <v>161</v>
      </c>
      <c r="D105" s="364"/>
      <c r="E105" s="330"/>
      <c r="F105" s="364"/>
      <c r="G105" s="332"/>
      <c r="H105" s="333"/>
      <c r="I105" s="332" t="s">
        <v>132</v>
      </c>
      <c r="J105" s="328" t="s">
        <v>72</v>
      </c>
      <c r="K105" s="310">
        <v>4</v>
      </c>
      <c r="L105" s="328" t="s">
        <v>8</v>
      </c>
      <c r="M105" s="334" t="s">
        <v>67</v>
      </c>
      <c r="N105" s="332"/>
      <c r="O105" s="335"/>
      <c r="P105" s="335"/>
      <c r="Q105" s="335"/>
      <c r="R105" s="335"/>
      <c r="S105" s="335"/>
      <c r="T105" s="335"/>
      <c r="U105" s="335"/>
      <c r="V105" s="335"/>
      <c r="W105" s="335"/>
      <c r="X105" s="332"/>
      <c r="Y105" s="335"/>
      <c r="Z105" s="335"/>
      <c r="AA105" s="335"/>
      <c r="AB105" s="335"/>
      <c r="AC105" s="335"/>
      <c r="AD105" s="335"/>
      <c r="AE105" s="335"/>
      <c r="AF105" s="335"/>
      <c r="AG105" s="335"/>
      <c r="AH105" s="335"/>
      <c r="AI105" s="335"/>
      <c r="AJ105" s="335"/>
      <c r="AK105" s="336"/>
      <c r="AL105" s="337"/>
      <c r="AM105" s="335"/>
      <c r="AN105" s="338"/>
      <c r="AO105" s="338"/>
      <c r="AP105" s="338"/>
      <c r="AQ105" s="338"/>
      <c r="AR105" s="332"/>
      <c r="AS105" s="339"/>
      <c r="AT105" s="340"/>
      <c r="AU105" s="339"/>
    </row>
    <row r="106" spans="1:48" s="264" customFormat="1" ht="25.05" customHeight="1">
      <c r="A106" s="309">
        <v>32</v>
      </c>
      <c r="B106" s="310" t="s">
        <v>162</v>
      </c>
      <c r="C106" s="310" t="s">
        <v>163</v>
      </c>
      <c r="D106" s="361"/>
      <c r="E106" s="312"/>
      <c r="F106" s="362"/>
      <c r="G106" s="314"/>
      <c r="H106" s="315"/>
      <c r="I106" s="314" t="s">
        <v>132</v>
      </c>
      <c r="J106" s="310"/>
      <c r="K106" s="316"/>
      <c r="L106" s="310" t="s">
        <v>8</v>
      </c>
      <c r="M106" s="317" t="s">
        <v>61</v>
      </c>
      <c r="N106" s="318"/>
      <c r="O106" s="319">
        <v>46239</v>
      </c>
      <c r="P106" s="319">
        <v>46254</v>
      </c>
      <c r="Q106" s="319">
        <v>46254</v>
      </c>
      <c r="R106" s="319">
        <v>46254</v>
      </c>
      <c r="S106" s="319">
        <v>46254</v>
      </c>
      <c r="T106" s="319">
        <v>46268</v>
      </c>
      <c r="U106" s="319">
        <v>46287</v>
      </c>
      <c r="V106" s="319">
        <v>46301</v>
      </c>
      <c r="W106" s="319"/>
      <c r="X106" s="319">
        <v>46316</v>
      </c>
      <c r="Y106" s="319">
        <v>46318</v>
      </c>
      <c r="Z106" s="319">
        <v>46325</v>
      </c>
      <c r="AA106" s="319">
        <v>46346</v>
      </c>
      <c r="AB106" s="319">
        <v>46360</v>
      </c>
      <c r="AC106" s="319">
        <v>46375</v>
      </c>
      <c r="AD106" s="319">
        <v>46375</v>
      </c>
      <c r="AE106" s="319">
        <v>46377</v>
      </c>
      <c r="AF106" s="319">
        <v>46421</v>
      </c>
      <c r="AG106" s="319">
        <v>46435</v>
      </c>
      <c r="AH106" s="319">
        <v>46442</v>
      </c>
      <c r="AI106" s="319">
        <v>46456</v>
      </c>
      <c r="AJ106" s="319">
        <v>46472</v>
      </c>
      <c r="AK106" s="320">
        <v>18</v>
      </c>
      <c r="AL106" s="321"/>
      <c r="AM106" s="319">
        <f>X106+AL107</f>
        <v>46442</v>
      </c>
      <c r="AN106" s="322"/>
      <c r="AO106" s="322"/>
      <c r="AP106" s="322"/>
      <c r="AQ106" s="322"/>
      <c r="AR106" s="314">
        <f>AN107-AM106</f>
        <v>36</v>
      </c>
      <c r="AS106" s="323"/>
      <c r="AT106" s="324" t="s">
        <v>62</v>
      </c>
      <c r="AU106" s="325">
        <v>46485</v>
      </c>
    </row>
    <row r="107" spans="1:48" s="264" customFormat="1" ht="25.05" customHeight="1">
      <c r="A107" s="309"/>
      <c r="B107" s="310" t="s">
        <v>162</v>
      </c>
      <c r="C107" s="310" t="s">
        <v>163</v>
      </c>
      <c r="D107" s="363"/>
      <c r="E107" s="312"/>
      <c r="F107" s="363"/>
      <c r="G107" s="314">
        <v>37</v>
      </c>
      <c r="H107" s="315" t="s">
        <v>157</v>
      </c>
      <c r="I107" s="314" t="s">
        <v>132</v>
      </c>
      <c r="J107" s="310" t="s">
        <v>72</v>
      </c>
      <c r="K107" s="310">
        <v>4</v>
      </c>
      <c r="L107" s="310" t="s">
        <v>8</v>
      </c>
      <c r="M107" s="317" t="s">
        <v>65</v>
      </c>
      <c r="N107" s="319"/>
      <c r="O107" s="319">
        <v>46239</v>
      </c>
      <c r="P107" s="319">
        <f>WORKDAY.INTL(O107,INDEX(P$8:P$11,MATCH($L107,$L$8:$L$11,0)),1,IF(P$18="China",'China Holidays'!$A$2:$A$82,'Thai Holidays'!$A$2:$A$63))</f>
        <v>46254</v>
      </c>
      <c r="Q107" s="319">
        <f>WORKDAY.INTL(P107,INDEX(Q$8:Q$11,MATCH($L107,$L$8:$L$11,0)),1,IF(Q$18="China",'China Holidays'!$A$2:$A$82,'Thai Holidays'!$A$2:$A$63))</f>
        <v>46254</v>
      </c>
      <c r="R107" s="319">
        <f>WORKDAY.INTL(Q107,INDEX(R$8:R$11,MATCH($L107,$L$8:$L$11,0)),1,IF(R$18="China",'China Holidays'!$A$2:$A$82,'Thai Holidays'!$A$2:$A$63))</f>
        <v>46254</v>
      </c>
      <c r="S107" s="319">
        <f>WORKDAY.INTL(R107,INDEX(S$8:S$11,MATCH($L107,$L$8:$L$11,0)),1,IF(S$18="China",'China Holidays'!$A$2:$A$82,'Thai Holidays'!$A$2:$A$63))</f>
        <v>46254</v>
      </c>
      <c r="T107" s="319">
        <f>WORKDAY.INTL(S107,INDEX(T$8:T$11,MATCH($L107,$L$8:$L$11,0)),1,IF(T$18="China",'China Holidays'!$A$2:$A$82,'Thai Holidays'!$A$2:$A$63))</f>
        <v>46268</v>
      </c>
      <c r="U107" s="319">
        <f>WORKDAY.INTL(T107,INDEX(U$8:U$11,MATCH($L107,$L$8:$L$11,0)),1,IF(U$18="China",'China Holidays'!$A$2:$A$82,'Thai Holidays'!$A$2:$A$63))</f>
        <v>46287</v>
      </c>
      <c r="V107" s="319">
        <f>WORKDAY.INTL(U107,INDEX(V$8:V$11,MATCH($L107,$L$8:$L$11,0)),1,IF(V$18="China",'China Holidays'!$A$2:$A$82,'Thai Holidays'!$A$2:$A$63))</f>
        <v>46301</v>
      </c>
      <c r="W107" s="319"/>
      <c r="X107" s="319">
        <f>WORKDAY.INTL(V107,INDEX(X$8:X$11,MATCH($L107,$L$8:$L$11,0)),1,IF(X$18="China",'China Holidays'!$A$2:$A$82,'Thai Holidays'!$A$2:$A$63))</f>
        <v>46315</v>
      </c>
      <c r="Y107" s="319">
        <f>WORKDAY.INTL(X107,INDEX(Y$12:Y$15,MATCH($L107,$L$12:$L$15,0)),1,IF(Y$18="China",'China Holidays'!$A$2:$A$82,'Thai Holidays'!$A$2:$A$63))</f>
        <v>46317</v>
      </c>
      <c r="Z107" s="319">
        <f>WORKDAY.INTL(Y107,INDEX(Z$12:Z$15,MATCH($L107,$L$12:$L$15,0)),1,IF(Z$18="China",'China Holidays'!$A$2:$A$82,'Thai Holidays'!$A$2:$A$63))</f>
        <v>46324</v>
      </c>
      <c r="AA107" s="319">
        <f>WORKDAY.INTL(Z107,INDEX(AA$12:AA$15,MATCH($L107,$L$12:$L$15,0)),1,IF(AA$18="China",'China Holidays'!$A$2:$A$82,'Thai Holidays'!$A$2:$A$63))</f>
        <v>46345</v>
      </c>
      <c r="AB107" s="319">
        <f>WORKDAY.INTL(AA107,INDEX(AB$12:AB$15,MATCH($L107,$L$12:$L$15,0)),1,IF(AB$18="China",'China Holidays'!$A$2:$A$82,'Thai Holidays'!$A$2:$A$63))</f>
        <v>46359</v>
      </c>
      <c r="AC107" s="319">
        <f>AB107+15</f>
        <v>46374</v>
      </c>
      <c r="AD107" s="319">
        <f>AC107</f>
        <v>46374</v>
      </c>
      <c r="AE107" s="319">
        <f>AD107+2</f>
        <v>46376</v>
      </c>
      <c r="AF107" s="319">
        <f>AG107-14</f>
        <v>46420</v>
      </c>
      <c r="AG107" s="319">
        <f>AH107-7</f>
        <v>46434</v>
      </c>
      <c r="AH107" s="319">
        <f>AM107</f>
        <v>46441</v>
      </c>
      <c r="AI107" s="319">
        <f>AM107+14</f>
        <v>46455</v>
      </c>
      <c r="AJ107" s="319">
        <f>AM107+30</f>
        <v>46471</v>
      </c>
      <c r="AK107" s="343"/>
      <c r="AL107" s="321">
        <f>AK106*7</f>
        <v>126</v>
      </c>
      <c r="AM107" s="319">
        <f>IF(X107&lt;&gt;"",X107+AL107,X108+AL107)</f>
        <v>46441</v>
      </c>
      <c r="AN107" s="322">
        <f>AU106-7</f>
        <v>46478</v>
      </c>
      <c r="AO107" s="322">
        <f>AP107-7</f>
        <v>46498</v>
      </c>
      <c r="AP107" s="322">
        <v>46505</v>
      </c>
      <c r="AQ107" s="322" t="s">
        <v>134</v>
      </c>
      <c r="AR107" s="314">
        <f>AN107-AM107</f>
        <v>37</v>
      </c>
      <c r="AS107" s="323"/>
      <c r="AT107" s="324" t="s">
        <v>66</v>
      </c>
      <c r="AU107" s="325">
        <v>46485</v>
      </c>
      <c r="AV107" s="265"/>
    </row>
    <row r="108" spans="1:48" s="264" customFormat="1" ht="25.05" customHeight="1">
      <c r="A108" s="327"/>
      <c r="B108" s="328" t="s">
        <v>162</v>
      </c>
      <c r="C108" s="328" t="s">
        <v>163</v>
      </c>
      <c r="D108" s="364"/>
      <c r="E108" s="330"/>
      <c r="F108" s="364"/>
      <c r="G108" s="332"/>
      <c r="H108" s="333"/>
      <c r="I108" s="332" t="s">
        <v>132</v>
      </c>
      <c r="J108" s="328" t="s">
        <v>72</v>
      </c>
      <c r="K108" s="310">
        <v>4</v>
      </c>
      <c r="L108" s="328" t="s">
        <v>8</v>
      </c>
      <c r="M108" s="334" t="s">
        <v>67</v>
      </c>
      <c r="N108" s="332"/>
      <c r="O108" s="335"/>
      <c r="P108" s="335"/>
      <c r="Q108" s="335"/>
      <c r="R108" s="335"/>
      <c r="S108" s="335"/>
      <c r="T108" s="335"/>
      <c r="U108" s="335"/>
      <c r="V108" s="335"/>
      <c r="W108" s="335"/>
      <c r="X108" s="332"/>
      <c r="Y108" s="335"/>
      <c r="Z108" s="335"/>
      <c r="AA108" s="335"/>
      <c r="AB108" s="335"/>
      <c r="AC108" s="335"/>
      <c r="AD108" s="335"/>
      <c r="AE108" s="335"/>
      <c r="AF108" s="335"/>
      <c r="AG108" s="335"/>
      <c r="AH108" s="335"/>
      <c r="AI108" s="335"/>
      <c r="AJ108" s="335"/>
      <c r="AK108" s="336"/>
      <c r="AL108" s="337"/>
      <c r="AM108" s="335"/>
      <c r="AN108" s="338"/>
      <c r="AO108" s="338"/>
      <c r="AP108" s="338"/>
      <c r="AQ108" s="338"/>
      <c r="AR108" s="332"/>
      <c r="AS108" s="339"/>
      <c r="AT108" s="340"/>
      <c r="AU108" s="339"/>
    </row>
    <row r="109" spans="1:48" s="264" customFormat="1" ht="25.05" customHeight="1">
      <c r="A109" s="309">
        <v>33</v>
      </c>
      <c r="B109" s="310" t="s">
        <v>164</v>
      </c>
      <c r="C109" s="310" t="s">
        <v>165</v>
      </c>
      <c r="D109" s="361"/>
      <c r="E109" s="312"/>
      <c r="F109" s="362"/>
      <c r="G109" s="314"/>
      <c r="H109" s="315"/>
      <c r="I109" s="314" t="s">
        <v>132</v>
      </c>
      <c r="J109" s="310"/>
      <c r="K109" s="316"/>
      <c r="L109" s="310" t="s">
        <v>8</v>
      </c>
      <c r="M109" s="317" t="s">
        <v>61</v>
      </c>
      <c r="N109" s="318"/>
      <c r="O109" s="319">
        <v>46227</v>
      </c>
      <c r="P109" s="319">
        <v>46245</v>
      </c>
      <c r="Q109" s="319">
        <v>46209</v>
      </c>
      <c r="R109" s="319">
        <v>46245</v>
      </c>
      <c r="S109" s="319">
        <v>46245</v>
      </c>
      <c r="T109" s="319">
        <v>46259</v>
      </c>
      <c r="U109" s="319">
        <v>46276</v>
      </c>
      <c r="V109" s="319">
        <v>46290</v>
      </c>
      <c r="W109" s="319"/>
      <c r="X109" s="319">
        <v>46310</v>
      </c>
      <c r="Y109" s="319">
        <f>WORKDAY.INTL(X109,INDEX(Y$12:Y$15,MATCH($L109,$L$12:$L$15,0)),1,IF(Y$18="China",'China Holidays'!$A$2:$A$82,'Thai Holidays'!$A$2:$A$63))</f>
        <v>46314</v>
      </c>
      <c r="Z109" s="319">
        <f>WORKDAY.INTL(Y109,INDEX(Z$12:Z$15,MATCH($L109,$L$12:$L$15,0)),1,IF(Z$18="China",'China Holidays'!$A$2:$A$82,'Thai Holidays'!$A$2:$A$63))</f>
        <v>46321</v>
      </c>
      <c r="AA109" s="319">
        <f>WORKDAY.INTL(Z109,INDEX(AA$12:AA$15,MATCH($L109,$L$12:$L$15,0)),1,IF(AA$18="China",'China Holidays'!$A$2:$A$82,'Thai Holidays'!$A$2:$A$63))</f>
        <v>46342</v>
      </c>
      <c r="AB109" s="319">
        <f>WORKDAY.INTL(AA109,INDEX(AB$12:AB$15,MATCH($L109,$L$12:$L$15,0)),1,IF(AB$18="China",'China Holidays'!$A$2:$A$82,'Thai Holidays'!$A$2:$A$63))</f>
        <v>46356</v>
      </c>
      <c r="AC109" s="319">
        <f>AB109+15</f>
        <v>46371</v>
      </c>
      <c r="AD109" s="319">
        <f>AC109</f>
        <v>46371</v>
      </c>
      <c r="AE109" s="319">
        <f>AD109+2</f>
        <v>46373</v>
      </c>
      <c r="AF109" s="319">
        <f>AG109-14</f>
        <v>46415</v>
      </c>
      <c r="AG109" s="319">
        <f>AH109-7</f>
        <v>46429</v>
      </c>
      <c r="AH109" s="319">
        <f>AM109</f>
        <v>46436</v>
      </c>
      <c r="AI109" s="319">
        <f>AM109+14</f>
        <v>46450</v>
      </c>
      <c r="AJ109" s="319">
        <f>AM109+30</f>
        <v>46466</v>
      </c>
      <c r="AK109" s="320">
        <v>18</v>
      </c>
      <c r="AL109" s="321"/>
      <c r="AM109" s="319">
        <f>X109+AL110</f>
        <v>46436</v>
      </c>
      <c r="AN109" s="322"/>
      <c r="AO109" s="322"/>
      <c r="AP109" s="322"/>
      <c r="AQ109" s="322"/>
      <c r="AR109" s="314">
        <f>AN110-AM109</f>
        <v>42</v>
      </c>
      <c r="AS109" s="323"/>
      <c r="AT109" s="324" t="s">
        <v>62</v>
      </c>
      <c r="AU109" s="325">
        <v>46485</v>
      </c>
    </row>
    <row r="110" spans="1:48" s="264" customFormat="1" ht="25.05" customHeight="1">
      <c r="A110" s="309"/>
      <c r="B110" s="310" t="s">
        <v>164</v>
      </c>
      <c r="C110" s="310" t="s">
        <v>165</v>
      </c>
      <c r="D110" s="363"/>
      <c r="E110" s="312"/>
      <c r="F110" s="363"/>
      <c r="G110" s="314">
        <v>79</v>
      </c>
      <c r="H110" s="315" t="s">
        <v>166</v>
      </c>
      <c r="I110" s="314" t="s">
        <v>132</v>
      </c>
      <c r="J110" s="310" t="s">
        <v>72</v>
      </c>
      <c r="K110" s="310">
        <v>3</v>
      </c>
      <c r="L110" s="310" t="s">
        <v>8</v>
      </c>
      <c r="M110" s="317" t="s">
        <v>65</v>
      </c>
      <c r="N110" s="319"/>
      <c r="O110" s="319"/>
      <c r="P110" s="319"/>
      <c r="Q110" s="319"/>
      <c r="R110" s="319"/>
      <c r="S110" s="319">
        <v>46245</v>
      </c>
      <c r="T110" s="319">
        <f>WORKDAY.INTL(S110,INDEX(T$8:T$11,MATCH($L110,$L$8:$L$11,0)),1,IF(T$18="China",'China Holidays'!$A$2:$A$82,'Thai Holidays'!$A$2:$A$63))</f>
        <v>46259</v>
      </c>
      <c r="U110" s="319">
        <f>WORKDAY.INTL(T110,INDEX(U$8:U$11,MATCH($L110,$L$8:$L$11,0)),1,IF(U$18="China",'China Holidays'!$A$2:$A$82,'Thai Holidays'!$A$2:$A$63))</f>
        <v>46276</v>
      </c>
      <c r="V110" s="319">
        <f>WORKDAY.INTL(U110,INDEX(V$8:V$11,MATCH($L110,$L$8:$L$11,0)),1,IF(V$18="China",'China Holidays'!$A$2:$A$82,'Thai Holidays'!$A$2:$A$63))</f>
        <v>46290</v>
      </c>
      <c r="W110" s="319"/>
      <c r="X110" s="319">
        <f>WORKDAY.INTL(V110,INDEX(X$8:X$11,MATCH($L110,$L$8:$L$11,0)),1,IF(X$18="China",'China Holidays'!$A$2:$A$82,'Thai Holidays'!$A$2:$A$63))</f>
        <v>46310</v>
      </c>
      <c r="Y110" s="319">
        <f>WORKDAY.INTL(X110,INDEX(Y$12:Y$15,MATCH($L110,$L$12:$L$15,0)),1,IF(Y$18="China",'China Holidays'!$A$2:$A$82,'Thai Holidays'!$A$2:$A$63))</f>
        <v>46314</v>
      </c>
      <c r="Z110" s="319">
        <f>WORKDAY.INTL(Y110,INDEX(Z$12:Z$15,MATCH($L110,$L$12:$L$15,0)),1,IF(Z$18="China",'China Holidays'!$A$2:$A$82,'Thai Holidays'!$A$2:$A$63))</f>
        <v>46321</v>
      </c>
      <c r="AA110" s="319">
        <f>WORKDAY.INTL(Z110,INDEX(AA$12:AA$15,MATCH($L110,$L$12:$L$15,0)),1,IF(AA$18="China",'China Holidays'!$A$2:$A$82,'Thai Holidays'!$A$2:$A$63))</f>
        <v>46342</v>
      </c>
      <c r="AB110" s="319">
        <f>WORKDAY.INTL(AA110,INDEX(AB$12:AB$15,MATCH($L110,$L$12:$L$15,0)),1,IF(AB$18="China",'China Holidays'!$A$2:$A$82,'Thai Holidays'!$A$2:$A$63))</f>
        <v>46356</v>
      </c>
      <c r="AC110" s="319">
        <f>AB110+15</f>
        <v>46371</v>
      </c>
      <c r="AD110" s="319">
        <f>AC110</f>
        <v>46371</v>
      </c>
      <c r="AE110" s="319">
        <f>AD110+2</f>
        <v>46373</v>
      </c>
      <c r="AF110" s="319">
        <f>AG110-14</f>
        <v>46415</v>
      </c>
      <c r="AG110" s="319">
        <f>AH110-7</f>
        <v>46429</v>
      </c>
      <c r="AH110" s="319">
        <f>AM110</f>
        <v>46436</v>
      </c>
      <c r="AI110" s="319">
        <f>AM110+14</f>
        <v>46450</v>
      </c>
      <c r="AJ110" s="319">
        <f>AM110+30</f>
        <v>46466</v>
      </c>
      <c r="AK110" s="343"/>
      <c r="AL110" s="321">
        <f>AK109*7</f>
        <v>126</v>
      </c>
      <c r="AM110" s="319">
        <f>IF(X110&lt;&gt;"",X110+AL110,X111+AL110)</f>
        <v>46436</v>
      </c>
      <c r="AN110" s="322">
        <f>AU109-7</f>
        <v>46478</v>
      </c>
      <c r="AO110" s="322">
        <f>AP110-7</f>
        <v>46498</v>
      </c>
      <c r="AP110" s="322">
        <v>46505</v>
      </c>
      <c r="AQ110" s="322" t="s">
        <v>134</v>
      </c>
      <c r="AR110" s="314">
        <f>AN110-AM110</f>
        <v>42</v>
      </c>
      <c r="AS110" s="323"/>
      <c r="AT110" s="324" t="s">
        <v>66</v>
      </c>
      <c r="AU110" s="325">
        <v>46485</v>
      </c>
      <c r="AV110" s="265"/>
    </row>
    <row r="111" spans="1:48" s="264" customFormat="1" ht="25.05" customHeight="1">
      <c r="A111" s="327"/>
      <c r="B111" s="328" t="s">
        <v>164</v>
      </c>
      <c r="C111" s="328" t="s">
        <v>165</v>
      </c>
      <c r="D111" s="364"/>
      <c r="E111" s="330"/>
      <c r="F111" s="364"/>
      <c r="G111" s="332"/>
      <c r="H111" s="333"/>
      <c r="I111" s="332" t="s">
        <v>132</v>
      </c>
      <c r="J111" s="328" t="s">
        <v>72</v>
      </c>
      <c r="K111" s="310">
        <v>3</v>
      </c>
      <c r="L111" s="328" t="s">
        <v>8</v>
      </c>
      <c r="M111" s="334" t="s">
        <v>67</v>
      </c>
      <c r="N111" s="335"/>
      <c r="O111" s="335">
        <v>46197</v>
      </c>
      <c r="P111" s="335">
        <v>46211</v>
      </c>
      <c r="Q111" s="335">
        <v>46211</v>
      </c>
      <c r="R111" s="335">
        <v>46211</v>
      </c>
      <c r="S111" s="335"/>
      <c r="T111" s="335"/>
      <c r="U111" s="335"/>
      <c r="V111" s="335"/>
      <c r="W111" s="335"/>
      <c r="X111" s="332"/>
      <c r="Y111" s="335"/>
      <c r="Z111" s="335"/>
      <c r="AA111" s="335"/>
      <c r="AB111" s="335"/>
      <c r="AC111" s="335"/>
      <c r="AD111" s="335"/>
      <c r="AE111" s="335"/>
      <c r="AF111" s="335"/>
      <c r="AG111" s="335"/>
      <c r="AH111" s="335"/>
      <c r="AI111" s="335"/>
      <c r="AJ111" s="335"/>
      <c r="AK111" s="336"/>
      <c r="AL111" s="337"/>
      <c r="AM111" s="335"/>
      <c r="AN111" s="338"/>
      <c r="AO111" s="338"/>
      <c r="AP111" s="338"/>
      <c r="AQ111" s="338"/>
      <c r="AR111" s="332"/>
      <c r="AS111" s="339"/>
      <c r="AT111" s="340"/>
      <c r="AU111" s="339"/>
    </row>
    <row r="112" spans="1:48" s="264" customFormat="1" ht="25.05" customHeight="1">
      <c r="A112" s="309">
        <v>34</v>
      </c>
      <c r="B112" s="310" t="s">
        <v>167</v>
      </c>
      <c r="C112" s="310" t="s">
        <v>168</v>
      </c>
      <c r="D112" s="361"/>
      <c r="E112" s="312"/>
      <c r="F112" s="362"/>
      <c r="G112" s="314"/>
      <c r="H112" s="315"/>
      <c r="I112" s="314" t="s">
        <v>132</v>
      </c>
      <c r="J112" s="310"/>
      <c r="K112" s="316"/>
      <c r="L112" s="310" t="s">
        <v>8</v>
      </c>
      <c r="M112" s="317" t="s">
        <v>61</v>
      </c>
      <c r="N112" s="318"/>
      <c r="O112" s="319">
        <v>46227</v>
      </c>
      <c r="P112" s="319">
        <v>46245</v>
      </c>
      <c r="Q112" s="319">
        <v>46209</v>
      </c>
      <c r="R112" s="319">
        <v>46245</v>
      </c>
      <c r="S112" s="319">
        <v>46245</v>
      </c>
      <c r="T112" s="319">
        <v>46259</v>
      </c>
      <c r="U112" s="319">
        <v>46276</v>
      </c>
      <c r="V112" s="319">
        <v>46290</v>
      </c>
      <c r="W112" s="319"/>
      <c r="X112" s="319">
        <v>46310</v>
      </c>
      <c r="Y112" s="319">
        <v>46275</v>
      </c>
      <c r="Z112" s="319">
        <v>46282</v>
      </c>
      <c r="AA112" s="319">
        <v>46342</v>
      </c>
      <c r="AB112" s="319">
        <v>46356</v>
      </c>
      <c r="AC112" s="319">
        <v>46371</v>
      </c>
      <c r="AD112" s="319">
        <v>46340</v>
      </c>
      <c r="AE112" s="319">
        <v>46342</v>
      </c>
      <c r="AF112" s="319">
        <v>46415</v>
      </c>
      <c r="AG112" s="319">
        <v>46429</v>
      </c>
      <c r="AH112" s="319">
        <v>46436</v>
      </c>
      <c r="AI112" s="319">
        <v>46450</v>
      </c>
      <c r="AJ112" s="319">
        <v>46466</v>
      </c>
      <c r="AK112" s="320">
        <v>18</v>
      </c>
      <c r="AL112" s="321"/>
      <c r="AM112" s="319">
        <f>X112+AL113</f>
        <v>46436</v>
      </c>
      <c r="AN112" s="322"/>
      <c r="AO112" s="322"/>
      <c r="AP112" s="322"/>
      <c r="AQ112" s="322"/>
      <c r="AR112" s="314">
        <f>AN113-AM112</f>
        <v>42</v>
      </c>
      <c r="AS112" s="323"/>
      <c r="AT112" s="324" t="s">
        <v>62</v>
      </c>
      <c r="AU112" s="325">
        <v>46485</v>
      </c>
    </row>
    <row r="113" spans="1:48" s="264" customFormat="1" ht="25.05" customHeight="1">
      <c r="A113" s="309"/>
      <c r="B113" s="310" t="s">
        <v>167</v>
      </c>
      <c r="C113" s="310" t="s">
        <v>168</v>
      </c>
      <c r="D113" s="363"/>
      <c r="E113" s="312"/>
      <c r="F113" s="363"/>
      <c r="G113" s="314">
        <v>79</v>
      </c>
      <c r="H113" s="315" t="s">
        <v>157</v>
      </c>
      <c r="I113" s="314" t="s">
        <v>132</v>
      </c>
      <c r="J113" s="310" t="s">
        <v>72</v>
      </c>
      <c r="K113" s="310">
        <v>4</v>
      </c>
      <c r="L113" s="310" t="s">
        <v>8</v>
      </c>
      <c r="M113" s="317" t="s">
        <v>65</v>
      </c>
      <c r="N113" s="319"/>
      <c r="O113" s="319"/>
      <c r="P113" s="319">
        <v>46245</v>
      </c>
      <c r="Q113" s="319">
        <f>WORKDAY.INTL(P113,INDEX(Q$8:Q$11,MATCH($L113,$L$8:$L$11,0)),1,IF(Q$18="China",'China Holidays'!$A$2:$A$82,'Thai Holidays'!$A$2:$A$63))</f>
        <v>46245</v>
      </c>
      <c r="R113" s="319">
        <f>WORKDAY.INTL(Q113,INDEX(R$8:R$11,MATCH($L113,$L$8:$L$11,0)),1,IF(R$18="China",'China Holidays'!$A$2:$A$82,'Thai Holidays'!$A$2:$A$63))</f>
        <v>46245</v>
      </c>
      <c r="S113" s="319">
        <f>WORKDAY.INTL(R113,INDEX(S$8:S$11,MATCH($L113,$L$8:$L$11,0)),1,IF(S$18="China",'China Holidays'!$A$2:$A$82,'Thai Holidays'!$A$2:$A$63))</f>
        <v>46245</v>
      </c>
      <c r="T113" s="319">
        <f>WORKDAY.INTL(S113,INDEX(T$8:T$11,MATCH($L113,$L$8:$L$11,0)),1,IF(T$18="China",'China Holidays'!$A$2:$A$82,'Thai Holidays'!$A$2:$A$63))</f>
        <v>46259</v>
      </c>
      <c r="U113" s="319">
        <f>WORKDAY.INTL(T113,INDEX(U$8:U$11,MATCH($L113,$L$8:$L$11,0)),1,IF(U$18="China",'China Holidays'!$A$2:$A$82,'Thai Holidays'!$A$2:$A$63))</f>
        <v>46276</v>
      </c>
      <c r="V113" s="319">
        <f>WORKDAY.INTL(U113,INDEX(V$8:V$11,MATCH($L113,$L$8:$L$11,0)),1,IF(V$18="China",'China Holidays'!$A$2:$A$82,'Thai Holidays'!$A$2:$A$63))</f>
        <v>46290</v>
      </c>
      <c r="W113" s="319"/>
      <c r="X113" s="319">
        <f>WORKDAY.INTL(V113,INDEX(X$8:X$11,MATCH($L113,$L$8:$L$11,0)),1,IF(X$18="China",'China Holidays'!$A$2:$A$82,'Thai Holidays'!$A$2:$A$63))</f>
        <v>46310</v>
      </c>
      <c r="Y113" s="319">
        <f>WORKDAY.INTL(X113,INDEX(Y$12:Y$15,MATCH($L113,$L$12:$L$15,0)),1,IF(Y$18="China",'China Holidays'!$A$2:$A$82,'Thai Holidays'!$A$2:$A$63))</f>
        <v>46314</v>
      </c>
      <c r="Z113" s="319">
        <f>WORKDAY.INTL(Y113,INDEX(Z$12:Z$15,MATCH($L113,$L$12:$L$15,0)),1,IF(Z$18="China",'China Holidays'!$A$2:$A$82,'Thai Holidays'!$A$2:$A$63))</f>
        <v>46321</v>
      </c>
      <c r="AA113" s="319">
        <f>WORKDAY.INTL(Z113,INDEX(AA$12:AA$15,MATCH($L113,$L$12:$L$15,0)),1,IF(AA$18="China",'China Holidays'!$A$2:$A$82,'Thai Holidays'!$A$2:$A$63))</f>
        <v>46342</v>
      </c>
      <c r="AB113" s="319">
        <f>WORKDAY.INTL(AA113,INDEX(AB$12:AB$15,MATCH($L113,$L$12:$L$15,0)),1,IF(AB$18="China",'China Holidays'!$A$2:$A$82,'Thai Holidays'!$A$2:$A$63))</f>
        <v>46356</v>
      </c>
      <c r="AC113" s="319">
        <f>AB113+15</f>
        <v>46371</v>
      </c>
      <c r="AD113" s="319">
        <f>AC113</f>
        <v>46371</v>
      </c>
      <c r="AE113" s="319">
        <f>AD113+2</f>
        <v>46373</v>
      </c>
      <c r="AF113" s="319">
        <f>AG113-14</f>
        <v>46415</v>
      </c>
      <c r="AG113" s="319">
        <f>AH113-7</f>
        <v>46429</v>
      </c>
      <c r="AH113" s="319">
        <f>AM113</f>
        <v>46436</v>
      </c>
      <c r="AI113" s="319">
        <f>AM113+14</f>
        <v>46450</v>
      </c>
      <c r="AJ113" s="319">
        <f>AM113+30</f>
        <v>46466</v>
      </c>
      <c r="AK113" s="343"/>
      <c r="AL113" s="321">
        <f>AK112*7</f>
        <v>126</v>
      </c>
      <c r="AM113" s="319">
        <f>IF(X113&lt;&gt;"",X113+AL113,X114+AL113)</f>
        <v>46436</v>
      </c>
      <c r="AN113" s="322">
        <f>AU112-7</f>
        <v>46478</v>
      </c>
      <c r="AO113" s="322">
        <f>AP113-7</f>
        <v>46498</v>
      </c>
      <c r="AP113" s="322">
        <v>46505</v>
      </c>
      <c r="AQ113" s="322" t="s">
        <v>134</v>
      </c>
      <c r="AR113" s="314">
        <f>AN113-AM113</f>
        <v>42</v>
      </c>
      <c r="AS113" s="323"/>
      <c r="AT113" s="324" t="s">
        <v>66</v>
      </c>
      <c r="AU113" s="325">
        <v>46485</v>
      </c>
      <c r="AV113" s="265"/>
    </row>
    <row r="114" spans="1:48" s="264" customFormat="1" ht="25.05" customHeight="1">
      <c r="A114" s="327"/>
      <c r="B114" s="328" t="s">
        <v>167</v>
      </c>
      <c r="C114" s="328" t="s">
        <v>168</v>
      </c>
      <c r="D114" s="364"/>
      <c r="E114" s="330"/>
      <c r="F114" s="364"/>
      <c r="G114" s="332"/>
      <c r="H114" s="333"/>
      <c r="I114" s="332" t="s">
        <v>132</v>
      </c>
      <c r="J114" s="328" t="s">
        <v>72</v>
      </c>
      <c r="K114" s="310">
        <v>4</v>
      </c>
      <c r="L114" s="328" t="s">
        <v>8</v>
      </c>
      <c r="M114" s="334" t="s">
        <v>67</v>
      </c>
      <c r="N114" s="335"/>
      <c r="O114" s="335">
        <v>46203</v>
      </c>
      <c r="P114" s="347">
        <v>46225</v>
      </c>
      <c r="Q114" s="347">
        <v>46225</v>
      </c>
      <c r="R114" s="335">
        <f>Q114</f>
        <v>46225</v>
      </c>
      <c r="S114" s="335"/>
      <c r="T114" s="335"/>
      <c r="U114" s="335"/>
      <c r="V114" s="335"/>
      <c r="W114" s="335"/>
      <c r="X114" s="332"/>
      <c r="Y114" s="335"/>
      <c r="Z114" s="335"/>
      <c r="AA114" s="335"/>
      <c r="AB114" s="335"/>
      <c r="AC114" s="335"/>
      <c r="AD114" s="335"/>
      <c r="AE114" s="335"/>
      <c r="AF114" s="335"/>
      <c r="AG114" s="335"/>
      <c r="AH114" s="335"/>
      <c r="AI114" s="335"/>
      <c r="AJ114" s="335"/>
      <c r="AK114" s="336"/>
      <c r="AL114" s="337"/>
      <c r="AM114" s="335"/>
      <c r="AN114" s="338"/>
      <c r="AO114" s="338"/>
      <c r="AP114" s="338"/>
      <c r="AQ114" s="338"/>
      <c r="AR114" s="332"/>
      <c r="AS114" s="339"/>
      <c r="AT114" s="340"/>
      <c r="AU114" s="339"/>
    </row>
    <row r="115" spans="1:48" s="264" customFormat="1" ht="25.05" customHeight="1">
      <c r="A115" s="309">
        <v>35</v>
      </c>
      <c r="B115" s="310" t="s">
        <v>169</v>
      </c>
      <c r="C115" s="310" t="s">
        <v>170</v>
      </c>
      <c r="D115" s="361"/>
      <c r="E115" s="312"/>
      <c r="F115" s="362"/>
      <c r="G115" s="314"/>
      <c r="H115" s="315"/>
      <c r="I115" s="314" t="s">
        <v>132</v>
      </c>
      <c r="J115" s="310"/>
      <c r="K115" s="316"/>
      <c r="L115" s="310" t="s">
        <v>8</v>
      </c>
      <c r="M115" s="317" t="s">
        <v>61</v>
      </c>
      <c r="N115" s="318"/>
      <c r="O115" s="319">
        <v>46239</v>
      </c>
      <c r="P115" s="319">
        <v>46254</v>
      </c>
      <c r="Q115" s="319">
        <v>46254</v>
      </c>
      <c r="R115" s="319">
        <v>46254</v>
      </c>
      <c r="S115" s="319">
        <v>46254</v>
      </c>
      <c r="T115" s="319">
        <v>46268</v>
      </c>
      <c r="U115" s="319">
        <v>46287</v>
      </c>
      <c r="V115" s="319">
        <v>46301</v>
      </c>
      <c r="W115" s="319"/>
      <c r="X115" s="319">
        <v>46316</v>
      </c>
      <c r="Y115" s="319">
        <v>46318</v>
      </c>
      <c r="Z115" s="319">
        <v>46325</v>
      </c>
      <c r="AA115" s="319">
        <v>46346</v>
      </c>
      <c r="AB115" s="319">
        <v>46360</v>
      </c>
      <c r="AC115" s="319">
        <v>46375</v>
      </c>
      <c r="AD115" s="319">
        <v>46375</v>
      </c>
      <c r="AE115" s="319">
        <v>46377</v>
      </c>
      <c r="AF115" s="319">
        <v>46421</v>
      </c>
      <c r="AG115" s="319">
        <v>46435</v>
      </c>
      <c r="AH115" s="319">
        <v>46442</v>
      </c>
      <c r="AI115" s="319">
        <v>46456</v>
      </c>
      <c r="AJ115" s="319">
        <v>46472</v>
      </c>
      <c r="AK115" s="320">
        <v>18</v>
      </c>
      <c r="AL115" s="321"/>
      <c r="AM115" s="319">
        <f>X115+AL116</f>
        <v>46442</v>
      </c>
      <c r="AN115" s="322"/>
      <c r="AO115" s="322"/>
      <c r="AP115" s="322"/>
      <c r="AQ115" s="322"/>
      <c r="AR115" s="314">
        <f>AN116-AM115</f>
        <v>36</v>
      </c>
      <c r="AS115" s="323"/>
      <c r="AT115" s="324" t="s">
        <v>62</v>
      </c>
      <c r="AU115" s="325">
        <v>46485</v>
      </c>
    </row>
    <row r="116" spans="1:48" s="264" customFormat="1" ht="25.05" customHeight="1">
      <c r="A116" s="309"/>
      <c r="B116" s="310" t="s">
        <v>169</v>
      </c>
      <c r="C116" s="310" t="s">
        <v>170</v>
      </c>
      <c r="D116" s="363"/>
      <c r="E116" s="312"/>
      <c r="F116" s="363"/>
      <c r="G116" s="314">
        <v>37</v>
      </c>
      <c r="H116" s="315" t="s">
        <v>171</v>
      </c>
      <c r="I116" s="314" t="s">
        <v>132</v>
      </c>
      <c r="J116" s="310" t="s">
        <v>72</v>
      </c>
      <c r="K116" s="310">
        <v>4</v>
      </c>
      <c r="L116" s="310" t="s">
        <v>8</v>
      </c>
      <c r="M116" s="317" t="s">
        <v>65</v>
      </c>
      <c r="N116" s="319"/>
      <c r="O116" s="319">
        <v>46239</v>
      </c>
      <c r="P116" s="319">
        <f>WORKDAY.INTL(O116,INDEX(P$8:P$11,MATCH($L116,$L$8:$L$11,0)),1,IF(P$18="China",'China Holidays'!$A$2:$A$82,'Thai Holidays'!$A$2:$A$63))</f>
        <v>46254</v>
      </c>
      <c r="Q116" s="319">
        <f>WORKDAY.INTL(P116,INDEX(Q$8:Q$11,MATCH($L116,$L$8:$L$11,0)),1,IF(Q$18="China",'China Holidays'!$A$2:$A$82,'Thai Holidays'!$A$2:$A$63))</f>
        <v>46254</v>
      </c>
      <c r="R116" s="319">
        <f>WORKDAY.INTL(Q116,INDEX(R$8:R$11,MATCH($L116,$L$8:$L$11,0)),1,IF(R$18="China",'China Holidays'!$A$2:$A$82,'Thai Holidays'!$A$2:$A$63))</f>
        <v>46254</v>
      </c>
      <c r="S116" s="319">
        <f>WORKDAY.INTL(R116,INDEX(S$8:S$11,MATCH($L116,$L$8:$L$11,0)),1,IF(S$18="China",'China Holidays'!$A$2:$A$82,'Thai Holidays'!$A$2:$A$63))</f>
        <v>46254</v>
      </c>
      <c r="T116" s="319">
        <f>WORKDAY.INTL(S116,INDEX(T$8:T$11,MATCH($L116,$L$8:$L$11,0)),1,IF(T$18="China",'China Holidays'!$A$2:$A$82,'Thai Holidays'!$A$2:$A$63))</f>
        <v>46268</v>
      </c>
      <c r="U116" s="319">
        <f>WORKDAY.INTL(T116,INDEX(U$8:U$11,MATCH($L116,$L$8:$L$11,0)),1,IF(U$18="China",'China Holidays'!$A$2:$A$82,'Thai Holidays'!$A$2:$A$63))</f>
        <v>46287</v>
      </c>
      <c r="V116" s="319">
        <f>WORKDAY.INTL(U116,INDEX(V$8:V$11,MATCH($L116,$L$8:$L$11,0)),1,IF(V$18="China",'China Holidays'!$A$2:$A$82,'Thai Holidays'!$A$2:$A$63))</f>
        <v>46301</v>
      </c>
      <c r="W116" s="319"/>
      <c r="X116" s="319">
        <f>WORKDAY.INTL(V116,INDEX(X$8:X$11,MATCH($L116,$L$8:$L$11,0)),1,IF(X$18="China",'China Holidays'!$A$2:$A$82,'Thai Holidays'!$A$2:$A$63))</f>
        <v>46315</v>
      </c>
      <c r="Y116" s="319">
        <f>WORKDAY.INTL(X116,INDEX(Y$12:Y$15,MATCH($L116,$L$12:$L$15,0)),1,IF(Y$18="China",'China Holidays'!$A$2:$A$82,'Thai Holidays'!$A$2:$A$63))</f>
        <v>46317</v>
      </c>
      <c r="Z116" s="319">
        <f>WORKDAY.INTL(Y116,INDEX(Z$12:Z$15,MATCH($L116,$L$12:$L$15,0)),1,IF(Z$18="China",'China Holidays'!$A$2:$A$82,'Thai Holidays'!$A$2:$A$63))</f>
        <v>46324</v>
      </c>
      <c r="AA116" s="319">
        <f>WORKDAY.INTL(Z116,INDEX(AA$12:AA$15,MATCH($L116,$L$12:$L$15,0)),1,IF(AA$18="China",'China Holidays'!$A$2:$A$82,'Thai Holidays'!$A$2:$A$63))</f>
        <v>46345</v>
      </c>
      <c r="AB116" s="319">
        <f>WORKDAY.INTL(AA116,INDEX(AB$12:AB$15,MATCH($L116,$L$12:$L$15,0)),1,IF(AB$18="China",'China Holidays'!$A$2:$A$82,'Thai Holidays'!$A$2:$A$63))</f>
        <v>46359</v>
      </c>
      <c r="AC116" s="319">
        <f>AB116+15</f>
        <v>46374</v>
      </c>
      <c r="AD116" s="319">
        <f>AC116</f>
        <v>46374</v>
      </c>
      <c r="AE116" s="319">
        <f>AD116+2</f>
        <v>46376</v>
      </c>
      <c r="AF116" s="319">
        <f>AG116-14</f>
        <v>46420</v>
      </c>
      <c r="AG116" s="319">
        <f>AH116-7</f>
        <v>46434</v>
      </c>
      <c r="AH116" s="319">
        <f>AM116</f>
        <v>46441</v>
      </c>
      <c r="AI116" s="319">
        <f>AM116+14</f>
        <v>46455</v>
      </c>
      <c r="AJ116" s="319">
        <f>AM116+30</f>
        <v>46471</v>
      </c>
      <c r="AK116" s="343"/>
      <c r="AL116" s="321">
        <f>AK115*7</f>
        <v>126</v>
      </c>
      <c r="AM116" s="319">
        <f>IF(X116&lt;&gt;"",X116+AL116,X117+AL116)</f>
        <v>46441</v>
      </c>
      <c r="AN116" s="322">
        <f>AU115-7</f>
        <v>46478</v>
      </c>
      <c r="AO116" s="322">
        <f>AP116-7</f>
        <v>46498</v>
      </c>
      <c r="AP116" s="322">
        <v>46505</v>
      </c>
      <c r="AQ116" s="322" t="s">
        <v>134</v>
      </c>
      <c r="AR116" s="314">
        <f>AN116-AM116</f>
        <v>37</v>
      </c>
      <c r="AS116" s="323"/>
      <c r="AT116" s="324" t="s">
        <v>66</v>
      </c>
      <c r="AU116" s="325">
        <v>46485</v>
      </c>
      <c r="AV116" s="265"/>
    </row>
    <row r="117" spans="1:48" s="264" customFormat="1" ht="25.05" customHeight="1">
      <c r="A117" s="327"/>
      <c r="B117" s="328" t="s">
        <v>169</v>
      </c>
      <c r="C117" s="328" t="s">
        <v>170</v>
      </c>
      <c r="D117" s="364"/>
      <c r="E117" s="330"/>
      <c r="F117" s="364"/>
      <c r="G117" s="332"/>
      <c r="H117" s="333"/>
      <c r="I117" s="332" t="s">
        <v>132</v>
      </c>
      <c r="J117" s="328" t="s">
        <v>72</v>
      </c>
      <c r="K117" s="310">
        <v>4</v>
      </c>
      <c r="L117" s="328" t="s">
        <v>8</v>
      </c>
      <c r="M117" s="334" t="s">
        <v>67</v>
      </c>
      <c r="N117" s="332"/>
      <c r="O117" s="335"/>
      <c r="P117" s="335"/>
      <c r="Q117" s="335"/>
      <c r="R117" s="335"/>
      <c r="S117" s="335"/>
      <c r="T117" s="335"/>
      <c r="U117" s="335"/>
      <c r="V117" s="335"/>
      <c r="W117" s="335"/>
      <c r="X117" s="332"/>
      <c r="Y117" s="335"/>
      <c r="Z117" s="335"/>
      <c r="AA117" s="335"/>
      <c r="AB117" s="335"/>
      <c r="AC117" s="335"/>
      <c r="AD117" s="335"/>
      <c r="AE117" s="335"/>
      <c r="AF117" s="335"/>
      <c r="AG117" s="335"/>
      <c r="AH117" s="335"/>
      <c r="AI117" s="335"/>
      <c r="AJ117" s="335"/>
      <c r="AK117" s="336"/>
      <c r="AL117" s="337"/>
      <c r="AM117" s="335"/>
      <c r="AN117" s="338"/>
      <c r="AO117" s="338"/>
      <c r="AP117" s="338"/>
      <c r="AQ117" s="338"/>
      <c r="AR117" s="332"/>
      <c r="AS117" s="339"/>
      <c r="AT117" s="340"/>
      <c r="AU117" s="339"/>
    </row>
    <row r="118" spans="1:48" s="264" customFormat="1" ht="25.05" customHeight="1">
      <c r="A118" s="309">
        <v>36</v>
      </c>
      <c r="B118" s="310" t="s">
        <v>172</v>
      </c>
      <c r="C118" s="310" t="s">
        <v>173</v>
      </c>
      <c r="D118" s="361"/>
      <c r="E118" s="312"/>
      <c r="F118" s="362"/>
      <c r="G118" s="314"/>
      <c r="H118" s="315"/>
      <c r="I118" s="314" t="s">
        <v>132</v>
      </c>
      <c r="J118" s="310"/>
      <c r="K118" s="316"/>
      <c r="L118" s="310" t="s">
        <v>8</v>
      </c>
      <c r="M118" s="317" t="s">
        <v>61</v>
      </c>
      <c r="N118" s="318"/>
      <c r="O118" s="319">
        <v>46227</v>
      </c>
      <c r="P118" s="319">
        <v>46245</v>
      </c>
      <c r="Q118" s="319">
        <v>46245</v>
      </c>
      <c r="R118" s="319">
        <v>46237</v>
      </c>
      <c r="S118" s="319">
        <v>46238</v>
      </c>
      <c r="T118" s="319">
        <v>46251</v>
      </c>
      <c r="U118" s="319">
        <v>46276</v>
      </c>
      <c r="V118" s="319">
        <v>46290</v>
      </c>
      <c r="W118" s="319"/>
      <c r="X118" s="319">
        <v>46310</v>
      </c>
      <c r="Y118" s="319">
        <v>46294</v>
      </c>
      <c r="Z118" s="319">
        <v>46308</v>
      </c>
      <c r="AA118" s="319">
        <v>46342</v>
      </c>
      <c r="AB118" s="319">
        <v>46356</v>
      </c>
      <c r="AC118" s="319">
        <v>46371</v>
      </c>
      <c r="AD118" s="319">
        <v>46357</v>
      </c>
      <c r="AE118" s="319">
        <v>46359</v>
      </c>
      <c r="AF118" s="319">
        <v>46443</v>
      </c>
      <c r="AG118" s="319">
        <v>46457</v>
      </c>
      <c r="AH118" s="319">
        <v>46464</v>
      </c>
      <c r="AI118" s="319">
        <v>46478</v>
      </c>
      <c r="AJ118" s="319">
        <v>46494</v>
      </c>
      <c r="AK118" s="320">
        <v>22</v>
      </c>
      <c r="AL118" s="321"/>
      <c r="AM118" s="319">
        <f>X118+AL119</f>
        <v>46464</v>
      </c>
      <c r="AN118" s="322"/>
      <c r="AO118" s="322"/>
      <c r="AP118" s="322"/>
      <c r="AQ118" s="322"/>
      <c r="AR118" s="314">
        <f>AN119-AM118</f>
        <v>14</v>
      </c>
      <c r="AS118" s="323"/>
      <c r="AT118" s="324" t="s">
        <v>62</v>
      </c>
      <c r="AU118" s="325">
        <v>46485</v>
      </c>
    </row>
    <row r="119" spans="1:48" s="264" customFormat="1" ht="25.05" customHeight="1">
      <c r="A119" s="309"/>
      <c r="B119" s="310" t="s">
        <v>172</v>
      </c>
      <c r="C119" s="310" t="s">
        <v>173</v>
      </c>
      <c r="D119" s="363"/>
      <c r="E119" s="312"/>
      <c r="F119" s="363"/>
      <c r="G119" s="314">
        <v>35</v>
      </c>
      <c r="H119" s="315" t="s">
        <v>157</v>
      </c>
      <c r="I119" s="314" t="s">
        <v>132</v>
      </c>
      <c r="J119" s="310" t="s">
        <v>72</v>
      </c>
      <c r="K119" s="310">
        <v>4</v>
      </c>
      <c r="L119" s="310" t="s">
        <v>8</v>
      </c>
      <c r="M119" s="317" t="s">
        <v>65</v>
      </c>
      <c r="N119" s="319"/>
      <c r="O119" s="319"/>
      <c r="P119" s="319">
        <v>46245</v>
      </c>
      <c r="Q119" s="319">
        <f>WORKDAY.INTL(P119,INDEX(Q$8:Q$11,MATCH($L119,$L$8:$L$11,0)),1,IF(Q$18="China",'China Holidays'!$A$2:$A$82,'Thai Holidays'!$A$2:$A$63))</f>
        <v>46245</v>
      </c>
      <c r="R119" s="319">
        <f>WORKDAY.INTL(Q119,INDEX(R$8:R$11,MATCH($L119,$L$8:$L$11,0)),1,IF(R$18="China",'China Holidays'!$A$2:$A$82,'Thai Holidays'!$A$2:$A$63))</f>
        <v>46245</v>
      </c>
      <c r="S119" s="319">
        <f>WORKDAY.INTL(R119,INDEX(S$8:S$11,MATCH($L119,$L$8:$L$11,0)),1,IF(S$18="China",'China Holidays'!$A$2:$A$82,'Thai Holidays'!$A$2:$A$63))</f>
        <v>46245</v>
      </c>
      <c r="T119" s="319">
        <f>WORKDAY.INTL(S119,INDEX(T$8:T$11,MATCH($L119,$L$8:$L$11,0)),1,IF(T$18="China",'China Holidays'!$A$2:$A$82,'Thai Holidays'!$A$2:$A$63))</f>
        <v>46259</v>
      </c>
      <c r="U119" s="319">
        <f>WORKDAY.INTL(T119,INDEX(U$8:U$11,MATCH($L119,$L$8:$L$11,0)),1,IF(U$18="China",'China Holidays'!$A$2:$A$82,'Thai Holidays'!$A$2:$A$63))</f>
        <v>46276</v>
      </c>
      <c r="V119" s="319">
        <f>WORKDAY.INTL(U119,INDEX(V$8:V$11,MATCH($L119,$L$8:$L$11,0)),1,IF(V$18="China",'China Holidays'!$A$2:$A$82,'Thai Holidays'!$A$2:$A$63))</f>
        <v>46290</v>
      </c>
      <c r="W119" s="319"/>
      <c r="X119" s="319">
        <f>WORKDAY.INTL(V119,INDEX(X$8:X$11,MATCH($L119,$L$8:$L$11,0)),1,IF(X$18="China",'China Holidays'!$A$2:$A$82,'Thai Holidays'!$A$2:$A$63))</f>
        <v>46310</v>
      </c>
      <c r="Y119" s="319">
        <f>WORKDAY.INTL(X119,INDEX(Y$12:Y$15,MATCH($L119,$L$12:$L$15,0)),1,IF(Y$18="China",'China Holidays'!$A$2:$A$82,'Thai Holidays'!$A$2:$A$63))</f>
        <v>46314</v>
      </c>
      <c r="Z119" s="319">
        <f>WORKDAY.INTL(Y119,INDEX(Z$12:Z$15,MATCH($L119,$L$12:$L$15,0)),1,IF(Z$18="China",'China Holidays'!$A$2:$A$82,'Thai Holidays'!$A$2:$A$63))</f>
        <v>46321</v>
      </c>
      <c r="AA119" s="319">
        <f>WORKDAY.INTL(Z119,INDEX(AA$12:AA$15,MATCH($L119,$L$12:$L$15,0)),1,IF(AA$18="China",'China Holidays'!$A$2:$A$82,'Thai Holidays'!$A$2:$A$63))</f>
        <v>46342</v>
      </c>
      <c r="AB119" s="319">
        <f>WORKDAY.INTL(AA119,INDEX(AB$12:AB$15,MATCH($L119,$L$12:$L$15,0)),1,IF(AB$18="China",'China Holidays'!$A$2:$A$82,'Thai Holidays'!$A$2:$A$63))</f>
        <v>46356</v>
      </c>
      <c r="AC119" s="319">
        <f>AB119+15</f>
        <v>46371</v>
      </c>
      <c r="AD119" s="319">
        <f>AC119</f>
        <v>46371</v>
      </c>
      <c r="AE119" s="319">
        <f>AD119+2</f>
        <v>46373</v>
      </c>
      <c r="AF119" s="319">
        <f>AG119-14</f>
        <v>46443</v>
      </c>
      <c r="AG119" s="319">
        <f>AH119-7</f>
        <v>46457</v>
      </c>
      <c r="AH119" s="319">
        <f>AM119</f>
        <v>46464</v>
      </c>
      <c r="AI119" s="319">
        <f>AM119+14</f>
        <v>46478</v>
      </c>
      <c r="AJ119" s="319">
        <f>AM119+30</f>
        <v>46494</v>
      </c>
      <c r="AK119" s="343"/>
      <c r="AL119" s="321">
        <f>AK118*7</f>
        <v>154</v>
      </c>
      <c r="AM119" s="319">
        <f>IF(X119&lt;&gt;"",X119+AL119,X120+AL119)</f>
        <v>46464</v>
      </c>
      <c r="AN119" s="322">
        <f>AU118-7</f>
        <v>46478</v>
      </c>
      <c r="AO119" s="322">
        <f>AP119-7</f>
        <v>46498</v>
      </c>
      <c r="AP119" s="322">
        <v>46505</v>
      </c>
      <c r="AQ119" s="322" t="s">
        <v>134</v>
      </c>
      <c r="AR119" s="314">
        <f>AN119-AM119</f>
        <v>14</v>
      </c>
      <c r="AS119" s="323"/>
      <c r="AT119" s="324" t="s">
        <v>66</v>
      </c>
      <c r="AU119" s="325">
        <v>46485</v>
      </c>
      <c r="AV119" s="265"/>
    </row>
    <row r="120" spans="1:48" s="264" customFormat="1" ht="25.05" customHeight="1">
      <c r="A120" s="327"/>
      <c r="B120" s="328" t="s">
        <v>172</v>
      </c>
      <c r="C120" s="328" t="s">
        <v>173</v>
      </c>
      <c r="D120" s="364"/>
      <c r="E120" s="330"/>
      <c r="F120" s="364"/>
      <c r="G120" s="332"/>
      <c r="H120" s="333"/>
      <c r="I120" s="332" t="s">
        <v>132</v>
      </c>
      <c r="J120" s="328" t="s">
        <v>72</v>
      </c>
      <c r="K120" s="310">
        <v>4</v>
      </c>
      <c r="L120" s="328" t="s">
        <v>8</v>
      </c>
      <c r="M120" s="334" t="s">
        <v>67</v>
      </c>
      <c r="N120" s="332"/>
      <c r="O120" s="335">
        <v>46206</v>
      </c>
      <c r="P120" s="347">
        <v>46225</v>
      </c>
      <c r="Q120" s="347">
        <v>46225</v>
      </c>
      <c r="R120" s="335">
        <f>Q120</f>
        <v>46225</v>
      </c>
      <c r="S120" s="335"/>
      <c r="T120" s="335"/>
      <c r="U120" s="335"/>
      <c r="V120" s="335"/>
      <c r="W120" s="335"/>
      <c r="X120" s="332"/>
      <c r="Y120" s="335"/>
      <c r="Z120" s="335"/>
      <c r="AA120" s="335"/>
      <c r="AB120" s="335"/>
      <c r="AC120" s="335"/>
      <c r="AD120" s="335"/>
      <c r="AE120" s="335"/>
      <c r="AF120" s="335"/>
      <c r="AG120" s="335"/>
      <c r="AH120" s="335"/>
      <c r="AI120" s="335"/>
      <c r="AJ120" s="335"/>
      <c r="AK120" s="336"/>
      <c r="AL120" s="337"/>
      <c r="AM120" s="335"/>
      <c r="AN120" s="338"/>
      <c r="AO120" s="338"/>
      <c r="AP120" s="338"/>
      <c r="AQ120" s="338"/>
      <c r="AR120" s="332"/>
      <c r="AS120" s="339"/>
      <c r="AT120" s="340"/>
      <c r="AU120" s="339"/>
    </row>
    <row r="121" spans="1:48" s="264" customFormat="1" ht="25.05" customHeight="1">
      <c r="A121" s="309">
        <v>37</v>
      </c>
      <c r="B121" s="310" t="s">
        <v>174</v>
      </c>
      <c r="C121" s="310" t="s">
        <v>175</v>
      </c>
      <c r="D121" s="311"/>
      <c r="E121" s="312"/>
      <c r="F121" s="313"/>
      <c r="G121" s="314"/>
      <c r="H121" s="315"/>
      <c r="I121" s="314" t="s">
        <v>132</v>
      </c>
      <c r="J121" s="310"/>
      <c r="K121" s="316"/>
      <c r="L121" s="310" t="s">
        <v>7</v>
      </c>
      <c r="M121" s="317" t="s">
        <v>61</v>
      </c>
      <c r="N121" s="318"/>
      <c r="O121" s="319">
        <v>46161</v>
      </c>
      <c r="P121" s="319">
        <v>46168</v>
      </c>
      <c r="Q121" s="319">
        <v>46169</v>
      </c>
      <c r="R121" s="319">
        <v>46178</v>
      </c>
      <c r="S121" s="319">
        <v>46179</v>
      </c>
      <c r="T121" s="319">
        <v>46195</v>
      </c>
      <c r="U121" s="319">
        <v>46223</v>
      </c>
      <c r="V121" s="319">
        <v>46226</v>
      </c>
      <c r="W121" s="319"/>
      <c r="X121" s="319">
        <v>46240</v>
      </c>
      <c r="Y121" s="319">
        <v>46244</v>
      </c>
      <c r="Z121" s="319">
        <v>46251</v>
      </c>
      <c r="AA121" s="319">
        <v>46279</v>
      </c>
      <c r="AB121" s="319">
        <v>46293</v>
      </c>
      <c r="AC121" s="319">
        <v>46308</v>
      </c>
      <c r="AD121" s="319">
        <v>46308</v>
      </c>
      <c r="AE121" s="319">
        <v>46310</v>
      </c>
      <c r="AF121" s="319">
        <v>46448</v>
      </c>
      <c r="AG121" s="319">
        <v>46478</v>
      </c>
      <c r="AH121" s="319">
        <v>46492</v>
      </c>
      <c r="AI121" s="319">
        <v>46506</v>
      </c>
      <c r="AJ121" s="319">
        <v>46522</v>
      </c>
      <c r="AK121" s="320">
        <v>36</v>
      </c>
      <c r="AL121" s="321"/>
      <c r="AM121" s="319">
        <f>X121+AL122</f>
        <v>46492</v>
      </c>
      <c r="AN121" s="322"/>
      <c r="AO121" s="322"/>
      <c r="AP121" s="322"/>
      <c r="AQ121" s="322"/>
      <c r="AR121" s="314">
        <f>AN122-AM121</f>
        <v>8</v>
      </c>
      <c r="AS121" s="323"/>
      <c r="AT121" s="324" t="s">
        <v>62</v>
      </c>
      <c r="AU121" s="325">
        <v>46507</v>
      </c>
    </row>
    <row r="122" spans="1:48" s="264" customFormat="1" ht="25.05" customHeight="1">
      <c r="A122" s="309"/>
      <c r="B122" s="310" t="s">
        <v>174</v>
      </c>
      <c r="C122" s="310" t="s">
        <v>175</v>
      </c>
      <c r="D122" s="311"/>
      <c r="E122" s="312"/>
      <c r="F122" s="342"/>
      <c r="G122" s="314">
        <v>8</v>
      </c>
      <c r="H122" s="315" t="s">
        <v>176</v>
      </c>
      <c r="I122" s="314" t="s">
        <v>132</v>
      </c>
      <c r="J122" s="310" t="s">
        <v>72</v>
      </c>
      <c r="K122" s="310">
        <v>2</v>
      </c>
      <c r="L122" s="310" t="s">
        <v>7</v>
      </c>
      <c r="M122" s="317" t="s">
        <v>65</v>
      </c>
      <c r="N122" s="319"/>
      <c r="O122" s="319"/>
      <c r="P122" s="319"/>
      <c r="Q122" s="319"/>
      <c r="R122" s="319"/>
      <c r="S122" s="319"/>
      <c r="T122" s="319"/>
      <c r="U122" s="319"/>
      <c r="V122" s="319"/>
      <c r="W122" s="319"/>
      <c r="X122" s="319">
        <v>46240</v>
      </c>
      <c r="Y122" s="319">
        <f>WORKDAY.INTL(X122,INDEX(Y$12:Y$15,MATCH($L122,$L$12:$L$15,0)),1,IF(Y$18="China",'China Holidays'!$A$2:$A$82,'Thai Holidays'!$A$2:$A$63))</f>
        <v>46244</v>
      </c>
      <c r="Z122" s="319">
        <f>WORKDAY.INTL(Y122,INDEX(Z$12:Z$15,MATCH($L122,$L$12:$L$15,0)),1,IF(Z$18="China",'China Holidays'!$A$2:$A$82,'Thai Holidays'!$A$2:$A$63))</f>
        <v>46251</v>
      </c>
      <c r="AA122" s="319">
        <f>WORKDAY.INTL(Z122,INDEX(AA$12:AA$15,MATCH($L122,$L$12:$L$15,0)),1,IF(AA$18="China",'China Holidays'!$A$2:$A$82,'Thai Holidays'!$A$2:$A$63))</f>
        <v>46279</v>
      </c>
      <c r="AB122" s="319">
        <f>WORKDAY.INTL(AA122,INDEX(AB$12:AB$15,MATCH($L122,$L$12:$L$15,0)),1,IF(AB$18="China",'China Holidays'!$A$2:$A$82,'Thai Holidays'!$A$2:$A$63))</f>
        <v>46293</v>
      </c>
      <c r="AC122" s="319">
        <f>AB122+15</f>
        <v>46308</v>
      </c>
      <c r="AD122" s="319">
        <f>AC122</f>
        <v>46308</v>
      </c>
      <c r="AE122" s="319">
        <f>AD122+2</f>
        <v>46310</v>
      </c>
      <c r="AF122" s="319">
        <f>AG122-30</f>
        <v>46448</v>
      </c>
      <c r="AG122" s="319">
        <f>AH122-14</f>
        <v>46478</v>
      </c>
      <c r="AH122" s="319">
        <f>AM122</f>
        <v>46492</v>
      </c>
      <c r="AI122" s="319">
        <f>AM122+14</f>
        <v>46506</v>
      </c>
      <c r="AJ122" s="319">
        <f>AM122+30</f>
        <v>46522</v>
      </c>
      <c r="AK122" s="343"/>
      <c r="AL122" s="321">
        <f>AK121*7</f>
        <v>252</v>
      </c>
      <c r="AM122" s="319">
        <f>IF(X122&lt;&gt;"",X122+AL122,X123+AL122)</f>
        <v>46492</v>
      </c>
      <c r="AN122" s="322">
        <f>AU121-7</f>
        <v>46500</v>
      </c>
      <c r="AO122" s="322">
        <f>AP122-7</f>
        <v>46498</v>
      </c>
      <c r="AP122" s="322">
        <v>46505</v>
      </c>
      <c r="AQ122" s="322"/>
      <c r="AR122" s="314">
        <f>AN122-AM122</f>
        <v>8</v>
      </c>
      <c r="AS122" s="323"/>
      <c r="AT122" s="324" t="s">
        <v>66</v>
      </c>
      <c r="AU122" s="325">
        <v>46507</v>
      </c>
      <c r="AV122" s="265"/>
    </row>
    <row r="123" spans="1:48" s="264" customFormat="1" ht="25.05" customHeight="1">
      <c r="A123" s="327"/>
      <c r="B123" s="328" t="s">
        <v>174</v>
      </c>
      <c r="C123" s="328" t="s">
        <v>175</v>
      </c>
      <c r="D123" s="329"/>
      <c r="E123" s="330"/>
      <c r="F123" s="344"/>
      <c r="G123" s="332"/>
      <c r="H123" s="333"/>
      <c r="I123" s="332" t="s">
        <v>132</v>
      </c>
      <c r="J123" s="328" t="s">
        <v>72</v>
      </c>
      <c r="K123" s="310">
        <v>2</v>
      </c>
      <c r="L123" s="328" t="s">
        <v>7</v>
      </c>
      <c r="M123" s="334" t="s">
        <v>67</v>
      </c>
      <c r="N123" s="335">
        <v>46133</v>
      </c>
      <c r="O123" s="335">
        <v>46165</v>
      </c>
      <c r="P123" s="335">
        <v>46182</v>
      </c>
      <c r="Q123" s="335">
        <v>46182</v>
      </c>
      <c r="R123" s="335">
        <v>46182</v>
      </c>
      <c r="S123" s="335">
        <v>46182</v>
      </c>
      <c r="T123" s="335">
        <v>46188</v>
      </c>
      <c r="U123" s="335">
        <v>46213</v>
      </c>
      <c r="V123" s="335">
        <v>46219</v>
      </c>
      <c r="W123" s="335"/>
      <c r="X123" s="332"/>
      <c r="Y123" s="335"/>
      <c r="Z123" s="335"/>
      <c r="AA123" s="335"/>
      <c r="AB123" s="335"/>
      <c r="AC123" s="335"/>
      <c r="AD123" s="335"/>
      <c r="AE123" s="335"/>
      <c r="AF123" s="335"/>
      <c r="AG123" s="335"/>
      <c r="AH123" s="335"/>
      <c r="AI123" s="335"/>
      <c r="AJ123" s="335"/>
      <c r="AK123" s="336"/>
      <c r="AL123" s="337"/>
      <c r="AM123" s="335"/>
      <c r="AN123" s="338"/>
      <c r="AO123" s="338"/>
      <c r="AP123" s="338"/>
      <c r="AQ123" s="338"/>
      <c r="AR123" s="332"/>
      <c r="AS123" s="339"/>
      <c r="AT123" s="340"/>
      <c r="AU123" s="339"/>
    </row>
    <row r="124" spans="1:48" s="264" customFormat="1" ht="25.05" customHeight="1">
      <c r="A124" s="309">
        <v>38</v>
      </c>
      <c r="B124" s="310" t="s">
        <v>177</v>
      </c>
      <c r="C124" s="310" t="s">
        <v>178</v>
      </c>
      <c r="D124" s="361"/>
      <c r="E124" s="312"/>
      <c r="F124" s="362"/>
      <c r="G124" s="314"/>
      <c r="H124" s="315"/>
      <c r="I124" s="314" t="s">
        <v>132</v>
      </c>
      <c r="J124" s="310"/>
      <c r="K124" s="316"/>
      <c r="L124" s="310" t="s">
        <v>8</v>
      </c>
      <c r="M124" s="317" t="s">
        <v>61</v>
      </c>
      <c r="N124" s="318"/>
      <c r="O124" s="319">
        <v>46244</v>
      </c>
      <c r="P124" s="319">
        <v>46258</v>
      </c>
      <c r="Q124" s="319">
        <v>46258</v>
      </c>
      <c r="R124" s="319">
        <v>46260</v>
      </c>
      <c r="S124" s="319">
        <v>46261</v>
      </c>
      <c r="T124" s="319">
        <v>46274</v>
      </c>
      <c r="U124" s="319">
        <v>46289</v>
      </c>
      <c r="V124" s="319">
        <v>46303</v>
      </c>
      <c r="W124" s="319"/>
      <c r="X124" s="319">
        <v>46316</v>
      </c>
      <c r="Y124" s="319">
        <v>46318</v>
      </c>
      <c r="Z124" s="319">
        <v>46325</v>
      </c>
      <c r="AA124" s="319">
        <v>46346</v>
      </c>
      <c r="AB124" s="319">
        <v>46360</v>
      </c>
      <c r="AC124" s="319">
        <v>46375</v>
      </c>
      <c r="AD124" s="319">
        <v>46375</v>
      </c>
      <c r="AE124" s="319">
        <v>46377</v>
      </c>
      <c r="AF124" s="319">
        <v>46426</v>
      </c>
      <c r="AG124" s="319">
        <v>46440</v>
      </c>
      <c r="AH124" s="319">
        <v>46447</v>
      </c>
      <c r="AI124" s="319">
        <v>46461</v>
      </c>
      <c r="AJ124" s="319">
        <v>46477</v>
      </c>
      <c r="AK124" s="320">
        <v>18.714285714285701</v>
      </c>
      <c r="AL124" s="321"/>
      <c r="AM124" s="319">
        <f>X124+AL125</f>
        <v>46447</v>
      </c>
      <c r="AN124" s="322"/>
      <c r="AO124" s="322"/>
      <c r="AP124" s="322"/>
      <c r="AQ124" s="322"/>
      <c r="AR124" s="314">
        <f>AN125-AM124</f>
        <v>31</v>
      </c>
      <c r="AS124" s="323"/>
      <c r="AT124" s="324" t="s">
        <v>62</v>
      </c>
      <c r="AU124" s="325">
        <v>46485</v>
      </c>
    </row>
    <row r="125" spans="1:48" s="264" customFormat="1" ht="25.05" customHeight="1">
      <c r="A125" s="309"/>
      <c r="B125" s="310" t="s">
        <v>177</v>
      </c>
      <c r="C125" s="310" t="s">
        <v>178</v>
      </c>
      <c r="D125" s="363"/>
      <c r="E125" s="312"/>
      <c r="F125" s="363"/>
      <c r="G125" s="314">
        <v>31</v>
      </c>
      <c r="H125" s="315" t="s">
        <v>179</v>
      </c>
      <c r="I125" s="314" t="s">
        <v>132</v>
      </c>
      <c r="J125" s="310" t="s">
        <v>72</v>
      </c>
      <c r="K125" s="310">
        <v>4</v>
      </c>
      <c r="L125" s="310" t="s">
        <v>8</v>
      </c>
      <c r="M125" s="317" t="s">
        <v>65</v>
      </c>
      <c r="N125" s="319"/>
      <c r="O125" s="319">
        <v>46243</v>
      </c>
      <c r="P125" s="319">
        <f>WORKDAY.INTL(O125,INDEX(P$8:P$11,MATCH($L125,$L$8:$L$11,0)),1,IF(P$18="China",'China Holidays'!$A$2:$A$82,'Thai Holidays'!$A$2:$A$63))</f>
        <v>46258</v>
      </c>
      <c r="Q125" s="319">
        <f>WORKDAY.INTL(P125,INDEX(Q$8:Q$11,MATCH($L125,$L$8:$L$11,0)),1,IF(Q$18="China",'China Holidays'!$A$2:$A$82,'Thai Holidays'!$A$2:$A$63))</f>
        <v>46258</v>
      </c>
      <c r="R125" s="319">
        <f>WORKDAY.INTL(Q125,INDEX(R$8:R$11,MATCH($L125,$L$8:$L$11,0)),1,IF(R$18="China",'China Holidays'!$A$2:$A$82,'Thai Holidays'!$A$2:$A$63))</f>
        <v>46258</v>
      </c>
      <c r="S125" s="319">
        <f>WORKDAY.INTL(R125,INDEX(S$8:S$11,MATCH($L125,$L$8:$L$11,0)),1,IF(S$18="China",'China Holidays'!$A$2:$A$82,'Thai Holidays'!$A$2:$A$63))</f>
        <v>46258</v>
      </c>
      <c r="T125" s="319">
        <f>WORKDAY.INTL(S125,INDEX(T$8:T$11,MATCH($L125,$L$8:$L$11,0)),1,IF(T$18="China",'China Holidays'!$A$2:$A$82,'Thai Holidays'!$A$2:$A$63))</f>
        <v>46272</v>
      </c>
      <c r="U125" s="319">
        <f>WORKDAY.INTL(T125,INDEX(U$8:U$11,MATCH($L125,$L$8:$L$11,0)),1,IF(U$18="China",'China Holidays'!$A$2:$A$82,'Thai Holidays'!$A$2:$A$63))</f>
        <v>46289</v>
      </c>
      <c r="V125" s="319">
        <f>WORKDAY.INTL(U125,INDEX(V$8:V$11,MATCH($L125,$L$8:$L$11,0)),1,IF(V$18="China",'China Holidays'!$A$2:$A$82,'Thai Holidays'!$A$2:$A$63))</f>
        <v>46303</v>
      </c>
      <c r="W125" s="319"/>
      <c r="X125" s="319">
        <f>WORKDAY.INTL(V125,INDEX(X$8:X$11,MATCH($L125,$L$8:$L$11,0)),1,IF(X$18="China",'China Holidays'!$A$2:$A$82,'Thai Holidays'!$A$2:$A$63))</f>
        <v>46316</v>
      </c>
      <c r="Y125" s="319">
        <f>WORKDAY.INTL(X125,INDEX(Y$12:Y$15,MATCH($L125,$L$12:$L$15,0)),1,IF(Y$18="China",'China Holidays'!$A$2:$A$82,'Thai Holidays'!$A$2:$A$63))</f>
        <v>46318</v>
      </c>
      <c r="Z125" s="319">
        <f>WORKDAY.INTL(Y125,INDEX(Z$12:Z$15,MATCH($L125,$L$12:$L$15,0)),1,IF(Z$18="China",'China Holidays'!$A$2:$A$82,'Thai Holidays'!$A$2:$A$63))</f>
        <v>46325</v>
      </c>
      <c r="AA125" s="319">
        <f>WORKDAY.INTL(Z125,INDEX(AA$12:AA$15,MATCH($L125,$L$12:$L$15,0)),1,IF(AA$18="China",'China Holidays'!$A$2:$A$82,'Thai Holidays'!$A$2:$A$63))</f>
        <v>46346</v>
      </c>
      <c r="AB125" s="319">
        <f>WORKDAY.INTL(AA125,INDEX(AB$12:AB$15,MATCH($L125,$L$12:$L$15,0)),1,IF(AB$18="China",'China Holidays'!$A$2:$A$82,'Thai Holidays'!$A$2:$A$63))</f>
        <v>46360</v>
      </c>
      <c r="AC125" s="319">
        <f>AB125+15</f>
        <v>46375</v>
      </c>
      <c r="AD125" s="319">
        <f>AC125</f>
        <v>46375</v>
      </c>
      <c r="AE125" s="319">
        <f>AD125+2</f>
        <v>46377</v>
      </c>
      <c r="AF125" s="319">
        <f>AG125-14</f>
        <v>46426</v>
      </c>
      <c r="AG125" s="319">
        <f>AH125-7</f>
        <v>46440</v>
      </c>
      <c r="AH125" s="319">
        <f>AM125</f>
        <v>46447</v>
      </c>
      <c r="AI125" s="319">
        <f>AM125+14</f>
        <v>46461</v>
      </c>
      <c r="AJ125" s="319">
        <f>AM125+30</f>
        <v>46477</v>
      </c>
      <c r="AK125" s="343"/>
      <c r="AL125" s="321">
        <f>AK124*7</f>
        <v>130.99999999999991</v>
      </c>
      <c r="AM125" s="319">
        <f>IF(X125&lt;&gt;"",X125+AL125,X126+AL125)</f>
        <v>46447</v>
      </c>
      <c r="AN125" s="322">
        <f>AU124-7</f>
        <v>46478</v>
      </c>
      <c r="AO125" s="322">
        <f>AP125-7</f>
        <v>46485</v>
      </c>
      <c r="AP125" s="322">
        <v>46492</v>
      </c>
      <c r="AQ125" s="322"/>
      <c r="AR125" s="314">
        <f>AN125-AM125</f>
        <v>31</v>
      </c>
      <c r="AS125" s="323"/>
      <c r="AT125" s="324" t="s">
        <v>66</v>
      </c>
      <c r="AU125" s="325">
        <v>46485</v>
      </c>
      <c r="AV125" s="265"/>
    </row>
    <row r="126" spans="1:48" s="264" customFormat="1" ht="25.05" customHeight="1">
      <c r="A126" s="327"/>
      <c r="B126" s="328" t="s">
        <v>177</v>
      </c>
      <c r="C126" s="328" t="s">
        <v>178</v>
      </c>
      <c r="D126" s="364"/>
      <c r="E126" s="330"/>
      <c r="F126" s="364"/>
      <c r="G126" s="332"/>
      <c r="H126" s="333"/>
      <c r="I126" s="332" t="s">
        <v>132</v>
      </c>
      <c r="J126" s="328" t="s">
        <v>72</v>
      </c>
      <c r="K126" s="310">
        <v>4</v>
      </c>
      <c r="L126" s="328" t="s">
        <v>8</v>
      </c>
      <c r="M126" s="334" t="s">
        <v>67</v>
      </c>
      <c r="N126" s="332"/>
      <c r="O126" s="335"/>
      <c r="P126" s="335"/>
      <c r="Q126" s="335"/>
      <c r="R126" s="335"/>
      <c r="S126" s="335"/>
      <c r="T126" s="335"/>
      <c r="U126" s="335"/>
      <c r="V126" s="335"/>
      <c r="W126" s="335"/>
      <c r="X126" s="332"/>
      <c r="Y126" s="335"/>
      <c r="Z126" s="335"/>
      <c r="AA126" s="335"/>
      <c r="AB126" s="335"/>
      <c r="AC126" s="335"/>
      <c r="AD126" s="335"/>
      <c r="AE126" s="335"/>
      <c r="AF126" s="335"/>
      <c r="AG126" s="335"/>
      <c r="AH126" s="335"/>
      <c r="AI126" s="335"/>
      <c r="AJ126" s="335"/>
      <c r="AK126" s="336"/>
      <c r="AL126" s="337"/>
      <c r="AM126" s="335"/>
      <c r="AN126" s="338"/>
      <c r="AO126" s="338"/>
      <c r="AP126" s="338"/>
      <c r="AQ126" s="338"/>
      <c r="AR126" s="332"/>
      <c r="AS126" s="339"/>
      <c r="AT126" s="340"/>
      <c r="AU126" s="339"/>
    </row>
    <row r="127" spans="1:48" s="266" customFormat="1" ht="25.05" customHeight="1">
      <c r="A127" s="365">
        <v>39</v>
      </c>
      <c r="B127" s="366" t="s">
        <v>180</v>
      </c>
      <c r="C127" s="367" t="s">
        <v>181</v>
      </c>
      <c r="D127" s="361"/>
      <c r="E127" s="312"/>
      <c r="F127" s="362"/>
      <c r="G127" s="314"/>
      <c r="H127" s="315"/>
      <c r="I127" s="368" t="s">
        <v>132</v>
      </c>
      <c r="J127" s="310"/>
      <c r="K127" s="316"/>
      <c r="L127" s="367" t="s">
        <v>8</v>
      </c>
      <c r="M127" s="369" t="s">
        <v>61</v>
      </c>
      <c r="N127" s="318"/>
      <c r="O127" s="370">
        <v>46227</v>
      </c>
      <c r="P127" s="370">
        <v>46245</v>
      </c>
      <c r="Q127" s="370">
        <v>46245</v>
      </c>
      <c r="R127" s="370">
        <f>WORKDAY.INTL(Q127,INDEX(R$8:R$11,MATCH($L127,$L$8:$L$11,0)),1,IF(R$18="China",'China Holidays'!$A$2:$A$82,'Thai Holidays'!$A$2:$A$63))</f>
        <v>46245</v>
      </c>
      <c r="S127" s="370">
        <v>46245</v>
      </c>
      <c r="T127" s="370">
        <v>46258</v>
      </c>
      <c r="U127" s="370">
        <v>46276</v>
      </c>
      <c r="V127" s="370">
        <v>46290</v>
      </c>
      <c r="W127" s="370"/>
      <c r="X127" s="370">
        <v>46310</v>
      </c>
      <c r="Y127" s="370">
        <v>46303</v>
      </c>
      <c r="Z127" s="370">
        <v>46310</v>
      </c>
      <c r="AA127" s="370">
        <v>46342</v>
      </c>
      <c r="AB127" s="370">
        <v>46356</v>
      </c>
      <c r="AC127" s="370">
        <v>46371</v>
      </c>
      <c r="AD127" s="319">
        <v>46368</v>
      </c>
      <c r="AE127" s="319">
        <v>46370</v>
      </c>
      <c r="AF127" s="370">
        <v>46415</v>
      </c>
      <c r="AG127" s="370">
        <v>46429</v>
      </c>
      <c r="AH127" s="370">
        <v>46436</v>
      </c>
      <c r="AI127" s="370">
        <v>46450</v>
      </c>
      <c r="AJ127" s="370">
        <v>46466</v>
      </c>
      <c r="AK127" s="371">
        <v>18</v>
      </c>
      <c r="AL127" s="372"/>
      <c r="AM127" s="370">
        <f>X127+AL128</f>
        <v>46436</v>
      </c>
      <c r="AN127" s="373"/>
      <c r="AO127" s="322"/>
      <c r="AP127" s="322"/>
      <c r="AQ127" s="322"/>
      <c r="AR127" s="368">
        <f>AN128-AM127</f>
        <v>42</v>
      </c>
      <c r="AS127" s="374"/>
      <c r="AT127" s="375" t="s">
        <v>62</v>
      </c>
      <c r="AU127" s="376">
        <v>46485</v>
      </c>
    </row>
    <row r="128" spans="1:48" s="266" customFormat="1" ht="25.05" customHeight="1">
      <c r="A128" s="365"/>
      <c r="B128" s="366" t="s">
        <v>180</v>
      </c>
      <c r="C128" s="367" t="s">
        <v>181</v>
      </c>
      <c r="D128" s="363"/>
      <c r="E128" s="312"/>
      <c r="F128" s="363"/>
      <c r="G128" s="314">
        <v>79</v>
      </c>
      <c r="H128" s="315" t="s">
        <v>157</v>
      </c>
      <c r="I128" s="368" t="s">
        <v>132</v>
      </c>
      <c r="J128" s="310" t="s">
        <v>72</v>
      </c>
      <c r="K128" s="310">
        <v>4</v>
      </c>
      <c r="L128" s="367" t="s">
        <v>8</v>
      </c>
      <c r="M128" s="369" t="s">
        <v>65</v>
      </c>
      <c r="N128" s="319"/>
      <c r="O128" s="370">
        <v>46227</v>
      </c>
      <c r="P128" s="370">
        <f>WORKDAY.INTL(O128,INDEX(P$8:P$11,MATCH($L128,$L$8:$L$11,0)),1,IF(P$18="China",'China Holidays'!$A$2:$A$82,'Thai Holidays'!$A$2:$A$63))</f>
        <v>46245</v>
      </c>
      <c r="Q128" s="370">
        <f>WORKDAY.INTL(P128,INDEX(Q$8:Q$11,MATCH($L128,$L$8:$L$11,0)),1,IF(Q$18="China",'China Holidays'!$A$2:$A$82,'Thai Holidays'!$A$2:$A$63))</f>
        <v>46245</v>
      </c>
      <c r="R128" s="370">
        <f>WORKDAY.INTL(Q128,INDEX(R$8:R$11,MATCH($L128,$L$8:$L$11,0)),1,IF(R$18="China",'China Holidays'!$A$2:$A$82,'Thai Holidays'!$A$2:$A$63))</f>
        <v>46245</v>
      </c>
      <c r="S128" s="370">
        <f>WORKDAY.INTL(R128,INDEX(S$8:S$11,MATCH($L128,$L$8:$L$11,0)),1,IF(S$18="China",'China Holidays'!$A$2:$A$82,'Thai Holidays'!$A$2:$A$63))</f>
        <v>46245</v>
      </c>
      <c r="T128" s="370">
        <f>WORKDAY.INTL(S128,INDEX(T$8:T$11,MATCH($L128,$L$8:$L$11,0)),1,IF(T$18="China",'China Holidays'!$A$2:$A$82,'Thai Holidays'!$A$2:$A$63))</f>
        <v>46259</v>
      </c>
      <c r="U128" s="370">
        <f>WORKDAY.INTL(T128,INDEX(U$8:U$11,MATCH($L128,$L$8:$L$11,0)),1,IF(U$18="China",'China Holidays'!$A$2:$A$82,'Thai Holidays'!$A$2:$A$63))</f>
        <v>46276</v>
      </c>
      <c r="V128" s="370">
        <f>WORKDAY.INTL(U128,INDEX(V$8:V$11,MATCH($L128,$L$8:$L$11,0)),1,IF(V$18="China",'China Holidays'!$A$2:$A$82,'Thai Holidays'!$A$2:$A$63))</f>
        <v>46290</v>
      </c>
      <c r="W128" s="370"/>
      <c r="X128" s="370">
        <f>WORKDAY.INTL(V128,INDEX(X$8:X$11,MATCH($L128,$L$8:$L$11,0)),1,IF(X$18="China",'China Holidays'!$A$2:$A$82,'Thai Holidays'!$A$2:$A$63))</f>
        <v>46310</v>
      </c>
      <c r="Y128" s="370">
        <f>WORKDAY.INTL(X128,INDEX(Y$12:Y$15,MATCH($L128,$L$12:$L$15,0)),1,IF(Y$18="China",'China Holidays'!$A$2:$A$82,'Thai Holidays'!$A$2:$A$63))</f>
        <v>46314</v>
      </c>
      <c r="Z128" s="370">
        <f>WORKDAY.INTL(Y128,INDEX(Z$12:Z$15,MATCH($L128,$L$12:$L$15,0)),1,IF(Z$18="China",'China Holidays'!$A$2:$A$82,'Thai Holidays'!$A$2:$A$63))</f>
        <v>46321</v>
      </c>
      <c r="AA128" s="370">
        <f>WORKDAY.INTL(Z128,INDEX(AA$12:AA$15,MATCH($L128,$L$12:$L$15,0)),1,IF(AA$18="China",'China Holidays'!$A$2:$A$82,'Thai Holidays'!$A$2:$A$63))</f>
        <v>46342</v>
      </c>
      <c r="AB128" s="370">
        <f>WORKDAY.INTL(AA128,INDEX(AB$12:AB$15,MATCH($L128,$L$12:$L$15,0)),1,IF(AB$18="China",'China Holidays'!$A$2:$A$82,'Thai Holidays'!$A$2:$A$63))</f>
        <v>46356</v>
      </c>
      <c r="AC128" s="370">
        <f>AB128+15</f>
        <v>46371</v>
      </c>
      <c r="AD128" s="319">
        <f>AC128</f>
        <v>46371</v>
      </c>
      <c r="AE128" s="319">
        <f>AD128+2</f>
        <v>46373</v>
      </c>
      <c r="AF128" s="370">
        <f>AG128-14</f>
        <v>46415</v>
      </c>
      <c r="AG128" s="370">
        <f>AH128-7</f>
        <v>46429</v>
      </c>
      <c r="AH128" s="370">
        <f>AM128</f>
        <v>46436</v>
      </c>
      <c r="AI128" s="370">
        <f>AM128+14</f>
        <v>46450</v>
      </c>
      <c r="AJ128" s="370">
        <f>AM128+30</f>
        <v>46466</v>
      </c>
      <c r="AK128" s="377"/>
      <c r="AL128" s="372">
        <f>AK127*7</f>
        <v>126</v>
      </c>
      <c r="AM128" s="370">
        <f>IF(X128&lt;&gt;"",X128+AL128,X129+AL128)</f>
        <v>46436</v>
      </c>
      <c r="AN128" s="373">
        <f>AU127-7</f>
        <v>46478</v>
      </c>
      <c r="AO128" s="322">
        <f>AP128-7</f>
        <v>46485</v>
      </c>
      <c r="AP128" s="322">
        <v>46492</v>
      </c>
      <c r="AQ128" s="322"/>
      <c r="AR128" s="368">
        <f>AN128-AM128</f>
        <v>42</v>
      </c>
      <c r="AS128" s="374"/>
      <c r="AT128" s="375" t="s">
        <v>66</v>
      </c>
      <c r="AU128" s="376">
        <v>46485</v>
      </c>
    </row>
    <row r="129" spans="1:48" s="266" customFormat="1" ht="25.05" customHeight="1">
      <c r="A129" s="378"/>
      <c r="B129" s="379" t="s">
        <v>180</v>
      </c>
      <c r="C129" s="380" t="s">
        <v>181</v>
      </c>
      <c r="D129" s="364"/>
      <c r="E129" s="330"/>
      <c r="F129" s="364"/>
      <c r="G129" s="332"/>
      <c r="H129" s="333"/>
      <c r="I129" s="381" t="s">
        <v>132</v>
      </c>
      <c r="J129" s="328" t="s">
        <v>72</v>
      </c>
      <c r="K129" s="310">
        <v>4</v>
      </c>
      <c r="L129" s="380" t="s">
        <v>8</v>
      </c>
      <c r="M129" s="382" t="s">
        <v>67</v>
      </c>
      <c r="N129" s="332"/>
      <c r="O129" s="383"/>
      <c r="P129" s="383"/>
      <c r="Q129" s="383"/>
      <c r="R129" s="383"/>
      <c r="S129" s="383"/>
      <c r="T129" s="383"/>
      <c r="U129" s="383"/>
      <c r="V129" s="383"/>
      <c r="W129" s="383"/>
      <c r="X129" s="383"/>
      <c r="Y129" s="383"/>
      <c r="Z129" s="383"/>
      <c r="AA129" s="383"/>
      <c r="AB129" s="383"/>
      <c r="AC129" s="383"/>
      <c r="AD129" s="335"/>
      <c r="AE129" s="335"/>
      <c r="AF129" s="383"/>
      <c r="AG129" s="383"/>
      <c r="AH129" s="383"/>
      <c r="AI129" s="383"/>
      <c r="AJ129" s="383"/>
      <c r="AK129" s="384"/>
      <c r="AL129" s="385"/>
      <c r="AM129" s="370"/>
      <c r="AN129" s="386"/>
      <c r="AO129" s="338"/>
      <c r="AP129" s="338"/>
      <c r="AQ129" s="338"/>
      <c r="AR129" s="381"/>
      <c r="AS129" s="387"/>
      <c r="AT129" s="388"/>
      <c r="AU129" s="387" t="s">
        <v>182</v>
      </c>
    </row>
    <row r="130" spans="1:48" s="264" customFormat="1" ht="25.05" customHeight="1">
      <c r="A130" s="309">
        <v>40</v>
      </c>
      <c r="B130" s="310" t="s">
        <v>183</v>
      </c>
      <c r="C130" s="310" t="s">
        <v>184</v>
      </c>
      <c r="D130" s="361"/>
      <c r="E130" s="312"/>
      <c r="F130" s="362"/>
      <c r="G130" s="314"/>
      <c r="H130" s="315"/>
      <c r="I130" s="314" t="s">
        <v>132</v>
      </c>
      <c r="J130" s="310"/>
      <c r="K130" s="316"/>
      <c r="L130" s="310" t="s">
        <v>8</v>
      </c>
      <c r="M130" s="317" t="s">
        <v>61</v>
      </c>
      <c r="N130" s="318"/>
      <c r="O130" s="319">
        <v>46244</v>
      </c>
      <c r="P130" s="319">
        <v>46258</v>
      </c>
      <c r="Q130" s="319">
        <v>46258</v>
      </c>
      <c r="R130" s="319">
        <v>46258</v>
      </c>
      <c r="S130" s="319">
        <v>46258</v>
      </c>
      <c r="T130" s="319">
        <v>46272</v>
      </c>
      <c r="U130" s="319">
        <v>46289</v>
      </c>
      <c r="V130" s="319">
        <v>46303</v>
      </c>
      <c r="W130" s="319"/>
      <c r="X130" s="319">
        <v>46316</v>
      </c>
      <c r="Y130" s="319">
        <v>46318</v>
      </c>
      <c r="Z130" s="319">
        <v>46325</v>
      </c>
      <c r="AA130" s="319">
        <v>46346</v>
      </c>
      <c r="AB130" s="319">
        <v>46360</v>
      </c>
      <c r="AC130" s="319">
        <v>46375</v>
      </c>
      <c r="AD130" s="319">
        <v>46375</v>
      </c>
      <c r="AE130" s="319">
        <v>46377</v>
      </c>
      <c r="AF130" s="319">
        <v>46421</v>
      </c>
      <c r="AG130" s="319">
        <v>46435</v>
      </c>
      <c r="AH130" s="319">
        <v>46442</v>
      </c>
      <c r="AI130" s="319">
        <v>46456</v>
      </c>
      <c r="AJ130" s="319">
        <v>46472</v>
      </c>
      <c r="AK130" s="320">
        <v>18</v>
      </c>
      <c r="AL130" s="321"/>
      <c r="AM130" s="319">
        <f>X130+AL131</f>
        <v>46442</v>
      </c>
      <c r="AN130" s="322"/>
      <c r="AO130" s="322"/>
      <c r="AP130" s="322"/>
      <c r="AQ130" s="322"/>
      <c r="AR130" s="314">
        <f>AN131-AM130</f>
        <v>36</v>
      </c>
      <c r="AS130" s="323"/>
      <c r="AT130" s="324" t="s">
        <v>62</v>
      </c>
      <c r="AU130" s="325">
        <v>46485</v>
      </c>
    </row>
    <row r="131" spans="1:48" s="264" customFormat="1" ht="25.05" customHeight="1">
      <c r="A131" s="309"/>
      <c r="B131" s="310" t="s">
        <v>183</v>
      </c>
      <c r="C131" s="310" t="s">
        <v>184</v>
      </c>
      <c r="D131" s="363"/>
      <c r="E131" s="312"/>
      <c r="F131" s="363"/>
      <c r="G131" s="314">
        <v>36</v>
      </c>
      <c r="H131" s="315" t="s">
        <v>185</v>
      </c>
      <c r="I131" s="314" t="s">
        <v>132</v>
      </c>
      <c r="J131" s="310" t="s">
        <v>72</v>
      </c>
      <c r="K131" s="310">
        <v>4</v>
      </c>
      <c r="L131" s="310" t="s">
        <v>8</v>
      </c>
      <c r="M131" s="317" t="s">
        <v>65</v>
      </c>
      <c r="N131" s="319"/>
      <c r="O131" s="319">
        <v>46243</v>
      </c>
      <c r="P131" s="319">
        <f>WORKDAY.INTL(O131,INDEX(P$8:P$11,MATCH($L131,$L$8:$L$11,0)),1,IF(P$18="China",'China Holidays'!$A$2:$A$82,'Thai Holidays'!$A$2:$A$63))</f>
        <v>46258</v>
      </c>
      <c r="Q131" s="319">
        <f>WORKDAY.INTL(P131,INDEX(Q$8:Q$11,MATCH($L131,$L$8:$L$11,0)),1,IF(Q$18="China",'China Holidays'!$A$2:$A$82,'Thai Holidays'!$A$2:$A$63))</f>
        <v>46258</v>
      </c>
      <c r="R131" s="319">
        <f>WORKDAY.INTL(Q131,INDEX(R$8:R$11,MATCH($L131,$L$8:$L$11,0)),1,IF(R$18="China",'China Holidays'!$A$2:$A$82,'Thai Holidays'!$A$2:$A$63))</f>
        <v>46258</v>
      </c>
      <c r="S131" s="319">
        <f>WORKDAY.INTL(R131,INDEX(S$8:S$11,MATCH($L131,$L$8:$L$11,0)),1,IF(S$18="China",'China Holidays'!$A$2:$A$82,'Thai Holidays'!$A$2:$A$63))</f>
        <v>46258</v>
      </c>
      <c r="T131" s="319">
        <f>WORKDAY.INTL(S131,INDEX(T$8:T$11,MATCH($L131,$L$8:$L$11,0)),1,IF(T$18="China",'China Holidays'!$A$2:$A$82,'Thai Holidays'!$A$2:$A$63))</f>
        <v>46272</v>
      </c>
      <c r="U131" s="319">
        <f>WORKDAY.INTL(T131,INDEX(U$8:U$11,MATCH($L131,$L$8:$L$11,0)),1,IF(U$18="China",'China Holidays'!$A$2:$A$82,'Thai Holidays'!$A$2:$A$63))</f>
        <v>46289</v>
      </c>
      <c r="V131" s="319">
        <f>WORKDAY.INTL(U131,INDEX(V$8:V$11,MATCH($L131,$L$8:$L$11,0)),1,IF(V$18="China",'China Holidays'!$A$2:$A$82,'Thai Holidays'!$A$2:$A$63))</f>
        <v>46303</v>
      </c>
      <c r="W131" s="319"/>
      <c r="X131" s="319">
        <f>WORKDAY.INTL(V131,INDEX(X$8:X$11,MATCH($L131,$L$8:$L$11,0)),1,IF(X$18="China",'China Holidays'!$A$2:$A$82,'Thai Holidays'!$A$2:$A$63))</f>
        <v>46316</v>
      </c>
      <c r="Y131" s="319">
        <f>WORKDAY.INTL(X131,INDEX(Y$12:Y$15,MATCH($L131,$L$12:$L$15,0)),1,IF(Y$18="China",'China Holidays'!$A$2:$A$82,'Thai Holidays'!$A$2:$A$63))</f>
        <v>46318</v>
      </c>
      <c r="Z131" s="319">
        <f>WORKDAY.INTL(Y131,INDEX(Z$12:Z$15,MATCH($L131,$L$12:$L$15,0)),1,IF(Z$18="China",'China Holidays'!$A$2:$A$82,'Thai Holidays'!$A$2:$A$63))</f>
        <v>46325</v>
      </c>
      <c r="AA131" s="319">
        <f>WORKDAY.INTL(Z131,INDEX(AA$12:AA$15,MATCH($L131,$L$12:$L$15,0)),1,IF(AA$18="China",'China Holidays'!$A$2:$A$82,'Thai Holidays'!$A$2:$A$63))</f>
        <v>46346</v>
      </c>
      <c r="AB131" s="319">
        <f>WORKDAY.INTL(AA131,INDEX(AB$12:AB$15,MATCH($L131,$L$12:$L$15,0)),1,IF(AB$18="China",'China Holidays'!$A$2:$A$82,'Thai Holidays'!$A$2:$A$63))</f>
        <v>46360</v>
      </c>
      <c r="AC131" s="319">
        <f>AB131+15</f>
        <v>46375</v>
      </c>
      <c r="AD131" s="319">
        <f>AC131</f>
        <v>46375</v>
      </c>
      <c r="AE131" s="319">
        <f>AD131+2</f>
        <v>46377</v>
      </c>
      <c r="AF131" s="319">
        <f>AG131-14</f>
        <v>46421</v>
      </c>
      <c r="AG131" s="319">
        <f>AH131-7</f>
        <v>46435</v>
      </c>
      <c r="AH131" s="319">
        <f>AM131</f>
        <v>46442</v>
      </c>
      <c r="AI131" s="319">
        <f>AM131+14</f>
        <v>46456</v>
      </c>
      <c r="AJ131" s="319">
        <f>AM131+30</f>
        <v>46472</v>
      </c>
      <c r="AK131" s="343"/>
      <c r="AL131" s="321">
        <f>AK130*7</f>
        <v>126</v>
      </c>
      <c r="AM131" s="319">
        <f>IF(X131&lt;&gt;"",X131+AL131,X132+AL131)</f>
        <v>46442</v>
      </c>
      <c r="AN131" s="322">
        <f>AU130-7</f>
        <v>46478</v>
      </c>
      <c r="AO131" s="322">
        <f>AP131-7</f>
        <v>46485</v>
      </c>
      <c r="AP131" s="322">
        <v>46492</v>
      </c>
      <c r="AQ131" s="322"/>
      <c r="AR131" s="314">
        <f>AN131-AM131</f>
        <v>36</v>
      </c>
      <c r="AS131" s="323"/>
      <c r="AT131" s="324" t="s">
        <v>66</v>
      </c>
      <c r="AU131" s="325">
        <v>46485</v>
      </c>
      <c r="AV131" s="265"/>
    </row>
    <row r="132" spans="1:48" s="264" customFormat="1" ht="25.05" customHeight="1">
      <c r="A132" s="327"/>
      <c r="B132" s="328" t="s">
        <v>183</v>
      </c>
      <c r="C132" s="328" t="s">
        <v>184</v>
      </c>
      <c r="D132" s="364"/>
      <c r="E132" s="330"/>
      <c r="F132" s="364"/>
      <c r="G132" s="332"/>
      <c r="H132" s="333"/>
      <c r="I132" s="332" t="s">
        <v>132</v>
      </c>
      <c r="J132" s="328" t="s">
        <v>72</v>
      </c>
      <c r="K132" s="310">
        <v>4</v>
      </c>
      <c r="L132" s="328" t="s">
        <v>8</v>
      </c>
      <c r="M132" s="334" t="s">
        <v>67</v>
      </c>
      <c r="N132" s="332"/>
      <c r="O132" s="335"/>
      <c r="P132" s="335"/>
      <c r="Q132" s="335"/>
      <c r="R132" s="335"/>
      <c r="S132" s="335"/>
      <c r="T132" s="335"/>
      <c r="U132" s="335"/>
      <c r="V132" s="335"/>
      <c r="W132" s="335"/>
      <c r="X132" s="332"/>
      <c r="Y132" s="335"/>
      <c r="Z132" s="335"/>
      <c r="AA132" s="335"/>
      <c r="AB132" s="335"/>
      <c r="AC132" s="335"/>
      <c r="AD132" s="335"/>
      <c r="AE132" s="335"/>
      <c r="AF132" s="335"/>
      <c r="AG132" s="335"/>
      <c r="AH132" s="335"/>
      <c r="AI132" s="335"/>
      <c r="AJ132" s="335"/>
      <c r="AK132" s="336"/>
      <c r="AL132" s="337"/>
      <c r="AM132" s="335"/>
      <c r="AN132" s="338"/>
      <c r="AO132" s="338"/>
      <c r="AP132" s="338"/>
      <c r="AQ132" s="338"/>
      <c r="AR132" s="332"/>
      <c r="AS132" s="339"/>
      <c r="AT132" s="340"/>
      <c r="AU132" s="339"/>
    </row>
    <row r="133" spans="1:48" s="264" customFormat="1" ht="25.05" customHeight="1">
      <c r="A133" s="309">
        <v>41</v>
      </c>
      <c r="B133" s="310" t="s">
        <v>186</v>
      </c>
      <c r="C133" s="310" t="s">
        <v>187</v>
      </c>
      <c r="D133" s="361"/>
      <c r="E133" s="312"/>
      <c r="F133" s="362"/>
      <c r="G133" s="314"/>
      <c r="H133" s="315"/>
      <c r="I133" s="314" t="s">
        <v>132</v>
      </c>
      <c r="J133" s="310"/>
      <c r="K133" s="316"/>
      <c r="L133" s="310" t="s">
        <v>8</v>
      </c>
      <c r="M133" s="317" t="s">
        <v>61</v>
      </c>
      <c r="N133" s="318"/>
      <c r="O133" s="319">
        <v>46220</v>
      </c>
      <c r="P133" s="319">
        <v>46230</v>
      </c>
      <c r="Q133" s="319">
        <v>46230</v>
      </c>
      <c r="R133" s="319">
        <v>46237</v>
      </c>
      <c r="S133" s="319">
        <v>46238</v>
      </c>
      <c r="T133" s="319">
        <v>46251</v>
      </c>
      <c r="U133" s="319">
        <v>46265</v>
      </c>
      <c r="V133" s="319">
        <v>46270</v>
      </c>
      <c r="W133" s="319"/>
      <c r="X133" s="319">
        <v>46284</v>
      </c>
      <c r="Y133" s="319">
        <v>46286</v>
      </c>
      <c r="Z133" s="319">
        <v>46293</v>
      </c>
      <c r="AA133" s="319">
        <v>46322</v>
      </c>
      <c r="AB133" s="319">
        <v>46339</v>
      </c>
      <c r="AC133" s="319">
        <v>46351</v>
      </c>
      <c r="AD133" s="319">
        <v>46351</v>
      </c>
      <c r="AE133" s="319">
        <v>46353</v>
      </c>
      <c r="AF133" s="319">
        <v>46473</v>
      </c>
      <c r="AG133" s="319">
        <v>46487</v>
      </c>
      <c r="AH133" s="319">
        <v>46494</v>
      </c>
      <c r="AI133" s="319">
        <v>46508</v>
      </c>
      <c r="AJ133" s="319">
        <v>46524</v>
      </c>
      <c r="AK133" s="320">
        <v>30</v>
      </c>
      <c r="AL133" s="321"/>
      <c r="AM133" s="319">
        <f>X133+AL134</f>
        <v>46494</v>
      </c>
      <c r="AN133" s="322"/>
      <c r="AO133" s="322"/>
      <c r="AP133" s="322"/>
      <c r="AQ133" s="322"/>
      <c r="AR133" s="314">
        <f>AN134-AM133</f>
        <v>6</v>
      </c>
      <c r="AS133" s="323"/>
      <c r="AT133" s="324" t="s">
        <v>62</v>
      </c>
      <c r="AU133" s="325">
        <v>46507</v>
      </c>
    </row>
    <row r="134" spans="1:48" s="264" customFormat="1" ht="25.05" customHeight="1">
      <c r="A134" s="309"/>
      <c r="B134" s="310" t="s">
        <v>186</v>
      </c>
      <c r="C134" s="310" t="s">
        <v>187</v>
      </c>
      <c r="D134" s="363"/>
      <c r="E134" s="312"/>
      <c r="F134" s="363"/>
      <c r="G134" s="314">
        <v>17</v>
      </c>
      <c r="H134" s="315" t="s">
        <v>157</v>
      </c>
      <c r="I134" s="314" t="s">
        <v>132</v>
      </c>
      <c r="J134" s="310" t="s">
        <v>72</v>
      </c>
      <c r="K134" s="310">
        <v>4</v>
      </c>
      <c r="L134" s="310" t="s">
        <v>8</v>
      </c>
      <c r="M134" s="317" t="s">
        <v>65</v>
      </c>
      <c r="N134" s="319"/>
      <c r="O134" s="319"/>
      <c r="P134" s="319">
        <v>46230</v>
      </c>
      <c r="Q134" s="319">
        <f>WORKDAY.INTL(P134,INDEX(Q$8:Q$11,MATCH($L134,$L$8:$L$11,0)),1,IF(Q$18="China",'China Holidays'!$A$2:$A$82,'Thai Holidays'!$A$2:$A$63))</f>
        <v>46230</v>
      </c>
      <c r="R134" s="319">
        <f>WORKDAY.INTL(Q134,INDEX(R$8:R$11,MATCH($L134,$L$8:$L$11,0)),1,IF(R$18="China",'China Holidays'!$A$2:$A$82,'Thai Holidays'!$A$2:$A$63))</f>
        <v>46230</v>
      </c>
      <c r="S134" s="319">
        <f>WORKDAY.INTL(R134,INDEX(S$8:S$11,MATCH($L134,$L$8:$L$11,0)),1,IF(S$18="China",'China Holidays'!$A$2:$A$82,'Thai Holidays'!$A$2:$A$63))</f>
        <v>46230</v>
      </c>
      <c r="T134" s="319">
        <f>WORKDAY.INTL(S134,INDEX(T$8:T$11,MATCH($L134,$L$8:$L$11,0)),1,IF(T$18="China",'China Holidays'!$A$2:$A$82,'Thai Holidays'!$A$2:$A$63))</f>
        <v>46244</v>
      </c>
      <c r="U134" s="319">
        <f>WORKDAY.INTL(T134,INDEX(U$8:U$11,MATCH($L134,$L$8:$L$11,0)),1,IF(U$18="China",'China Holidays'!$A$2:$A$82,'Thai Holidays'!$A$2:$A$63))</f>
        <v>46262</v>
      </c>
      <c r="V134" s="319">
        <f>WORKDAY.INTL(U134,INDEX(V$8:V$11,MATCH($L134,$L$8:$L$11,0)),1,IF(V$18="China",'China Holidays'!$A$2:$A$82,'Thai Holidays'!$A$2:$A$63))</f>
        <v>46276</v>
      </c>
      <c r="W134" s="319"/>
      <c r="X134" s="319">
        <f>WORKDAY.INTL(V134,INDEX(X$8:X$11,MATCH($L134,$L$8:$L$11,0)),1,IF(X$18="China",'China Holidays'!$A$2:$A$82,'Thai Holidays'!$A$2:$A$63))</f>
        <v>46289</v>
      </c>
      <c r="Y134" s="319">
        <f>WORKDAY.INTL(X134,INDEX(Y$12:Y$15,MATCH($L134,$L$12:$L$15,0)),1,IF(Y$18="China",'China Holidays'!$A$2:$A$82,'Thai Holidays'!$A$2:$A$63))</f>
        <v>46294</v>
      </c>
      <c r="Z134" s="319">
        <f>WORKDAY.INTL(Y134,INDEX(Z$12:Z$15,MATCH($L134,$L$12:$L$15,0)),1,IF(Z$18="China",'China Holidays'!$A$2:$A$82,'Thai Holidays'!$A$2:$A$63))</f>
        <v>46308</v>
      </c>
      <c r="AA134" s="319">
        <f>WORKDAY.INTL(Z134,INDEX(AA$12:AA$15,MATCH($L134,$L$12:$L$15,0)),1,IF(AA$18="China",'China Holidays'!$A$2:$A$82,'Thai Holidays'!$A$2:$A$63))</f>
        <v>46329</v>
      </c>
      <c r="AB134" s="319">
        <f>WORKDAY.INTL(AA134,INDEX(AB$12:AB$15,MATCH($L134,$L$12:$L$15,0)),1,IF(AB$18="China",'China Holidays'!$A$2:$A$82,'Thai Holidays'!$A$2:$A$63))</f>
        <v>46343</v>
      </c>
      <c r="AC134" s="319">
        <f>AB134+15</f>
        <v>46358</v>
      </c>
      <c r="AD134" s="319">
        <f>AC134</f>
        <v>46358</v>
      </c>
      <c r="AE134" s="319">
        <f>AD134+2</f>
        <v>46360</v>
      </c>
      <c r="AF134" s="319">
        <f>AG134-14</f>
        <v>46478</v>
      </c>
      <c r="AG134" s="319">
        <f>AH134-7</f>
        <v>46492</v>
      </c>
      <c r="AH134" s="319">
        <f>AM134</f>
        <v>46499</v>
      </c>
      <c r="AI134" s="319">
        <f>AM134+14</f>
        <v>46513</v>
      </c>
      <c r="AJ134" s="319">
        <f>AM134+30</f>
        <v>46529</v>
      </c>
      <c r="AK134" s="343"/>
      <c r="AL134" s="321">
        <f>AK133*7</f>
        <v>210</v>
      </c>
      <c r="AM134" s="319">
        <f>IF(X134&lt;&gt;"",X134+AL134,X135+AL134)</f>
        <v>46499</v>
      </c>
      <c r="AN134" s="322">
        <f>AU133-7</f>
        <v>46500</v>
      </c>
      <c r="AO134" s="322">
        <f>AP134-7</f>
        <v>46498</v>
      </c>
      <c r="AP134" s="322">
        <v>46505</v>
      </c>
      <c r="AQ134" s="322"/>
      <c r="AR134" s="314">
        <f>AN134-AM134</f>
        <v>1</v>
      </c>
      <c r="AS134" s="323"/>
      <c r="AT134" s="324" t="s">
        <v>66</v>
      </c>
      <c r="AU134" s="325">
        <v>46507</v>
      </c>
      <c r="AV134" s="265"/>
    </row>
    <row r="135" spans="1:48" s="264" customFormat="1" ht="25.05" customHeight="1">
      <c r="A135" s="327"/>
      <c r="B135" s="328" t="s">
        <v>186</v>
      </c>
      <c r="C135" s="328" t="s">
        <v>187</v>
      </c>
      <c r="D135" s="364"/>
      <c r="E135" s="330"/>
      <c r="F135" s="364"/>
      <c r="G135" s="332"/>
      <c r="H135" s="333"/>
      <c r="I135" s="332" t="s">
        <v>132</v>
      </c>
      <c r="J135" s="328" t="s">
        <v>72</v>
      </c>
      <c r="K135" s="310">
        <v>4</v>
      </c>
      <c r="L135" s="328" t="s">
        <v>8</v>
      </c>
      <c r="M135" s="334" t="s">
        <v>67</v>
      </c>
      <c r="N135" s="335"/>
      <c r="O135" s="335">
        <v>46204</v>
      </c>
      <c r="P135" s="347">
        <v>46225</v>
      </c>
      <c r="Q135" s="347">
        <v>46225</v>
      </c>
      <c r="R135" s="335">
        <f>Q135</f>
        <v>46225</v>
      </c>
      <c r="S135" s="335"/>
      <c r="T135" s="335"/>
      <c r="U135" s="335"/>
      <c r="V135" s="335"/>
      <c r="W135" s="335"/>
      <c r="X135" s="335"/>
      <c r="Y135" s="335"/>
      <c r="Z135" s="335"/>
      <c r="AA135" s="335"/>
      <c r="AB135" s="335"/>
      <c r="AC135" s="335"/>
      <c r="AD135" s="335"/>
      <c r="AE135" s="335"/>
      <c r="AF135" s="335"/>
      <c r="AG135" s="335"/>
      <c r="AH135" s="335"/>
      <c r="AI135" s="335"/>
      <c r="AJ135" s="335"/>
      <c r="AK135" s="319"/>
      <c r="AL135" s="337"/>
      <c r="AM135" s="319"/>
      <c r="AN135" s="338"/>
      <c r="AO135" s="338"/>
      <c r="AP135" s="338"/>
      <c r="AQ135" s="338"/>
      <c r="AR135" s="332"/>
      <c r="AS135" s="339"/>
      <c r="AT135" s="340"/>
      <c r="AU135" s="339"/>
    </row>
    <row r="136" spans="1:48" s="264" customFormat="1" ht="25.05" customHeight="1">
      <c r="A136" s="309">
        <v>42</v>
      </c>
      <c r="B136" s="310" t="s">
        <v>188</v>
      </c>
      <c r="C136" s="310" t="s">
        <v>189</v>
      </c>
      <c r="D136" s="361"/>
      <c r="E136" s="312"/>
      <c r="F136" s="362"/>
      <c r="G136" s="314"/>
      <c r="H136" s="315"/>
      <c r="I136" s="314" t="s">
        <v>132</v>
      </c>
      <c r="J136" s="310"/>
      <c r="K136" s="316"/>
      <c r="L136" s="310" t="s">
        <v>8</v>
      </c>
      <c r="M136" s="317" t="s">
        <v>61</v>
      </c>
      <c r="N136" s="318"/>
      <c r="O136" s="319">
        <v>46220</v>
      </c>
      <c r="P136" s="319">
        <v>46230</v>
      </c>
      <c r="Q136" s="319">
        <v>46230</v>
      </c>
      <c r="R136" s="319">
        <v>46237</v>
      </c>
      <c r="S136" s="319">
        <v>46238</v>
      </c>
      <c r="T136" s="319">
        <v>46251</v>
      </c>
      <c r="U136" s="319">
        <v>46275</v>
      </c>
      <c r="V136" s="319">
        <v>46280</v>
      </c>
      <c r="W136" s="319"/>
      <c r="X136" s="319">
        <v>46294</v>
      </c>
      <c r="Y136" s="319">
        <v>46296</v>
      </c>
      <c r="Z136" s="319">
        <v>46303</v>
      </c>
      <c r="AA136" s="319">
        <v>46332</v>
      </c>
      <c r="AB136" s="319">
        <v>46349</v>
      </c>
      <c r="AC136" s="319">
        <v>46361</v>
      </c>
      <c r="AD136" s="319">
        <v>46361</v>
      </c>
      <c r="AE136" s="319">
        <v>46363</v>
      </c>
      <c r="AF136" s="319">
        <v>46441</v>
      </c>
      <c r="AG136" s="319">
        <v>46455</v>
      </c>
      <c r="AH136" s="319">
        <v>46462</v>
      </c>
      <c r="AI136" s="319">
        <v>46476</v>
      </c>
      <c r="AJ136" s="319">
        <v>46492</v>
      </c>
      <c r="AK136" s="320">
        <v>24</v>
      </c>
      <c r="AL136" s="321"/>
      <c r="AM136" s="319">
        <f>X136+AL137</f>
        <v>46462</v>
      </c>
      <c r="AN136" s="322"/>
      <c r="AO136" s="322"/>
      <c r="AP136" s="322"/>
      <c r="AQ136" s="322"/>
      <c r="AR136" s="314">
        <f>AN137-AM136</f>
        <v>16</v>
      </c>
      <c r="AS136" s="323"/>
      <c r="AT136" s="324" t="s">
        <v>62</v>
      </c>
      <c r="AU136" s="325">
        <v>46485</v>
      </c>
    </row>
    <row r="137" spans="1:48" s="264" customFormat="1" ht="25.05" customHeight="1">
      <c r="A137" s="309"/>
      <c r="B137" s="310" t="s">
        <v>188</v>
      </c>
      <c r="C137" s="310" t="s">
        <v>189</v>
      </c>
      <c r="D137" s="363"/>
      <c r="E137" s="312"/>
      <c r="F137" s="363"/>
      <c r="G137" s="314">
        <v>37</v>
      </c>
      <c r="H137" s="315" t="s">
        <v>190</v>
      </c>
      <c r="I137" s="314" t="s">
        <v>132</v>
      </c>
      <c r="J137" s="310" t="s">
        <v>72</v>
      </c>
      <c r="K137" s="310">
        <v>3</v>
      </c>
      <c r="L137" s="310" t="s">
        <v>8</v>
      </c>
      <c r="M137" s="317" t="s">
        <v>65</v>
      </c>
      <c r="N137" s="319"/>
      <c r="O137" s="319"/>
      <c r="P137" s="319">
        <v>46230</v>
      </c>
      <c r="Q137" s="319">
        <f>WORKDAY.INTL(P137,INDEX(Q$8:Q$11,MATCH($L137,$L$8:$L$11,0)),1,IF(Q$18="China",'China Holidays'!$A$2:$A$82,'Thai Holidays'!$A$2:$A$63))</f>
        <v>46230</v>
      </c>
      <c r="R137" s="319">
        <f>WORKDAY.INTL(Q137,INDEX(R$8:R$11,MATCH($L137,$L$8:$L$11,0)),1,IF(R$18="China",'China Holidays'!$A$2:$A$82,'Thai Holidays'!$A$2:$A$63))</f>
        <v>46230</v>
      </c>
      <c r="S137" s="319">
        <f>WORKDAY.INTL(R137,INDEX(S$8:S$11,MATCH($L137,$L$8:$L$11,0)),1,IF(S$18="China",'China Holidays'!$A$2:$A$82,'Thai Holidays'!$A$2:$A$63))</f>
        <v>46230</v>
      </c>
      <c r="T137" s="319">
        <f>WORKDAY.INTL(S137,INDEX(T$8:T$11,MATCH($L137,$L$8:$L$11,0)),1,IF(T$18="China",'China Holidays'!$A$2:$A$82,'Thai Holidays'!$A$2:$A$63))</f>
        <v>46244</v>
      </c>
      <c r="U137" s="319">
        <f>WORKDAY.INTL(T137,INDEX(U$8:U$11,MATCH($L137,$L$8:$L$11,0)),1,IF(U$18="China",'China Holidays'!$A$2:$A$82,'Thai Holidays'!$A$2:$A$63))</f>
        <v>46262</v>
      </c>
      <c r="V137" s="319">
        <f>WORKDAY.INTL(U137,INDEX(V$8:V$11,MATCH($L137,$L$8:$L$11,0)),1,IF(V$18="China",'China Holidays'!$A$2:$A$82,'Thai Holidays'!$A$2:$A$63))</f>
        <v>46276</v>
      </c>
      <c r="W137" s="319"/>
      <c r="X137" s="319">
        <f>WORKDAY.INTL(V137,INDEX(X$8:X$11,MATCH($L137,$L$8:$L$11,0)),1,IF(X$18="China",'China Holidays'!$A$2:$A$82,'Thai Holidays'!$A$2:$A$63))</f>
        <v>46289</v>
      </c>
      <c r="Y137" s="319">
        <f>WORKDAY.INTL(X137,INDEX(Y$12:Y$15,MATCH($L137,$L$12:$L$15,0)),1,IF(Y$18="China",'China Holidays'!$A$2:$A$82,'Thai Holidays'!$A$2:$A$63))</f>
        <v>46294</v>
      </c>
      <c r="Z137" s="319">
        <f>WORKDAY.INTL(Y137,INDEX(Z$12:Z$15,MATCH($L137,$L$12:$L$15,0)),1,IF(Z$18="China",'China Holidays'!$A$2:$A$82,'Thai Holidays'!$A$2:$A$63))</f>
        <v>46308</v>
      </c>
      <c r="AA137" s="319">
        <f>WORKDAY.INTL(Z137,INDEX(AA$12:AA$15,MATCH($L137,$L$12:$L$15,0)),1,IF(AA$18="China",'China Holidays'!$A$2:$A$82,'Thai Holidays'!$A$2:$A$63))</f>
        <v>46329</v>
      </c>
      <c r="AB137" s="319">
        <f>WORKDAY.INTL(AA137,INDEX(AB$12:AB$15,MATCH($L137,$L$12:$L$15,0)),1,IF(AB$18="China",'China Holidays'!$A$2:$A$82,'Thai Holidays'!$A$2:$A$63))</f>
        <v>46343</v>
      </c>
      <c r="AC137" s="319">
        <f>AB137+15</f>
        <v>46358</v>
      </c>
      <c r="AD137" s="319">
        <f>AC137</f>
        <v>46358</v>
      </c>
      <c r="AE137" s="319">
        <f>AD137+2</f>
        <v>46360</v>
      </c>
      <c r="AF137" s="319">
        <f>AG137-14</f>
        <v>46436</v>
      </c>
      <c r="AG137" s="319">
        <f>AH137-7</f>
        <v>46450</v>
      </c>
      <c r="AH137" s="319">
        <f>AM137</f>
        <v>46457</v>
      </c>
      <c r="AI137" s="319">
        <f>AM137+14</f>
        <v>46471</v>
      </c>
      <c r="AJ137" s="319">
        <f>AM137+30</f>
        <v>46487</v>
      </c>
      <c r="AK137" s="343"/>
      <c r="AL137" s="321">
        <f>AK136*7</f>
        <v>168</v>
      </c>
      <c r="AM137" s="319">
        <f>IF(X137&lt;&gt;"",X137+AL137,X138+AL137)</f>
        <v>46457</v>
      </c>
      <c r="AN137" s="322">
        <f>AU136-7</f>
        <v>46478</v>
      </c>
      <c r="AO137" s="322">
        <f>AP137-7</f>
        <v>46485</v>
      </c>
      <c r="AP137" s="322">
        <v>46492</v>
      </c>
      <c r="AQ137" s="322"/>
      <c r="AR137" s="314">
        <f>AN137-AM137</f>
        <v>21</v>
      </c>
      <c r="AS137" s="323"/>
      <c r="AT137" s="324" t="s">
        <v>66</v>
      </c>
      <c r="AU137" s="325">
        <v>46485</v>
      </c>
      <c r="AV137" s="265"/>
    </row>
    <row r="138" spans="1:48" s="264" customFormat="1" ht="25.05" customHeight="1">
      <c r="A138" s="327"/>
      <c r="B138" s="328" t="s">
        <v>188</v>
      </c>
      <c r="C138" s="328" t="s">
        <v>189</v>
      </c>
      <c r="D138" s="364"/>
      <c r="E138" s="330"/>
      <c r="F138" s="364"/>
      <c r="G138" s="332"/>
      <c r="H138" s="333"/>
      <c r="I138" s="332" t="s">
        <v>132</v>
      </c>
      <c r="J138" s="328" t="s">
        <v>72</v>
      </c>
      <c r="K138" s="310">
        <v>3</v>
      </c>
      <c r="L138" s="328" t="s">
        <v>8</v>
      </c>
      <c r="M138" s="334" t="s">
        <v>67</v>
      </c>
      <c r="N138" s="335"/>
      <c r="O138" s="335">
        <v>46204</v>
      </c>
      <c r="P138" s="347">
        <v>46225</v>
      </c>
      <c r="Q138" s="347">
        <v>46225</v>
      </c>
      <c r="R138" s="335">
        <f>Q138</f>
        <v>46225</v>
      </c>
      <c r="S138" s="335"/>
      <c r="T138" s="335"/>
      <c r="U138" s="335"/>
      <c r="V138" s="335"/>
      <c r="W138" s="335"/>
      <c r="X138" s="335"/>
      <c r="Y138" s="335"/>
      <c r="Z138" s="335"/>
      <c r="AA138" s="335"/>
      <c r="AB138" s="335"/>
      <c r="AC138" s="335"/>
      <c r="AD138" s="335"/>
      <c r="AE138" s="335"/>
      <c r="AF138" s="335"/>
      <c r="AG138" s="335"/>
      <c r="AH138" s="335"/>
      <c r="AI138" s="335"/>
      <c r="AJ138" s="335"/>
      <c r="AK138" s="343"/>
      <c r="AL138" s="337"/>
      <c r="AM138" s="319"/>
      <c r="AN138" s="338"/>
      <c r="AO138" s="338"/>
      <c r="AP138" s="338"/>
      <c r="AQ138" s="338"/>
      <c r="AR138" s="332"/>
      <c r="AS138" s="339"/>
      <c r="AT138" s="340"/>
      <c r="AU138" s="339"/>
    </row>
    <row r="139" spans="1:48" s="264" customFormat="1" ht="25.05" customHeight="1">
      <c r="A139" s="309">
        <v>43</v>
      </c>
      <c r="B139" s="310" t="s">
        <v>191</v>
      </c>
      <c r="C139" s="310" t="s">
        <v>192</v>
      </c>
      <c r="D139" s="361"/>
      <c r="E139" s="312"/>
      <c r="F139" s="362"/>
      <c r="G139" s="314"/>
      <c r="H139" s="315"/>
      <c r="I139" s="314" t="s">
        <v>132</v>
      </c>
      <c r="J139" s="310"/>
      <c r="K139" s="316"/>
      <c r="L139" s="310" t="s">
        <v>8</v>
      </c>
      <c r="M139" s="317" t="s">
        <v>61</v>
      </c>
      <c r="N139" s="318"/>
      <c r="O139" s="319">
        <v>46244</v>
      </c>
      <c r="P139" s="319">
        <v>46258</v>
      </c>
      <c r="Q139" s="319">
        <v>46258</v>
      </c>
      <c r="R139" s="319">
        <v>46260</v>
      </c>
      <c r="S139" s="319">
        <v>46261</v>
      </c>
      <c r="T139" s="319">
        <v>46274</v>
      </c>
      <c r="U139" s="319">
        <v>46289</v>
      </c>
      <c r="V139" s="319">
        <v>46303</v>
      </c>
      <c r="W139" s="319"/>
      <c r="X139" s="319">
        <v>46316</v>
      </c>
      <c r="Y139" s="319">
        <f>X139+2</f>
        <v>46318</v>
      </c>
      <c r="Z139" s="319">
        <f>Y139+5</f>
        <v>46323</v>
      </c>
      <c r="AA139" s="319">
        <f>Z139+10</f>
        <v>46333</v>
      </c>
      <c r="AB139" s="319">
        <f>AA139+10</f>
        <v>46343</v>
      </c>
      <c r="AC139" s="319">
        <f>AB139+7</f>
        <v>46350</v>
      </c>
      <c r="AD139" s="319">
        <v>46375</v>
      </c>
      <c r="AE139" s="319">
        <v>46377</v>
      </c>
      <c r="AF139" s="319">
        <v>46355</v>
      </c>
      <c r="AG139" s="319">
        <v>46369</v>
      </c>
      <c r="AH139" s="319">
        <v>46376</v>
      </c>
      <c r="AI139" s="319">
        <v>46390</v>
      </c>
      <c r="AJ139" s="319">
        <v>46406</v>
      </c>
      <c r="AK139" s="320">
        <v>8.5714285714285694</v>
      </c>
      <c r="AL139" s="321"/>
      <c r="AM139" s="319">
        <f>X139+AL140</f>
        <v>46376</v>
      </c>
      <c r="AN139" s="322"/>
      <c r="AO139" s="322"/>
      <c r="AP139" s="322"/>
      <c r="AQ139" s="322"/>
      <c r="AR139" s="314">
        <f>AN140-AM139</f>
        <v>102</v>
      </c>
      <c r="AS139" s="323"/>
      <c r="AT139" s="324" t="s">
        <v>62</v>
      </c>
      <c r="AU139" s="325">
        <v>46485</v>
      </c>
    </row>
    <row r="140" spans="1:48" s="264" customFormat="1" ht="25.05" customHeight="1">
      <c r="A140" s="309"/>
      <c r="B140" s="310" t="s">
        <v>191</v>
      </c>
      <c r="C140" s="310" t="s">
        <v>192</v>
      </c>
      <c r="D140" s="363"/>
      <c r="E140" s="312"/>
      <c r="F140" s="363"/>
      <c r="G140" s="314">
        <v>102</v>
      </c>
      <c r="H140" s="315" t="s">
        <v>193</v>
      </c>
      <c r="I140" s="314" t="s">
        <v>132</v>
      </c>
      <c r="J140" s="310" t="s">
        <v>72</v>
      </c>
      <c r="K140" s="310">
        <v>4</v>
      </c>
      <c r="L140" s="310" t="s">
        <v>8</v>
      </c>
      <c r="M140" s="317" t="s">
        <v>65</v>
      </c>
      <c r="N140" s="319"/>
      <c r="O140" s="319">
        <v>46243</v>
      </c>
      <c r="P140" s="319">
        <f>WORKDAY.INTL(O140,INDEX(P$8:P$11,MATCH($L140,$L$8:$L$11,0)),1,IF(P$18="China",'China Holidays'!$A$2:$A$82,'Thai Holidays'!$A$2:$A$63))</f>
        <v>46258</v>
      </c>
      <c r="Q140" s="319">
        <f>WORKDAY.INTL(P140,INDEX(Q$8:Q$11,MATCH($L140,$L$8:$L$11,0)),1,IF(Q$18="China",'China Holidays'!$A$2:$A$82,'Thai Holidays'!$A$2:$A$63))</f>
        <v>46258</v>
      </c>
      <c r="R140" s="319">
        <f>WORKDAY.INTL(Q140,INDEX(R$8:R$11,MATCH($L140,$L$8:$L$11,0)),1,IF(R$18="China",'China Holidays'!$A$2:$A$82,'Thai Holidays'!$A$2:$A$63))</f>
        <v>46258</v>
      </c>
      <c r="S140" s="319">
        <f>WORKDAY.INTL(R140,INDEX(S$8:S$11,MATCH($L140,$L$8:$L$11,0)),1,IF(S$18="China",'China Holidays'!$A$2:$A$82,'Thai Holidays'!$A$2:$A$63))</f>
        <v>46258</v>
      </c>
      <c r="T140" s="319">
        <f>WORKDAY.INTL(S140,INDEX(T$8:T$11,MATCH($L140,$L$8:$L$11,0)),1,IF(T$18="China",'China Holidays'!$A$2:$A$82,'Thai Holidays'!$A$2:$A$63))</f>
        <v>46272</v>
      </c>
      <c r="U140" s="319">
        <f>WORKDAY.INTL(T140,INDEX(U$8:U$11,MATCH($L140,$L$8:$L$11,0)),1,IF(U$18="China",'China Holidays'!$A$2:$A$82,'Thai Holidays'!$A$2:$A$63))</f>
        <v>46289</v>
      </c>
      <c r="V140" s="319">
        <f>WORKDAY.INTL(U140,INDEX(V$8:V$11,MATCH($L140,$L$8:$L$11,0)),1,IF(V$18="China",'China Holidays'!$A$2:$A$82,'Thai Holidays'!$A$2:$A$63))</f>
        <v>46303</v>
      </c>
      <c r="W140" s="319"/>
      <c r="X140" s="319">
        <f>WORKDAY.INTL(V140,INDEX(X$8:X$11,MATCH($L140,$L$8:$L$11,0)),1,IF(X$18="China",'China Holidays'!$A$2:$A$82,'Thai Holidays'!$A$2:$A$63))</f>
        <v>46316</v>
      </c>
      <c r="Y140" s="319">
        <f>X140+2</f>
        <v>46318</v>
      </c>
      <c r="Z140" s="319">
        <f>Y140+5</f>
        <v>46323</v>
      </c>
      <c r="AA140" s="319">
        <f>Z140+10</f>
        <v>46333</v>
      </c>
      <c r="AB140" s="319">
        <f>AA140+10</f>
        <v>46343</v>
      </c>
      <c r="AC140" s="319">
        <f>AB140+7</f>
        <v>46350</v>
      </c>
      <c r="AD140" s="319">
        <f>AC140</f>
        <v>46350</v>
      </c>
      <c r="AE140" s="319">
        <f>AD140+2</f>
        <v>46352</v>
      </c>
      <c r="AF140" s="319">
        <f>AG140-14</f>
        <v>46355</v>
      </c>
      <c r="AG140" s="319">
        <f>AH140-7</f>
        <v>46369</v>
      </c>
      <c r="AH140" s="319">
        <f>AM140</f>
        <v>46376</v>
      </c>
      <c r="AI140" s="319">
        <f>AM140+14</f>
        <v>46390</v>
      </c>
      <c r="AJ140" s="319">
        <f>AM140+30</f>
        <v>46406</v>
      </c>
      <c r="AK140" s="343"/>
      <c r="AL140" s="321">
        <f>AK139*7</f>
        <v>59.999999999999986</v>
      </c>
      <c r="AM140" s="319">
        <f>IF(X140&lt;&gt;"",X140+AL140,X141+AL140)</f>
        <v>46376</v>
      </c>
      <c r="AN140" s="322">
        <f>AU139-7</f>
        <v>46478</v>
      </c>
      <c r="AO140" s="322">
        <f>AP140-7</f>
        <v>46485</v>
      </c>
      <c r="AP140" s="322">
        <v>46492</v>
      </c>
      <c r="AQ140" s="322"/>
      <c r="AR140" s="314">
        <f>AN140-AM140</f>
        <v>102</v>
      </c>
      <c r="AS140" s="323"/>
      <c r="AT140" s="324" t="s">
        <v>66</v>
      </c>
      <c r="AU140" s="325">
        <v>46485</v>
      </c>
      <c r="AV140" s="265"/>
    </row>
    <row r="141" spans="1:48" s="264" customFormat="1" ht="25.05" customHeight="1">
      <c r="A141" s="327"/>
      <c r="B141" s="328" t="s">
        <v>191</v>
      </c>
      <c r="C141" s="328" t="s">
        <v>192</v>
      </c>
      <c r="D141" s="364"/>
      <c r="E141" s="330"/>
      <c r="F141" s="364"/>
      <c r="G141" s="332"/>
      <c r="H141" s="333"/>
      <c r="I141" s="332" t="s">
        <v>132</v>
      </c>
      <c r="J141" s="328" t="s">
        <v>72</v>
      </c>
      <c r="K141" s="310">
        <v>4</v>
      </c>
      <c r="L141" s="328" t="s">
        <v>8</v>
      </c>
      <c r="M141" s="334" t="s">
        <v>67</v>
      </c>
      <c r="N141" s="335"/>
      <c r="O141" s="335"/>
      <c r="P141" s="335"/>
      <c r="Q141" s="335"/>
      <c r="R141" s="335"/>
      <c r="S141" s="335"/>
      <c r="T141" s="335"/>
      <c r="U141" s="335"/>
      <c r="V141" s="335"/>
      <c r="W141" s="335"/>
      <c r="X141" s="332"/>
      <c r="Y141" s="335"/>
      <c r="Z141" s="335"/>
      <c r="AA141" s="335"/>
      <c r="AB141" s="335"/>
      <c r="AC141" s="335"/>
      <c r="AD141" s="335"/>
      <c r="AE141" s="335"/>
      <c r="AF141" s="335"/>
      <c r="AG141" s="335"/>
      <c r="AH141" s="335"/>
      <c r="AI141" s="335"/>
      <c r="AJ141" s="335"/>
      <c r="AK141" s="336"/>
      <c r="AL141" s="337"/>
      <c r="AM141" s="335"/>
      <c r="AN141" s="338"/>
      <c r="AO141" s="338"/>
      <c r="AP141" s="338"/>
      <c r="AQ141" s="338"/>
      <c r="AR141" s="332"/>
      <c r="AS141" s="339"/>
      <c r="AT141" s="340"/>
      <c r="AU141" s="339"/>
    </row>
    <row r="142" spans="1:48" s="264" customFormat="1" ht="25.05" customHeight="1">
      <c r="A142" s="309">
        <v>44</v>
      </c>
      <c r="B142" s="310" t="s">
        <v>194</v>
      </c>
      <c r="C142" s="310" t="s">
        <v>195</v>
      </c>
      <c r="D142" s="361"/>
      <c r="E142" s="312"/>
      <c r="F142" s="362"/>
      <c r="G142" s="314"/>
      <c r="H142" s="315"/>
      <c r="I142" s="314" t="s">
        <v>132</v>
      </c>
      <c r="J142" s="310"/>
      <c r="K142" s="316"/>
      <c r="L142" s="310" t="s">
        <v>8</v>
      </c>
      <c r="M142" s="317" t="s">
        <v>61</v>
      </c>
      <c r="N142" s="318"/>
      <c r="O142" s="319">
        <v>46244</v>
      </c>
      <c r="P142" s="319">
        <v>46258</v>
      </c>
      <c r="Q142" s="319">
        <v>46258</v>
      </c>
      <c r="R142" s="319">
        <v>46260</v>
      </c>
      <c r="S142" s="319">
        <v>46261</v>
      </c>
      <c r="T142" s="319">
        <v>46274</v>
      </c>
      <c r="U142" s="319">
        <v>46289</v>
      </c>
      <c r="V142" s="319">
        <v>46303</v>
      </c>
      <c r="W142" s="319"/>
      <c r="X142" s="319">
        <v>46316</v>
      </c>
      <c r="Y142" s="319">
        <f>X142+2</f>
        <v>46318</v>
      </c>
      <c r="Z142" s="319">
        <f>Y142+5</f>
        <v>46323</v>
      </c>
      <c r="AA142" s="319">
        <f>Z142+10</f>
        <v>46333</v>
      </c>
      <c r="AB142" s="319">
        <f>AA142+10</f>
        <v>46343</v>
      </c>
      <c r="AC142" s="319">
        <f>AB142+7</f>
        <v>46350</v>
      </c>
      <c r="AD142" s="319">
        <v>46375</v>
      </c>
      <c r="AE142" s="319">
        <v>46377</v>
      </c>
      <c r="AF142" s="319">
        <v>46355</v>
      </c>
      <c r="AG142" s="319">
        <v>46369</v>
      </c>
      <c r="AH142" s="319">
        <v>46376</v>
      </c>
      <c r="AI142" s="319">
        <v>46390</v>
      </c>
      <c r="AJ142" s="319">
        <v>46406</v>
      </c>
      <c r="AK142" s="320">
        <v>8.5714285714285694</v>
      </c>
      <c r="AL142" s="321"/>
      <c r="AM142" s="319">
        <f>X142+AL143</f>
        <v>46376</v>
      </c>
      <c r="AN142" s="322"/>
      <c r="AO142" s="322"/>
      <c r="AP142" s="322"/>
      <c r="AQ142" s="322"/>
      <c r="AR142" s="314">
        <f>AN143-AM142</f>
        <v>102</v>
      </c>
      <c r="AS142" s="323"/>
      <c r="AT142" s="324" t="s">
        <v>62</v>
      </c>
      <c r="AU142" s="325">
        <v>46485</v>
      </c>
    </row>
    <row r="143" spans="1:48" s="264" customFormat="1" ht="25.05" customHeight="1">
      <c r="A143" s="309"/>
      <c r="B143" s="310" t="s">
        <v>194</v>
      </c>
      <c r="C143" s="310" t="s">
        <v>195</v>
      </c>
      <c r="D143" s="363"/>
      <c r="E143" s="312"/>
      <c r="F143" s="363"/>
      <c r="G143" s="314">
        <v>102</v>
      </c>
      <c r="H143" s="315" t="s">
        <v>193</v>
      </c>
      <c r="I143" s="314" t="s">
        <v>132</v>
      </c>
      <c r="J143" s="310" t="s">
        <v>72</v>
      </c>
      <c r="K143" s="310">
        <v>4</v>
      </c>
      <c r="L143" s="310" t="s">
        <v>8</v>
      </c>
      <c r="M143" s="317" t="s">
        <v>65</v>
      </c>
      <c r="N143" s="319"/>
      <c r="O143" s="319">
        <v>46243</v>
      </c>
      <c r="P143" s="319">
        <f>WORKDAY.INTL(O143,INDEX(P$8:P$11,MATCH($L143,$L$8:$L$11,0)),1,IF(P$18="China",'China Holidays'!$A$2:$A$82,'Thai Holidays'!$A$2:$A$63))</f>
        <v>46258</v>
      </c>
      <c r="Q143" s="319">
        <f>WORKDAY.INTL(P143,INDEX(Q$8:Q$11,MATCH($L143,$L$8:$L$11,0)),1,IF(Q$18="China",'China Holidays'!$A$2:$A$82,'Thai Holidays'!$A$2:$A$63))</f>
        <v>46258</v>
      </c>
      <c r="R143" s="319">
        <f>WORKDAY.INTL(Q143,INDEX(R$8:R$11,MATCH($L143,$L$8:$L$11,0)),1,IF(R$18="China",'China Holidays'!$A$2:$A$82,'Thai Holidays'!$A$2:$A$63))</f>
        <v>46258</v>
      </c>
      <c r="S143" s="319">
        <f>WORKDAY.INTL(R143,INDEX(S$8:S$11,MATCH($L143,$L$8:$L$11,0)),1,IF(S$18="China",'China Holidays'!$A$2:$A$82,'Thai Holidays'!$A$2:$A$63))</f>
        <v>46258</v>
      </c>
      <c r="T143" s="319">
        <f>WORKDAY.INTL(S143,INDEX(T$8:T$11,MATCH($L143,$L$8:$L$11,0)),1,IF(T$18="China",'China Holidays'!$A$2:$A$82,'Thai Holidays'!$A$2:$A$63))</f>
        <v>46272</v>
      </c>
      <c r="U143" s="319">
        <f>WORKDAY.INTL(T143,INDEX(U$8:U$11,MATCH($L143,$L$8:$L$11,0)),1,IF(U$18="China",'China Holidays'!$A$2:$A$82,'Thai Holidays'!$A$2:$A$63))</f>
        <v>46289</v>
      </c>
      <c r="V143" s="319">
        <f>WORKDAY.INTL(U143,INDEX(V$8:V$11,MATCH($L143,$L$8:$L$11,0)),1,IF(V$18="China",'China Holidays'!$A$2:$A$82,'Thai Holidays'!$A$2:$A$63))</f>
        <v>46303</v>
      </c>
      <c r="W143" s="319"/>
      <c r="X143" s="319">
        <f>WORKDAY.INTL(V143,INDEX(X$8:X$11,MATCH($L143,$L$8:$L$11,0)),1,IF(X$18="China",'China Holidays'!$A$2:$A$82,'Thai Holidays'!$A$2:$A$63))</f>
        <v>46316</v>
      </c>
      <c r="Y143" s="319">
        <f>WORKDAY.INTL(X143,INDEX(Y$12:Y$15,MATCH($L143,$L$12:$L$15,0)),1,IF(Y$18="China",'China Holidays'!$A$2:$A$82,'Thai Holidays'!$A$2:$A$63))</f>
        <v>46318</v>
      </c>
      <c r="Z143" s="319">
        <f>WORKDAY.INTL(Y143,INDEX(Z$12:Z$15,MATCH($L143,$L$12:$L$15,0)),1,IF(Z$18="China",'China Holidays'!$A$2:$A$82,'Thai Holidays'!$A$2:$A$63))</f>
        <v>46325</v>
      </c>
      <c r="AA143" s="319">
        <f>WORKDAY.INTL(Z143,INDEX(AA$12:AA$15,MATCH($L143,$L$12:$L$15,0)),1,IF(AA$18="China",'China Holidays'!$A$2:$A$82,'Thai Holidays'!$A$2:$A$63))</f>
        <v>46346</v>
      </c>
      <c r="AB143" s="319">
        <f>WORKDAY.INTL(AA143,INDEX(AB$12:AB$15,MATCH($L143,$L$12:$L$15,0)),1,IF(AB$18="China",'China Holidays'!$A$2:$A$82,'Thai Holidays'!$A$2:$A$63))</f>
        <v>46360</v>
      </c>
      <c r="AC143" s="319">
        <f>AB143+15</f>
        <v>46375</v>
      </c>
      <c r="AD143" s="319">
        <f>AC143</f>
        <v>46375</v>
      </c>
      <c r="AE143" s="319">
        <f>AD143+2</f>
        <v>46377</v>
      </c>
      <c r="AF143" s="319">
        <f>AG143-14</f>
        <v>46355</v>
      </c>
      <c r="AG143" s="319">
        <f>AH143-7</f>
        <v>46369</v>
      </c>
      <c r="AH143" s="319">
        <f>AM143</f>
        <v>46376</v>
      </c>
      <c r="AI143" s="319">
        <f>AM143+14</f>
        <v>46390</v>
      </c>
      <c r="AJ143" s="319">
        <f>AM143+30</f>
        <v>46406</v>
      </c>
      <c r="AK143" s="343"/>
      <c r="AL143" s="321">
        <f>AK142*7</f>
        <v>59.999999999999986</v>
      </c>
      <c r="AM143" s="319">
        <f>IF(X143&lt;&gt;"",X143+AL143,X144+AL143)</f>
        <v>46376</v>
      </c>
      <c r="AN143" s="322">
        <f>AU142-7</f>
        <v>46478</v>
      </c>
      <c r="AO143" s="322">
        <f>AP143-7</f>
        <v>46485</v>
      </c>
      <c r="AP143" s="322">
        <v>46492</v>
      </c>
      <c r="AQ143" s="322"/>
      <c r="AR143" s="314">
        <f>AN143-AM143</f>
        <v>102</v>
      </c>
      <c r="AS143" s="323"/>
      <c r="AT143" s="324" t="s">
        <v>66</v>
      </c>
      <c r="AU143" s="325">
        <v>46485</v>
      </c>
      <c r="AV143" s="265"/>
    </row>
    <row r="144" spans="1:48" s="264" customFormat="1" ht="25.05" customHeight="1">
      <c r="A144" s="327"/>
      <c r="B144" s="328" t="s">
        <v>194</v>
      </c>
      <c r="C144" s="328" t="s">
        <v>195</v>
      </c>
      <c r="D144" s="364"/>
      <c r="E144" s="330"/>
      <c r="F144" s="364"/>
      <c r="G144" s="332"/>
      <c r="H144" s="333"/>
      <c r="I144" s="332" t="s">
        <v>132</v>
      </c>
      <c r="J144" s="328" t="s">
        <v>72</v>
      </c>
      <c r="K144" s="310">
        <v>4</v>
      </c>
      <c r="L144" s="328" t="s">
        <v>8</v>
      </c>
      <c r="M144" s="334" t="s">
        <v>67</v>
      </c>
      <c r="N144" s="332"/>
      <c r="O144" s="335"/>
      <c r="P144" s="335"/>
      <c r="Q144" s="335"/>
      <c r="R144" s="335"/>
      <c r="S144" s="335"/>
      <c r="T144" s="335"/>
      <c r="U144" s="335"/>
      <c r="V144" s="335"/>
      <c r="W144" s="335"/>
      <c r="X144" s="332"/>
      <c r="Y144" s="335"/>
      <c r="Z144" s="335"/>
      <c r="AA144" s="335"/>
      <c r="AB144" s="335"/>
      <c r="AC144" s="335"/>
      <c r="AD144" s="335"/>
      <c r="AE144" s="335"/>
      <c r="AF144" s="335"/>
      <c r="AG144" s="335"/>
      <c r="AH144" s="335"/>
      <c r="AI144" s="335"/>
      <c r="AJ144" s="335"/>
      <c r="AK144" s="336"/>
      <c r="AL144" s="337"/>
      <c r="AM144" s="335"/>
      <c r="AN144" s="338"/>
      <c r="AO144" s="338"/>
      <c r="AP144" s="338"/>
      <c r="AQ144" s="338"/>
      <c r="AR144" s="332"/>
      <c r="AS144" s="339"/>
      <c r="AT144" s="340"/>
      <c r="AU144" s="339"/>
    </row>
    <row r="145" spans="1:48" s="264" customFormat="1" ht="25.05" customHeight="1">
      <c r="A145" s="309">
        <v>45</v>
      </c>
      <c r="B145" s="310" t="s">
        <v>196</v>
      </c>
      <c r="C145" s="310" t="s">
        <v>197</v>
      </c>
      <c r="D145" s="311"/>
      <c r="E145" s="312"/>
      <c r="F145" s="313"/>
      <c r="G145" s="314"/>
      <c r="H145" s="315"/>
      <c r="I145" s="314" t="s">
        <v>132</v>
      </c>
      <c r="J145" s="310"/>
      <c r="K145" s="316"/>
      <c r="L145" s="310" t="s">
        <v>7</v>
      </c>
      <c r="M145" s="317" t="s">
        <v>61</v>
      </c>
      <c r="N145" s="318"/>
      <c r="O145" s="319">
        <v>46161</v>
      </c>
      <c r="P145" s="319">
        <v>46168</v>
      </c>
      <c r="Q145" s="319">
        <v>46169</v>
      </c>
      <c r="R145" s="319">
        <v>46178</v>
      </c>
      <c r="S145" s="319">
        <v>46179</v>
      </c>
      <c r="T145" s="319">
        <v>46195</v>
      </c>
      <c r="U145" s="319">
        <v>46266</v>
      </c>
      <c r="V145" s="319">
        <v>46280</v>
      </c>
      <c r="W145" s="319"/>
      <c r="X145" s="319">
        <v>46294</v>
      </c>
      <c r="Y145" s="319">
        <v>46303</v>
      </c>
      <c r="Z145" s="319">
        <v>46310</v>
      </c>
      <c r="AA145" s="319">
        <v>46338</v>
      </c>
      <c r="AB145" s="319">
        <v>46352</v>
      </c>
      <c r="AC145" s="319">
        <v>46367</v>
      </c>
      <c r="AD145" s="319">
        <v>46308</v>
      </c>
      <c r="AE145" s="319">
        <v>46310</v>
      </c>
      <c r="AF145" s="319">
        <v>46502</v>
      </c>
      <c r="AG145" s="319">
        <v>46532</v>
      </c>
      <c r="AH145" s="319">
        <v>46546</v>
      </c>
      <c r="AI145" s="319">
        <v>46560</v>
      </c>
      <c r="AJ145" s="319">
        <v>46576</v>
      </c>
      <c r="AK145" s="320">
        <v>36</v>
      </c>
      <c r="AL145" s="321"/>
      <c r="AM145" s="319">
        <f>X145+AL146</f>
        <v>46546</v>
      </c>
      <c r="AN145" s="322"/>
      <c r="AO145" s="322"/>
      <c r="AP145" s="322"/>
      <c r="AQ145" s="322"/>
      <c r="AR145" s="314">
        <f>AN146-AM145</f>
        <v>45</v>
      </c>
      <c r="AS145" s="323"/>
      <c r="AT145" s="324" t="s">
        <v>62</v>
      </c>
      <c r="AU145" s="325">
        <v>46598</v>
      </c>
    </row>
    <row r="146" spans="1:48" s="264" customFormat="1" ht="25.05" customHeight="1">
      <c r="A146" s="309"/>
      <c r="B146" s="310" t="s">
        <v>196</v>
      </c>
      <c r="C146" s="310" t="s">
        <v>197</v>
      </c>
      <c r="D146" s="311"/>
      <c r="E146" s="312"/>
      <c r="F146" s="342"/>
      <c r="G146" s="314">
        <v>8</v>
      </c>
      <c r="H146" s="315" t="s">
        <v>198</v>
      </c>
      <c r="I146" s="314" t="s">
        <v>132</v>
      </c>
      <c r="J146" s="310" t="s">
        <v>72</v>
      </c>
      <c r="K146" s="310">
        <v>2</v>
      </c>
      <c r="L146" s="310" t="s">
        <v>7</v>
      </c>
      <c r="M146" s="317" t="s">
        <v>65</v>
      </c>
      <c r="N146" s="319"/>
      <c r="O146" s="319"/>
      <c r="P146" s="319"/>
      <c r="Q146" s="319"/>
      <c r="R146" s="319"/>
      <c r="S146" s="319"/>
      <c r="T146" s="319"/>
      <c r="U146" s="319">
        <v>46266</v>
      </c>
      <c r="V146" s="319">
        <f>U146+14</f>
        <v>46280</v>
      </c>
      <c r="W146" s="319"/>
      <c r="X146" s="319">
        <f>WORKDAY.INTL(V146,INDEX(X$8:X$11,MATCH($L146,$L$8:$L$11,0)),1,IF(X$18="China",'China Holidays'!$A$2:$A$82,'Thai Holidays'!$A$2:$A$63))</f>
        <v>46294</v>
      </c>
      <c r="Y146" s="319">
        <f>WORKDAY.INTL(X146,INDEX(Y$12:Y$15,MATCH($L146,$L$12:$L$15,0)),1,IF(Y$18="China",'China Holidays'!$A$2:$A$82,'Thai Holidays'!$A$2:$A$63))</f>
        <v>46303</v>
      </c>
      <c r="Z146" s="319">
        <f>WORKDAY.INTL(Y146,INDEX(Z$12:Z$15,MATCH($L146,$L$12:$L$15,0)),1,IF(Z$18="China",'China Holidays'!$A$2:$A$82,'Thai Holidays'!$A$2:$A$63))</f>
        <v>46310</v>
      </c>
      <c r="AA146" s="319">
        <f>WORKDAY.INTL(Z146,INDEX(AA$12:AA$15,MATCH($L146,$L$12:$L$15,0)),1,IF(AA$18="China",'China Holidays'!$A$2:$A$82,'Thai Holidays'!$A$2:$A$63))</f>
        <v>46338</v>
      </c>
      <c r="AB146" s="319">
        <f>WORKDAY.INTL(AA146,INDEX(AB$12:AB$15,MATCH($L146,$L$12:$L$15,0)),1,IF(AB$18="China",'China Holidays'!$A$2:$A$82,'Thai Holidays'!$A$2:$A$63))</f>
        <v>46352</v>
      </c>
      <c r="AC146" s="319">
        <f>AB146+15</f>
        <v>46367</v>
      </c>
      <c r="AD146" s="319">
        <f>AC146</f>
        <v>46367</v>
      </c>
      <c r="AE146" s="319">
        <f>AD146+2</f>
        <v>46369</v>
      </c>
      <c r="AF146" s="319">
        <f>AG146-30</f>
        <v>46502</v>
      </c>
      <c r="AG146" s="319">
        <f>AH146-14</f>
        <v>46532</v>
      </c>
      <c r="AH146" s="319">
        <f>AM146</f>
        <v>46546</v>
      </c>
      <c r="AI146" s="319">
        <f>AM146+14</f>
        <v>46560</v>
      </c>
      <c r="AJ146" s="319">
        <f>AM146+30</f>
        <v>46576</v>
      </c>
      <c r="AK146" s="343"/>
      <c r="AL146" s="321">
        <f>AK145*7</f>
        <v>252</v>
      </c>
      <c r="AM146" s="319">
        <f>IF(X146&lt;&gt;"",X146+AL146,X147+AL146)</f>
        <v>46546</v>
      </c>
      <c r="AN146" s="389">
        <f>AU145-7</f>
        <v>46591</v>
      </c>
      <c r="AO146" s="322">
        <f>AP146-7</f>
        <v>46498</v>
      </c>
      <c r="AP146" s="322">
        <v>46505</v>
      </c>
      <c r="AQ146" s="322"/>
      <c r="AR146" s="314">
        <f>AN146-AM146</f>
        <v>45</v>
      </c>
      <c r="AS146" s="323"/>
      <c r="AT146" s="324" t="s">
        <v>66</v>
      </c>
      <c r="AU146" s="390">
        <v>46598</v>
      </c>
      <c r="AV146" s="265"/>
    </row>
    <row r="147" spans="1:48" s="264" customFormat="1" ht="25.05" customHeight="1">
      <c r="A147" s="327"/>
      <c r="B147" s="328" t="s">
        <v>196</v>
      </c>
      <c r="C147" s="328" t="s">
        <v>197</v>
      </c>
      <c r="D147" s="329"/>
      <c r="E147" s="330"/>
      <c r="F147" s="344"/>
      <c r="G147" s="332"/>
      <c r="H147" s="333"/>
      <c r="I147" s="332" t="s">
        <v>132</v>
      </c>
      <c r="J147" s="328" t="s">
        <v>72</v>
      </c>
      <c r="K147" s="310">
        <v>2</v>
      </c>
      <c r="L147" s="328" t="s">
        <v>7</v>
      </c>
      <c r="M147" s="334" t="s">
        <v>67</v>
      </c>
      <c r="N147" s="335">
        <v>46133</v>
      </c>
      <c r="O147" s="335">
        <v>46165</v>
      </c>
      <c r="P147" s="335">
        <v>46182</v>
      </c>
      <c r="Q147" s="335">
        <v>46182</v>
      </c>
      <c r="R147" s="335">
        <v>46182</v>
      </c>
      <c r="S147" s="335">
        <v>46182</v>
      </c>
      <c r="T147" s="335">
        <v>46190</v>
      </c>
      <c r="U147" s="335"/>
      <c r="V147" s="335"/>
      <c r="W147" s="335"/>
      <c r="X147" s="332"/>
      <c r="Y147" s="335"/>
      <c r="Z147" s="335"/>
      <c r="AA147" s="335"/>
      <c r="AB147" s="335"/>
      <c r="AC147" s="335"/>
      <c r="AD147" s="335"/>
      <c r="AE147" s="335"/>
      <c r="AF147" s="335"/>
      <c r="AG147" s="335"/>
      <c r="AH147" s="335"/>
      <c r="AI147" s="335"/>
      <c r="AJ147" s="335"/>
      <c r="AK147" s="336"/>
      <c r="AL147" s="337"/>
      <c r="AM147" s="335"/>
      <c r="AN147" s="338"/>
      <c r="AO147" s="338"/>
      <c r="AP147" s="338"/>
      <c r="AQ147" s="338"/>
      <c r="AR147" s="332"/>
      <c r="AS147" s="339"/>
      <c r="AT147" s="340"/>
      <c r="AU147" s="339"/>
    </row>
    <row r="148" spans="1:48" s="264" customFormat="1" ht="25.05" customHeight="1">
      <c r="A148" s="309">
        <v>46</v>
      </c>
      <c r="B148" s="310" t="s">
        <v>199</v>
      </c>
      <c r="C148" s="310" t="s">
        <v>200</v>
      </c>
      <c r="D148" s="361"/>
      <c r="E148" s="312"/>
      <c r="F148" s="362"/>
      <c r="G148" s="314"/>
      <c r="H148" s="315"/>
      <c r="I148" s="314" t="s">
        <v>201</v>
      </c>
      <c r="J148" s="310"/>
      <c r="K148" s="316"/>
      <c r="L148" s="310" t="s">
        <v>8</v>
      </c>
      <c r="M148" s="317" t="s">
        <v>61</v>
      </c>
      <c r="N148" s="318"/>
      <c r="O148" s="319">
        <v>46189</v>
      </c>
      <c r="P148" s="319">
        <v>46198</v>
      </c>
      <c r="Q148" s="319">
        <v>46199</v>
      </c>
      <c r="R148" s="319">
        <v>46206</v>
      </c>
      <c r="S148" s="319">
        <v>46207</v>
      </c>
      <c r="T148" s="319">
        <v>46223</v>
      </c>
      <c r="U148" s="319">
        <v>46249</v>
      </c>
      <c r="V148" s="319">
        <v>46262</v>
      </c>
      <c r="W148" s="319"/>
      <c r="X148" s="319">
        <v>46275</v>
      </c>
      <c r="Y148" s="319">
        <v>46279</v>
      </c>
      <c r="Z148" s="319">
        <v>46286</v>
      </c>
      <c r="AA148" s="319">
        <v>46315</v>
      </c>
      <c r="AB148" s="319">
        <v>46330</v>
      </c>
      <c r="AC148" s="319">
        <v>46345</v>
      </c>
      <c r="AD148" s="319">
        <v>46345</v>
      </c>
      <c r="AE148" s="319">
        <v>46347</v>
      </c>
      <c r="AF148" s="319">
        <v>46434</v>
      </c>
      <c r="AG148" s="319">
        <v>46448</v>
      </c>
      <c r="AH148" s="319">
        <v>46455</v>
      </c>
      <c r="AI148" s="319">
        <v>46469</v>
      </c>
      <c r="AJ148" s="319">
        <v>46485</v>
      </c>
      <c r="AK148" s="320">
        <v>25.714285714285701</v>
      </c>
      <c r="AL148" s="321"/>
      <c r="AM148" s="319">
        <f>X148+AL149</f>
        <v>46455</v>
      </c>
      <c r="AN148" s="322"/>
      <c r="AO148" s="322"/>
      <c r="AP148" s="322"/>
      <c r="AQ148" s="322"/>
      <c r="AR148" s="314">
        <f>AN149-AM148</f>
        <v>7</v>
      </c>
      <c r="AS148" s="323"/>
      <c r="AT148" s="324" t="s">
        <v>62</v>
      </c>
      <c r="AU148" s="325">
        <v>46469</v>
      </c>
    </row>
    <row r="149" spans="1:48" s="264" customFormat="1" ht="25.05" customHeight="1">
      <c r="A149" s="309"/>
      <c r="B149" s="310" t="s">
        <v>199</v>
      </c>
      <c r="C149" s="310" t="s">
        <v>200</v>
      </c>
      <c r="D149" s="363"/>
      <c r="E149" s="312"/>
      <c r="F149" s="363"/>
      <c r="G149" s="314">
        <v>42</v>
      </c>
      <c r="H149" s="315" t="s">
        <v>202</v>
      </c>
      <c r="I149" s="314" t="s">
        <v>201</v>
      </c>
      <c r="J149" s="310" t="s">
        <v>72</v>
      </c>
      <c r="K149" s="310">
        <v>3</v>
      </c>
      <c r="L149" s="310" t="s">
        <v>8</v>
      </c>
      <c r="M149" s="317" t="s">
        <v>65</v>
      </c>
      <c r="N149" s="319"/>
      <c r="O149" s="319"/>
      <c r="P149" s="319"/>
      <c r="Q149" s="319"/>
      <c r="R149" s="319"/>
      <c r="S149" s="319"/>
      <c r="T149" s="319">
        <v>46223</v>
      </c>
      <c r="U149" s="319">
        <v>46249</v>
      </c>
      <c r="V149" s="319">
        <f>WORKDAY.INTL(U149,INDEX(V$8:V$11,MATCH($L149,$L$8:$L$11,0)),1,IF(V$18="China",'China Holidays'!$A$2:$A$82,'Thai Holidays'!$A$2:$A$63))</f>
        <v>46262</v>
      </c>
      <c r="W149" s="319"/>
      <c r="X149" s="319">
        <f>WORKDAY.INTL(V149,INDEX(X$8:X$11,MATCH($L149,$L$8:$L$11,0)),1,IF(X$18="China",'China Holidays'!$A$2:$A$82,'Thai Holidays'!$A$2:$A$63))</f>
        <v>46275</v>
      </c>
      <c r="Y149" s="319">
        <f>WORKDAY.INTL(X149,INDEX(Y$12:Y$15,MATCH($L149,$L$12:$L$15,0)),1,IF(Y$18="China",'China Holidays'!$A$2:$A$82,'Thai Holidays'!$A$2:$A$63))</f>
        <v>46279</v>
      </c>
      <c r="Z149" s="319">
        <f>WORKDAY.INTL(Y149,INDEX(Z$12:Z$15,MATCH($L149,$L$12:$L$15,0)),1,IF(Z$18="China",'China Holidays'!$A$2:$A$82,'Thai Holidays'!$A$2:$A$63))</f>
        <v>46286</v>
      </c>
      <c r="AA149" s="319">
        <f>WORKDAY.INTL(Z149,INDEX(AA$12:AA$15,MATCH($L149,$L$12:$L$15,0)),1,IF(AA$18="China",'China Holidays'!$A$2:$A$82,'Thai Holidays'!$A$2:$A$63))</f>
        <v>46315</v>
      </c>
      <c r="AB149" s="319">
        <f>WORKDAY.INTL(AA149,INDEX(AB$12:AB$15,MATCH($L149,$L$12:$L$15,0)),1,IF(AB$18="China",'China Holidays'!$A$2:$A$82,'Thai Holidays'!$A$2:$A$63))</f>
        <v>46330</v>
      </c>
      <c r="AC149" s="319">
        <f>AB149+15</f>
        <v>46345</v>
      </c>
      <c r="AD149" s="319">
        <f>AC149</f>
        <v>46345</v>
      </c>
      <c r="AE149" s="319">
        <f>AD149+2</f>
        <v>46347</v>
      </c>
      <c r="AF149" s="319">
        <f>AG149-14</f>
        <v>46434</v>
      </c>
      <c r="AG149" s="319">
        <f>AH149-7</f>
        <v>46448</v>
      </c>
      <c r="AH149" s="319">
        <f>AM149</f>
        <v>46455</v>
      </c>
      <c r="AI149" s="319">
        <f>AM149+14</f>
        <v>46469</v>
      </c>
      <c r="AJ149" s="319">
        <f>AM149+30</f>
        <v>46485</v>
      </c>
      <c r="AK149" s="343"/>
      <c r="AL149" s="321">
        <f>AK148*7</f>
        <v>179.99999999999991</v>
      </c>
      <c r="AM149" s="319">
        <f>IF(X149&lt;&gt;"",X149+AL149,X150+AL149)</f>
        <v>46455</v>
      </c>
      <c r="AN149" s="322">
        <f>AU148-7</f>
        <v>46462</v>
      </c>
      <c r="AO149" s="322">
        <f>AP149-7</f>
        <v>46454</v>
      </c>
      <c r="AP149" s="322">
        <v>46461</v>
      </c>
      <c r="AQ149" s="322"/>
      <c r="AR149" s="314">
        <f>AN149-AM149</f>
        <v>7</v>
      </c>
      <c r="AS149" s="323"/>
      <c r="AT149" s="324" t="s">
        <v>66</v>
      </c>
      <c r="AU149" s="325">
        <v>46480</v>
      </c>
      <c r="AV149" s="265"/>
    </row>
    <row r="150" spans="1:48" s="264" customFormat="1" ht="25.05" customHeight="1">
      <c r="A150" s="327"/>
      <c r="B150" s="328" t="s">
        <v>199</v>
      </c>
      <c r="C150" s="328" t="s">
        <v>200</v>
      </c>
      <c r="D150" s="364"/>
      <c r="E150" s="330"/>
      <c r="F150" s="364"/>
      <c r="G150" s="332"/>
      <c r="H150" s="333"/>
      <c r="I150" s="332" t="s">
        <v>201</v>
      </c>
      <c r="J150" s="328" t="s">
        <v>72</v>
      </c>
      <c r="K150" s="310">
        <v>3</v>
      </c>
      <c r="L150" s="328" t="s">
        <v>8</v>
      </c>
      <c r="M150" s="334" t="s">
        <v>67</v>
      </c>
      <c r="N150" s="335"/>
      <c r="O150" s="335">
        <v>46169</v>
      </c>
      <c r="P150" s="335">
        <v>46188</v>
      </c>
      <c r="Q150" s="335">
        <v>46188</v>
      </c>
      <c r="R150" s="335">
        <v>46188</v>
      </c>
      <c r="S150" s="335">
        <v>46212</v>
      </c>
      <c r="T150" s="335"/>
      <c r="U150" s="335"/>
      <c r="V150" s="335"/>
      <c r="W150" s="335"/>
      <c r="X150" s="332"/>
      <c r="Y150" s="335"/>
      <c r="Z150" s="335"/>
      <c r="AA150" s="335"/>
      <c r="AB150" s="335"/>
      <c r="AC150" s="335"/>
      <c r="AD150" s="335"/>
      <c r="AE150" s="335"/>
      <c r="AF150" s="335"/>
      <c r="AG150" s="335"/>
      <c r="AH150" s="335"/>
      <c r="AI150" s="335"/>
      <c r="AJ150" s="335"/>
      <c r="AK150" s="336"/>
      <c r="AL150" s="337"/>
      <c r="AM150" s="335"/>
      <c r="AN150" s="338"/>
      <c r="AO150" s="338"/>
      <c r="AP150" s="338"/>
      <c r="AQ150" s="338"/>
      <c r="AR150" s="332"/>
      <c r="AS150" s="339"/>
      <c r="AT150" s="340"/>
      <c r="AU150" s="339"/>
    </row>
    <row r="151" spans="1:48" s="264" customFormat="1" ht="25.05" customHeight="1">
      <c r="A151" s="309">
        <v>47</v>
      </c>
      <c r="B151" s="310" t="s">
        <v>203</v>
      </c>
      <c r="C151" s="310" t="s">
        <v>204</v>
      </c>
      <c r="D151" s="361"/>
      <c r="E151" s="312"/>
      <c r="F151" s="362"/>
      <c r="G151" s="314"/>
      <c r="H151" s="315"/>
      <c r="I151" s="314" t="s">
        <v>201</v>
      </c>
      <c r="J151" s="310"/>
      <c r="K151" s="316"/>
      <c r="L151" s="310" t="s">
        <v>8</v>
      </c>
      <c r="M151" s="317" t="s">
        <v>61</v>
      </c>
      <c r="N151" s="318"/>
      <c r="O151" s="319">
        <v>46189</v>
      </c>
      <c r="P151" s="319">
        <v>46198</v>
      </c>
      <c r="Q151" s="319">
        <v>46199</v>
      </c>
      <c r="R151" s="319">
        <v>46206</v>
      </c>
      <c r="S151" s="319">
        <v>46207</v>
      </c>
      <c r="T151" s="319">
        <v>46223</v>
      </c>
      <c r="U151" s="319">
        <v>46249</v>
      </c>
      <c r="V151" s="319">
        <v>46262</v>
      </c>
      <c r="W151" s="319"/>
      <c r="X151" s="319">
        <v>46275</v>
      </c>
      <c r="Y151" s="319">
        <v>46279</v>
      </c>
      <c r="Z151" s="319">
        <v>46286</v>
      </c>
      <c r="AA151" s="319">
        <v>46315</v>
      </c>
      <c r="AB151" s="319">
        <v>46330</v>
      </c>
      <c r="AC151" s="319">
        <v>46345</v>
      </c>
      <c r="AD151" s="319">
        <v>46345</v>
      </c>
      <c r="AE151" s="319">
        <v>46347</v>
      </c>
      <c r="AF151" s="319">
        <v>46366</v>
      </c>
      <c r="AG151" s="319">
        <v>46380</v>
      </c>
      <c r="AH151" s="319">
        <v>46387</v>
      </c>
      <c r="AI151" s="319">
        <v>46401</v>
      </c>
      <c r="AJ151" s="319">
        <v>46417</v>
      </c>
      <c r="AK151" s="320">
        <v>16</v>
      </c>
      <c r="AL151" s="321"/>
      <c r="AM151" s="319">
        <f>X151+AL152</f>
        <v>46387</v>
      </c>
      <c r="AN151" s="348">
        <f>AM151-AH151</f>
        <v>0</v>
      </c>
      <c r="AO151" s="322"/>
      <c r="AP151" s="322"/>
      <c r="AQ151" s="322"/>
      <c r="AR151" s="314">
        <f>AN152-AM151</f>
        <v>75</v>
      </c>
      <c r="AS151" s="323"/>
      <c r="AT151" s="324" t="s">
        <v>62</v>
      </c>
      <c r="AU151" s="325">
        <v>46469</v>
      </c>
    </row>
    <row r="152" spans="1:48" s="264" customFormat="1" ht="25.05" customHeight="1">
      <c r="A152" s="309"/>
      <c r="B152" s="310" t="s">
        <v>203</v>
      </c>
      <c r="C152" s="310" t="s">
        <v>204</v>
      </c>
      <c r="D152" s="363"/>
      <c r="E152" s="312"/>
      <c r="F152" s="363"/>
      <c r="G152" s="314">
        <v>110</v>
      </c>
      <c r="H152" s="315" t="s">
        <v>205</v>
      </c>
      <c r="I152" s="314" t="s">
        <v>201</v>
      </c>
      <c r="J152" s="310" t="s">
        <v>72</v>
      </c>
      <c r="K152" s="310">
        <v>3</v>
      </c>
      <c r="L152" s="310" t="s">
        <v>8</v>
      </c>
      <c r="M152" s="317" t="s">
        <v>65</v>
      </c>
      <c r="N152" s="319"/>
      <c r="O152" s="319"/>
      <c r="P152" s="319"/>
      <c r="Q152" s="319"/>
      <c r="R152" s="319"/>
      <c r="S152" s="319"/>
      <c r="T152" s="319">
        <v>46223</v>
      </c>
      <c r="U152" s="319">
        <v>46249</v>
      </c>
      <c r="V152" s="319">
        <f>WORKDAY.INTL(U152,INDEX(V$8:V$11,MATCH($L152,$L$8:$L$11,0)),1,IF(V$18="China",'China Holidays'!$A$2:$A$82,'Thai Holidays'!$A$2:$A$63))</f>
        <v>46262</v>
      </c>
      <c r="W152" s="319"/>
      <c r="X152" s="319">
        <f>WORKDAY.INTL(V152,INDEX(X$8:X$11,MATCH($L152,$L$8:$L$11,0)),1,IF(X$18="China",'China Holidays'!$A$2:$A$82,'Thai Holidays'!$A$2:$A$63))</f>
        <v>46275</v>
      </c>
      <c r="Y152" s="319">
        <f>WORKDAY.INTL(X152,INDEX(Y$12:Y$15,MATCH($L152,$L$12:$L$15,0)),1,IF(Y$18="China",'China Holidays'!$A$2:$A$82,'Thai Holidays'!$A$2:$A$63))</f>
        <v>46279</v>
      </c>
      <c r="Z152" s="319">
        <f>WORKDAY.INTL(Y152,INDEX(Z$12:Z$15,MATCH($L152,$L$12:$L$15,0)),1,IF(Z$18="China",'China Holidays'!$A$2:$A$82,'Thai Holidays'!$A$2:$A$63))</f>
        <v>46286</v>
      </c>
      <c r="AA152" s="319">
        <f>WORKDAY.INTL(Z152,INDEX(AA$12:AA$15,MATCH($L152,$L$12:$L$15,0)),1,IF(AA$18="China",'China Holidays'!$A$2:$A$82,'Thai Holidays'!$A$2:$A$63))</f>
        <v>46315</v>
      </c>
      <c r="AB152" s="319">
        <f>WORKDAY.INTL(AA152,INDEX(AB$12:AB$15,MATCH($L152,$L$12:$L$15,0)),1,IF(AB$18="China",'China Holidays'!$A$2:$A$82,'Thai Holidays'!$A$2:$A$63))</f>
        <v>46330</v>
      </c>
      <c r="AC152" s="319">
        <f>AB152+15</f>
        <v>46345</v>
      </c>
      <c r="AD152" s="319">
        <f>AC152</f>
        <v>46345</v>
      </c>
      <c r="AE152" s="319">
        <f>AD152+2</f>
        <v>46347</v>
      </c>
      <c r="AF152" s="319">
        <f>AG152-14</f>
        <v>46366</v>
      </c>
      <c r="AG152" s="319">
        <f>AH152-7</f>
        <v>46380</v>
      </c>
      <c r="AH152" s="319">
        <f>AM152</f>
        <v>46387</v>
      </c>
      <c r="AI152" s="319">
        <f>AH152+14</f>
        <v>46401</v>
      </c>
      <c r="AJ152" s="319">
        <f>AH152+30</f>
        <v>46417</v>
      </c>
      <c r="AK152" s="343"/>
      <c r="AL152" s="321">
        <f>AK151*7</f>
        <v>112</v>
      </c>
      <c r="AM152" s="319">
        <f>IF(X152&lt;&gt;"",X152+AL152,X153+AL152)</f>
        <v>46387</v>
      </c>
      <c r="AN152" s="322">
        <f>AU151-7</f>
        <v>46462</v>
      </c>
      <c r="AO152" s="322">
        <f>AP152-7</f>
        <v>46530</v>
      </c>
      <c r="AP152" s="322">
        <v>46537</v>
      </c>
      <c r="AQ152" s="322"/>
      <c r="AR152" s="314">
        <f>AN152-AM152</f>
        <v>75</v>
      </c>
      <c r="AS152" s="323"/>
      <c r="AT152" s="324" t="s">
        <v>66</v>
      </c>
      <c r="AU152" s="325">
        <v>46480</v>
      </c>
      <c r="AV152" s="265"/>
    </row>
    <row r="153" spans="1:48" s="264" customFormat="1" ht="25.05" customHeight="1">
      <c r="A153" s="327"/>
      <c r="B153" s="328" t="s">
        <v>203</v>
      </c>
      <c r="C153" s="328" t="s">
        <v>204</v>
      </c>
      <c r="D153" s="364"/>
      <c r="E153" s="330"/>
      <c r="F153" s="364"/>
      <c r="G153" s="332"/>
      <c r="H153" s="333"/>
      <c r="I153" s="332" t="s">
        <v>201</v>
      </c>
      <c r="J153" s="328" t="s">
        <v>72</v>
      </c>
      <c r="K153" s="310">
        <v>3</v>
      </c>
      <c r="L153" s="328" t="s">
        <v>8</v>
      </c>
      <c r="M153" s="334" t="s">
        <v>67</v>
      </c>
      <c r="N153" s="335"/>
      <c r="O153" s="335">
        <v>46169</v>
      </c>
      <c r="P153" s="335">
        <v>46188</v>
      </c>
      <c r="Q153" s="335">
        <v>46188</v>
      </c>
      <c r="R153" s="335">
        <v>46188</v>
      </c>
      <c r="S153" s="335">
        <v>46212</v>
      </c>
      <c r="T153" s="335"/>
      <c r="U153" s="335"/>
      <c r="V153" s="335"/>
      <c r="W153" s="335"/>
      <c r="X153" s="332"/>
      <c r="Y153" s="335"/>
      <c r="Z153" s="335"/>
      <c r="AA153" s="335"/>
      <c r="AB153" s="335"/>
      <c r="AC153" s="335"/>
      <c r="AD153" s="335"/>
      <c r="AE153" s="335"/>
      <c r="AF153" s="335"/>
      <c r="AG153" s="335"/>
      <c r="AH153" s="335"/>
      <c r="AI153" s="335"/>
      <c r="AJ153" s="335"/>
      <c r="AK153" s="336"/>
      <c r="AL153" s="337"/>
      <c r="AM153" s="335"/>
      <c r="AN153" s="338"/>
      <c r="AO153" s="338"/>
      <c r="AP153" s="338"/>
      <c r="AQ153" s="338"/>
      <c r="AR153" s="332"/>
      <c r="AS153" s="339"/>
      <c r="AT153" s="340"/>
      <c r="AU153" s="339"/>
    </row>
    <row r="154" spans="1:48" s="264" customFormat="1" ht="25.05" customHeight="1">
      <c r="A154" s="309">
        <v>48</v>
      </c>
      <c r="B154" s="310" t="s">
        <v>206</v>
      </c>
      <c r="C154" s="310" t="s">
        <v>207</v>
      </c>
      <c r="D154" s="311"/>
      <c r="E154" s="312"/>
      <c r="F154" s="313"/>
      <c r="G154" s="314"/>
      <c r="H154" s="315"/>
      <c r="I154" s="314" t="s">
        <v>83</v>
      </c>
      <c r="J154" s="310"/>
      <c r="K154" s="316"/>
      <c r="L154" s="310" t="s">
        <v>8</v>
      </c>
      <c r="M154" s="317" t="s">
        <v>61</v>
      </c>
      <c r="N154" s="318"/>
      <c r="O154" s="319">
        <v>46163</v>
      </c>
      <c r="P154" s="319">
        <v>46170</v>
      </c>
      <c r="Q154" s="319">
        <v>46171</v>
      </c>
      <c r="R154" s="319">
        <v>46182</v>
      </c>
      <c r="S154" s="319">
        <v>46183</v>
      </c>
      <c r="T154" s="319">
        <v>46197</v>
      </c>
      <c r="U154" s="319">
        <v>46218</v>
      </c>
      <c r="V154" s="319">
        <v>46234</v>
      </c>
      <c r="W154" s="319"/>
      <c r="X154" s="319">
        <v>46247</v>
      </c>
      <c r="Y154" s="319">
        <v>46251</v>
      </c>
      <c r="Z154" s="319">
        <v>46258</v>
      </c>
      <c r="AA154" s="319">
        <v>46279</v>
      </c>
      <c r="AB154" s="319">
        <v>46293</v>
      </c>
      <c r="AC154" s="319">
        <v>46353</v>
      </c>
      <c r="AD154" s="319">
        <v>46356</v>
      </c>
      <c r="AE154" s="319">
        <v>46357</v>
      </c>
      <c r="AF154" s="319">
        <v>46406</v>
      </c>
      <c r="AG154" s="319">
        <v>46420</v>
      </c>
      <c r="AH154" s="319">
        <v>46427</v>
      </c>
      <c r="AI154" s="319">
        <v>46441</v>
      </c>
      <c r="AJ154" s="319">
        <v>46457</v>
      </c>
      <c r="AK154" s="320">
        <v>25.714285714285701</v>
      </c>
      <c r="AL154" s="321"/>
      <c r="AM154" s="319">
        <f>X154+AL155</f>
        <v>46427</v>
      </c>
      <c r="AN154" s="322"/>
      <c r="AO154" s="322"/>
      <c r="AP154" s="322"/>
      <c r="AQ154" s="322"/>
      <c r="AR154" s="314">
        <f>AN155-AM154</f>
        <v>25</v>
      </c>
      <c r="AS154" s="323"/>
      <c r="AT154" s="324" t="s">
        <v>62</v>
      </c>
      <c r="AU154" s="325">
        <v>46459</v>
      </c>
    </row>
    <row r="155" spans="1:48" s="264" customFormat="1" ht="25.05" customHeight="1">
      <c r="A155" s="309"/>
      <c r="B155" s="310" t="s">
        <v>206</v>
      </c>
      <c r="C155" s="310" t="s">
        <v>207</v>
      </c>
      <c r="D155" s="311"/>
      <c r="E155" s="312"/>
      <c r="F155" s="342"/>
      <c r="G155" s="314">
        <v>35</v>
      </c>
      <c r="H155" s="315" t="s">
        <v>208</v>
      </c>
      <c r="I155" s="314" t="s">
        <v>83</v>
      </c>
      <c r="J155" s="310" t="s">
        <v>64</v>
      </c>
      <c r="K155" s="310" t="s">
        <v>209</v>
      </c>
      <c r="L155" s="310" t="s">
        <v>8</v>
      </c>
      <c r="M155" s="317" t="s">
        <v>65</v>
      </c>
      <c r="N155" s="319"/>
      <c r="O155" s="319"/>
      <c r="P155" s="319"/>
      <c r="Q155" s="319"/>
      <c r="R155" s="319"/>
      <c r="S155" s="319"/>
      <c r="T155" s="319"/>
      <c r="U155" s="319">
        <v>46226</v>
      </c>
      <c r="V155" s="319">
        <f>WORKDAY.INTL(U155,INDEX(V$8:V$11,MATCH($L155,$L$8:$L$11,0)),1,IF(V$18="China",'China Holidays'!$A$2:$A$82,'Thai Holidays'!$A$2:$A$63))</f>
        <v>46244</v>
      </c>
      <c r="W155" s="319"/>
      <c r="X155" s="319">
        <f>WORKDAY.INTL(V155,INDEX(X$8:X$11,MATCH($L155,$L$8:$L$11,0)),1,IF(X$18="China",'China Holidays'!$A$2:$A$82,'Thai Holidays'!$A$2:$A$63))</f>
        <v>46255</v>
      </c>
      <c r="Y155" s="319">
        <f>WORKDAY.INTL(X155,INDEX(Y$12:Y$15,MATCH($L155,$L$12:$L$15,0)),1,IF(Y$18="China",'China Holidays'!$A$2:$A$82,'Thai Holidays'!$A$2:$A$63))</f>
        <v>46259</v>
      </c>
      <c r="Z155" s="319">
        <f>WORKDAY.INTL(Y155,INDEX(Z$12:Z$15,MATCH($L155,$L$12:$L$15,0)),1,IF(Z$18="China",'China Holidays'!$A$2:$A$82,'Thai Holidays'!$A$2:$A$63))</f>
        <v>46266</v>
      </c>
      <c r="AA155" s="319">
        <f>WORKDAY.INTL(Z155,INDEX(AA$12:AA$15,MATCH($L155,$L$12:$L$15,0)),1,IF(AA$18="China",'China Holidays'!$A$2:$A$82,'Thai Holidays'!$A$2:$A$63))</f>
        <v>46287</v>
      </c>
      <c r="AB155" s="319">
        <f>WORKDAY.INTL(AA155,INDEX(AB$12:AB$15,MATCH($L155,$L$12:$L$15,0)),1,IF(AB$18="China",'China Holidays'!$A$2:$A$82,'Thai Holidays'!$A$2:$A$63))</f>
        <v>46301</v>
      </c>
      <c r="AC155" s="319">
        <f>AB155+60</f>
        <v>46361</v>
      </c>
      <c r="AD155" s="319">
        <f>AC155+3</f>
        <v>46364</v>
      </c>
      <c r="AE155" s="319">
        <f>AD155+1</f>
        <v>46365</v>
      </c>
      <c r="AF155" s="319">
        <f>AG155-14</f>
        <v>46414</v>
      </c>
      <c r="AG155" s="319">
        <f>AH155-7</f>
        <v>46428</v>
      </c>
      <c r="AH155" s="319">
        <f>AM155</f>
        <v>46435</v>
      </c>
      <c r="AI155" s="319">
        <f>AM155+14</f>
        <v>46449</v>
      </c>
      <c r="AJ155" s="319">
        <f>AM155+30</f>
        <v>46465</v>
      </c>
      <c r="AK155" s="343"/>
      <c r="AL155" s="321">
        <f>AK154*7</f>
        <v>179.99999999999991</v>
      </c>
      <c r="AM155" s="319">
        <f>IF(X155&lt;&gt;"",X155+AL155,X156+AL155)</f>
        <v>46435</v>
      </c>
      <c r="AN155" s="322">
        <f>AU154-7</f>
        <v>46452</v>
      </c>
      <c r="AO155" s="322">
        <f>AP155-7</f>
        <v>46469</v>
      </c>
      <c r="AP155" s="322">
        <v>46476</v>
      </c>
      <c r="AQ155" s="322"/>
      <c r="AR155" s="314">
        <f>AN155-AM155</f>
        <v>17</v>
      </c>
      <c r="AS155" s="323"/>
      <c r="AT155" s="324" t="s">
        <v>66</v>
      </c>
      <c r="AU155" s="325">
        <v>46476</v>
      </c>
      <c r="AV155" s="265"/>
    </row>
    <row r="156" spans="1:48" s="264" customFormat="1" ht="25.05" customHeight="1">
      <c r="A156" s="327"/>
      <c r="B156" s="328" t="s">
        <v>206</v>
      </c>
      <c r="C156" s="328" t="s">
        <v>207</v>
      </c>
      <c r="D156" s="329"/>
      <c r="E156" s="330"/>
      <c r="F156" s="344"/>
      <c r="G156" s="332"/>
      <c r="H156" s="333"/>
      <c r="I156" s="332" t="s">
        <v>83</v>
      </c>
      <c r="J156" s="328" t="s">
        <v>64</v>
      </c>
      <c r="K156" s="442" t="s">
        <v>209</v>
      </c>
      <c r="L156" s="328" t="s">
        <v>8</v>
      </c>
      <c r="M156" s="334" t="s">
        <v>67</v>
      </c>
      <c r="N156" s="335">
        <v>46174</v>
      </c>
      <c r="O156" s="335">
        <v>46167</v>
      </c>
      <c r="P156" s="335">
        <v>46183</v>
      </c>
      <c r="Q156" s="335">
        <v>46183</v>
      </c>
      <c r="R156" s="335">
        <v>46183</v>
      </c>
      <c r="S156" s="335">
        <v>46188</v>
      </c>
      <c r="T156" s="335">
        <v>46198</v>
      </c>
      <c r="U156" s="356">
        <v>46227</v>
      </c>
      <c r="V156" s="335"/>
      <c r="W156" s="335"/>
      <c r="X156" s="332"/>
      <c r="Y156" s="335"/>
      <c r="Z156" s="335"/>
      <c r="AA156" s="335"/>
      <c r="AB156" s="335"/>
      <c r="AC156" s="335"/>
      <c r="AD156" s="335"/>
      <c r="AE156" s="335"/>
      <c r="AF156" s="335"/>
      <c r="AG156" s="335"/>
      <c r="AH156" s="335"/>
      <c r="AI156" s="335"/>
      <c r="AJ156" s="335"/>
      <c r="AK156" s="336"/>
      <c r="AL156" s="337"/>
      <c r="AM156" s="335"/>
      <c r="AN156" s="338"/>
      <c r="AO156" s="338"/>
      <c r="AP156" s="338"/>
      <c r="AQ156" s="338" t="s">
        <v>210</v>
      </c>
      <c r="AR156" s="332"/>
      <c r="AS156" s="339"/>
      <c r="AT156" s="340"/>
      <c r="AU156" s="339"/>
    </row>
    <row r="157" spans="1:48" s="264" customFormat="1" ht="25.05" customHeight="1">
      <c r="A157" s="309">
        <v>49</v>
      </c>
      <c r="B157" s="310" t="s">
        <v>211</v>
      </c>
      <c r="C157" s="310" t="s">
        <v>212</v>
      </c>
      <c r="D157" s="311"/>
      <c r="E157" s="312"/>
      <c r="F157" s="313"/>
      <c r="G157" s="314"/>
      <c r="H157" s="315"/>
      <c r="I157" s="314" t="s">
        <v>83</v>
      </c>
      <c r="J157" s="310"/>
      <c r="K157" s="316"/>
      <c r="L157" s="310" t="s">
        <v>8</v>
      </c>
      <c r="M157" s="317" t="s">
        <v>61</v>
      </c>
      <c r="N157" s="318"/>
      <c r="O157" s="319">
        <v>46163</v>
      </c>
      <c r="P157" s="319">
        <v>46170</v>
      </c>
      <c r="Q157" s="319">
        <v>46171</v>
      </c>
      <c r="R157" s="319">
        <v>46182</v>
      </c>
      <c r="S157" s="319">
        <v>46183</v>
      </c>
      <c r="T157" s="319">
        <v>46197</v>
      </c>
      <c r="U157" s="319">
        <v>46218</v>
      </c>
      <c r="V157" s="319">
        <v>46234</v>
      </c>
      <c r="W157" s="319"/>
      <c r="X157" s="319">
        <v>46247</v>
      </c>
      <c r="Y157" s="319">
        <v>46251</v>
      </c>
      <c r="Z157" s="319">
        <v>46258</v>
      </c>
      <c r="AA157" s="319">
        <v>46279</v>
      </c>
      <c r="AB157" s="319">
        <v>46293</v>
      </c>
      <c r="AC157" s="319">
        <v>46353</v>
      </c>
      <c r="AD157" s="319">
        <v>46356</v>
      </c>
      <c r="AE157" s="319">
        <v>46357</v>
      </c>
      <c r="AF157" s="319">
        <v>46406</v>
      </c>
      <c r="AG157" s="319">
        <v>46420</v>
      </c>
      <c r="AH157" s="319">
        <v>46427</v>
      </c>
      <c r="AI157" s="319">
        <v>46441</v>
      </c>
      <c r="AJ157" s="319">
        <v>46457</v>
      </c>
      <c r="AK157" s="320">
        <v>25.714285714285701</v>
      </c>
      <c r="AL157" s="321"/>
      <c r="AM157" s="319">
        <f>X157+AL158</f>
        <v>46427</v>
      </c>
      <c r="AN157" s="322"/>
      <c r="AO157" s="322"/>
      <c r="AP157" s="322"/>
      <c r="AQ157" s="322"/>
      <c r="AR157" s="314">
        <f>AN158-AM157</f>
        <v>25</v>
      </c>
      <c r="AS157" s="323"/>
      <c r="AT157" s="324" t="s">
        <v>62</v>
      </c>
      <c r="AU157" s="325">
        <v>46459</v>
      </c>
    </row>
    <row r="158" spans="1:48" s="264" customFormat="1" ht="25.05" customHeight="1">
      <c r="A158" s="309"/>
      <c r="B158" s="310" t="s">
        <v>211</v>
      </c>
      <c r="C158" s="310" t="s">
        <v>212</v>
      </c>
      <c r="D158" s="311"/>
      <c r="E158" s="312"/>
      <c r="F158" s="342"/>
      <c r="G158" s="314">
        <v>35</v>
      </c>
      <c r="H158" s="315" t="s">
        <v>208</v>
      </c>
      <c r="I158" s="314" t="s">
        <v>83</v>
      </c>
      <c r="J158" s="310" t="s">
        <v>64</v>
      </c>
      <c r="K158" s="310" t="s">
        <v>209</v>
      </c>
      <c r="L158" s="310" t="s">
        <v>8</v>
      </c>
      <c r="M158" s="317" t="s">
        <v>65</v>
      </c>
      <c r="N158" s="319"/>
      <c r="O158" s="319"/>
      <c r="P158" s="319"/>
      <c r="Q158" s="319"/>
      <c r="R158" s="319"/>
      <c r="S158" s="319"/>
      <c r="T158" s="319"/>
      <c r="U158" s="319">
        <v>46226</v>
      </c>
      <c r="V158" s="319">
        <f>WORKDAY.INTL(U158,INDEX(V$8:V$11,MATCH($L158,$L$8:$L$11,0)),1,IF(V$18="China",'China Holidays'!$A$2:$A$82,'Thai Holidays'!$A$2:$A$63))</f>
        <v>46244</v>
      </c>
      <c r="W158" s="319"/>
      <c r="X158" s="319">
        <f>WORKDAY.INTL(V158,INDEX(X$8:X$11,MATCH($L158,$L$8:$L$11,0)),1,IF(X$18="China",'China Holidays'!$A$2:$A$82,'Thai Holidays'!$A$2:$A$63))</f>
        <v>46255</v>
      </c>
      <c r="Y158" s="319">
        <f>WORKDAY.INTL(X158,INDEX(Y$12:Y$15,MATCH($L158,$L$12:$L$15,0)),1,IF(Y$18="China",'China Holidays'!$A$2:$A$82,'Thai Holidays'!$A$2:$A$63))</f>
        <v>46259</v>
      </c>
      <c r="Z158" s="319">
        <f>WORKDAY.INTL(Y158,INDEX(Z$12:Z$15,MATCH($L158,$L$12:$L$15,0)),1,IF(Z$18="China",'China Holidays'!$A$2:$A$82,'Thai Holidays'!$A$2:$A$63))</f>
        <v>46266</v>
      </c>
      <c r="AA158" s="319">
        <f>WORKDAY.INTL(Z158,INDEX(AA$12:AA$15,MATCH($L158,$L$12:$L$15,0)),1,IF(AA$18="China",'China Holidays'!$A$2:$A$82,'Thai Holidays'!$A$2:$A$63))</f>
        <v>46287</v>
      </c>
      <c r="AB158" s="319">
        <f>WORKDAY.INTL(AA158,INDEX(AB$12:AB$15,MATCH($L158,$L$12:$L$15,0)),1,IF(AB$18="China",'China Holidays'!$A$2:$A$82,'Thai Holidays'!$A$2:$A$63))</f>
        <v>46301</v>
      </c>
      <c r="AC158" s="319">
        <f>AB158+60</f>
        <v>46361</v>
      </c>
      <c r="AD158" s="319">
        <f>AC158+3</f>
        <v>46364</v>
      </c>
      <c r="AE158" s="319">
        <f>AD158+1</f>
        <v>46365</v>
      </c>
      <c r="AF158" s="319">
        <f>AG158-14</f>
        <v>46414</v>
      </c>
      <c r="AG158" s="319">
        <f>AH158-7</f>
        <v>46428</v>
      </c>
      <c r="AH158" s="319">
        <f>AM158</f>
        <v>46435</v>
      </c>
      <c r="AI158" s="319">
        <f>AM158+14</f>
        <v>46449</v>
      </c>
      <c r="AJ158" s="319">
        <f>AM158+30</f>
        <v>46465</v>
      </c>
      <c r="AK158" s="343"/>
      <c r="AL158" s="321">
        <f>AK157*7</f>
        <v>179.99999999999991</v>
      </c>
      <c r="AM158" s="319">
        <f>IF(X158&lt;&gt;"",X158+AL158,X159+AL158)</f>
        <v>46435</v>
      </c>
      <c r="AN158" s="322">
        <f>AU157-7</f>
        <v>46452</v>
      </c>
      <c r="AO158" s="322">
        <f>AP158-7</f>
        <v>46454</v>
      </c>
      <c r="AP158" s="322">
        <v>46461</v>
      </c>
      <c r="AQ158" s="322"/>
      <c r="AR158" s="314">
        <f>AN158-AM158</f>
        <v>17</v>
      </c>
      <c r="AS158" s="323"/>
      <c r="AT158" s="324" t="s">
        <v>66</v>
      </c>
      <c r="AU158" s="325">
        <v>46476</v>
      </c>
      <c r="AV158" s="265"/>
    </row>
    <row r="159" spans="1:48" s="264" customFormat="1" ht="25.05" customHeight="1">
      <c r="A159" s="327"/>
      <c r="B159" s="328" t="s">
        <v>211</v>
      </c>
      <c r="C159" s="328" t="s">
        <v>212</v>
      </c>
      <c r="D159" s="329"/>
      <c r="E159" s="330"/>
      <c r="F159" s="344"/>
      <c r="G159" s="332"/>
      <c r="H159" s="333"/>
      <c r="I159" s="332" t="s">
        <v>83</v>
      </c>
      <c r="J159" s="328" t="s">
        <v>64</v>
      </c>
      <c r="K159" s="442" t="s">
        <v>209</v>
      </c>
      <c r="L159" s="328" t="s">
        <v>8</v>
      </c>
      <c r="M159" s="334" t="s">
        <v>67</v>
      </c>
      <c r="N159" s="335">
        <v>46174</v>
      </c>
      <c r="O159" s="335">
        <v>46167</v>
      </c>
      <c r="P159" s="335">
        <v>46183</v>
      </c>
      <c r="Q159" s="335">
        <v>46183</v>
      </c>
      <c r="R159" s="335">
        <v>46183</v>
      </c>
      <c r="S159" s="335">
        <v>46188</v>
      </c>
      <c r="T159" s="335">
        <v>46198</v>
      </c>
      <c r="U159" s="356">
        <v>46227</v>
      </c>
      <c r="V159" s="335"/>
      <c r="W159" s="335"/>
      <c r="X159" s="332"/>
      <c r="Y159" s="335"/>
      <c r="Z159" s="335"/>
      <c r="AA159" s="335"/>
      <c r="AB159" s="335"/>
      <c r="AC159" s="335"/>
      <c r="AD159" s="335"/>
      <c r="AE159" s="335"/>
      <c r="AF159" s="335"/>
      <c r="AG159" s="335"/>
      <c r="AH159" s="335"/>
      <c r="AI159" s="335"/>
      <c r="AJ159" s="335"/>
      <c r="AK159" s="336"/>
      <c r="AL159" s="337"/>
      <c r="AM159" s="335"/>
      <c r="AN159" s="338"/>
      <c r="AO159" s="338"/>
      <c r="AP159" s="338"/>
      <c r="AQ159" s="338"/>
      <c r="AR159" s="332"/>
      <c r="AS159" s="339"/>
      <c r="AT159" s="340"/>
      <c r="AU159" s="339"/>
    </row>
    <row r="160" spans="1:48" s="264" customFormat="1" ht="25.05" customHeight="1">
      <c r="A160" s="309">
        <v>50</v>
      </c>
      <c r="B160" s="310" t="s">
        <v>213</v>
      </c>
      <c r="C160" s="310" t="s">
        <v>214</v>
      </c>
      <c r="D160" s="311"/>
      <c r="E160" s="312"/>
      <c r="F160" s="313"/>
      <c r="G160" s="314"/>
      <c r="H160" s="315"/>
      <c r="I160" s="314" t="s">
        <v>83</v>
      </c>
      <c r="J160" s="310"/>
      <c r="K160" s="316"/>
      <c r="L160" s="310" t="s">
        <v>8</v>
      </c>
      <c r="M160" s="317" t="s">
        <v>61</v>
      </c>
      <c r="N160" s="318"/>
      <c r="O160" s="319">
        <v>46163</v>
      </c>
      <c r="P160" s="319">
        <v>46170</v>
      </c>
      <c r="Q160" s="319">
        <v>46171</v>
      </c>
      <c r="R160" s="319">
        <v>46182</v>
      </c>
      <c r="S160" s="319">
        <v>46183</v>
      </c>
      <c r="T160" s="319">
        <v>46197</v>
      </c>
      <c r="U160" s="319">
        <v>46225</v>
      </c>
      <c r="V160" s="319">
        <v>46241</v>
      </c>
      <c r="W160" s="319"/>
      <c r="X160" s="319">
        <v>46254</v>
      </c>
      <c r="Y160" s="319">
        <v>46258</v>
      </c>
      <c r="Z160" s="319">
        <v>46265</v>
      </c>
      <c r="AA160" s="319">
        <v>46286</v>
      </c>
      <c r="AB160" s="319">
        <v>46300</v>
      </c>
      <c r="AC160" s="319">
        <v>46360</v>
      </c>
      <c r="AD160" s="319">
        <v>46363</v>
      </c>
      <c r="AE160" s="319">
        <v>46364</v>
      </c>
      <c r="AF160" s="319">
        <v>46413</v>
      </c>
      <c r="AG160" s="319">
        <v>46427</v>
      </c>
      <c r="AH160" s="319">
        <v>46434</v>
      </c>
      <c r="AI160" s="319">
        <v>46448</v>
      </c>
      <c r="AJ160" s="319">
        <v>46464</v>
      </c>
      <c r="AK160" s="320">
        <v>25.714285714285701</v>
      </c>
      <c r="AL160" s="321"/>
      <c r="AM160" s="319">
        <f>X160+AL161</f>
        <v>46434</v>
      </c>
      <c r="AN160" s="348">
        <f>AM160-AH160</f>
        <v>0</v>
      </c>
      <c r="AO160" s="322"/>
      <c r="AP160" s="322"/>
      <c r="AQ160" s="322"/>
      <c r="AR160" s="314">
        <f>AN161-AM160</f>
        <v>18</v>
      </c>
      <c r="AS160" s="323"/>
      <c r="AT160" s="324" t="s">
        <v>62</v>
      </c>
      <c r="AU160" s="325">
        <v>46459</v>
      </c>
    </row>
    <row r="161" spans="1:48" s="264" customFormat="1" ht="25.05" customHeight="1">
      <c r="A161" s="309"/>
      <c r="B161" s="310" t="s">
        <v>213</v>
      </c>
      <c r="C161" s="310" t="s">
        <v>214</v>
      </c>
      <c r="D161" s="311"/>
      <c r="E161" s="312"/>
      <c r="F161" s="342"/>
      <c r="G161" s="314">
        <v>28</v>
      </c>
      <c r="H161" s="315" t="s">
        <v>208</v>
      </c>
      <c r="I161" s="314" t="s">
        <v>83</v>
      </c>
      <c r="J161" s="310" t="s">
        <v>64</v>
      </c>
      <c r="K161" s="310" t="s">
        <v>209</v>
      </c>
      <c r="L161" s="310" t="s">
        <v>8</v>
      </c>
      <c r="M161" s="317" t="s">
        <v>65</v>
      </c>
      <c r="N161" s="319"/>
      <c r="O161" s="319"/>
      <c r="P161" s="319"/>
      <c r="Q161" s="319"/>
      <c r="R161" s="319"/>
      <c r="S161" s="319"/>
      <c r="T161" s="319"/>
      <c r="U161" s="319"/>
      <c r="V161" s="319">
        <f>WORKDAY.INTL(U162,INDEX(V$8:V$11,MATCH($L161,$L$8:$L$11,0)),1,IF(V$18="China",'China Holidays'!$A$2:$A$82,'Thai Holidays'!$A$2:$A$63))</f>
        <v>46245</v>
      </c>
      <c r="W161" s="319"/>
      <c r="X161" s="319">
        <f>WORKDAY.INTL(V161,INDEX(X$8:X$11,MATCH($L161,$L$8:$L$11,0)),1,IF(X$18="China",'China Holidays'!$A$2:$A$82,'Thai Holidays'!$A$2:$A$63))</f>
        <v>46258</v>
      </c>
      <c r="Y161" s="319">
        <f>WORKDAY.INTL(X161,INDEX(Y$12:Y$15,MATCH($L161,$L$12:$L$15,0)),1,IF(Y$18="China",'China Holidays'!$A$2:$A$82,'Thai Holidays'!$A$2:$A$63))</f>
        <v>46260</v>
      </c>
      <c r="Z161" s="319">
        <f>WORKDAY.INTL(Y161,INDEX(Z$12:Z$15,MATCH($L161,$L$12:$L$15,0)),1,IF(Z$18="China",'China Holidays'!$A$2:$A$82,'Thai Holidays'!$A$2:$A$63))</f>
        <v>46267</v>
      </c>
      <c r="AA161" s="319">
        <f>WORKDAY.INTL(Z161,INDEX(AA$12:AA$15,MATCH($L161,$L$12:$L$15,0)),1,IF(AA$18="China",'China Holidays'!$A$2:$A$82,'Thai Holidays'!$A$2:$A$63))</f>
        <v>46288</v>
      </c>
      <c r="AB161" s="319">
        <f>WORKDAY.INTL(AA161,INDEX(AB$12:AB$15,MATCH($L161,$L$12:$L$15,0)),1,IF(AB$18="China",'China Holidays'!$A$2:$A$82,'Thai Holidays'!$A$2:$A$63))</f>
        <v>46302</v>
      </c>
      <c r="AC161" s="319">
        <f>AB161+60</f>
        <v>46362</v>
      </c>
      <c r="AD161" s="319">
        <f>AC161+3</f>
        <v>46365</v>
      </c>
      <c r="AE161" s="319">
        <f>AD161+1</f>
        <v>46366</v>
      </c>
      <c r="AF161" s="319">
        <f>AG161-14</f>
        <v>46417</v>
      </c>
      <c r="AG161" s="319">
        <f>AH161-7</f>
        <v>46431</v>
      </c>
      <c r="AH161" s="319">
        <f>AM161</f>
        <v>46438</v>
      </c>
      <c r="AI161" s="319">
        <f>AM161+14</f>
        <v>46452</v>
      </c>
      <c r="AJ161" s="319">
        <f>AM161+30</f>
        <v>46468</v>
      </c>
      <c r="AK161" s="343"/>
      <c r="AL161" s="321">
        <f>AK160*7</f>
        <v>179.99999999999991</v>
      </c>
      <c r="AM161" s="319">
        <f>IF(X161&lt;&gt;"",X161+AL161,X162+AL161)</f>
        <v>46438</v>
      </c>
      <c r="AN161" s="322">
        <f>AU160-7</f>
        <v>46452</v>
      </c>
      <c r="AO161" s="322">
        <f>AP161-7</f>
        <v>46469</v>
      </c>
      <c r="AP161" s="322">
        <v>46476</v>
      </c>
      <c r="AQ161" s="322"/>
      <c r="AR161" s="314">
        <f>AN161-AM161</f>
        <v>14</v>
      </c>
      <c r="AS161" s="323"/>
      <c r="AT161" s="324" t="s">
        <v>66</v>
      </c>
      <c r="AU161" s="325">
        <v>46476</v>
      </c>
      <c r="AV161" s="265"/>
    </row>
    <row r="162" spans="1:48" s="264" customFormat="1" ht="25.05" customHeight="1">
      <c r="A162" s="327"/>
      <c r="B162" s="328" t="s">
        <v>213</v>
      </c>
      <c r="C162" s="328" t="s">
        <v>214</v>
      </c>
      <c r="D162" s="311"/>
      <c r="E162" s="330"/>
      <c r="F162" s="342"/>
      <c r="G162" s="332"/>
      <c r="H162" s="333"/>
      <c r="I162" s="332" t="s">
        <v>83</v>
      </c>
      <c r="J162" s="328" t="s">
        <v>64</v>
      </c>
      <c r="K162" s="442" t="s">
        <v>209</v>
      </c>
      <c r="L162" s="328" t="s">
        <v>8</v>
      </c>
      <c r="M162" s="334" t="s">
        <v>67</v>
      </c>
      <c r="N162" s="335">
        <v>46174</v>
      </c>
      <c r="O162" s="335">
        <v>46167</v>
      </c>
      <c r="P162" s="335">
        <v>46183</v>
      </c>
      <c r="Q162" s="335">
        <v>46183</v>
      </c>
      <c r="R162" s="335">
        <v>46183</v>
      </c>
      <c r="S162" s="335">
        <v>46188</v>
      </c>
      <c r="T162" s="335">
        <v>46198</v>
      </c>
      <c r="U162" s="347">
        <v>46227</v>
      </c>
      <c r="V162" s="335"/>
      <c r="W162" s="335"/>
      <c r="X162" s="332"/>
      <c r="Y162" s="335"/>
      <c r="Z162" s="335"/>
      <c r="AA162" s="335"/>
      <c r="AB162" s="335"/>
      <c r="AC162" s="335"/>
      <c r="AD162" s="335"/>
      <c r="AE162" s="335"/>
      <c r="AF162" s="335"/>
      <c r="AG162" s="335"/>
      <c r="AH162" s="335"/>
      <c r="AI162" s="335"/>
      <c r="AJ162" s="335"/>
      <c r="AK162" s="336"/>
      <c r="AL162" s="337"/>
      <c r="AM162" s="335"/>
      <c r="AN162" s="338"/>
      <c r="AO162" s="338"/>
      <c r="AP162" s="338"/>
      <c r="AQ162" s="338" t="s">
        <v>210</v>
      </c>
      <c r="AR162" s="332"/>
      <c r="AS162" s="339"/>
      <c r="AT162" s="340"/>
      <c r="AU162" s="339"/>
    </row>
    <row r="163" spans="1:48" s="264" customFormat="1" ht="25.05" customHeight="1">
      <c r="A163" s="309">
        <v>51</v>
      </c>
      <c r="B163" s="310" t="s">
        <v>215</v>
      </c>
      <c r="C163" s="310" t="s">
        <v>216</v>
      </c>
      <c r="D163" s="311"/>
      <c r="E163" s="312"/>
      <c r="F163" s="313"/>
      <c r="G163" s="314"/>
      <c r="H163" s="315"/>
      <c r="I163" s="314" t="s">
        <v>83</v>
      </c>
      <c r="J163" s="310"/>
      <c r="K163" s="316"/>
      <c r="L163" s="310" t="s">
        <v>8</v>
      </c>
      <c r="M163" s="317" t="s">
        <v>61</v>
      </c>
      <c r="N163" s="318"/>
      <c r="O163" s="319">
        <v>46163</v>
      </c>
      <c r="P163" s="319">
        <v>46170</v>
      </c>
      <c r="Q163" s="319">
        <v>46171</v>
      </c>
      <c r="R163" s="319">
        <v>46182</v>
      </c>
      <c r="S163" s="319">
        <v>46183</v>
      </c>
      <c r="T163" s="319">
        <v>46197</v>
      </c>
      <c r="U163" s="319">
        <v>46225</v>
      </c>
      <c r="V163" s="319">
        <v>46241</v>
      </c>
      <c r="W163" s="319"/>
      <c r="X163" s="319">
        <v>46254</v>
      </c>
      <c r="Y163" s="319">
        <v>46258</v>
      </c>
      <c r="Z163" s="319">
        <v>46265</v>
      </c>
      <c r="AA163" s="319">
        <v>46286</v>
      </c>
      <c r="AB163" s="319">
        <v>46300</v>
      </c>
      <c r="AC163" s="319">
        <v>46360</v>
      </c>
      <c r="AD163" s="319">
        <v>46363</v>
      </c>
      <c r="AE163" s="319">
        <v>46364</v>
      </c>
      <c r="AF163" s="319">
        <v>46413</v>
      </c>
      <c r="AG163" s="319">
        <v>46427</v>
      </c>
      <c r="AH163" s="319">
        <v>46434</v>
      </c>
      <c r="AI163" s="319">
        <v>46448</v>
      </c>
      <c r="AJ163" s="319">
        <v>46464</v>
      </c>
      <c r="AK163" s="320">
        <v>25.714285714285701</v>
      </c>
      <c r="AL163" s="321"/>
      <c r="AM163" s="319">
        <f>X163+AL164</f>
        <v>46434</v>
      </c>
      <c r="AN163" s="348">
        <f>AM163-AH163</f>
        <v>0</v>
      </c>
      <c r="AO163" s="322"/>
      <c r="AP163" s="322"/>
      <c r="AQ163" s="322"/>
      <c r="AR163" s="314">
        <f>AN164-AM163</f>
        <v>18</v>
      </c>
      <c r="AS163" s="323"/>
      <c r="AT163" s="324" t="s">
        <v>62</v>
      </c>
      <c r="AU163" s="325">
        <v>46459</v>
      </c>
    </row>
    <row r="164" spans="1:48" s="264" customFormat="1" ht="25.05" customHeight="1">
      <c r="A164" s="309"/>
      <c r="B164" s="310" t="s">
        <v>215</v>
      </c>
      <c r="C164" s="310" t="s">
        <v>216</v>
      </c>
      <c r="D164" s="311"/>
      <c r="E164" s="312"/>
      <c r="F164" s="342"/>
      <c r="G164" s="314">
        <v>28</v>
      </c>
      <c r="H164" s="315" t="s">
        <v>208</v>
      </c>
      <c r="I164" s="314" t="s">
        <v>83</v>
      </c>
      <c r="J164" s="310" t="s">
        <v>64</v>
      </c>
      <c r="K164" s="310" t="s">
        <v>209</v>
      </c>
      <c r="L164" s="310" t="s">
        <v>8</v>
      </c>
      <c r="M164" s="317" t="s">
        <v>65</v>
      </c>
      <c r="N164" s="319"/>
      <c r="O164" s="319"/>
      <c r="P164" s="319"/>
      <c r="Q164" s="319"/>
      <c r="R164" s="319"/>
      <c r="S164" s="319"/>
      <c r="T164" s="319"/>
      <c r="U164" s="319"/>
      <c r="V164" s="319">
        <f>WORKDAY.INTL(U165,INDEX(V$8:V$11,MATCH($L164,$L$8:$L$11,0)),1,IF(V$18="China",'China Holidays'!$A$2:$A$82,'Thai Holidays'!$A$2:$A$63))</f>
        <v>46245</v>
      </c>
      <c r="W164" s="319"/>
      <c r="X164" s="319">
        <f>WORKDAY.INTL(V164,INDEX(X$8:X$11,MATCH($L164,$L$8:$L$11,0)),1,IF(X$18="China",'China Holidays'!$A$2:$A$82,'Thai Holidays'!$A$2:$A$63))</f>
        <v>46258</v>
      </c>
      <c r="Y164" s="319">
        <f>WORKDAY.INTL(X164,INDEX(Y$12:Y$15,MATCH($L164,$L$12:$L$15,0)),1,IF(Y$18="China",'China Holidays'!$A$2:$A$82,'Thai Holidays'!$A$2:$A$63))</f>
        <v>46260</v>
      </c>
      <c r="Z164" s="319">
        <f>WORKDAY.INTL(Y164,INDEX(Z$12:Z$15,MATCH($L164,$L$12:$L$15,0)),1,IF(Z$18="China",'China Holidays'!$A$2:$A$82,'Thai Holidays'!$A$2:$A$63))</f>
        <v>46267</v>
      </c>
      <c r="AA164" s="319">
        <f>WORKDAY.INTL(Z164,INDEX(AA$12:AA$15,MATCH($L164,$L$12:$L$15,0)),1,IF(AA$18="China",'China Holidays'!$A$2:$A$82,'Thai Holidays'!$A$2:$A$63))</f>
        <v>46288</v>
      </c>
      <c r="AB164" s="319">
        <f>WORKDAY.INTL(AA164,INDEX(AB$12:AB$15,MATCH($L164,$L$12:$L$15,0)),1,IF(AB$18="China",'China Holidays'!$A$2:$A$82,'Thai Holidays'!$A$2:$A$63))</f>
        <v>46302</v>
      </c>
      <c r="AC164" s="319">
        <f>AB164+60</f>
        <v>46362</v>
      </c>
      <c r="AD164" s="319">
        <f>AC164+3</f>
        <v>46365</v>
      </c>
      <c r="AE164" s="319">
        <f>AD164+1</f>
        <v>46366</v>
      </c>
      <c r="AF164" s="319">
        <f>AG164-14</f>
        <v>46417</v>
      </c>
      <c r="AG164" s="319">
        <f>AH164-7</f>
        <v>46431</v>
      </c>
      <c r="AH164" s="319">
        <f>AM164</f>
        <v>46438</v>
      </c>
      <c r="AI164" s="319">
        <f>AM164+14</f>
        <v>46452</v>
      </c>
      <c r="AJ164" s="319">
        <f>AM164+30</f>
        <v>46468</v>
      </c>
      <c r="AK164" s="343"/>
      <c r="AL164" s="321">
        <f>AK163*7</f>
        <v>179.99999999999991</v>
      </c>
      <c r="AM164" s="319">
        <f>IF(X164&lt;&gt;"",X164+AL164,X165+AL164)</f>
        <v>46438</v>
      </c>
      <c r="AN164" s="322">
        <f>AU163-7</f>
        <v>46452</v>
      </c>
      <c r="AO164" s="322">
        <f>AP164-7</f>
        <v>46454</v>
      </c>
      <c r="AP164" s="322">
        <v>46461</v>
      </c>
      <c r="AQ164" s="322"/>
      <c r="AR164" s="314">
        <f>AN164-AM164</f>
        <v>14</v>
      </c>
      <c r="AS164" s="323"/>
      <c r="AT164" s="324" t="s">
        <v>66</v>
      </c>
      <c r="AU164" s="325">
        <v>46476</v>
      </c>
      <c r="AV164" s="265"/>
    </row>
    <row r="165" spans="1:48" s="264" customFormat="1" ht="25.05" customHeight="1">
      <c r="A165" s="327"/>
      <c r="B165" s="328" t="s">
        <v>215</v>
      </c>
      <c r="C165" s="328" t="s">
        <v>216</v>
      </c>
      <c r="D165" s="329"/>
      <c r="E165" s="330"/>
      <c r="F165" s="344"/>
      <c r="G165" s="332"/>
      <c r="H165" s="333"/>
      <c r="I165" s="332" t="s">
        <v>83</v>
      </c>
      <c r="J165" s="328" t="s">
        <v>64</v>
      </c>
      <c r="K165" s="442" t="s">
        <v>209</v>
      </c>
      <c r="L165" s="328" t="s">
        <v>8</v>
      </c>
      <c r="M165" s="334" t="s">
        <v>67</v>
      </c>
      <c r="N165" s="335">
        <v>46174</v>
      </c>
      <c r="O165" s="335">
        <v>46167</v>
      </c>
      <c r="P165" s="335">
        <v>46183</v>
      </c>
      <c r="Q165" s="335">
        <v>46183</v>
      </c>
      <c r="R165" s="335">
        <v>46183</v>
      </c>
      <c r="S165" s="335">
        <v>46188</v>
      </c>
      <c r="T165" s="335">
        <v>46198</v>
      </c>
      <c r="U165" s="347">
        <v>46227</v>
      </c>
      <c r="V165" s="335"/>
      <c r="W165" s="335"/>
      <c r="X165" s="332"/>
      <c r="Y165" s="335"/>
      <c r="Z165" s="335"/>
      <c r="AA165" s="335"/>
      <c r="AB165" s="335"/>
      <c r="AC165" s="335"/>
      <c r="AD165" s="335"/>
      <c r="AE165" s="335"/>
      <c r="AF165" s="335"/>
      <c r="AG165" s="335"/>
      <c r="AH165" s="335"/>
      <c r="AI165" s="335"/>
      <c r="AJ165" s="335"/>
      <c r="AK165" s="336"/>
      <c r="AL165" s="337"/>
      <c r="AM165" s="335"/>
      <c r="AN165" s="338"/>
      <c r="AO165" s="338"/>
      <c r="AP165" s="338"/>
      <c r="AQ165" s="338"/>
      <c r="AR165" s="332"/>
      <c r="AS165" s="339"/>
      <c r="AT165" s="340"/>
      <c r="AU165" s="339"/>
    </row>
    <row r="166" spans="1:48" s="264" customFormat="1" ht="25.05" customHeight="1">
      <c r="A166" s="309">
        <v>52</v>
      </c>
      <c r="B166" s="310" t="s">
        <v>217</v>
      </c>
      <c r="C166" s="310" t="s">
        <v>218</v>
      </c>
      <c r="D166" s="311"/>
      <c r="E166" s="312"/>
      <c r="F166" s="313"/>
      <c r="G166" s="314"/>
      <c r="H166" s="315"/>
      <c r="I166" s="314" t="s">
        <v>83</v>
      </c>
      <c r="J166" s="310"/>
      <c r="K166" s="316"/>
      <c r="L166" s="310" t="s">
        <v>8</v>
      </c>
      <c r="M166" s="317" t="s">
        <v>61</v>
      </c>
      <c r="N166" s="318"/>
      <c r="O166" s="319">
        <v>46163</v>
      </c>
      <c r="P166" s="319">
        <v>46170</v>
      </c>
      <c r="Q166" s="319">
        <v>46171</v>
      </c>
      <c r="R166" s="319">
        <v>46182</v>
      </c>
      <c r="S166" s="319">
        <v>46183</v>
      </c>
      <c r="T166" s="319">
        <v>46197</v>
      </c>
      <c r="U166" s="319">
        <v>46225</v>
      </c>
      <c r="V166" s="319">
        <v>46241</v>
      </c>
      <c r="W166" s="319"/>
      <c r="X166" s="319">
        <v>46254</v>
      </c>
      <c r="Y166" s="319">
        <v>46258</v>
      </c>
      <c r="Z166" s="319">
        <v>46265</v>
      </c>
      <c r="AA166" s="319">
        <v>46286</v>
      </c>
      <c r="AB166" s="319">
        <v>46300</v>
      </c>
      <c r="AC166" s="319">
        <v>46360</v>
      </c>
      <c r="AD166" s="319">
        <v>46363</v>
      </c>
      <c r="AE166" s="319">
        <v>46364</v>
      </c>
      <c r="AF166" s="319">
        <v>46429</v>
      </c>
      <c r="AG166" s="319">
        <v>46443</v>
      </c>
      <c r="AH166" s="319">
        <v>46450</v>
      </c>
      <c r="AI166" s="319">
        <v>46464</v>
      </c>
      <c r="AJ166" s="319">
        <v>46480</v>
      </c>
      <c r="AK166" s="320">
        <v>28</v>
      </c>
      <c r="AL166" s="321"/>
      <c r="AM166" s="319">
        <f>X166+AL167</f>
        <v>46450</v>
      </c>
      <c r="AN166" s="348">
        <f>AM166-AH166</f>
        <v>0</v>
      </c>
      <c r="AO166" s="322"/>
      <c r="AP166" s="322"/>
      <c r="AQ166" s="322"/>
      <c r="AR166" s="314">
        <f>AN167-AM166</f>
        <v>2</v>
      </c>
      <c r="AS166" s="323"/>
      <c r="AT166" s="324" t="s">
        <v>62</v>
      </c>
      <c r="AU166" s="325">
        <v>46459</v>
      </c>
    </row>
    <row r="167" spans="1:48" s="264" customFormat="1" ht="25.05" customHeight="1">
      <c r="A167" s="309"/>
      <c r="B167" s="310" t="s">
        <v>217</v>
      </c>
      <c r="C167" s="310" t="s">
        <v>218</v>
      </c>
      <c r="D167" s="311"/>
      <c r="E167" s="312"/>
      <c r="F167" s="342"/>
      <c r="G167" s="314">
        <v>12</v>
      </c>
      <c r="H167" s="315" t="s">
        <v>208</v>
      </c>
      <c r="I167" s="314" t="s">
        <v>83</v>
      </c>
      <c r="J167" s="310" t="s">
        <v>64</v>
      </c>
      <c r="K167" s="310" t="s">
        <v>209</v>
      </c>
      <c r="L167" s="310" t="s">
        <v>8</v>
      </c>
      <c r="M167" s="317" t="s">
        <v>65</v>
      </c>
      <c r="N167" s="319"/>
      <c r="O167" s="319"/>
      <c r="P167" s="319"/>
      <c r="Q167" s="319"/>
      <c r="R167" s="319"/>
      <c r="S167" s="319"/>
      <c r="T167" s="319"/>
      <c r="U167" s="319">
        <v>46225</v>
      </c>
      <c r="V167" s="319">
        <f>WORKDAY.INTL(U167,INDEX(V$8:V$11,MATCH($L167,$L$8:$L$11,0)),1,IF(V$18="China",'China Holidays'!$A$2:$A$82,'Thai Holidays'!$A$2:$A$63))</f>
        <v>46241</v>
      </c>
      <c r="W167" s="319"/>
      <c r="X167" s="319">
        <f>WORKDAY.INTL(V167,INDEX(X$8:X$11,MATCH($L167,$L$8:$L$11,0)),1,IF(X$18="China",'China Holidays'!$A$2:$A$82,'Thai Holidays'!$A$2:$A$63))</f>
        <v>46254</v>
      </c>
      <c r="Y167" s="319">
        <f>WORKDAY.INTL(X167,INDEX(Y$12:Y$15,MATCH($L167,$L$12:$L$15,0)),1,IF(Y$18="China",'China Holidays'!$A$2:$A$82,'Thai Holidays'!$A$2:$A$63))</f>
        <v>46258</v>
      </c>
      <c r="Z167" s="319">
        <f>WORKDAY.INTL(Y167,INDEX(Z$12:Z$15,MATCH($L167,$L$12:$L$15,0)),1,IF(Z$18="China",'China Holidays'!$A$2:$A$82,'Thai Holidays'!$A$2:$A$63))</f>
        <v>46265</v>
      </c>
      <c r="AA167" s="319">
        <f>WORKDAY.INTL(Z167,INDEX(AA$12:AA$15,MATCH($L167,$L$12:$L$15,0)),1,IF(AA$18="China",'China Holidays'!$A$2:$A$82,'Thai Holidays'!$A$2:$A$63))</f>
        <v>46286</v>
      </c>
      <c r="AB167" s="319">
        <f>WORKDAY.INTL(AA167,INDEX(AB$12:AB$15,MATCH($L167,$L$12:$L$15,0)),1,IF(AB$18="China",'China Holidays'!$A$2:$A$82,'Thai Holidays'!$A$2:$A$63))</f>
        <v>46300</v>
      </c>
      <c r="AC167" s="319">
        <f>AB167+60</f>
        <v>46360</v>
      </c>
      <c r="AD167" s="319">
        <f>AC167+3</f>
        <v>46363</v>
      </c>
      <c r="AE167" s="319">
        <f>AD167+1</f>
        <v>46364</v>
      </c>
      <c r="AF167" s="319">
        <f>AG167-14</f>
        <v>46429</v>
      </c>
      <c r="AG167" s="319">
        <f>AH167-7</f>
        <v>46443</v>
      </c>
      <c r="AH167" s="319">
        <f>AM167</f>
        <v>46450</v>
      </c>
      <c r="AI167" s="319">
        <f>AM167+14</f>
        <v>46464</v>
      </c>
      <c r="AJ167" s="319">
        <f>AM167+30</f>
        <v>46480</v>
      </c>
      <c r="AK167" s="343"/>
      <c r="AL167" s="321">
        <f>AK166*7</f>
        <v>196</v>
      </c>
      <c r="AM167" s="319">
        <f>IF(X167&lt;&gt;"",X167+AL167,X168+AL167)</f>
        <v>46450</v>
      </c>
      <c r="AN167" s="322">
        <f>AU166-7</f>
        <v>46452</v>
      </c>
      <c r="AO167" s="322">
        <f>AP167-7</f>
        <v>46469</v>
      </c>
      <c r="AP167" s="322">
        <v>46476</v>
      </c>
      <c r="AQ167" s="322"/>
      <c r="AR167" s="314">
        <f>AN167-AM167</f>
        <v>2</v>
      </c>
      <c r="AS167" s="323"/>
      <c r="AT167" s="324" t="s">
        <v>66</v>
      </c>
      <c r="AU167" s="325">
        <v>46476</v>
      </c>
      <c r="AV167" s="265"/>
    </row>
    <row r="168" spans="1:48" s="264" customFormat="1" ht="25.05" customHeight="1">
      <c r="A168" s="327"/>
      <c r="B168" s="328" t="s">
        <v>217</v>
      </c>
      <c r="C168" s="328" t="s">
        <v>218</v>
      </c>
      <c r="D168" s="311"/>
      <c r="E168" s="330"/>
      <c r="F168" s="342"/>
      <c r="G168" s="332"/>
      <c r="H168" s="333"/>
      <c r="I168" s="332" t="s">
        <v>83</v>
      </c>
      <c r="J168" s="328" t="s">
        <v>64</v>
      </c>
      <c r="K168" s="442" t="s">
        <v>209</v>
      </c>
      <c r="L168" s="328" t="s">
        <v>8</v>
      </c>
      <c r="M168" s="334" t="s">
        <v>67</v>
      </c>
      <c r="N168" s="335">
        <v>46174</v>
      </c>
      <c r="O168" s="335">
        <v>46167</v>
      </c>
      <c r="P168" s="335">
        <v>46183</v>
      </c>
      <c r="Q168" s="335">
        <v>46183</v>
      </c>
      <c r="R168" s="335">
        <v>46183</v>
      </c>
      <c r="S168" s="335">
        <v>46188</v>
      </c>
      <c r="T168" s="335">
        <v>46198</v>
      </c>
      <c r="U168" s="356">
        <v>46227</v>
      </c>
      <c r="V168" s="335"/>
      <c r="W168" s="335"/>
      <c r="X168" s="332"/>
      <c r="Y168" s="335"/>
      <c r="Z168" s="335"/>
      <c r="AA168" s="335"/>
      <c r="AB168" s="335"/>
      <c r="AC168" s="335"/>
      <c r="AD168" s="335"/>
      <c r="AE168" s="335"/>
      <c r="AF168" s="335"/>
      <c r="AG168" s="335"/>
      <c r="AH168" s="335"/>
      <c r="AI168" s="335"/>
      <c r="AJ168" s="335"/>
      <c r="AK168" s="336"/>
      <c r="AL168" s="337"/>
      <c r="AM168" s="335"/>
      <c r="AN168" s="338"/>
      <c r="AO168" s="338"/>
      <c r="AP168" s="338"/>
      <c r="AQ168" s="338" t="s">
        <v>210</v>
      </c>
      <c r="AR168" s="332"/>
      <c r="AS168" s="339"/>
      <c r="AT168" s="340"/>
      <c r="AU168" s="339"/>
    </row>
    <row r="169" spans="1:48" s="264" customFormat="1" ht="25.05" customHeight="1">
      <c r="A169" s="309">
        <v>53</v>
      </c>
      <c r="B169" s="310" t="s">
        <v>219</v>
      </c>
      <c r="C169" s="310" t="s">
        <v>220</v>
      </c>
      <c r="D169" s="311"/>
      <c r="E169" s="312"/>
      <c r="F169" s="313"/>
      <c r="G169" s="314"/>
      <c r="H169" s="315"/>
      <c r="I169" s="314" t="s">
        <v>83</v>
      </c>
      <c r="J169" s="310"/>
      <c r="K169" s="316"/>
      <c r="L169" s="310" t="s">
        <v>8</v>
      </c>
      <c r="M169" s="317" t="s">
        <v>61</v>
      </c>
      <c r="N169" s="318"/>
      <c r="O169" s="319">
        <v>46163</v>
      </c>
      <c r="P169" s="319">
        <v>46170</v>
      </c>
      <c r="Q169" s="319">
        <v>46171</v>
      </c>
      <c r="R169" s="319">
        <v>46182</v>
      </c>
      <c r="S169" s="319">
        <v>46183</v>
      </c>
      <c r="T169" s="319">
        <v>46197</v>
      </c>
      <c r="U169" s="319">
        <v>46225</v>
      </c>
      <c r="V169" s="319">
        <v>46241</v>
      </c>
      <c r="W169" s="319"/>
      <c r="X169" s="319">
        <v>46254</v>
      </c>
      <c r="Y169" s="319">
        <v>46258</v>
      </c>
      <c r="Z169" s="319">
        <v>46265</v>
      </c>
      <c r="AA169" s="319">
        <v>46286</v>
      </c>
      <c r="AB169" s="319">
        <v>46300</v>
      </c>
      <c r="AC169" s="319">
        <v>46360</v>
      </c>
      <c r="AD169" s="319">
        <v>46363</v>
      </c>
      <c r="AE169" s="319">
        <v>46364</v>
      </c>
      <c r="AF169" s="319">
        <v>46429</v>
      </c>
      <c r="AG169" s="319">
        <v>46443</v>
      </c>
      <c r="AH169" s="319">
        <v>46450</v>
      </c>
      <c r="AI169" s="319">
        <v>46464</v>
      </c>
      <c r="AJ169" s="319">
        <v>46480</v>
      </c>
      <c r="AK169" s="320">
        <v>28</v>
      </c>
      <c r="AL169" s="321"/>
      <c r="AM169" s="319">
        <f>X169+AL170</f>
        <v>46450</v>
      </c>
      <c r="AN169" s="348">
        <f>AM169-AH169</f>
        <v>0</v>
      </c>
      <c r="AO169" s="322"/>
      <c r="AP169" s="322"/>
      <c r="AQ169" s="322"/>
      <c r="AR169" s="314">
        <f>AN170-AM169</f>
        <v>2</v>
      </c>
      <c r="AS169" s="323"/>
      <c r="AT169" s="324" t="s">
        <v>62</v>
      </c>
      <c r="AU169" s="325">
        <v>46459</v>
      </c>
    </row>
    <row r="170" spans="1:48" s="264" customFormat="1" ht="25.05" customHeight="1">
      <c r="A170" s="309"/>
      <c r="B170" s="310" t="s">
        <v>219</v>
      </c>
      <c r="C170" s="310" t="s">
        <v>220</v>
      </c>
      <c r="D170" s="311"/>
      <c r="E170" s="312"/>
      <c r="F170" s="342"/>
      <c r="G170" s="314">
        <v>12</v>
      </c>
      <c r="H170" s="315" t="s">
        <v>208</v>
      </c>
      <c r="I170" s="314" t="s">
        <v>83</v>
      </c>
      <c r="J170" s="310" t="s">
        <v>64</v>
      </c>
      <c r="K170" s="310" t="s">
        <v>209</v>
      </c>
      <c r="L170" s="310" t="s">
        <v>8</v>
      </c>
      <c r="M170" s="317" t="s">
        <v>65</v>
      </c>
      <c r="N170" s="319"/>
      <c r="O170" s="319"/>
      <c r="P170" s="319"/>
      <c r="Q170" s="319"/>
      <c r="R170" s="319"/>
      <c r="S170" s="319"/>
      <c r="T170" s="319"/>
      <c r="U170" s="319">
        <v>46225</v>
      </c>
      <c r="V170" s="319">
        <f>WORKDAY.INTL(U170,INDEX(V$8:V$11,MATCH($L170,$L$8:$L$11,0)),1,IF(V$18="China",'China Holidays'!$A$2:$A$82,'Thai Holidays'!$A$2:$A$63))</f>
        <v>46241</v>
      </c>
      <c r="W170" s="319"/>
      <c r="X170" s="319">
        <f>WORKDAY.INTL(V170,INDEX(X$8:X$11,MATCH($L170,$L$8:$L$11,0)),1,IF(X$18="China",'China Holidays'!$A$2:$A$82,'Thai Holidays'!$A$2:$A$63))</f>
        <v>46254</v>
      </c>
      <c r="Y170" s="319">
        <f>WORKDAY.INTL(X170,INDEX(Y$12:Y$15,MATCH($L170,$L$12:$L$15,0)),1,IF(Y$18="China",'China Holidays'!$A$2:$A$82,'Thai Holidays'!$A$2:$A$63))</f>
        <v>46258</v>
      </c>
      <c r="Z170" s="319">
        <f>WORKDAY.INTL(Y170,INDEX(Z$12:Z$15,MATCH($L170,$L$12:$L$15,0)),1,IF(Z$18="China",'China Holidays'!$A$2:$A$82,'Thai Holidays'!$A$2:$A$63))</f>
        <v>46265</v>
      </c>
      <c r="AA170" s="319">
        <f>WORKDAY.INTL(Z170,INDEX(AA$12:AA$15,MATCH($L170,$L$12:$L$15,0)),1,IF(AA$18="China",'China Holidays'!$A$2:$A$82,'Thai Holidays'!$A$2:$A$63))</f>
        <v>46286</v>
      </c>
      <c r="AB170" s="319">
        <f>WORKDAY.INTL(AA170,INDEX(AB$12:AB$15,MATCH($L170,$L$12:$L$15,0)),1,IF(AB$18="China",'China Holidays'!$A$2:$A$82,'Thai Holidays'!$A$2:$A$63))</f>
        <v>46300</v>
      </c>
      <c r="AC170" s="319">
        <f>AB170+60</f>
        <v>46360</v>
      </c>
      <c r="AD170" s="319">
        <f>AC170+3</f>
        <v>46363</v>
      </c>
      <c r="AE170" s="319">
        <f>AD170+1</f>
        <v>46364</v>
      </c>
      <c r="AF170" s="319">
        <f>AG170-14</f>
        <v>46429</v>
      </c>
      <c r="AG170" s="319">
        <f>AH170-7</f>
        <v>46443</v>
      </c>
      <c r="AH170" s="319">
        <f>AM170</f>
        <v>46450</v>
      </c>
      <c r="AI170" s="319">
        <f>AM170+14</f>
        <v>46464</v>
      </c>
      <c r="AJ170" s="319">
        <f>AM170+30</f>
        <v>46480</v>
      </c>
      <c r="AK170" s="343"/>
      <c r="AL170" s="321">
        <f>AK169*7</f>
        <v>196</v>
      </c>
      <c r="AM170" s="319">
        <f>IF(X170&lt;&gt;"",X170+AL170,X171+AL170)</f>
        <v>46450</v>
      </c>
      <c r="AN170" s="322">
        <f>AU169-7</f>
        <v>46452</v>
      </c>
      <c r="AO170" s="322">
        <f>AP170-7</f>
        <v>46454</v>
      </c>
      <c r="AP170" s="322">
        <v>46461</v>
      </c>
      <c r="AQ170" s="322"/>
      <c r="AR170" s="314">
        <f>AN170-AM170</f>
        <v>2</v>
      </c>
      <c r="AS170" s="323"/>
      <c r="AT170" s="324" t="s">
        <v>66</v>
      </c>
      <c r="AU170" s="325">
        <v>46476</v>
      </c>
      <c r="AV170" s="265"/>
    </row>
    <row r="171" spans="1:48" s="264" customFormat="1" ht="25.05" customHeight="1">
      <c r="A171" s="327"/>
      <c r="B171" s="328" t="s">
        <v>219</v>
      </c>
      <c r="C171" s="328" t="s">
        <v>220</v>
      </c>
      <c r="D171" s="329"/>
      <c r="E171" s="330"/>
      <c r="F171" s="344"/>
      <c r="G171" s="332"/>
      <c r="H171" s="333"/>
      <c r="I171" s="332" t="s">
        <v>83</v>
      </c>
      <c r="J171" s="328" t="s">
        <v>64</v>
      </c>
      <c r="K171" s="442" t="s">
        <v>209</v>
      </c>
      <c r="L171" s="328" t="s">
        <v>8</v>
      </c>
      <c r="M171" s="334" t="s">
        <v>67</v>
      </c>
      <c r="N171" s="335">
        <v>46174</v>
      </c>
      <c r="O171" s="335">
        <v>46167</v>
      </c>
      <c r="P171" s="335">
        <v>46183</v>
      </c>
      <c r="Q171" s="335">
        <v>46183</v>
      </c>
      <c r="R171" s="335">
        <v>46183</v>
      </c>
      <c r="S171" s="335">
        <v>46188</v>
      </c>
      <c r="T171" s="335">
        <v>46198</v>
      </c>
      <c r="U171" s="356">
        <v>46227</v>
      </c>
      <c r="V171" s="335"/>
      <c r="W171" s="335"/>
      <c r="X171" s="332"/>
      <c r="Y171" s="335"/>
      <c r="Z171" s="335"/>
      <c r="AA171" s="335"/>
      <c r="AB171" s="335"/>
      <c r="AC171" s="335"/>
      <c r="AD171" s="335"/>
      <c r="AE171" s="335"/>
      <c r="AF171" s="335"/>
      <c r="AG171" s="335"/>
      <c r="AH171" s="335"/>
      <c r="AI171" s="335"/>
      <c r="AJ171" s="335"/>
      <c r="AK171" s="336"/>
      <c r="AL171" s="337"/>
      <c r="AM171" s="335"/>
      <c r="AN171" s="338"/>
      <c r="AO171" s="338"/>
      <c r="AP171" s="338"/>
      <c r="AQ171" s="338"/>
      <c r="AR171" s="332"/>
      <c r="AS171" s="339"/>
      <c r="AT171" s="340"/>
      <c r="AU171" s="339"/>
    </row>
    <row r="172" spans="1:48" s="264" customFormat="1" ht="25.05" customHeight="1">
      <c r="A172" s="309">
        <v>54</v>
      </c>
      <c r="B172" s="310" t="s">
        <v>221</v>
      </c>
      <c r="C172" s="310" t="s">
        <v>222</v>
      </c>
      <c r="D172" s="311"/>
      <c r="E172" s="312"/>
      <c r="F172" s="313"/>
      <c r="G172" s="314"/>
      <c r="H172" s="315"/>
      <c r="I172" s="314" t="s">
        <v>83</v>
      </c>
      <c r="J172" s="310"/>
      <c r="K172" s="316"/>
      <c r="L172" s="310" t="s">
        <v>7</v>
      </c>
      <c r="M172" s="317" t="s">
        <v>61</v>
      </c>
      <c r="N172" s="318"/>
      <c r="O172" s="319">
        <v>46163</v>
      </c>
      <c r="P172" s="319">
        <v>46170</v>
      </c>
      <c r="Q172" s="319">
        <v>46171</v>
      </c>
      <c r="R172" s="319">
        <v>46182</v>
      </c>
      <c r="S172" s="319">
        <v>46183</v>
      </c>
      <c r="T172" s="319">
        <v>46197</v>
      </c>
      <c r="U172" s="319">
        <v>46225</v>
      </c>
      <c r="V172" s="319">
        <v>46241</v>
      </c>
      <c r="W172" s="319"/>
      <c r="X172" s="319">
        <v>46254</v>
      </c>
      <c r="Y172" s="319">
        <v>46258</v>
      </c>
      <c r="Z172" s="319">
        <v>46265</v>
      </c>
      <c r="AA172" s="319">
        <v>46286</v>
      </c>
      <c r="AB172" s="319">
        <v>46300</v>
      </c>
      <c r="AC172" s="319">
        <v>46360</v>
      </c>
      <c r="AD172" s="319">
        <v>46363</v>
      </c>
      <c r="AE172" s="319">
        <v>46364</v>
      </c>
      <c r="AF172" s="319">
        <v>46429</v>
      </c>
      <c r="AG172" s="319">
        <v>46443</v>
      </c>
      <c r="AH172" s="319">
        <v>46450</v>
      </c>
      <c r="AI172" s="319">
        <v>46464</v>
      </c>
      <c r="AJ172" s="319">
        <v>46480</v>
      </c>
      <c r="AK172" s="320">
        <v>28</v>
      </c>
      <c r="AL172" s="321"/>
      <c r="AM172" s="319">
        <f>X172+AL173</f>
        <v>46450</v>
      </c>
      <c r="AN172" s="322"/>
      <c r="AO172" s="322"/>
      <c r="AP172" s="322"/>
      <c r="AQ172" s="322"/>
      <c r="AR172" s="314">
        <f>AN173-AM172</f>
        <v>2</v>
      </c>
      <c r="AS172" s="323"/>
      <c r="AT172" s="324" t="s">
        <v>62</v>
      </c>
      <c r="AU172" s="325">
        <v>46459</v>
      </c>
    </row>
    <row r="173" spans="1:48" s="264" customFormat="1" ht="25.05" customHeight="1">
      <c r="A173" s="309"/>
      <c r="B173" s="310" t="s">
        <v>221</v>
      </c>
      <c r="C173" s="310" t="s">
        <v>222</v>
      </c>
      <c r="D173" s="311"/>
      <c r="E173" s="312"/>
      <c r="F173" s="342"/>
      <c r="G173" s="314">
        <v>12</v>
      </c>
      <c r="H173" s="315" t="s">
        <v>208</v>
      </c>
      <c r="I173" s="314" t="s">
        <v>83</v>
      </c>
      <c r="J173" s="310" t="s">
        <v>64</v>
      </c>
      <c r="K173" s="310" t="s">
        <v>209</v>
      </c>
      <c r="L173" s="310" t="s">
        <v>7</v>
      </c>
      <c r="M173" s="317" t="s">
        <v>65</v>
      </c>
      <c r="N173" s="319"/>
      <c r="O173" s="319"/>
      <c r="P173" s="319"/>
      <c r="Q173" s="319"/>
      <c r="R173" s="319"/>
      <c r="S173" s="319"/>
      <c r="T173" s="319"/>
      <c r="U173" s="319"/>
      <c r="V173" s="319">
        <f>WORKDAY.INTL(U174,INDEX(V$8:V$11,MATCH($L173,$L$8:$L$11,0)),1,IF(V$18="China",'China Holidays'!$A$2:$A$82,'Thai Holidays'!$A$2:$A$63))</f>
        <v>46244</v>
      </c>
      <c r="W173" s="319"/>
      <c r="X173" s="319">
        <f>WORKDAY.INTL(V173,INDEX(X$8:X$11,MATCH($L173,$L$8:$L$11,0)),1,IF(X$18="China",'China Holidays'!$A$2:$A$82,'Thai Holidays'!$A$2:$A$63))</f>
        <v>46255</v>
      </c>
      <c r="Y173" s="319">
        <f>WORKDAY.INTL(X173,INDEX(Y$12:Y$15,MATCH($L173,$L$12:$L$15,0)),1,IF(Y$18="China",'China Holidays'!$A$2:$A$82,'Thai Holidays'!$A$2:$A$63))</f>
        <v>46259</v>
      </c>
      <c r="Z173" s="319">
        <f>WORKDAY.INTL(Y173,INDEX(Z$12:Z$15,MATCH($L173,$L$12:$L$15,0)),1,IF(Z$18="China",'China Holidays'!$A$2:$A$82,'Thai Holidays'!$A$2:$A$63))</f>
        <v>46266</v>
      </c>
      <c r="AA173" s="319">
        <f>WORKDAY.INTL(Z173,INDEX(AA$12:AA$15,MATCH($L173,$L$12:$L$15,0)),1,IF(AA$18="China",'China Holidays'!$A$2:$A$82,'Thai Holidays'!$A$2:$A$63))</f>
        <v>46295</v>
      </c>
      <c r="AB173" s="319">
        <f>WORKDAY.INTL(AA173,INDEX(AB$12:AB$15,MATCH($L173,$L$12:$L$15,0)),1,IF(AB$18="China",'China Holidays'!$A$2:$A$82,'Thai Holidays'!$A$2:$A$63))</f>
        <v>46310</v>
      </c>
      <c r="AC173" s="319">
        <f>AB173+60</f>
        <v>46370</v>
      </c>
      <c r="AD173" s="319">
        <f>AC173+3</f>
        <v>46373</v>
      </c>
      <c r="AE173" s="319">
        <f>AD173+1</f>
        <v>46374</v>
      </c>
      <c r="AF173" s="319">
        <f>AG173-14</f>
        <v>46430</v>
      </c>
      <c r="AG173" s="319">
        <f>AH173-7</f>
        <v>46444</v>
      </c>
      <c r="AH173" s="319">
        <f>AM173</f>
        <v>46451</v>
      </c>
      <c r="AI173" s="319">
        <f>AM173+14</f>
        <v>46465</v>
      </c>
      <c r="AJ173" s="319">
        <f>AM173+30</f>
        <v>46481</v>
      </c>
      <c r="AK173" s="343"/>
      <c r="AL173" s="321">
        <f>AK172*7</f>
        <v>196</v>
      </c>
      <c r="AM173" s="319">
        <f>IF(X173&lt;&gt;"",X173+AL173,X174+AL173)</f>
        <v>46451</v>
      </c>
      <c r="AN173" s="322">
        <f>AU172-7</f>
        <v>46452</v>
      </c>
      <c r="AO173" s="322">
        <f>AP173-7</f>
        <v>46454</v>
      </c>
      <c r="AP173" s="322">
        <v>46461</v>
      </c>
      <c r="AQ173" s="322"/>
      <c r="AR173" s="314">
        <f>AN173-AM173</f>
        <v>1</v>
      </c>
      <c r="AS173" s="323"/>
      <c r="AT173" s="324" t="s">
        <v>66</v>
      </c>
      <c r="AU173" s="325">
        <v>46476</v>
      </c>
      <c r="AV173" s="265"/>
    </row>
    <row r="174" spans="1:48" s="264" customFormat="1" ht="25.05" customHeight="1">
      <c r="A174" s="327"/>
      <c r="B174" s="328" t="s">
        <v>221</v>
      </c>
      <c r="C174" s="328" t="s">
        <v>222</v>
      </c>
      <c r="D174" s="329"/>
      <c r="E174" s="330"/>
      <c r="F174" s="344"/>
      <c r="G174" s="332"/>
      <c r="H174" s="333"/>
      <c r="I174" s="332" t="s">
        <v>83</v>
      </c>
      <c r="J174" s="328" t="s">
        <v>64</v>
      </c>
      <c r="K174" s="442" t="s">
        <v>209</v>
      </c>
      <c r="L174" s="328" t="s">
        <v>7</v>
      </c>
      <c r="M174" s="334" t="s">
        <v>67</v>
      </c>
      <c r="N174" s="335">
        <v>46174</v>
      </c>
      <c r="O174" s="335">
        <v>46167</v>
      </c>
      <c r="P174" s="335">
        <v>46183</v>
      </c>
      <c r="Q174" s="335">
        <v>46183</v>
      </c>
      <c r="R174" s="335">
        <v>46183</v>
      </c>
      <c r="S174" s="335">
        <v>46188</v>
      </c>
      <c r="T174" s="335">
        <v>46198</v>
      </c>
      <c r="U174" s="347">
        <v>46226</v>
      </c>
      <c r="V174" s="335"/>
      <c r="W174" s="335"/>
      <c r="X174" s="332"/>
      <c r="Y174" s="335"/>
      <c r="Z174" s="335"/>
      <c r="AA174" s="335"/>
      <c r="AB174" s="335"/>
      <c r="AC174" s="335"/>
      <c r="AD174" s="335"/>
      <c r="AE174" s="335"/>
      <c r="AF174" s="335"/>
      <c r="AG174" s="335"/>
      <c r="AH174" s="335"/>
      <c r="AI174" s="335"/>
      <c r="AJ174" s="335"/>
      <c r="AK174" s="336"/>
      <c r="AL174" s="337"/>
      <c r="AM174" s="335"/>
      <c r="AN174" s="338"/>
      <c r="AO174" s="338"/>
      <c r="AP174" s="338"/>
      <c r="AQ174" s="338"/>
      <c r="AR174" s="332"/>
      <c r="AS174" s="339"/>
      <c r="AT174" s="340"/>
      <c r="AU174" s="339"/>
    </row>
    <row r="175" spans="1:48" s="264" customFormat="1" ht="25.05" customHeight="1">
      <c r="A175" s="309">
        <v>55</v>
      </c>
      <c r="B175" s="310" t="s">
        <v>223</v>
      </c>
      <c r="C175" s="310" t="s">
        <v>224</v>
      </c>
      <c r="D175" s="361"/>
      <c r="E175" s="312"/>
      <c r="F175" s="362"/>
      <c r="G175" s="314"/>
      <c r="H175" s="315"/>
      <c r="I175" s="314" t="s">
        <v>225</v>
      </c>
      <c r="J175" s="310"/>
      <c r="K175" s="316"/>
      <c r="L175" s="310" t="s">
        <v>6</v>
      </c>
      <c r="M175" s="317" t="s">
        <v>61</v>
      </c>
      <c r="N175" s="318"/>
      <c r="O175" s="319">
        <v>46167</v>
      </c>
      <c r="P175" s="319">
        <v>46167</v>
      </c>
      <c r="Q175" s="319">
        <v>46168</v>
      </c>
      <c r="R175" s="319">
        <v>46171</v>
      </c>
      <c r="S175" s="319">
        <v>46172</v>
      </c>
      <c r="T175" s="319">
        <v>46175</v>
      </c>
      <c r="U175" s="319">
        <v>46178</v>
      </c>
      <c r="V175" s="319">
        <v>46182</v>
      </c>
      <c r="W175" s="319"/>
      <c r="X175" s="319">
        <v>46183</v>
      </c>
      <c r="Y175" s="319">
        <f>X175+2</f>
        <v>46185</v>
      </c>
      <c r="Z175" s="319">
        <f>Y175+5</f>
        <v>46190</v>
      </c>
      <c r="AA175" s="319">
        <f>Z175+10</f>
        <v>46200</v>
      </c>
      <c r="AB175" s="319">
        <f>AA175+10</f>
        <v>46210</v>
      </c>
      <c r="AC175" s="319">
        <f>AB175+7</f>
        <v>46217</v>
      </c>
      <c r="AD175" s="319">
        <v>46195</v>
      </c>
      <c r="AE175" s="319">
        <v>46197</v>
      </c>
      <c r="AF175" s="319">
        <v>46233</v>
      </c>
      <c r="AG175" s="319">
        <v>46240</v>
      </c>
      <c r="AH175" s="319">
        <v>46243</v>
      </c>
      <c r="AI175" s="319">
        <v>46257</v>
      </c>
      <c r="AJ175" s="319">
        <v>46273</v>
      </c>
      <c r="AK175" s="320">
        <v>8.5714285714285694</v>
      </c>
      <c r="AL175" s="321"/>
      <c r="AM175" s="319">
        <f>X175+AL176</f>
        <v>46243</v>
      </c>
      <c r="AN175" s="322"/>
      <c r="AO175" s="322"/>
      <c r="AP175" s="322"/>
      <c r="AQ175" s="322"/>
      <c r="AR175" s="314">
        <f>AN176-AM175</f>
        <v>8</v>
      </c>
      <c r="AS175" s="323"/>
      <c r="AT175" s="324" t="s">
        <v>62</v>
      </c>
      <c r="AU175" s="325">
        <v>46258</v>
      </c>
    </row>
    <row r="176" spans="1:48" s="264" customFormat="1" ht="25.05" customHeight="1">
      <c r="A176" s="309"/>
      <c r="B176" s="310" t="s">
        <v>223</v>
      </c>
      <c r="C176" s="310" t="s">
        <v>224</v>
      </c>
      <c r="D176" s="363"/>
      <c r="E176" s="312"/>
      <c r="F176" s="363"/>
      <c r="G176" s="314">
        <v>8</v>
      </c>
      <c r="H176" s="315" t="s">
        <v>226</v>
      </c>
      <c r="I176" s="314" t="s">
        <v>225</v>
      </c>
      <c r="J176" s="310" t="s">
        <v>64</v>
      </c>
      <c r="K176" s="310">
        <v>2</v>
      </c>
      <c r="L176" s="310" t="s">
        <v>6</v>
      </c>
      <c r="M176" s="317" t="s">
        <v>65</v>
      </c>
      <c r="N176" s="319">
        <v>46120</v>
      </c>
      <c r="O176" s="319"/>
      <c r="P176" s="319"/>
      <c r="Q176" s="319"/>
      <c r="R176" s="319"/>
      <c r="S176" s="319"/>
      <c r="T176" s="319"/>
      <c r="U176" s="319"/>
      <c r="V176" s="319"/>
      <c r="W176" s="319"/>
      <c r="X176" s="319"/>
      <c r="Y176" s="319"/>
      <c r="Z176" s="319"/>
      <c r="AA176" s="319"/>
      <c r="AB176" s="319">
        <v>46227</v>
      </c>
      <c r="AC176" s="319">
        <f>AB176+7</f>
        <v>46234</v>
      </c>
      <c r="AD176" s="319">
        <f>AB176+5</f>
        <v>46232</v>
      </c>
      <c r="AE176" s="319">
        <f>AD176+2</f>
        <v>46234</v>
      </c>
      <c r="AF176" s="319">
        <f>AG176-7</f>
        <v>46235</v>
      </c>
      <c r="AG176" s="319">
        <f>AH176-3</f>
        <v>46242</v>
      </c>
      <c r="AH176" s="319">
        <f>AM176</f>
        <v>46245</v>
      </c>
      <c r="AI176" s="319">
        <f>AM176+14</f>
        <v>46259</v>
      </c>
      <c r="AJ176" s="319">
        <f>AM176+30</f>
        <v>46275</v>
      </c>
      <c r="AK176" s="343"/>
      <c r="AL176" s="321">
        <f>AK175*7</f>
        <v>59.999999999999986</v>
      </c>
      <c r="AM176" s="319">
        <f>IF(X176&lt;&gt;"",X176+AL176,X177+AL176)</f>
        <v>46245</v>
      </c>
      <c r="AN176" s="322">
        <f>AU175-7</f>
        <v>46251</v>
      </c>
      <c r="AO176" s="322">
        <f>AP176-3</f>
        <v>46247</v>
      </c>
      <c r="AP176" s="322">
        <v>46250</v>
      </c>
      <c r="AQ176" s="322" t="s">
        <v>227</v>
      </c>
      <c r="AR176" s="314">
        <f>AN176-AM176</f>
        <v>6</v>
      </c>
      <c r="AS176" s="323"/>
      <c r="AT176" s="324" t="s">
        <v>66</v>
      </c>
      <c r="AU176" s="325">
        <v>46275</v>
      </c>
      <c r="AV176" s="265"/>
    </row>
    <row r="177" spans="1:48" s="264" customFormat="1" ht="25.05" customHeight="1">
      <c r="A177" s="327"/>
      <c r="B177" s="328" t="s">
        <v>223</v>
      </c>
      <c r="C177" s="328" t="s">
        <v>224</v>
      </c>
      <c r="D177" s="364"/>
      <c r="E177" s="330"/>
      <c r="F177" s="364"/>
      <c r="G177" s="332"/>
      <c r="H177" s="333"/>
      <c r="I177" s="332" t="s">
        <v>225</v>
      </c>
      <c r="J177" s="328" t="s">
        <v>64</v>
      </c>
      <c r="K177" s="310">
        <v>2</v>
      </c>
      <c r="L177" s="328" t="s">
        <v>6</v>
      </c>
      <c r="M177" s="334" t="s">
        <v>67</v>
      </c>
      <c r="N177" s="335">
        <v>46120</v>
      </c>
      <c r="O177" s="335">
        <v>46162</v>
      </c>
      <c r="P177" s="335">
        <v>46175</v>
      </c>
      <c r="Q177" s="335">
        <v>46175</v>
      </c>
      <c r="R177" s="335">
        <v>46179</v>
      </c>
      <c r="S177" s="335">
        <v>46179</v>
      </c>
      <c r="T177" s="335">
        <v>46179</v>
      </c>
      <c r="U177" s="335">
        <v>46185</v>
      </c>
      <c r="V177" s="335">
        <v>46185</v>
      </c>
      <c r="W177" s="335">
        <v>46185</v>
      </c>
      <c r="X177" s="335">
        <v>46185</v>
      </c>
      <c r="Y177" s="335">
        <v>46185</v>
      </c>
      <c r="Z177" s="335">
        <v>46190</v>
      </c>
      <c r="AA177" s="335">
        <v>46190</v>
      </c>
      <c r="AB177" s="335"/>
      <c r="AC177" s="335"/>
      <c r="AD177" s="335"/>
      <c r="AE177" s="335"/>
      <c r="AF177" s="335"/>
      <c r="AG177" s="335"/>
      <c r="AH177" s="335"/>
      <c r="AI177" s="335"/>
      <c r="AJ177" s="335"/>
      <c r="AK177" s="336"/>
      <c r="AL177" s="337"/>
      <c r="AM177" s="335"/>
      <c r="AN177" s="338"/>
      <c r="AO177" s="338"/>
      <c r="AP177" s="338"/>
      <c r="AQ177" s="338"/>
      <c r="AR177" s="332"/>
      <c r="AS177" s="339"/>
      <c r="AT177" s="340"/>
      <c r="AU177" s="339"/>
    </row>
    <row r="178" spans="1:48" s="264" customFormat="1" ht="25.05" customHeight="1">
      <c r="A178" s="309">
        <v>56</v>
      </c>
      <c r="B178" s="310" t="s">
        <v>228</v>
      </c>
      <c r="C178" s="310" t="s">
        <v>229</v>
      </c>
      <c r="D178" s="361"/>
      <c r="E178" s="312"/>
      <c r="F178" s="362"/>
      <c r="G178" s="314"/>
      <c r="H178" s="315"/>
      <c r="I178" s="314" t="s">
        <v>225</v>
      </c>
      <c r="J178" s="310"/>
      <c r="K178" s="316"/>
      <c r="L178" s="310" t="s">
        <v>6</v>
      </c>
      <c r="M178" s="317" t="s">
        <v>61</v>
      </c>
      <c r="N178" s="318"/>
      <c r="O178" s="319">
        <v>46186</v>
      </c>
      <c r="P178" s="319">
        <v>46191</v>
      </c>
      <c r="Q178" s="319">
        <v>46191</v>
      </c>
      <c r="R178" s="319">
        <v>46191</v>
      </c>
      <c r="S178" s="319">
        <v>46191</v>
      </c>
      <c r="T178" s="319">
        <v>46200</v>
      </c>
      <c r="U178" s="319">
        <v>46202</v>
      </c>
      <c r="V178" s="319">
        <v>46205</v>
      </c>
      <c r="W178" s="319"/>
      <c r="X178" s="319">
        <v>46207</v>
      </c>
      <c r="Y178" s="319">
        <v>46209</v>
      </c>
      <c r="Z178" s="319">
        <v>46214</v>
      </c>
      <c r="AA178" s="319">
        <v>46224</v>
      </c>
      <c r="AB178" s="319">
        <v>46234</v>
      </c>
      <c r="AC178" s="319">
        <v>46241</v>
      </c>
      <c r="AD178" s="319">
        <v>46239</v>
      </c>
      <c r="AE178" s="319">
        <v>46241</v>
      </c>
      <c r="AF178" s="319">
        <v>46287</v>
      </c>
      <c r="AG178" s="319">
        <v>46294</v>
      </c>
      <c r="AH178" s="319">
        <v>46297</v>
      </c>
      <c r="AI178" s="319">
        <v>46311</v>
      </c>
      <c r="AJ178" s="319">
        <v>46327</v>
      </c>
      <c r="AK178" s="320">
        <v>12.8571428571429</v>
      </c>
      <c r="AL178" s="321"/>
      <c r="AM178" s="319">
        <f>X178+AL179</f>
        <v>46297</v>
      </c>
      <c r="AN178" s="322"/>
      <c r="AO178" s="322"/>
      <c r="AP178" s="322"/>
      <c r="AQ178" s="322"/>
      <c r="AR178" s="314">
        <f>AN179-AM178</f>
        <v>1</v>
      </c>
      <c r="AS178" s="323"/>
      <c r="AT178" s="324" t="s">
        <v>62</v>
      </c>
      <c r="AU178" s="325">
        <v>46290</v>
      </c>
    </row>
    <row r="179" spans="1:48" s="264" customFormat="1" ht="25.05" customHeight="1">
      <c r="A179" s="391"/>
      <c r="B179" s="310" t="s">
        <v>228</v>
      </c>
      <c r="C179" s="310" t="s">
        <v>229</v>
      </c>
      <c r="D179" s="363"/>
      <c r="E179" s="312"/>
      <c r="F179" s="363"/>
      <c r="G179" s="314">
        <v>1</v>
      </c>
      <c r="H179" s="315" t="s">
        <v>226</v>
      </c>
      <c r="I179" s="314" t="s">
        <v>225</v>
      </c>
      <c r="J179" s="310" t="s">
        <v>64</v>
      </c>
      <c r="K179" s="310">
        <v>2</v>
      </c>
      <c r="L179" s="310" t="s">
        <v>6</v>
      </c>
      <c r="M179" s="317" t="s">
        <v>65</v>
      </c>
      <c r="N179" s="319">
        <v>46137</v>
      </c>
      <c r="O179" s="319"/>
      <c r="P179" s="319"/>
      <c r="Q179" s="319"/>
      <c r="R179" s="319"/>
      <c r="S179" s="319"/>
      <c r="T179" s="319"/>
      <c r="U179" s="319"/>
      <c r="V179" s="319"/>
      <c r="W179" s="319"/>
      <c r="X179" s="319"/>
      <c r="Y179" s="319"/>
      <c r="Z179" s="319"/>
      <c r="AA179" s="319">
        <v>46224</v>
      </c>
      <c r="AB179" s="319">
        <f>AA179+10</f>
        <v>46234</v>
      </c>
      <c r="AC179" s="319">
        <f>AB179+7</f>
        <v>46241</v>
      </c>
      <c r="AD179" s="319">
        <f>AB179+5</f>
        <v>46239</v>
      </c>
      <c r="AE179" s="319">
        <f>AD179+2</f>
        <v>46241</v>
      </c>
      <c r="AF179" s="319">
        <f>AG179-7</f>
        <v>46299</v>
      </c>
      <c r="AG179" s="319">
        <f>AH179-3</f>
        <v>46306</v>
      </c>
      <c r="AH179" s="319">
        <f>AM179</f>
        <v>46309</v>
      </c>
      <c r="AI179" s="319">
        <f>AM179+14</f>
        <v>46323</v>
      </c>
      <c r="AJ179" s="319">
        <f>AM179+30</f>
        <v>46339</v>
      </c>
      <c r="AK179" s="343"/>
      <c r="AL179" s="321">
        <f>AK178*7</f>
        <v>90.000000000000298</v>
      </c>
      <c r="AM179" s="319">
        <f>IF(X179&lt;&gt;"",X179+AL179,X180+AL179)</f>
        <v>46309</v>
      </c>
      <c r="AN179" s="322">
        <f>AU179-7</f>
        <v>46298</v>
      </c>
      <c r="AO179" s="322">
        <f>AP179-3</f>
        <v>46288</v>
      </c>
      <c r="AP179" s="322">
        <v>46291</v>
      </c>
      <c r="AQ179" s="322" t="s">
        <v>230</v>
      </c>
      <c r="AR179" s="314">
        <f>AN179-AM179</f>
        <v>-11</v>
      </c>
      <c r="AS179" s="323"/>
      <c r="AT179" s="324" t="s">
        <v>66</v>
      </c>
      <c r="AU179" s="325">
        <f>AU176+30</f>
        <v>46305</v>
      </c>
      <c r="AV179" s="265"/>
    </row>
    <row r="180" spans="1:48" s="264" customFormat="1" ht="24.75" customHeight="1">
      <c r="A180" s="392"/>
      <c r="B180" s="328" t="s">
        <v>228</v>
      </c>
      <c r="C180" s="328" t="s">
        <v>229</v>
      </c>
      <c r="D180" s="364"/>
      <c r="E180" s="330"/>
      <c r="F180" s="364"/>
      <c r="G180" s="332"/>
      <c r="H180" s="333"/>
      <c r="I180" s="332" t="s">
        <v>225</v>
      </c>
      <c r="J180" s="328" t="s">
        <v>64</v>
      </c>
      <c r="K180" s="310">
        <v>2</v>
      </c>
      <c r="L180" s="328" t="s">
        <v>6</v>
      </c>
      <c r="M180" s="334" t="s">
        <v>67</v>
      </c>
      <c r="N180" s="335">
        <v>46137</v>
      </c>
      <c r="O180" s="335">
        <v>46162</v>
      </c>
      <c r="P180" s="335">
        <v>46175</v>
      </c>
      <c r="Q180" s="335">
        <v>46175</v>
      </c>
      <c r="R180" s="335">
        <v>46179</v>
      </c>
      <c r="S180" s="335">
        <v>46179</v>
      </c>
      <c r="T180" s="335">
        <v>46179</v>
      </c>
      <c r="U180" s="335">
        <v>46213</v>
      </c>
      <c r="V180" s="335">
        <v>46217</v>
      </c>
      <c r="W180" s="335">
        <v>46219</v>
      </c>
      <c r="X180" s="335">
        <v>46219</v>
      </c>
      <c r="Y180" s="335">
        <f>X180</f>
        <v>46219</v>
      </c>
      <c r="Z180" s="335">
        <v>46202</v>
      </c>
      <c r="AA180" s="335"/>
      <c r="AB180" s="335"/>
      <c r="AC180" s="335"/>
      <c r="AD180" s="335"/>
      <c r="AE180" s="335"/>
      <c r="AF180" s="335"/>
      <c r="AG180" s="335"/>
      <c r="AH180" s="335"/>
      <c r="AI180" s="335"/>
      <c r="AJ180" s="335"/>
      <c r="AK180" s="336"/>
      <c r="AL180" s="337"/>
      <c r="AM180" s="335"/>
      <c r="AN180" s="338"/>
      <c r="AO180" s="338"/>
      <c r="AP180" s="338"/>
      <c r="AQ180" s="338"/>
      <c r="AR180" s="332"/>
      <c r="AS180" s="339"/>
      <c r="AT180" s="340"/>
      <c r="AU180" s="339"/>
    </row>
    <row r="181" spans="1:48" s="267" customFormat="1" ht="25.05" customHeight="1">
      <c r="A181" s="309">
        <v>57</v>
      </c>
      <c r="B181" s="310" t="s">
        <v>231</v>
      </c>
      <c r="C181" s="310" t="s">
        <v>232</v>
      </c>
      <c r="D181" s="361"/>
      <c r="E181" s="312"/>
      <c r="F181" s="362"/>
      <c r="G181" s="314"/>
      <c r="H181" s="315"/>
      <c r="I181" s="314" t="s">
        <v>225</v>
      </c>
      <c r="J181" s="310"/>
      <c r="K181" s="316"/>
      <c r="L181" s="310" t="s">
        <v>6</v>
      </c>
      <c r="M181" s="317" t="s">
        <v>61</v>
      </c>
      <c r="N181" s="318"/>
      <c r="O181" s="319">
        <v>46188</v>
      </c>
      <c r="P181" s="319">
        <v>46193</v>
      </c>
      <c r="Q181" s="319">
        <v>46193</v>
      </c>
      <c r="R181" s="319">
        <v>46193</v>
      </c>
      <c r="S181" s="319">
        <v>46193</v>
      </c>
      <c r="T181" s="319">
        <v>46202</v>
      </c>
      <c r="U181" s="319">
        <v>46204</v>
      </c>
      <c r="V181" s="319">
        <v>46207</v>
      </c>
      <c r="W181" s="319"/>
      <c r="X181" s="319">
        <v>46209</v>
      </c>
      <c r="Y181" s="319">
        <v>46211</v>
      </c>
      <c r="Z181" s="319">
        <v>46216</v>
      </c>
      <c r="AA181" s="319">
        <v>46226</v>
      </c>
      <c r="AB181" s="319">
        <v>46236</v>
      </c>
      <c r="AC181" s="319">
        <v>46243</v>
      </c>
      <c r="AD181" s="319">
        <v>46241</v>
      </c>
      <c r="AE181" s="319">
        <v>46243</v>
      </c>
      <c r="AF181" s="319">
        <v>46289</v>
      </c>
      <c r="AG181" s="319">
        <v>46296</v>
      </c>
      <c r="AH181" s="319">
        <v>46299</v>
      </c>
      <c r="AI181" s="319">
        <v>46313</v>
      </c>
      <c r="AJ181" s="319">
        <v>46329</v>
      </c>
      <c r="AK181" s="320">
        <v>12.8571428571429</v>
      </c>
      <c r="AL181" s="321"/>
      <c r="AM181" s="319">
        <f>X181+AL182</f>
        <v>46299</v>
      </c>
      <c r="AN181" s="348">
        <f>AM181-AH181</f>
        <v>0</v>
      </c>
      <c r="AO181" s="322"/>
      <c r="AP181" s="322"/>
      <c r="AQ181" s="322"/>
      <c r="AR181" s="314">
        <f>AN182-AM181</f>
        <v>1</v>
      </c>
      <c r="AS181" s="323"/>
      <c r="AT181" s="324" t="s">
        <v>62</v>
      </c>
      <c r="AU181" s="325">
        <v>46307</v>
      </c>
      <c r="AV181" s="264"/>
    </row>
    <row r="182" spans="1:48" s="264" customFormat="1" ht="25.05" customHeight="1">
      <c r="A182" s="391"/>
      <c r="B182" s="310" t="s">
        <v>231</v>
      </c>
      <c r="C182" s="310" t="str">
        <f>C181</f>
        <v>Secondary Steel – Beam for topside (W-Type)</v>
      </c>
      <c r="D182" s="363"/>
      <c r="E182" s="312"/>
      <c r="F182" s="363"/>
      <c r="G182" s="314">
        <v>1</v>
      </c>
      <c r="H182" s="315" t="s">
        <v>233</v>
      </c>
      <c r="I182" s="314" t="s">
        <v>225</v>
      </c>
      <c r="J182" s="310" t="s">
        <v>64</v>
      </c>
      <c r="K182" s="310">
        <v>2</v>
      </c>
      <c r="L182" s="310" t="s">
        <v>6</v>
      </c>
      <c r="M182" s="317" t="s">
        <v>65</v>
      </c>
      <c r="N182" s="319">
        <v>46137</v>
      </c>
      <c r="O182" s="319"/>
      <c r="P182" s="319"/>
      <c r="Q182" s="319"/>
      <c r="R182" s="319"/>
      <c r="S182" s="319"/>
      <c r="T182" s="319"/>
      <c r="U182" s="319">
        <v>46204</v>
      </c>
      <c r="V182" s="319">
        <f>U182+3</f>
        <v>46207</v>
      </c>
      <c r="W182" s="319"/>
      <c r="X182" s="319">
        <f>V182+2</f>
        <v>46209</v>
      </c>
      <c r="Y182" s="319">
        <f>X182+2</f>
        <v>46211</v>
      </c>
      <c r="Z182" s="319">
        <f>Y182+5</f>
        <v>46216</v>
      </c>
      <c r="AA182" s="319">
        <f>Z182+10</f>
        <v>46226</v>
      </c>
      <c r="AB182" s="319">
        <f>AA182+10</f>
        <v>46236</v>
      </c>
      <c r="AC182" s="319">
        <f>AB182+7</f>
        <v>46243</v>
      </c>
      <c r="AD182" s="319">
        <f>AB182+5</f>
        <v>46241</v>
      </c>
      <c r="AE182" s="319">
        <f>AD182+2</f>
        <v>46243</v>
      </c>
      <c r="AF182" s="319">
        <f>AG182-7</f>
        <v>46289</v>
      </c>
      <c r="AG182" s="319">
        <f>AH182-3</f>
        <v>46296</v>
      </c>
      <c r="AH182" s="319">
        <f>AM182</f>
        <v>46299</v>
      </c>
      <c r="AI182" s="319">
        <f>AM182+14</f>
        <v>46313</v>
      </c>
      <c r="AJ182" s="319">
        <f>AM182+30</f>
        <v>46329</v>
      </c>
      <c r="AK182" s="343"/>
      <c r="AL182" s="321">
        <f>AK181*7</f>
        <v>90.000000000000298</v>
      </c>
      <c r="AM182" s="319">
        <f>IF(X182&lt;&gt;"",X182+AL182,X183+AL182)</f>
        <v>46299</v>
      </c>
      <c r="AN182" s="322">
        <f>AU181-7</f>
        <v>46300</v>
      </c>
      <c r="AO182" s="322">
        <f>AP182-3</f>
        <v>46292</v>
      </c>
      <c r="AP182" s="322">
        <v>46295</v>
      </c>
      <c r="AQ182" s="322" t="s">
        <v>230</v>
      </c>
      <c r="AR182" s="314">
        <f>AN182-AM182</f>
        <v>1</v>
      </c>
      <c r="AS182" s="323"/>
      <c r="AT182" s="324" t="s">
        <v>66</v>
      </c>
      <c r="AU182" s="325">
        <v>46318</v>
      </c>
      <c r="AV182" s="265"/>
    </row>
    <row r="183" spans="1:48" s="264" customFormat="1" ht="25.05" customHeight="1">
      <c r="A183" s="392"/>
      <c r="B183" s="328" t="s">
        <v>231</v>
      </c>
      <c r="C183" s="328" t="str">
        <f>C182</f>
        <v>Secondary Steel – Beam for topside (W-Type)</v>
      </c>
      <c r="D183" s="364"/>
      <c r="E183" s="330"/>
      <c r="F183" s="364"/>
      <c r="G183" s="332"/>
      <c r="H183" s="333"/>
      <c r="I183" s="332" t="s">
        <v>225</v>
      </c>
      <c r="J183" s="328" t="s">
        <v>64</v>
      </c>
      <c r="K183" s="310">
        <v>2</v>
      </c>
      <c r="L183" s="328" t="s">
        <v>6</v>
      </c>
      <c r="M183" s="334" t="s">
        <v>67</v>
      </c>
      <c r="N183" s="335">
        <v>46137</v>
      </c>
      <c r="O183" s="335">
        <v>46204</v>
      </c>
      <c r="P183" s="335">
        <v>46216</v>
      </c>
      <c r="Q183" s="335">
        <v>46216</v>
      </c>
      <c r="R183" s="335">
        <f>Q183</f>
        <v>46216</v>
      </c>
      <c r="S183" s="335">
        <f>R183</f>
        <v>46216</v>
      </c>
      <c r="T183" s="335">
        <f>S183+2</f>
        <v>46218</v>
      </c>
      <c r="U183" s="335"/>
      <c r="V183" s="335"/>
      <c r="W183" s="335"/>
      <c r="X183" s="332"/>
      <c r="Y183" s="335"/>
      <c r="Z183" s="335">
        <v>46202</v>
      </c>
      <c r="AA183" s="335"/>
      <c r="AB183" s="335"/>
      <c r="AC183" s="335"/>
      <c r="AD183" s="335"/>
      <c r="AE183" s="335"/>
      <c r="AF183" s="335"/>
      <c r="AG183" s="335"/>
      <c r="AH183" s="335"/>
      <c r="AI183" s="335"/>
      <c r="AJ183" s="335"/>
      <c r="AK183" s="336"/>
      <c r="AL183" s="337"/>
      <c r="AM183" s="335"/>
      <c r="AN183" s="338"/>
      <c r="AO183" s="338"/>
      <c r="AP183" s="338"/>
      <c r="AQ183" s="338"/>
      <c r="AR183" s="332"/>
      <c r="AS183" s="339"/>
      <c r="AT183" s="340"/>
      <c r="AU183" s="339"/>
    </row>
    <row r="184" spans="1:48" s="267" customFormat="1" ht="25.05" customHeight="1">
      <c r="A184" s="309">
        <v>102</v>
      </c>
      <c r="B184" s="310" t="s">
        <v>234</v>
      </c>
      <c r="C184" s="310" t="s">
        <v>235</v>
      </c>
      <c r="D184" s="361"/>
      <c r="E184" s="312"/>
      <c r="F184" s="362"/>
      <c r="G184" s="314"/>
      <c r="H184" s="315"/>
      <c r="I184" s="314" t="s">
        <v>225</v>
      </c>
      <c r="J184" s="310"/>
      <c r="K184" s="316"/>
      <c r="L184" s="310" t="s">
        <v>6</v>
      </c>
      <c r="M184" s="317" t="s">
        <v>61</v>
      </c>
      <c r="N184" s="318"/>
      <c r="O184" s="319">
        <v>46188</v>
      </c>
      <c r="P184" s="319">
        <v>46193</v>
      </c>
      <c r="Q184" s="319">
        <v>46193</v>
      </c>
      <c r="R184" s="319">
        <v>46193</v>
      </c>
      <c r="S184" s="319">
        <v>46193</v>
      </c>
      <c r="T184" s="319">
        <v>46202</v>
      </c>
      <c r="U184" s="319">
        <v>46204</v>
      </c>
      <c r="V184" s="319">
        <v>46207</v>
      </c>
      <c r="W184" s="319"/>
      <c r="X184" s="319">
        <v>46209</v>
      </c>
      <c r="Y184" s="319">
        <v>46211</v>
      </c>
      <c r="Z184" s="319">
        <v>46216</v>
      </c>
      <c r="AA184" s="319">
        <v>46226</v>
      </c>
      <c r="AB184" s="319">
        <v>46236</v>
      </c>
      <c r="AC184" s="319">
        <v>46243</v>
      </c>
      <c r="AD184" s="319">
        <v>46241</v>
      </c>
      <c r="AE184" s="319">
        <v>46243</v>
      </c>
      <c r="AF184" s="319">
        <v>46289</v>
      </c>
      <c r="AG184" s="319">
        <v>46296</v>
      </c>
      <c r="AH184" s="319">
        <v>46299</v>
      </c>
      <c r="AI184" s="319">
        <v>46313</v>
      </c>
      <c r="AJ184" s="319">
        <v>46329</v>
      </c>
      <c r="AK184" s="320">
        <v>12.8571428571429</v>
      </c>
      <c r="AL184" s="321"/>
      <c r="AM184" s="319">
        <f>X184+AL185</f>
        <v>46299</v>
      </c>
      <c r="AN184" s="348">
        <f>AM184-AH184</f>
        <v>0</v>
      </c>
      <c r="AO184" s="322"/>
      <c r="AP184" s="322"/>
      <c r="AQ184" s="322"/>
      <c r="AR184" s="314">
        <f>AN185-AM184</f>
        <v>1</v>
      </c>
      <c r="AS184" s="323"/>
      <c r="AT184" s="324" t="s">
        <v>62</v>
      </c>
      <c r="AU184" s="325">
        <v>46307</v>
      </c>
      <c r="AV184" s="264"/>
    </row>
    <row r="185" spans="1:48" s="264" customFormat="1" ht="25.05" customHeight="1">
      <c r="A185" s="391"/>
      <c r="B185" s="310" t="s">
        <v>234</v>
      </c>
      <c r="C185" s="310" t="s">
        <v>235</v>
      </c>
      <c r="D185" s="363"/>
      <c r="E185" s="312"/>
      <c r="F185" s="363"/>
      <c r="G185" s="314">
        <v>1</v>
      </c>
      <c r="H185" s="315" t="s">
        <v>233</v>
      </c>
      <c r="I185" s="314" t="s">
        <v>225</v>
      </c>
      <c r="J185" s="310" t="s">
        <v>64</v>
      </c>
      <c r="K185" s="310">
        <v>2</v>
      </c>
      <c r="L185" s="310" t="s">
        <v>6</v>
      </c>
      <c r="M185" s="317" t="s">
        <v>65</v>
      </c>
      <c r="N185" s="319">
        <v>46137</v>
      </c>
      <c r="O185" s="319">
        <v>46188</v>
      </c>
      <c r="P185" s="319">
        <f>O185+5</f>
        <v>46193</v>
      </c>
      <c r="Q185" s="319">
        <f>WORKDAY.INTL(P185,INDEX(Q$8:Q$11,MATCH($L185,$L$8:$L$11,0)),1,IF(Q$18="China",'China Holidays'!$A$2:$A$82,'Thai Holidays'!$A$2:$A$63))</f>
        <v>46193</v>
      </c>
      <c r="R185" s="319">
        <f>WORKDAY.INTL(Q185,INDEX(R$8:R$11,MATCH($L185,$L$8:$L$11,0)),1,IF(R$18="China",'China Holidays'!$A$2:$A$82,'Thai Holidays'!$A$2:$A$63))</f>
        <v>46193</v>
      </c>
      <c r="S185" s="319">
        <f>WORKDAY.INTL(R185,INDEX(S$8:S$11,MATCH($L185,$L$8:$L$11,0)),1,IF(S$18="China",'China Holidays'!$A$2:$A$82,'Thai Holidays'!$A$2:$A$63))</f>
        <v>46193</v>
      </c>
      <c r="T185" s="319">
        <f>O185+14</f>
        <v>46202</v>
      </c>
      <c r="U185" s="319">
        <f>T185+2</f>
        <v>46204</v>
      </c>
      <c r="V185" s="319">
        <f>U185+3</f>
        <v>46207</v>
      </c>
      <c r="W185" s="319"/>
      <c r="X185" s="319">
        <f>V185+2</f>
        <v>46209</v>
      </c>
      <c r="Y185" s="319">
        <f>X185+2</f>
        <v>46211</v>
      </c>
      <c r="Z185" s="319">
        <f>Y185+5</f>
        <v>46216</v>
      </c>
      <c r="AA185" s="319">
        <f>Z185+10</f>
        <v>46226</v>
      </c>
      <c r="AB185" s="319">
        <f>AA185+10</f>
        <v>46236</v>
      </c>
      <c r="AC185" s="319">
        <f>AB185+7</f>
        <v>46243</v>
      </c>
      <c r="AD185" s="319">
        <f>AB185+5</f>
        <v>46241</v>
      </c>
      <c r="AE185" s="319">
        <f>AD185+2</f>
        <v>46243</v>
      </c>
      <c r="AF185" s="319">
        <f>AG185-7</f>
        <v>46289</v>
      </c>
      <c r="AG185" s="319">
        <f>AH185-3</f>
        <v>46296</v>
      </c>
      <c r="AH185" s="319">
        <f>AM185</f>
        <v>46299</v>
      </c>
      <c r="AI185" s="319">
        <f>AM185+14</f>
        <v>46313</v>
      </c>
      <c r="AJ185" s="319">
        <f>AM185+30</f>
        <v>46329</v>
      </c>
      <c r="AK185" s="343"/>
      <c r="AL185" s="321">
        <f>AK184*7</f>
        <v>90.000000000000298</v>
      </c>
      <c r="AM185" s="319">
        <f>IF(X185&lt;&gt;"",X185+AL185,X186+AL185)</f>
        <v>46299</v>
      </c>
      <c r="AN185" s="322">
        <f>AU184-7</f>
        <v>46300</v>
      </c>
      <c r="AO185" s="322">
        <f>AP185-3</f>
        <v>46292</v>
      </c>
      <c r="AP185" s="322">
        <v>46295</v>
      </c>
      <c r="AQ185" s="322" t="s">
        <v>230</v>
      </c>
      <c r="AR185" s="314">
        <f>AN185-AM185</f>
        <v>1</v>
      </c>
      <c r="AS185" s="323"/>
      <c r="AT185" s="324" t="s">
        <v>66</v>
      </c>
      <c r="AU185" s="325">
        <v>46318</v>
      </c>
      <c r="AV185" s="265"/>
    </row>
    <row r="186" spans="1:48" s="264" customFormat="1" ht="25.05" customHeight="1">
      <c r="A186" s="392"/>
      <c r="B186" s="328" t="s">
        <v>234</v>
      </c>
      <c r="C186" s="328" t="s">
        <v>235</v>
      </c>
      <c r="D186" s="364"/>
      <c r="E186" s="330"/>
      <c r="F186" s="364"/>
      <c r="G186" s="332"/>
      <c r="H186" s="333"/>
      <c r="I186" s="332" t="s">
        <v>225</v>
      </c>
      <c r="J186" s="328" t="s">
        <v>64</v>
      </c>
      <c r="K186" s="310">
        <v>2</v>
      </c>
      <c r="L186" s="328" t="s">
        <v>6</v>
      </c>
      <c r="M186" s="334" t="s">
        <v>67</v>
      </c>
      <c r="N186" s="335">
        <v>46137</v>
      </c>
      <c r="O186" s="335">
        <v>46204</v>
      </c>
      <c r="P186" s="335">
        <v>46216</v>
      </c>
      <c r="Q186" s="335">
        <v>46216</v>
      </c>
      <c r="R186" s="335">
        <v>46216</v>
      </c>
      <c r="S186" s="335">
        <v>46216</v>
      </c>
      <c r="T186" s="335">
        <v>46218</v>
      </c>
      <c r="U186" s="335"/>
      <c r="V186" s="335"/>
      <c r="W186" s="335"/>
      <c r="X186" s="332"/>
      <c r="Y186" s="335"/>
      <c r="Z186" s="335"/>
      <c r="AA186" s="335"/>
      <c r="AB186" s="335"/>
      <c r="AC186" s="335"/>
      <c r="AD186" s="335"/>
      <c r="AE186" s="335"/>
      <c r="AF186" s="335"/>
      <c r="AG186" s="335"/>
      <c r="AH186" s="335"/>
      <c r="AI186" s="335"/>
      <c r="AJ186" s="335"/>
      <c r="AK186" s="336"/>
      <c r="AL186" s="337"/>
      <c r="AM186" s="319"/>
      <c r="AN186" s="338"/>
      <c r="AO186" s="338"/>
      <c r="AP186" s="338"/>
      <c r="AQ186" s="338"/>
      <c r="AR186" s="332"/>
      <c r="AS186" s="339"/>
      <c r="AT186" s="340"/>
      <c r="AU186" s="339"/>
    </row>
    <row r="187" spans="1:48" s="264" customFormat="1" ht="25.05" customHeight="1">
      <c r="A187" s="309">
        <v>58</v>
      </c>
      <c r="B187" s="310" t="s">
        <v>236</v>
      </c>
      <c r="C187" s="310" t="s">
        <v>237</v>
      </c>
      <c r="D187" s="361"/>
      <c r="E187" s="312"/>
      <c r="F187" s="362"/>
      <c r="G187" s="314"/>
      <c r="H187" s="315"/>
      <c r="I187" s="314" t="s">
        <v>225</v>
      </c>
      <c r="J187" s="310"/>
      <c r="K187" s="316"/>
      <c r="L187" s="310" t="s">
        <v>6</v>
      </c>
      <c r="M187" s="317" t="s">
        <v>61</v>
      </c>
      <c r="N187" s="318"/>
      <c r="O187" s="319">
        <v>46208</v>
      </c>
      <c r="P187" s="319">
        <v>46220</v>
      </c>
      <c r="Q187" s="319">
        <v>46220</v>
      </c>
      <c r="R187" s="319">
        <v>46220</v>
      </c>
      <c r="S187" s="319">
        <v>46220</v>
      </c>
      <c r="T187" s="319">
        <v>46222</v>
      </c>
      <c r="U187" s="319">
        <v>46224</v>
      </c>
      <c r="V187" s="319">
        <v>46227</v>
      </c>
      <c r="W187" s="319"/>
      <c r="X187" s="319">
        <v>46229</v>
      </c>
      <c r="Y187" s="319">
        <v>46231</v>
      </c>
      <c r="Z187" s="319">
        <v>46236</v>
      </c>
      <c r="AA187" s="319">
        <v>46246</v>
      </c>
      <c r="AB187" s="319">
        <v>46256</v>
      </c>
      <c r="AC187" s="319">
        <v>46263</v>
      </c>
      <c r="AD187" s="319">
        <v>46261</v>
      </c>
      <c r="AE187" s="319">
        <v>46263</v>
      </c>
      <c r="AF187" s="319">
        <v>46309</v>
      </c>
      <c r="AG187" s="319">
        <v>46316</v>
      </c>
      <c r="AH187" s="319">
        <v>46319</v>
      </c>
      <c r="AI187" s="319">
        <v>46333</v>
      </c>
      <c r="AJ187" s="319">
        <v>46349</v>
      </c>
      <c r="AK187" s="320">
        <v>12.8571428571429</v>
      </c>
      <c r="AL187" s="321"/>
      <c r="AM187" s="319">
        <f>X187+AL188</f>
        <v>46319</v>
      </c>
      <c r="AN187" s="322"/>
      <c r="AO187" s="322"/>
      <c r="AP187" s="322"/>
      <c r="AQ187" s="322"/>
      <c r="AR187" s="314">
        <f>AN188-AM187</f>
        <v>3</v>
      </c>
      <c r="AS187" s="323"/>
      <c r="AT187" s="324" t="s">
        <v>62</v>
      </c>
      <c r="AU187" s="325">
        <v>46329</v>
      </c>
    </row>
    <row r="188" spans="1:48" s="264" customFormat="1" ht="25.05" customHeight="1">
      <c r="A188" s="391"/>
      <c r="B188" s="310" t="s">
        <v>236</v>
      </c>
      <c r="C188" s="310" t="s">
        <v>237</v>
      </c>
      <c r="D188" s="363"/>
      <c r="E188" s="312"/>
      <c r="F188" s="363"/>
      <c r="G188" s="314">
        <v>3</v>
      </c>
      <c r="H188" s="315" t="s">
        <v>233</v>
      </c>
      <c r="I188" s="314" t="s">
        <v>225</v>
      </c>
      <c r="J188" s="310" t="s">
        <v>64</v>
      </c>
      <c r="K188" s="310">
        <v>3</v>
      </c>
      <c r="L188" s="310" t="s">
        <v>6</v>
      </c>
      <c r="M188" s="317" t="s">
        <v>65</v>
      </c>
      <c r="N188" s="319" t="e">
        <f>#REF!</f>
        <v>#REF!</v>
      </c>
      <c r="O188" s="319">
        <v>46208</v>
      </c>
      <c r="P188" s="319">
        <f>WORKDAY.INTL(O188,INDEX(P$8:P$11,MATCH($L188,$L$8:$L$11,0)),1,IF(P$18="China",'China Holidays'!$A$2:$A$82,'Thai Holidays'!$A$2:$A$63))</f>
        <v>46220</v>
      </c>
      <c r="Q188" s="319">
        <f>WORKDAY.INTL(P188,INDEX(Q$8:Q$11,MATCH($L188,$L$8:$L$11,0)),1,IF(Q$18="China",'China Holidays'!$A$2:$A$82,'Thai Holidays'!$A$2:$A$63))</f>
        <v>46220</v>
      </c>
      <c r="R188" s="319">
        <f>WORKDAY.INTL(Q188,INDEX(R$8:R$11,MATCH($L188,$L$8:$L$11,0)),1,IF(R$18="China",'China Holidays'!$A$2:$A$82,'Thai Holidays'!$A$2:$A$63))</f>
        <v>46220</v>
      </c>
      <c r="S188" s="319">
        <f>WORKDAY.INTL(R188,INDEX(S$8:S$11,MATCH($L188,$L$8:$L$11,0)),1,IF(S$18="China",'China Holidays'!$A$2:$A$82,'Thai Holidays'!$A$2:$A$63))</f>
        <v>46220</v>
      </c>
      <c r="T188" s="319">
        <f>O188+14</f>
        <v>46222</v>
      </c>
      <c r="U188" s="319">
        <f>T188+2</f>
        <v>46224</v>
      </c>
      <c r="V188" s="319">
        <f>U188+3</f>
        <v>46227</v>
      </c>
      <c r="W188" s="319"/>
      <c r="X188" s="319">
        <f>V188+2</f>
        <v>46229</v>
      </c>
      <c r="Y188" s="319">
        <f>X188+2</f>
        <v>46231</v>
      </c>
      <c r="Z188" s="319">
        <f>Y188+5</f>
        <v>46236</v>
      </c>
      <c r="AA188" s="319">
        <f>Z188+10</f>
        <v>46246</v>
      </c>
      <c r="AB188" s="319">
        <f>AA188+10</f>
        <v>46256</v>
      </c>
      <c r="AC188" s="319">
        <f>AB188+7</f>
        <v>46263</v>
      </c>
      <c r="AD188" s="319">
        <f>AB188+5</f>
        <v>46261</v>
      </c>
      <c r="AE188" s="319">
        <f>AD188+2</f>
        <v>46263</v>
      </c>
      <c r="AF188" s="319">
        <f>AG188-7</f>
        <v>46309</v>
      </c>
      <c r="AG188" s="319">
        <f>AH188-3</f>
        <v>46316</v>
      </c>
      <c r="AH188" s="319">
        <f>AM188</f>
        <v>46319</v>
      </c>
      <c r="AI188" s="319">
        <f>AM188+14</f>
        <v>46333</v>
      </c>
      <c r="AJ188" s="319">
        <f>AM188+30</f>
        <v>46349</v>
      </c>
      <c r="AK188" s="343"/>
      <c r="AL188" s="321">
        <f>AK187*7</f>
        <v>90.000000000000298</v>
      </c>
      <c r="AM188" s="319">
        <f>IF(X188&lt;&gt;"",X188+AL188,X189+AL188)</f>
        <v>46319</v>
      </c>
      <c r="AN188" s="322">
        <f>AU187-7</f>
        <v>46322</v>
      </c>
      <c r="AO188" s="322">
        <f>AP188-3</f>
        <v>46332</v>
      </c>
      <c r="AP188" s="322">
        <v>46335</v>
      </c>
      <c r="AQ188" s="322"/>
      <c r="AR188" s="314">
        <f>AN188-AM188</f>
        <v>3</v>
      </c>
      <c r="AS188" s="323"/>
      <c r="AT188" s="324" t="s">
        <v>66</v>
      </c>
      <c r="AU188" s="325">
        <v>46365</v>
      </c>
      <c r="AV188" s="265"/>
    </row>
    <row r="189" spans="1:48" s="264" customFormat="1" ht="25.05" customHeight="1">
      <c r="A189" s="392"/>
      <c r="B189" s="328" t="s">
        <v>236</v>
      </c>
      <c r="C189" s="328" t="s">
        <v>237</v>
      </c>
      <c r="D189" s="364"/>
      <c r="E189" s="330"/>
      <c r="F189" s="364"/>
      <c r="G189" s="332"/>
      <c r="H189" s="333"/>
      <c r="I189" s="332" t="s">
        <v>225</v>
      </c>
      <c r="J189" s="328" t="s">
        <v>64</v>
      </c>
      <c r="K189" s="310">
        <v>3</v>
      </c>
      <c r="L189" s="328" t="s">
        <v>6</v>
      </c>
      <c r="M189" s="334" t="s">
        <v>67</v>
      </c>
      <c r="N189" s="332"/>
      <c r="O189" s="335"/>
      <c r="P189" s="335"/>
      <c r="Q189" s="335"/>
      <c r="R189" s="335"/>
      <c r="S189" s="335"/>
      <c r="T189" s="335"/>
      <c r="U189" s="335"/>
      <c r="V189" s="335"/>
      <c r="W189" s="335"/>
      <c r="X189" s="332"/>
      <c r="Y189" s="335"/>
      <c r="Z189" s="335"/>
      <c r="AA189" s="335"/>
      <c r="AB189" s="335"/>
      <c r="AC189" s="335"/>
      <c r="AD189" s="335"/>
      <c r="AE189" s="335"/>
      <c r="AF189" s="335"/>
      <c r="AG189" s="335"/>
      <c r="AH189" s="335"/>
      <c r="AI189" s="335"/>
      <c r="AJ189" s="335"/>
      <c r="AK189" s="336"/>
      <c r="AL189" s="337"/>
      <c r="AM189" s="335"/>
      <c r="AN189" s="338"/>
      <c r="AO189" s="338"/>
      <c r="AP189" s="338"/>
      <c r="AQ189" s="338"/>
      <c r="AR189" s="332"/>
      <c r="AS189" s="339"/>
      <c r="AT189" s="340"/>
      <c r="AU189" s="339"/>
    </row>
    <row r="190" spans="1:48" s="264" customFormat="1" ht="25.05" customHeight="1">
      <c r="A190" s="309">
        <v>59</v>
      </c>
      <c r="B190" s="310" t="s">
        <v>238</v>
      </c>
      <c r="C190" s="310" t="s">
        <v>239</v>
      </c>
      <c r="D190" s="361"/>
      <c r="E190" s="312"/>
      <c r="F190" s="362"/>
      <c r="G190" s="314"/>
      <c r="H190" s="315"/>
      <c r="I190" s="314" t="s">
        <v>225</v>
      </c>
      <c r="J190" s="310"/>
      <c r="K190" s="316"/>
      <c r="L190" s="310" t="s">
        <v>6</v>
      </c>
      <c r="M190" s="317" t="s">
        <v>61</v>
      </c>
      <c r="N190" s="318"/>
      <c r="O190" s="319">
        <v>46212</v>
      </c>
      <c r="P190" s="319">
        <v>46226</v>
      </c>
      <c r="Q190" s="319">
        <v>46226</v>
      </c>
      <c r="R190" s="319">
        <v>46226</v>
      </c>
      <c r="S190" s="319">
        <v>46226</v>
      </c>
      <c r="T190" s="319">
        <v>46226</v>
      </c>
      <c r="U190" s="319">
        <v>46228</v>
      </c>
      <c r="V190" s="319">
        <v>46231</v>
      </c>
      <c r="W190" s="319"/>
      <c r="X190" s="319">
        <v>46233</v>
      </c>
      <c r="Y190" s="319">
        <v>46234</v>
      </c>
      <c r="Z190" s="319">
        <v>46239</v>
      </c>
      <c r="AA190" s="319">
        <v>46247</v>
      </c>
      <c r="AB190" s="319">
        <v>46257</v>
      </c>
      <c r="AC190" s="319">
        <v>46264</v>
      </c>
      <c r="AD190" s="319">
        <v>46264</v>
      </c>
      <c r="AE190" s="319">
        <v>46269</v>
      </c>
      <c r="AF190" s="319">
        <f>AG190-7</f>
        <v>46279</v>
      </c>
      <c r="AG190" s="319">
        <f>AH190-3</f>
        <v>46286</v>
      </c>
      <c r="AH190" s="319">
        <f>AM190</f>
        <v>46289</v>
      </c>
      <c r="AI190" s="319">
        <f>AM190+14</f>
        <v>46303</v>
      </c>
      <c r="AJ190" s="319">
        <f>AM190+30</f>
        <v>46319</v>
      </c>
      <c r="AK190" s="320">
        <v>8</v>
      </c>
      <c r="AL190" s="321"/>
      <c r="AM190" s="319">
        <f>X190+AL191</f>
        <v>46289</v>
      </c>
      <c r="AN190" s="348">
        <f>AM190-AH190</f>
        <v>0</v>
      </c>
      <c r="AO190" s="322"/>
      <c r="AP190" s="322"/>
      <c r="AQ190" s="322"/>
      <c r="AR190" s="314">
        <f>AN191-AM190</f>
        <v>22</v>
      </c>
      <c r="AS190" s="323"/>
      <c r="AT190" s="324" t="s">
        <v>62</v>
      </c>
      <c r="AU190" s="325">
        <v>46318</v>
      </c>
    </row>
    <row r="191" spans="1:48" s="264" customFormat="1" ht="25.05" customHeight="1">
      <c r="A191" s="391"/>
      <c r="B191" s="310" t="s">
        <v>238</v>
      </c>
      <c r="C191" s="310" t="s">
        <v>239</v>
      </c>
      <c r="D191" s="363"/>
      <c r="E191" s="312"/>
      <c r="F191" s="363"/>
      <c r="G191" s="314">
        <v>11</v>
      </c>
      <c r="H191" s="315" t="s">
        <v>226</v>
      </c>
      <c r="I191" s="314" t="s">
        <v>225</v>
      </c>
      <c r="J191" s="310" t="s">
        <v>64</v>
      </c>
      <c r="K191" s="310">
        <v>2</v>
      </c>
      <c r="L191" s="310" t="s">
        <v>6</v>
      </c>
      <c r="M191" s="317" t="s">
        <v>65</v>
      </c>
      <c r="N191" s="319"/>
      <c r="O191" s="319"/>
      <c r="P191" s="319"/>
      <c r="Q191" s="319"/>
      <c r="R191" s="319"/>
      <c r="S191" s="319"/>
      <c r="T191" s="319"/>
      <c r="U191" s="319">
        <v>46228</v>
      </c>
      <c r="V191" s="319">
        <f>X191-2</f>
        <v>46231</v>
      </c>
      <c r="W191" s="319"/>
      <c r="X191" s="319">
        <v>46233</v>
      </c>
      <c r="Y191" s="319">
        <f>X191+1</f>
        <v>46234</v>
      </c>
      <c r="Z191" s="319">
        <f>Y191+5</f>
        <v>46239</v>
      </c>
      <c r="AA191" s="319">
        <f>AB191-10</f>
        <v>46247</v>
      </c>
      <c r="AB191" s="319">
        <f>AC191-7</f>
        <v>46257</v>
      </c>
      <c r="AC191" s="319">
        <v>46264</v>
      </c>
      <c r="AD191" s="319">
        <f>AB191+7</f>
        <v>46264</v>
      </c>
      <c r="AE191" s="319">
        <f>AD191+5</f>
        <v>46269</v>
      </c>
      <c r="AF191" s="319">
        <f>AE191+5</f>
        <v>46274</v>
      </c>
      <c r="AG191" s="319">
        <f>AH191-3</f>
        <v>46286</v>
      </c>
      <c r="AH191" s="319">
        <f>AM191</f>
        <v>46289</v>
      </c>
      <c r="AI191" s="319">
        <f>AM191+14</f>
        <v>46303</v>
      </c>
      <c r="AJ191" s="319">
        <f>AM191+30</f>
        <v>46319</v>
      </c>
      <c r="AK191" s="343"/>
      <c r="AL191" s="321">
        <f>AK190*7</f>
        <v>56</v>
      </c>
      <c r="AM191" s="319">
        <f>IF(X191&lt;&gt;"",X191+AL191,X192+AL191)</f>
        <v>46289</v>
      </c>
      <c r="AN191" s="322">
        <f>AU190-7</f>
        <v>46311</v>
      </c>
      <c r="AO191" s="322">
        <f>AP191-3</f>
        <v>46317</v>
      </c>
      <c r="AP191" s="322">
        <v>46320</v>
      </c>
      <c r="AQ191" s="322" t="s">
        <v>240</v>
      </c>
      <c r="AR191" s="314">
        <f>AN191-AM191</f>
        <v>22</v>
      </c>
      <c r="AS191" s="323"/>
      <c r="AT191" s="324" t="s">
        <v>66</v>
      </c>
      <c r="AU191" s="325">
        <v>46349</v>
      </c>
      <c r="AV191" s="265"/>
    </row>
    <row r="192" spans="1:48" s="264" customFormat="1" ht="25.05" customHeight="1">
      <c r="A192" s="392"/>
      <c r="B192" s="328" t="s">
        <v>238</v>
      </c>
      <c r="C192" s="328" t="s">
        <v>239</v>
      </c>
      <c r="D192" s="364"/>
      <c r="E192" s="330"/>
      <c r="F192" s="364"/>
      <c r="G192" s="332"/>
      <c r="H192" s="333"/>
      <c r="I192" s="332" t="s">
        <v>225</v>
      </c>
      <c r="J192" s="328" t="s">
        <v>64</v>
      </c>
      <c r="K192" s="310">
        <v>2</v>
      </c>
      <c r="L192" s="328" t="s">
        <v>6</v>
      </c>
      <c r="M192" s="334" t="s">
        <v>67</v>
      </c>
      <c r="N192" s="335">
        <v>46137</v>
      </c>
      <c r="O192" s="335">
        <v>46163</v>
      </c>
      <c r="P192" s="335">
        <v>46175</v>
      </c>
      <c r="Q192" s="335">
        <v>46175</v>
      </c>
      <c r="R192" s="335">
        <v>46179</v>
      </c>
      <c r="S192" s="335">
        <v>46179</v>
      </c>
      <c r="T192" s="335">
        <v>46179</v>
      </c>
      <c r="U192" s="335"/>
      <c r="V192" s="335"/>
      <c r="W192" s="335"/>
      <c r="X192" s="335"/>
      <c r="Y192" s="335"/>
      <c r="Z192" s="335"/>
      <c r="AA192" s="335"/>
      <c r="AB192" s="335"/>
      <c r="AC192" s="335"/>
      <c r="AD192" s="335"/>
      <c r="AE192" s="335"/>
      <c r="AF192" s="335"/>
      <c r="AG192" s="335"/>
      <c r="AH192" s="335"/>
      <c r="AI192" s="335"/>
      <c r="AJ192" s="335"/>
      <c r="AK192" s="336"/>
      <c r="AL192" s="337"/>
      <c r="AM192" s="335"/>
      <c r="AN192" s="338"/>
      <c r="AO192" s="338"/>
      <c r="AP192" s="338"/>
      <c r="AQ192" s="338"/>
      <c r="AR192" s="332"/>
      <c r="AS192" s="339"/>
      <c r="AT192" s="340"/>
      <c r="AU192" s="339"/>
    </row>
    <row r="193" spans="1:48" s="264" customFormat="1" ht="25.05" customHeight="1">
      <c r="A193" s="309">
        <v>60</v>
      </c>
      <c r="B193" s="310" t="s">
        <v>241</v>
      </c>
      <c r="C193" s="310" t="s">
        <v>242</v>
      </c>
      <c r="D193" s="361"/>
      <c r="E193" s="312"/>
      <c r="F193" s="362"/>
      <c r="G193" s="314"/>
      <c r="H193" s="315"/>
      <c r="I193" s="314" t="s">
        <v>225</v>
      </c>
      <c r="J193" s="310"/>
      <c r="K193" s="316"/>
      <c r="L193" s="310" t="s">
        <v>6</v>
      </c>
      <c r="M193" s="317" t="s">
        <v>61</v>
      </c>
      <c r="N193" s="318"/>
      <c r="O193" s="319">
        <v>46204</v>
      </c>
      <c r="P193" s="319">
        <v>46206</v>
      </c>
      <c r="Q193" s="319">
        <v>46206</v>
      </c>
      <c r="R193" s="319">
        <v>46206</v>
      </c>
      <c r="S193" s="319">
        <v>46206</v>
      </c>
      <c r="T193" s="319">
        <v>46219</v>
      </c>
      <c r="U193" s="319">
        <v>46221</v>
      </c>
      <c r="V193" s="319">
        <v>46231</v>
      </c>
      <c r="W193" s="319"/>
      <c r="X193" s="319">
        <v>46233</v>
      </c>
      <c r="Y193" s="319">
        <v>46235</v>
      </c>
      <c r="Z193" s="319">
        <v>46240</v>
      </c>
      <c r="AA193" s="319">
        <v>46250</v>
      </c>
      <c r="AB193" s="319">
        <v>46260</v>
      </c>
      <c r="AC193" s="319">
        <v>46267</v>
      </c>
      <c r="AD193" s="319">
        <v>46265</v>
      </c>
      <c r="AE193" s="319">
        <v>46267</v>
      </c>
      <c r="AF193" s="319">
        <v>46283</v>
      </c>
      <c r="AG193" s="319">
        <v>46290</v>
      </c>
      <c r="AH193" s="319">
        <v>46293</v>
      </c>
      <c r="AI193" s="319">
        <v>46314</v>
      </c>
      <c r="AJ193" s="319">
        <v>46330</v>
      </c>
      <c r="AK193" s="320">
        <v>8.5714285714285694</v>
      </c>
      <c r="AL193" s="321"/>
      <c r="AM193" s="319">
        <f>X193+AL194</f>
        <v>46293</v>
      </c>
      <c r="AN193" s="322"/>
      <c r="AO193" s="322"/>
      <c r="AP193" s="322"/>
      <c r="AQ193" s="322"/>
      <c r="AR193" s="314">
        <f>AN194-AM193</f>
        <v>21</v>
      </c>
      <c r="AS193" s="323"/>
      <c r="AT193" s="324" t="s">
        <v>62</v>
      </c>
      <c r="AU193" s="325">
        <v>46346</v>
      </c>
    </row>
    <row r="194" spans="1:48" s="264" customFormat="1" ht="25.05" customHeight="1">
      <c r="A194" s="391"/>
      <c r="B194" s="310" t="s">
        <v>241</v>
      </c>
      <c r="C194" s="310" t="s">
        <v>242</v>
      </c>
      <c r="D194" s="363"/>
      <c r="E194" s="312"/>
      <c r="F194" s="363"/>
      <c r="G194" s="314">
        <v>25</v>
      </c>
      <c r="H194" s="315" t="s">
        <v>226</v>
      </c>
      <c r="I194" s="314" t="s">
        <v>225</v>
      </c>
      <c r="J194" s="310" t="s">
        <v>64</v>
      </c>
      <c r="K194" s="310">
        <v>2</v>
      </c>
      <c r="L194" s="310" t="s">
        <v>6</v>
      </c>
      <c r="M194" s="317" t="s">
        <v>65</v>
      </c>
      <c r="N194" s="319">
        <v>46120</v>
      </c>
      <c r="O194" s="319"/>
      <c r="P194" s="319"/>
      <c r="Q194" s="319"/>
      <c r="R194" s="319"/>
      <c r="S194" s="319"/>
      <c r="T194" s="319"/>
      <c r="U194" s="319"/>
      <c r="V194" s="319"/>
      <c r="W194" s="319"/>
      <c r="X194" s="319">
        <v>46233</v>
      </c>
      <c r="Y194" s="319">
        <f>X194+2</f>
        <v>46235</v>
      </c>
      <c r="Z194" s="319">
        <f>Y194+5</f>
        <v>46240</v>
      </c>
      <c r="AA194" s="319">
        <f>Z194+10</f>
        <v>46250</v>
      </c>
      <c r="AB194" s="319">
        <f>AA194+10</f>
        <v>46260</v>
      </c>
      <c r="AC194" s="319">
        <f>AB194+7</f>
        <v>46267</v>
      </c>
      <c r="AD194" s="319">
        <f>AB194+5</f>
        <v>46265</v>
      </c>
      <c r="AE194" s="319">
        <f>AD194+2</f>
        <v>46267</v>
      </c>
      <c r="AF194" s="319">
        <f>AG194-7</f>
        <v>46283</v>
      </c>
      <c r="AG194" s="319">
        <f>AH194-3</f>
        <v>46290</v>
      </c>
      <c r="AH194" s="319">
        <f>AM194</f>
        <v>46293</v>
      </c>
      <c r="AI194" s="319">
        <f>AM194+14</f>
        <v>46307</v>
      </c>
      <c r="AJ194" s="319">
        <f>AM194+30</f>
        <v>46323</v>
      </c>
      <c r="AK194" s="343"/>
      <c r="AL194" s="321">
        <f>AK193*7</f>
        <v>59.999999999999986</v>
      </c>
      <c r="AM194" s="319">
        <f>IF(X194&lt;&gt;"",X194+AL194,X195+AL194)</f>
        <v>46293</v>
      </c>
      <c r="AN194" s="322">
        <v>46314</v>
      </c>
      <c r="AO194" s="322">
        <v>46314</v>
      </c>
      <c r="AP194" s="322">
        <v>46291</v>
      </c>
      <c r="AQ194" s="322"/>
      <c r="AR194" s="314">
        <f>AN194-AM194</f>
        <v>21</v>
      </c>
      <c r="AS194" s="323"/>
      <c r="AT194" s="324" t="s">
        <v>66</v>
      </c>
      <c r="AU194" s="325">
        <v>46368</v>
      </c>
      <c r="AV194" s="265"/>
    </row>
    <row r="195" spans="1:48" s="264" customFormat="1" ht="25.05" customHeight="1">
      <c r="A195" s="392"/>
      <c r="B195" s="328" t="s">
        <v>241</v>
      </c>
      <c r="C195" s="328" t="s">
        <v>242</v>
      </c>
      <c r="D195" s="364"/>
      <c r="E195" s="330"/>
      <c r="F195" s="364"/>
      <c r="G195" s="332"/>
      <c r="H195" s="333"/>
      <c r="I195" s="332" t="s">
        <v>225</v>
      </c>
      <c r="J195" s="328" t="s">
        <v>64</v>
      </c>
      <c r="K195" s="310">
        <v>2</v>
      </c>
      <c r="L195" s="328" t="s">
        <v>6</v>
      </c>
      <c r="M195" s="334" t="s">
        <v>67</v>
      </c>
      <c r="N195" s="335">
        <v>46137</v>
      </c>
      <c r="O195" s="335">
        <v>46162</v>
      </c>
      <c r="P195" s="335">
        <v>46175</v>
      </c>
      <c r="Q195" s="335">
        <v>46175</v>
      </c>
      <c r="R195" s="335">
        <v>46179</v>
      </c>
      <c r="S195" s="335">
        <v>46179</v>
      </c>
      <c r="T195" s="335">
        <v>46179</v>
      </c>
      <c r="U195" s="335">
        <v>46185</v>
      </c>
      <c r="V195" s="335">
        <v>46190</v>
      </c>
      <c r="W195" s="335"/>
      <c r="X195" s="335"/>
      <c r="Y195" s="335"/>
      <c r="Z195" s="335">
        <v>46223</v>
      </c>
      <c r="AA195" s="335">
        <v>46223</v>
      </c>
      <c r="AB195" s="335"/>
      <c r="AC195" s="335"/>
      <c r="AD195" s="335"/>
      <c r="AE195" s="335"/>
      <c r="AF195" s="335"/>
      <c r="AG195" s="335"/>
      <c r="AH195" s="335"/>
      <c r="AI195" s="335"/>
      <c r="AJ195" s="335"/>
      <c r="AK195" s="336"/>
      <c r="AL195" s="337"/>
      <c r="AM195" s="319"/>
      <c r="AN195" s="338"/>
      <c r="AO195" s="338"/>
      <c r="AP195" s="338"/>
      <c r="AQ195" s="338"/>
      <c r="AR195" s="332"/>
      <c r="AS195" s="339"/>
      <c r="AT195" s="340"/>
      <c r="AU195" s="339"/>
    </row>
    <row r="196" spans="1:48" s="264" customFormat="1" ht="25.05" customHeight="1">
      <c r="A196" s="309">
        <v>61</v>
      </c>
      <c r="B196" s="310" t="s">
        <v>243</v>
      </c>
      <c r="C196" s="310" t="s">
        <v>244</v>
      </c>
      <c r="D196" s="361"/>
      <c r="E196" s="312"/>
      <c r="F196" s="362"/>
      <c r="G196" s="314"/>
      <c r="H196" s="315"/>
      <c r="I196" s="314" t="s">
        <v>225</v>
      </c>
      <c r="J196" s="310"/>
      <c r="K196" s="316"/>
      <c r="L196" s="310" t="s">
        <v>6</v>
      </c>
      <c r="M196" s="317" t="s">
        <v>61</v>
      </c>
      <c r="N196" s="318"/>
      <c r="O196" s="319">
        <v>46213</v>
      </c>
      <c r="P196" s="319">
        <v>46218</v>
      </c>
      <c r="Q196" s="319">
        <v>46218</v>
      </c>
      <c r="R196" s="319">
        <v>46218</v>
      </c>
      <c r="S196" s="319">
        <v>46218</v>
      </c>
      <c r="T196" s="319">
        <v>46227</v>
      </c>
      <c r="U196" s="319">
        <v>46229</v>
      </c>
      <c r="V196" s="319">
        <v>46232</v>
      </c>
      <c r="W196" s="319"/>
      <c r="X196" s="319">
        <v>46234</v>
      </c>
      <c r="Y196" s="319">
        <v>46236</v>
      </c>
      <c r="Z196" s="319">
        <v>46241</v>
      </c>
      <c r="AA196" s="319">
        <v>46251</v>
      </c>
      <c r="AB196" s="319">
        <v>46261</v>
      </c>
      <c r="AC196" s="319">
        <v>46268</v>
      </c>
      <c r="AD196" s="319">
        <v>46266</v>
      </c>
      <c r="AE196" s="319">
        <v>46268</v>
      </c>
      <c r="AF196" s="319">
        <f>AG196-7</f>
        <v>46324</v>
      </c>
      <c r="AG196" s="319">
        <f>AH196-3</f>
        <v>46331</v>
      </c>
      <c r="AH196" s="319">
        <f>AM196</f>
        <v>46334</v>
      </c>
      <c r="AI196" s="319">
        <f>AM196+14</f>
        <v>46348</v>
      </c>
      <c r="AJ196" s="319">
        <f>AM196+30</f>
        <v>46364</v>
      </c>
      <c r="AK196" s="320">
        <v>14.285714285714301</v>
      </c>
      <c r="AL196" s="321"/>
      <c r="AM196" s="319">
        <f>X196+AL197</f>
        <v>46334</v>
      </c>
      <c r="AN196" s="348">
        <f>AM196-AH196</f>
        <v>0</v>
      </c>
      <c r="AO196" s="322"/>
      <c r="AP196" s="322"/>
      <c r="AQ196" s="322"/>
      <c r="AR196" s="314">
        <f>AN197-AM196</f>
        <v>5</v>
      </c>
      <c r="AS196" s="323"/>
      <c r="AT196" s="324" t="s">
        <v>62</v>
      </c>
      <c r="AU196" s="325">
        <v>46346</v>
      </c>
    </row>
    <row r="197" spans="1:48" s="264" customFormat="1" ht="25.05" customHeight="1">
      <c r="A197" s="391"/>
      <c r="B197" s="310" t="s">
        <v>243</v>
      </c>
      <c r="C197" s="310" t="s">
        <v>244</v>
      </c>
      <c r="D197" s="363"/>
      <c r="E197" s="312"/>
      <c r="F197" s="363"/>
      <c r="G197" s="314">
        <v>5</v>
      </c>
      <c r="H197" s="315" t="s">
        <v>233</v>
      </c>
      <c r="I197" s="314" t="s">
        <v>225</v>
      </c>
      <c r="J197" s="310" t="s">
        <v>64</v>
      </c>
      <c r="K197" s="310">
        <v>3</v>
      </c>
      <c r="L197" s="310" t="s">
        <v>6</v>
      </c>
      <c r="M197" s="317" t="s">
        <v>65</v>
      </c>
      <c r="N197" s="319">
        <v>46137</v>
      </c>
      <c r="O197" s="319"/>
      <c r="P197" s="319"/>
      <c r="Q197" s="319"/>
      <c r="R197" s="319"/>
      <c r="S197" s="319"/>
      <c r="T197" s="319"/>
      <c r="U197" s="319">
        <v>46229</v>
      </c>
      <c r="V197" s="319">
        <f>U197+3</f>
        <v>46232</v>
      </c>
      <c r="W197" s="319"/>
      <c r="X197" s="319">
        <f>V197+2</f>
        <v>46234</v>
      </c>
      <c r="Y197" s="319">
        <f>X197+2</f>
        <v>46236</v>
      </c>
      <c r="Z197" s="319">
        <f>Y197+5</f>
        <v>46241</v>
      </c>
      <c r="AA197" s="319">
        <f>Z197+10</f>
        <v>46251</v>
      </c>
      <c r="AB197" s="319">
        <f>AA197+10</f>
        <v>46261</v>
      </c>
      <c r="AC197" s="319">
        <f>AB197+7</f>
        <v>46268</v>
      </c>
      <c r="AD197" s="319">
        <f>AB197+5</f>
        <v>46266</v>
      </c>
      <c r="AE197" s="319">
        <f>AD197+2</f>
        <v>46268</v>
      </c>
      <c r="AF197" s="319">
        <f>AG197-7</f>
        <v>46324</v>
      </c>
      <c r="AG197" s="319">
        <f>AH197-3</f>
        <v>46331</v>
      </c>
      <c r="AH197" s="319">
        <f>AM197</f>
        <v>46334</v>
      </c>
      <c r="AI197" s="319">
        <f>AM197+14</f>
        <v>46348</v>
      </c>
      <c r="AJ197" s="319">
        <f>AM197+30</f>
        <v>46364</v>
      </c>
      <c r="AK197" s="343"/>
      <c r="AL197" s="321">
        <f>AK196*7</f>
        <v>100.0000000000001</v>
      </c>
      <c r="AM197" s="319">
        <f>IF(X197&lt;&gt;"",X197+AL197,X198+AL197)</f>
        <v>46334</v>
      </c>
      <c r="AN197" s="322">
        <f>AU196-7</f>
        <v>46339</v>
      </c>
      <c r="AO197" s="322">
        <v>46331</v>
      </c>
      <c r="AP197" s="322">
        <v>46325</v>
      </c>
      <c r="AQ197" s="322"/>
      <c r="AR197" s="314">
        <f>AN197-AM197</f>
        <v>5</v>
      </c>
      <c r="AS197" s="323"/>
      <c r="AT197" s="324" t="s">
        <v>66</v>
      </c>
      <c r="AU197" s="325">
        <v>46368</v>
      </c>
      <c r="AV197" s="265"/>
    </row>
    <row r="198" spans="1:48" s="264" customFormat="1" ht="25.05" customHeight="1">
      <c r="A198" s="392"/>
      <c r="B198" s="328" t="s">
        <v>243</v>
      </c>
      <c r="C198" s="328" t="s">
        <v>244</v>
      </c>
      <c r="D198" s="364"/>
      <c r="E198" s="330"/>
      <c r="F198" s="364"/>
      <c r="G198" s="332"/>
      <c r="H198" s="333"/>
      <c r="I198" s="332" t="s">
        <v>225</v>
      </c>
      <c r="J198" s="328" t="s">
        <v>64</v>
      </c>
      <c r="K198" s="310">
        <v>3</v>
      </c>
      <c r="L198" s="328" t="s">
        <v>6</v>
      </c>
      <c r="M198" s="334" t="s">
        <v>67</v>
      </c>
      <c r="N198" s="319">
        <v>46137</v>
      </c>
      <c r="O198" s="335">
        <v>46204</v>
      </c>
      <c r="P198" s="347">
        <v>46223</v>
      </c>
      <c r="Q198" s="347">
        <v>46223</v>
      </c>
      <c r="R198" s="347">
        <v>46223</v>
      </c>
      <c r="S198" s="347">
        <v>46223</v>
      </c>
      <c r="T198" s="347">
        <v>46223</v>
      </c>
      <c r="U198" s="335"/>
      <c r="V198" s="335"/>
      <c r="W198" s="335"/>
      <c r="X198" s="335"/>
      <c r="Y198" s="335"/>
      <c r="Z198" s="335"/>
      <c r="AA198" s="335"/>
      <c r="AB198" s="335"/>
      <c r="AC198" s="335"/>
      <c r="AD198" s="335"/>
      <c r="AE198" s="335"/>
      <c r="AF198" s="335"/>
      <c r="AG198" s="335"/>
      <c r="AH198" s="335"/>
      <c r="AI198" s="335"/>
      <c r="AJ198" s="335"/>
      <c r="AK198" s="336"/>
      <c r="AL198" s="337"/>
      <c r="AM198" s="319"/>
      <c r="AN198" s="338"/>
      <c r="AO198" s="338"/>
      <c r="AP198" s="338"/>
      <c r="AQ198" s="338"/>
      <c r="AR198" s="332"/>
      <c r="AS198" s="339"/>
      <c r="AT198" s="340"/>
      <c r="AU198" s="339" t="s">
        <v>245</v>
      </c>
    </row>
    <row r="199" spans="1:48" s="264" customFormat="1" ht="25.05" customHeight="1">
      <c r="A199" s="309">
        <v>62</v>
      </c>
      <c r="B199" s="310" t="s">
        <v>246</v>
      </c>
      <c r="C199" s="310" t="s">
        <v>247</v>
      </c>
      <c r="D199" s="361"/>
      <c r="E199" s="312"/>
      <c r="F199" s="362"/>
      <c r="G199" s="314"/>
      <c r="H199" s="315"/>
      <c r="I199" s="314" t="s">
        <v>225</v>
      </c>
      <c r="J199" s="310"/>
      <c r="K199" s="316"/>
      <c r="L199" s="310" t="s">
        <v>6</v>
      </c>
      <c r="M199" s="317" t="s">
        <v>61</v>
      </c>
      <c r="N199" s="318"/>
      <c r="O199" s="319">
        <v>46204</v>
      </c>
      <c r="P199" s="319">
        <v>46206</v>
      </c>
      <c r="Q199" s="319">
        <v>46206</v>
      </c>
      <c r="R199" s="319">
        <v>46206</v>
      </c>
      <c r="S199" s="319">
        <v>46206</v>
      </c>
      <c r="T199" s="319">
        <v>46219</v>
      </c>
      <c r="U199" s="319">
        <v>46221</v>
      </c>
      <c r="V199" s="319">
        <v>46231</v>
      </c>
      <c r="W199" s="319"/>
      <c r="X199" s="319">
        <v>46233</v>
      </c>
      <c r="Y199" s="319">
        <v>46235</v>
      </c>
      <c r="Z199" s="319">
        <v>46240</v>
      </c>
      <c r="AA199" s="319">
        <v>46250</v>
      </c>
      <c r="AB199" s="319">
        <v>46260</v>
      </c>
      <c r="AC199" s="319">
        <f>AB199+7</f>
        <v>46267</v>
      </c>
      <c r="AD199" s="319">
        <f>AB199+5</f>
        <v>46265</v>
      </c>
      <c r="AE199" s="319">
        <f>AD199+2</f>
        <v>46267</v>
      </c>
      <c r="AF199" s="319">
        <f>AG199-7</f>
        <v>46279</v>
      </c>
      <c r="AG199" s="319">
        <f>AH199-3</f>
        <v>46286</v>
      </c>
      <c r="AH199" s="319">
        <f>AM199</f>
        <v>46289</v>
      </c>
      <c r="AI199" s="319">
        <f>AM199+14</f>
        <v>46303</v>
      </c>
      <c r="AJ199" s="319">
        <f>AM199+30</f>
        <v>46319</v>
      </c>
      <c r="AK199" s="320">
        <v>8</v>
      </c>
      <c r="AL199" s="321"/>
      <c r="AM199" s="319">
        <f>X199+AL200</f>
        <v>46289</v>
      </c>
      <c r="AN199" s="348">
        <f>AM199-AH199</f>
        <v>0</v>
      </c>
      <c r="AO199" s="322"/>
      <c r="AP199" s="322"/>
      <c r="AQ199" s="322"/>
      <c r="AR199" s="314">
        <f>AN200-AM199</f>
        <v>16</v>
      </c>
      <c r="AS199" s="323"/>
      <c r="AT199" s="324" t="s">
        <v>62</v>
      </c>
      <c r="AU199" s="325">
        <v>46314</v>
      </c>
    </row>
    <row r="200" spans="1:48" s="264" customFormat="1" ht="25.05" customHeight="1">
      <c r="A200" s="391"/>
      <c r="B200" s="310" t="s">
        <v>246</v>
      </c>
      <c r="C200" s="310" t="s">
        <v>247</v>
      </c>
      <c r="D200" s="363"/>
      <c r="E200" s="312"/>
      <c r="F200" s="363"/>
      <c r="G200" s="314">
        <v>2</v>
      </c>
      <c r="H200" s="315" t="s">
        <v>226</v>
      </c>
      <c r="I200" s="314" t="s">
        <v>225</v>
      </c>
      <c r="J200" s="310" t="s">
        <v>64</v>
      </c>
      <c r="K200" s="310">
        <v>2</v>
      </c>
      <c r="L200" s="310" t="s">
        <v>6</v>
      </c>
      <c r="M200" s="317" t="s">
        <v>65</v>
      </c>
      <c r="N200" s="319"/>
      <c r="O200" s="319"/>
      <c r="P200" s="319"/>
      <c r="Q200" s="319"/>
      <c r="R200" s="319"/>
      <c r="S200" s="319">
        <v>46181</v>
      </c>
      <c r="T200" s="319">
        <f>U200-2</f>
        <v>46219</v>
      </c>
      <c r="U200" s="319">
        <f>V200-10</f>
        <v>46221</v>
      </c>
      <c r="V200" s="319">
        <f>X200-2</f>
        <v>46231</v>
      </c>
      <c r="W200" s="319"/>
      <c r="X200" s="319">
        <f>Y200-2</f>
        <v>46233</v>
      </c>
      <c r="Y200" s="319">
        <f>Z200-5</f>
        <v>46235</v>
      </c>
      <c r="Z200" s="319">
        <f>AA200-10</f>
        <v>46240</v>
      </c>
      <c r="AA200" s="319">
        <f>AB200-10</f>
        <v>46250</v>
      </c>
      <c r="AB200" s="319">
        <f>AC200-7</f>
        <v>46260</v>
      </c>
      <c r="AC200" s="319">
        <v>46267</v>
      </c>
      <c r="AD200" s="319">
        <f>AB200+5</f>
        <v>46265</v>
      </c>
      <c r="AE200" s="319">
        <f>AD200+2</f>
        <v>46267</v>
      </c>
      <c r="AF200" s="319">
        <f>AE200+3</f>
        <v>46270</v>
      </c>
      <c r="AG200" s="319">
        <f>AH200-3</f>
        <v>46286</v>
      </c>
      <c r="AH200" s="319">
        <f>AM200</f>
        <v>46289</v>
      </c>
      <c r="AI200" s="319">
        <f>AM200+14</f>
        <v>46303</v>
      </c>
      <c r="AJ200" s="319">
        <f>AM200+30</f>
        <v>46319</v>
      </c>
      <c r="AK200" s="343"/>
      <c r="AL200" s="321">
        <f>AK199*7</f>
        <v>56</v>
      </c>
      <c r="AM200" s="319">
        <f>IF(X200&lt;&gt;"",X200+AL200,X201+AL200)</f>
        <v>46289</v>
      </c>
      <c r="AN200" s="322">
        <v>46305</v>
      </c>
      <c r="AO200" s="322">
        <v>46305</v>
      </c>
      <c r="AP200" s="322">
        <v>46295</v>
      </c>
      <c r="AQ200" s="322"/>
      <c r="AR200" s="314">
        <f>AN200-AM200</f>
        <v>16</v>
      </c>
      <c r="AS200" s="323"/>
      <c r="AT200" s="324" t="s">
        <v>66</v>
      </c>
      <c r="AU200" s="325">
        <v>46340</v>
      </c>
      <c r="AV200" s="265"/>
    </row>
    <row r="201" spans="1:48" s="264" customFormat="1" ht="25.05" customHeight="1">
      <c r="A201" s="392"/>
      <c r="B201" s="328" t="s">
        <v>246</v>
      </c>
      <c r="C201" s="328" t="s">
        <v>247</v>
      </c>
      <c r="D201" s="364"/>
      <c r="E201" s="330"/>
      <c r="F201" s="364"/>
      <c r="G201" s="332"/>
      <c r="H201" s="333"/>
      <c r="I201" s="332" t="s">
        <v>225</v>
      </c>
      <c r="J201" s="328" t="s">
        <v>64</v>
      </c>
      <c r="K201" s="310">
        <v>2</v>
      </c>
      <c r="L201" s="328" t="s">
        <v>6</v>
      </c>
      <c r="M201" s="334" t="s">
        <v>67</v>
      </c>
      <c r="N201" s="335">
        <v>46137</v>
      </c>
      <c r="O201" s="335">
        <v>46163</v>
      </c>
      <c r="P201" s="335">
        <v>46175</v>
      </c>
      <c r="Q201" s="335">
        <v>46175</v>
      </c>
      <c r="R201" s="335">
        <f>Q201</f>
        <v>46175</v>
      </c>
      <c r="S201" s="335"/>
      <c r="T201" s="335"/>
      <c r="U201" s="335"/>
      <c r="V201" s="335"/>
      <c r="W201" s="335"/>
      <c r="X201" s="335"/>
      <c r="Y201" s="335"/>
      <c r="Z201" s="335"/>
      <c r="AA201" s="335"/>
      <c r="AB201" s="335"/>
      <c r="AC201" s="335"/>
      <c r="AD201" s="335"/>
      <c r="AE201" s="335"/>
      <c r="AF201" s="335"/>
      <c r="AG201" s="335"/>
      <c r="AH201" s="335"/>
      <c r="AI201" s="335"/>
      <c r="AJ201" s="335"/>
      <c r="AK201" s="336"/>
      <c r="AL201" s="337"/>
      <c r="AM201" s="319"/>
      <c r="AN201" s="338"/>
      <c r="AO201" s="338"/>
      <c r="AP201" s="338"/>
      <c r="AQ201" s="338"/>
      <c r="AR201" s="332"/>
      <c r="AS201" s="339"/>
      <c r="AT201" s="340"/>
      <c r="AU201" s="339"/>
    </row>
    <row r="202" spans="1:48" s="264" customFormat="1" ht="25.05" customHeight="1">
      <c r="A202" s="309">
        <v>64</v>
      </c>
      <c r="B202" s="310" t="s">
        <v>248</v>
      </c>
      <c r="C202" s="310" t="s">
        <v>249</v>
      </c>
      <c r="D202" s="361"/>
      <c r="E202" s="312"/>
      <c r="F202" s="362"/>
      <c r="G202" s="314"/>
      <c r="H202" s="315"/>
      <c r="I202" s="314" t="s">
        <v>225</v>
      </c>
      <c r="J202" s="310"/>
      <c r="K202" s="316"/>
      <c r="L202" s="310" t="s">
        <v>6</v>
      </c>
      <c r="M202" s="317" t="s">
        <v>61</v>
      </c>
      <c r="N202" s="318"/>
      <c r="O202" s="319">
        <v>46300</v>
      </c>
      <c r="P202" s="319">
        <v>46315</v>
      </c>
      <c r="Q202" s="319">
        <v>46315</v>
      </c>
      <c r="R202" s="319">
        <v>46315</v>
      </c>
      <c r="S202" s="319">
        <v>46315</v>
      </c>
      <c r="T202" s="319">
        <v>46314</v>
      </c>
      <c r="U202" s="319">
        <v>46316</v>
      </c>
      <c r="V202" s="319">
        <v>46331</v>
      </c>
      <c r="W202" s="319"/>
      <c r="X202" s="319">
        <v>46333</v>
      </c>
      <c r="Y202" s="319">
        <v>46335</v>
      </c>
      <c r="Z202" s="319">
        <v>46340</v>
      </c>
      <c r="AA202" s="319">
        <v>46350</v>
      </c>
      <c r="AB202" s="319">
        <v>46360</v>
      </c>
      <c r="AC202" s="319">
        <v>46367</v>
      </c>
      <c r="AD202" s="319">
        <v>46365</v>
      </c>
      <c r="AE202" s="319">
        <v>46367</v>
      </c>
      <c r="AF202" s="319">
        <v>46383</v>
      </c>
      <c r="AG202" s="319">
        <v>46390</v>
      </c>
      <c r="AH202" s="319">
        <v>46393</v>
      </c>
      <c r="AI202" s="319">
        <v>46407</v>
      </c>
      <c r="AJ202" s="319">
        <v>46423</v>
      </c>
      <c r="AK202" s="320">
        <v>8.5714285714285694</v>
      </c>
      <c r="AL202" s="321"/>
      <c r="AM202" s="319">
        <f>X202+AL203</f>
        <v>46393</v>
      </c>
      <c r="AN202" s="322"/>
      <c r="AO202" s="322"/>
      <c r="AP202" s="322"/>
      <c r="AQ202" s="322"/>
      <c r="AR202" s="314">
        <f>AN203-AM202</f>
        <v>64</v>
      </c>
      <c r="AS202" s="323"/>
      <c r="AT202" s="324" t="s">
        <v>62</v>
      </c>
      <c r="AU202" s="325">
        <v>46464</v>
      </c>
    </row>
    <row r="203" spans="1:48" s="264" customFormat="1" ht="25.05" customHeight="1">
      <c r="A203" s="309"/>
      <c r="B203" s="310" t="s">
        <v>248</v>
      </c>
      <c r="C203" s="310" t="s">
        <v>249</v>
      </c>
      <c r="D203" s="363"/>
      <c r="E203" s="312"/>
      <c r="F203" s="363"/>
      <c r="G203" s="314">
        <v>81</v>
      </c>
      <c r="H203" s="315" t="s">
        <v>250</v>
      </c>
      <c r="I203" s="314" t="s">
        <v>225</v>
      </c>
      <c r="J203" s="310" t="s">
        <v>64</v>
      </c>
      <c r="K203" s="310">
        <v>2</v>
      </c>
      <c r="L203" s="310" t="s">
        <v>6</v>
      </c>
      <c r="M203" s="317" t="s">
        <v>65</v>
      </c>
      <c r="N203" s="319">
        <v>46120</v>
      </c>
      <c r="O203" s="319"/>
      <c r="P203" s="319"/>
      <c r="Q203" s="319"/>
      <c r="R203" s="319"/>
      <c r="S203" s="319"/>
      <c r="T203" s="319"/>
      <c r="U203" s="319"/>
      <c r="V203" s="319"/>
      <c r="W203" s="319"/>
      <c r="X203" s="319">
        <v>46333</v>
      </c>
      <c r="Y203" s="319">
        <f>X203+2</f>
        <v>46335</v>
      </c>
      <c r="Z203" s="319">
        <f>Y203+5</f>
        <v>46340</v>
      </c>
      <c r="AA203" s="319">
        <f>Z203+10</f>
        <v>46350</v>
      </c>
      <c r="AB203" s="319">
        <f>AA203+10</f>
        <v>46360</v>
      </c>
      <c r="AC203" s="319">
        <f>AB203+7</f>
        <v>46367</v>
      </c>
      <c r="AD203" s="319">
        <f>AB203+5</f>
        <v>46365</v>
      </c>
      <c r="AE203" s="319">
        <f>AD203+2</f>
        <v>46367</v>
      </c>
      <c r="AF203" s="319">
        <f>AG203-7</f>
        <v>46383</v>
      </c>
      <c r="AG203" s="319">
        <f>AH203-3</f>
        <v>46390</v>
      </c>
      <c r="AH203" s="319">
        <f>AM203</f>
        <v>46393</v>
      </c>
      <c r="AI203" s="319">
        <f>AM203+14</f>
        <v>46407</v>
      </c>
      <c r="AJ203" s="319">
        <f>AM203+30</f>
        <v>46423</v>
      </c>
      <c r="AK203" s="343"/>
      <c r="AL203" s="321">
        <f>AK202*7</f>
        <v>59.999999999999986</v>
      </c>
      <c r="AM203" s="319">
        <f>IF(X203&lt;&gt;"",X203+AL203,X204+AL203)</f>
        <v>46393</v>
      </c>
      <c r="AN203" s="322">
        <f>AU202-7</f>
        <v>46457</v>
      </c>
      <c r="AO203" s="322">
        <f>AP203-3</f>
        <v>46432</v>
      </c>
      <c r="AP203" s="322">
        <v>46435</v>
      </c>
      <c r="AQ203" s="322"/>
      <c r="AR203" s="314">
        <f>AN203-AM203</f>
        <v>64</v>
      </c>
      <c r="AS203" s="323"/>
      <c r="AT203" s="324" t="s">
        <v>66</v>
      </c>
      <c r="AU203" s="325">
        <v>46521</v>
      </c>
      <c r="AV203" s="265"/>
    </row>
    <row r="204" spans="1:48" s="264" customFormat="1" ht="25.05" customHeight="1">
      <c r="A204" s="327"/>
      <c r="B204" s="328" t="s">
        <v>248</v>
      </c>
      <c r="C204" s="328" t="s">
        <v>249</v>
      </c>
      <c r="D204" s="364"/>
      <c r="E204" s="330"/>
      <c r="F204" s="364"/>
      <c r="G204" s="332"/>
      <c r="H204" s="333"/>
      <c r="I204" s="332" t="s">
        <v>225</v>
      </c>
      <c r="J204" s="328" t="s">
        <v>64</v>
      </c>
      <c r="K204" s="310">
        <v>2</v>
      </c>
      <c r="L204" s="328" t="s">
        <v>6</v>
      </c>
      <c r="M204" s="334" t="s">
        <v>67</v>
      </c>
      <c r="N204" s="319">
        <v>46120</v>
      </c>
      <c r="O204" s="335">
        <v>46162</v>
      </c>
      <c r="P204" s="335">
        <v>46175</v>
      </c>
      <c r="Q204" s="335">
        <v>46175</v>
      </c>
      <c r="R204" s="335">
        <v>46179</v>
      </c>
      <c r="S204" s="335">
        <v>46179</v>
      </c>
      <c r="T204" s="335">
        <v>46179</v>
      </c>
      <c r="U204" s="335">
        <v>46185</v>
      </c>
      <c r="V204" s="335">
        <v>46190</v>
      </c>
      <c r="W204" s="335"/>
      <c r="X204" s="332"/>
      <c r="Y204" s="335"/>
      <c r="Z204" s="335">
        <v>46223</v>
      </c>
      <c r="AA204" s="335">
        <v>46223</v>
      </c>
      <c r="AB204" s="335"/>
      <c r="AC204" s="335"/>
      <c r="AD204" s="335"/>
      <c r="AE204" s="335"/>
      <c r="AF204" s="335"/>
      <c r="AG204" s="335"/>
      <c r="AH204" s="335"/>
      <c r="AI204" s="335"/>
      <c r="AJ204" s="335"/>
      <c r="AK204" s="336"/>
      <c r="AL204" s="337"/>
      <c r="AM204" s="335"/>
      <c r="AN204" s="338"/>
      <c r="AO204" s="338"/>
      <c r="AP204" s="338"/>
      <c r="AQ204" s="338"/>
      <c r="AR204" s="332"/>
      <c r="AS204" s="339"/>
      <c r="AT204" s="340"/>
      <c r="AU204" s="339"/>
    </row>
    <row r="205" spans="1:48" s="264" customFormat="1" ht="25.05" customHeight="1">
      <c r="A205" s="309">
        <v>65</v>
      </c>
      <c r="B205" s="310" t="s">
        <v>251</v>
      </c>
      <c r="C205" s="310" t="s">
        <v>252</v>
      </c>
      <c r="D205" s="361"/>
      <c r="E205" s="312"/>
      <c r="F205" s="362"/>
      <c r="G205" s="314"/>
      <c r="H205" s="315"/>
      <c r="I205" s="314" t="s">
        <v>225</v>
      </c>
      <c r="J205" s="310"/>
      <c r="K205" s="316"/>
      <c r="L205" s="310" t="s">
        <v>6</v>
      </c>
      <c r="M205" s="317" t="s">
        <v>61</v>
      </c>
      <c r="N205" s="318"/>
      <c r="O205" s="319">
        <v>46302</v>
      </c>
      <c r="P205" s="319">
        <v>46317</v>
      </c>
      <c r="Q205" s="319">
        <v>46317</v>
      </c>
      <c r="R205" s="319">
        <v>46317</v>
      </c>
      <c r="S205" s="319">
        <v>46317</v>
      </c>
      <c r="T205" s="319">
        <v>46318</v>
      </c>
      <c r="U205" s="319">
        <v>46320</v>
      </c>
      <c r="V205" s="319">
        <v>46330</v>
      </c>
      <c r="W205" s="319"/>
      <c r="X205" s="319">
        <v>46332</v>
      </c>
      <c r="Y205" s="319">
        <v>46334</v>
      </c>
      <c r="Z205" s="319">
        <v>46339</v>
      </c>
      <c r="AA205" s="319">
        <v>46349</v>
      </c>
      <c r="AB205" s="319">
        <v>46359</v>
      </c>
      <c r="AC205" s="319">
        <v>46366</v>
      </c>
      <c r="AD205" s="319">
        <v>46364</v>
      </c>
      <c r="AE205" s="319">
        <v>46381</v>
      </c>
      <c r="AF205" s="319">
        <v>46412</v>
      </c>
      <c r="AG205" s="319">
        <v>46419</v>
      </c>
      <c r="AH205" s="319">
        <v>46422</v>
      </c>
      <c r="AI205" s="319">
        <v>46436</v>
      </c>
      <c r="AJ205" s="319">
        <v>46452</v>
      </c>
      <c r="AK205" s="320">
        <v>12.8571428571429</v>
      </c>
      <c r="AL205" s="321"/>
      <c r="AM205" s="319">
        <f>X205+AL206</f>
        <v>46422</v>
      </c>
      <c r="AN205" s="322"/>
      <c r="AO205" s="322"/>
      <c r="AP205" s="322"/>
      <c r="AQ205" s="322"/>
      <c r="AR205" s="314">
        <f>AN206-AM205</f>
        <v>35</v>
      </c>
      <c r="AS205" s="323"/>
      <c r="AT205" s="324" t="s">
        <v>62</v>
      </c>
      <c r="AU205" s="325">
        <v>46464</v>
      </c>
    </row>
    <row r="206" spans="1:48" s="264" customFormat="1" ht="25.05" customHeight="1">
      <c r="A206" s="309"/>
      <c r="B206" s="310" t="s">
        <v>251</v>
      </c>
      <c r="C206" s="310" t="s">
        <v>252</v>
      </c>
      <c r="D206" s="363"/>
      <c r="E206" s="312"/>
      <c r="F206" s="363"/>
      <c r="G206" s="314">
        <v>35</v>
      </c>
      <c r="H206" s="315" t="s">
        <v>250</v>
      </c>
      <c r="I206" s="314" t="s">
        <v>225</v>
      </c>
      <c r="J206" s="310" t="s">
        <v>64</v>
      </c>
      <c r="K206" s="310">
        <v>2</v>
      </c>
      <c r="L206" s="310" t="s">
        <v>6</v>
      </c>
      <c r="M206" s="317" t="s">
        <v>65</v>
      </c>
      <c r="N206" s="319"/>
      <c r="O206" s="319"/>
      <c r="P206" s="319"/>
      <c r="Q206" s="319"/>
      <c r="R206" s="319"/>
      <c r="S206" s="319"/>
      <c r="T206" s="319"/>
      <c r="U206" s="319"/>
      <c r="V206" s="319">
        <v>46330</v>
      </c>
      <c r="W206" s="319"/>
      <c r="X206" s="319">
        <f>Y206-2</f>
        <v>46332</v>
      </c>
      <c r="Y206" s="319">
        <f>Z206-5</f>
        <v>46334</v>
      </c>
      <c r="Z206" s="319">
        <f>AA206-10</f>
        <v>46339</v>
      </c>
      <c r="AA206" s="319">
        <f>AB206-10</f>
        <v>46349</v>
      </c>
      <c r="AB206" s="319">
        <f>AC206-7</f>
        <v>46359</v>
      </c>
      <c r="AC206" s="319">
        <v>46366</v>
      </c>
      <c r="AD206" s="319">
        <f>AB206+5</f>
        <v>46364</v>
      </c>
      <c r="AE206" s="319">
        <f>AH203</f>
        <v>46393</v>
      </c>
      <c r="AF206" s="319">
        <f>AG206-7</f>
        <v>46412</v>
      </c>
      <c r="AG206" s="319">
        <f>AH206-3</f>
        <v>46419</v>
      </c>
      <c r="AH206" s="319">
        <f>AM206</f>
        <v>46422</v>
      </c>
      <c r="AI206" s="319">
        <f>AM206+14</f>
        <v>46436</v>
      </c>
      <c r="AJ206" s="319">
        <f>AM206+30</f>
        <v>46452</v>
      </c>
      <c r="AK206" s="343"/>
      <c r="AL206" s="321">
        <f>AK205*7</f>
        <v>90.000000000000298</v>
      </c>
      <c r="AM206" s="319">
        <f>IF(X206&lt;&gt;"",X206+AL206,X207+AL206)</f>
        <v>46422</v>
      </c>
      <c r="AN206" s="322">
        <f>AU205-7</f>
        <v>46457</v>
      </c>
      <c r="AO206" s="322">
        <f>AP206-3</f>
        <v>46440</v>
      </c>
      <c r="AP206" s="322">
        <v>46443</v>
      </c>
      <c r="AQ206" s="322"/>
      <c r="AR206" s="314">
        <f>AN206-AM206</f>
        <v>35</v>
      </c>
      <c r="AS206" s="323"/>
      <c r="AT206" s="324" t="s">
        <v>66</v>
      </c>
      <c r="AU206" s="325">
        <v>46521</v>
      </c>
      <c r="AV206" s="265"/>
    </row>
    <row r="207" spans="1:48" s="264" customFormat="1" ht="25.05" customHeight="1">
      <c r="A207" s="327"/>
      <c r="B207" s="328" t="s">
        <v>251</v>
      </c>
      <c r="C207" s="328" t="s">
        <v>252</v>
      </c>
      <c r="D207" s="364"/>
      <c r="E207" s="330"/>
      <c r="F207" s="364"/>
      <c r="G207" s="332"/>
      <c r="H207" s="333"/>
      <c r="I207" s="332" t="s">
        <v>225</v>
      </c>
      <c r="J207" s="328" t="s">
        <v>64</v>
      </c>
      <c r="K207" s="310">
        <v>2</v>
      </c>
      <c r="L207" s="328" t="s">
        <v>6</v>
      </c>
      <c r="M207" s="334" t="s">
        <v>67</v>
      </c>
      <c r="N207" s="332"/>
      <c r="O207" s="335">
        <v>46163</v>
      </c>
      <c r="P207" s="335">
        <v>46179</v>
      </c>
      <c r="Q207" s="335">
        <v>46179</v>
      </c>
      <c r="R207" s="335">
        <v>46179</v>
      </c>
      <c r="S207" s="335">
        <v>46179</v>
      </c>
      <c r="T207" s="335">
        <v>46179</v>
      </c>
      <c r="U207" s="335">
        <v>46185</v>
      </c>
      <c r="V207" s="335"/>
      <c r="W207" s="335"/>
      <c r="X207" s="332"/>
      <c r="Y207" s="335"/>
      <c r="Z207" s="335"/>
      <c r="AA207" s="335"/>
      <c r="AB207" s="335"/>
      <c r="AC207" s="335"/>
      <c r="AD207" s="335"/>
      <c r="AE207" s="335"/>
      <c r="AF207" s="335"/>
      <c r="AG207" s="335"/>
      <c r="AH207" s="335"/>
      <c r="AI207" s="335"/>
      <c r="AJ207" s="335"/>
      <c r="AK207" s="336"/>
      <c r="AL207" s="337"/>
      <c r="AM207" s="335"/>
      <c r="AN207" s="338"/>
      <c r="AO207" s="338"/>
      <c r="AP207" s="338"/>
      <c r="AQ207" s="338"/>
      <c r="AR207" s="332"/>
      <c r="AS207" s="339"/>
      <c r="AT207" s="340"/>
      <c r="AU207" s="339"/>
    </row>
    <row r="208" spans="1:48" s="264" customFormat="1" ht="25.05" customHeight="1">
      <c r="A208" s="309">
        <v>67</v>
      </c>
      <c r="B208" s="310" t="s">
        <v>253</v>
      </c>
      <c r="C208" s="310" t="s">
        <v>254</v>
      </c>
      <c r="D208" s="361"/>
      <c r="E208" s="312"/>
      <c r="F208" s="362"/>
      <c r="G208" s="314"/>
      <c r="H208" s="315"/>
      <c r="I208" s="314" t="s">
        <v>83</v>
      </c>
      <c r="J208" s="310"/>
      <c r="K208" s="316"/>
      <c r="L208" s="310" t="s">
        <v>9</v>
      </c>
      <c r="M208" s="317" t="s">
        <v>61</v>
      </c>
      <c r="N208" s="318"/>
      <c r="O208" s="319">
        <v>46223</v>
      </c>
      <c r="P208" s="319">
        <v>46239</v>
      </c>
      <c r="Q208" s="319">
        <v>46239</v>
      </c>
      <c r="R208" s="319">
        <v>46239</v>
      </c>
      <c r="S208" s="319">
        <v>46239</v>
      </c>
      <c r="T208" s="319">
        <v>46235</v>
      </c>
      <c r="U208" s="319">
        <v>46243</v>
      </c>
      <c r="V208" s="319">
        <v>46258</v>
      </c>
      <c r="W208" s="319"/>
      <c r="X208" s="319">
        <v>46265</v>
      </c>
      <c r="Y208" s="319">
        <v>46267</v>
      </c>
      <c r="Z208" s="319">
        <v>46274</v>
      </c>
      <c r="AA208" s="319">
        <v>46288</v>
      </c>
      <c r="AB208" s="319">
        <v>46302</v>
      </c>
      <c r="AC208" s="319">
        <v>46332</v>
      </c>
      <c r="AD208" s="319">
        <v>46332</v>
      </c>
      <c r="AE208" s="319">
        <v>46334</v>
      </c>
      <c r="AF208" s="319">
        <v>46341</v>
      </c>
      <c r="AG208" s="319">
        <v>46348</v>
      </c>
      <c r="AH208" s="319">
        <v>46355</v>
      </c>
      <c r="AI208" s="319">
        <v>46369</v>
      </c>
      <c r="AJ208" s="319">
        <v>46385</v>
      </c>
      <c r="AK208" s="320">
        <v>12.8571428571429</v>
      </c>
      <c r="AL208" s="321"/>
      <c r="AM208" s="319">
        <f>X208+AL209</f>
        <v>46355</v>
      </c>
      <c r="AN208" s="322"/>
      <c r="AO208" s="322"/>
      <c r="AP208" s="322"/>
      <c r="AQ208" s="322"/>
      <c r="AR208" s="314">
        <f>AN209-AM208</f>
        <v>5</v>
      </c>
      <c r="AS208" s="323"/>
      <c r="AT208" s="324" t="s">
        <v>62</v>
      </c>
      <c r="AU208" s="325">
        <v>46367</v>
      </c>
    </row>
    <row r="209" spans="1:48" s="264" customFormat="1" ht="25.05" customHeight="1">
      <c r="A209" s="309"/>
      <c r="B209" s="310" t="s">
        <v>253</v>
      </c>
      <c r="C209" s="310" t="s">
        <v>254</v>
      </c>
      <c r="D209" s="363"/>
      <c r="E209" s="312"/>
      <c r="F209" s="363"/>
      <c r="G209" s="314">
        <v>5</v>
      </c>
      <c r="H209" s="315" t="s">
        <v>255</v>
      </c>
      <c r="I209" s="314" t="s">
        <v>83</v>
      </c>
      <c r="J209" s="310" t="s">
        <v>64</v>
      </c>
      <c r="K209" s="310">
        <v>3</v>
      </c>
      <c r="L209" s="310" t="s">
        <v>9</v>
      </c>
      <c r="M209" s="317" t="s">
        <v>65</v>
      </c>
      <c r="N209" s="319">
        <v>46208</v>
      </c>
      <c r="O209" s="319">
        <v>46223</v>
      </c>
      <c r="P209" s="319">
        <f>WORKDAY.INTL(O209,INDEX(P$8:P$11,MATCH($L209,$L$8:$L$11,0)),1,IF(P$18="China",'China Holidays'!$A$2:$A$82,'Thai Holidays'!$A$2:$A$63))</f>
        <v>46239</v>
      </c>
      <c r="Q209" s="319">
        <f>WORKDAY.INTL(P209,INDEX(Q$8:Q$11,MATCH($L209,$L$8:$L$11,0)),1,IF(Q$18="China",'China Holidays'!$A$2:$A$82,'Thai Holidays'!$A$2:$A$63))</f>
        <v>46239</v>
      </c>
      <c r="R209" s="319">
        <f>WORKDAY.INTL(Q209,INDEX(R$8:R$11,MATCH($L209,$L$8:$L$11,0)),1,IF(R$18="China",'China Holidays'!$A$2:$A$82,'Thai Holidays'!$A$2:$A$63))</f>
        <v>46239</v>
      </c>
      <c r="S209" s="319">
        <f>WORKDAY.INTL(R209,INDEX(S$8:S$11,MATCH($L209,$L$8:$L$11,0)),1,IF(S$18="China",'China Holidays'!$A$2:$A$82,'Thai Holidays'!$A$2:$A$63))</f>
        <v>46239</v>
      </c>
      <c r="T209" s="319">
        <f>S209+3</f>
        <v>46242</v>
      </c>
      <c r="U209" s="319">
        <f>T209+2</f>
        <v>46244</v>
      </c>
      <c r="V209" s="319">
        <f>WORKDAY.INTL(U209,INDEX(V$8:V$11,MATCH($L209,$L$8:$L$11,0)),1,IF(V$18="China",'China Holidays'!$A$2:$A$82,'Thai Holidays'!$A$2:$A$63))</f>
        <v>46259</v>
      </c>
      <c r="W209" s="319"/>
      <c r="X209" s="319">
        <f>WORKDAY.INTL(V209,INDEX(X$8:X$11,MATCH($L209,$L$8:$L$11,0)),1,IF(X$18="China",'China Holidays'!$A$2:$A$82,'Thai Holidays'!$A$2:$A$63))</f>
        <v>46266</v>
      </c>
      <c r="Y209" s="319">
        <f>WORKDAY.INTL(X209,INDEX(Y$12:Y$15,MATCH($L209,$L$12:$L$15,0)),1,IF(Y$18="China",'China Holidays'!$A$2:$A$82,'Thai Holidays'!$A$2:$A$63))</f>
        <v>46268</v>
      </c>
      <c r="Z209" s="319">
        <f>WORKDAY.INTL(Y209,INDEX(Z$12:Z$15,MATCH($L209,$L$12:$L$15,0)),1,IF(Z$18="China",'China Holidays'!$A$2:$A$82,'Thai Holidays'!$A$2:$A$63))</f>
        <v>46275</v>
      </c>
      <c r="AA209" s="319">
        <f>WORKDAY.INTL(Z209,INDEX(AA$12:AA$15,MATCH($L209,$L$12:$L$15,0)),1,IF(AA$18="China",'China Holidays'!$A$2:$A$82,'Thai Holidays'!$A$2:$A$63))</f>
        <v>46289</v>
      </c>
      <c r="AB209" s="319">
        <f>WORKDAY.INTL(AA209,INDEX(AB$12:AB$15,MATCH($L209,$L$12:$L$15,0)),1,IF(AB$18="China",'China Holidays'!$A$2:$A$82,'Thai Holidays'!$A$2:$A$63))</f>
        <v>46303</v>
      </c>
      <c r="AC209" s="319">
        <f>AB209+30</f>
        <v>46333</v>
      </c>
      <c r="AD209" s="319">
        <f>AC209</f>
        <v>46333</v>
      </c>
      <c r="AE209" s="319">
        <f>AD209+2</f>
        <v>46335</v>
      </c>
      <c r="AF209" s="319">
        <f>AG209-7</f>
        <v>46342</v>
      </c>
      <c r="AG209" s="319">
        <f>AH209-7</f>
        <v>46349</v>
      </c>
      <c r="AH209" s="319">
        <f>AM209</f>
        <v>46356</v>
      </c>
      <c r="AI209" s="319">
        <f>AM209+14</f>
        <v>46370</v>
      </c>
      <c r="AJ209" s="319">
        <f>AM209+30</f>
        <v>46386</v>
      </c>
      <c r="AK209" s="343"/>
      <c r="AL209" s="321">
        <f>AK208*7</f>
        <v>90.000000000000298</v>
      </c>
      <c r="AM209" s="319">
        <f>IF(X209&lt;&gt;"",X209+AL209,X210+AL209)</f>
        <v>46356</v>
      </c>
      <c r="AN209" s="322">
        <f>AU208-7</f>
        <v>46360</v>
      </c>
      <c r="AO209" s="322">
        <f>AP209-7</f>
        <v>46360</v>
      </c>
      <c r="AP209" s="322">
        <v>46367</v>
      </c>
      <c r="AQ209" s="322"/>
      <c r="AR209" s="314">
        <f>AN209-AM209</f>
        <v>4</v>
      </c>
      <c r="AS209" s="323"/>
      <c r="AT209" s="324" t="s">
        <v>66</v>
      </c>
      <c r="AU209" s="325">
        <v>46367</v>
      </c>
      <c r="AV209" s="265"/>
    </row>
    <row r="210" spans="1:48" s="264" customFormat="1" ht="25.05" customHeight="1">
      <c r="A210" s="327"/>
      <c r="B210" s="328" t="s">
        <v>253</v>
      </c>
      <c r="C210" s="328" t="s">
        <v>254</v>
      </c>
      <c r="D210" s="364"/>
      <c r="E210" s="330"/>
      <c r="F210" s="364"/>
      <c r="G210" s="332"/>
      <c r="H210" s="333"/>
      <c r="I210" s="332" t="s">
        <v>83</v>
      </c>
      <c r="J210" s="328" t="s">
        <v>64</v>
      </c>
      <c r="K210" s="310">
        <v>3</v>
      </c>
      <c r="L210" s="328" t="s">
        <v>9</v>
      </c>
      <c r="M210" s="334" t="s">
        <v>67</v>
      </c>
      <c r="N210" s="335"/>
      <c r="O210" s="335"/>
      <c r="P210" s="335"/>
      <c r="Q210" s="335"/>
      <c r="R210" s="335"/>
      <c r="S210" s="335"/>
      <c r="T210" s="335"/>
      <c r="U210" s="335"/>
      <c r="V210" s="335"/>
      <c r="W210" s="335"/>
      <c r="X210" s="332"/>
      <c r="Y210" s="335"/>
      <c r="Z210" s="335"/>
      <c r="AA210" s="335"/>
      <c r="AB210" s="335"/>
      <c r="AC210" s="335"/>
      <c r="AD210" s="335"/>
      <c r="AE210" s="335"/>
      <c r="AF210" s="335"/>
      <c r="AG210" s="335"/>
      <c r="AH210" s="335"/>
      <c r="AI210" s="335"/>
      <c r="AJ210" s="335"/>
      <c r="AK210" s="336"/>
      <c r="AL210" s="337"/>
      <c r="AM210" s="335"/>
      <c r="AN210" s="338"/>
      <c r="AO210" s="338"/>
      <c r="AP210" s="338"/>
      <c r="AQ210" s="338"/>
      <c r="AR210" s="332"/>
      <c r="AS210" s="339"/>
      <c r="AT210" s="340"/>
      <c r="AU210" s="339"/>
    </row>
    <row r="211" spans="1:48" s="264" customFormat="1" ht="25.05" customHeight="1">
      <c r="A211" s="309">
        <v>68</v>
      </c>
      <c r="B211" s="310" t="s">
        <v>256</v>
      </c>
      <c r="C211" s="310" t="s">
        <v>257</v>
      </c>
      <c r="D211" s="361"/>
      <c r="E211" s="312"/>
      <c r="F211" s="362"/>
      <c r="G211" s="314"/>
      <c r="H211" s="315"/>
      <c r="I211" s="314" t="s">
        <v>83</v>
      </c>
      <c r="J211" s="310"/>
      <c r="K211" s="316"/>
      <c r="L211" s="310" t="s">
        <v>9</v>
      </c>
      <c r="M211" s="317" t="s">
        <v>61</v>
      </c>
      <c r="N211" s="318"/>
      <c r="O211" s="319">
        <v>46216</v>
      </c>
      <c r="P211" s="319">
        <v>46230</v>
      </c>
      <c r="Q211" s="319">
        <v>46230</v>
      </c>
      <c r="R211" s="319">
        <v>46230</v>
      </c>
      <c r="S211" s="319">
        <v>46230</v>
      </c>
      <c r="T211" s="319">
        <v>46235</v>
      </c>
      <c r="U211" s="319">
        <v>46243</v>
      </c>
      <c r="V211" s="319">
        <v>46258</v>
      </c>
      <c r="W211" s="319"/>
      <c r="X211" s="319">
        <v>46265</v>
      </c>
      <c r="Y211" s="319">
        <v>46267</v>
      </c>
      <c r="Z211" s="319">
        <v>46274</v>
      </c>
      <c r="AA211" s="319">
        <v>46288</v>
      </c>
      <c r="AB211" s="319">
        <v>46302</v>
      </c>
      <c r="AC211" s="319">
        <v>46332</v>
      </c>
      <c r="AD211" s="319">
        <v>46332</v>
      </c>
      <c r="AE211" s="319">
        <v>46334</v>
      </c>
      <c r="AF211" s="319">
        <v>46419</v>
      </c>
      <c r="AG211" s="319">
        <v>46426</v>
      </c>
      <c r="AH211" s="319">
        <v>46433</v>
      </c>
      <c r="AI211" s="319">
        <v>46447</v>
      </c>
      <c r="AJ211" s="319">
        <v>46463</v>
      </c>
      <c r="AK211" s="320">
        <v>24</v>
      </c>
      <c r="AL211" s="321"/>
      <c r="AM211" s="319">
        <f>X211+AL212</f>
        <v>46433</v>
      </c>
      <c r="AN211" s="322"/>
      <c r="AO211" s="322"/>
      <c r="AP211" s="322"/>
      <c r="AQ211" s="322"/>
      <c r="AR211" s="314">
        <f>AN212-AM211</f>
        <v>6</v>
      </c>
      <c r="AS211" s="323"/>
      <c r="AT211" s="324" t="s">
        <v>62</v>
      </c>
      <c r="AU211" s="325">
        <v>46446</v>
      </c>
    </row>
    <row r="212" spans="1:48" s="264" customFormat="1" ht="25.05" customHeight="1">
      <c r="A212" s="309"/>
      <c r="B212" s="310" t="s">
        <v>256</v>
      </c>
      <c r="C212" s="310" t="s">
        <v>257</v>
      </c>
      <c r="D212" s="363"/>
      <c r="E212" s="312"/>
      <c r="F212" s="363"/>
      <c r="G212" s="314">
        <v>6</v>
      </c>
      <c r="H212" s="315" t="s">
        <v>255</v>
      </c>
      <c r="I212" s="314" t="s">
        <v>83</v>
      </c>
      <c r="J212" s="310" t="s">
        <v>64</v>
      </c>
      <c r="K212" s="310">
        <v>3</v>
      </c>
      <c r="L212" s="310" t="s">
        <v>9</v>
      </c>
      <c r="M212" s="317" t="s">
        <v>65</v>
      </c>
      <c r="N212" s="319">
        <v>46208</v>
      </c>
      <c r="O212" s="319">
        <v>46216</v>
      </c>
      <c r="P212" s="319">
        <f>WORKDAY.INTL(O212,INDEX(P$8:P$11,MATCH($L212,$L$8:$L$11,0)),1,IF(P$18="China",'China Holidays'!$A$2:$A$82,'Thai Holidays'!$A$2:$A$63))</f>
        <v>46230</v>
      </c>
      <c r="Q212" s="319">
        <f>WORKDAY.INTL(P212,INDEX(Q$8:Q$11,MATCH($L212,$L$8:$L$11,0)),1,IF(Q$18="China",'China Holidays'!$A$2:$A$82,'Thai Holidays'!$A$2:$A$63))</f>
        <v>46230</v>
      </c>
      <c r="R212" s="319">
        <f>WORKDAY.INTL(Q212,INDEX(R$8:R$11,MATCH($L212,$L$8:$L$11,0)),1,IF(R$18="China",'China Holidays'!$A$2:$A$82,'Thai Holidays'!$A$2:$A$63))</f>
        <v>46230</v>
      </c>
      <c r="S212" s="319">
        <f>WORKDAY.INTL(R212,INDEX(S$8:S$11,MATCH($L212,$L$8:$L$11,0)),1,IF(S$18="China",'China Holidays'!$A$2:$A$82,'Thai Holidays'!$A$2:$A$63))</f>
        <v>46230</v>
      </c>
      <c r="T212" s="319">
        <f>S212+3</f>
        <v>46233</v>
      </c>
      <c r="U212" s="319">
        <f>WORKDAY.INTL(T212,INDEX(U$8:U$11,MATCH($L212,$L$8:$L$11,0)),1,IF(U$18="China",'China Holidays'!$A$2:$A$82,'Thai Holidays'!$A$2:$A$63))</f>
        <v>46244</v>
      </c>
      <c r="V212" s="319">
        <f>WORKDAY.INTL(U212,INDEX(V$8:V$11,MATCH($L212,$L$8:$L$11,0)),1,IF(V$18="China",'China Holidays'!$A$2:$A$82,'Thai Holidays'!$A$2:$A$63))</f>
        <v>46259</v>
      </c>
      <c r="W212" s="319"/>
      <c r="X212" s="319">
        <f>WORKDAY.INTL(V212,INDEX(X$8:X$11,MATCH($L212,$L$8:$L$11,0)),1,IF(X$18="China",'China Holidays'!$A$2:$A$82,'Thai Holidays'!$A$2:$A$63))</f>
        <v>46266</v>
      </c>
      <c r="Y212" s="319">
        <f>WORKDAY.INTL(X212,INDEX(Y$12:Y$15,MATCH($L212,$L$12:$L$15,0)),1,IF(Y$18="China",'China Holidays'!$A$2:$A$82,'Thai Holidays'!$A$2:$A$63))</f>
        <v>46268</v>
      </c>
      <c r="Z212" s="319">
        <f>WORKDAY.INTL(Y212,INDEX(Z$12:Z$15,MATCH($L212,$L$12:$L$15,0)),1,IF(Z$18="China",'China Holidays'!$A$2:$A$82,'Thai Holidays'!$A$2:$A$63))</f>
        <v>46275</v>
      </c>
      <c r="AA212" s="319">
        <f>WORKDAY.INTL(Z212,INDEX(AA$12:AA$15,MATCH($L212,$L$12:$L$15,0)),1,IF(AA$18="China",'China Holidays'!$A$2:$A$82,'Thai Holidays'!$A$2:$A$63))</f>
        <v>46289</v>
      </c>
      <c r="AB212" s="319">
        <f>WORKDAY.INTL(AA212,INDEX(AB$12:AB$15,MATCH($L212,$L$12:$L$15,0)),1,IF(AB$18="China",'China Holidays'!$A$2:$A$82,'Thai Holidays'!$A$2:$A$63))</f>
        <v>46303</v>
      </c>
      <c r="AC212" s="319">
        <f>AB212+30</f>
        <v>46333</v>
      </c>
      <c r="AD212" s="319">
        <f>AC212</f>
        <v>46333</v>
      </c>
      <c r="AE212" s="319">
        <f>AD212+2</f>
        <v>46335</v>
      </c>
      <c r="AF212" s="319">
        <f>AG212-7</f>
        <v>46420</v>
      </c>
      <c r="AG212" s="319">
        <f>AH212-7</f>
        <v>46427</v>
      </c>
      <c r="AH212" s="319">
        <f>AM212</f>
        <v>46434</v>
      </c>
      <c r="AI212" s="319">
        <f>AM212+14</f>
        <v>46448</v>
      </c>
      <c r="AJ212" s="319">
        <f>AM212+30</f>
        <v>46464</v>
      </c>
      <c r="AK212" s="343"/>
      <c r="AL212" s="321">
        <f>AK211*7</f>
        <v>168</v>
      </c>
      <c r="AM212" s="319">
        <f>IF(X212&lt;&gt;"",X212+AL212,X213+AL212)</f>
        <v>46434</v>
      </c>
      <c r="AN212" s="322">
        <f>AU211-7</f>
        <v>46439</v>
      </c>
      <c r="AO212" s="322">
        <f>AP212-7</f>
        <v>46436</v>
      </c>
      <c r="AP212" s="322">
        <v>46443</v>
      </c>
      <c r="AQ212" s="322"/>
      <c r="AR212" s="314">
        <f>AN212-AM212</f>
        <v>5</v>
      </c>
      <c r="AS212" s="323"/>
      <c r="AT212" s="324" t="s">
        <v>66</v>
      </c>
      <c r="AU212" s="325">
        <v>46446</v>
      </c>
      <c r="AV212" s="265"/>
    </row>
    <row r="213" spans="1:48" s="264" customFormat="1" ht="25.05" customHeight="1">
      <c r="A213" s="327"/>
      <c r="B213" s="328" t="s">
        <v>256</v>
      </c>
      <c r="C213" s="328" t="s">
        <v>257</v>
      </c>
      <c r="D213" s="364"/>
      <c r="E213" s="330"/>
      <c r="F213" s="364"/>
      <c r="G213" s="332"/>
      <c r="H213" s="333"/>
      <c r="I213" s="332" t="s">
        <v>83</v>
      </c>
      <c r="J213" s="328" t="s">
        <v>64</v>
      </c>
      <c r="K213" s="310">
        <v>3</v>
      </c>
      <c r="L213" s="328" t="s">
        <v>9</v>
      </c>
      <c r="M213" s="334" t="s">
        <v>67</v>
      </c>
      <c r="N213" s="335"/>
      <c r="O213" s="335">
        <v>46220</v>
      </c>
      <c r="P213" s="335"/>
      <c r="Q213" s="335"/>
      <c r="R213" s="335"/>
      <c r="S213" s="335"/>
      <c r="T213" s="335"/>
      <c r="U213" s="335"/>
      <c r="V213" s="335"/>
      <c r="W213" s="335"/>
      <c r="X213" s="335"/>
      <c r="Y213" s="335"/>
      <c r="Z213" s="335"/>
      <c r="AA213" s="335"/>
      <c r="AB213" s="335"/>
      <c r="AC213" s="335"/>
      <c r="AD213" s="335"/>
      <c r="AE213" s="335"/>
      <c r="AF213" s="335"/>
      <c r="AG213" s="335"/>
      <c r="AH213" s="335"/>
      <c r="AI213" s="335"/>
      <c r="AJ213" s="335"/>
      <c r="AK213" s="336"/>
      <c r="AL213" s="337"/>
      <c r="AM213" s="335"/>
      <c r="AN213" s="338"/>
      <c r="AO213" s="338"/>
      <c r="AP213" s="338"/>
      <c r="AQ213" s="338"/>
      <c r="AR213" s="332"/>
      <c r="AS213" s="339"/>
      <c r="AT213" s="340"/>
      <c r="AU213" s="339"/>
    </row>
    <row r="214" spans="1:48" s="264" customFormat="1" ht="25.05" customHeight="1">
      <c r="A214" s="309">
        <v>103</v>
      </c>
      <c r="B214" s="310" t="s">
        <v>258</v>
      </c>
      <c r="C214" s="310" t="s">
        <v>259</v>
      </c>
      <c r="D214" s="361"/>
      <c r="E214" s="312"/>
      <c r="F214" s="362"/>
      <c r="G214" s="314"/>
      <c r="H214" s="315"/>
      <c r="I214" s="314" t="s">
        <v>83</v>
      </c>
      <c r="J214" s="310"/>
      <c r="K214" s="316"/>
      <c r="L214" s="310" t="s">
        <v>9</v>
      </c>
      <c r="M214" s="317" t="s">
        <v>61</v>
      </c>
      <c r="N214" s="318"/>
      <c r="O214" s="319">
        <v>46216</v>
      </c>
      <c r="P214" s="319">
        <v>46230</v>
      </c>
      <c r="Q214" s="319">
        <v>46230</v>
      </c>
      <c r="R214" s="319">
        <v>46230</v>
      </c>
      <c r="S214" s="319">
        <v>46230</v>
      </c>
      <c r="T214" s="319">
        <v>46235</v>
      </c>
      <c r="U214" s="319">
        <v>46243</v>
      </c>
      <c r="V214" s="319">
        <v>46258</v>
      </c>
      <c r="W214" s="319"/>
      <c r="X214" s="319">
        <v>46265</v>
      </c>
      <c r="Y214" s="319">
        <v>46267</v>
      </c>
      <c r="Z214" s="319">
        <v>46274</v>
      </c>
      <c r="AA214" s="319">
        <v>46288</v>
      </c>
      <c r="AB214" s="319">
        <v>46302</v>
      </c>
      <c r="AC214" s="319">
        <v>46332</v>
      </c>
      <c r="AD214" s="319">
        <v>46332</v>
      </c>
      <c r="AE214" s="319">
        <v>46334</v>
      </c>
      <c r="AF214" s="319">
        <v>46419</v>
      </c>
      <c r="AG214" s="319">
        <v>46426</v>
      </c>
      <c r="AH214" s="319">
        <v>46433</v>
      </c>
      <c r="AI214" s="319">
        <v>46447</v>
      </c>
      <c r="AJ214" s="319">
        <v>46463</v>
      </c>
      <c r="AK214" s="320">
        <v>24</v>
      </c>
      <c r="AL214" s="321"/>
      <c r="AM214" s="319">
        <f>X214+AL215</f>
        <v>46433</v>
      </c>
      <c r="AN214" s="322"/>
      <c r="AO214" s="322"/>
      <c r="AP214" s="322"/>
      <c r="AQ214" s="322"/>
      <c r="AR214" s="314">
        <f>AN215-AM214</f>
        <v>6</v>
      </c>
      <c r="AS214" s="323"/>
      <c r="AT214" s="324" t="s">
        <v>62</v>
      </c>
      <c r="AU214" s="325">
        <v>46446</v>
      </c>
    </row>
    <row r="215" spans="1:48" s="264" customFormat="1" ht="25.05" customHeight="1">
      <c r="A215" s="309"/>
      <c r="B215" s="310" t="s">
        <v>258</v>
      </c>
      <c r="C215" s="310" t="s">
        <v>259</v>
      </c>
      <c r="D215" s="363"/>
      <c r="E215" s="312"/>
      <c r="F215" s="363"/>
      <c r="G215" s="314">
        <v>6</v>
      </c>
      <c r="H215" s="315" t="s">
        <v>255</v>
      </c>
      <c r="I215" s="314" t="s">
        <v>83</v>
      </c>
      <c r="J215" s="310" t="s">
        <v>64</v>
      </c>
      <c r="K215" s="310">
        <v>3</v>
      </c>
      <c r="L215" s="310" t="s">
        <v>9</v>
      </c>
      <c r="M215" s="317" t="s">
        <v>65</v>
      </c>
      <c r="N215" s="319">
        <v>46208</v>
      </c>
      <c r="O215" s="319">
        <v>46216</v>
      </c>
      <c r="P215" s="319">
        <f>WORKDAY.INTL(O215,INDEX(P$8:P$11,MATCH($L215,$L$8:$L$11,0)),1,IF(P$18="China",'China Holidays'!$A$2:$A$82,'Thai Holidays'!$A$2:$A$63))</f>
        <v>46230</v>
      </c>
      <c r="Q215" s="319">
        <f>WORKDAY.INTL(P215,INDEX(Q$8:Q$11,MATCH($L215,$L$8:$L$11,0)),1,IF(Q$18="China",'China Holidays'!$A$2:$A$82,'Thai Holidays'!$A$2:$A$63))</f>
        <v>46230</v>
      </c>
      <c r="R215" s="319">
        <f>WORKDAY.INTL(Q215,INDEX(R$8:R$11,MATCH($L215,$L$8:$L$11,0)),1,IF(R$18="China",'China Holidays'!$A$2:$A$82,'Thai Holidays'!$A$2:$A$63))</f>
        <v>46230</v>
      </c>
      <c r="S215" s="319">
        <f>WORKDAY.INTL(R215,INDEX(S$8:S$11,MATCH($L215,$L$8:$L$11,0)),1,IF(S$18="China",'China Holidays'!$A$2:$A$82,'Thai Holidays'!$A$2:$A$63))</f>
        <v>46230</v>
      </c>
      <c r="T215" s="319">
        <f>S215+3</f>
        <v>46233</v>
      </c>
      <c r="U215" s="319">
        <f>WORKDAY.INTL(T215,INDEX(U$8:U$11,MATCH($L215,$L$8:$L$11,0)),1,IF(U$18="China",'China Holidays'!$A$2:$A$82,'Thai Holidays'!$A$2:$A$63))</f>
        <v>46244</v>
      </c>
      <c r="V215" s="319">
        <f>WORKDAY.INTL(U215,INDEX(V$8:V$11,MATCH($L215,$L$8:$L$11,0)),1,IF(V$18="China",'China Holidays'!$A$2:$A$82,'Thai Holidays'!$A$2:$A$63))</f>
        <v>46259</v>
      </c>
      <c r="W215" s="319"/>
      <c r="X215" s="319">
        <f>WORKDAY.INTL(V215,INDEX(X$8:X$11,MATCH($L215,$L$8:$L$11,0)),1,IF(X$18="China",'China Holidays'!$A$2:$A$82,'Thai Holidays'!$A$2:$A$63))</f>
        <v>46266</v>
      </c>
      <c r="Y215" s="319">
        <f>WORKDAY.INTL(X215,INDEX(Y$12:Y$15,MATCH($L215,$L$12:$L$15,0)),1,IF(Y$18="China",'China Holidays'!$A$2:$A$82,'Thai Holidays'!$A$2:$A$63))</f>
        <v>46268</v>
      </c>
      <c r="Z215" s="319">
        <f>WORKDAY.INTL(Y215,INDEX(Z$12:Z$15,MATCH($L215,$L$12:$L$15,0)),1,IF(Z$18="China",'China Holidays'!$A$2:$A$82,'Thai Holidays'!$A$2:$A$63))</f>
        <v>46275</v>
      </c>
      <c r="AA215" s="319">
        <f>WORKDAY.INTL(Z215,INDEX(AA$12:AA$15,MATCH($L215,$L$12:$L$15,0)),1,IF(AA$18="China",'China Holidays'!$A$2:$A$82,'Thai Holidays'!$A$2:$A$63))</f>
        <v>46289</v>
      </c>
      <c r="AB215" s="319">
        <f>WORKDAY.INTL(AA215,INDEX(AB$12:AB$15,MATCH($L215,$L$12:$L$15,0)),1,IF(AB$18="China",'China Holidays'!$A$2:$A$82,'Thai Holidays'!$A$2:$A$63))</f>
        <v>46303</v>
      </c>
      <c r="AC215" s="319">
        <f>AB215+30</f>
        <v>46333</v>
      </c>
      <c r="AD215" s="319">
        <f>AC215</f>
        <v>46333</v>
      </c>
      <c r="AE215" s="319">
        <f>AD215+2</f>
        <v>46335</v>
      </c>
      <c r="AF215" s="319">
        <f>AG215-7</f>
        <v>46420</v>
      </c>
      <c r="AG215" s="319">
        <f>AH215-7</f>
        <v>46427</v>
      </c>
      <c r="AH215" s="319">
        <f>AM215</f>
        <v>46434</v>
      </c>
      <c r="AI215" s="319">
        <f>AM215+14</f>
        <v>46448</v>
      </c>
      <c r="AJ215" s="319">
        <f>AM215+30</f>
        <v>46464</v>
      </c>
      <c r="AK215" s="343"/>
      <c r="AL215" s="321">
        <f>AK214*7</f>
        <v>168</v>
      </c>
      <c r="AM215" s="319">
        <f>IF(X215&lt;&gt;"",X215+AL215,X216+AL215)</f>
        <v>46434</v>
      </c>
      <c r="AN215" s="322">
        <f>AU214-7</f>
        <v>46439</v>
      </c>
      <c r="AO215" s="322">
        <f>AP215-7</f>
        <v>46436</v>
      </c>
      <c r="AP215" s="322">
        <v>46443</v>
      </c>
      <c r="AQ215" s="322"/>
      <c r="AR215" s="314">
        <f>AN215-AM215</f>
        <v>5</v>
      </c>
      <c r="AS215" s="323"/>
      <c r="AT215" s="324" t="s">
        <v>66</v>
      </c>
      <c r="AU215" s="325">
        <v>46446</v>
      </c>
      <c r="AV215" s="265"/>
    </row>
    <row r="216" spans="1:48" s="264" customFormat="1" ht="25.05" customHeight="1">
      <c r="A216" s="327"/>
      <c r="B216" s="328" t="s">
        <v>258</v>
      </c>
      <c r="C216" s="328" t="s">
        <v>259</v>
      </c>
      <c r="D216" s="364"/>
      <c r="E216" s="330"/>
      <c r="F216" s="364"/>
      <c r="G216" s="332"/>
      <c r="H216" s="333"/>
      <c r="I216" s="332" t="s">
        <v>83</v>
      </c>
      <c r="J216" s="328" t="s">
        <v>64</v>
      </c>
      <c r="K216" s="310">
        <v>3</v>
      </c>
      <c r="L216" s="328" t="s">
        <v>9</v>
      </c>
      <c r="M216" s="334" t="s">
        <v>67</v>
      </c>
      <c r="N216" s="335"/>
      <c r="O216" s="335">
        <v>46220</v>
      </c>
      <c r="P216" s="335"/>
      <c r="Q216" s="335"/>
      <c r="R216" s="335"/>
      <c r="S216" s="335"/>
      <c r="T216" s="335"/>
      <c r="U216" s="335"/>
      <c r="V216" s="335"/>
      <c r="W216" s="335"/>
      <c r="X216" s="335"/>
      <c r="Y216" s="335"/>
      <c r="Z216" s="335"/>
      <c r="AA216" s="335"/>
      <c r="AB216" s="335"/>
      <c r="AC216" s="335"/>
      <c r="AD216" s="335"/>
      <c r="AE216" s="335"/>
      <c r="AF216" s="335"/>
      <c r="AG216" s="335"/>
      <c r="AH216" s="335"/>
      <c r="AI216" s="335"/>
      <c r="AJ216" s="335"/>
      <c r="AK216" s="336"/>
      <c r="AL216" s="337"/>
      <c r="AM216" s="335"/>
      <c r="AN216" s="338"/>
      <c r="AO216" s="338"/>
      <c r="AP216" s="338"/>
      <c r="AQ216" s="338"/>
      <c r="AR216" s="332"/>
      <c r="AS216" s="339"/>
      <c r="AT216" s="340"/>
      <c r="AU216" s="339"/>
    </row>
    <row r="217" spans="1:48" s="264" customFormat="1" ht="25.05" customHeight="1">
      <c r="A217" s="309">
        <v>69</v>
      </c>
      <c r="B217" s="310" t="s">
        <v>260</v>
      </c>
      <c r="C217" s="310" t="s">
        <v>261</v>
      </c>
      <c r="D217" s="361"/>
      <c r="E217" s="312"/>
      <c r="F217" s="362"/>
      <c r="G217" s="314"/>
      <c r="H217" s="315"/>
      <c r="I217" s="314" t="s">
        <v>83</v>
      </c>
      <c r="J217" s="310"/>
      <c r="K217" s="316"/>
      <c r="L217" s="310" t="s">
        <v>9</v>
      </c>
      <c r="M217" s="317" t="s">
        <v>61</v>
      </c>
      <c r="N217" s="318"/>
      <c r="O217" s="319">
        <v>46223</v>
      </c>
      <c r="P217" s="319">
        <v>46239</v>
      </c>
      <c r="Q217" s="319">
        <v>46239</v>
      </c>
      <c r="R217" s="319">
        <v>46239</v>
      </c>
      <c r="S217" s="319">
        <v>46239</v>
      </c>
      <c r="T217" s="319">
        <v>46235</v>
      </c>
      <c r="U217" s="319">
        <v>46243</v>
      </c>
      <c r="V217" s="319">
        <v>46258</v>
      </c>
      <c r="W217" s="319"/>
      <c r="X217" s="319">
        <v>46265</v>
      </c>
      <c r="Y217" s="319">
        <v>46267</v>
      </c>
      <c r="Z217" s="319">
        <v>46274</v>
      </c>
      <c r="AA217" s="319">
        <v>46288</v>
      </c>
      <c r="AB217" s="319">
        <v>46302</v>
      </c>
      <c r="AC217" s="319">
        <v>46332</v>
      </c>
      <c r="AD217" s="319">
        <v>46332</v>
      </c>
      <c r="AE217" s="319">
        <v>46334</v>
      </c>
      <c r="AF217" s="319">
        <v>46341</v>
      </c>
      <c r="AG217" s="319">
        <v>46348</v>
      </c>
      <c r="AH217" s="319">
        <v>46355</v>
      </c>
      <c r="AI217" s="319">
        <v>46369</v>
      </c>
      <c r="AJ217" s="319">
        <v>46385</v>
      </c>
      <c r="AK217" s="320">
        <v>12.8571428571429</v>
      </c>
      <c r="AL217" s="321"/>
      <c r="AM217" s="319">
        <f>X217+AL218</f>
        <v>46355</v>
      </c>
      <c r="AN217" s="322"/>
      <c r="AO217" s="322"/>
      <c r="AP217" s="322"/>
      <c r="AQ217" s="322"/>
      <c r="AR217" s="314">
        <f>AN218-AM217</f>
        <v>5</v>
      </c>
      <c r="AS217" s="323"/>
      <c r="AT217" s="324" t="s">
        <v>62</v>
      </c>
      <c r="AU217" s="325">
        <v>46367</v>
      </c>
    </row>
    <row r="218" spans="1:48" s="264" customFormat="1" ht="25.05" customHeight="1">
      <c r="A218" s="309"/>
      <c r="B218" s="310" t="s">
        <v>260</v>
      </c>
      <c r="C218" s="310" t="s">
        <v>261</v>
      </c>
      <c r="D218" s="363"/>
      <c r="E218" s="312"/>
      <c r="F218" s="363"/>
      <c r="G218" s="314">
        <v>5</v>
      </c>
      <c r="H218" s="315" t="s">
        <v>255</v>
      </c>
      <c r="I218" s="314" t="s">
        <v>83</v>
      </c>
      <c r="J218" s="310" t="s">
        <v>64</v>
      </c>
      <c r="K218" s="310">
        <v>3</v>
      </c>
      <c r="L218" s="310" t="s">
        <v>9</v>
      </c>
      <c r="M218" s="317" t="s">
        <v>65</v>
      </c>
      <c r="N218" s="319">
        <v>46208</v>
      </c>
      <c r="O218" s="319">
        <v>46223</v>
      </c>
      <c r="P218" s="319">
        <f>WORKDAY.INTL(O218,INDEX(P$8:P$11,MATCH($L218,$L$8:$L$11,0)),1,IF(P$18="China",'China Holidays'!$A$2:$A$82,'Thai Holidays'!$A$2:$A$63))</f>
        <v>46239</v>
      </c>
      <c r="Q218" s="319">
        <f>WORKDAY.INTL(P218,INDEX(Q$8:Q$11,MATCH($L218,$L$8:$L$11,0)),1,IF(Q$18="China",'China Holidays'!$A$2:$A$82,'Thai Holidays'!$A$2:$A$63))</f>
        <v>46239</v>
      </c>
      <c r="R218" s="319">
        <f>WORKDAY.INTL(Q218,INDEX(R$8:R$11,MATCH($L218,$L$8:$L$11,0)),1,IF(R$18="China",'China Holidays'!$A$2:$A$82,'Thai Holidays'!$A$2:$A$63))</f>
        <v>46239</v>
      </c>
      <c r="S218" s="319">
        <f>WORKDAY.INTL(R218,INDEX(S$8:S$11,MATCH($L218,$L$8:$L$11,0)),1,IF(S$18="China",'China Holidays'!$A$2:$A$82,'Thai Holidays'!$A$2:$A$63))</f>
        <v>46239</v>
      </c>
      <c r="T218" s="319">
        <f>S218+3</f>
        <v>46242</v>
      </c>
      <c r="U218" s="319">
        <f>T218+2</f>
        <v>46244</v>
      </c>
      <c r="V218" s="319">
        <f>WORKDAY.INTL(U218,INDEX(V$8:V$11,MATCH($L218,$L$8:$L$11,0)),1,IF(V$18="China",'China Holidays'!$A$2:$A$82,'Thai Holidays'!$A$2:$A$63))</f>
        <v>46259</v>
      </c>
      <c r="W218" s="319"/>
      <c r="X218" s="319">
        <f>WORKDAY.INTL(V218,INDEX(X$8:X$11,MATCH($L218,$L$8:$L$11,0)),1,IF(X$18="China",'China Holidays'!$A$2:$A$82,'Thai Holidays'!$A$2:$A$63))</f>
        <v>46266</v>
      </c>
      <c r="Y218" s="319">
        <f>WORKDAY.INTL(X218,INDEX(Y$12:Y$15,MATCH($L218,$L$12:$L$15,0)),1,IF(Y$18="China",'China Holidays'!$A$2:$A$82,'Thai Holidays'!$A$2:$A$63))</f>
        <v>46268</v>
      </c>
      <c r="Z218" s="319">
        <f>WORKDAY.INTL(Y218,INDEX(Z$12:Z$15,MATCH($L218,$L$12:$L$15,0)),1,IF(Z$18="China",'China Holidays'!$A$2:$A$82,'Thai Holidays'!$A$2:$A$63))</f>
        <v>46275</v>
      </c>
      <c r="AA218" s="319">
        <f>WORKDAY.INTL(Z218,INDEX(AA$12:AA$15,MATCH($L218,$L$12:$L$15,0)),1,IF(AA$18="China",'China Holidays'!$A$2:$A$82,'Thai Holidays'!$A$2:$A$63))</f>
        <v>46289</v>
      </c>
      <c r="AB218" s="319">
        <f>WORKDAY.INTL(AA218,INDEX(AB$12:AB$15,MATCH($L218,$L$12:$L$15,0)),1,IF(AB$18="China",'China Holidays'!$A$2:$A$82,'Thai Holidays'!$A$2:$A$63))</f>
        <v>46303</v>
      </c>
      <c r="AC218" s="319">
        <f>AB218+30</f>
        <v>46333</v>
      </c>
      <c r="AD218" s="319">
        <f>AC218</f>
        <v>46333</v>
      </c>
      <c r="AE218" s="319">
        <f>AD218+2</f>
        <v>46335</v>
      </c>
      <c r="AF218" s="319">
        <f>AG218-7</f>
        <v>46342</v>
      </c>
      <c r="AG218" s="319">
        <f>AH218-7</f>
        <v>46349</v>
      </c>
      <c r="AH218" s="319">
        <f>AM218</f>
        <v>46356</v>
      </c>
      <c r="AI218" s="319">
        <f>AM218+14</f>
        <v>46370</v>
      </c>
      <c r="AJ218" s="319">
        <f>AM218+30</f>
        <v>46386</v>
      </c>
      <c r="AK218" s="343"/>
      <c r="AL218" s="321">
        <f>AK217*7</f>
        <v>90.000000000000298</v>
      </c>
      <c r="AM218" s="319">
        <f>IF(X218&lt;&gt;"",X218+AL218,X219+AL218)</f>
        <v>46356</v>
      </c>
      <c r="AN218" s="322">
        <f>AU217-7</f>
        <v>46360</v>
      </c>
      <c r="AO218" s="322">
        <f>AP218-7</f>
        <v>46379</v>
      </c>
      <c r="AP218" s="322">
        <v>46386</v>
      </c>
      <c r="AQ218" s="322"/>
      <c r="AR218" s="314">
        <f>AN218-AM218</f>
        <v>4</v>
      </c>
      <c r="AS218" s="323"/>
      <c r="AT218" s="324" t="s">
        <v>66</v>
      </c>
      <c r="AU218" s="325">
        <v>46367</v>
      </c>
      <c r="AV218" s="265"/>
    </row>
    <row r="219" spans="1:48" s="264" customFormat="1" ht="25.05" customHeight="1">
      <c r="A219" s="327"/>
      <c r="B219" s="328" t="s">
        <v>260</v>
      </c>
      <c r="C219" s="328" t="s">
        <v>261</v>
      </c>
      <c r="D219" s="364"/>
      <c r="E219" s="330"/>
      <c r="F219" s="364"/>
      <c r="G219" s="332"/>
      <c r="H219" s="333"/>
      <c r="I219" s="332" t="s">
        <v>83</v>
      </c>
      <c r="J219" s="328" t="s">
        <v>64</v>
      </c>
      <c r="K219" s="310">
        <v>3</v>
      </c>
      <c r="L219" s="328" t="s">
        <v>9</v>
      </c>
      <c r="M219" s="334" t="s">
        <v>67</v>
      </c>
      <c r="N219" s="335"/>
      <c r="O219" s="335"/>
      <c r="P219" s="335"/>
      <c r="Q219" s="335"/>
      <c r="R219" s="335"/>
      <c r="S219" s="335"/>
      <c r="T219" s="335"/>
      <c r="U219" s="335"/>
      <c r="V219" s="335"/>
      <c r="W219" s="335"/>
      <c r="X219" s="332"/>
      <c r="Y219" s="335"/>
      <c r="Z219" s="335"/>
      <c r="AA219" s="335"/>
      <c r="AB219" s="335"/>
      <c r="AC219" s="335"/>
      <c r="AD219" s="335"/>
      <c r="AE219" s="335"/>
      <c r="AF219" s="335"/>
      <c r="AG219" s="335"/>
      <c r="AH219" s="335"/>
      <c r="AI219" s="335"/>
      <c r="AJ219" s="335"/>
      <c r="AK219" s="336"/>
      <c r="AL219" s="337"/>
      <c r="AM219" s="335"/>
      <c r="AN219" s="338"/>
      <c r="AO219" s="338"/>
      <c r="AP219" s="338"/>
      <c r="AQ219" s="338"/>
      <c r="AR219" s="332"/>
      <c r="AS219" s="339"/>
      <c r="AT219" s="340"/>
      <c r="AU219" s="339"/>
    </row>
    <row r="220" spans="1:48" s="264" customFormat="1" ht="25.05" customHeight="1">
      <c r="A220" s="309">
        <v>70</v>
      </c>
      <c r="B220" s="310" t="s">
        <v>262</v>
      </c>
      <c r="C220" s="310" t="s">
        <v>263</v>
      </c>
      <c r="D220" s="361"/>
      <c r="E220" s="312"/>
      <c r="F220" s="362"/>
      <c r="G220" s="314"/>
      <c r="H220" s="315"/>
      <c r="I220" s="314" t="s">
        <v>83</v>
      </c>
      <c r="J220" s="310"/>
      <c r="K220" s="316"/>
      <c r="L220" s="310" t="s">
        <v>9</v>
      </c>
      <c r="M220" s="317" t="s">
        <v>61</v>
      </c>
      <c r="N220" s="318"/>
      <c r="O220" s="319">
        <v>46216</v>
      </c>
      <c r="P220" s="319">
        <v>46230</v>
      </c>
      <c r="Q220" s="319">
        <v>46230</v>
      </c>
      <c r="R220" s="319">
        <v>46230</v>
      </c>
      <c r="S220" s="319">
        <v>46230</v>
      </c>
      <c r="T220" s="319">
        <v>46235</v>
      </c>
      <c r="U220" s="319">
        <v>46243</v>
      </c>
      <c r="V220" s="319">
        <v>46258</v>
      </c>
      <c r="W220" s="319"/>
      <c r="X220" s="319">
        <v>46265</v>
      </c>
      <c r="Y220" s="319">
        <v>46267</v>
      </c>
      <c r="Z220" s="319">
        <v>46274</v>
      </c>
      <c r="AA220" s="319">
        <v>46288</v>
      </c>
      <c r="AB220" s="319">
        <v>46302</v>
      </c>
      <c r="AC220" s="319">
        <v>46332</v>
      </c>
      <c r="AD220" s="319">
        <v>46332</v>
      </c>
      <c r="AE220" s="319">
        <v>46334</v>
      </c>
      <c r="AF220" s="319">
        <v>46419</v>
      </c>
      <c r="AG220" s="319">
        <v>46426</v>
      </c>
      <c r="AH220" s="319">
        <v>46433</v>
      </c>
      <c r="AI220" s="319">
        <v>46447</v>
      </c>
      <c r="AJ220" s="319">
        <v>46463</v>
      </c>
      <c r="AK220" s="320">
        <v>24</v>
      </c>
      <c r="AL220" s="321"/>
      <c r="AM220" s="319">
        <f>X220+AL221</f>
        <v>46433</v>
      </c>
      <c r="AN220" s="322"/>
      <c r="AO220" s="322"/>
      <c r="AP220" s="322"/>
      <c r="AQ220" s="322"/>
      <c r="AR220" s="314">
        <f>AN221-AM220</f>
        <v>6</v>
      </c>
      <c r="AS220" s="323"/>
      <c r="AT220" s="324" t="s">
        <v>62</v>
      </c>
      <c r="AU220" s="325">
        <v>46446</v>
      </c>
    </row>
    <row r="221" spans="1:48" s="264" customFormat="1" ht="25.05" customHeight="1">
      <c r="A221" s="309"/>
      <c r="B221" s="310" t="s">
        <v>262</v>
      </c>
      <c r="C221" s="310" t="s">
        <v>263</v>
      </c>
      <c r="D221" s="363"/>
      <c r="E221" s="312"/>
      <c r="F221" s="363"/>
      <c r="G221" s="314">
        <v>6</v>
      </c>
      <c r="H221" s="315" t="s">
        <v>255</v>
      </c>
      <c r="I221" s="314" t="s">
        <v>83</v>
      </c>
      <c r="J221" s="310" t="s">
        <v>64</v>
      </c>
      <c r="K221" s="310">
        <v>3</v>
      </c>
      <c r="L221" s="310" t="s">
        <v>9</v>
      </c>
      <c r="M221" s="317" t="s">
        <v>65</v>
      </c>
      <c r="N221" s="319">
        <v>46208</v>
      </c>
      <c r="O221" s="319">
        <v>46216</v>
      </c>
      <c r="P221" s="319">
        <f>WORKDAY.INTL(O221,INDEX(P$8:P$11,MATCH($L221,$L$8:$L$11,0)),1,IF(P$18="China",'China Holidays'!$A$2:$A$82,'Thai Holidays'!$A$2:$A$63))</f>
        <v>46230</v>
      </c>
      <c r="Q221" s="319">
        <f>WORKDAY.INTL(P221,INDEX(Q$8:Q$11,MATCH($L221,$L$8:$L$11,0)),1,IF(Q$18="China",'China Holidays'!$A$2:$A$82,'Thai Holidays'!$A$2:$A$63))</f>
        <v>46230</v>
      </c>
      <c r="R221" s="319">
        <f>WORKDAY.INTL(Q221,INDEX(R$8:R$11,MATCH($L221,$L$8:$L$11,0)),1,IF(R$18="China",'China Holidays'!$A$2:$A$82,'Thai Holidays'!$A$2:$A$63))</f>
        <v>46230</v>
      </c>
      <c r="S221" s="319">
        <f>WORKDAY.INTL(R221,INDEX(S$8:S$11,MATCH($L221,$L$8:$L$11,0)),1,IF(S$18="China",'China Holidays'!$A$2:$A$82,'Thai Holidays'!$A$2:$A$63))</f>
        <v>46230</v>
      </c>
      <c r="T221" s="319">
        <f>S221+3</f>
        <v>46233</v>
      </c>
      <c r="U221" s="319">
        <f>WORKDAY.INTL(T221,INDEX(U$8:U$11,MATCH($L221,$L$8:$L$11,0)),1,IF(U$18="China",'China Holidays'!$A$2:$A$82,'Thai Holidays'!$A$2:$A$63))</f>
        <v>46244</v>
      </c>
      <c r="V221" s="319">
        <f>WORKDAY.INTL(U221,INDEX(V$8:V$11,MATCH($L221,$L$8:$L$11,0)),1,IF(V$18="China",'China Holidays'!$A$2:$A$82,'Thai Holidays'!$A$2:$A$63))</f>
        <v>46259</v>
      </c>
      <c r="W221" s="319"/>
      <c r="X221" s="319">
        <f>WORKDAY.INTL(V221,INDEX(X$8:X$11,MATCH($L221,$L$8:$L$11,0)),1,IF(X$18="China",'China Holidays'!$A$2:$A$82,'Thai Holidays'!$A$2:$A$63))</f>
        <v>46266</v>
      </c>
      <c r="Y221" s="319">
        <f>WORKDAY.INTL(X221,INDEX(Y$12:Y$15,MATCH($L221,$L$12:$L$15,0)),1,IF(Y$18="China",'China Holidays'!$A$2:$A$82,'Thai Holidays'!$A$2:$A$63))</f>
        <v>46268</v>
      </c>
      <c r="Z221" s="319">
        <f>WORKDAY.INTL(Y221,INDEX(Z$12:Z$15,MATCH($L221,$L$12:$L$15,0)),1,IF(Z$18="China",'China Holidays'!$A$2:$A$82,'Thai Holidays'!$A$2:$A$63))</f>
        <v>46275</v>
      </c>
      <c r="AA221" s="319">
        <f>WORKDAY.INTL(Z221,INDEX(AA$12:AA$15,MATCH($L221,$L$12:$L$15,0)),1,IF(AA$18="China",'China Holidays'!$A$2:$A$82,'Thai Holidays'!$A$2:$A$63))</f>
        <v>46289</v>
      </c>
      <c r="AB221" s="319">
        <f>WORKDAY.INTL(AA221,INDEX(AB$12:AB$15,MATCH($L221,$L$12:$L$15,0)),1,IF(AB$18="China",'China Holidays'!$A$2:$A$82,'Thai Holidays'!$A$2:$A$63))</f>
        <v>46303</v>
      </c>
      <c r="AC221" s="319">
        <f>AB221+30</f>
        <v>46333</v>
      </c>
      <c r="AD221" s="319">
        <f>AC221</f>
        <v>46333</v>
      </c>
      <c r="AE221" s="319">
        <f>AD221+2</f>
        <v>46335</v>
      </c>
      <c r="AF221" s="319">
        <f>AG221-7</f>
        <v>46420</v>
      </c>
      <c r="AG221" s="319">
        <f>AH221-7</f>
        <v>46427</v>
      </c>
      <c r="AH221" s="319">
        <f>AM221</f>
        <v>46434</v>
      </c>
      <c r="AI221" s="319">
        <f>AM221+14</f>
        <v>46448</v>
      </c>
      <c r="AJ221" s="319">
        <f>AM221+30</f>
        <v>46464</v>
      </c>
      <c r="AK221" s="343"/>
      <c r="AL221" s="321">
        <f>AK220*7</f>
        <v>168</v>
      </c>
      <c r="AM221" s="319">
        <f>IF(X221&lt;&gt;"",X221+AL221,X222+AL221)</f>
        <v>46434</v>
      </c>
      <c r="AN221" s="322">
        <f>AU220-7</f>
        <v>46439</v>
      </c>
      <c r="AO221" s="322">
        <f>AP221-7</f>
        <v>46454</v>
      </c>
      <c r="AP221" s="322">
        <v>46461</v>
      </c>
      <c r="AQ221" s="322"/>
      <c r="AR221" s="314">
        <f>AN221-AM221</f>
        <v>5</v>
      </c>
      <c r="AS221" s="323"/>
      <c r="AT221" s="324" t="s">
        <v>66</v>
      </c>
      <c r="AU221" s="325">
        <v>46446</v>
      </c>
      <c r="AV221" s="265"/>
    </row>
    <row r="222" spans="1:48" s="264" customFormat="1" ht="25.05" customHeight="1">
      <c r="A222" s="327"/>
      <c r="B222" s="328" t="s">
        <v>262</v>
      </c>
      <c r="C222" s="328" t="s">
        <v>263</v>
      </c>
      <c r="D222" s="364"/>
      <c r="E222" s="330"/>
      <c r="F222" s="364"/>
      <c r="G222" s="332"/>
      <c r="H222" s="333"/>
      <c r="I222" s="332" t="s">
        <v>83</v>
      </c>
      <c r="J222" s="328" t="s">
        <v>64</v>
      </c>
      <c r="K222" s="310">
        <v>3</v>
      </c>
      <c r="L222" s="328" t="s">
        <v>9</v>
      </c>
      <c r="M222" s="334" t="s">
        <v>67</v>
      </c>
      <c r="N222" s="335"/>
      <c r="O222" s="335">
        <v>46220</v>
      </c>
      <c r="P222" s="335"/>
      <c r="Q222" s="335"/>
      <c r="R222" s="335"/>
      <c r="S222" s="335"/>
      <c r="T222" s="335"/>
      <c r="U222" s="335"/>
      <c r="V222" s="335"/>
      <c r="W222" s="335"/>
      <c r="X222" s="335"/>
      <c r="Y222" s="335"/>
      <c r="Z222" s="335"/>
      <c r="AA222" s="335"/>
      <c r="AB222" s="335"/>
      <c r="AC222" s="335"/>
      <c r="AD222" s="335"/>
      <c r="AE222" s="335"/>
      <c r="AF222" s="335"/>
      <c r="AG222" s="335"/>
      <c r="AH222" s="335"/>
      <c r="AI222" s="335"/>
      <c r="AJ222" s="335"/>
      <c r="AK222" s="336"/>
      <c r="AL222" s="337"/>
      <c r="AM222" s="335"/>
      <c r="AN222" s="338"/>
      <c r="AO222" s="338"/>
      <c r="AP222" s="338"/>
      <c r="AQ222" s="338"/>
      <c r="AR222" s="332"/>
      <c r="AS222" s="339"/>
      <c r="AT222" s="340"/>
      <c r="AU222" s="339"/>
    </row>
    <row r="223" spans="1:48" s="264" customFormat="1" ht="25.05" customHeight="1">
      <c r="A223" s="309">
        <v>104</v>
      </c>
      <c r="B223" s="310" t="s">
        <v>264</v>
      </c>
      <c r="C223" s="310" t="s">
        <v>265</v>
      </c>
      <c r="D223" s="361"/>
      <c r="E223" s="312"/>
      <c r="F223" s="362"/>
      <c r="G223" s="314"/>
      <c r="H223" s="315"/>
      <c r="I223" s="314" t="s">
        <v>83</v>
      </c>
      <c r="J223" s="310"/>
      <c r="K223" s="316"/>
      <c r="L223" s="310" t="s">
        <v>9</v>
      </c>
      <c r="M223" s="317" t="s">
        <v>61</v>
      </c>
      <c r="N223" s="318"/>
      <c r="O223" s="319">
        <v>46216</v>
      </c>
      <c r="P223" s="319">
        <v>46230</v>
      </c>
      <c r="Q223" s="319">
        <v>46230</v>
      </c>
      <c r="R223" s="319">
        <v>46230</v>
      </c>
      <c r="S223" s="319">
        <v>46230</v>
      </c>
      <c r="T223" s="319">
        <v>46235</v>
      </c>
      <c r="U223" s="319">
        <v>46243</v>
      </c>
      <c r="V223" s="319">
        <v>46258</v>
      </c>
      <c r="W223" s="319"/>
      <c r="X223" s="319">
        <v>46265</v>
      </c>
      <c r="Y223" s="319">
        <v>46267</v>
      </c>
      <c r="Z223" s="319">
        <v>46274</v>
      </c>
      <c r="AA223" s="319">
        <v>46288</v>
      </c>
      <c r="AB223" s="319">
        <v>46302</v>
      </c>
      <c r="AC223" s="319">
        <v>46332</v>
      </c>
      <c r="AD223" s="319">
        <v>46332</v>
      </c>
      <c r="AE223" s="319">
        <v>46334</v>
      </c>
      <c r="AF223" s="319">
        <v>46419</v>
      </c>
      <c r="AG223" s="319">
        <v>46426</v>
      </c>
      <c r="AH223" s="319">
        <v>46433</v>
      </c>
      <c r="AI223" s="319">
        <v>46447</v>
      </c>
      <c r="AJ223" s="319">
        <v>46463</v>
      </c>
      <c r="AK223" s="320">
        <v>24</v>
      </c>
      <c r="AL223" s="321"/>
      <c r="AM223" s="319">
        <f>X223+AL224</f>
        <v>46433</v>
      </c>
      <c r="AN223" s="322"/>
      <c r="AO223" s="322"/>
      <c r="AP223" s="322"/>
      <c r="AQ223" s="322"/>
      <c r="AR223" s="314">
        <f>AN224-AM223</f>
        <v>6</v>
      </c>
      <c r="AS223" s="323"/>
      <c r="AT223" s="324" t="s">
        <v>62</v>
      </c>
      <c r="AU223" s="325">
        <v>46446</v>
      </c>
    </row>
    <row r="224" spans="1:48" s="264" customFormat="1" ht="25.05" customHeight="1">
      <c r="A224" s="309"/>
      <c r="B224" s="310" t="s">
        <v>264</v>
      </c>
      <c r="C224" s="310" t="s">
        <v>265</v>
      </c>
      <c r="D224" s="363"/>
      <c r="E224" s="312"/>
      <c r="F224" s="363"/>
      <c r="G224" s="314">
        <v>6</v>
      </c>
      <c r="H224" s="315" t="s">
        <v>255</v>
      </c>
      <c r="I224" s="314" t="s">
        <v>83</v>
      </c>
      <c r="J224" s="310" t="s">
        <v>64</v>
      </c>
      <c r="K224" s="310">
        <v>3</v>
      </c>
      <c r="L224" s="310" t="s">
        <v>9</v>
      </c>
      <c r="M224" s="317" t="s">
        <v>65</v>
      </c>
      <c r="N224" s="319">
        <v>46208</v>
      </c>
      <c r="O224" s="319">
        <v>46216</v>
      </c>
      <c r="P224" s="319">
        <f>WORKDAY.INTL(O224,INDEX(P$8:P$11,MATCH($L224,$L$8:$L$11,0)),1,IF(P$18="China",'China Holidays'!$A$2:$A$82,'Thai Holidays'!$A$2:$A$63))</f>
        <v>46230</v>
      </c>
      <c r="Q224" s="319">
        <f>WORKDAY.INTL(P224,INDEX(Q$8:Q$11,MATCH($L224,$L$8:$L$11,0)),1,IF(Q$18="China",'China Holidays'!$A$2:$A$82,'Thai Holidays'!$A$2:$A$63))</f>
        <v>46230</v>
      </c>
      <c r="R224" s="319">
        <f>WORKDAY.INTL(Q224,INDEX(R$8:R$11,MATCH($L224,$L$8:$L$11,0)),1,IF(R$18="China",'China Holidays'!$A$2:$A$82,'Thai Holidays'!$A$2:$A$63))</f>
        <v>46230</v>
      </c>
      <c r="S224" s="319">
        <f>WORKDAY.INTL(R224,INDEX(S$8:S$11,MATCH($L224,$L$8:$L$11,0)),1,IF(S$18="China",'China Holidays'!$A$2:$A$82,'Thai Holidays'!$A$2:$A$63))</f>
        <v>46230</v>
      </c>
      <c r="T224" s="319">
        <f>S224+3</f>
        <v>46233</v>
      </c>
      <c r="U224" s="319">
        <f>WORKDAY.INTL(T224,INDEX(U$8:U$11,MATCH($L224,$L$8:$L$11,0)),1,IF(U$18="China",'China Holidays'!$A$2:$A$82,'Thai Holidays'!$A$2:$A$63))</f>
        <v>46244</v>
      </c>
      <c r="V224" s="319">
        <f>WORKDAY.INTL(U224,INDEX(V$8:V$11,MATCH($L224,$L$8:$L$11,0)),1,IF(V$18="China",'China Holidays'!$A$2:$A$82,'Thai Holidays'!$A$2:$A$63))</f>
        <v>46259</v>
      </c>
      <c r="W224" s="319"/>
      <c r="X224" s="319">
        <f>WORKDAY.INTL(V224,INDEX(X$8:X$11,MATCH($L224,$L$8:$L$11,0)),1,IF(X$18="China",'China Holidays'!$A$2:$A$82,'Thai Holidays'!$A$2:$A$63))</f>
        <v>46266</v>
      </c>
      <c r="Y224" s="319">
        <f>WORKDAY.INTL(X224,INDEX(Y$12:Y$15,MATCH($L224,$L$12:$L$15,0)),1,IF(Y$18="China",'China Holidays'!$A$2:$A$82,'Thai Holidays'!$A$2:$A$63))</f>
        <v>46268</v>
      </c>
      <c r="Z224" s="319">
        <f>WORKDAY.INTL(Y224,INDEX(Z$12:Z$15,MATCH($L224,$L$12:$L$15,0)),1,IF(Z$18="China",'China Holidays'!$A$2:$A$82,'Thai Holidays'!$A$2:$A$63))</f>
        <v>46275</v>
      </c>
      <c r="AA224" s="319">
        <f>WORKDAY.INTL(Z224,INDEX(AA$12:AA$15,MATCH($L224,$L$12:$L$15,0)),1,IF(AA$18="China",'China Holidays'!$A$2:$A$82,'Thai Holidays'!$A$2:$A$63))</f>
        <v>46289</v>
      </c>
      <c r="AB224" s="319">
        <f>WORKDAY.INTL(AA224,INDEX(AB$12:AB$15,MATCH($L224,$L$12:$L$15,0)),1,IF(AB$18="China",'China Holidays'!$A$2:$A$82,'Thai Holidays'!$A$2:$A$63))</f>
        <v>46303</v>
      </c>
      <c r="AC224" s="319">
        <f>AB224+30</f>
        <v>46333</v>
      </c>
      <c r="AD224" s="319">
        <f>AC224</f>
        <v>46333</v>
      </c>
      <c r="AE224" s="319">
        <f>AD224+2</f>
        <v>46335</v>
      </c>
      <c r="AF224" s="319">
        <f>AG224-7</f>
        <v>46420</v>
      </c>
      <c r="AG224" s="319">
        <f>AH224-7</f>
        <v>46427</v>
      </c>
      <c r="AH224" s="319">
        <f>AM224</f>
        <v>46434</v>
      </c>
      <c r="AI224" s="319">
        <f>AM224+14</f>
        <v>46448</v>
      </c>
      <c r="AJ224" s="319">
        <f>AM224+30</f>
        <v>46464</v>
      </c>
      <c r="AK224" s="343"/>
      <c r="AL224" s="321">
        <f>AK223*7</f>
        <v>168</v>
      </c>
      <c r="AM224" s="319">
        <f>IF(X224&lt;&gt;"",X224+AL224,X225+AL224)</f>
        <v>46434</v>
      </c>
      <c r="AN224" s="322">
        <f>AU223-7</f>
        <v>46439</v>
      </c>
      <c r="AO224" s="322">
        <f>AP224-7</f>
        <v>46454</v>
      </c>
      <c r="AP224" s="322">
        <v>46461</v>
      </c>
      <c r="AQ224" s="322"/>
      <c r="AR224" s="314">
        <f>AN224-AM224</f>
        <v>5</v>
      </c>
      <c r="AS224" s="323"/>
      <c r="AT224" s="324" t="s">
        <v>66</v>
      </c>
      <c r="AU224" s="325">
        <v>46446</v>
      </c>
      <c r="AV224" s="265"/>
    </row>
    <row r="225" spans="1:48" s="264" customFormat="1" ht="25.05" customHeight="1">
      <c r="A225" s="327"/>
      <c r="B225" s="328" t="s">
        <v>264</v>
      </c>
      <c r="C225" s="328" t="s">
        <v>265</v>
      </c>
      <c r="D225" s="364"/>
      <c r="E225" s="330"/>
      <c r="F225" s="364"/>
      <c r="G225" s="332"/>
      <c r="H225" s="333"/>
      <c r="I225" s="332" t="s">
        <v>83</v>
      </c>
      <c r="J225" s="328" t="s">
        <v>64</v>
      </c>
      <c r="K225" s="310">
        <v>3</v>
      </c>
      <c r="L225" s="328" t="s">
        <v>9</v>
      </c>
      <c r="M225" s="334" t="s">
        <v>67</v>
      </c>
      <c r="N225" s="335"/>
      <c r="O225" s="335">
        <v>46220</v>
      </c>
      <c r="P225" s="335"/>
      <c r="Q225" s="335"/>
      <c r="R225" s="335"/>
      <c r="S225" s="335"/>
      <c r="T225" s="335"/>
      <c r="U225" s="335"/>
      <c r="V225" s="335"/>
      <c r="W225" s="335"/>
      <c r="X225" s="335"/>
      <c r="Y225" s="335"/>
      <c r="Z225" s="335"/>
      <c r="AA225" s="335"/>
      <c r="AB225" s="335"/>
      <c r="AC225" s="335"/>
      <c r="AD225" s="335"/>
      <c r="AE225" s="335"/>
      <c r="AF225" s="335"/>
      <c r="AG225" s="335"/>
      <c r="AH225" s="335"/>
      <c r="AI225" s="335"/>
      <c r="AJ225" s="335"/>
      <c r="AK225" s="336"/>
      <c r="AL225" s="337"/>
      <c r="AM225" s="335"/>
      <c r="AN225" s="338"/>
      <c r="AO225" s="338"/>
      <c r="AP225" s="338"/>
      <c r="AQ225" s="338"/>
      <c r="AR225" s="332"/>
      <c r="AS225" s="339"/>
      <c r="AT225" s="340"/>
      <c r="AU225" s="339"/>
    </row>
    <row r="226" spans="1:48" s="264" customFormat="1" ht="25.05" customHeight="1">
      <c r="A226" s="309">
        <v>72</v>
      </c>
      <c r="B226" s="310" t="s">
        <v>266</v>
      </c>
      <c r="C226" s="310" t="s">
        <v>267</v>
      </c>
      <c r="D226" s="361"/>
      <c r="E226" s="312"/>
      <c r="F226" s="362"/>
      <c r="G226" s="314"/>
      <c r="H226" s="315"/>
      <c r="I226" s="314" t="s">
        <v>83</v>
      </c>
      <c r="J226" s="310"/>
      <c r="K226" s="316"/>
      <c r="L226" s="310" t="s">
        <v>9</v>
      </c>
      <c r="M226" s="317" t="s">
        <v>61</v>
      </c>
      <c r="N226" s="318"/>
      <c r="O226" s="319">
        <v>46223</v>
      </c>
      <c r="P226" s="319">
        <v>46239</v>
      </c>
      <c r="Q226" s="319">
        <v>46239</v>
      </c>
      <c r="R226" s="319">
        <v>46239</v>
      </c>
      <c r="S226" s="319">
        <v>46239</v>
      </c>
      <c r="T226" s="319">
        <v>46235</v>
      </c>
      <c r="U226" s="319">
        <v>46243</v>
      </c>
      <c r="V226" s="319">
        <v>46258</v>
      </c>
      <c r="W226" s="319"/>
      <c r="X226" s="319">
        <v>46265</v>
      </c>
      <c r="Y226" s="319">
        <v>46267</v>
      </c>
      <c r="Z226" s="319">
        <v>46274</v>
      </c>
      <c r="AA226" s="319">
        <v>46288</v>
      </c>
      <c r="AB226" s="319">
        <v>46302</v>
      </c>
      <c r="AC226" s="319">
        <v>46332</v>
      </c>
      <c r="AD226" s="319">
        <v>46332</v>
      </c>
      <c r="AE226" s="319">
        <v>46334</v>
      </c>
      <c r="AF226" s="319">
        <v>46341</v>
      </c>
      <c r="AG226" s="319">
        <v>46348</v>
      </c>
      <c r="AH226" s="319">
        <v>46355</v>
      </c>
      <c r="AI226" s="319">
        <v>46369</v>
      </c>
      <c r="AJ226" s="319">
        <v>46385</v>
      </c>
      <c r="AK226" s="320">
        <v>12.8571428571429</v>
      </c>
      <c r="AL226" s="321"/>
      <c r="AM226" s="319">
        <f>X226+AL227</f>
        <v>46355</v>
      </c>
      <c r="AN226" s="322"/>
      <c r="AO226" s="322"/>
      <c r="AP226" s="322"/>
      <c r="AQ226" s="322"/>
      <c r="AR226" s="314">
        <f>AN227-AM226</f>
        <v>5</v>
      </c>
      <c r="AS226" s="323"/>
      <c r="AT226" s="324" t="s">
        <v>62</v>
      </c>
      <c r="AU226" s="325">
        <v>46367</v>
      </c>
    </row>
    <row r="227" spans="1:48" s="264" customFormat="1" ht="25.05" customHeight="1">
      <c r="A227" s="309"/>
      <c r="B227" s="310" t="s">
        <v>266</v>
      </c>
      <c r="C227" s="310" t="s">
        <v>267</v>
      </c>
      <c r="D227" s="363"/>
      <c r="E227" s="312"/>
      <c r="F227" s="363"/>
      <c r="G227" s="314">
        <v>5</v>
      </c>
      <c r="H227" s="315" t="s">
        <v>255</v>
      </c>
      <c r="I227" s="314" t="s">
        <v>83</v>
      </c>
      <c r="J227" s="310" t="s">
        <v>64</v>
      </c>
      <c r="K227" s="310">
        <v>3</v>
      </c>
      <c r="L227" s="310" t="s">
        <v>9</v>
      </c>
      <c r="M227" s="317" t="s">
        <v>65</v>
      </c>
      <c r="N227" s="319">
        <v>46208</v>
      </c>
      <c r="O227" s="319">
        <v>46223</v>
      </c>
      <c r="P227" s="319">
        <f>WORKDAY.INTL(O227,INDEX(P$8:P$11,MATCH($L227,$L$8:$L$11,0)),1,IF(P$18="China",'China Holidays'!$A$2:$A$82,'Thai Holidays'!$A$2:$A$63))</f>
        <v>46239</v>
      </c>
      <c r="Q227" s="319">
        <f>WORKDAY.INTL(P227,INDEX(Q$8:Q$11,MATCH($L227,$L$8:$L$11,0)),1,IF(Q$18="China",'China Holidays'!$A$2:$A$82,'Thai Holidays'!$A$2:$A$63))</f>
        <v>46239</v>
      </c>
      <c r="R227" s="319">
        <f>WORKDAY.INTL(Q227,INDEX(R$8:R$11,MATCH($L227,$L$8:$L$11,0)),1,IF(R$18="China",'China Holidays'!$A$2:$A$82,'Thai Holidays'!$A$2:$A$63))</f>
        <v>46239</v>
      </c>
      <c r="S227" s="319">
        <f>WORKDAY.INTL(R227,INDEX(S$8:S$11,MATCH($L227,$L$8:$L$11,0)),1,IF(S$18="China",'China Holidays'!$A$2:$A$82,'Thai Holidays'!$A$2:$A$63))</f>
        <v>46239</v>
      </c>
      <c r="T227" s="319">
        <f>S227+3</f>
        <v>46242</v>
      </c>
      <c r="U227" s="319">
        <f>T227+2</f>
        <v>46244</v>
      </c>
      <c r="V227" s="319">
        <f>WORKDAY.INTL(U227,INDEX(V$8:V$11,MATCH($L227,$L$8:$L$11,0)),1,IF(V$18="China",'China Holidays'!$A$2:$A$82,'Thai Holidays'!$A$2:$A$63))</f>
        <v>46259</v>
      </c>
      <c r="W227" s="319"/>
      <c r="X227" s="319">
        <f>WORKDAY.INTL(V227,INDEX(X$8:X$11,MATCH($L227,$L$8:$L$11,0)),1,IF(X$18="China",'China Holidays'!$A$2:$A$82,'Thai Holidays'!$A$2:$A$63))</f>
        <v>46266</v>
      </c>
      <c r="Y227" s="319">
        <f>WORKDAY.INTL(X227,INDEX(Y$12:Y$15,MATCH($L227,$L$12:$L$15,0)),1,IF(Y$18="China",'China Holidays'!$A$2:$A$82,'Thai Holidays'!$A$2:$A$63))</f>
        <v>46268</v>
      </c>
      <c r="Z227" s="319">
        <f>WORKDAY.INTL(Y227,INDEX(Z$12:Z$15,MATCH($L227,$L$12:$L$15,0)),1,IF(Z$18="China",'China Holidays'!$A$2:$A$82,'Thai Holidays'!$A$2:$A$63))</f>
        <v>46275</v>
      </c>
      <c r="AA227" s="319">
        <f>WORKDAY.INTL(Z227,INDEX(AA$12:AA$15,MATCH($L227,$L$12:$L$15,0)),1,IF(AA$18="China",'China Holidays'!$A$2:$A$82,'Thai Holidays'!$A$2:$A$63))</f>
        <v>46289</v>
      </c>
      <c r="AB227" s="319">
        <f>WORKDAY.INTL(AA227,INDEX(AB$12:AB$15,MATCH($L227,$L$12:$L$15,0)),1,IF(AB$18="China",'China Holidays'!$A$2:$A$82,'Thai Holidays'!$A$2:$A$63))</f>
        <v>46303</v>
      </c>
      <c r="AC227" s="319">
        <f>AB227+30</f>
        <v>46333</v>
      </c>
      <c r="AD227" s="319">
        <f>AC227</f>
        <v>46333</v>
      </c>
      <c r="AE227" s="319">
        <f>AD227+2</f>
        <v>46335</v>
      </c>
      <c r="AF227" s="319">
        <f>AG227-7</f>
        <v>46342</v>
      </c>
      <c r="AG227" s="319">
        <f>AH227-7</f>
        <v>46349</v>
      </c>
      <c r="AH227" s="319">
        <f>AM227</f>
        <v>46356</v>
      </c>
      <c r="AI227" s="319">
        <f>AM227+14</f>
        <v>46370</v>
      </c>
      <c r="AJ227" s="319">
        <f>AM227+30</f>
        <v>46386</v>
      </c>
      <c r="AK227" s="343"/>
      <c r="AL227" s="321">
        <f>AK226*7</f>
        <v>90.000000000000298</v>
      </c>
      <c r="AM227" s="319">
        <f>IF(X227&lt;&gt;"",X227+AL227,X228+AL227)</f>
        <v>46356</v>
      </c>
      <c r="AN227" s="322">
        <f>AU226-7</f>
        <v>46360</v>
      </c>
      <c r="AO227" s="322">
        <f>AP227-7</f>
        <v>46360</v>
      </c>
      <c r="AP227" s="322">
        <v>46367</v>
      </c>
      <c r="AQ227" s="322"/>
      <c r="AR227" s="314">
        <f>AN227-AM227</f>
        <v>4</v>
      </c>
      <c r="AS227" s="323"/>
      <c r="AT227" s="324" t="s">
        <v>66</v>
      </c>
      <c r="AU227" s="325">
        <v>46367</v>
      </c>
      <c r="AV227" s="265"/>
    </row>
    <row r="228" spans="1:48" s="264" customFormat="1" ht="25.05" customHeight="1">
      <c r="A228" s="327"/>
      <c r="B228" s="328" t="s">
        <v>266</v>
      </c>
      <c r="C228" s="328" t="s">
        <v>267</v>
      </c>
      <c r="D228" s="393"/>
      <c r="E228" s="394"/>
      <c r="F228" s="393"/>
      <c r="G228" s="332"/>
      <c r="H228" s="333"/>
      <c r="I228" s="332" t="s">
        <v>83</v>
      </c>
      <c r="J228" s="328" t="s">
        <v>64</v>
      </c>
      <c r="K228" s="310">
        <v>3</v>
      </c>
      <c r="L228" s="328" t="s">
        <v>9</v>
      </c>
      <c r="M228" s="334" t="s">
        <v>67</v>
      </c>
      <c r="N228" s="335"/>
      <c r="O228" s="335">
        <v>46227</v>
      </c>
      <c r="P228" s="335"/>
      <c r="Q228" s="335"/>
      <c r="R228" s="335"/>
      <c r="S228" s="335"/>
      <c r="T228" s="335"/>
      <c r="U228" s="335"/>
      <c r="V228" s="335"/>
      <c r="W228" s="335"/>
      <c r="X228" s="332"/>
      <c r="Y228" s="335"/>
      <c r="Z228" s="335"/>
      <c r="AA228" s="335"/>
      <c r="AB228" s="335"/>
      <c r="AC228" s="335"/>
      <c r="AD228" s="335"/>
      <c r="AE228" s="335"/>
      <c r="AF228" s="335"/>
      <c r="AG228" s="335"/>
      <c r="AH228" s="335"/>
      <c r="AI228" s="335"/>
      <c r="AJ228" s="335"/>
      <c r="AK228" s="336"/>
      <c r="AL228" s="337"/>
      <c r="AM228" s="335"/>
      <c r="AN228" s="338"/>
      <c r="AO228" s="338"/>
      <c r="AP228" s="338"/>
      <c r="AQ228" s="338"/>
      <c r="AR228" s="332"/>
      <c r="AS228" s="339"/>
      <c r="AT228" s="340"/>
      <c r="AU228" s="339"/>
    </row>
    <row r="229" spans="1:48" s="264" customFormat="1" ht="25.05" customHeight="1">
      <c r="A229" s="309">
        <v>73</v>
      </c>
      <c r="B229" s="310" t="s">
        <v>268</v>
      </c>
      <c r="C229" s="310" t="s">
        <v>269</v>
      </c>
      <c r="D229" s="361"/>
      <c r="E229" s="312"/>
      <c r="F229" s="362"/>
      <c r="G229" s="314"/>
      <c r="H229" s="315"/>
      <c r="I229" s="314" t="s">
        <v>83</v>
      </c>
      <c r="J229" s="310"/>
      <c r="K229" s="316"/>
      <c r="L229" s="310" t="s">
        <v>9</v>
      </c>
      <c r="M229" s="317" t="s">
        <v>61</v>
      </c>
      <c r="N229" s="318"/>
      <c r="O229" s="319">
        <v>46216</v>
      </c>
      <c r="P229" s="319">
        <v>46230</v>
      </c>
      <c r="Q229" s="319">
        <v>46230</v>
      </c>
      <c r="R229" s="319">
        <v>46230</v>
      </c>
      <c r="S229" s="319">
        <v>46230</v>
      </c>
      <c r="T229" s="319">
        <v>46235</v>
      </c>
      <c r="U229" s="319">
        <v>46243</v>
      </c>
      <c r="V229" s="319">
        <v>46251</v>
      </c>
      <c r="W229" s="319"/>
      <c r="X229" s="319">
        <v>46258</v>
      </c>
      <c r="Y229" s="319">
        <v>46260</v>
      </c>
      <c r="Z229" s="319">
        <v>46267</v>
      </c>
      <c r="AA229" s="319">
        <v>46281</v>
      </c>
      <c r="AB229" s="319">
        <v>46295</v>
      </c>
      <c r="AC229" s="319">
        <v>46325</v>
      </c>
      <c r="AD229" s="319">
        <v>46325</v>
      </c>
      <c r="AE229" s="319">
        <v>46327</v>
      </c>
      <c r="AF229" s="319">
        <v>46412</v>
      </c>
      <c r="AG229" s="319">
        <v>46419</v>
      </c>
      <c r="AH229" s="319">
        <v>46426</v>
      </c>
      <c r="AI229" s="319">
        <v>46440</v>
      </c>
      <c r="AJ229" s="319">
        <v>46456</v>
      </c>
      <c r="AK229" s="320">
        <v>24</v>
      </c>
      <c r="AL229" s="321"/>
      <c r="AM229" s="319">
        <f>X229+AL230</f>
        <v>46426</v>
      </c>
      <c r="AN229" s="322"/>
      <c r="AO229" s="322"/>
      <c r="AP229" s="322"/>
      <c r="AQ229" s="322"/>
      <c r="AR229" s="314">
        <f>AN230-AM229</f>
        <v>3</v>
      </c>
      <c r="AS229" s="323"/>
      <c r="AT229" s="324" t="s">
        <v>62</v>
      </c>
      <c r="AU229" s="325">
        <v>46451</v>
      </c>
    </row>
    <row r="230" spans="1:48" s="264" customFormat="1" ht="25.05" customHeight="1">
      <c r="A230" s="309"/>
      <c r="B230" s="310" t="s">
        <v>268</v>
      </c>
      <c r="C230" s="310" t="s">
        <v>269</v>
      </c>
      <c r="D230" s="395"/>
      <c r="E230" s="396"/>
      <c r="F230" s="395"/>
      <c r="G230" s="314">
        <v>11</v>
      </c>
      <c r="H230" s="315" t="s">
        <v>255</v>
      </c>
      <c r="I230" s="314" t="s">
        <v>83</v>
      </c>
      <c r="J230" s="310" t="s">
        <v>64</v>
      </c>
      <c r="K230" s="310">
        <v>3</v>
      </c>
      <c r="L230" s="310" t="s">
        <v>9</v>
      </c>
      <c r="M230" s="317" t="s">
        <v>65</v>
      </c>
      <c r="N230" s="319">
        <v>46218</v>
      </c>
      <c r="O230" s="319">
        <v>46216</v>
      </c>
      <c r="P230" s="319">
        <f>WORKDAY.INTL(O230,INDEX(P$8:P$11,MATCH($L230,$L$8:$L$11,0)),1,IF(P$18="China",'China Holidays'!$A$2:$A$82,'Thai Holidays'!$A$2:$A$63))</f>
        <v>46230</v>
      </c>
      <c r="Q230" s="319">
        <f>WORKDAY.INTL(P230,INDEX(Q$8:Q$11,MATCH($L230,$L$8:$L$11,0)),1,IF(Q$18="China",'China Holidays'!$A$2:$A$82,'Thai Holidays'!$A$2:$A$63))</f>
        <v>46230</v>
      </c>
      <c r="R230" s="319">
        <f>WORKDAY.INTL(Q230,INDEX(R$8:R$11,MATCH($L230,$L$8:$L$11,0)),1,IF(R$18="China",'China Holidays'!$A$2:$A$82,'Thai Holidays'!$A$2:$A$63))</f>
        <v>46230</v>
      </c>
      <c r="S230" s="319">
        <f>WORKDAY.INTL(R230,INDEX(S$8:S$11,MATCH($L230,$L$8:$L$11,0)),1,IF(S$18="China",'China Holidays'!$A$2:$A$82,'Thai Holidays'!$A$2:$A$63))</f>
        <v>46230</v>
      </c>
      <c r="T230" s="319">
        <f>S230+3</f>
        <v>46233</v>
      </c>
      <c r="U230" s="319">
        <f>WORKDAY.INTL(T230,INDEX(U$8:U$11,MATCH($L230,$L$8:$L$11,0)),1,IF(U$18="China",'China Holidays'!$A$2:$A$82,'Thai Holidays'!$A$2:$A$63))</f>
        <v>46244</v>
      </c>
      <c r="V230" s="319">
        <f>WORKDAY.INTL(U230,INDEX(V$8:V$11,MATCH($L230,$L$8:$L$11,0)),1,IF(V$18="China",'China Holidays'!$A$2:$A$82,'Thai Holidays'!$A$2:$A$63))</f>
        <v>46259</v>
      </c>
      <c r="W230" s="319"/>
      <c r="X230" s="319">
        <f>WORKDAY.INTL(V230,INDEX(X$8:X$11,MATCH($L230,$L$8:$L$11,0)),1,IF(X$18="China",'China Holidays'!$A$2:$A$82,'Thai Holidays'!$A$2:$A$63))</f>
        <v>46266</v>
      </c>
      <c r="Y230" s="319">
        <f>WORKDAY.INTL(X230,INDEX(Y$12:Y$15,MATCH($L230,$L$12:$L$15,0)),1,IF(Y$18="China",'China Holidays'!$A$2:$A$82,'Thai Holidays'!$A$2:$A$63))</f>
        <v>46268</v>
      </c>
      <c r="Z230" s="319">
        <f>WORKDAY.INTL(Y230,INDEX(Z$12:Z$15,MATCH($L230,$L$12:$L$15,0)),1,IF(Z$18="China",'China Holidays'!$A$2:$A$82,'Thai Holidays'!$A$2:$A$63))</f>
        <v>46275</v>
      </c>
      <c r="AA230" s="319">
        <f>WORKDAY.INTL(Z230,INDEX(AA$12:AA$15,MATCH($L230,$L$12:$L$15,0)),1,IF(AA$18="China",'China Holidays'!$A$2:$A$82,'Thai Holidays'!$A$2:$A$63))</f>
        <v>46289</v>
      </c>
      <c r="AB230" s="319">
        <f>WORKDAY.INTL(AA230,INDEX(AB$12:AB$15,MATCH($L230,$L$12:$L$15,0)),1,IF(AB$18="China",'China Holidays'!$A$2:$A$82,'Thai Holidays'!$A$2:$A$63))</f>
        <v>46303</v>
      </c>
      <c r="AC230" s="319">
        <f>AB230+30</f>
        <v>46333</v>
      </c>
      <c r="AD230" s="319">
        <f>AC230</f>
        <v>46333</v>
      </c>
      <c r="AE230" s="319">
        <f>AD230+2</f>
        <v>46335</v>
      </c>
      <c r="AF230" s="319">
        <f>AG230-7</f>
        <v>46420</v>
      </c>
      <c r="AG230" s="319">
        <f>AH230-7</f>
        <v>46427</v>
      </c>
      <c r="AH230" s="319">
        <f>AM230</f>
        <v>46434</v>
      </c>
      <c r="AI230" s="319">
        <f>AM230+14</f>
        <v>46448</v>
      </c>
      <c r="AJ230" s="319">
        <f>AM230+30</f>
        <v>46464</v>
      </c>
      <c r="AK230" s="343"/>
      <c r="AL230" s="397">
        <f>AK229*7</f>
        <v>168</v>
      </c>
      <c r="AM230" s="319">
        <f>IF(X230&lt;&gt;"",X230+AL230,X231+AL230)</f>
        <v>46434</v>
      </c>
      <c r="AN230" s="398">
        <f>AO230-7</f>
        <v>46429</v>
      </c>
      <c r="AO230" s="322">
        <f>AP230-7</f>
        <v>46436</v>
      </c>
      <c r="AP230" s="322">
        <v>46443</v>
      </c>
      <c r="AQ230" s="322"/>
      <c r="AR230" s="314">
        <f>AN230-AM230</f>
        <v>-5</v>
      </c>
      <c r="AS230" s="323"/>
      <c r="AT230" s="324" t="s">
        <v>66</v>
      </c>
      <c r="AU230" s="325">
        <v>46451</v>
      </c>
      <c r="AV230" s="265"/>
    </row>
    <row r="231" spans="1:48" s="264" customFormat="1" ht="25.05" customHeight="1">
      <c r="A231" s="327"/>
      <c r="B231" s="328" t="s">
        <v>268</v>
      </c>
      <c r="C231" s="328" t="s">
        <v>269</v>
      </c>
      <c r="D231" s="393"/>
      <c r="E231" s="394"/>
      <c r="F231" s="393"/>
      <c r="G231" s="332"/>
      <c r="H231" s="333"/>
      <c r="I231" s="332" t="s">
        <v>83</v>
      </c>
      <c r="J231" s="328" t="s">
        <v>64</v>
      </c>
      <c r="K231" s="310">
        <v>3</v>
      </c>
      <c r="L231" s="328" t="s">
        <v>9</v>
      </c>
      <c r="M231" s="334" t="s">
        <v>67</v>
      </c>
      <c r="N231" s="332"/>
      <c r="O231" s="335">
        <v>46220</v>
      </c>
      <c r="P231" s="335"/>
      <c r="Q231" s="335"/>
      <c r="R231" s="335"/>
      <c r="S231" s="335"/>
      <c r="T231" s="335"/>
      <c r="U231" s="335"/>
      <c r="V231" s="335"/>
      <c r="W231" s="335"/>
      <c r="X231" s="335"/>
      <c r="Y231" s="335"/>
      <c r="Z231" s="335"/>
      <c r="AA231" s="335"/>
      <c r="AB231" s="335"/>
      <c r="AC231" s="335"/>
      <c r="AD231" s="335"/>
      <c r="AE231" s="335"/>
      <c r="AF231" s="335"/>
      <c r="AG231" s="335"/>
      <c r="AH231" s="335"/>
      <c r="AI231" s="335"/>
      <c r="AJ231" s="335"/>
      <c r="AK231" s="336"/>
      <c r="AL231" s="337"/>
      <c r="AM231" s="335"/>
      <c r="AN231" s="338"/>
      <c r="AO231" s="338"/>
      <c r="AP231" s="338"/>
      <c r="AQ231" s="338"/>
      <c r="AR231" s="332"/>
      <c r="AS231" s="339"/>
      <c r="AT231" s="340"/>
      <c r="AU231" s="339"/>
    </row>
    <row r="232" spans="1:48" s="268" customFormat="1" ht="25.05" customHeight="1">
      <c r="A232" s="399">
        <v>75</v>
      </c>
      <c r="B232" s="310" t="s">
        <v>270</v>
      </c>
      <c r="C232" s="400" t="s">
        <v>271</v>
      </c>
      <c r="D232" s="401"/>
      <c r="E232" s="402"/>
      <c r="F232" s="403"/>
      <c r="G232" s="404"/>
      <c r="H232" s="405"/>
      <c r="I232" s="404" t="s">
        <v>83</v>
      </c>
      <c r="J232" s="400"/>
      <c r="K232" s="406"/>
      <c r="L232" s="400">
        <v>0</v>
      </c>
      <c r="M232" s="407" t="s">
        <v>61</v>
      </c>
      <c r="N232" s="408"/>
      <c r="O232" s="409">
        <v>46223</v>
      </c>
      <c r="P232" s="409">
        <v>46230</v>
      </c>
      <c r="Q232" s="409">
        <v>46231</v>
      </c>
      <c r="R232" s="409">
        <v>46237</v>
      </c>
      <c r="S232" s="409">
        <v>46238</v>
      </c>
      <c r="T232" s="409">
        <v>46244</v>
      </c>
      <c r="U232" s="409">
        <v>46254</v>
      </c>
      <c r="V232" s="409">
        <v>46258</v>
      </c>
      <c r="W232" s="409"/>
      <c r="X232" s="409">
        <v>46265</v>
      </c>
      <c r="Y232" s="409">
        <v>46267</v>
      </c>
      <c r="Z232" s="409">
        <v>46274</v>
      </c>
      <c r="AA232" s="409">
        <v>46288</v>
      </c>
      <c r="AB232" s="409">
        <v>46302</v>
      </c>
      <c r="AC232" s="409">
        <v>46309</v>
      </c>
      <c r="AD232" s="409">
        <v>46309</v>
      </c>
      <c r="AE232" s="409">
        <v>46311</v>
      </c>
      <c r="AF232" s="409">
        <v>46371</v>
      </c>
      <c r="AG232" s="409">
        <v>46378</v>
      </c>
      <c r="AH232" s="409">
        <v>46385</v>
      </c>
      <c r="AI232" s="409">
        <v>46399</v>
      </c>
      <c r="AJ232" s="409">
        <v>46415</v>
      </c>
      <c r="AK232" s="410">
        <v>17.1428571428571</v>
      </c>
      <c r="AL232" s="409"/>
      <c r="AM232" s="409">
        <f>X232+AL233</f>
        <v>46385</v>
      </c>
      <c r="AN232" s="409"/>
      <c r="AO232" s="409"/>
      <c r="AP232" s="409"/>
      <c r="AQ232" s="409"/>
      <c r="AR232" s="409">
        <f>AN233-AM232</f>
        <v>54</v>
      </c>
      <c r="AS232" s="411"/>
      <c r="AT232" s="412" t="s">
        <v>62</v>
      </c>
      <c r="AU232" s="413">
        <v>46446</v>
      </c>
    </row>
    <row r="233" spans="1:48" s="268" customFormat="1" ht="25.05" customHeight="1">
      <c r="A233" s="399"/>
      <c r="B233" s="310" t="s">
        <v>270</v>
      </c>
      <c r="C233" s="400" t="s">
        <v>271</v>
      </c>
      <c r="D233" s="414"/>
      <c r="E233" s="402"/>
      <c r="F233" s="414"/>
      <c r="G233" s="404">
        <v>43</v>
      </c>
      <c r="H233" s="405" t="s">
        <v>255</v>
      </c>
      <c r="I233" s="404" t="s">
        <v>83</v>
      </c>
      <c r="J233" s="400"/>
      <c r="K233" s="400"/>
      <c r="L233" s="400"/>
      <c r="M233" s="407" t="s">
        <v>65</v>
      </c>
      <c r="N233" s="409">
        <v>46208</v>
      </c>
      <c r="O233" s="409">
        <v>46223</v>
      </c>
      <c r="P233" s="409">
        <v>46239</v>
      </c>
      <c r="Q233" s="409">
        <v>46239</v>
      </c>
      <c r="R233" s="409">
        <v>46239</v>
      </c>
      <c r="S233" s="409">
        <v>46239</v>
      </c>
      <c r="T233" s="409">
        <v>46246</v>
      </c>
      <c r="U233" s="409">
        <v>46255</v>
      </c>
      <c r="V233" s="409">
        <v>46269</v>
      </c>
      <c r="W233" s="409"/>
      <c r="X233" s="409">
        <v>46276</v>
      </c>
      <c r="Y233" s="409">
        <v>46280</v>
      </c>
      <c r="Z233" s="409">
        <v>46287</v>
      </c>
      <c r="AA233" s="409">
        <v>46309</v>
      </c>
      <c r="AB233" s="409">
        <v>46324</v>
      </c>
      <c r="AC233" s="409">
        <v>46331</v>
      </c>
      <c r="AD233" s="409">
        <v>46331</v>
      </c>
      <c r="AE233" s="409">
        <v>46333</v>
      </c>
      <c r="AF233" s="409">
        <v>46382</v>
      </c>
      <c r="AG233" s="409">
        <v>46389</v>
      </c>
      <c r="AH233" s="409">
        <v>46396</v>
      </c>
      <c r="AI233" s="409">
        <v>46410</v>
      </c>
      <c r="AJ233" s="409">
        <v>46426</v>
      </c>
      <c r="AK233" s="409"/>
      <c r="AL233" s="404">
        <f>AK232*7</f>
        <v>119.9999999999997</v>
      </c>
      <c r="AM233" s="409">
        <f>IF(X233&lt;&gt;"",X233+AL233,X234+AL233)</f>
        <v>46396</v>
      </c>
      <c r="AN233" s="409">
        <f>AU232-7</f>
        <v>46439</v>
      </c>
      <c r="AO233" s="409">
        <f>AP233-7</f>
        <v>46436</v>
      </c>
      <c r="AP233" s="409">
        <v>46443</v>
      </c>
      <c r="AQ233" s="409"/>
      <c r="AR233" s="409">
        <f>AN233-AM233</f>
        <v>43</v>
      </c>
      <c r="AS233" s="411"/>
      <c r="AT233" s="412" t="s">
        <v>66</v>
      </c>
      <c r="AU233" s="413">
        <v>46446</v>
      </c>
    </row>
    <row r="234" spans="1:48" s="268" customFormat="1" ht="25.05" customHeight="1">
      <c r="A234" s="415"/>
      <c r="B234" s="328" t="s">
        <v>270</v>
      </c>
      <c r="C234" s="416" t="s">
        <v>271</v>
      </c>
      <c r="D234" s="417"/>
      <c r="E234" s="418"/>
      <c r="F234" s="417"/>
      <c r="G234" s="416"/>
      <c r="H234" s="419"/>
      <c r="I234" s="416" t="s">
        <v>83</v>
      </c>
      <c r="J234" s="420"/>
      <c r="K234" s="400"/>
      <c r="L234" s="420"/>
      <c r="M234" s="421" t="s">
        <v>67</v>
      </c>
      <c r="N234" s="416"/>
      <c r="O234" s="422">
        <v>46227</v>
      </c>
      <c r="P234" s="422"/>
      <c r="Q234" s="422"/>
      <c r="R234" s="422"/>
      <c r="S234" s="422"/>
      <c r="T234" s="422"/>
      <c r="U234" s="422"/>
      <c r="V234" s="422"/>
      <c r="W234" s="422"/>
      <c r="X234" s="416"/>
      <c r="Y234" s="422"/>
      <c r="Z234" s="422"/>
      <c r="AA234" s="422"/>
      <c r="AB234" s="422"/>
      <c r="AC234" s="422"/>
      <c r="AD234" s="422"/>
      <c r="AE234" s="422"/>
      <c r="AF234" s="422"/>
      <c r="AG234" s="422"/>
      <c r="AH234" s="422"/>
      <c r="AI234" s="422"/>
      <c r="AJ234" s="422"/>
      <c r="AK234" s="422"/>
      <c r="AL234" s="422"/>
      <c r="AM234" s="422"/>
      <c r="AN234" s="422"/>
      <c r="AO234" s="422"/>
      <c r="AP234" s="422"/>
      <c r="AQ234" s="422"/>
      <c r="AR234" s="422"/>
      <c r="AS234" s="423"/>
      <c r="AT234" s="424"/>
      <c r="AU234" s="423"/>
    </row>
    <row r="235" spans="1:48" s="268" customFormat="1" ht="25.05" customHeight="1">
      <c r="A235" s="399">
        <v>76</v>
      </c>
      <c r="B235" s="310" t="s">
        <v>272</v>
      </c>
      <c r="C235" s="400" t="s">
        <v>273</v>
      </c>
      <c r="D235" s="401"/>
      <c r="E235" s="402"/>
      <c r="F235" s="403"/>
      <c r="G235" s="404"/>
      <c r="H235" s="405"/>
      <c r="I235" s="404" t="s">
        <v>83</v>
      </c>
      <c r="J235" s="400"/>
      <c r="K235" s="406"/>
      <c r="L235" s="400">
        <v>0</v>
      </c>
      <c r="M235" s="407" t="s">
        <v>61</v>
      </c>
      <c r="N235" s="408"/>
      <c r="O235" s="409">
        <v>46223</v>
      </c>
      <c r="P235" s="409">
        <v>46230</v>
      </c>
      <c r="Q235" s="409">
        <v>46231</v>
      </c>
      <c r="R235" s="409">
        <v>46237</v>
      </c>
      <c r="S235" s="409">
        <v>46238</v>
      </c>
      <c r="T235" s="409">
        <v>46244</v>
      </c>
      <c r="U235" s="409">
        <v>46254</v>
      </c>
      <c r="V235" s="409">
        <v>46258</v>
      </c>
      <c r="W235" s="409"/>
      <c r="X235" s="409">
        <v>46265</v>
      </c>
      <c r="Y235" s="409">
        <v>46267</v>
      </c>
      <c r="Z235" s="409">
        <v>46274</v>
      </c>
      <c r="AA235" s="409">
        <v>46288</v>
      </c>
      <c r="AB235" s="409">
        <v>46302</v>
      </c>
      <c r="AC235" s="409">
        <v>46309</v>
      </c>
      <c r="AD235" s="409">
        <v>46309</v>
      </c>
      <c r="AE235" s="409">
        <v>46311</v>
      </c>
      <c r="AF235" s="409">
        <v>46371</v>
      </c>
      <c r="AG235" s="409">
        <v>46378</v>
      </c>
      <c r="AH235" s="409">
        <v>46385</v>
      </c>
      <c r="AI235" s="409">
        <v>46399</v>
      </c>
      <c r="AJ235" s="409">
        <v>46415</v>
      </c>
      <c r="AK235" s="410">
        <v>17.1428571428571</v>
      </c>
      <c r="AL235" s="409"/>
      <c r="AM235" s="409">
        <f>X235+AL236</f>
        <v>46385</v>
      </c>
      <c r="AN235" s="409"/>
      <c r="AO235" s="409"/>
      <c r="AP235" s="409"/>
      <c r="AQ235" s="409"/>
      <c r="AR235" s="409">
        <f>AN236-AM235</f>
        <v>54</v>
      </c>
      <c r="AS235" s="411"/>
      <c r="AT235" s="412" t="s">
        <v>62</v>
      </c>
      <c r="AU235" s="413">
        <v>46446</v>
      </c>
    </row>
    <row r="236" spans="1:48" s="268" customFormat="1" ht="25.05" customHeight="1">
      <c r="A236" s="399"/>
      <c r="B236" s="310" t="s">
        <v>272</v>
      </c>
      <c r="C236" s="400" t="s">
        <v>273</v>
      </c>
      <c r="D236" s="414"/>
      <c r="E236" s="402"/>
      <c r="F236" s="414"/>
      <c r="G236" s="404">
        <v>43</v>
      </c>
      <c r="H236" s="405" t="s">
        <v>255</v>
      </c>
      <c r="I236" s="404" t="s">
        <v>83</v>
      </c>
      <c r="J236" s="400"/>
      <c r="K236" s="400"/>
      <c r="L236" s="400"/>
      <c r="M236" s="407" t="s">
        <v>65</v>
      </c>
      <c r="N236" s="409">
        <v>46208</v>
      </c>
      <c r="O236" s="409">
        <v>46223</v>
      </c>
      <c r="P236" s="409">
        <v>46239</v>
      </c>
      <c r="Q236" s="409">
        <v>46239</v>
      </c>
      <c r="R236" s="409">
        <v>46239</v>
      </c>
      <c r="S236" s="409">
        <v>46239</v>
      </c>
      <c r="T236" s="409">
        <v>46246</v>
      </c>
      <c r="U236" s="409">
        <v>46255</v>
      </c>
      <c r="V236" s="409">
        <v>46269</v>
      </c>
      <c r="W236" s="409"/>
      <c r="X236" s="409">
        <v>46276</v>
      </c>
      <c r="Y236" s="409">
        <v>46280</v>
      </c>
      <c r="Z236" s="409">
        <v>46287</v>
      </c>
      <c r="AA236" s="409">
        <v>46309</v>
      </c>
      <c r="AB236" s="409">
        <v>46324</v>
      </c>
      <c r="AC236" s="409">
        <v>46331</v>
      </c>
      <c r="AD236" s="409">
        <v>46331</v>
      </c>
      <c r="AE236" s="409">
        <v>46333</v>
      </c>
      <c r="AF236" s="409">
        <v>46382</v>
      </c>
      <c r="AG236" s="409">
        <v>46389</v>
      </c>
      <c r="AH236" s="409">
        <v>46396</v>
      </c>
      <c r="AI236" s="409">
        <v>46410</v>
      </c>
      <c r="AJ236" s="409">
        <v>46426</v>
      </c>
      <c r="AK236" s="409"/>
      <c r="AL236" s="404">
        <f>AK235*7</f>
        <v>119.9999999999997</v>
      </c>
      <c r="AM236" s="409">
        <f>IF(X236&lt;&gt;"",X236+AL236,X237+AL236)</f>
        <v>46396</v>
      </c>
      <c r="AN236" s="409">
        <f>AU235-7</f>
        <v>46439</v>
      </c>
      <c r="AO236" s="409">
        <f>AP236-7</f>
        <v>46436</v>
      </c>
      <c r="AP236" s="409">
        <v>46443</v>
      </c>
      <c r="AQ236" s="409"/>
      <c r="AR236" s="409">
        <f>AN236-AM236</f>
        <v>43</v>
      </c>
      <c r="AS236" s="411"/>
      <c r="AT236" s="412" t="s">
        <v>66</v>
      </c>
      <c r="AU236" s="413">
        <v>46446</v>
      </c>
    </row>
    <row r="237" spans="1:48" s="268" customFormat="1" ht="25.05" customHeight="1">
      <c r="A237" s="415"/>
      <c r="B237" s="328" t="s">
        <v>272</v>
      </c>
      <c r="C237" s="420" t="s">
        <v>273</v>
      </c>
      <c r="D237" s="417"/>
      <c r="E237" s="418"/>
      <c r="F237" s="417"/>
      <c r="G237" s="416"/>
      <c r="H237" s="419"/>
      <c r="I237" s="416" t="s">
        <v>83</v>
      </c>
      <c r="J237" s="420"/>
      <c r="K237" s="400"/>
      <c r="L237" s="420"/>
      <c r="M237" s="421" t="s">
        <v>67</v>
      </c>
      <c r="N237" s="416"/>
      <c r="O237" s="422">
        <v>46227</v>
      </c>
      <c r="P237" s="422"/>
      <c r="Q237" s="422"/>
      <c r="R237" s="422"/>
      <c r="S237" s="422"/>
      <c r="T237" s="422"/>
      <c r="U237" s="422"/>
      <c r="V237" s="422"/>
      <c r="W237" s="422"/>
      <c r="X237" s="416"/>
      <c r="Y237" s="422"/>
      <c r="Z237" s="422"/>
      <c r="AA237" s="422"/>
      <c r="AB237" s="422"/>
      <c r="AC237" s="422"/>
      <c r="AD237" s="422"/>
      <c r="AE237" s="422"/>
      <c r="AF237" s="422"/>
      <c r="AG237" s="422"/>
      <c r="AH237" s="422"/>
      <c r="AI237" s="422"/>
      <c r="AJ237" s="422"/>
      <c r="AK237" s="422"/>
      <c r="AL237" s="422"/>
      <c r="AM237" s="422"/>
      <c r="AN237" s="422"/>
      <c r="AO237" s="422"/>
      <c r="AP237" s="422"/>
      <c r="AQ237" s="422"/>
      <c r="AR237" s="422"/>
      <c r="AS237" s="423"/>
      <c r="AT237" s="424"/>
      <c r="AU237" s="423"/>
    </row>
    <row r="238" spans="1:48" s="264" customFormat="1" ht="25.05" customHeight="1">
      <c r="A238" s="309">
        <v>77</v>
      </c>
      <c r="B238" s="310" t="s">
        <v>274</v>
      </c>
      <c r="C238" s="310" t="s">
        <v>275</v>
      </c>
      <c r="D238" s="361"/>
      <c r="E238" s="312"/>
      <c r="F238" s="362"/>
      <c r="G238" s="314"/>
      <c r="H238" s="315"/>
      <c r="I238" s="314" t="s">
        <v>119</v>
      </c>
      <c r="J238" s="310"/>
      <c r="K238" s="316"/>
      <c r="L238" s="310" t="s">
        <v>9</v>
      </c>
      <c r="M238" s="317" t="s">
        <v>61</v>
      </c>
      <c r="N238" s="318"/>
      <c r="O238" s="319">
        <v>46237</v>
      </c>
      <c r="P238" s="319">
        <v>46252</v>
      </c>
      <c r="Q238" s="319">
        <v>46252</v>
      </c>
      <c r="R238" s="319">
        <v>46252</v>
      </c>
      <c r="S238" s="319">
        <v>46252</v>
      </c>
      <c r="T238" s="319">
        <v>46259</v>
      </c>
      <c r="U238" s="319">
        <v>46268</v>
      </c>
      <c r="V238" s="319">
        <v>46282</v>
      </c>
      <c r="W238" s="319"/>
      <c r="X238" s="319">
        <v>46289</v>
      </c>
      <c r="Y238" s="319">
        <v>46294</v>
      </c>
      <c r="Z238" s="319">
        <v>46308</v>
      </c>
      <c r="AA238" s="319">
        <v>46322</v>
      </c>
      <c r="AB238" s="319">
        <v>46336</v>
      </c>
      <c r="AC238" s="319">
        <v>46346</v>
      </c>
      <c r="AD238" s="319">
        <v>46346</v>
      </c>
      <c r="AE238" s="319">
        <v>46348</v>
      </c>
      <c r="AF238" s="319">
        <v>46373</v>
      </c>
      <c r="AG238" s="319">
        <v>46380</v>
      </c>
      <c r="AH238" s="319">
        <v>46387</v>
      </c>
      <c r="AI238" s="319">
        <v>46401</v>
      </c>
      <c r="AJ238" s="319">
        <v>46417</v>
      </c>
      <c r="AK238" s="320">
        <v>14</v>
      </c>
      <c r="AL238" s="321"/>
      <c r="AM238" s="319">
        <f>X238+AL239</f>
        <v>46387</v>
      </c>
      <c r="AN238" s="348">
        <f>AM238-AH238</f>
        <v>0</v>
      </c>
      <c r="AO238" s="322"/>
      <c r="AP238" s="322"/>
      <c r="AQ238" s="322"/>
      <c r="AR238" s="314">
        <f>AN239-AM238</f>
        <v>131</v>
      </c>
      <c r="AS238" s="323"/>
      <c r="AT238" s="324" t="s">
        <v>62</v>
      </c>
      <c r="AU238" s="325">
        <v>46525</v>
      </c>
    </row>
    <row r="239" spans="1:48" s="264" customFormat="1" ht="25.05" customHeight="1">
      <c r="A239" s="309"/>
      <c r="B239" s="310" t="s">
        <v>274</v>
      </c>
      <c r="C239" s="310" t="s">
        <v>275</v>
      </c>
      <c r="D239" s="363"/>
      <c r="E239" s="312"/>
      <c r="F239" s="363"/>
      <c r="G239" s="314">
        <v>148</v>
      </c>
      <c r="H239" s="315" t="s">
        <v>276</v>
      </c>
      <c r="I239" s="314" t="s">
        <v>119</v>
      </c>
      <c r="J239" s="310" t="s">
        <v>72</v>
      </c>
      <c r="K239" s="310">
        <v>3</v>
      </c>
      <c r="L239" s="310" t="s">
        <v>9</v>
      </c>
      <c r="M239" s="317" t="s">
        <v>65</v>
      </c>
      <c r="N239" s="319">
        <v>46221</v>
      </c>
      <c r="O239" s="319">
        <v>46237</v>
      </c>
      <c r="P239" s="319">
        <f>WORKDAY.INTL(O239,INDEX(P$8:P$11,MATCH($L239,$L$8:$L$11,0)),1,IF(P$18="China",'China Holidays'!$A$2:$A$82,'Thai Holidays'!$A$2:$A$63))</f>
        <v>46252</v>
      </c>
      <c r="Q239" s="319">
        <f>WORKDAY.INTL(P239,INDEX(Q$8:Q$11,MATCH($L239,$L$8:$L$11,0)),1,IF(Q$18="China",'China Holidays'!$A$2:$A$82,'Thai Holidays'!$A$2:$A$63))</f>
        <v>46252</v>
      </c>
      <c r="R239" s="319">
        <f>WORKDAY.INTL(Q239,INDEX(R$8:R$11,MATCH($L239,$L$8:$L$11,0)),1,IF(R$18="China",'China Holidays'!$A$2:$A$82,'Thai Holidays'!$A$2:$A$63))</f>
        <v>46252</v>
      </c>
      <c r="S239" s="319">
        <f>WORKDAY.INTL(R239,INDEX(S$8:S$11,MATCH($L239,$L$8:$L$11,0)),1,IF(S$18="China",'China Holidays'!$A$2:$A$82,'Thai Holidays'!$A$2:$A$63))</f>
        <v>46252</v>
      </c>
      <c r="T239" s="319">
        <f>WORKDAY.INTL(S239,INDEX(T$8:T$11,MATCH($L239,$L$8:$L$11,0)),1,IF(T$18="China",'China Holidays'!$A$2:$A$82,'Thai Holidays'!$A$2:$A$63))</f>
        <v>46259</v>
      </c>
      <c r="U239" s="319">
        <f>WORKDAY.INTL(T239,INDEX(U$8:U$11,MATCH($L239,$L$8:$L$11,0)),1,IF(U$18="China",'China Holidays'!$A$2:$A$82,'Thai Holidays'!$A$2:$A$63))</f>
        <v>46268</v>
      </c>
      <c r="V239" s="319">
        <f>WORKDAY.INTL(U239,INDEX(V$8:V$11,MATCH($L239,$L$8:$L$11,0)),1,IF(V$18="China",'China Holidays'!$A$2:$A$82,'Thai Holidays'!$A$2:$A$63))</f>
        <v>46282</v>
      </c>
      <c r="W239" s="319"/>
      <c r="X239" s="319">
        <f>WORKDAY.INTL(V239,INDEX(X$8:X$11,MATCH($L239,$L$8:$L$11,0)),1,IF(X$18="China",'China Holidays'!$A$2:$A$82,'Thai Holidays'!$A$2:$A$63))</f>
        <v>46289</v>
      </c>
      <c r="Y239" s="319">
        <f>WORKDAY.INTL(X239,INDEX(Y$12:Y$15,MATCH($L239,$L$12:$L$15,0)),1,IF(Y$18="China",'China Holidays'!$A$2:$A$82,'Thai Holidays'!$A$2:$A$63))</f>
        <v>46294</v>
      </c>
      <c r="Z239" s="319">
        <f>WORKDAY.INTL(Y239,INDEX(Z$12:Z$15,MATCH($L239,$L$12:$L$15,0)),1,IF(Z$18="China",'China Holidays'!$A$2:$A$82,'Thai Holidays'!$A$2:$A$63))</f>
        <v>46308</v>
      </c>
      <c r="AA239" s="319">
        <f>WORKDAY.INTL(Z239,INDEX(AA$12:AA$15,MATCH($L239,$L$12:$L$15,0)),1,IF(AA$18="China",'China Holidays'!$A$2:$A$82,'Thai Holidays'!$A$2:$A$63))</f>
        <v>46322</v>
      </c>
      <c r="AB239" s="319">
        <f>WORKDAY.INTL(AA239,INDEX(AB$12:AB$15,MATCH($L239,$L$12:$L$15,0)),1,IF(AB$18="China",'China Holidays'!$A$2:$A$82,'Thai Holidays'!$A$2:$A$63))</f>
        <v>46336</v>
      </c>
      <c r="AC239" s="319">
        <f>AB239+10</f>
        <v>46346</v>
      </c>
      <c r="AD239" s="319">
        <f>AC239</f>
        <v>46346</v>
      </c>
      <c r="AE239" s="319">
        <f>AD239+2</f>
        <v>46348</v>
      </c>
      <c r="AF239" s="319">
        <f>AG239-7</f>
        <v>46373</v>
      </c>
      <c r="AG239" s="319">
        <f>AH239-7</f>
        <v>46380</v>
      </c>
      <c r="AH239" s="319">
        <f>AM239</f>
        <v>46387</v>
      </c>
      <c r="AI239" s="319">
        <f>AM239+14</f>
        <v>46401</v>
      </c>
      <c r="AJ239" s="319">
        <f>AM239+30</f>
        <v>46417</v>
      </c>
      <c r="AK239" s="343"/>
      <c r="AL239" s="321">
        <f>AK238*7</f>
        <v>98</v>
      </c>
      <c r="AM239" s="319">
        <f>IF(X239&lt;&gt;"",X239+AL239,X240+AL239)</f>
        <v>46387</v>
      </c>
      <c r="AN239" s="322">
        <f>AU238-7</f>
        <v>46518</v>
      </c>
      <c r="AO239" s="322">
        <f>AP239-7</f>
        <v>46508</v>
      </c>
      <c r="AP239" s="322">
        <v>46515</v>
      </c>
      <c r="AQ239" s="322"/>
      <c r="AR239" s="314">
        <f>AN239-AM239</f>
        <v>131</v>
      </c>
      <c r="AS239" s="323"/>
      <c r="AT239" s="324" t="s">
        <v>66</v>
      </c>
      <c r="AU239" s="325">
        <v>46538</v>
      </c>
      <c r="AV239" s="265"/>
    </row>
    <row r="240" spans="1:48" s="264" customFormat="1" ht="25.05" customHeight="1">
      <c r="A240" s="327"/>
      <c r="B240" s="328" t="s">
        <v>274</v>
      </c>
      <c r="C240" s="328" t="s">
        <v>275</v>
      </c>
      <c r="D240" s="364"/>
      <c r="E240" s="330"/>
      <c r="F240" s="364"/>
      <c r="G240" s="332"/>
      <c r="H240" s="333"/>
      <c r="I240" s="332" t="s">
        <v>119</v>
      </c>
      <c r="J240" s="328" t="s">
        <v>72</v>
      </c>
      <c r="K240" s="310">
        <v>3</v>
      </c>
      <c r="L240" s="328" t="s">
        <v>9</v>
      </c>
      <c r="M240" s="334" t="s">
        <v>67</v>
      </c>
      <c r="N240" s="335"/>
      <c r="O240" s="335"/>
      <c r="P240" s="335"/>
      <c r="Q240" s="335"/>
      <c r="R240" s="335"/>
      <c r="S240" s="335"/>
      <c r="T240" s="335"/>
      <c r="U240" s="335"/>
      <c r="V240" s="335"/>
      <c r="W240" s="335"/>
      <c r="X240" s="332"/>
      <c r="Y240" s="335"/>
      <c r="Z240" s="335"/>
      <c r="AA240" s="335"/>
      <c r="AB240" s="335"/>
      <c r="AC240" s="335"/>
      <c r="AD240" s="335"/>
      <c r="AE240" s="335"/>
      <c r="AF240" s="335"/>
      <c r="AG240" s="335"/>
      <c r="AH240" s="335"/>
      <c r="AI240" s="335"/>
      <c r="AJ240" s="335"/>
      <c r="AK240" s="336"/>
      <c r="AL240" s="337"/>
      <c r="AM240" s="335"/>
      <c r="AN240" s="338"/>
      <c r="AO240" s="338"/>
      <c r="AP240" s="338"/>
      <c r="AQ240" s="338"/>
      <c r="AR240" s="332"/>
      <c r="AS240" s="339"/>
      <c r="AT240" s="340"/>
      <c r="AU240" s="339"/>
    </row>
    <row r="241" spans="1:48" s="264" customFormat="1" ht="25.05" customHeight="1">
      <c r="A241" s="309">
        <v>78</v>
      </c>
      <c r="B241" s="310" t="s">
        <v>277</v>
      </c>
      <c r="C241" s="310" t="s">
        <v>278</v>
      </c>
      <c r="D241" s="361"/>
      <c r="E241" s="312"/>
      <c r="F241" s="362"/>
      <c r="G241" s="314"/>
      <c r="H241" s="315"/>
      <c r="I241" s="314" t="s">
        <v>119</v>
      </c>
      <c r="J241" s="310"/>
      <c r="K241" s="316"/>
      <c r="L241" s="310" t="s">
        <v>9</v>
      </c>
      <c r="M241" s="317" t="s">
        <v>61</v>
      </c>
      <c r="N241" s="318"/>
      <c r="O241" s="319">
        <v>46269</v>
      </c>
      <c r="P241" s="319">
        <v>46283</v>
      </c>
      <c r="Q241" s="319">
        <v>46283</v>
      </c>
      <c r="R241" s="319">
        <v>46283</v>
      </c>
      <c r="S241" s="319">
        <v>46283</v>
      </c>
      <c r="T241" s="319">
        <v>46293</v>
      </c>
      <c r="U241" s="319">
        <v>46302</v>
      </c>
      <c r="V241" s="319">
        <v>46317</v>
      </c>
      <c r="W241" s="319"/>
      <c r="X241" s="319">
        <v>46324</v>
      </c>
      <c r="Y241" s="319">
        <v>46328</v>
      </c>
      <c r="Z241" s="319">
        <v>46335</v>
      </c>
      <c r="AA241" s="319">
        <v>46349</v>
      </c>
      <c r="AB241" s="319">
        <v>46364</v>
      </c>
      <c r="AC241" s="319">
        <v>46374</v>
      </c>
      <c r="AD241" s="319">
        <v>46374</v>
      </c>
      <c r="AE241" s="319">
        <v>46376</v>
      </c>
      <c r="AF241" s="319">
        <v>46415</v>
      </c>
      <c r="AG241" s="319">
        <v>46422</v>
      </c>
      <c r="AH241" s="319">
        <v>46429</v>
      </c>
      <c r="AI241" s="319">
        <v>46443</v>
      </c>
      <c r="AJ241" s="319">
        <v>46459</v>
      </c>
      <c r="AK241" s="320">
        <v>15</v>
      </c>
      <c r="AL241" s="321"/>
      <c r="AM241" s="319">
        <f>X241+AL242</f>
        <v>46429</v>
      </c>
      <c r="AN241" s="322"/>
      <c r="AO241" s="322"/>
      <c r="AP241" s="322"/>
      <c r="AQ241" s="322"/>
      <c r="AR241" s="314">
        <f>AN242-AM241</f>
        <v>19</v>
      </c>
      <c r="AS241" s="323"/>
      <c r="AT241" s="324" t="s">
        <v>62</v>
      </c>
      <c r="AU241" s="325">
        <v>46455</v>
      </c>
    </row>
    <row r="242" spans="1:48" s="264" customFormat="1" ht="25.05" customHeight="1">
      <c r="A242" s="309"/>
      <c r="B242" s="310" t="s">
        <v>277</v>
      </c>
      <c r="C242" s="310" t="s">
        <v>278</v>
      </c>
      <c r="D242" s="363"/>
      <c r="E242" s="312"/>
      <c r="F242" s="363"/>
      <c r="G242" s="314">
        <v>34</v>
      </c>
      <c r="H242" s="315" t="s">
        <v>276</v>
      </c>
      <c r="I242" s="314" t="s">
        <v>119</v>
      </c>
      <c r="J242" s="310" t="s">
        <v>64</v>
      </c>
      <c r="K242" s="310">
        <v>3</v>
      </c>
      <c r="L242" s="310" t="s">
        <v>9</v>
      </c>
      <c r="M242" s="317" t="s">
        <v>65</v>
      </c>
      <c r="N242" s="319">
        <v>46254</v>
      </c>
      <c r="O242" s="319">
        <v>46269</v>
      </c>
      <c r="P242" s="319">
        <f>WORKDAY.INTL(O242,INDEX(P$8:P$11,MATCH($L242,$L$8:$L$11,0)),1,IF(P$18="China",'China Holidays'!$A$2:$A$82,'Thai Holidays'!$A$2:$A$63))</f>
        <v>46283</v>
      </c>
      <c r="Q242" s="319">
        <f>WORKDAY.INTL(P242,INDEX(Q$8:Q$11,MATCH($L242,$L$8:$L$11,0)),1,IF(Q$18="China",'China Holidays'!$A$2:$A$82,'Thai Holidays'!$A$2:$A$63))</f>
        <v>46283</v>
      </c>
      <c r="R242" s="319">
        <f>WORKDAY.INTL(Q242,INDEX(R$8:R$11,MATCH($L242,$L$8:$L$11,0)),1,IF(R$18="China",'China Holidays'!$A$2:$A$82,'Thai Holidays'!$A$2:$A$63))</f>
        <v>46283</v>
      </c>
      <c r="S242" s="319">
        <f>WORKDAY.INTL(R242,INDEX(S$8:S$11,MATCH($L242,$L$8:$L$11,0)),1,IF(S$18="China",'China Holidays'!$A$2:$A$82,'Thai Holidays'!$A$2:$A$63))</f>
        <v>46283</v>
      </c>
      <c r="T242" s="319">
        <f>WORKDAY.INTL(S242,INDEX(T$8:T$11,MATCH($L242,$L$8:$L$11,0)),1,IF(T$18="China",'China Holidays'!$A$2:$A$82,'Thai Holidays'!$A$2:$A$63))</f>
        <v>46293</v>
      </c>
      <c r="U242" s="319">
        <f>WORKDAY.INTL(T242,INDEX(U$8:U$11,MATCH($L242,$L$8:$L$11,0)),1,IF(U$18="China",'China Holidays'!$A$2:$A$82,'Thai Holidays'!$A$2:$A$63))</f>
        <v>46302</v>
      </c>
      <c r="V242" s="319">
        <f>WORKDAY.INTL(U242,INDEX(V$8:V$11,MATCH($L242,$L$8:$L$11,0)),1,IF(V$18="China",'China Holidays'!$A$2:$A$82,'Thai Holidays'!$A$2:$A$63))</f>
        <v>46317</v>
      </c>
      <c r="W242" s="319"/>
      <c r="X242" s="319">
        <f>WORKDAY.INTL(V242,INDEX(X$8:X$11,MATCH($L242,$L$8:$L$11,0)),1,IF(X$18="China",'China Holidays'!$A$2:$A$82,'Thai Holidays'!$A$2:$A$63))</f>
        <v>46324</v>
      </c>
      <c r="Y242" s="319">
        <f>WORKDAY.INTL(X242,INDEX(Y$12:Y$15,MATCH($L242,$L$12:$L$15,0)),1,IF(Y$18="China",'China Holidays'!$A$2:$A$82,'Thai Holidays'!$A$2:$A$63))</f>
        <v>46328</v>
      </c>
      <c r="Z242" s="319">
        <f>WORKDAY.INTL(Y242,INDEX(Z$12:Z$15,MATCH($L242,$L$12:$L$15,0)),1,IF(Z$18="China",'China Holidays'!$A$2:$A$82,'Thai Holidays'!$A$2:$A$63))</f>
        <v>46335</v>
      </c>
      <c r="AA242" s="319">
        <f>WORKDAY.INTL(Z242,INDEX(AA$12:AA$15,MATCH($L242,$L$12:$L$15,0)),1,IF(AA$18="China",'China Holidays'!$A$2:$A$82,'Thai Holidays'!$A$2:$A$63))</f>
        <v>46349</v>
      </c>
      <c r="AB242" s="319">
        <f>WORKDAY.INTL(AA242,INDEX(AB$12:AB$15,MATCH($L242,$L$12:$L$15,0)),1,IF(AB$18="China",'China Holidays'!$A$2:$A$82,'Thai Holidays'!$A$2:$A$63))</f>
        <v>46364</v>
      </c>
      <c r="AC242" s="319">
        <f>AB242+10</f>
        <v>46374</v>
      </c>
      <c r="AD242" s="319">
        <f>AC242</f>
        <v>46374</v>
      </c>
      <c r="AE242" s="319">
        <f>AD242+2</f>
        <v>46376</v>
      </c>
      <c r="AF242" s="319">
        <f>AG242-7</f>
        <v>46415</v>
      </c>
      <c r="AG242" s="319">
        <f>AH242-7</f>
        <v>46422</v>
      </c>
      <c r="AH242" s="319">
        <f>AM242</f>
        <v>46429</v>
      </c>
      <c r="AI242" s="319">
        <f>AM242+14</f>
        <v>46443</v>
      </c>
      <c r="AJ242" s="319">
        <f>AM242+30</f>
        <v>46459</v>
      </c>
      <c r="AK242" s="343"/>
      <c r="AL242" s="321">
        <f>AK241*7</f>
        <v>105</v>
      </c>
      <c r="AM242" s="319">
        <f>IF(X242&lt;&gt;"",X242+AL242,X243+AL242)</f>
        <v>46429</v>
      </c>
      <c r="AN242" s="322">
        <f>AU241-7</f>
        <v>46448</v>
      </c>
      <c r="AO242" s="322">
        <f>AP242-7</f>
        <v>46438</v>
      </c>
      <c r="AP242" s="322">
        <v>46445</v>
      </c>
      <c r="AQ242" s="322" t="s">
        <v>279</v>
      </c>
      <c r="AR242" s="314">
        <f>AN242-AM242</f>
        <v>19</v>
      </c>
      <c r="AS242" s="323"/>
      <c r="AT242" s="324" t="s">
        <v>66</v>
      </c>
      <c r="AU242" s="325">
        <v>46466</v>
      </c>
      <c r="AV242" s="265"/>
    </row>
    <row r="243" spans="1:48" s="264" customFormat="1" ht="25.05" customHeight="1">
      <c r="A243" s="327"/>
      <c r="B243" s="328" t="s">
        <v>277</v>
      </c>
      <c r="C243" s="328" t="s">
        <v>278</v>
      </c>
      <c r="D243" s="364"/>
      <c r="E243" s="330"/>
      <c r="F243" s="364"/>
      <c r="G243" s="332"/>
      <c r="H243" s="333"/>
      <c r="I243" s="332" t="s">
        <v>119</v>
      </c>
      <c r="J243" s="328" t="s">
        <v>64</v>
      </c>
      <c r="K243" s="310">
        <v>3</v>
      </c>
      <c r="L243" s="328" t="s">
        <v>9</v>
      </c>
      <c r="M243" s="334" t="s">
        <v>67</v>
      </c>
      <c r="N243" s="335"/>
      <c r="O243" s="335"/>
      <c r="P243" s="335"/>
      <c r="Q243" s="335"/>
      <c r="R243" s="335"/>
      <c r="S243" s="335"/>
      <c r="T243" s="335"/>
      <c r="U243" s="335"/>
      <c r="V243" s="335"/>
      <c r="W243" s="335"/>
      <c r="X243" s="332"/>
      <c r="Y243" s="335"/>
      <c r="Z243" s="335"/>
      <c r="AA243" s="335"/>
      <c r="AB243" s="335"/>
      <c r="AC243" s="335"/>
      <c r="AD243" s="335"/>
      <c r="AE243" s="335"/>
      <c r="AF243" s="335"/>
      <c r="AG243" s="335"/>
      <c r="AH243" s="335"/>
      <c r="AI243" s="335"/>
      <c r="AJ243" s="335"/>
      <c r="AK243" s="336"/>
      <c r="AL243" s="337"/>
      <c r="AM243" s="335"/>
      <c r="AN243" s="338"/>
      <c r="AO243" s="338"/>
      <c r="AP243" s="338"/>
      <c r="AQ243" s="338"/>
      <c r="AR243" s="332"/>
      <c r="AS243" s="339"/>
      <c r="AT243" s="340"/>
      <c r="AU243" s="339"/>
    </row>
    <row r="244" spans="1:48" s="264" customFormat="1" ht="25.05" customHeight="1">
      <c r="A244" s="309">
        <v>79</v>
      </c>
      <c r="B244" s="310" t="s">
        <v>280</v>
      </c>
      <c r="C244" s="310" t="s">
        <v>281</v>
      </c>
      <c r="D244" s="361"/>
      <c r="E244" s="312"/>
      <c r="F244" s="362"/>
      <c r="G244" s="314"/>
      <c r="H244" s="315"/>
      <c r="I244" s="314" t="s">
        <v>119</v>
      </c>
      <c r="J244" s="310"/>
      <c r="K244" s="316"/>
      <c r="L244" s="310" t="s">
        <v>9</v>
      </c>
      <c r="M244" s="317" t="s">
        <v>61</v>
      </c>
      <c r="N244" s="318"/>
      <c r="O244" s="319">
        <v>46269</v>
      </c>
      <c r="P244" s="319">
        <v>46283</v>
      </c>
      <c r="Q244" s="319">
        <v>46283</v>
      </c>
      <c r="R244" s="319">
        <v>46302</v>
      </c>
      <c r="S244" s="319">
        <v>46317</v>
      </c>
      <c r="T244" s="319">
        <v>46324</v>
      </c>
      <c r="U244" s="319">
        <v>46302</v>
      </c>
      <c r="V244" s="319">
        <v>46317</v>
      </c>
      <c r="W244" s="319"/>
      <c r="X244" s="319">
        <v>46324</v>
      </c>
      <c r="Y244" s="319">
        <v>46400</v>
      </c>
      <c r="Z244" s="319">
        <v>46407</v>
      </c>
      <c r="AA244" s="319">
        <v>46349</v>
      </c>
      <c r="AB244" s="319">
        <v>46364</v>
      </c>
      <c r="AC244" s="319">
        <v>46374</v>
      </c>
      <c r="AD244" s="319">
        <v>46312</v>
      </c>
      <c r="AE244" s="319">
        <v>46314</v>
      </c>
      <c r="AF244" s="319">
        <v>46400</v>
      </c>
      <c r="AG244" s="319">
        <v>46407</v>
      </c>
      <c r="AH244" s="319">
        <v>46414</v>
      </c>
      <c r="AI244" s="319">
        <v>46428</v>
      </c>
      <c r="AJ244" s="319">
        <v>46444</v>
      </c>
      <c r="AK244" s="320">
        <v>12.8571428571429</v>
      </c>
      <c r="AL244" s="321"/>
      <c r="AM244" s="319">
        <f>X244+AL245</f>
        <v>46414</v>
      </c>
      <c r="AN244" s="322"/>
      <c r="AO244" s="322"/>
      <c r="AP244" s="322"/>
      <c r="AQ244" s="322"/>
      <c r="AR244" s="314">
        <f>AN245-AM244</f>
        <v>84</v>
      </c>
      <c r="AS244" s="323"/>
      <c r="AT244" s="324" t="s">
        <v>62</v>
      </c>
      <c r="AU244" s="325">
        <v>46505</v>
      </c>
    </row>
    <row r="245" spans="1:48" s="264" customFormat="1" ht="25.05" customHeight="1">
      <c r="A245" s="309"/>
      <c r="B245" s="310" t="s">
        <v>280</v>
      </c>
      <c r="C245" s="310" t="s">
        <v>281</v>
      </c>
      <c r="D245" s="363"/>
      <c r="E245" s="312"/>
      <c r="F245" s="363"/>
      <c r="G245" s="314">
        <v>143</v>
      </c>
      <c r="H245" s="315" t="s">
        <v>127</v>
      </c>
      <c r="I245" s="314" t="s">
        <v>119</v>
      </c>
      <c r="J245" s="310" t="s">
        <v>72</v>
      </c>
      <c r="K245" s="310">
        <v>3</v>
      </c>
      <c r="L245" s="310" t="s">
        <v>9</v>
      </c>
      <c r="M245" s="317" t="s">
        <v>65</v>
      </c>
      <c r="N245" s="319">
        <v>46208</v>
      </c>
      <c r="O245" s="319">
        <v>46269</v>
      </c>
      <c r="P245" s="319">
        <f>WORKDAY.INTL(O245,INDEX(P$8:P$11,MATCH($L245,$L$8:$L$11,0)),1,IF(P$18="China",'China Holidays'!$A$2:$A$82,'Thai Holidays'!$A$2:$A$63))</f>
        <v>46283</v>
      </c>
      <c r="Q245" s="319">
        <f>WORKDAY.INTL(P245,INDEX(Q$8:Q$11,MATCH($L245,$L$8:$L$11,0)),1,IF(Q$18="China",'China Holidays'!$A$2:$A$82,'Thai Holidays'!$A$2:$A$63))</f>
        <v>46283</v>
      </c>
      <c r="R245" s="319">
        <f>WORKDAY.INTL(Q245,INDEX(R$8:R$11,MATCH($L245,$L$8:$L$11,0)),1,IF(R$18="China",'China Holidays'!$A$2:$A$82,'Thai Holidays'!$A$2:$A$63))</f>
        <v>46283</v>
      </c>
      <c r="S245" s="319">
        <f>WORKDAY.INTL(R245,INDEX(S$8:S$11,MATCH($L245,$L$8:$L$11,0)),1,IF(S$18="China",'China Holidays'!$A$2:$A$82,'Thai Holidays'!$A$2:$A$63))</f>
        <v>46283</v>
      </c>
      <c r="T245" s="319">
        <f>WORKDAY.INTL(S245,INDEX(T$8:T$11,MATCH($L245,$L$8:$L$11,0)),1,IF(T$18="China",'China Holidays'!$A$2:$A$82,'Thai Holidays'!$A$2:$A$63))</f>
        <v>46293</v>
      </c>
      <c r="U245" s="319">
        <f>WORKDAY.INTL(T245,INDEX(U$8:U$11,MATCH($L245,$L$8:$L$11,0)),1,IF(U$18="China",'China Holidays'!$A$2:$A$82,'Thai Holidays'!$A$2:$A$63))</f>
        <v>46302</v>
      </c>
      <c r="V245" s="319">
        <f>WORKDAY.INTL(U245,INDEX(V$8:V$11,MATCH($L245,$L$8:$L$11,0)),1,IF(V$18="China",'China Holidays'!$A$2:$A$82,'Thai Holidays'!$A$2:$A$63))</f>
        <v>46317</v>
      </c>
      <c r="W245" s="319"/>
      <c r="X245" s="319">
        <f>WORKDAY.INTL(V245,INDEX(X$8:X$11,MATCH($L245,$L$8:$L$11,0)),1,IF(X$18="China",'China Holidays'!$A$2:$A$82,'Thai Holidays'!$A$2:$A$63))</f>
        <v>46324</v>
      </c>
      <c r="Y245" s="319">
        <f>WORKDAY.INTL(X245,INDEX(Y$12:Y$15,MATCH($L245,$L$12:$L$15,0)),1,IF(Y$18="China",'China Holidays'!$A$2:$A$82,'Thai Holidays'!$A$2:$A$63))</f>
        <v>46328</v>
      </c>
      <c r="Z245" s="319">
        <f>WORKDAY.INTL(Y245,INDEX(Z$12:Z$15,MATCH($L245,$L$12:$L$15,0)),1,IF(Z$18="China",'China Holidays'!$A$2:$A$82,'Thai Holidays'!$A$2:$A$63))</f>
        <v>46335</v>
      </c>
      <c r="AA245" s="319">
        <f>WORKDAY.INTL(Z245,INDEX(AA$12:AA$15,MATCH($L245,$L$12:$L$15,0)),1,IF(AA$18="China",'China Holidays'!$A$2:$A$82,'Thai Holidays'!$A$2:$A$63))</f>
        <v>46349</v>
      </c>
      <c r="AB245" s="319">
        <f>WORKDAY.INTL(AA245,INDEX(AB$12:AB$15,MATCH($L245,$L$12:$L$15,0)),1,IF(AB$18="China",'China Holidays'!$A$2:$A$82,'Thai Holidays'!$A$2:$A$63))</f>
        <v>46364</v>
      </c>
      <c r="AC245" s="319">
        <f>AB245+10</f>
        <v>46374</v>
      </c>
      <c r="AD245" s="319">
        <f>AC245</f>
        <v>46374</v>
      </c>
      <c r="AE245" s="319">
        <f>AD245+2</f>
        <v>46376</v>
      </c>
      <c r="AF245" s="319">
        <f>AG245-7</f>
        <v>46400</v>
      </c>
      <c r="AG245" s="319">
        <f>AH245-7</f>
        <v>46407</v>
      </c>
      <c r="AH245" s="319">
        <f>AM245</f>
        <v>46414</v>
      </c>
      <c r="AI245" s="319">
        <f>AM245+14</f>
        <v>46428</v>
      </c>
      <c r="AJ245" s="319">
        <f>AM245+30</f>
        <v>46444</v>
      </c>
      <c r="AK245" s="343"/>
      <c r="AL245" s="321">
        <f>AK244*7</f>
        <v>90.000000000000298</v>
      </c>
      <c r="AM245" s="319">
        <f>IF(X245&lt;&gt;"",X245+AL245,X246+AL245)</f>
        <v>46414</v>
      </c>
      <c r="AN245" s="322">
        <f>AU244-7</f>
        <v>46498</v>
      </c>
      <c r="AO245" s="322">
        <f>AP245-7</f>
        <v>46530</v>
      </c>
      <c r="AP245" s="322">
        <v>46537</v>
      </c>
      <c r="AQ245" s="322"/>
      <c r="AR245" s="314">
        <f>AN245-AM245</f>
        <v>84</v>
      </c>
      <c r="AS245" s="323"/>
      <c r="AT245" s="324" t="s">
        <v>66</v>
      </c>
      <c r="AU245" s="325">
        <v>46518</v>
      </c>
      <c r="AV245" s="265"/>
    </row>
    <row r="246" spans="1:48" s="264" customFormat="1" ht="25.05" customHeight="1">
      <c r="A246" s="327"/>
      <c r="B246" s="328" t="s">
        <v>280</v>
      </c>
      <c r="C246" s="328" t="s">
        <v>281</v>
      </c>
      <c r="D246" s="364"/>
      <c r="E246" s="330"/>
      <c r="F246" s="364"/>
      <c r="G246" s="332"/>
      <c r="H246" s="333"/>
      <c r="I246" s="332" t="s">
        <v>119</v>
      </c>
      <c r="J246" s="328" t="s">
        <v>72</v>
      </c>
      <c r="K246" s="310">
        <v>3</v>
      </c>
      <c r="L246" s="328" t="s">
        <v>9</v>
      </c>
      <c r="M246" s="334" t="s">
        <v>67</v>
      </c>
      <c r="N246" s="335"/>
      <c r="O246" s="335">
        <v>46227</v>
      </c>
      <c r="P246" s="335"/>
      <c r="Q246" s="335"/>
      <c r="R246" s="335"/>
      <c r="S246" s="335"/>
      <c r="T246" s="335"/>
      <c r="U246" s="335"/>
      <c r="V246" s="335"/>
      <c r="W246" s="335"/>
      <c r="X246" s="332"/>
      <c r="Y246" s="335"/>
      <c r="Z246" s="335"/>
      <c r="AA246" s="335"/>
      <c r="AB246" s="335"/>
      <c r="AC246" s="335"/>
      <c r="AD246" s="335"/>
      <c r="AE246" s="335"/>
      <c r="AF246" s="335"/>
      <c r="AG246" s="335"/>
      <c r="AH246" s="335"/>
      <c r="AI246" s="335"/>
      <c r="AJ246" s="335"/>
      <c r="AK246" s="336"/>
      <c r="AL246" s="337"/>
      <c r="AM246" s="335"/>
      <c r="AN246" s="338"/>
      <c r="AO246" s="338"/>
      <c r="AP246" s="338"/>
      <c r="AQ246" s="338"/>
      <c r="AR246" s="332"/>
      <c r="AS246" s="339"/>
      <c r="AT246" s="340"/>
      <c r="AU246" s="339"/>
    </row>
    <row r="247" spans="1:48" s="264" customFormat="1" ht="25.05" customHeight="1">
      <c r="A247" s="309">
        <v>80</v>
      </c>
      <c r="B247" s="310" t="s">
        <v>282</v>
      </c>
      <c r="C247" s="310" t="s">
        <v>283</v>
      </c>
      <c r="D247" s="361"/>
      <c r="E247" s="312"/>
      <c r="F247" s="362"/>
      <c r="G247" s="314"/>
      <c r="H247" s="315"/>
      <c r="I247" s="314" t="s">
        <v>132</v>
      </c>
      <c r="J247" s="310"/>
      <c r="K247" s="316"/>
      <c r="L247" s="310" t="s">
        <v>9</v>
      </c>
      <c r="M247" s="317" t="s">
        <v>61</v>
      </c>
      <c r="N247" s="318"/>
      <c r="O247" s="319">
        <v>46295</v>
      </c>
      <c r="P247" s="319">
        <v>46310</v>
      </c>
      <c r="Q247" s="319">
        <v>46310</v>
      </c>
      <c r="R247" s="319">
        <v>46309</v>
      </c>
      <c r="S247" s="319">
        <v>46310</v>
      </c>
      <c r="T247" s="319">
        <v>46316</v>
      </c>
      <c r="U247" s="319">
        <v>46329</v>
      </c>
      <c r="V247" s="319">
        <v>46343</v>
      </c>
      <c r="W247" s="319"/>
      <c r="X247" s="319">
        <v>46350</v>
      </c>
      <c r="Y247" s="319">
        <v>46339</v>
      </c>
      <c r="Z247" s="319">
        <v>46346</v>
      </c>
      <c r="AA247" s="319">
        <v>46373</v>
      </c>
      <c r="AB247" s="319">
        <v>46391</v>
      </c>
      <c r="AC247" s="319">
        <v>46401</v>
      </c>
      <c r="AD247" s="319">
        <v>46387</v>
      </c>
      <c r="AE247" s="319">
        <v>46389</v>
      </c>
      <c r="AF247" s="319">
        <v>46426</v>
      </c>
      <c r="AG247" s="319">
        <v>46433</v>
      </c>
      <c r="AH247" s="319">
        <v>46440</v>
      </c>
      <c r="AI247" s="319">
        <v>46454</v>
      </c>
      <c r="AJ247" s="319">
        <v>46470</v>
      </c>
      <c r="AK247" s="320">
        <v>12.8571428571429</v>
      </c>
      <c r="AL247" s="321"/>
      <c r="AM247" s="319">
        <f>X247+AL248</f>
        <v>46440</v>
      </c>
      <c r="AN247" s="322"/>
      <c r="AO247" s="322"/>
      <c r="AP247" s="322"/>
      <c r="AQ247" s="322"/>
      <c r="AR247" s="314">
        <f>AN248-AM247</f>
        <v>8</v>
      </c>
      <c r="AS247" s="323"/>
      <c r="AT247" s="324" t="s">
        <v>62</v>
      </c>
      <c r="AU247" s="325">
        <v>46455</v>
      </c>
    </row>
    <row r="248" spans="1:48" s="264" customFormat="1" ht="25.05" customHeight="1">
      <c r="A248" s="309"/>
      <c r="B248" s="310" t="s">
        <v>282</v>
      </c>
      <c r="C248" s="310" t="s">
        <v>283</v>
      </c>
      <c r="D248" s="363"/>
      <c r="E248" s="312"/>
      <c r="F248" s="363"/>
      <c r="G248" s="314">
        <v>21</v>
      </c>
      <c r="H248" s="315" t="s">
        <v>284</v>
      </c>
      <c r="I248" s="314" t="s">
        <v>132</v>
      </c>
      <c r="J248" s="310" t="s">
        <v>72</v>
      </c>
      <c r="K248" s="310">
        <v>4</v>
      </c>
      <c r="L248" s="310" t="s">
        <v>9</v>
      </c>
      <c r="M248" s="317" t="s">
        <v>65</v>
      </c>
      <c r="N248" s="319">
        <v>46273</v>
      </c>
      <c r="O248" s="319">
        <v>46295</v>
      </c>
      <c r="P248" s="319">
        <f>WORKDAY.INTL(O248,INDEX(P$8:P$11,MATCH($L248,$L$8:$L$11,0)),1,IF(P$18="China",'China Holidays'!$A$2:$A$82,'Thai Holidays'!$A$2:$A$63))</f>
        <v>46310</v>
      </c>
      <c r="Q248" s="319">
        <f>WORKDAY.INTL(P248,INDEX(Q$8:Q$11,MATCH($L248,$L$8:$L$11,0)),1,IF(Q$18="China",'China Holidays'!$A$2:$A$82,'Thai Holidays'!$A$2:$A$63))</f>
        <v>46310</v>
      </c>
      <c r="R248" s="319">
        <f>WORKDAY.INTL(Q248,INDEX(R$8:R$11,MATCH($L248,$L$8:$L$11,0)),1,IF(R$18="China",'China Holidays'!$A$2:$A$82,'Thai Holidays'!$A$2:$A$63))</f>
        <v>46310</v>
      </c>
      <c r="S248" s="319">
        <f>WORKDAY.INTL(R248,INDEX(S$8:S$11,MATCH($L248,$L$8:$L$11,0)),1,IF(S$18="China",'China Holidays'!$A$2:$A$82,'Thai Holidays'!$A$2:$A$63))</f>
        <v>46310</v>
      </c>
      <c r="T248" s="319">
        <f>WORKDAY.INTL(S248,INDEX(T$8:T$11,MATCH($L248,$L$8:$L$11,0)),1,IF(T$18="China",'China Holidays'!$A$2:$A$82,'Thai Holidays'!$A$2:$A$63))</f>
        <v>46317</v>
      </c>
      <c r="U248" s="319">
        <f>WORKDAY.INTL(T248,INDEX(U$8:U$11,MATCH($L248,$L$8:$L$11,0)),1,IF(U$18="China",'China Holidays'!$A$2:$A$82,'Thai Holidays'!$A$2:$A$63))</f>
        <v>46329</v>
      </c>
      <c r="V248" s="319">
        <f>WORKDAY.INTL(U248,INDEX(V$8:V$11,MATCH($L248,$L$8:$L$11,0)),1,IF(V$18="China",'China Holidays'!$A$2:$A$82,'Thai Holidays'!$A$2:$A$63))</f>
        <v>46343</v>
      </c>
      <c r="W248" s="319"/>
      <c r="X248" s="319">
        <f>WORKDAY.INTL(V248,INDEX(X$8:X$11,MATCH($L248,$L$8:$L$11,0)),1,IF(X$18="China",'China Holidays'!$A$2:$A$82,'Thai Holidays'!$A$2:$A$63))</f>
        <v>46350</v>
      </c>
      <c r="Y248" s="319">
        <f>WORKDAY.INTL(X248,INDEX(Y$12:Y$15,MATCH($L248,$L$12:$L$15,0)),1,IF(Y$18="China",'China Holidays'!$A$2:$A$82,'Thai Holidays'!$A$2:$A$63))</f>
        <v>46352</v>
      </c>
      <c r="Z248" s="319">
        <f>WORKDAY.INTL(Y248,INDEX(Z$12:Z$15,MATCH($L248,$L$12:$L$15,0)),1,IF(Z$18="China",'China Holidays'!$A$2:$A$82,'Thai Holidays'!$A$2:$A$63))</f>
        <v>46359</v>
      </c>
      <c r="AA248" s="319">
        <f>WORKDAY.INTL(Z248,INDEX(AA$12:AA$15,MATCH($L248,$L$12:$L$15,0)),1,IF(AA$18="China",'China Holidays'!$A$2:$A$82,'Thai Holidays'!$A$2:$A$63))</f>
        <v>46373</v>
      </c>
      <c r="AB248" s="319">
        <f>WORKDAY.INTL(AA248,INDEX(AB$12:AB$15,MATCH($L248,$L$12:$L$15,0)),1,IF(AB$18="China",'China Holidays'!$A$2:$A$82,'Thai Holidays'!$A$2:$A$63))</f>
        <v>46391</v>
      </c>
      <c r="AC248" s="319">
        <f>AB248+10</f>
        <v>46401</v>
      </c>
      <c r="AD248" s="319">
        <f>AC248</f>
        <v>46401</v>
      </c>
      <c r="AE248" s="319">
        <f>AD248+2</f>
        <v>46403</v>
      </c>
      <c r="AF248" s="319">
        <f>AG248-7</f>
        <v>46426</v>
      </c>
      <c r="AG248" s="319">
        <f>AH248-7</f>
        <v>46433</v>
      </c>
      <c r="AH248" s="319">
        <f>AM248</f>
        <v>46440</v>
      </c>
      <c r="AI248" s="319">
        <f>AM248+14</f>
        <v>46454</v>
      </c>
      <c r="AJ248" s="319">
        <f>AM248+30</f>
        <v>46470</v>
      </c>
      <c r="AK248" s="343"/>
      <c r="AL248" s="321">
        <f>AK247*7</f>
        <v>90.000000000000298</v>
      </c>
      <c r="AM248" s="319">
        <f>IF(X248&lt;&gt;"",X248+AL248,X249+AL248)</f>
        <v>46440</v>
      </c>
      <c r="AN248" s="322">
        <f>AU247-7</f>
        <v>46448</v>
      </c>
      <c r="AO248" s="322">
        <f>AP248-7</f>
        <v>46448</v>
      </c>
      <c r="AP248" s="322">
        <v>46455</v>
      </c>
      <c r="AQ248" s="322"/>
      <c r="AR248" s="314">
        <f>AN248-AM248</f>
        <v>8</v>
      </c>
      <c r="AS248" s="323"/>
      <c r="AT248" s="324" t="s">
        <v>66</v>
      </c>
      <c r="AU248" s="325">
        <v>46466</v>
      </c>
      <c r="AV248" s="265"/>
    </row>
    <row r="249" spans="1:48" s="264" customFormat="1" ht="25.05" customHeight="1">
      <c r="A249" s="327"/>
      <c r="B249" s="328" t="s">
        <v>282</v>
      </c>
      <c r="C249" s="328" t="s">
        <v>283</v>
      </c>
      <c r="D249" s="364"/>
      <c r="E249" s="330"/>
      <c r="F249" s="364"/>
      <c r="G249" s="332"/>
      <c r="H249" s="333"/>
      <c r="I249" s="332" t="s">
        <v>132</v>
      </c>
      <c r="J249" s="328" t="s">
        <v>72</v>
      </c>
      <c r="K249" s="310">
        <v>4</v>
      </c>
      <c r="L249" s="328" t="s">
        <v>9</v>
      </c>
      <c r="M249" s="334" t="s">
        <v>67</v>
      </c>
      <c r="N249" s="335"/>
      <c r="O249" s="335"/>
      <c r="P249" s="335"/>
      <c r="Q249" s="335"/>
      <c r="R249" s="335"/>
      <c r="S249" s="335"/>
      <c r="T249" s="335"/>
      <c r="U249" s="335"/>
      <c r="V249" s="335"/>
      <c r="W249" s="335"/>
      <c r="X249" s="332"/>
      <c r="Y249" s="335"/>
      <c r="Z249" s="335"/>
      <c r="AA249" s="335"/>
      <c r="AB249" s="335"/>
      <c r="AC249" s="335"/>
      <c r="AD249" s="335"/>
      <c r="AE249" s="335"/>
      <c r="AF249" s="335"/>
      <c r="AG249" s="335"/>
      <c r="AH249" s="335"/>
      <c r="AI249" s="335"/>
      <c r="AJ249" s="335"/>
      <c r="AK249" s="336"/>
      <c r="AL249" s="337"/>
      <c r="AM249" s="335"/>
      <c r="AN249" s="338"/>
      <c r="AO249" s="338"/>
      <c r="AP249" s="338"/>
      <c r="AQ249" s="338"/>
      <c r="AR249" s="332"/>
      <c r="AS249" s="339"/>
      <c r="AT249" s="340"/>
      <c r="AU249" s="339"/>
    </row>
    <row r="250" spans="1:48" s="264" customFormat="1" ht="25.05" customHeight="1">
      <c r="A250" s="309">
        <v>81</v>
      </c>
      <c r="B250" s="310" t="s">
        <v>285</v>
      </c>
      <c r="C250" s="310" t="s">
        <v>286</v>
      </c>
      <c r="D250" s="361"/>
      <c r="E250" s="312"/>
      <c r="F250" s="362"/>
      <c r="G250" s="314"/>
      <c r="H250" s="315"/>
      <c r="I250" s="314" t="s">
        <v>132</v>
      </c>
      <c r="J250" s="310"/>
      <c r="K250" s="316"/>
      <c r="L250" s="310" t="s">
        <v>9</v>
      </c>
      <c r="M250" s="317" t="s">
        <v>61</v>
      </c>
      <c r="N250" s="318"/>
      <c r="O250" s="319">
        <v>46255</v>
      </c>
      <c r="P250" s="319">
        <v>46269</v>
      </c>
      <c r="Q250" s="319">
        <v>46269</v>
      </c>
      <c r="R250" s="319">
        <v>46268</v>
      </c>
      <c r="S250" s="319">
        <v>46269</v>
      </c>
      <c r="T250" s="319">
        <v>46275</v>
      </c>
      <c r="U250" s="319">
        <v>46287</v>
      </c>
      <c r="V250" s="319">
        <v>46301</v>
      </c>
      <c r="W250" s="319"/>
      <c r="X250" s="319">
        <v>46309</v>
      </c>
      <c r="Y250" s="319">
        <v>46307</v>
      </c>
      <c r="Z250" s="319">
        <v>46314</v>
      </c>
      <c r="AA250" s="319">
        <v>46332</v>
      </c>
      <c r="AB250" s="319">
        <v>46346</v>
      </c>
      <c r="AC250" s="319">
        <v>46356</v>
      </c>
      <c r="AD250" s="319">
        <v>46349</v>
      </c>
      <c r="AE250" s="319">
        <v>46351</v>
      </c>
      <c r="AF250" s="319">
        <v>46385</v>
      </c>
      <c r="AG250" s="319">
        <v>46392</v>
      </c>
      <c r="AH250" s="319">
        <v>46399</v>
      </c>
      <c r="AI250" s="319">
        <v>46413</v>
      </c>
      <c r="AJ250" s="319">
        <v>46429</v>
      </c>
      <c r="AK250" s="320">
        <v>12.8571428571429</v>
      </c>
      <c r="AL250" s="321"/>
      <c r="AM250" s="319">
        <f>X250+AL251</f>
        <v>46399</v>
      </c>
      <c r="AN250" s="348">
        <f>AM250-AH250</f>
        <v>0</v>
      </c>
      <c r="AO250" s="322"/>
      <c r="AP250" s="322"/>
      <c r="AQ250" s="322"/>
      <c r="AR250" s="314">
        <f>AN251-AM250</f>
        <v>132</v>
      </c>
      <c r="AS250" s="323"/>
      <c r="AT250" s="324" t="s">
        <v>62</v>
      </c>
      <c r="AU250" s="325">
        <v>46538</v>
      </c>
    </row>
    <row r="251" spans="1:48" s="264" customFormat="1" ht="25.05" customHeight="1">
      <c r="A251" s="309"/>
      <c r="B251" s="310" t="s">
        <v>285</v>
      </c>
      <c r="C251" s="310" t="s">
        <v>286</v>
      </c>
      <c r="D251" s="363"/>
      <c r="E251" s="312"/>
      <c r="F251" s="363"/>
      <c r="G251" s="314">
        <v>138</v>
      </c>
      <c r="H251" s="315" t="s">
        <v>284</v>
      </c>
      <c r="I251" s="314" t="s">
        <v>132</v>
      </c>
      <c r="J251" s="310" t="s">
        <v>72</v>
      </c>
      <c r="K251" s="310">
        <v>4</v>
      </c>
      <c r="L251" s="310" t="s">
        <v>9</v>
      </c>
      <c r="M251" s="317" t="s">
        <v>65</v>
      </c>
      <c r="N251" s="319">
        <v>46240</v>
      </c>
      <c r="O251" s="319">
        <v>46255</v>
      </c>
      <c r="P251" s="319">
        <f>WORKDAY.INTL(O251,INDEX(P$8:P$11,MATCH($L251,$L$8:$L$11,0)),1,IF(P$18="China",'China Holidays'!$A$2:$A$82,'Thai Holidays'!$A$2:$A$63))</f>
        <v>46269</v>
      </c>
      <c r="Q251" s="319">
        <f>WORKDAY.INTL(P251,INDEX(Q$8:Q$11,MATCH($L251,$L$8:$L$11,0)),1,IF(Q$18="China",'China Holidays'!$A$2:$A$82,'Thai Holidays'!$A$2:$A$63))</f>
        <v>46269</v>
      </c>
      <c r="R251" s="319">
        <f>WORKDAY.INTL(Q251,INDEX(R$8:R$11,MATCH($L251,$L$8:$L$11,0)),1,IF(R$18="China",'China Holidays'!$A$2:$A$82,'Thai Holidays'!$A$2:$A$63))</f>
        <v>46269</v>
      </c>
      <c r="S251" s="319">
        <f>WORKDAY.INTL(R251,INDEX(S$8:S$11,MATCH($L251,$L$8:$L$11,0)),1,IF(S$18="China",'China Holidays'!$A$2:$A$82,'Thai Holidays'!$A$2:$A$63))</f>
        <v>46269</v>
      </c>
      <c r="T251" s="319">
        <f>WORKDAY.INTL(S251,INDEX(T$8:T$11,MATCH($L251,$L$8:$L$11,0)),1,IF(T$18="China",'China Holidays'!$A$2:$A$82,'Thai Holidays'!$A$2:$A$63))</f>
        <v>46276</v>
      </c>
      <c r="U251" s="319">
        <f>WORKDAY.INTL(T251,INDEX(U$8:U$11,MATCH($L251,$L$8:$L$11,0)),1,IF(U$18="China",'China Holidays'!$A$2:$A$82,'Thai Holidays'!$A$2:$A$63))</f>
        <v>46287</v>
      </c>
      <c r="V251" s="319">
        <f>WORKDAY.INTL(U251,INDEX(V$8:V$11,MATCH($L251,$L$8:$L$11,0)),1,IF(V$18="China",'China Holidays'!$A$2:$A$82,'Thai Holidays'!$A$2:$A$63))</f>
        <v>46301</v>
      </c>
      <c r="W251" s="319"/>
      <c r="X251" s="319">
        <f>WORKDAY.INTL(V251,INDEX(X$8:X$11,MATCH($L251,$L$8:$L$11,0)),1,IF(X$18="China",'China Holidays'!$A$2:$A$82,'Thai Holidays'!$A$2:$A$63))</f>
        <v>46309</v>
      </c>
      <c r="Y251" s="319">
        <f>WORKDAY.INTL(X251,INDEX(Y$12:Y$15,MATCH($L251,$L$12:$L$15,0)),1,IF(Y$18="China",'China Holidays'!$A$2:$A$82,'Thai Holidays'!$A$2:$A$63))</f>
        <v>46311</v>
      </c>
      <c r="Z251" s="319">
        <f>WORKDAY.INTL(Y251,INDEX(Z$12:Z$15,MATCH($L251,$L$12:$L$15,0)),1,IF(Z$18="China",'China Holidays'!$A$2:$A$82,'Thai Holidays'!$A$2:$A$63))</f>
        <v>46318</v>
      </c>
      <c r="AA251" s="319">
        <f>WORKDAY.INTL(Z251,INDEX(AA$12:AA$15,MATCH($L251,$L$12:$L$15,0)),1,IF(AA$18="China",'China Holidays'!$A$2:$A$82,'Thai Holidays'!$A$2:$A$63))</f>
        <v>46332</v>
      </c>
      <c r="AB251" s="319">
        <f>WORKDAY.INTL(AA251,INDEX(AB$12:AB$15,MATCH($L251,$L$12:$L$15,0)),1,IF(AB$18="China",'China Holidays'!$A$2:$A$82,'Thai Holidays'!$A$2:$A$63))</f>
        <v>46346</v>
      </c>
      <c r="AC251" s="319">
        <f>AB251+10</f>
        <v>46356</v>
      </c>
      <c r="AD251" s="319">
        <f>AC251</f>
        <v>46356</v>
      </c>
      <c r="AE251" s="319">
        <f>AD251+2</f>
        <v>46358</v>
      </c>
      <c r="AF251" s="319">
        <f>AG251-7</f>
        <v>46385</v>
      </c>
      <c r="AG251" s="319">
        <f>AH251-7</f>
        <v>46392</v>
      </c>
      <c r="AH251" s="319">
        <f>AM251</f>
        <v>46399</v>
      </c>
      <c r="AI251" s="319">
        <f>AM251+14</f>
        <v>46413</v>
      </c>
      <c r="AJ251" s="319">
        <f>AM251+30</f>
        <v>46429</v>
      </c>
      <c r="AK251" s="343"/>
      <c r="AL251" s="321">
        <f>AK250*7</f>
        <v>90.000000000000298</v>
      </c>
      <c r="AM251" s="319">
        <f>IF(X251&lt;&gt;"",X251+AL251,X252+AL251)</f>
        <v>46399</v>
      </c>
      <c r="AN251" s="322">
        <f>AU250-7</f>
        <v>46531</v>
      </c>
      <c r="AO251" s="322">
        <f>AP251-7</f>
        <v>46470</v>
      </c>
      <c r="AP251" s="322">
        <v>46477</v>
      </c>
      <c r="AQ251" s="322"/>
      <c r="AR251" s="314">
        <f>AN251-AM251</f>
        <v>132</v>
      </c>
      <c r="AS251" s="323"/>
      <c r="AT251" s="324" t="s">
        <v>66</v>
      </c>
      <c r="AU251" s="325">
        <v>46553</v>
      </c>
      <c r="AV251" s="265"/>
    </row>
    <row r="252" spans="1:48" s="264" customFormat="1" ht="25.05" customHeight="1">
      <c r="A252" s="327"/>
      <c r="B252" s="328" t="s">
        <v>285</v>
      </c>
      <c r="C252" s="328" t="s">
        <v>286</v>
      </c>
      <c r="D252" s="364"/>
      <c r="E252" s="330"/>
      <c r="F252" s="364"/>
      <c r="G252" s="332"/>
      <c r="H252" s="333"/>
      <c r="I252" s="332" t="s">
        <v>132</v>
      </c>
      <c r="J252" s="328" t="s">
        <v>72</v>
      </c>
      <c r="K252" s="310">
        <v>4</v>
      </c>
      <c r="L252" s="328" t="s">
        <v>9</v>
      </c>
      <c r="M252" s="334" t="s">
        <v>67</v>
      </c>
      <c r="N252" s="335"/>
      <c r="O252" s="335"/>
      <c r="P252" s="335"/>
      <c r="Q252" s="335"/>
      <c r="R252" s="335"/>
      <c r="S252" s="335"/>
      <c r="T252" s="335"/>
      <c r="U252" s="335"/>
      <c r="V252" s="335"/>
      <c r="W252" s="335"/>
      <c r="X252" s="332"/>
      <c r="Y252" s="335"/>
      <c r="Z252" s="335"/>
      <c r="AA252" s="335"/>
      <c r="AB252" s="335"/>
      <c r="AC252" s="335"/>
      <c r="AD252" s="335"/>
      <c r="AE252" s="335"/>
      <c r="AF252" s="335"/>
      <c r="AG252" s="335"/>
      <c r="AH252" s="335"/>
      <c r="AI252" s="335"/>
      <c r="AJ252" s="335"/>
      <c r="AK252" s="336"/>
      <c r="AL252" s="337"/>
      <c r="AM252" s="335"/>
      <c r="AN252" s="338"/>
      <c r="AO252" s="338"/>
      <c r="AP252" s="338"/>
      <c r="AQ252" s="338"/>
      <c r="AR252" s="332"/>
      <c r="AS252" s="339"/>
      <c r="AT252" s="340"/>
      <c r="AU252" s="339"/>
    </row>
    <row r="253" spans="1:48" s="264" customFormat="1" ht="25.05" customHeight="1">
      <c r="A253" s="309">
        <v>82</v>
      </c>
      <c r="B253" s="310" t="s">
        <v>287</v>
      </c>
      <c r="C253" s="310" t="s">
        <v>288</v>
      </c>
      <c r="D253" s="361"/>
      <c r="E253" s="312"/>
      <c r="F253" s="362"/>
      <c r="G253" s="314"/>
      <c r="H253" s="315"/>
      <c r="I253" s="314" t="s">
        <v>289</v>
      </c>
      <c r="J253" s="310"/>
      <c r="K253" s="316"/>
      <c r="L253" s="310" t="s">
        <v>9</v>
      </c>
      <c r="M253" s="317" t="s">
        <v>61</v>
      </c>
      <c r="N253" s="318"/>
      <c r="O253" s="319">
        <v>46233</v>
      </c>
      <c r="P253" s="319">
        <v>46248</v>
      </c>
      <c r="Q253" s="319">
        <v>46248</v>
      </c>
      <c r="R253" s="319">
        <v>46248</v>
      </c>
      <c r="S253" s="319">
        <v>46248</v>
      </c>
      <c r="T253" s="319">
        <v>46255</v>
      </c>
      <c r="U253" s="319">
        <v>46266</v>
      </c>
      <c r="V253" s="319">
        <v>46280</v>
      </c>
      <c r="W253" s="319"/>
      <c r="X253" s="319">
        <v>46287</v>
      </c>
      <c r="Y253" s="319">
        <v>46289</v>
      </c>
      <c r="Z253" s="319">
        <v>46304</v>
      </c>
      <c r="AA253" s="319">
        <v>46318</v>
      </c>
      <c r="AB253" s="319">
        <v>46332</v>
      </c>
      <c r="AC253" s="319">
        <v>46392</v>
      </c>
      <c r="AD253" s="319">
        <v>46392</v>
      </c>
      <c r="AE253" s="319">
        <v>46395</v>
      </c>
      <c r="AF253" s="319">
        <v>46483</v>
      </c>
      <c r="AG253" s="319">
        <v>46490</v>
      </c>
      <c r="AH253" s="319">
        <v>46497</v>
      </c>
      <c r="AI253" s="319">
        <v>46511</v>
      </c>
      <c r="AJ253" s="319">
        <v>46527</v>
      </c>
      <c r="AK253" s="320">
        <v>30</v>
      </c>
      <c r="AL253" s="321"/>
      <c r="AM253" s="319">
        <f>X253+AL254</f>
        <v>46497</v>
      </c>
      <c r="AN253" s="322"/>
      <c r="AO253" s="322"/>
      <c r="AP253" s="322"/>
      <c r="AQ253" s="322"/>
      <c r="AR253" s="314">
        <f>AN254-AM253</f>
        <v>64</v>
      </c>
      <c r="AS253" s="323"/>
      <c r="AT253" s="324" t="s">
        <v>62</v>
      </c>
      <c r="AU253" s="325">
        <v>46568</v>
      </c>
    </row>
    <row r="254" spans="1:48" s="264" customFormat="1" ht="25.05" customHeight="1">
      <c r="A254" s="309"/>
      <c r="B254" s="310" t="s">
        <v>287</v>
      </c>
      <c r="C254" s="310" t="s">
        <v>288</v>
      </c>
      <c r="D254" s="363"/>
      <c r="E254" s="312"/>
      <c r="F254" s="363"/>
      <c r="G254" s="314">
        <v>34</v>
      </c>
      <c r="H254" s="315" t="s">
        <v>290</v>
      </c>
      <c r="I254" s="314" t="s">
        <v>289</v>
      </c>
      <c r="J254" s="310" t="s">
        <v>72</v>
      </c>
      <c r="K254" s="310">
        <v>3</v>
      </c>
      <c r="L254" s="310" t="s">
        <v>9</v>
      </c>
      <c r="M254" s="317" t="s">
        <v>65</v>
      </c>
      <c r="N254" s="319">
        <v>46195</v>
      </c>
      <c r="O254" s="319">
        <v>46233</v>
      </c>
      <c r="P254" s="319">
        <f>WORKDAY.INTL(O254,INDEX(P$8:P$11,MATCH($L254,$L$8:$L$11,0)),1,IF(P$18="China",'China Holidays'!$A$2:$A$82,'Thai Holidays'!$A$2:$A$63))</f>
        <v>46248</v>
      </c>
      <c r="Q254" s="319">
        <f>WORKDAY.INTL(P254,INDEX(Q$8:Q$11,MATCH($L254,$L$8:$L$11,0)),1,IF(Q$18="China",'China Holidays'!$A$2:$A$82,'Thai Holidays'!$A$2:$A$63))</f>
        <v>46248</v>
      </c>
      <c r="R254" s="319">
        <f>WORKDAY.INTL(Q254,INDEX(R$8:R$11,MATCH($L254,$L$8:$L$11,0)),1,IF(R$18="China",'China Holidays'!$A$2:$A$82,'Thai Holidays'!$A$2:$A$63))</f>
        <v>46248</v>
      </c>
      <c r="S254" s="319">
        <f>WORKDAY.INTL(R254,INDEX(S$8:S$11,MATCH($L254,$L$8:$L$11,0)),1,IF(S$18="China",'China Holidays'!$A$2:$A$82,'Thai Holidays'!$A$2:$A$63))</f>
        <v>46248</v>
      </c>
      <c r="T254" s="319">
        <f>WORKDAY.INTL(S254,INDEX(T$8:T$11,MATCH($L254,$L$8:$L$11,0)),1,IF(T$18="China",'China Holidays'!$A$2:$A$82,'Thai Holidays'!$A$2:$A$63))</f>
        <v>46255</v>
      </c>
      <c r="U254" s="319">
        <f>WORKDAY.INTL(T254,INDEX(U$8:U$11,MATCH($L254,$L$8:$L$11,0)),1,IF(U$18="China",'China Holidays'!$A$2:$A$82,'Thai Holidays'!$A$2:$A$63))</f>
        <v>46266</v>
      </c>
      <c r="V254" s="319">
        <f>WORKDAY.INTL(U254,INDEX(V$8:V$11,MATCH($L254,$L$8:$L$11,0)),1,IF(V$18="China",'China Holidays'!$A$2:$A$82,'Thai Holidays'!$A$2:$A$63))</f>
        <v>46280</v>
      </c>
      <c r="W254" s="319"/>
      <c r="X254" s="319">
        <f>WORKDAY.INTL(V254,INDEX(X$8:X$11,MATCH($L254,$L$8:$L$11,0)),1,IF(X$18="China",'China Holidays'!$A$2:$A$82,'Thai Holidays'!$A$2:$A$63))</f>
        <v>46287</v>
      </c>
      <c r="Y254" s="319">
        <f>WORKDAY.INTL(X254,INDEX(Y$12:Y$15,MATCH($L254,$L$12:$L$15,0)),1,IF(Y$18="China",'China Holidays'!$A$2:$A$82,'Thai Holidays'!$A$2:$A$63))</f>
        <v>46289</v>
      </c>
      <c r="Z254" s="319">
        <f>WORKDAY.INTL(Y254,INDEX(Z$12:Z$15,MATCH($L254,$L$12:$L$15,0)),1,IF(Z$18="China",'China Holidays'!$A$2:$A$82,'Thai Holidays'!$A$2:$A$63))</f>
        <v>46304</v>
      </c>
      <c r="AA254" s="319">
        <f>WORKDAY.INTL(Z254,INDEX(AA$12:AA$15,MATCH($L254,$L$12:$L$15,0)),1,IF(AA$18="China",'China Holidays'!$A$2:$A$82,'Thai Holidays'!$A$2:$A$63))</f>
        <v>46318</v>
      </c>
      <c r="AB254" s="319">
        <f>WORKDAY.INTL(AA254,INDEX(AB$12:AB$15,MATCH($L254,$L$12:$L$15,0)),1,IF(AB$18="China",'China Holidays'!$A$2:$A$82,'Thai Holidays'!$A$2:$A$63))</f>
        <v>46332</v>
      </c>
      <c r="AC254" s="319">
        <f>AB254+60</f>
        <v>46392</v>
      </c>
      <c r="AD254" s="319">
        <f>AC254</f>
        <v>46392</v>
      </c>
      <c r="AE254" s="319">
        <f>AD254+3</f>
        <v>46395</v>
      </c>
      <c r="AF254" s="319">
        <f>AG254-7</f>
        <v>46483</v>
      </c>
      <c r="AG254" s="319">
        <f>AH254-7</f>
        <v>46490</v>
      </c>
      <c r="AH254" s="319">
        <f>AM254</f>
        <v>46497</v>
      </c>
      <c r="AI254" s="319">
        <f>AM254+14</f>
        <v>46511</v>
      </c>
      <c r="AJ254" s="319">
        <f>AM254+30</f>
        <v>46527</v>
      </c>
      <c r="AK254" s="343"/>
      <c r="AL254" s="321">
        <f>AK253*7</f>
        <v>210</v>
      </c>
      <c r="AM254" s="319">
        <f>IF(X254&lt;&gt;"",X254+AL254,X255+AL254)</f>
        <v>46497</v>
      </c>
      <c r="AN254" s="322">
        <f>AU253-7</f>
        <v>46561</v>
      </c>
      <c r="AO254" s="322">
        <f>AP254-7</f>
        <v>46530</v>
      </c>
      <c r="AP254" s="322">
        <v>46537</v>
      </c>
      <c r="AQ254" s="322"/>
      <c r="AR254" s="314">
        <f>AN254-AM254</f>
        <v>64</v>
      </c>
      <c r="AS254" s="323"/>
      <c r="AT254" s="324" t="s">
        <v>66</v>
      </c>
      <c r="AU254" s="325">
        <v>46583</v>
      </c>
      <c r="AV254" s="265"/>
    </row>
    <row r="255" spans="1:48" s="264" customFormat="1" ht="25.05" customHeight="1">
      <c r="A255" s="327"/>
      <c r="B255" s="328" t="s">
        <v>287</v>
      </c>
      <c r="C255" s="328" t="s">
        <v>288</v>
      </c>
      <c r="D255" s="364"/>
      <c r="E255" s="330"/>
      <c r="F255" s="364"/>
      <c r="G255" s="332"/>
      <c r="H255" s="333"/>
      <c r="I255" s="332" t="s">
        <v>289</v>
      </c>
      <c r="J255" s="328" t="s">
        <v>72</v>
      </c>
      <c r="K255" s="310">
        <v>3</v>
      </c>
      <c r="L255" s="328" t="s">
        <v>9</v>
      </c>
      <c r="M255" s="334" t="s">
        <v>67</v>
      </c>
      <c r="N255" s="335"/>
      <c r="O255" s="335">
        <v>46218</v>
      </c>
      <c r="P255" s="335"/>
      <c r="Q255" s="335"/>
      <c r="R255" s="335"/>
      <c r="S255" s="335"/>
      <c r="T255" s="335"/>
      <c r="U255" s="335"/>
      <c r="V255" s="335"/>
      <c r="W255" s="335"/>
      <c r="X255" s="332"/>
      <c r="Y255" s="335"/>
      <c r="Z255" s="335"/>
      <c r="AA255" s="335"/>
      <c r="AB255" s="335"/>
      <c r="AC255" s="335"/>
      <c r="AD255" s="335"/>
      <c r="AE255" s="335"/>
      <c r="AF255" s="335"/>
      <c r="AG255" s="335"/>
      <c r="AH255" s="335"/>
      <c r="AI255" s="335"/>
      <c r="AJ255" s="335"/>
      <c r="AK255" s="336"/>
      <c r="AL255" s="337"/>
      <c r="AM255" s="335"/>
      <c r="AN255" s="338"/>
      <c r="AO255" s="338"/>
      <c r="AP255" s="338"/>
      <c r="AQ255" s="338"/>
      <c r="AR255" s="332"/>
      <c r="AS255" s="339"/>
      <c r="AT255" s="340"/>
      <c r="AU255" s="339"/>
    </row>
    <row r="256" spans="1:48" s="264" customFormat="1" ht="25.05" customHeight="1">
      <c r="A256" s="309">
        <v>83</v>
      </c>
      <c r="B256" s="310" t="s">
        <v>291</v>
      </c>
      <c r="C256" s="310" t="s">
        <v>292</v>
      </c>
      <c r="D256" s="361"/>
      <c r="E256" s="312"/>
      <c r="F256" s="362"/>
      <c r="G256" s="314"/>
      <c r="H256" s="315"/>
      <c r="I256" s="314" t="s">
        <v>289</v>
      </c>
      <c r="J256" s="310"/>
      <c r="K256" s="316"/>
      <c r="L256" s="310" t="s">
        <v>9</v>
      </c>
      <c r="M256" s="317" t="s">
        <v>61</v>
      </c>
      <c r="N256" s="318"/>
      <c r="O256" s="319">
        <v>46233</v>
      </c>
      <c r="P256" s="319">
        <v>46248</v>
      </c>
      <c r="Q256" s="319">
        <v>46248</v>
      </c>
      <c r="R256" s="319">
        <v>46248</v>
      </c>
      <c r="S256" s="319">
        <v>46248</v>
      </c>
      <c r="T256" s="319">
        <v>46255</v>
      </c>
      <c r="U256" s="319">
        <v>46266</v>
      </c>
      <c r="V256" s="319">
        <v>46280</v>
      </c>
      <c r="W256" s="319"/>
      <c r="X256" s="319">
        <v>46287</v>
      </c>
      <c r="Y256" s="319">
        <v>46289</v>
      </c>
      <c r="Z256" s="319">
        <v>46304</v>
      </c>
      <c r="AA256" s="319">
        <v>46318</v>
      </c>
      <c r="AB256" s="319">
        <v>46332</v>
      </c>
      <c r="AC256" s="319">
        <v>46392</v>
      </c>
      <c r="AD256" s="319">
        <v>46392</v>
      </c>
      <c r="AE256" s="319">
        <v>46395</v>
      </c>
      <c r="AF256" s="319">
        <v>46483</v>
      </c>
      <c r="AG256" s="319">
        <v>46490</v>
      </c>
      <c r="AH256" s="319">
        <v>46497</v>
      </c>
      <c r="AI256" s="319">
        <v>46511</v>
      </c>
      <c r="AJ256" s="319">
        <v>46527</v>
      </c>
      <c r="AK256" s="320">
        <v>30</v>
      </c>
      <c r="AL256" s="321"/>
      <c r="AM256" s="319">
        <f>X256+AL257</f>
        <v>46497</v>
      </c>
      <c r="AN256" s="322"/>
      <c r="AO256" s="322"/>
      <c r="AP256" s="322"/>
      <c r="AQ256" s="322"/>
      <c r="AR256" s="314">
        <f>AN257-AM256</f>
        <v>64</v>
      </c>
      <c r="AS256" s="323"/>
      <c r="AT256" s="324" t="s">
        <v>62</v>
      </c>
      <c r="AU256" s="325">
        <v>46568</v>
      </c>
    </row>
    <row r="257" spans="1:48" s="264" customFormat="1" ht="25.05" customHeight="1">
      <c r="A257" s="309"/>
      <c r="B257" s="310" t="s">
        <v>291</v>
      </c>
      <c r="C257" s="310" t="s">
        <v>292</v>
      </c>
      <c r="D257" s="363"/>
      <c r="E257" s="312"/>
      <c r="F257" s="363"/>
      <c r="G257" s="314">
        <v>34</v>
      </c>
      <c r="H257" s="315" t="s">
        <v>290</v>
      </c>
      <c r="I257" s="314" t="s">
        <v>289</v>
      </c>
      <c r="J257" s="310" t="s">
        <v>72</v>
      </c>
      <c r="K257" s="310">
        <v>4</v>
      </c>
      <c r="L257" s="310" t="s">
        <v>9</v>
      </c>
      <c r="M257" s="317" t="s">
        <v>65</v>
      </c>
      <c r="N257" s="319">
        <v>46195</v>
      </c>
      <c r="O257" s="319">
        <v>46233</v>
      </c>
      <c r="P257" s="319">
        <f>WORKDAY.INTL(O257,INDEX(P$8:P$11,MATCH($L257,$L$8:$L$11,0)),1,IF(P$18="China",'China Holidays'!$A$2:$A$82,'Thai Holidays'!$A$2:$A$63))</f>
        <v>46248</v>
      </c>
      <c r="Q257" s="319">
        <f>WORKDAY.INTL(P257,INDEX(Q$8:Q$11,MATCH($L257,$L$8:$L$11,0)),1,IF(Q$18="China",'China Holidays'!$A$2:$A$82,'Thai Holidays'!$A$2:$A$63))</f>
        <v>46248</v>
      </c>
      <c r="R257" s="319">
        <f>WORKDAY.INTL(Q257,INDEX(R$8:R$11,MATCH($L257,$L$8:$L$11,0)),1,IF(R$18="China",'China Holidays'!$A$2:$A$82,'Thai Holidays'!$A$2:$A$63))</f>
        <v>46248</v>
      </c>
      <c r="S257" s="319">
        <f>WORKDAY.INTL(R257,INDEX(S$8:S$11,MATCH($L257,$L$8:$L$11,0)),1,IF(S$18="China",'China Holidays'!$A$2:$A$82,'Thai Holidays'!$A$2:$A$63))</f>
        <v>46248</v>
      </c>
      <c r="T257" s="319">
        <f>WORKDAY.INTL(S257,INDEX(T$8:T$11,MATCH($L257,$L$8:$L$11,0)),1,IF(T$18="China",'China Holidays'!$A$2:$A$82,'Thai Holidays'!$A$2:$A$63))</f>
        <v>46255</v>
      </c>
      <c r="U257" s="319">
        <f>WORKDAY.INTL(T257,INDEX(U$8:U$11,MATCH($L257,$L$8:$L$11,0)),1,IF(U$18="China",'China Holidays'!$A$2:$A$82,'Thai Holidays'!$A$2:$A$63))</f>
        <v>46266</v>
      </c>
      <c r="V257" s="319">
        <f>WORKDAY.INTL(U257,INDEX(V$8:V$11,MATCH($L257,$L$8:$L$11,0)),1,IF(V$18="China",'China Holidays'!$A$2:$A$82,'Thai Holidays'!$A$2:$A$63))</f>
        <v>46280</v>
      </c>
      <c r="W257" s="319"/>
      <c r="X257" s="319">
        <f>WORKDAY.INTL(V257,INDEX(X$8:X$11,MATCH($L257,$L$8:$L$11,0)),1,IF(X$18="China",'China Holidays'!$A$2:$A$82,'Thai Holidays'!$A$2:$A$63))</f>
        <v>46287</v>
      </c>
      <c r="Y257" s="319">
        <f>WORKDAY.INTL(X257,INDEX(Y$12:Y$15,MATCH($L257,$L$12:$L$15,0)),1,IF(Y$18="China",'China Holidays'!$A$2:$A$82,'Thai Holidays'!$A$2:$A$63))</f>
        <v>46289</v>
      </c>
      <c r="Z257" s="319">
        <f>WORKDAY.INTL(Y257,INDEX(Z$12:Z$15,MATCH($L257,$L$12:$L$15,0)),1,IF(Z$18="China",'China Holidays'!$A$2:$A$82,'Thai Holidays'!$A$2:$A$63))</f>
        <v>46304</v>
      </c>
      <c r="AA257" s="319">
        <f>WORKDAY.INTL(Z257,INDEX(AA$12:AA$15,MATCH($L257,$L$12:$L$15,0)),1,IF(AA$18="China",'China Holidays'!$A$2:$A$82,'Thai Holidays'!$A$2:$A$63))</f>
        <v>46318</v>
      </c>
      <c r="AB257" s="319">
        <f>WORKDAY.INTL(AA257,INDEX(AB$12:AB$15,MATCH($L257,$L$12:$L$15,0)),1,IF(AB$18="China",'China Holidays'!$A$2:$A$82,'Thai Holidays'!$A$2:$A$63))</f>
        <v>46332</v>
      </c>
      <c r="AC257" s="319">
        <f>AB257+60</f>
        <v>46392</v>
      </c>
      <c r="AD257" s="319">
        <f>AC257</f>
        <v>46392</v>
      </c>
      <c r="AE257" s="319">
        <f>AD257+3</f>
        <v>46395</v>
      </c>
      <c r="AF257" s="319">
        <f>AG257-7</f>
        <v>46483</v>
      </c>
      <c r="AG257" s="319">
        <f>AH257-7</f>
        <v>46490</v>
      </c>
      <c r="AH257" s="319">
        <f>AM257</f>
        <v>46497</v>
      </c>
      <c r="AI257" s="319">
        <f>AM257+14</f>
        <v>46511</v>
      </c>
      <c r="AJ257" s="319">
        <f>AM257+30</f>
        <v>46527</v>
      </c>
      <c r="AK257" s="343"/>
      <c r="AL257" s="321">
        <f>AK256*7</f>
        <v>210</v>
      </c>
      <c r="AM257" s="319">
        <f>IF(X257&lt;&gt;"",X257+AL257,X258+AL257)</f>
        <v>46497</v>
      </c>
      <c r="AN257" s="322">
        <f>AU256-7</f>
        <v>46561</v>
      </c>
      <c r="AO257" s="322">
        <f>AP257-7</f>
        <v>46530</v>
      </c>
      <c r="AP257" s="322">
        <v>46537</v>
      </c>
      <c r="AQ257" s="322"/>
      <c r="AR257" s="314">
        <f>AN257-AM257</f>
        <v>64</v>
      </c>
      <c r="AS257" s="323"/>
      <c r="AT257" s="324" t="s">
        <v>66</v>
      </c>
      <c r="AU257" s="325">
        <v>46583</v>
      </c>
      <c r="AV257" s="265"/>
    </row>
    <row r="258" spans="1:48" s="264" customFormat="1" ht="25.05" customHeight="1">
      <c r="A258" s="327"/>
      <c r="B258" s="328" t="s">
        <v>291</v>
      </c>
      <c r="C258" s="328" t="s">
        <v>292</v>
      </c>
      <c r="D258" s="364"/>
      <c r="E258" s="330"/>
      <c r="F258" s="364"/>
      <c r="G258" s="332"/>
      <c r="H258" s="333"/>
      <c r="I258" s="332" t="s">
        <v>289</v>
      </c>
      <c r="J258" s="328" t="s">
        <v>72</v>
      </c>
      <c r="K258" s="310">
        <v>4</v>
      </c>
      <c r="L258" s="328" t="s">
        <v>9</v>
      </c>
      <c r="M258" s="334" t="s">
        <v>67</v>
      </c>
      <c r="N258" s="335"/>
      <c r="O258" s="335">
        <v>46218</v>
      </c>
      <c r="P258" s="335"/>
      <c r="Q258" s="335"/>
      <c r="R258" s="335"/>
      <c r="S258" s="335"/>
      <c r="T258" s="335"/>
      <c r="U258" s="335"/>
      <c r="V258" s="335"/>
      <c r="W258" s="335"/>
      <c r="X258" s="332"/>
      <c r="Y258" s="335"/>
      <c r="Z258" s="335"/>
      <c r="AA258" s="335"/>
      <c r="AB258" s="335"/>
      <c r="AC258" s="335"/>
      <c r="AD258" s="335"/>
      <c r="AE258" s="335"/>
      <c r="AF258" s="335"/>
      <c r="AG258" s="335"/>
      <c r="AH258" s="335"/>
      <c r="AI258" s="335"/>
      <c r="AJ258" s="335"/>
      <c r="AK258" s="336"/>
      <c r="AL258" s="337"/>
      <c r="AM258" s="335"/>
      <c r="AN258" s="338"/>
      <c r="AO258" s="338"/>
      <c r="AP258" s="338"/>
      <c r="AQ258" s="338"/>
      <c r="AR258" s="332"/>
      <c r="AS258" s="339"/>
      <c r="AT258" s="340"/>
      <c r="AU258" s="339"/>
    </row>
    <row r="259" spans="1:48" s="264" customFormat="1" ht="25.05" customHeight="1">
      <c r="A259" s="309">
        <v>84</v>
      </c>
      <c r="B259" s="310" t="s">
        <v>293</v>
      </c>
      <c r="C259" s="310" t="s">
        <v>294</v>
      </c>
      <c r="D259" s="361"/>
      <c r="E259" s="312"/>
      <c r="F259" s="362"/>
      <c r="G259" s="314"/>
      <c r="H259" s="315"/>
      <c r="I259" s="314" t="s">
        <v>289</v>
      </c>
      <c r="J259" s="310"/>
      <c r="K259" s="316"/>
      <c r="L259" s="310" t="s">
        <v>9</v>
      </c>
      <c r="M259" s="317" t="s">
        <v>61</v>
      </c>
      <c r="N259" s="318"/>
      <c r="O259" s="319">
        <v>46233</v>
      </c>
      <c r="P259" s="319">
        <v>46248</v>
      </c>
      <c r="Q259" s="319">
        <v>46248</v>
      </c>
      <c r="R259" s="319">
        <v>46248</v>
      </c>
      <c r="S259" s="319">
        <v>46248</v>
      </c>
      <c r="T259" s="319">
        <v>46255</v>
      </c>
      <c r="U259" s="319">
        <v>46266</v>
      </c>
      <c r="V259" s="319">
        <v>46280</v>
      </c>
      <c r="W259" s="319"/>
      <c r="X259" s="319">
        <v>46287</v>
      </c>
      <c r="Y259" s="319">
        <v>46289</v>
      </c>
      <c r="Z259" s="319">
        <v>46304</v>
      </c>
      <c r="AA259" s="319">
        <v>46318</v>
      </c>
      <c r="AB259" s="319">
        <v>46332</v>
      </c>
      <c r="AC259" s="319">
        <f>AB259</f>
        <v>46332</v>
      </c>
      <c r="AD259" s="319">
        <v>46342</v>
      </c>
      <c r="AE259" s="319">
        <v>46345</v>
      </c>
      <c r="AF259" s="319">
        <f>AG259-7</f>
        <v>46333</v>
      </c>
      <c r="AG259" s="319">
        <f>AH259-7</f>
        <v>46340</v>
      </c>
      <c r="AH259" s="319">
        <f>AM259</f>
        <v>46347</v>
      </c>
      <c r="AI259" s="319">
        <f>AM259+14</f>
        <v>46361</v>
      </c>
      <c r="AJ259" s="319">
        <f>AM259+30</f>
        <v>46377</v>
      </c>
      <c r="AK259" s="320">
        <v>8.5714285714285694</v>
      </c>
      <c r="AL259" s="321"/>
      <c r="AM259" s="319">
        <f>X259+AL260</f>
        <v>46347</v>
      </c>
      <c r="AN259" s="348">
        <f>AM259-AH259</f>
        <v>0</v>
      </c>
      <c r="AO259" s="322"/>
      <c r="AP259" s="322"/>
      <c r="AQ259" s="322"/>
      <c r="AR259" s="314">
        <f>AN260-AM259</f>
        <v>214</v>
      </c>
      <c r="AS259" s="323"/>
      <c r="AT259" s="324" t="s">
        <v>62</v>
      </c>
      <c r="AU259" s="325">
        <v>46568</v>
      </c>
    </row>
    <row r="260" spans="1:48" s="264" customFormat="1" ht="25.05" customHeight="1">
      <c r="A260" s="309"/>
      <c r="B260" s="310" t="s">
        <v>293</v>
      </c>
      <c r="C260" s="310" t="s">
        <v>294</v>
      </c>
      <c r="D260" s="363"/>
      <c r="E260" s="312"/>
      <c r="F260" s="363"/>
      <c r="G260" s="314">
        <v>169</v>
      </c>
      <c r="H260" s="315" t="s">
        <v>290</v>
      </c>
      <c r="I260" s="314" t="s">
        <v>289</v>
      </c>
      <c r="J260" s="310" t="s">
        <v>72</v>
      </c>
      <c r="K260" s="310">
        <v>4</v>
      </c>
      <c r="L260" s="310" t="s">
        <v>9</v>
      </c>
      <c r="M260" s="317" t="s">
        <v>65</v>
      </c>
      <c r="N260" s="319">
        <v>46195</v>
      </c>
      <c r="O260" s="319">
        <v>46233</v>
      </c>
      <c r="P260" s="319">
        <f>WORKDAY.INTL(O260,INDEX(P$8:P$11,MATCH($L260,$L$8:$L$11,0)),1,IF(P$18="China",'China Holidays'!$A$2:$A$82,'Thai Holidays'!$A$2:$A$63))</f>
        <v>46248</v>
      </c>
      <c r="Q260" s="319">
        <f>WORKDAY.INTL(P260,INDEX(Q$8:Q$11,MATCH($L260,$L$8:$L$11,0)),1,IF(Q$18="China",'China Holidays'!$A$2:$A$82,'Thai Holidays'!$A$2:$A$63))</f>
        <v>46248</v>
      </c>
      <c r="R260" s="319">
        <f>WORKDAY.INTL(Q260,INDEX(R$8:R$11,MATCH($L260,$L$8:$L$11,0)),1,IF(R$18="China",'China Holidays'!$A$2:$A$82,'Thai Holidays'!$A$2:$A$63))</f>
        <v>46248</v>
      </c>
      <c r="S260" s="319">
        <f>WORKDAY.INTL(R260,INDEX(S$8:S$11,MATCH($L260,$L$8:$L$11,0)),1,IF(S$18="China",'China Holidays'!$A$2:$A$82,'Thai Holidays'!$A$2:$A$63))</f>
        <v>46248</v>
      </c>
      <c r="T260" s="319">
        <f>WORKDAY.INTL(S260,INDEX(T$8:T$11,MATCH($L260,$L$8:$L$11,0)),1,IF(T$18="China",'China Holidays'!$A$2:$A$82,'Thai Holidays'!$A$2:$A$63))</f>
        <v>46255</v>
      </c>
      <c r="U260" s="319">
        <f>WORKDAY.INTL(T260,INDEX(U$8:U$11,MATCH($L260,$L$8:$L$11,0)),1,IF(U$18="China",'China Holidays'!$A$2:$A$82,'Thai Holidays'!$A$2:$A$63))</f>
        <v>46266</v>
      </c>
      <c r="V260" s="319">
        <f>WORKDAY.INTL(U260,INDEX(V$8:V$11,MATCH($L260,$L$8:$L$11,0)),1,IF(V$18="China",'China Holidays'!$A$2:$A$82,'Thai Holidays'!$A$2:$A$63))</f>
        <v>46280</v>
      </c>
      <c r="W260" s="319"/>
      <c r="X260" s="319">
        <f>WORKDAY.INTL(V260,INDEX(X$8:X$11,MATCH($L260,$L$8:$L$11,0)),1,IF(X$18="China",'China Holidays'!$A$2:$A$82,'Thai Holidays'!$A$2:$A$63))</f>
        <v>46287</v>
      </c>
      <c r="Y260" s="319">
        <f>WORKDAY.INTL(X260,INDEX(Y$12:Y$15,MATCH($L260,$L$12:$L$15,0)),1,IF(Y$18="China",'China Holidays'!$A$2:$A$82,'Thai Holidays'!$A$2:$A$63))</f>
        <v>46289</v>
      </c>
      <c r="Z260" s="319">
        <f>WORKDAY.INTL(Y260,INDEX(Z$12:Z$15,MATCH($L260,$L$12:$L$15,0)),1,IF(Z$18="China",'China Holidays'!$A$2:$A$82,'Thai Holidays'!$A$2:$A$63))</f>
        <v>46304</v>
      </c>
      <c r="AA260" s="319">
        <f>WORKDAY.INTL(Z260,INDEX(AA$12:AA$15,MATCH($L260,$L$12:$L$15,0)),1,IF(AA$18="China",'China Holidays'!$A$2:$A$82,'Thai Holidays'!$A$2:$A$63))</f>
        <v>46318</v>
      </c>
      <c r="AB260" s="319">
        <f>WORKDAY.INTL(AA260,INDEX(AB$12:AB$15,MATCH($L260,$L$12:$L$15,0)),1,IF(AB$18="China",'China Holidays'!$A$2:$A$82,'Thai Holidays'!$A$2:$A$63))</f>
        <v>46332</v>
      </c>
      <c r="AC260" s="319">
        <f>AB260</f>
        <v>46332</v>
      </c>
      <c r="AD260" s="319">
        <f>AC260</f>
        <v>46332</v>
      </c>
      <c r="AE260" s="319">
        <f>AD260+3</f>
        <v>46335</v>
      </c>
      <c r="AF260" s="319">
        <f>AG260-7</f>
        <v>46333</v>
      </c>
      <c r="AG260" s="319">
        <f>AH260-7</f>
        <v>46340</v>
      </c>
      <c r="AH260" s="319">
        <f>AM260</f>
        <v>46347</v>
      </c>
      <c r="AI260" s="319">
        <f>AM260+14</f>
        <v>46361</v>
      </c>
      <c r="AJ260" s="319">
        <f>AM260+30</f>
        <v>46377</v>
      </c>
      <c r="AK260" s="343"/>
      <c r="AL260" s="321">
        <f>AK259*7</f>
        <v>59.999999999999986</v>
      </c>
      <c r="AM260" s="319">
        <f>IF(X260&lt;&gt;"",X260+AL260,X261+AL260)</f>
        <v>46347</v>
      </c>
      <c r="AN260" s="322">
        <f>AU259-7</f>
        <v>46561</v>
      </c>
      <c r="AO260" s="322">
        <f>AP260-7</f>
        <v>46530</v>
      </c>
      <c r="AP260" s="322">
        <v>46537</v>
      </c>
      <c r="AQ260" s="322"/>
      <c r="AR260" s="314">
        <f>AN260-AM260</f>
        <v>214</v>
      </c>
      <c r="AS260" s="323"/>
      <c r="AT260" s="324" t="s">
        <v>66</v>
      </c>
      <c r="AU260" s="325">
        <v>46583</v>
      </c>
      <c r="AV260" s="265"/>
    </row>
    <row r="261" spans="1:48" s="264" customFormat="1" ht="25.05" customHeight="1">
      <c r="A261" s="327"/>
      <c r="B261" s="328" t="s">
        <v>293</v>
      </c>
      <c r="C261" s="328" t="s">
        <v>294</v>
      </c>
      <c r="D261" s="364"/>
      <c r="E261" s="330"/>
      <c r="F261" s="364"/>
      <c r="G261" s="332"/>
      <c r="H261" s="333"/>
      <c r="I261" s="332" t="s">
        <v>289</v>
      </c>
      <c r="J261" s="328" t="s">
        <v>72</v>
      </c>
      <c r="K261" s="310">
        <v>4</v>
      </c>
      <c r="L261" s="328" t="s">
        <v>9</v>
      </c>
      <c r="M261" s="334" t="s">
        <v>67</v>
      </c>
      <c r="N261" s="335"/>
      <c r="O261" s="335">
        <v>46218</v>
      </c>
      <c r="P261" s="335"/>
      <c r="Q261" s="335"/>
      <c r="R261" s="335"/>
      <c r="S261" s="335"/>
      <c r="T261" s="335"/>
      <c r="U261" s="335"/>
      <c r="V261" s="335"/>
      <c r="W261" s="335"/>
      <c r="X261" s="332"/>
      <c r="Y261" s="335"/>
      <c r="Z261" s="335"/>
      <c r="AA261" s="335"/>
      <c r="AB261" s="335"/>
      <c r="AC261" s="335"/>
      <c r="AD261" s="335"/>
      <c r="AE261" s="335"/>
      <c r="AF261" s="335"/>
      <c r="AG261" s="335"/>
      <c r="AH261" s="335"/>
      <c r="AI261" s="335"/>
      <c r="AJ261" s="335"/>
      <c r="AK261" s="336"/>
      <c r="AL261" s="337"/>
      <c r="AM261" s="335"/>
      <c r="AN261" s="338"/>
      <c r="AO261" s="338"/>
      <c r="AP261" s="338"/>
      <c r="AQ261" s="338"/>
      <c r="AR261" s="332"/>
      <c r="AS261" s="339"/>
      <c r="AT261" s="340"/>
      <c r="AU261" s="339"/>
    </row>
    <row r="262" spans="1:48" s="264" customFormat="1" ht="25.05" customHeight="1">
      <c r="A262" s="309">
        <v>85</v>
      </c>
      <c r="B262" s="310" t="s">
        <v>295</v>
      </c>
      <c r="C262" s="310" t="s">
        <v>296</v>
      </c>
      <c r="D262" s="361"/>
      <c r="E262" s="312"/>
      <c r="F262" s="362"/>
      <c r="G262" s="314"/>
      <c r="H262" s="315"/>
      <c r="I262" s="314" t="s">
        <v>297</v>
      </c>
      <c r="J262" s="310"/>
      <c r="K262" s="316"/>
      <c r="L262" s="310" t="s">
        <v>9</v>
      </c>
      <c r="M262" s="317" t="s">
        <v>61</v>
      </c>
      <c r="N262" s="318"/>
      <c r="O262" s="319">
        <v>46216</v>
      </c>
      <c r="P262" s="319">
        <v>46230</v>
      </c>
      <c r="Q262" s="319">
        <v>46230</v>
      </c>
      <c r="R262" s="319">
        <v>46230</v>
      </c>
      <c r="S262" s="319">
        <v>46230</v>
      </c>
      <c r="T262" s="319">
        <v>46237</v>
      </c>
      <c r="U262" s="319">
        <v>46247</v>
      </c>
      <c r="V262" s="319">
        <v>46261</v>
      </c>
      <c r="W262" s="319"/>
      <c r="X262" s="319">
        <v>46268</v>
      </c>
      <c r="Y262" s="319">
        <v>46272</v>
      </c>
      <c r="Z262" s="319">
        <v>46279</v>
      </c>
      <c r="AA262" s="319">
        <v>46294</v>
      </c>
      <c r="AB262" s="319">
        <v>46309</v>
      </c>
      <c r="AC262" s="319">
        <v>46339</v>
      </c>
      <c r="AD262" s="319">
        <v>46339</v>
      </c>
      <c r="AE262" s="319">
        <v>46341</v>
      </c>
      <c r="AF262" s="319">
        <v>46344</v>
      </c>
      <c r="AG262" s="319">
        <v>46351</v>
      </c>
      <c r="AH262" s="319">
        <v>46358</v>
      </c>
      <c r="AI262" s="319">
        <v>46372</v>
      </c>
      <c r="AJ262" s="319">
        <v>46388</v>
      </c>
      <c r="AK262" s="320">
        <v>12.8571428571429</v>
      </c>
      <c r="AL262" s="321"/>
      <c r="AM262" s="319">
        <f>X262+AL263</f>
        <v>46358</v>
      </c>
      <c r="AN262" s="322"/>
      <c r="AO262" s="322"/>
      <c r="AP262" s="322"/>
      <c r="AQ262" s="322"/>
      <c r="AR262" s="314">
        <f>AN263-AM262</f>
        <v>2</v>
      </c>
      <c r="AS262" s="323"/>
      <c r="AT262" s="324" t="s">
        <v>62</v>
      </c>
      <c r="AU262" s="325">
        <v>46367</v>
      </c>
    </row>
    <row r="263" spans="1:48" s="264" customFormat="1" ht="25.05" customHeight="1">
      <c r="A263" s="309"/>
      <c r="B263" s="310" t="s">
        <v>295</v>
      </c>
      <c r="C263" s="310" t="s">
        <v>296</v>
      </c>
      <c r="D263" s="363"/>
      <c r="E263" s="312"/>
      <c r="F263" s="363"/>
      <c r="G263" s="314">
        <v>26</v>
      </c>
      <c r="H263" s="315" t="s">
        <v>298</v>
      </c>
      <c r="I263" s="314" t="s">
        <v>297</v>
      </c>
      <c r="J263" s="310" t="s">
        <v>72</v>
      </c>
      <c r="K263" s="310">
        <v>3</v>
      </c>
      <c r="L263" s="310" t="s">
        <v>9</v>
      </c>
      <c r="M263" s="317" t="s">
        <v>65</v>
      </c>
      <c r="N263" s="319">
        <v>46188</v>
      </c>
      <c r="O263" s="319"/>
      <c r="P263" s="319"/>
      <c r="Q263" s="319"/>
      <c r="R263" s="319"/>
      <c r="S263" s="319">
        <f>WORKDAY.INTL(R264,INDEX(S$8:S$11,MATCH($L263,$L$8:$L$11,0)),1,IF(S$18="China",'China Holidays'!$A$2:$A$82,'Thai Holidays'!$A$2:$A$63))</f>
        <v>46220</v>
      </c>
      <c r="T263" s="319">
        <f>WORKDAY.INTL(S263,INDEX(T$8:T$11,MATCH($L263,$L$8:$L$11,0)),1,IF(T$18="China",'China Holidays'!$A$2:$A$82,'Thai Holidays'!$A$2:$A$63))</f>
        <v>46227</v>
      </c>
      <c r="U263" s="319">
        <f>WORKDAY.INTL(T263,INDEX(U$8:U$11,MATCH($L263,$L$8:$L$11,0)),1,IF(U$18="China",'China Holidays'!$A$2:$A$82,'Thai Holidays'!$A$2:$A$63))</f>
        <v>46240</v>
      </c>
      <c r="V263" s="319">
        <f>WORKDAY.INTL(U263,INDEX(V$8:V$11,MATCH($L263,$L$8:$L$11,0)),1,IF(V$18="China",'China Holidays'!$A$2:$A$82,'Thai Holidays'!$A$2:$A$63))</f>
        <v>46255</v>
      </c>
      <c r="W263" s="319"/>
      <c r="X263" s="319">
        <f>WORKDAY.INTL(V263,INDEX(X$8:X$11,MATCH($L263,$L$8:$L$11,0)),1,IF(X$18="China",'China Holidays'!$A$2:$A$82,'Thai Holidays'!$A$2:$A$63))</f>
        <v>46262</v>
      </c>
      <c r="Y263" s="319">
        <f>WORKDAY.INTL(X263,INDEX(Y$12:Y$15,MATCH($L263,$L$12:$L$15,0)),1,IF(Y$18="China",'China Holidays'!$A$2:$A$82,'Thai Holidays'!$A$2:$A$63))</f>
        <v>46266</v>
      </c>
      <c r="Z263" s="319">
        <f>WORKDAY.INTL(Y263,INDEX(Z$12:Z$15,MATCH($L263,$L$12:$L$15,0)),1,IF(Z$18="China",'China Holidays'!$A$2:$A$82,'Thai Holidays'!$A$2:$A$63))</f>
        <v>46273</v>
      </c>
      <c r="AA263" s="319">
        <f>WORKDAY.INTL(Z263,INDEX(AA$12:AA$15,MATCH($L263,$L$12:$L$15,0)),1,IF(AA$18="China",'China Holidays'!$A$2:$A$82,'Thai Holidays'!$A$2:$A$63))</f>
        <v>46287</v>
      </c>
      <c r="AB263" s="319">
        <f>WORKDAY.INTL(AA263,INDEX(AB$12:AB$15,MATCH($L263,$L$12:$L$15,0)),1,IF(AB$18="China",'China Holidays'!$A$2:$A$82,'Thai Holidays'!$A$2:$A$63))</f>
        <v>46301</v>
      </c>
      <c r="AC263" s="319">
        <f>AB263+30</f>
        <v>46331</v>
      </c>
      <c r="AD263" s="319">
        <f>AC263</f>
        <v>46331</v>
      </c>
      <c r="AE263" s="319">
        <f>AD263+2</f>
        <v>46333</v>
      </c>
      <c r="AF263" s="319">
        <f>AG263-7</f>
        <v>46338</v>
      </c>
      <c r="AG263" s="319">
        <f>AH263-7</f>
        <v>46345</v>
      </c>
      <c r="AH263" s="319">
        <f>AM263</f>
        <v>46352</v>
      </c>
      <c r="AI263" s="319">
        <f>AM263+14</f>
        <v>46366</v>
      </c>
      <c r="AJ263" s="319">
        <f>AM263+30</f>
        <v>46382</v>
      </c>
      <c r="AK263" s="343"/>
      <c r="AL263" s="321">
        <f>AK262*7</f>
        <v>90.000000000000298</v>
      </c>
      <c r="AM263" s="319">
        <f>IF(X263&lt;&gt;"",X263+AL263,X264+AL263)</f>
        <v>46352</v>
      </c>
      <c r="AN263" s="322">
        <f>AU262-7</f>
        <v>46360</v>
      </c>
      <c r="AO263" s="322">
        <f>AP263-7</f>
        <v>46379</v>
      </c>
      <c r="AP263" s="322">
        <v>46386</v>
      </c>
      <c r="AQ263" s="322"/>
      <c r="AR263" s="314">
        <f>AN263-AM263</f>
        <v>8</v>
      </c>
      <c r="AS263" s="323"/>
      <c r="AT263" s="324" t="s">
        <v>66</v>
      </c>
      <c r="AU263" s="325">
        <v>46367</v>
      </c>
      <c r="AV263" s="265"/>
    </row>
    <row r="264" spans="1:48" s="264" customFormat="1" ht="25.05" customHeight="1">
      <c r="A264" s="327"/>
      <c r="B264" s="328" t="s">
        <v>295</v>
      </c>
      <c r="C264" s="328" t="s">
        <v>296</v>
      </c>
      <c r="D264" s="364"/>
      <c r="E264" s="330"/>
      <c r="F264" s="364"/>
      <c r="G264" s="332"/>
      <c r="H264" s="333"/>
      <c r="I264" s="332" t="s">
        <v>297</v>
      </c>
      <c r="J264" s="328" t="s">
        <v>72</v>
      </c>
      <c r="K264" s="310">
        <v>3</v>
      </c>
      <c r="L264" s="328" t="s">
        <v>9</v>
      </c>
      <c r="M264" s="334" t="s">
        <v>67</v>
      </c>
      <c r="N264" s="335"/>
      <c r="O264" s="335">
        <v>46210</v>
      </c>
      <c r="P264" s="335">
        <v>46220</v>
      </c>
      <c r="Q264" s="335">
        <v>46220</v>
      </c>
      <c r="R264" s="335">
        <f>Q264</f>
        <v>46220</v>
      </c>
      <c r="S264" s="335"/>
      <c r="T264" s="335"/>
      <c r="U264" s="335"/>
      <c r="V264" s="335"/>
      <c r="W264" s="335"/>
      <c r="X264" s="332"/>
      <c r="Y264" s="335"/>
      <c r="Z264" s="335"/>
      <c r="AA264" s="335"/>
      <c r="AB264" s="335"/>
      <c r="AC264" s="335"/>
      <c r="AD264" s="335"/>
      <c r="AE264" s="335"/>
      <c r="AF264" s="335"/>
      <c r="AG264" s="335"/>
      <c r="AH264" s="335"/>
      <c r="AI264" s="335"/>
      <c r="AJ264" s="335"/>
      <c r="AK264" s="336"/>
      <c r="AL264" s="337"/>
      <c r="AM264" s="335"/>
      <c r="AN264" s="338"/>
      <c r="AO264" s="338"/>
      <c r="AP264" s="338"/>
      <c r="AQ264" s="338"/>
      <c r="AR264" s="332"/>
      <c r="AS264" s="339"/>
      <c r="AT264" s="340"/>
      <c r="AU264" s="339"/>
    </row>
    <row r="265" spans="1:48" s="264" customFormat="1" ht="24" customHeight="1">
      <c r="A265" s="309">
        <v>86</v>
      </c>
      <c r="B265" s="310" t="s">
        <v>299</v>
      </c>
      <c r="C265" s="310" t="s">
        <v>300</v>
      </c>
      <c r="D265" s="361"/>
      <c r="E265" s="312"/>
      <c r="F265" s="362"/>
      <c r="G265" s="314"/>
      <c r="H265" s="315"/>
      <c r="I265" s="314" t="s">
        <v>297</v>
      </c>
      <c r="J265" s="310"/>
      <c r="K265" s="316"/>
      <c r="L265" s="310" t="s">
        <v>9</v>
      </c>
      <c r="M265" s="317" t="s">
        <v>61</v>
      </c>
      <c r="N265" s="318"/>
      <c r="O265" s="319">
        <v>46216</v>
      </c>
      <c r="P265" s="319">
        <v>46230</v>
      </c>
      <c r="Q265" s="319">
        <v>46230</v>
      </c>
      <c r="R265" s="319">
        <v>46230</v>
      </c>
      <c r="S265" s="319">
        <v>46230</v>
      </c>
      <c r="T265" s="319">
        <v>46237</v>
      </c>
      <c r="U265" s="319">
        <v>46247</v>
      </c>
      <c r="V265" s="319">
        <v>46261</v>
      </c>
      <c r="W265" s="319"/>
      <c r="X265" s="319">
        <v>46268</v>
      </c>
      <c r="Y265" s="319">
        <v>46272</v>
      </c>
      <c r="Z265" s="319">
        <v>46279</v>
      </c>
      <c r="AA265" s="319">
        <v>46294</v>
      </c>
      <c r="AB265" s="319">
        <v>46309</v>
      </c>
      <c r="AC265" s="319">
        <v>46339</v>
      </c>
      <c r="AD265" s="319">
        <v>46339</v>
      </c>
      <c r="AE265" s="319">
        <v>46341</v>
      </c>
      <c r="AF265" s="319">
        <v>46344</v>
      </c>
      <c r="AG265" s="319">
        <v>46351</v>
      </c>
      <c r="AH265" s="319">
        <v>46358</v>
      </c>
      <c r="AI265" s="319">
        <v>46372</v>
      </c>
      <c r="AJ265" s="319">
        <v>46388</v>
      </c>
      <c r="AK265" s="320">
        <v>12.8571428571429</v>
      </c>
      <c r="AL265" s="321"/>
      <c r="AM265" s="319">
        <f>X265+AL266</f>
        <v>46358</v>
      </c>
      <c r="AN265" s="322"/>
      <c r="AO265" s="322"/>
      <c r="AP265" s="322"/>
      <c r="AQ265" s="322"/>
      <c r="AR265" s="314">
        <f>AN266-AM265</f>
        <v>2</v>
      </c>
      <c r="AS265" s="323"/>
      <c r="AT265" s="324" t="s">
        <v>62</v>
      </c>
      <c r="AU265" s="325">
        <v>46367</v>
      </c>
    </row>
    <row r="266" spans="1:48" s="264" customFormat="1" ht="25.05" customHeight="1">
      <c r="A266" s="309"/>
      <c r="B266" s="310" t="s">
        <v>299</v>
      </c>
      <c r="C266" s="310" t="s">
        <v>300</v>
      </c>
      <c r="D266" s="363"/>
      <c r="E266" s="312"/>
      <c r="F266" s="363"/>
      <c r="G266" s="314">
        <v>15</v>
      </c>
      <c r="H266" s="315" t="s">
        <v>298</v>
      </c>
      <c r="I266" s="314" t="s">
        <v>297</v>
      </c>
      <c r="J266" s="310" t="s">
        <v>64</v>
      </c>
      <c r="K266" s="310">
        <v>2</v>
      </c>
      <c r="L266" s="310" t="s">
        <v>9</v>
      </c>
      <c r="M266" s="317" t="s">
        <v>65</v>
      </c>
      <c r="N266" s="319">
        <v>46198</v>
      </c>
      <c r="O266" s="319"/>
      <c r="P266" s="319"/>
      <c r="Q266" s="319"/>
      <c r="R266" s="319"/>
      <c r="S266" s="319">
        <f>WORKDAY.INTL(R267,INDEX(S$8:S$11,MATCH($L266,$L$8:$L$11,0)),1,IF(S$18="China",'China Holidays'!$A$2:$A$82,'Thai Holidays'!$A$2:$A$63))</f>
        <v>46222</v>
      </c>
      <c r="T266" s="319">
        <f>WORKDAY.INTL(S266,INDEX(T$8:T$11,MATCH($L266,$L$8:$L$11,0)),1,IF(T$18="China",'China Holidays'!$A$2:$A$82,'Thai Holidays'!$A$2:$A$63))</f>
        <v>46227</v>
      </c>
      <c r="U266" s="319">
        <f>WORKDAY.INTL(T266,INDEX(U$8:U$11,MATCH($L266,$L$8:$L$11,0)),1,IF(U$18="China",'China Holidays'!$A$2:$A$82,'Thai Holidays'!$A$2:$A$63))</f>
        <v>46240</v>
      </c>
      <c r="V266" s="319">
        <f>WORKDAY.INTL(U266,INDEX(V$8:V$11,MATCH($L266,$L$8:$L$11,0)),1,IF(V$18="China",'China Holidays'!$A$2:$A$82,'Thai Holidays'!$A$2:$A$63))</f>
        <v>46255</v>
      </c>
      <c r="W266" s="319"/>
      <c r="X266" s="319">
        <f>WORKDAY.INTL(V266,INDEX(X$8:X$11,MATCH($L266,$L$8:$L$11,0)),1,IF(X$18="China",'China Holidays'!$A$2:$A$82,'Thai Holidays'!$A$2:$A$63))</f>
        <v>46262</v>
      </c>
      <c r="Y266" s="319">
        <f>WORKDAY.INTL(X266,INDEX(Y$12:Y$15,MATCH($L266,$L$12:$L$15,0)),1,IF(Y$18="China",'China Holidays'!$A$2:$A$82,'Thai Holidays'!$A$2:$A$63))</f>
        <v>46266</v>
      </c>
      <c r="Z266" s="319">
        <f>WORKDAY.INTL(Y266,INDEX(Z$12:Z$15,MATCH($L266,$L$12:$L$15,0)),1,IF(Z$18="China",'China Holidays'!$A$2:$A$82,'Thai Holidays'!$A$2:$A$63))</f>
        <v>46273</v>
      </c>
      <c r="AA266" s="319">
        <f>WORKDAY.INTL(Z266,INDEX(AA$12:AA$15,MATCH($L266,$L$12:$L$15,0)),1,IF(AA$18="China",'China Holidays'!$A$2:$A$82,'Thai Holidays'!$A$2:$A$63))</f>
        <v>46287</v>
      </c>
      <c r="AB266" s="319">
        <f>WORKDAY.INTL(AA266,INDEX(AB$12:AB$15,MATCH($L266,$L$12:$L$15,0)),1,IF(AB$18="China",'China Holidays'!$A$2:$A$82,'Thai Holidays'!$A$2:$A$63))</f>
        <v>46301</v>
      </c>
      <c r="AC266" s="319">
        <f>AB266+30</f>
        <v>46331</v>
      </c>
      <c r="AD266" s="319">
        <f>AC266</f>
        <v>46331</v>
      </c>
      <c r="AE266" s="319">
        <f>AD266+2</f>
        <v>46333</v>
      </c>
      <c r="AF266" s="319">
        <f>AG266-7</f>
        <v>46338</v>
      </c>
      <c r="AG266" s="319">
        <f>AH266-7</f>
        <v>46345</v>
      </c>
      <c r="AH266" s="319">
        <f>AM266</f>
        <v>46352</v>
      </c>
      <c r="AI266" s="319">
        <f>AM266+14</f>
        <v>46366</v>
      </c>
      <c r="AJ266" s="319">
        <f>AM266+30</f>
        <v>46382</v>
      </c>
      <c r="AK266" s="343"/>
      <c r="AL266" s="321">
        <f>AK265*7</f>
        <v>90.000000000000298</v>
      </c>
      <c r="AM266" s="319">
        <f>IF(X266&lt;&gt;"",X266+AL266,X267+AL266)</f>
        <v>46352</v>
      </c>
      <c r="AN266" s="322">
        <f>AU265-7</f>
        <v>46360</v>
      </c>
      <c r="AO266" s="322">
        <f>AP266-7</f>
        <v>46379</v>
      </c>
      <c r="AP266" s="322">
        <v>46386</v>
      </c>
      <c r="AQ266" s="322"/>
      <c r="AR266" s="314">
        <f>AN266-AM266</f>
        <v>8</v>
      </c>
      <c r="AS266" s="323"/>
      <c r="AT266" s="324" t="s">
        <v>66</v>
      </c>
      <c r="AU266" s="325">
        <v>46367</v>
      </c>
      <c r="AV266" s="265"/>
    </row>
    <row r="267" spans="1:48" s="264" customFormat="1" ht="25.05" customHeight="1">
      <c r="A267" s="327"/>
      <c r="B267" s="328" t="s">
        <v>299</v>
      </c>
      <c r="C267" s="328" t="s">
        <v>300</v>
      </c>
      <c r="D267" s="364"/>
      <c r="E267" s="330"/>
      <c r="F267" s="364"/>
      <c r="G267" s="332"/>
      <c r="H267" s="333"/>
      <c r="I267" s="332" t="s">
        <v>297</v>
      </c>
      <c r="J267" s="328" t="s">
        <v>64</v>
      </c>
      <c r="K267" s="310">
        <v>2</v>
      </c>
      <c r="L267" s="328" t="s">
        <v>9</v>
      </c>
      <c r="M267" s="334" t="s">
        <v>67</v>
      </c>
      <c r="N267" s="335"/>
      <c r="O267" s="335">
        <v>46210</v>
      </c>
      <c r="P267" s="347">
        <v>46222</v>
      </c>
      <c r="Q267" s="347">
        <v>46222</v>
      </c>
      <c r="R267" s="335">
        <f>Q267</f>
        <v>46222</v>
      </c>
      <c r="S267" s="335"/>
      <c r="T267" s="335"/>
      <c r="U267" s="335"/>
      <c r="V267" s="335"/>
      <c r="W267" s="335"/>
      <c r="X267" s="332"/>
      <c r="Y267" s="335"/>
      <c r="Z267" s="335"/>
      <c r="AA267" s="335"/>
      <c r="AB267" s="335"/>
      <c r="AC267" s="335"/>
      <c r="AD267" s="335"/>
      <c r="AE267" s="335"/>
      <c r="AF267" s="335"/>
      <c r="AG267" s="335"/>
      <c r="AH267" s="335"/>
      <c r="AI267" s="335"/>
      <c r="AJ267" s="335"/>
      <c r="AK267" s="336"/>
      <c r="AL267" s="337"/>
      <c r="AM267" s="335"/>
      <c r="AN267" s="338"/>
      <c r="AO267" s="338"/>
      <c r="AP267" s="338"/>
      <c r="AQ267" s="338"/>
      <c r="AR267" s="332"/>
      <c r="AS267" s="339"/>
      <c r="AT267" s="340"/>
      <c r="AU267" s="339"/>
    </row>
    <row r="268" spans="1:48" s="264" customFormat="1" ht="25.05" customHeight="1">
      <c r="A268" s="309">
        <v>87</v>
      </c>
      <c r="B268" s="310" t="s">
        <v>301</v>
      </c>
      <c r="C268" s="310" t="s">
        <v>302</v>
      </c>
      <c r="D268" s="361"/>
      <c r="E268" s="312"/>
      <c r="F268" s="362"/>
      <c r="G268" s="314"/>
      <c r="H268" s="315"/>
      <c r="I268" s="314" t="s">
        <v>297</v>
      </c>
      <c r="J268" s="310"/>
      <c r="K268" s="316"/>
      <c r="L268" s="310" t="s">
        <v>9</v>
      </c>
      <c r="M268" s="317" t="s">
        <v>61</v>
      </c>
      <c r="N268" s="318"/>
      <c r="O268" s="319">
        <v>46216</v>
      </c>
      <c r="P268" s="319">
        <v>46230</v>
      </c>
      <c r="Q268" s="319">
        <v>46230</v>
      </c>
      <c r="R268" s="319">
        <v>46230</v>
      </c>
      <c r="S268" s="319">
        <v>46230</v>
      </c>
      <c r="T268" s="319">
        <v>46237</v>
      </c>
      <c r="U268" s="319">
        <v>46247</v>
      </c>
      <c r="V268" s="319">
        <v>46261</v>
      </c>
      <c r="W268" s="319"/>
      <c r="X268" s="319">
        <v>46268</v>
      </c>
      <c r="Y268" s="319">
        <v>46272</v>
      </c>
      <c r="Z268" s="319">
        <v>46279</v>
      </c>
      <c r="AA268" s="319">
        <v>46294</v>
      </c>
      <c r="AB268" s="319">
        <v>46309</v>
      </c>
      <c r="AC268" s="319">
        <v>46339</v>
      </c>
      <c r="AD268" s="319">
        <v>46339</v>
      </c>
      <c r="AE268" s="319">
        <v>46341</v>
      </c>
      <c r="AF268" s="319">
        <v>46344</v>
      </c>
      <c r="AG268" s="319">
        <v>46351</v>
      </c>
      <c r="AH268" s="319">
        <v>46358</v>
      </c>
      <c r="AI268" s="319">
        <v>46372</v>
      </c>
      <c r="AJ268" s="319">
        <v>46388</v>
      </c>
      <c r="AK268" s="320">
        <v>12.8571428571429</v>
      </c>
      <c r="AL268" s="321"/>
      <c r="AM268" s="319">
        <f>X268+AL269</f>
        <v>46358</v>
      </c>
      <c r="AN268" s="322"/>
      <c r="AO268" s="322"/>
      <c r="AP268" s="322"/>
      <c r="AQ268" s="322"/>
      <c r="AR268" s="314">
        <f>AN269-AM268</f>
        <v>2</v>
      </c>
      <c r="AS268" s="323"/>
      <c r="AT268" s="324" t="s">
        <v>62</v>
      </c>
      <c r="AU268" s="325">
        <v>46367</v>
      </c>
    </row>
    <row r="269" spans="1:48" s="264" customFormat="1" ht="25.05" customHeight="1">
      <c r="A269" s="309"/>
      <c r="B269" s="310" t="s">
        <v>301</v>
      </c>
      <c r="C269" s="310" t="s">
        <v>302</v>
      </c>
      <c r="D269" s="363"/>
      <c r="E269" s="312"/>
      <c r="F269" s="363"/>
      <c r="G269" s="314">
        <v>15</v>
      </c>
      <c r="H269" s="315" t="s">
        <v>298</v>
      </c>
      <c r="I269" s="314" t="s">
        <v>297</v>
      </c>
      <c r="J269" s="310" t="s">
        <v>72</v>
      </c>
      <c r="K269" s="310">
        <v>2</v>
      </c>
      <c r="L269" s="310" t="s">
        <v>9</v>
      </c>
      <c r="M269" s="317" t="s">
        <v>65</v>
      </c>
      <c r="N269" s="319">
        <v>46198</v>
      </c>
      <c r="O269" s="319"/>
      <c r="P269" s="319"/>
      <c r="Q269" s="319"/>
      <c r="R269" s="319"/>
      <c r="S269" s="319">
        <f>WORKDAY.INTL(R270,INDEX(S$8:S$11,MATCH($L269,$L$8:$L$11,0)),1,IF(S$18="China",'China Holidays'!$A$2:$A$82,'Thai Holidays'!$A$2:$A$63))</f>
        <v>46222</v>
      </c>
      <c r="T269" s="319">
        <f>WORKDAY.INTL(S269,INDEX(T$8:T$11,MATCH($L269,$L$8:$L$11,0)),1,IF(T$18="China",'China Holidays'!$A$2:$A$82,'Thai Holidays'!$A$2:$A$63))</f>
        <v>46227</v>
      </c>
      <c r="U269" s="319">
        <f>WORKDAY.INTL(T269,INDEX(U$8:U$11,MATCH($L269,$L$8:$L$11,0)),1,IF(U$18="China",'China Holidays'!$A$2:$A$82,'Thai Holidays'!$A$2:$A$63))</f>
        <v>46240</v>
      </c>
      <c r="V269" s="319">
        <f>WORKDAY.INTL(U269,INDEX(V$8:V$11,MATCH($L269,$L$8:$L$11,0)),1,IF(V$18="China",'China Holidays'!$A$2:$A$82,'Thai Holidays'!$A$2:$A$63))</f>
        <v>46255</v>
      </c>
      <c r="W269" s="319"/>
      <c r="X269" s="319">
        <f>WORKDAY.INTL(V269,INDEX(X$8:X$11,MATCH($L269,$L$8:$L$11,0)),1,IF(X$18="China",'China Holidays'!$A$2:$A$82,'Thai Holidays'!$A$2:$A$63))</f>
        <v>46262</v>
      </c>
      <c r="Y269" s="319">
        <f>WORKDAY.INTL(X269,INDEX(Y$12:Y$15,MATCH($L269,$L$12:$L$15,0)),1,IF(Y$18="China",'China Holidays'!$A$2:$A$82,'Thai Holidays'!$A$2:$A$63))</f>
        <v>46266</v>
      </c>
      <c r="Z269" s="319">
        <f>WORKDAY.INTL(Y269,INDEX(Z$12:Z$15,MATCH($L269,$L$12:$L$15,0)),1,IF(Z$18="China",'China Holidays'!$A$2:$A$82,'Thai Holidays'!$A$2:$A$63))</f>
        <v>46273</v>
      </c>
      <c r="AA269" s="319">
        <f>WORKDAY.INTL(Z269,INDEX(AA$12:AA$15,MATCH($L269,$L$12:$L$15,0)),1,IF(AA$18="China",'China Holidays'!$A$2:$A$82,'Thai Holidays'!$A$2:$A$63))</f>
        <v>46287</v>
      </c>
      <c r="AB269" s="319">
        <f>WORKDAY.INTL(AA269,INDEX(AB$12:AB$15,MATCH($L269,$L$12:$L$15,0)),1,IF(AB$18="China",'China Holidays'!$A$2:$A$82,'Thai Holidays'!$A$2:$A$63))</f>
        <v>46301</v>
      </c>
      <c r="AC269" s="319">
        <f>AB269+30</f>
        <v>46331</v>
      </c>
      <c r="AD269" s="319">
        <f>AC269</f>
        <v>46331</v>
      </c>
      <c r="AE269" s="319">
        <f>AD269+2</f>
        <v>46333</v>
      </c>
      <c r="AF269" s="319">
        <f>AG269-7</f>
        <v>46338</v>
      </c>
      <c r="AG269" s="319">
        <f>AH269-7</f>
        <v>46345</v>
      </c>
      <c r="AH269" s="319">
        <f>AM269</f>
        <v>46352</v>
      </c>
      <c r="AI269" s="319">
        <f>AM269+14</f>
        <v>46366</v>
      </c>
      <c r="AJ269" s="319">
        <f>AM269+30</f>
        <v>46382</v>
      </c>
      <c r="AK269" s="343"/>
      <c r="AL269" s="321">
        <f>AK268*7</f>
        <v>90.000000000000298</v>
      </c>
      <c r="AM269" s="319">
        <f>IF(X269&lt;&gt;"",X269+AL269,X270+AL269)</f>
        <v>46352</v>
      </c>
      <c r="AN269" s="322">
        <f>AU268-7</f>
        <v>46360</v>
      </c>
      <c r="AO269" s="322">
        <f>AP269-7</f>
        <v>46379</v>
      </c>
      <c r="AP269" s="322">
        <v>46386</v>
      </c>
      <c r="AQ269" s="322"/>
      <c r="AR269" s="314">
        <f>AN269-AM269</f>
        <v>8</v>
      </c>
      <c r="AS269" s="323"/>
      <c r="AT269" s="324" t="s">
        <v>66</v>
      </c>
      <c r="AU269" s="325">
        <v>46367</v>
      </c>
      <c r="AV269" s="265"/>
    </row>
    <row r="270" spans="1:48" s="264" customFormat="1" ht="25.05" customHeight="1">
      <c r="A270" s="327"/>
      <c r="B270" s="328" t="s">
        <v>301</v>
      </c>
      <c r="C270" s="328" t="s">
        <v>302</v>
      </c>
      <c r="D270" s="364"/>
      <c r="E270" s="330"/>
      <c r="F270" s="364"/>
      <c r="G270" s="332"/>
      <c r="H270" s="425"/>
      <c r="I270" s="332" t="s">
        <v>297</v>
      </c>
      <c r="J270" s="328" t="s">
        <v>72</v>
      </c>
      <c r="K270" s="310">
        <v>2</v>
      </c>
      <c r="L270" s="328" t="s">
        <v>9</v>
      </c>
      <c r="M270" s="334" t="s">
        <v>67</v>
      </c>
      <c r="N270" s="335"/>
      <c r="O270" s="335">
        <v>46210</v>
      </c>
      <c r="P270" s="347">
        <v>46222</v>
      </c>
      <c r="Q270" s="347">
        <v>46222</v>
      </c>
      <c r="R270" s="335">
        <f>Q270</f>
        <v>46222</v>
      </c>
      <c r="S270" s="335"/>
      <c r="T270" s="335"/>
      <c r="U270" s="335"/>
      <c r="V270" s="335"/>
      <c r="W270" s="335"/>
      <c r="X270" s="332"/>
      <c r="Y270" s="335"/>
      <c r="Z270" s="335"/>
      <c r="AA270" s="335"/>
      <c r="AB270" s="335"/>
      <c r="AC270" s="335"/>
      <c r="AD270" s="335"/>
      <c r="AE270" s="335"/>
      <c r="AF270" s="335"/>
      <c r="AG270" s="335"/>
      <c r="AH270" s="335"/>
      <c r="AI270" s="335"/>
      <c r="AJ270" s="335"/>
      <c r="AK270" s="336"/>
      <c r="AL270" s="337"/>
      <c r="AM270" s="335"/>
      <c r="AN270" s="338"/>
      <c r="AO270" s="338"/>
      <c r="AP270" s="338"/>
      <c r="AQ270" s="338"/>
      <c r="AR270" s="332"/>
      <c r="AS270" s="339"/>
      <c r="AT270" s="340"/>
      <c r="AU270" s="339"/>
    </row>
    <row r="271" spans="1:48" s="264" customFormat="1" ht="25.05" customHeight="1">
      <c r="A271" s="309">
        <v>88</v>
      </c>
      <c r="B271" s="310" t="s">
        <v>303</v>
      </c>
      <c r="C271" s="310" t="s">
        <v>304</v>
      </c>
      <c r="D271" s="361"/>
      <c r="E271" s="312"/>
      <c r="F271" s="362"/>
      <c r="G271" s="314"/>
      <c r="H271" s="315"/>
      <c r="I271" s="314" t="s">
        <v>297</v>
      </c>
      <c r="J271" s="310"/>
      <c r="K271" s="316"/>
      <c r="L271" s="310" t="s">
        <v>9</v>
      </c>
      <c r="M271" s="317" t="s">
        <v>61</v>
      </c>
      <c r="N271" s="318"/>
      <c r="O271" s="319">
        <v>46216</v>
      </c>
      <c r="P271" s="319">
        <v>46230</v>
      </c>
      <c r="Q271" s="319">
        <v>46230</v>
      </c>
      <c r="R271" s="319">
        <v>46230</v>
      </c>
      <c r="S271" s="319">
        <v>46230</v>
      </c>
      <c r="T271" s="319">
        <v>46237</v>
      </c>
      <c r="U271" s="319">
        <v>46247</v>
      </c>
      <c r="V271" s="319">
        <v>46261</v>
      </c>
      <c r="W271" s="319"/>
      <c r="X271" s="319">
        <v>46268</v>
      </c>
      <c r="Y271" s="319">
        <v>46272</v>
      </c>
      <c r="Z271" s="319">
        <v>46279</v>
      </c>
      <c r="AA271" s="319">
        <v>46294</v>
      </c>
      <c r="AB271" s="319">
        <v>46309</v>
      </c>
      <c r="AC271" s="319">
        <v>46339</v>
      </c>
      <c r="AD271" s="319">
        <v>46339</v>
      </c>
      <c r="AE271" s="319">
        <v>46341</v>
      </c>
      <c r="AF271" s="319">
        <v>46344</v>
      </c>
      <c r="AG271" s="319">
        <v>46351</v>
      </c>
      <c r="AH271" s="319">
        <v>46388</v>
      </c>
      <c r="AI271" s="319">
        <v>46402</v>
      </c>
      <c r="AJ271" s="319">
        <v>46418</v>
      </c>
      <c r="AK271" s="320">
        <v>17.1428571428571</v>
      </c>
      <c r="AL271" s="321"/>
      <c r="AM271" s="319">
        <f>X271+AL272</f>
        <v>46388</v>
      </c>
      <c r="AN271" s="322"/>
      <c r="AO271" s="322"/>
      <c r="AP271" s="322"/>
      <c r="AQ271" s="322"/>
      <c r="AR271" s="314">
        <f>AN272-AM271</f>
        <v>-9</v>
      </c>
      <c r="AS271" s="323"/>
      <c r="AT271" s="324" t="s">
        <v>62</v>
      </c>
      <c r="AU271" s="325">
        <v>46386</v>
      </c>
    </row>
    <row r="272" spans="1:48" s="264" customFormat="1" ht="25.05" customHeight="1">
      <c r="A272" s="309"/>
      <c r="B272" s="310" t="s">
        <v>303</v>
      </c>
      <c r="C272" s="310" t="s">
        <v>304</v>
      </c>
      <c r="D272" s="363"/>
      <c r="E272" s="312"/>
      <c r="F272" s="363"/>
      <c r="G272" s="314">
        <v>4</v>
      </c>
      <c r="H272" s="315" t="s">
        <v>298</v>
      </c>
      <c r="I272" s="314" t="s">
        <v>297</v>
      </c>
      <c r="J272" s="310" t="s">
        <v>72</v>
      </c>
      <c r="K272" s="310">
        <v>2</v>
      </c>
      <c r="L272" s="310" t="s">
        <v>9</v>
      </c>
      <c r="M272" s="317" t="s">
        <v>65</v>
      </c>
      <c r="N272" s="319">
        <v>46198</v>
      </c>
      <c r="O272" s="319"/>
      <c r="P272" s="319"/>
      <c r="Q272" s="319"/>
      <c r="R272" s="319"/>
      <c r="S272" s="319">
        <f>WORKDAY.INTL(R273,INDEX(S$8:S$11,MATCH($L272,$L$8:$L$11,0)),1,IF(S$18="China",'China Holidays'!$A$2:$A$82,'Thai Holidays'!$A$2:$A$63))</f>
        <v>46222</v>
      </c>
      <c r="T272" s="319">
        <f>WORKDAY.INTL(S272,INDEX(T$8:T$11,MATCH($L272,$L$8:$L$11,0)),1,IF(T$18="China",'China Holidays'!$A$2:$A$82,'Thai Holidays'!$A$2:$A$63))</f>
        <v>46227</v>
      </c>
      <c r="U272" s="319">
        <f>WORKDAY.INTL(T272,INDEX(U$8:U$11,MATCH($L272,$L$8:$L$11,0)),1,IF(U$18="China",'China Holidays'!$A$2:$A$82,'Thai Holidays'!$A$2:$A$63))</f>
        <v>46240</v>
      </c>
      <c r="V272" s="319">
        <f>WORKDAY.INTL(U272,INDEX(V$8:V$11,MATCH($L272,$L$8:$L$11,0)),1,IF(V$18="China",'China Holidays'!$A$2:$A$82,'Thai Holidays'!$A$2:$A$63))</f>
        <v>46255</v>
      </c>
      <c r="W272" s="319"/>
      <c r="X272" s="319">
        <f>WORKDAY.INTL(V272,INDEX(X$8:X$11,MATCH($L272,$L$8:$L$11,0)),1,IF(X$18="China",'China Holidays'!$A$2:$A$82,'Thai Holidays'!$A$2:$A$63))</f>
        <v>46262</v>
      </c>
      <c r="Y272" s="319">
        <f>WORKDAY.INTL(X272,INDEX(Y$12:Y$15,MATCH($L272,$L$12:$L$15,0)),1,IF(Y$18="China",'China Holidays'!$A$2:$A$82,'Thai Holidays'!$A$2:$A$63))</f>
        <v>46266</v>
      </c>
      <c r="Z272" s="319">
        <f>WORKDAY.INTL(Y272,INDEX(Z$12:Z$15,MATCH($L272,$L$12:$L$15,0)),1,IF(Z$18="China",'China Holidays'!$A$2:$A$82,'Thai Holidays'!$A$2:$A$63))</f>
        <v>46273</v>
      </c>
      <c r="AA272" s="319">
        <f>WORKDAY.INTL(Z272,INDEX(AA$12:AA$15,MATCH($L272,$L$12:$L$15,0)),1,IF(AA$18="China",'China Holidays'!$A$2:$A$82,'Thai Holidays'!$A$2:$A$63))</f>
        <v>46287</v>
      </c>
      <c r="AB272" s="319">
        <f>WORKDAY.INTL(AA272,INDEX(AB$12:AB$15,MATCH($L272,$L$12:$L$15,0)),1,IF(AB$18="China",'China Holidays'!$A$2:$A$82,'Thai Holidays'!$A$2:$A$63))</f>
        <v>46301</v>
      </c>
      <c r="AC272" s="319">
        <f>AB272+30</f>
        <v>46331</v>
      </c>
      <c r="AD272" s="319">
        <f>AC272</f>
        <v>46331</v>
      </c>
      <c r="AE272" s="319">
        <f>AD272+2</f>
        <v>46333</v>
      </c>
      <c r="AF272" s="319">
        <f>AG272-7</f>
        <v>46368</v>
      </c>
      <c r="AG272" s="319">
        <f>AH272-7</f>
        <v>46375</v>
      </c>
      <c r="AH272" s="319">
        <f>AM272</f>
        <v>46382</v>
      </c>
      <c r="AI272" s="319">
        <f>AM272+14</f>
        <v>46396</v>
      </c>
      <c r="AJ272" s="319">
        <f>AM272+30</f>
        <v>46412</v>
      </c>
      <c r="AK272" s="343"/>
      <c r="AL272" s="321">
        <f>AK271*7</f>
        <v>119.9999999999997</v>
      </c>
      <c r="AM272" s="319">
        <f>IF(X272&lt;&gt;"",X272+AL272,X273+AL272)</f>
        <v>46382</v>
      </c>
      <c r="AN272" s="322">
        <f>AU271-7</f>
        <v>46379</v>
      </c>
      <c r="AO272" s="322">
        <f>AP272-7</f>
        <v>46379</v>
      </c>
      <c r="AP272" s="322">
        <v>46386</v>
      </c>
      <c r="AQ272" s="322"/>
      <c r="AR272" s="314">
        <f>AN272-AM272</f>
        <v>-3</v>
      </c>
      <c r="AS272" s="323"/>
      <c r="AT272" s="324" t="s">
        <v>66</v>
      </c>
      <c r="AU272" s="325">
        <v>46386</v>
      </c>
      <c r="AV272" s="265"/>
    </row>
    <row r="273" spans="1:48" s="264" customFormat="1" ht="25.05" customHeight="1">
      <c r="A273" s="327"/>
      <c r="B273" s="328" t="s">
        <v>303</v>
      </c>
      <c r="C273" s="328" t="s">
        <v>304</v>
      </c>
      <c r="D273" s="364"/>
      <c r="E273" s="330"/>
      <c r="F273" s="364"/>
      <c r="G273" s="332"/>
      <c r="H273" s="333"/>
      <c r="I273" s="332" t="s">
        <v>297</v>
      </c>
      <c r="J273" s="328" t="s">
        <v>72</v>
      </c>
      <c r="K273" s="310">
        <v>2</v>
      </c>
      <c r="L273" s="328" t="s">
        <v>9</v>
      </c>
      <c r="M273" s="334" t="s">
        <v>67</v>
      </c>
      <c r="N273" s="335"/>
      <c r="O273" s="335">
        <v>46210</v>
      </c>
      <c r="P273" s="347">
        <v>46222</v>
      </c>
      <c r="Q273" s="347">
        <v>46222</v>
      </c>
      <c r="R273" s="335">
        <f>Q273</f>
        <v>46222</v>
      </c>
      <c r="S273" s="335"/>
      <c r="T273" s="335"/>
      <c r="U273" s="335"/>
      <c r="V273" s="335"/>
      <c r="W273" s="335"/>
      <c r="X273" s="332"/>
      <c r="Y273" s="335"/>
      <c r="Z273" s="335"/>
      <c r="AA273" s="335"/>
      <c r="AB273" s="335"/>
      <c r="AC273" s="335"/>
      <c r="AD273" s="335"/>
      <c r="AE273" s="335"/>
      <c r="AF273" s="335"/>
      <c r="AG273" s="335"/>
      <c r="AH273" s="335"/>
      <c r="AI273" s="335"/>
      <c r="AJ273" s="335"/>
      <c r="AK273" s="336"/>
      <c r="AL273" s="337"/>
      <c r="AM273" s="335"/>
      <c r="AN273" s="338"/>
      <c r="AO273" s="338"/>
      <c r="AP273" s="338"/>
      <c r="AQ273" s="338"/>
      <c r="AR273" s="332"/>
      <c r="AS273" s="339"/>
      <c r="AT273" s="340"/>
      <c r="AU273" s="358" t="s">
        <v>305</v>
      </c>
    </row>
    <row r="274" spans="1:48" s="264" customFormat="1" ht="25.05" customHeight="1">
      <c r="A274" s="309">
        <v>89</v>
      </c>
      <c r="B274" s="310" t="s">
        <v>306</v>
      </c>
      <c r="C274" s="310" t="s">
        <v>307</v>
      </c>
      <c r="D274" s="361"/>
      <c r="E274" s="312"/>
      <c r="F274" s="362"/>
      <c r="G274" s="314"/>
      <c r="H274" s="315"/>
      <c r="I274" s="314" t="s">
        <v>201</v>
      </c>
      <c r="J274" s="310"/>
      <c r="K274" s="316"/>
      <c r="L274" s="310" t="s">
        <v>9</v>
      </c>
      <c r="M274" s="317" t="s">
        <v>61</v>
      </c>
      <c r="N274" s="318"/>
      <c r="O274" s="319">
        <v>46274</v>
      </c>
      <c r="P274" s="319">
        <v>46288</v>
      </c>
      <c r="Q274" s="319">
        <v>46288</v>
      </c>
      <c r="R274" s="319">
        <v>46288</v>
      </c>
      <c r="S274" s="319">
        <v>46288</v>
      </c>
      <c r="T274" s="319">
        <v>46303</v>
      </c>
      <c r="U274" s="319">
        <v>46315</v>
      </c>
      <c r="V274" s="319">
        <v>46330</v>
      </c>
      <c r="W274" s="319"/>
      <c r="X274" s="319">
        <v>46337</v>
      </c>
      <c r="Y274" s="319">
        <v>46339</v>
      </c>
      <c r="Z274" s="319">
        <v>46346</v>
      </c>
      <c r="AA274" s="319">
        <v>46360</v>
      </c>
      <c r="AB274" s="319">
        <v>46377</v>
      </c>
      <c r="AC274" s="319">
        <v>46387</v>
      </c>
      <c r="AD274" s="319">
        <v>46387</v>
      </c>
      <c r="AE274" s="319">
        <v>46389</v>
      </c>
      <c r="AF274" s="319">
        <v>46423</v>
      </c>
      <c r="AG274" s="319">
        <v>46430</v>
      </c>
      <c r="AH274" s="319">
        <v>46437</v>
      </c>
      <c r="AI274" s="319">
        <v>46451</v>
      </c>
      <c r="AJ274" s="319">
        <v>46467</v>
      </c>
      <c r="AK274" s="320">
        <v>14.285714285714301</v>
      </c>
      <c r="AL274" s="321"/>
      <c r="AM274" s="319">
        <f>X274+AL275</f>
        <v>46437</v>
      </c>
      <c r="AN274" s="322"/>
      <c r="AO274" s="322"/>
      <c r="AP274" s="322"/>
      <c r="AQ274" s="322"/>
      <c r="AR274" s="314">
        <f>AN275-AM274</f>
        <v>20</v>
      </c>
      <c r="AS274" s="323"/>
      <c r="AT274" s="324" t="s">
        <v>62</v>
      </c>
      <c r="AU274" s="325">
        <v>46464</v>
      </c>
    </row>
    <row r="275" spans="1:48" s="264" customFormat="1" ht="25.05" customHeight="1">
      <c r="A275" s="309"/>
      <c r="B275" s="310" t="s">
        <v>306</v>
      </c>
      <c r="C275" s="310" t="s">
        <v>307</v>
      </c>
      <c r="D275" s="363"/>
      <c r="E275" s="312"/>
      <c r="F275" s="363"/>
      <c r="G275" s="314">
        <v>130</v>
      </c>
      <c r="H275" s="315" t="s">
        <v>308</v>
      </c>
      <c r="I275" s="314" t="s">
        <v>201</v>
      </c>
      <c r="J275" s="310" t="s">
        <v>72</v>
      </c>
      <c r="K275" s="310">
        <v>3</v>
      </c>
      <c r="L275" s="310" t="s">
        <v>9</v>
      </c>
      <c r="M275" s="317" t="s">
        <v>65</v>
      </c>
      <c r="N275" s="319">
        <v>46261</v>
      </c>
      <c r="O275" s="319"/>
      <c r="P275" s="319"/>
      <c r="Q275" s="319"/>
      <c r="R275" s="319"/>
      <c r="S275" s="319">
        <f>WORKDAY.INTL(R276,INDEX(S$8:S$11,MATCH($L275,$L$8:$L$11,0)),1,IF(S$18="China",'China Holidays'!$A$2:$A$82,'Thai Holidays'!$A$2:$A$63))</f>
        <v>46188</v>
      </c>
      <c r="T275" s="319">
        <f>WORKDAY.INTL(S275,INDEX(T$8:T$11,MATCH($L275,$L$8:$L$11,0)),1,IF(T$18="China",'China Holidays'!$A$2:$A$82,'Thai Holidays'!$A$2:$A$63))</f>
        <v>46196</v>
      </c>
      <c r="U275" s="319">
        <f>WORKDAY.INTL(T275,INDEX(U$8:U$11,MATCH($L275,$L$8:$L$11,0)),1,IF(U$18="China",'China Holidays'!$A$2:$A$82,'Thai Holidays'!$A$2:$A$63))</f>
        <v>46205</v>
      </c>
      <c r="V275" s="319">
        <f>WORKDAY.INTL(U275,INDEX(V$8:V$11,MATCH($L275,$L$8:$L$11,0)),1,IF(V$18="China",'China Holidays'!$A$2:$A$82,'Thai Holidays'!$A$2:$A$63))</f>
        <v>46219</v>
      </c>
      <c r="W275" s="319"/>
      <c r="X275" s="319">
        <f>WORKDAY.INTL(V275,INDEX(X$8:X$11,MATCH($L275,$L$8:$L$11,0)),1,IF(X$18="China",'China Holidays'!$A$2:$A$82,'Thai Holidays'!$A$2:$A$63))</f>
        <v>46226</v>
      </c>
      <c r="Y275" s="319">
        <f>WORKDAY.INTL(X275,INDEX(Y$12:Y$15,MATCH($L275,$L$12:$L$15,0)),1,IF(Y$18="China",'China Holidays'!$A$2:$A$82,'Thai Holidays'!$A$2:$A$63))</f>
        <v>46230</v>
      </c>
      <c r="Z275" s="319">
        <f>WORKDAY.INTL(Y275,INDEX(Z$12:Z$15,MATCH($L275,$L$12:$L$15,0)),1,IF(Z$18="China",'China Holidays'!$A$2:$A$82,'Thai Holidays'!$A$2:$A$63))</f>
        <v>46237</v>
      </c>
      <c r="AA275" s="319">
        <f>WORKDAY.INTL(Z275,INDEX(AA$12:AA$15,MATCH($L275,$L$12:$L$15,0)),1,IF(AA$18="China",'China Holidays'!$A$2:$A$82,'Thai Holidays'!$A$2:$A$63))</f>
        <v>46251</v>
      </c>
      <c r="AB275" s="319">
        <f>WORKDAY.INTL(AA275,INDEX(AB$12:AB$15,MATCH($L275,$L$12:$L$15,0)),1,IF(AB$18="China",'China Holidays'!$A$2:$A$82,'Thai Holidays'!$A$2:$A$63))</f>
        <v>46265</v>
      </c>
      <c r="AC275" s="319">
        <f>AB275+10</f>
        <v>46275</v>
      </c>
      <c r="AD275" s="319">
        <f>AC275</f>
        <v>46275</v>
      </c>
      <c r="AE275" s="319">
        <f>AD275+2</f>
        <v>46277</v>
      </c>
      <c r="AF275" s="319">
        <f>AG275-7</f>
        <v>46312</v>
      </c>
      <c r="AG275" s="319">
        <f>AH275-7</f>
        <v>46319</v>
      </c>
      <c r="AH275" s="319">
        <f>AM275</f>
        <v>46326</v>
      </c>
      <c r="AI275" s="319">
        <f>AM275+14</f>
        <v>46340</v>
      </c>
      <c r="AJ275" s="319">
        <f>AM275+30</f>
        <v>46356</v>
      </c>
      <c r="AK275" s="343"/>
      <c r="AL275" s="321">
        <f>AK274*7</f>
        <v>100.0000000000001</v>
      </c>
      <c r="AM275" s="319">
        <f>IF(X275&lt;&gt;"",X275+AL275,X276+AL275)</f>
        <v>46326</v>
      </c>
      <c r="AN275" s="322">
        <f>AU274-7</f>
        <v>46457</v>
      </c>
      <c r="AO275" s="322">
        <f>AP275-7</f>
        <v>46448</v>
      </c>
      <c r="AP275" s="322">
        <v>46455</v>
      </c>
      <c r="AQ275" s="322"/>
      <c r="AR275" s="314">
        <f>AN275-AM275</f>
        <v>131</v>
      </c>
      <c r="AS275" s="323"/>
      <c r="AT275" s="324" t="s">
        <v>66</v>
      </c>
      <c r="AU275" s="325">
        <v>46476</v>
      </c>
      <c r="AV275" s="265"/>
    </row>
    <row r="276" spans="1:48" s="264" customFormat="1" ht="25.05" customHeight="1">
      <c r="A276" s="327"/>
      <c r="B276" s="328" t="s">
        <v>306</v>
      </c>
      <c r="C276" s="328" t="s">
        <v>307</v>
      </c>
      <c r="D276" s="364"/>
      <c r="E276" s="330"/>
      <c r="F276" s="364"/>
      <c r="G276" s="332"/>
      <c r="H276" s="333"/>
      <c r="I276" s="332" t="s">
        <v>201</v>
      </c>
      <c r="J276" s="328" t="s">
        <v>72</v>
      </c>
      <c r="K276" s="310">
        <v>3</v>
      </c>
      <c r="L276" s="328" t="s">
        <v>9</v>
      </c>
      <c r="M276" s="334" t="s">
        <v>67</v>
      </c>
      <c r="N276" s="335"/>
      <c r="O276" s="335">
        <v>46171</v>
      </c>
      <c r="P276" s="335">
        <v>46188</v>
      </c>
      <c r="Q276" s="335">
        <v>46188</v>
      </c>
      <c r="R276" s="335">
        <v>46188</v>
      </c>
      <c r="S276" s="335"/>
      <c r="T276" s="335"/>
      <c r="U276" s="335"/>
      <c r="V276" s="335"/>
      <c r="W276" s="335"/>
      <c r="X276" s="332"/>
      <c r="Y276" s="335"/>
      <c r="Z276" s="335"/>
      <c r="AA276" s="335"/>
      <c r="AB276" s="335"/>
      <c r="AC276" s="335"/>
      <c r="AD276" s="335"/>
      <c r="AE276" s="335"/>
      <c r="AF276" s="335"/>
      <c r="AG276" s="335"/>
      <c r="AH276" s="335"/>
      <c r="AI276" s="335"/>
      <c r="AJ276" s="335"/>
      <c r="AK276" s="336"/>
      <c r="AL276" s="337"/>
      <c r="AM276" s="335"/>
      <c r="AN276" s="338"/>
      <c r="AO276" s="338"/>
      <c r="AP276" s="338"/>
      <c r="AQ276" s="338"/>
      <c r="AR276" s="332"/>
      <c r="AS276" s="339"/>
      <c r="AT276" s="340"/>
      <c r="AU276" s="339"/>
    </row>
    <row r="277" spans="1:48" s="264" customFormat="1" ht="25.05" customHeight="1">
      <c r="A277" s="309">
        <v>90</v>
      </c>
      <c r="B277" s="310" t="s">
        <v>309</v>
      </c>
      <c r="C277" s="310" t="s">
        <v>310</v>
      </c>
      <c r="D277" s="361"/>
      <c r="E277" s="312"/>
      <c r="F277" s="362"/>
      <c r="G277" s="314"/>
      <c r="H277" s="315"/>
      <c r="I277" s="314" t="s">
        <v>225</v>
      </c>
      <c r="J277" s="310"/>
      <c r="K277" s="316"/>
      <c r="L277" s="310" t="s">
        <v>9</v>
      </c>
      <c r="M277" s="317" t="s">
        <v>61</v>
      </c>
      <c r="N277" s="318"/>
      <c r="O277" s="319">
        <v>46258</v>
      </c>
      <c r="P277" s="319">
        <v>46272</v>
      </c>
      <c r="Q277" s="319">
        <v>46272</v>
      </c>
      <c r="R277" s="319">
        <v>46272</v>
      </c>
      <c r="S277" s="319">
        <v>46272</v>
      </c>
      <c r="T277" s="319">
        <v>46279</v>
      </c>
      <c r="U277" s="319">
        <v>46288</v>
      </c>
      <c r="V277" s="319">
        <v>46302</v>
      </c>
      <c r="W277" s="319"/>
      <c r="X277" s="319">
        <v>46309</v>
      </c>
      <c r="Y277" s="319">
        <v>46311</v>
      </c>
      <c r="Z277" s="319">
        <v>46318</v>
      </c>
      <c r="AA277" s="426">
        <v>46332</v>
      </c>
      <c r="AB277" s="319">
        <v>46346</v>
      </c>
      <c r="AC277" s="319">
        <v>46356</v>
      </c>
      <c r="AD277" s="319">
        <v>46356</v>
      </c>
      <c r="AE277" s="319">
        <v>46357</v>
      </c>
      <c r="AF277" s="319">
        <v>46362</v>
      </c>
      <c r="AG277" s="319">
        <v>46365</v>
      </c>
      <c r="AH277" s="319">
        <v>46369</v>
      </c>
      <c r="AI277" s="319">
        <v>46379</v>
      </c>
      <c r="AJ277" s="319">
        <v>46389</v>
      </c>
      <c r="AK277" s="320">
        <v>8.5714285714285694</v>
      </c>
      <c r="AL277" s="321"/>
      <c r="AM277" s="319">
        <f>X277+AL278</f>
        <v>46369</v>
      </c>
      <c r="AN277" s="322"/>
      <c r="AO277" s="322"/>
      <c r="AP277" s="322"/>
      <c r="AQ277" s="322"/>
      <c r="AR277" s="314">
        <f>AN278-AM277</f>
        <v>10</v>
      </c>
      <c r="AS277" s="323"/>
      <c r="AT277" s="324" t="s">
        <v>62</v>
      </c>
      <c r="AU277" s="325">
        <v>46386</v>
      </c>
    </row>
    <row r="278" spans="1:48" s="264" customFormat="1" ht="25.05" customHeight="1">
      <c r="A278" s="309"/>
      <c r="B278" s="310" t="s">
        <v>309</v>
      </c>
      <c r="C278" s="310" t="s">
        <v>310</v>
      </c>
      <c r="D278" s="363"/>
      <c r="E278" s="312"/>
      <c r="F278" s="363"/>
      <c r="G278" s="314">
        <v>15</v>
      </c>
      <c r="H278" s="315" t="s">
        <v>311</v>
      </c>
      <c r="I278" s="314" t="s">
        <v>225</v>
      </c>
      <c r="J278" s="310" t="s">
        <v>64</v>
      </c>
      <c r="K278" s="310">
        <v>4</v>
      </c>
      <c r="L278" s="310" t="s">
        <v>9</v>
      </c>
      <c r="M278" s="317" t="s">
        <v>65</v>
      </c>
      <c r="N278" s="319">
        <v>46244</v>
      </c>
      <c r="O278" s="319"/>
      <c r="P278" s="319"/>
      <c r="Q278" s="319"/>
      <c r="R278" s="319"/>
      <c r="S278" s="319">
        <f>WORKDAY.INTL(R279,INDEX(S$8:S$11,MATCH($L278,$L$8:$L$11,0)),1,IF(S$18="China",'China Holidays'!$A$2:$A$82,'Thai Holidays'!$A$2:$A$63))</f>
        <v>46222</v>
      </c>
      <c r="T278" s="319">
        <f>WORKDAY.INTL(S278,INDEX(T$8:T$11,MATCH($L278,$L$8:$L$11,0)),1,IF(T$18="China",'China Holidays'!$A$2:$A$82,'Thai Holidays'!$A$2:$A$63))</f>
        <v>46227</v>
      </c>
      <c r="U278" s="319">
        <f>WORKDAY.INTL(T278,INDEX(U$8:U$11,MATCH($L278,$L$8:$L$11,0)),1,IF(U$18="China",'China Holidays'!$A$2:$A$82,'Thai Holidays'!$A$2:$A$63))</f>
        <v>46240</v>
      </c>
      <c r="V278" s="319">
        <f>WORKDAY.INTL(U278,INDEX(V$8:V$11,MATCH($L278,$L$8:$L$11,0)),1,IF(V$18="China",'China Holidays'!$A$2:$A$82,'Thai Holidays'!$A$2:$A$63))</f>
        <v>46255</v>
      </c>
      <c r="W278" s="319"/>
      <c r="X278" s="319">
        <f>WORKDAY.INTL(V278,INDEX(X$8:X$11,MATCH($L278,$L$8:$L$11,0)),1,IF(X$18="China",'China Holidays'!$A$2:$A$82,'Thai Holidays'!$A$2:$A$63))</f>
        <v>46262</v>
      </c>
      <c r="Y278" s="319">
        <f>WORKDAY.INTL(X278,INDEX(Y$12:Y$15,MATCH($L278,$L$12:$L$15,0)),1,IF(Y$18="China",'China Holidays'!$A$2:$A$82,'Thai Holidays'!$A$2:$A$63))</f>
        <v>46266</v>
      </c>
      <c r="Z278" s="319">
        <f>WORKDAY.INTL(Y278,INDEX(Z$12:Z$15,MATCH($L278,$L$12:$L$15,0)),1,IF(Z$18="China",'China Holidays'!$A$2:$A$82,'Thai Holidays'!$A$2:$A$63))</f>
        <v>46273</v>
      </c>
      <c r="AA278" s="319">
        <f>WORKDAY.INTL(Z278,INDEX(AA$12:AA$15,MATCH($L278,$L$12:$L$15,0)),1,IF(AA$18="China",'China Holidays'!$A$2:$A$82,'Thai Holidays'!$A$2:$A$63))</f>
        <v>46287</v>
      </c>
      <c r="AB278" s="319">
        <f>WORKDAY.INTL(AA278,INDEX(AB$12:AB$15,MATCH($L278,$L$12:$L$15,0)),1,IF(AB$18="China",'China Holidays'!$A$2:$A$82,'Thai Holidays'!$A$2:$A$63))</f>
        <v>46301</v>
      </c>
      <c r="AC278" s="319">
        <f>AB278+10</f>
        <v>46311</v>
      </c>
      <c r="AD278" s="319">
        <f>AC278</f>
        <v>46311</v>
      </c>
      <c r="AE278" s="319">
        <f>AD278+1</f>
        <v>46312</v>
      </c>
      <c r="AF278" s="319">
        <f>AG278-3</f>
        <v>46315</v>
      </c>
      <c r="AG278" s="319">
        <f t="shared" ref="AG278" si="0">AH278-4</f>
        <v>46318</v>
      </c>
      <c r="AH278" s="319">
        <f>AM278</f>
        <v>46322</v>
      </c>
      <c r="AI278" s="319">
        <f>AH278+10</f>
        <v>46332</v>
      </c>
      <c r="AJ278" s="319">
        <f>AH278+20</f>
        <v>46342</v>
      </c>
      <c r="AK278" s="343"/>
      <c r="AL278" s="321">
        <f>AK277*7</f>
        <v>59.999999999999986</v>
      </c>
      <c r="AM278" s="319">
        <f>IF(X278&lt;&gt;"",X278+AL278,X279+AL278)</f>
        <v>46322</v>
      </c>
      <c r="AN278" s="322">
        <f>AU277-7</f>
        <v>46379</v>
      </c>
      <c r="AO278" s="322">
        <f>AP278-3</f>
        <v>46718</v>
      </c>
      <c r="AP278" s="322">
        <v>46721</v>
      </c>
      <c r="AQ278" s="322"/>
      <c r="AR278" s="314">
        <f>AN278-AM278</f>
        <v>57</v>
      </c>
      <c r="AS278" s="427"/>
      <c r="AT278" s="324" t="s">
        <v>66</v>
      </c>
      <c r="AU278" s="325">
        <v>46402</v>
      </c>
      <c r="AV278" s="265"/>
    </row>
    <row r="279" spans="1:48" s="264" customFormat="1" ht="25.05" customHeight="1">
      <c r="A279" s="327"/>
      <c r="B279" s="328" t="s">
        <v>309</v>
      </c>
      <c r="C279" s="328" t="s">
        <v>310</v>
      </c>
      <c r="D279" s="364"/>
      <c r="E279" s="330"/>
      <c r="F279" s="364"/>
      <c r="G279" s="332"/>
      <c r="H279" s="333"/>
      <c r="I279" s="332" t="s">
        <v>225</v>
      </c>
      <c r="J279" s="328" t="s">
        <v>64</v>
      </c>
      <c r="K279" s="328">
        <v>4</v>
      </c>
      <c r="L279" s="328" t="s">
        <v>9</v>
      </c>
      <c r="M279" s="334" t="s">
        <v>67</v>
      </c>
      <c r="N279" s="335"/>
      <c r="O279" s="335">
        <v>46210</v>
      </c>
      <c r="P279" s="347">
        <v>46222</v>
      </c>
      <c r="Q279" s="347">
        <v>46222</v>
      </c>
      <c r="R279" s="335">
        <f>Q279</f>
        <v>46222</v>
      </c>
      <c r="S279" s="335"/>
      <c r="T279" s="335"/>
      <c r="U279" s="335"/>
      <c r="V279" s="335"/>
      <c r="W279" s="335"/>
      <c r="X279" s="332"/>
      <c r="Y279" s="335"/>
      <c r="Z279" s="335"/>
      <c r="AA279" s="335"/>
      <c r="AB279" s="335"/>
      <c r="AC279" s="335"/>
      <c r="AD279" s="335"/>
      <c r="AE279" s="335"/>
      <c r="AF279" s="335"/>
      <c r="AG279" s="335"/>
      <c r="AH279" s="335"/>
      <c r="AI279" s="335"/>
      <c r="AJ279" s="335"/>
      <c r="AK279" s="336"/>
      <c r="AL279" s="337"/>
      <c r="AM279" s="335"/>
      <c r="AN279" s="338"/>
      <c r="AO279" s="338"/>
      <c r="AP279" s="338"/>
      <c r="AQ279" s="338"/>
      <c r="AR279" s="332"/>
      <c r="AS279" s="339"/>
      <c r="AT279" s="340"/>
      <c r="AU279" s="358" t="s">
        <v>305</v>
      </c>
    </row>
    <row r="280" spans="1:48" s="264" customFormat="1" ht="25.05" customHeight="1">
      <c r="A280" s="309">
        <v>93</v>
      </c>
      <c r="B280" s="310" t="s">
        <v>312</v>
      </c>
      <c r="C280" s="310" t="s">
        <v>313</v>
      </c>
      <c r="D280" s="361"/>
      <c r="E280" s="312"/>
      <c r="F280" s="362"/>
      <c r="G280" s="314"/>
      <c r="H280" s="428"/>
      <c r="I280" s="314" t="s">
        <v>314</v>
      </c>
      <c r="J280" s="310"/>
      <c r="K280" s="316"/>
      <c r="L280" s="310" t="s">
        <v>9</v>
      </c>
      <c r="M280" s="317" t="s">
        <v>61</v>
      </c>
      <c r="N280" s="318"/>
      <c r="O280" s="319">
        <v>46223</v>
      </c>
      <c r="P280" s="319">
        <v>46239</v>
      </c>
      <c r="Q280" s="319">
        <v>46239</v>
      </c>
      <c r="R280" s="319">
        <v>46237</v>
      </c>
      <c r="S280" s="319">
        <v>46238</v>
      </c>
      <c r="T280" s="319">
        <v>46244</v>
      </c>
      <c r="U280" s="319">
        <v>46254</v>
      </c>
      <c r="V280" s="319">
        <v>46258</v>
      </c>
      <c r="W280" s="319"/>
      <c r="X280" s="319">
        <v>46265</v>
      </c>
      <c r="Y280" s="319">
        <v>46267</v>
      </c>
      <c r="Z280" s="319">
        <v>46274</v>
      </c>
      <c r="AA280" s="319">
        <v>46288</v>
      </c>
      <c r="AB280" s="319">
        <v>46302</v>
      </c>
      <c r="AC280" s="319">
        <f>AA280</f>
        <v>46288</v>
      </c>
      <c r="AD280" s="319">
        <v>46312</v>
      </c>
      <c r="AE280" s="319">
        <v>46314</v>
      </c>
      <c r="AF280" s="319">
        <f>AG280-3</f>
        <v>46315</v>
      </c>
      <c r="AG280" s="319">
        <f>AH280-3</f>
        <v>46318</v>
      </c>
      <c r="AH280" s="319">
        <f>AM280</f>
        <v>46321</v>
      </c>
      <c r="AI280" s="319">
        <f>AH280+10</f>
        <v>46331</v>
      </c>
      <c r="AJ280" s="319">
        <f>AH280+20</f>
        <v>46341</v>
      </c>
      <c r="AK280" s="320">
        <v>8</v>
      </c>
      <c r="AL280" s="321"/>
      <c r="AM280" s="319">
        <f>X280+AL281</f>
        <v>46321</v>
      </c>
      <c r="AN280" s="322"/>
      <c r="AO280" s="322"/>
      <c r="AP280" s="322"/>
      <c r="AQ280" s="322"/>
      <c r="AR280" s="314">
        <f>AN281-AM280</f>
        <v>28</v>
      </c>
      <c r="AS280" s="323"/>
      <c r="AT280" s="324" t="s">
        <v>62</v>
      </c>
      <c r="AU280" s="325">
        <v>46356</v>
      </c>
    </row>
    <row r="281" spans="1:48" s="264" customFormat="1" ht="25.05" customHeight="1">
      <c r="A281" s="429"/>
      <c r="B281" s="310" t="s">
        <v>312</v>
      </c>
      <c r="C281" s="310" t="s">
        <v>313</v>
      </c>
      <c r="D281" s="363"/>
      <c r="E281" s="312"/>
      <c r="F281" s="363"/>
      <c r="G281" s="314">
        <v>3</v>
      </c>
      <c r="H281" s="430"/>
      <c r="I281" s="314" t="s">
        <v>314</v>
      </c>
      <c r="J281" s="310" t="s">
        <v>72</v>
      </c>
      <c r="K281" s="310">
        <v>0</v>
      </c>
      <c r="L281" s="310" t="s">
        <v>9</v>
      </c>
      <c r="M281" s="317" t="s">
        <v>65</v>
      </c>
      <c r="N281" s="319">
        <v>46256</v>
      </c>
      <c r="O281" s="319">
        <v>46223</v>
      </c>
      <c r="P281" s="319">
        <f>WORKDAY.INTL(O281,INDEX(P$8:P$11,MATCH($L281,$L$8:$L$11,0)),1,IF(P$18="China",'China Holidays'!$A$2:$A$82,'Thai Holidays'!$A$2:$A$63))</f>
        <v>46239</v>
      </c>
      <c r="Q281" s="319">
        <f>WORKDAY.INTL(P281,INDEX(Q$8:Q$11,MATCH($L281,$L$8:$L$11,0)),1,IF(Q$18="China",'China Holidays'!$A$2:$A$82,'Thai Holidays'!$A$2:$A$63))</f>
        <v>46239</v>
      </c>
      <c r="R281" s="319">
        <f>WORKDAY.INTL(Q281,INDEX(R$8:R$11,MATCH($L281,$L$8:$L$11,0)),1,IF(R$18="China",'China Holidays'!$A$2:$A$82,'Thai Holidays'!$A$2:$A$63))</f>
        <v>46239</v>
      </c>
      <c r="S281" s="319">
        <f>WORKDAY.INTL(R281,INDEX(S$8:S$11,MATCH($L281,$L$8:$L$11,0)),1,IF(S$18="China",'China Holidays'!$A$2:$A$82,'Thai Holidays'!$A$2:$A$63))</f>
        <v>46239</v>
      </c>
      <c r="T281" s="319">
        <f>WORKDAY.INTL(S281,INDEX(T$8:T$11,MATCH($L281,$L$8:$L$11,0)),1,IF(T$18="China",'China Holidays'!$A$2:$A$82,'Thai Holidays'!$A$2:$A$63))</f>
        <v>46246</v>
      </c>
      <c r="U281" s="319">
        <f>WORKDAY.INTL(T281,INDEX(U$8:U$11,MATCH($L281,$L$8:$L$11,0)),1,IF(U$18="China",'China Holidays'!$A$2:$A$82,'Thai Holidays'!$A$2:$A$63))</f>
        <v>46255</v>
      </c>
      <c r="V281" s="319">
        <f>WORKDAY.INTL(U281,INDEX(V$8:V$11,MATCH($L281,$L$8:$L$11,0)),1,IF(V$18="China",'China Holidays'!$A$2:$A$82,'Thai Holidays'!$A$2:$A$63))</f>
        <v>46269</v>
      </c>
      <c r="W281" s="319"/>
      <c r="X281" s="319">
        <f>WORKDAY.INTL(V281,INDEX(X$8:X$11,MATCH($L281,$L$8:$L$11,0)),1,IF(X$18="China",'China Holidays'!$A$2:$A$82,'Thai Holidays'!$A$2:$A$63))</f>
        <v>46276</v>
      </c>
      <c r="Y281" s="319">
        <v>46311</v>
      </c>
      <c r="Z281" s="319">
        <v>46318</v>
      </c>
      <c r="AA281" s="319">
        <v>46332</v>
      </c>
      <c r="AB281" s="319">
        <v>46346</v>
      </c>
      <c r="AC281" s="319"/>
      <c r="AD281" s="314"/>
      <c r="AE281" s="319"/>
      <c r="AF281" s="319"/>
      <c r="AG281" s="319"/>
      <c r="AH281" s="319"/>
      <c r="AI281" s="319"/>
      <c r="AJ281" s="319"/>
      <c r="AK281" s="343"/>
      <c r="AL281" s="321">
        <f>AK280*7</f>
        <v>56</v>
      </c>
      <c r="AM281" s="319">
        <f>IF(X281&lt;&gt;"",X281+AL281,X282+AL281)</f>
        <v>46332</v>
      </c>
      <c r="AN281" s="322">
        <f>AU280-7</f>
        <v>46349</v>
      </c>
      <c r="AO281" s="322">
        <f>AP281-7</f>
        <v>46326</v>
      </c>
      <c r="AP281" s="322">
        <v>46333</v>
      </c>
      <c r="AQ281" s="322" t="s">
        <v>315</v>
      </c>
      <c r="AR281" s="314">
        <f>AN281-AM281</f>
        <v>17</v>
      </c>
      <c r="AS281" s="323"/>
      <c r="AT281" s="324" t="s">
        <v>66</v>
      </c>
      <c r="AU281" s="325">
        <v>46386</v>
      </c>
      <c r="AV281" s="265"/>
    </row>
    <row r="282" spans="1:48" s="264" customFormat="1" ht="25.05" customHeight="1">
      <c r="A282" s="431"/>
      <c r="B282" s="328" t="s">
        <v>312</v>
      </c>
      <c r="C282" s="328" t="s">
        <v>313</v>
      </c>
      <c r="D282" s="364"/>
      <c r="E282" s="330"/>
      <c r="F282" s="364"/>
      <c r="G282" s="332"/>
      <c r="H282" s="432"/>
      <c r="I282" s="314" t="s">
        <v>314</v>
      </c>
      <c r="J282" s="328" t="s">
        <v>72</v>
      </c>
      <c r="K282" s="328"/>
      <c r="L282" s="328" t="s">
        <v>9</v>
      </c>
      <c r="M282" s="334" t="s">
        <v>67</v>
      </c>
      <c r="N282" s="335"/>
      <c r="O282" s="335"/>
      <c r="P282" s="433"/>
      <c r="Q282" s="433"/>
      <c r="R282" s="433"/>
      <c r="S282" s="433"/>
      <c r="T282" s="433"/>
      <c r="U282" s="433"/>
      <c r="V282" s="433"/>
      <c r="W282" s="433"/>
      <c r="X282" s="332"/>
      <c r="Y282" s="332"/>
      <c r="Z282" s="332"/>
      <c r="AA282" s="332"/>
      <c r="AB282" s="332"/>
      <c r="AC282" s="335"/>
      <c r="AD282" s="332"/>
      <c r="AE282" s="335"/>
      <c r="AF282" s="335"/>
      <c r="AG282" s="335"/>
      <c r="AH282" s="335"/>
      <c r="AI282" s="335"/>
      <c r="AJ282" s="335"/>
      <c r="AK282" s="336"/>
      <c r="AL282" s="434"/>
      <c r="AM282" s="335"/>
      <c r="AN282" s="435"/>
      <c r="AO282" s="435"/>
      <c r="AP282" s="435"/>
      <c r="AQ282" s="435"/>
      <c r="AR282" s="332"/>
      <c r="AS282" s="339"/>
      <c r="AT282" s="340"/>
      <c r="AU282" s="339"/>
    </row>
    <row r="283" spans="1:48" s="264" customFormat="1" ht="25.05" customHeight="1">
      <c r="A283" s="309">
        <v>92</v>
      </c>
      <c r="B283" s="310" t="s">
        <v>316</v>
      </c>
      <c r="C283" s="310" t="s">
        <v>317</v>
      </c>
      <c r="D283" s="311"/>
      <c r="E283" s="312"/>
      <c r="F283" s="313"/>
      <c r="G283" s="314"/>
      <c r="H283" s="315"/>
      <c r="I283" s="314" t="s">
        <v>83</v>
      </c>
      <c r="J283" s="310"/>
      <c r="K283" s="316"/>
      <c r="L283" s="310" t="s">
        <v>6</v>
      </c>
      <c r="M283" s="317" t="s">
        <v>61</v>
      </c>
      <c r="N283" s="318"/>
      <c r="O283" s="319">
        <v>46167</v>
      </c>
      <c r="P283" s="319">
        <v>46175</v>
      </c>
      <c r="Q283" s="319">
        <v>46176</v>
      </c>
      <c r="R283" s="319">
        <v>46183</v>
      </c>
      <c r="S283" s="319">
        <v>46184</v>
      </c>
      <c r="T283" s="319">
        <v>46244</v>
      </c>
      <c r="U283" s="319">
        <v>46254</v>
      </c>
      <c r="V283" s="319">
        <v>46268</v>
      </c>
      <c r="W283" s="319"/>
      <c r="X283" s="319">
        <v>46281</v>
      </c>
      <c r="Y283" s="319">
        <v>46283</v>
      </c>
      <c r="Z283" s="319">
        <v>46293</v>
      </c>
      <c r="AA283" s="319">
        <v>46328</v>
      </c>
      <c r="AB283" s="319">
        <v>46342</v>
      </c>
      <c r="AC283" s="319">
        <v>46372</v>
      </c>
      <c r="AD283" s="319">
        <v>46372</v>
      </c>
      <c r="AE283" s="319">
        <v>46374</v>
      </c>
      <c r="AF283" s="319">
        <v>46435</v>
      </c>
      <c r="AG283" s="319">
        <v>46442</v>
      </c>
      <c r="AH283" s="319">
        <v>46449</v>
      </c>
      <c r="AI283" s="319">
        <v>46463</v>
      </c>
      <c r="AJ283" s="319">
        <v>46479</v>
      </c>
      <c r="AK283" s="320">
        <v>24</v>
      </c>
      <c r="AL283" s="321"/>
      <c r="AM283" s="319">
        <f>X283+AL284</f>
        <v>46449</v>
      </c>
      <c r="AN283" s="322"/>
      <c r="AO283" s="322"/>
      <c r="AP283" s="322"/>
      <c r="AQ283" s="322"/>
      <c r="AR283" s="314">
        <f>AN284-AM283</f>
        <v>51</v>
      </c>
      <c r="AS283" s="323"/>
      <c r="AT283" s="324" t="s">
        <v>62</v>
      </c>
      <c r="AU283" s="325">
        <v>46507</v>
      </c>
    </row>
    <row r="284" spans="1:48" s="264" customFormat="1" ht="25.05" customHeight="1">
      <c r="A284" s="309"/>
      <c r="B284" s="310" t="s">
        <v>316</v>
      </c>
      <c r="C284" s="310" t="s">
        <v>317</v>
      </c>
      <c r="D284" s="311"/>
      <c r="E284" s="312"/>
      <c r="F284" s="342"/>
      <c r="G284" s="314">
        <v>85</v>
      </c>
      <c r="H284" s="315" t="s">
        <v>255</v>
      </c>
      <c r="I284" s="314" t="s">
        <v>83</v>
      </c>
      <c r="J284" s="310" t="s">
        <v>64</v>
      </c>
      <c r="K284" s="310">
        <v>3</v>
      </c>
      <c r="L284" s="310" t="s">
        <v>6</v>
      </c>
      <c r="M284" s="317" t="s">
        <v>65</v>
      </c>
      <c r="N284" s="319">
        <v>46161</v>
      </c>
      <c r="O284" s="319"/>
      <c r="P284" s="319"/>
      <c r="Q284" s="319"/>
      <c r="R284" s="319"/>
      <c r="S284" s="319"/>
      <c r="T284" s="319">
        <v>46244</v>
      </c>
      <c r="U284" s="319">
        <v>46254</v>
      </c>
      <c r="V284" s="319">
        <f>WORKDAY.INTL(U284,INDEX(V$8:V$11,MATCH($L284,$L$8:$L$11,0)),1,IF(V$18="China",'China Holidays'!$A$2:$A$82,'Thai Holidays'!$A$2:$A$63))</f>
        <v>46268</v>
      </c>
      <c r="W284" s="319"/>
      <c r="X284" s="319">
        <f>WORKDAY.INTL(V284,INDEX(X$8:X$11,MATCH($L284,$L$8:$L$11,0)),1,IF(X$18="China",'China Holidays'!$A$2:$A$82,'Thai Holidays'!$A$2:$A$63))</f>
        <v>46281</v>
      </c>
      <c r="Y284" s="319">
        <f>WORKDAY.INTL(X284,INDEX(Y$12:Y$15,MATCH($L284,$L$12:$L$15,0)),1,IF(Y$18="China",'China Holidays'!$A$2:$A$82,'Thai Holidays'!$A$2:$A$63))</f>
        <v>46283</v>
      </c>
      <c r="Z284" s="319">
        <f>WORKDAY.INTL(Y284,INDEX(Z$12:Z$15,MATCH($L284,$L$12:$L$15,0)),1,IF(Z$18="China",'China Holidays'!$A$2:$A$82,'Thai Holidays'!$A$2:$A$63))</f>
        <v>46293</v>
      </c>
      <c r="AA284" s="319">
        <f>WORKDAY.INTL(Z284,INDEX(AA$12:AA$15,MATCH($L284,$L$12:$L$15,0)),1,IF(AA$18="China",'China Holidays'!$A$2:$A$82,'Thai Holidays'!$A$2:$A$63))</f>
        <v>46328</v>
      </c>
      <c r="AB284" s="319">
        <f>WORKDAY.INTL(AA284,INDEX(AB$12:AB$15,MATCH($L284,$L$12:$L$15,0)),1,IF(AB$18="China",'China Holidays'!$A$2:$A$82,'Thai Holidays'!$A$2:$A$63))</f>
        <v>46342</v>
      </c>
      <c r="AC284" s="319">
        <f>AB284+30</f>
        <v>46372</v>
      </c>
      <c r="AD284" s="319">
        <f>AC284</f>
        <v>46372</v>
      </c>
      <c r="AE284" s="319">
        <f>AD284+2</f>
        <v>46374</v>
      </c>
      <c r="AF284" s="319">
        <f>AG284-7</f>
        <v>46435</v>
      </c>
      <c r="AG284" s="319">
        <f>AH284-7</f>
        <v>46442</v>
      </c>
      <c r="AH284" s="319">
        <f>AM284</f>
        <v>46449</v>
      </c>
      <c r="AI284" s="319">
        <f>AM284+14</f>
        <v>46463</v>
      </c>
      <c r="AJ284" s="319">
        <f>AM284+30</f>
        <v>46479</v>
      </c>
      <c r="AK284" s="343"/>
      <c r="AL284" s="321">
        <f>AK283*7</f>
        <v>168</v>
      </c>
      <c r="AM284" s="319">
        <f>IF(X284&lt;&gt;"",X284+AL284,X285+AL284)</f>
        <v>46449</v>
      </c>
      <c r="AN284" s="322">
        <f>AU283-7</f>
        <v>46500</v>
      </c>
      <c r="AO284" s="322">
        <f>AP284-7</f>
        <v>46501</v>
      </c>
      <c r="AP284" s="322">
        <v>46508</v>
      </c>
      <c r="AQ284" s="322"/>
      <c r="AR284" s="314">
        <f>AN284-AM284</f>
        <v>51</v>
      </c>
      <c r="AS284" s="323"/>
      <c r="AT284" s="324" t="s">
        <v>66</v>
      </c>
      <c r="AU284" s="325">
        <v>46507</v>
      </c>
      <c r="AV284" s="265"/>
    </row>
    <row r="285" spans="1:48" s="264" customFormat="1" ht="25.05" customHeight="1">
      <c r="A285" s="327"/>
      <c r="B285" s="328" t="s">
        <v>316</v>
      </c>
      <c r="C285" s="328" t="s">
        <v>317</v>
      </c>
      <c r="D285" s="329"/>
      <c r="E285" s="330"/>
      <c r="F285" s="344"/>
      <c r="G285" s="332"/>
      <c r="H285" s="333"/>
      <c r="I285" s="332" t="s">
        <v>83</v>
      </c>
      <c r="J285" s="328" t="s">
        <v>64</v>
      </c>
      <c r="K285" s="310">
        <v>3</v>
      </c>
      <c r="L285" s="328" t="s">
        <v>6</v>
      </c>
      <c r="M285" s="334" t="s">
        <v>67</v>
      </c>
      <c r="N285" s="335"/>
      <c r="O285" s="335">
        <v>46169</v>
      </c>
      <c r="P285" s="335">
        <v>46184</v>
      </c>
      <c r="Q285" s="335">
        <v>46184</v>
      </c>
      <c r="R285" s="335">
        <v>46184</v>
      </c>
      <c r="S285" s="335">
        <v>46188</v>
      </c>
      <c r="T285" s="335"/>
      <c r="U285" s="335"/>
      <c r="V285" s="335"/>
      <c r="W285" s="335"/>
      <c r="X285" s="335"/>
      <c r="Y285" s="335"/>
      <c r="Z285" s="335"/>
      <c r="AA285" s="335"/>
      <c r="AB285" s="335"/>
      <c r="AC285" s="335"/>
      <c r="AD285" s="335"/>
      <c r="AE285" s="335"/>
      <c r="AF285" s="335"/>
      <c r="AG285" s="335"/>
      <c r="AH285" s="335"/>
      <c r="AI285" s="335"/>
      <c r="AJ285" s="335"/>
      <c r="AK285" s="336"/>
      <c r="AL285" s="337"/>
      <c r="AM285" s="319"/>
      <c r="AN285" s="338"/>
      <c r="AO285" s="338"/>
      <c r="AP285" s="338"/>
      <c r="AQ285" s="338"/>
      <c r="AR285" s="332"/>
      <c r="AS285" s="339"/>
      <c r="AT285" s="340"/>
      <c r="AU285" s="358" t="s">
        <v>305</v>
      </c>
    </row>
    <row r="286" spans="1:48" s="264" customFormat="1" ht="25.05" customHeight="1">
      <c r="A286" s="309">
        <v>94</v>
      </c>
      <c r="B286" s="310" t="s">
        <v>318</v>
      </c>
      <c r="C286" s="310" t="s">
        <v>319</v>
      </c>
      <c r="D286" s="311"/>
      <c r="E286" s="312"/>
      <c r="F286" s="313"/>
      <c r="G286" s="314"/>
      <c r="H286" s="315"/>
      <c r="I286" s="314" t="s">
        <v>83</v>
      </c>
      <c r="J286" s="310"/>
      <c r="K286" s="316"/>
      <c r="L286" s="310" t="s">
        <v>6</v>
      </c>
      <c r="M286" s="317" t="s">
        <v>61</v>
      </c>
      <c r="N286" s="318"/>
      <c r="O286" s="319">
        <v>46167</v>
      </c>
      <c r="P286" s="319">
        <v>46175</v>
      </c>
      <c r="Q286" s="319">
        <v>46176</v>
      </c>
      <c r="R286" s="319">
        <v>46183</v>
      </c>
      <c r="S286" s="319">
        <v>46184</v>
      </c>
      <c r="T286" s="319">
        <v>46226</v>
      </c>
      <c r="U286" s="319">
        <v>46254</v>
      </c>
      <c r="V286" s="319">
        <v>46268</v>
      </c>
      <c r="W286" s="319"/>
      <c r="X286" s="319">
        <v>46281</v>
      </c>
      <c r="Y286" s="319">
        <v>46283</v>
      </c>
      <c r="Z286" s="319">
        <v>46293</v>
      </c>
      <c r="AA286" s="319">
        <v>46328</v>
      </c>
      <c r="AB286" s="319">
        <v>46342</v>
      </c>
      <c r="AC286" s="319">
        <v>46372</v>
      </c>
      <c r="AD286" s="319">
        <v>46372</v>
      </c>
      <c r="AE286" s="319">
        <v>46374</v>
      </c>
      <c r="AF286" s="319">
        <v>46435</v>
      </c>
      <c r="AG286" s="319">
        <v>46442</v>
      </c>
      <c r="AH286" s="319">
        <v>46449</v>
      </c>
      <c r="AI286" s="319">
        <v>46463</v>
      </c>
      <c r="AJ286" s="319">
        <v>46479</v>
      </c>
      <c r="AK286" s="320">
        <v>24</v>
      </c>
      <c r="AL286" s="321"/>
      <c r="AM286" s="319">
        <f>X286+AL287</f>
        <v>46449</v>
      </c>
      <c r="AN286" s="322"/>
      <c r="AO286" s="322"/>
      <c r="AP286" s="322"/>
      <c r="AQ286" s="322"/>
      <c r="AR286" s="314">
        <f>AN287-AM286</f>
        <v>51</v>
      </c>
      <c r="AS286" s="323"/>
      <c r="AT286" s="324" t="s">
        <v>62</v>
      </c>
      <c r="AU286" s="325">
        <v>46507</v>
      </c>
    </row>
    <row r="287" spans="1:48" s="264" customFormat="1" ht="25.05" customHeight="1">
      <c r="A287" s="309"/>
      <c r="B287" s="310" t="s">
        <v>318</v>
      </c>
      <c r="C287" s="310" t="s">
        <v>319</v>
      </c>
      <c r="D287" s="345"/>
      <c r="E287" s="312"/>
      <c r="F287" s="436"/>
      <c r="G287" s="314">
        <v>85</v>
      </c>
      <c r="H287" s="315" t="s">
        <v>255</v>
      </c>
      <c r="I287" s="314" t="s">
        <v>83</v>
      </c>
      <c r="J287" s="310" t="s">
        <v>64</v>
      </c>
      <c r="K287" s="310">
        <v>3</v>
      </c>
      <c r="L287" s="310" t="s">
        <v>6</v>
      </c>
      <c r="M287" s="317" t="s">
        <v>65</v>
      </c>
      <c r="N287" s="319">
        <v>46161</v>
      </c>
      <c r="O287" s="319"/>
      <c r="P287" s="319"/>
      <c r="Q287" s="319"/>
      <c r="R287" s="319"/>
      <c r="S287" s="319"/>
      <c r="T287" s="319">
        <v>46226</v>
      </c>
      <c r="U287" s="319">
        <f>WORKDAY.INTL(T287,INDEX(U$8:U$11,MATCH($L287,$L$8:$L$11,0)),1,IF(U$18="China",'China Holidays'!$A$2:$A$82,'Thai Holidays'!$A$2:$A$63))</f>
        <v>46254</v>
      </c>
      <c r="V287" s="319">
        <f>WORKDAY.INTL(U287,INDEX(V$8:V$11,MATCH($L287,$L$8:$L$11,0)),1,IF(V$18="China",'China Holidays'!$A$2:$A$82,'Thai Holidays'!$A$2:$A$63))</f>
        <v>46268</v>
      </c>
      <c r="W287" s="319"/>
      <c r="X287" s="319">
        <f>WORKDAY.INTL(V287,INDEX(X$8:X$11,MATCH($L287,$L$8:$L$11,0)),1,IF(X$18="China",'China Holidays'!$A$2:$A$82,'Thai Holidays'!$A$2:$A$63))</f>
        <v>46281</v>
      </c>
      <c r="Y287" s="319">
        <f>WORKDAY.INTL(X287,INDEX(Y$12:Y$15,MATCH($L287,$L$12:$L$15,0)),1,IF(Y$18="China",'China Holidays'!$A$2:$A$82,'Thai Holidays'!$A$2:$A$63))</f>
        <v>46283</v>
      </c>
      <c r="Z287" s="319">
        <f>WORKDAY.INTL(Y287,INDEX(Z$12:Z$15,MATCH($L287,$L$12:$L$15,0)),1,IF(Z$18="China",'China Holidays'!$A$2:$A$82,'Thai Holidays'!$A$2:$A$63))</f>
        <v>46293</v>
      </c>
      <c r="AA287" s="319">
        <f>WORKDAY.INTL(Z287,INDEX(AA$12:AA$15,MATCH($L287,$L$12:$L$15,0)),1,IF(AA$18="China",'China Holidays'!$A$2:$A$82,'Thai Holidays'!$A$2:$A$63))</f>
        <v>46328</v>
      </c>
      <c r="AB287" s="319">
        <f>WORKDAY.INTL(AA287,INDEX(AB$12:AB$15,MATCH($L287,$L$12:$L$15,0)),1,IF(AB$18="China",'China Holidays'!$A$2:$A$82,'Thai Holidays'!$A$2:$A$63))</f>
        <v>46342</v>
      </c>
      <c r="AC287" s="319">
        <f>AB287+30</f>
        <v>46372</v>
      </c>
      <c r="AD287" s="319">
        <f>AC287</f>
        <v>46372</v>
      </c>
      <c r="AE287" s="319">
        <f>AD287+2</f>
        <v>46374</v>
      </c>
      <c r="AF287" s="319">
        <f>AG287-7</f>
        <v>46435</v>
      </c>
      <c r="AG287" s="319">
        <f>AH287-7</f>
        <v>46442</v>
      </c>
      <c r="AH287" s="319">
        <f>AM287</f>
        <v>46449</v>
      </c>
      <c r="AI287" s="319">
        <f>AM287+14</f>
        <v>46463</v>
      </c>
      <c r="AJ287" s="319">
        <f>AM287+30</f>
        <v>46479</v>
      </c>
      <c r="AK287" s="343"/>
      <c r="AL287" s="321">
        <f>AK286*7</f>
        <v>168</v>
      </c>
      <c r="AM287" s="319">
        <f>IF(X287&lt;&gt;"",X287+AL287,X288+AL287)</f>
        <v>46449</v>
      </c>
      <c r="AN287" s="322">
        <f>AU286-7</f>
        <v>46500</v>
      </c>
      <c r="AO287" s="322">
        <f>AP287-7</f>
        <v>46501</v>
      </c>
      <c r="AP287" s="322">
        <v>46508</v>
      </c>
      <c r="AQ287" s="322"/>
      <c r="AR287" s="314">
        <f>AN287-AM287</f>
        <v>51</v>
      </c>
      <c r="AS287" s="323"/>
      <c r="AT287" s="324" t="s">
        <v>66</v>
      </c>
      <c r="AU287" s="325">
        <v>46507</v>
      </c>
      <c r="AV287" s="265"/>
    </row>
    <row r="288" spans="1:48" s="264" customFormat="1" ht="25.05" customHeight="1">
      <c r="A288" s="327"/>
      <c r="B288" s="328" t="s">
        <v>318</v>
      </c>
      <c r="C288" s="328" t="s">
        <v>319</v>
      </c>
      <c r="D288" s="346"/>
      <c r="E288" s="330"/>
      <c r="F288" s="437"/>
      <c r="G288" s="332"/>
      <c r="H288" s="333"/>
      <c r="I288" s="332" t="s">
        <v>83</v>
      </c>
      <c r="J288" s="328" t="s">
        <v>64</v>
      </c>
      <c r="K288" s="310">
        <v>3</v>
      </c>
      <c r="L288" s="328" t="s">
        <v>6</v>
      </c>
      <c r="M288" s="334" t="s">
        <v>67</v>
      </c>
      <c r="N288" s="335"/>
      <c r="O288" s="335">
        <v>46169</v>
      </c>
      <c r="P288" s="335">
        <v>46184</v>
      </c>
      <c r="Q288" s="335">
        <v>46184</v>
      </c>
      <c r="R288" s="335">
        <v>46184</v>
      </c>
      <c r="S288" s="335">
        <v>46188</v>
      </c>
      <c r="T288" s="335"/>
      <c r="U288" s="335"/>
      <c r="V288" s="335"/>
      <c r="W288" s="335"/>
      <c r="X288" s="335"/>
      <c r="Y288" s="335"/>
      <c r="Z288" s="335"/>
      <c r="AA288" s="335"/>
      <c r="AB288" s="335"/>
      <c r="AC288" s="335"/>
      <c r="AD288" s="335"/>
      <c r="AE288" s="335"/>
      <c r="AF288" s="335"/>
      <c r="AG288" s="335"/>
      <c r="AH288" s="335"/>
      <c r="AI288" s="335"/>
      <c r="AJ288" s="335"/>
      <c r="AK288" s="336"/>
      <c r="AL288" s="337"/>
      <c r="AM288" s="335"/>
      <c r="AN288" s="338"/>
      <c r="AO288" s="338"/>
      <c r="AP288" s="338"/>
      <c r="AQ288" s="338"/>
      <c r="AR288" s="332"/>
      <c r="AS288" s="339"/>
      <c r="AT288" s="340"/>
      <c r="AU288" s="358" t="s">
        <v>305</v>
      </c>
    </row>
    <row r="289" spans="1:48" s="264" customFormat="1" ht="25.05" customHeight="1">
      <c r="A289" s="309">
        <v>95</v>
      </c>
      <c r="B289" s="310" t="s">
        <v>320</v>
      </c>
      <c r="C289" s="310" t="s">
        <v>321</v>
      </c>
      <c r="D289" s="311"/>
      <c r="E289" s="312"/>
      <c r="F289" s="313"/>
      <c r="G289" s="314"/>
      <c r="H289" s="315"/>
      <c r="I289" s="314" t="s">
        <v>83</v>
      </c>
      <c r="J289" s="310"/>
      <c r="K289" s="316"/>
      <c r="L289" s="310" t="s">
        <v>6</v>
      </c>
      <c r="M289" s="317" t="s">
        <v>61</v>
      </c>
      <c r="N289" s="318"/>
      <c r="O289" s="319">
        <v>46167</v>
      </c>
      <c r="P289" s="319">
        <v>46175</v>
      </c>
      <c r="Q289" s="319">
        <v>46176</v>
      </c>
      <c r="R289" s="319">
        <v>46183</v>
      </c>
      <c r="S289" s="319">
        <v>46184</v>
      </c>
      <c r="T289" s="319">
        <v>46226</v>
      </c>
      <c r="U289" s="319">
        <v>46254</v>
      </c>
      <c r="V289" s="319">
        <v>46268</v>
      </c>
      <c r="W289" s="319"/>
      <c r="X289" s="319">
        <v>46281</v>
      </c>
      <c r="Y289" s="319">
        <v>46283</v>
      </c>
      <c r="Z289" s="319">
        <v>46293</v>
      </c>
      <c r="AA289" s="319">
        <v>46328</v>
      </c>
      <c r="AB289" s="319">
        <v>46342</v>
      </c>
      <c r="AC289" s="319">
        <v>46372</v>
      </c>
      <c r="AD289" s="319">
        <v>46372</v>
      </c>
      <c r="AE289" s="319">
        <v>46374</v>
      </c>
      <c r="AF289" s="319">
        <v>46435</v>
      </c>
      <c r="AG289" s="319">
        <v>46442</v>
      </c>
      <c r="AH289" s="319">
        <v>46449</v>
      </c>
      <c r="AI289" s="319">
        <v>46463</v>
      </c>
      <c r="AJ289" s="319">
        <v>46479</v>
      </c>
      <c r="AK289" s="320">
        <v>24</v>
      </c>
      <c r="AL289" s="321"/>
      <c r="AM289" s="319">
        <f>X289+AL290</f>
        <v>46449</v>
      </c>
      <c r="AN289" s="322"/>
      <c r="AO289" s="322"/>
      <c r="AP289" s="322"/>
      <c r="AQ289" s="322"/>
      <c r="AR289" s="314">
        <f>AN290-AM289</f>
        <v>-10</v>
      </c>
      <c r="AS289" s="323"/>
      <c r="AT289" s="324" t="s">
        <v>62</v>
      </c>
      <c r="AU289" s="325">
        <v>46446</v>
      </c>
    </row>
    <row r="290" spans="1:48" s="264" customFormat="1" ht="25.05" customHeight="1">
      <c r="A290" s="309"/>
      <c r="B290" s="310" t="s">
        <v>320</v>
      </c>
      <c r="C290" s="310" t="s">
        <v>321</v>
      </c>
      <c r="D290" s="345"/>
      <c r="E290" s="312"/>
      <c r="F290" s="436"/>
      <c r="G290" s="314">
        <v>24</v>
      </c>
      <c r="H290" s="315" t="s">
        <v>255</v>
      </c>
      <c r="I290" s="314" t="s">
        <v>83</v>
      </c>
      <c r="J290" s="310" t="s">
        <v>64</v>
      </c>
      <c r="K290" s="310">
        <v>3</v>
      </c>
      <c r="L290" s="310" t="s">
        <v>6</v>
      </c>
      <c r="M290" s="317" t="s">
        <v>65</v>
      </c>
      <c r="N290" s="319">
        <v>46161</v>
      </c>
      <c r="O290" s="319"/>
      <c r="P290" s="319"/>
      <c r="Q290" s="319"/>
      <c r="R290" s="319"/>
      <c r="S290" s="319"/>
      <c r="T290" s="319">
        <v>46226</v>
      </c>
      <c r="U290" s="319">
        <f>WORKDAY.INTL(T290,INDEX(U$8:U$11,MATCH($L290,$L$8:$L$11,0)),1,IF(U$18="China",'China Holidays'!$A$2:$A$82,'Thai Holidays'!$A$2:$A$63))</f>
        <v>46254</v>
      </c>
      <c r="V290" s="319">
        <f>WORKDAY.INTL(U290,INDEX(V$8:V$11,MATCH($L290,$L$8:$L$11,0)),1,IF(V$18="China",'China Holidays'!$A$2:$A$82,'Thai Holidays'!$A$2:$A$63))</f>
        <v>46268</v>
      </c>
      <c r="W290" s="319"/>
      <c r="X290" s="319">
        <f>WORKDAY.INTL(V290,INDEX(X$8:X$11,MATCH($L290,$L$8:$L$11,0)),1,IF(X$18="China",'China Holidays'!$A$2:$A$82,'Thai Holidays'!$A$2:$A$63))</f>
        <v>46281</v>
      </c>
      <c r="Y290" s="319">
        <f>WORKDAY.INTL(X290,INDEX(Y$12:Y$15,MATCH($L290,$L$12:$L$15,0)),1,IF(Y$18="China",'China Holidays'!$A$2:$A$82,'Thai Holidays'!$A$2:$A$63))</f>
        <v>46283</v>
      </c>
      <c r="Z290" s="319">
        <f>WORKDAY.INTL(Y290,INDEX(Z$12:Z$15,MATCH($L290,$L$12:$L$15,0)),1,IF(Z$18="China",'China Holidays'!$A$2:$A$82,'Thai Holidays'!$A$2:$A$63))</f>
        <v>46293</v>
      </c>
      <c r="AA290" s="319">
        <f>WORKDAY.INTL(Z290,INDEX(AA$12:AA$15,MATCH($L290,$L$12:$L$15,0)),1,IF(AA$18="China",'China Holidays'!$A$2:$A$82,'Thai Holidays'!$A$2:$A$63))</f>
        <v>46328</v>
      </c>
      <c r="AB290" s="319">
        <f>WORKDAY.INTL(AA290,INDEX(AB$12:AB$15,MATCH($L290,$L$12:$L$15,0)),1,IF(AB$18="China",'China Holidays'!$A$2:$A$82,'Thai Holidays'!$A$2:$A$63))</f>
        <v>46342</v>
      </c>
      <c r="AC290" s="319">
        <f>AB290+30</f>
        <v>46372</v>
      </c>
      <c r="AD290" s="319">
        <f>AC290</f>
        <v>46372</v>
      </c>
      <c r="AE290" s="319">
        <f>AD290+2</f>
        <v>46374</v>
      </c>
      <c r="AF290" s="319">
        <f>AG290-7</f>
        <v>46435</v>
      </c>
      <c r="AG290" s="319">
        <f>AH290-7</f>
        <v>46442</v>
      </c>
      <c r="AH290" s="319">
        <f>AM290</f>
        <v>46449</v>
      </c>
      <c r="AI290" s="319">
        <f>AM290+14</f>
        <v>46463</v>
      </c>
      <c r="AJ290" s="319">
        <f>AM290+30</f>
        <v>46479</v>
      </c>
      <c r="AK290" s="343"/>
      <c r="AL290" s="321">
        <f>AK289*7</f>
        <v>168</v>
      </c>
      <c r="AM290" s="319">
        <f>IF(X290&lt;&gt;"",X290+AL290,X291+AL290)</f>
        <v>46449</v>
      </c>
      <c r="AN290" s="322">
        <f>AU289-7</f>
        <v>46439</v>
      </c>
      <c r="AO290" s="322">
        <f>AP290-7</f>
        <v>46135</v>
      </c>
      <c r="AP290" s="322">
        <v>46142</v>
      </c>
      <c r="AQ290" s="322"/>
      <c r="AR290" s="314">
        <f>AN290-AM290</f>
        <v>-10</v>
      </c>
      <c r="AS290" s="323"/>
      <c r="AT290" s="324" t="s">
        <v>66</v>
      </c>
      <c r="AU290" s="325">
        <v>46446</v>
      </c>
      <c r="AV290" s="265"/>
    </row>
    <row r="291" spans="1:48" s="264" customFormat="1" ht="25.05" customHeight="1">
      <c r="A291" s="327"/>
      <c r="B291" s="328" t="s">
        <v>320</v>
      </c>
      <c r="C291" s="328" t="s">
        <v>321</v>
      </c>
      <c r="D291" s="346"/>
      <c r="E291" s="330"/>
      <c r="F291" s="437"/>
      <c r="G291" s="332"/>
      <c r="H291" s="333"/>
      <c r="I291" s="332" t="s">
        <v>83</v>
      </c>
      <c r="J291" s="328" t="s">
        <v>64</v>
      </c>
      <c r="K291" s="310">
        <v>3</v>
      </c>
      <c r="L291" s="328" t="s">
        <v>6</v>
      </c>
      <c r="M291" s="334" t="s">
        <v>67</v>
      </c>
      <c r="N291" s="335"/>
      <c r="O291" s="335">
        <v>46169</v>
      </c>
      <c r="P291" s="335">
        <v>46184</v>
      </c>
      <c r="Q291" s="335">
        <v>46184</v>
      </c>
      <c r="R291" s="335">
        <v>46184</v>
      </c>
      <c r="S291" s="335">
        <v>46188</v>
      </c>
      <c r="T291" s="335"/>
      <c r="U291" s="335"/>
      <c r="V291" s="335"/>
      <c r="W291" s="335"/>
      <c r="X291" s="335"/>
      <c r="Y291" s="335"/>
      <c r="Z291" s="335"/>
      <c r="AA291" s="335"/>
      <c r="AB291" s="335"/>
      <c r="AC291" s="335"/>
      <c r="AD291" s="335"/>
      <c r="AE291" s="335"/>
      <c r="AF291" s="335"/>
      <c r="AG291" s="335"/>
      <c r="AH291" s="335"/>
      <c r="AI291" s="335"/>
      <c r="AJ291" s="335"/>
      <c r="AK291" s="336"/>
      <c r="AL291" s="337"/>
      <c r="AM291" s="335"/>
      <c r="AN291" s="338"/>
      <c r="AO291" s="338"/>
      <c r="AP291" s="338"/>
      <c r="AQ291" s="338" t="s">
        <v>210</v>
      </c>
      <c r="AR291" s="332"/>
      <c r="AS291" s="339"/>
      <c r="AT291" s="340"/>
      <c r="AU291" s="358" t="s">
        <v>305</v>
      </c>
    </row>
    <row r="292" spans="1:48" s="264" customFormat="1" ht="25.05" customHeight="1">
      <c r="A292" s="309">
        <v>96</v>
      </c>
      <c r="B292" s="310" t="s">
        <v>322</v>
      </c>
      <c r="C292" s="310" t="s">
        <v>323</v>
      </c>
      <c r="D292" s="311"/>
      <c r="E292" s="312"/>
      <c r="F292" s="313"/>
      <c r="G292" s="314"/>
      <c r="H292" s="315"/>
      <c r="I292" s="314" t="s">
        <v>83</v>
      </c>
      <c r="J292" s="310"/>
      <c r="K292" s="316"/>
      <c r="L292" s="310" t="s">
        <v>6</v>
      </c>
      <c r="M292" s="317" t="s">
        <v>61</v>
      </c>
      <c r="N292" s="318"/>
      <c r="O292" s="319">
        <v>46167</v>
      </c>
      <c r="P292" s="319">
        <v>46175</v>
      </c>
      <c r="Q292" s="319">
        <v>46176</v>
      </c>
      <c r="R292" s="319">
        <v>46183</v>
      </c>
      <c r="S292" s="319">
        <v>46184</v>
      </c>
      <c r="T292" s="319">
        <v>46226</v>
      </c>
      <c r="U292" s="319">
        <v>46254</v>
      </c>
      <c r="V292" s="319">
        <v>46268</v>
      </c>
      <c r="W292" s="319"/>
      <c r="X292" s="319">
        <v>46281</v>
      </c>
      <c r="Y292" s="319">
        <v>46283</v>
      </c>
      <c r="Z292" s="319">
        <v>46293</v>
      </c>
      <c r="AA292" s="319">
        <v>46328</v>
      </c>
      <c r="AB292" s="319">
        <v>46342</v>
      </c>
      <c r="AC292" s="319">
        <v>46372</v>
      </c>
      <c r="AD292" s="319">
        <v>46372</v>
      </c>
      <c r="AE292" s="319">
        <v>46374</v>
      </c>
      <c r="AF292" s="319">
        <v>46435</v>
      </c>
      <c r="AG292" s="319">
        <v>46442</v>
      </c>
      <c r="AH292" s="319">
        <v>46449</v>
      </c>
      <c r="AI292" s="319">
        <v>46463</v>
      </c>
      <c r="AJ292" s="319">
        <v>46479</v>
      </c>
      <c r="AK292" s="320">
        <v>24</v>
      </c>
      <c r="AL292" s="321"/>
      <c r="AM292" s="319">
        <f>X292+AL293</f>
        <v>46449</v>
      </c>
      <c r="AN292" s="322"/>
      <c r="AO292" s="322"/>
      <c r="AP292" s="322"/>
      <c r="AQ292" s="322"/>
      <c r="AR292" s="314">
        <f>AN293-AM292</f>
        <v>51</v>
      </c>
      <c r="AS292" s="323"/>
      <c r="AT292" s="324" t="s">
        <v>62</v>
      </c>
      <c r="AU292" s="325">
        <v>46507</v>
      </c>
    </row>
    <row r="293" spans="1:48" s="264" customFormat="1" ht="25.05" customHeight="1">
      <c r="A293" s="309"/>
      <c r="B293" s="310" t="s">
        <v>322</v>
      </c>
      <c r="C293" s="310" t="s">
        <v>323</v>
      </c>
      <c r="D293" s="345"/>
      <c r="E293" s="312"/>
      <c r="F293" s="436"/>
      <c r="G293" s="314">
        <v>85</v>
      </c>
      <c r="H293" s="315" t="s">
        <v>255</v>
      </c>
      <c r="I293" s="314" t="s">
        <v>83</v>
      </c>
      <c r="J293" s="310" t="s">
        <v>64</v>
      </c>
      <c r="K293" s="310">
        <v>3</v>
      </c>
      <c r="L293" s="310" t="s">
        <v>6</v>
      </c>
      <c r="M293" s="317" t="s">
        <v>65</v>
      </c>
      <c r="N293" s="319">
        <v>46161</v>
      </c>
      <c r="O293" s="319"/>
      <c r="P293" s="319"/>
      <c r="Q293" s="319"/>
      <c r="R293" s="319"/>
      <c r="S293" s="319"/>
      <c r="T293" s="319">
        <v>46226</v>
      </c>
      <c r="U293" s="319">
        <f>WORKDAY.INTL(T293,INDEX(U$8:U$11,MATCH($L293,$L$8:$L$11,0)),1,IF(U$18="China",'China Holidays'!$A$2:$A$82,'Thai Holidays'!$A$2:$A$63))</f>
        <v>46254</v>
      </c>
      <c r="V293" s="319">
        <f>WORKDAY.INTL(U293,INDEX(V$8:V$11,MATCH($L293,$L$8:$L$11,0)),1,IF(V$18="China",'China Holidays'!$A$2:$A$82,'Thai Holidays'!$A$2:$A$63))</f>
        <v>46268</v>
      </c>
      <c r="W293" s="319"/>
      <c r="X293" s="319">
        <f>WORKDAY.INTL(V293,INDEX(X$8:X$11,MATCH($L293,$L$8:$L$11,0)),1,IF(X$18="China",'China Holidays'!$A$2:$A$82,'Thai Holidays'!$A$2:$A$63))</f>
        <v>46281</v>
      </c>
      <c r="Y293" s="319">
        <f>WORKDAY.INTL(X293,INDEX(Y$12:Y$15,MATCH($L293,$L$12:$L$15,0)),1,IF(Y$18="China",'China Holidays'!$A$2:$A$82,'Thai Holidays'!$A$2:$A$63))</f>
        <v>46283</v>
      </c>
      <c r="Z293" s="319">
        <f>WORKDAY.INTL(Y293,INDEX(Z$12:Z$15,MATCH($L293,$L$12:$L$15,0)),1,IF(Z$18="China",'China Holidays'!$A$2:$A$82,'Thai Holidays'!$A$2:$A$63))</f>
        <v>46293</v>
      </c>
      <c r="AA293" s="319">
        <f>WORKDAY.INTL(Z293,INDEX(AA$12:AA$15,MATCH($L293,$L$12:$L$15,0)),1,IF(AA$18="China",'China Holidays'!$A$2:$A$82,'Thai Holidays'!$A$2:$A$63))</f>
        <v>46328</v>
      </c>
      <c r="AB293" s="319">
        <f>WORKDAY.INTL(AA293,INDEX(AB$12:AB$15,MATCH($L293,$L$12:$L$15,0)),1,IF(AB$18="China",'China Holidays'!$A$2:$A$82,'Thai Holidays'!$A$2:$A$63))</f>
        <v>46342</v>
      </c>
      <c r="AC293" s="319">
        <f>AB293+30</f>
        <v>46372</v>
      </c>
      <c r="AD293" s="319">
        <f>AC293</f>
        <v>46372</v>
      </c>
      <c r="AE293" s="319">
        <f>AD293+2</f>
        <v>46374</v>
      </c>
      <c r="AF293" s="319">
        <f>AG293-7</f>
        <v>46435</v>
      </c>
      <c r="AG293" s="319">
        <f>AH293-7</f>
        <v>46442</v>
      </c>
      <c r="AH293" s="319">
        <f>AM293</f>
        <v>46449</v>
      </c>
      <c r="AI293" s="319">
        <f>AM293+14</f>
        <v>46463</v>
      </c>
      <c r="AJ293" s="319">
        <f>AM293+30</f>
        <v>46479</v>
      </c>
      <c r="AK293" s="343"/>
      <c r="AL293" s="321">
        <f>AK292*7</f>
        <v>168</v>
      </c>
      <c r="AM293" s="319">
        <f>IF(X293&lt;&gt;"",X293+AL293,X294+AL293)</f>
        <v>46449</v>
      </c>
      <c r="AN293" s="322">
        <f>AU292-7</f>
        <v>46500</v>
      </c>
      <c r="AO293" s="322">
        <f>AP293-7</f>
        <v>46135</v>
      </c>
      <c r="AP293" s="322">
        <v>46142</v>
      </c>
      <c r="AQ293" s="322"/>
      <c r="AR293" s="314">
        <f>AN293-AM293</f>
        <v>51</v>
      </c>
      <c r="AS293" s="323"/>
      <c r="AT293" s="324" t="s">
        <v>66</v>
      </c>
      <c r="AU293" s="325">
        <v>46507</v>
      </c>
      <c r="AV293" s="265"/>
    </row>
    <row r="294" spans="1:48" s="264" customFormat="1" ht="25.05" customHeight="1">
      <c r="A294" s="327"/>
      <c r="B294" s="328" t="s">
        <v>322</v>
      </c>
      <c r="C294" s="328" t="s">
        <v>323</v>
      </c>
      <c r="D294" s="346"/>
      <c r="E294" s="330"/>
      <c r="F294" s="437"/>
      <c r="G294" s="332"/>
      <c r="H294" s="333"/>
      <c r="I294" s="332" t="s">
        <v>83</v>
      </c>
      <c r="J294" s="328" t="s">
        <v>64</v>
      </c>
      <c r="K294" s="310">
        <v>3</v>
      </c>
      <c r="L294" s="328" t="s">
        <v>6</v>
      </c>
      <c r="M294" s="334" t="s">
        <v>67</v>
      </c>
      <c r="N294" s="335"/>
      <c r="O294" s="335">
        <v>46169</v>
      </c>
      <c r="P294" s="335">
        <v>46184</v>
      </c>
      <c r="Q294" s="335">
        <v>46184</v>
      </c>
      <c r="R294" s="335">
        <v>46184</v>
      </c>
      <c r="S294" s="335">
        <v>46188</v>
      </c>
      <c r="T294" s="335"/>
      <c r="U294" s="335"/>
      <c r="V294" s="335"/>
      <c r="W294" s="335"/>
      <c r="X294" s="335"/>
      <c r="Y294" s="335"/>
      <c r="Z294" s="335"/>
      <c r="AA294" s="335"/>
      <c r="AB294" s="335"/>
      <c r="AC294" s="335"/>
      <c r="AD294" s="335"/>
      <c r="AE294" s="335"/>
      <c r="AF294" s="335"/>
      <c r="AG294" s="335"/>
      <c r="AH294" s="335"/>
      <c r="AI294" s="335"/>
      <c r="AJ294" s="335"/>
      <c r="AK294" s="336"/>
      <c r="AL294" s="337"/>
      <c r="AM294" s="335"/>
      <c r="AN294" s="338"/>
      <c r="AO294" s="338"/>
      <c r="AP294" s="338"/>
      <c r="AQ294" s="338" t="s">
        <v>210</v>
      </c>
      <c r="AR294" s="332"/>
      <c r="AS294" s="339"/>
      <c r="AT294" s="340"/>
      <c r="AU294" s="358" t="s">
        <v>305</v>
      </c>
    </row>
    <row r="295" spans="1:48" s="264" customFormat="1" ht="25.05" customHeight="1">
      <c r="A295" s="309">
        <v>97</v>
      </c>
      <c r="B295" s="310" t="s">
        <v>324</v>
      </c>
      <c r="C295" s="310" t="s">
        <v>325</v>
      </c>
      <c r="D295" s="361"/>
      <c r="E295" s="312"/>
      <c r="F295" s="362"/>
      <c r="G295" s="314"/>
      <c r="H295" s="315"/>
      <c r="I295" s="314" t="s">
        <v>83</v>
      </c>
      <c r="J295" s="310"/>
      <c r="K295" s="316"/>
      <c r="L295" s="310" t="s">
        <v>6</v>
      </c>
      <c r="M295" s="317" t="s">
        <v>61</v>
      </c>
      <c r="N295" s="318"/>
      <c r="O295" s="319">
        <v>46167</v>
      </c>
      <c r="P295" s="319">
        <v>46175</v>
      </c>
      <c r="Q295" s="319">
        <v>46176</v>
      </c>
      <c r="R295" s="319">
        <v>46183</v>
      </c>
      <c r="S295" s="319">
        <v>46184</v>
      </c>
      <c r="T295" s="319">
        <v>46226</v>
      </c>
      <c r="U295" s="319">
        <v>46254</v>
      </c>
      <c r="V295" s="319">
        <v>46268</v>
      </c>
      <c r="W295" s="319"/>
      <c r="X295" s="319">
        <v>46281</v>
      </c>
      <c r="Y295" s="319">
        <v>46283</v>
      </c>
      <c r="Z295" s="319">
        <v>46293</v>
      </c>
      <c r="AA295" s="319">
        <v>46328</v>
      </c>
      <c r="AB295" s="319">
        <v>46342</v>
      </c>
      <c r="AC295" s="319">
        <v>46372</v>
      </c>
      <c r="AD295" s="319">
        <v>46372</v>
      </c>
      <c r="AE295" s="319">
        <v>46374</v>
      </c>
      <c r="AF295" s="319">
        <v>46435</v>
      </c>
      <c r="AG295" s="319">
        <v>46442</v>
      </c>
      <c r="AH295" s="319">
        <v>46449</v>
      </c>
      <c r="AI295" s="319">
        <v>46463</v>
      </c>
      <c r="AJ295" s="319">
        <v>46479</v>
      </c>
      <c r="AK295" s="320">
        <v>24</v>
      </c>
      <c r="AL295" s="321"/>
      <c r="AM295" s="319">
        <f>X295+AL296</f>
        <v>46449</v>
      </c>
      <c r="AN295" s="322"/>
      <c r="AO295" s="322"/>
      <c r="AP295" s="322"/>
      <c r="AQ295" s="322"/>
      <c r="AR295" s="314">
        <f>AN296-AM295</f>
        <v>51</v>
      </c>
      <c r="AS295" s="323"/>
      <c r="AT295" s="324" t="s">
        <v>62</v>
      </c>
      <c r="AU295" s="325">
        <v>46507</v>
      </c>
    </row>
    <row r="296" spans="1:48" s="264" customFormat="1" ht="25.05" customHeight="1">
      <c r="A296" s="309"/>
      <c r="B296" s="310" t="s">
        <v>324</v>
      </c>
      <c r="C296" s="310" t="s">
        <v>325</v>
      </c>
      <c r="D296" s="363"/>
      <c r="E296" s="312"/>
      <c r="F296" s="363"/>
      <c r="G296" s="314">
        <v>85</v>
      </c>
      <c r="H296" s="315" t="s">
        <v>255</v>
      </c>
      <c r="I296" s="314" t="s">
        <v>83</v>
      </c>
      <c r="J296" s="310" t="s">
        <v>64</v>
      </c>
      <c r="K296" s="310">
        <v>3</v>
      </c>
      <c r="L296" s="310" t="s">
        <v>6</v>
      </c>
      <c r="M296" s="317" t="s">
        <v>65</v>
      </c>
      <c r="N296" s="319">
        <v>46161</v>
      </c>
      <c r="O296" s="319"/>
      <c r="P296" s="319"/>
      <c r="Q296" s="319"/>
      <c r="R296" s="319"/>
      <c r="S296" s="319"/>
      <c r="T296" s="319">
        <v>46226</v>
      </c>
      <c r="U296" s="319">
        <f>WORKDAY.INTL(T296,INDEX(U$8:U$11,MATCH($L296,$L$8:$L$11,0)),1,IF(U$18="China",'China Holidays'!$A$2:$A$82,'Thai Holidays'!$A$2:$A$63))</f>
        <v>46254</v>
      </c>
      <c r="V296" s="319">
        <f>WORKDAY.INTL(U296,INDEX(V$8:V$11,MATCH($L296,$L$8:$L$11,0)),1,IF(V$18="China",'China Holidays'!$A$2:$A$82,'Thai Holidays'!$A$2:$A$63))</f>
        <v>46268</v>
      </c>
      <c r="W296" s="319"/>
      <c r="X296" s="319">
        <f>WORKDAY.INTL(V296,INDEX(X$8:X$11,MATCH($L296,$L$8:$L$11,0)),1,IF(X$18="China",'China Holidays'!$A$2:$A$82,'Thai Holidays'!$A$2:$A$63))</f>
        <v>46281</v>
      </c>
      <c r="Y296" s="319">
        <f>WORKDAY.INTL(X296,INDEX(Y$12:Y$15,MATCH($L296,$L$12:$L$15,0)),1,IF(Y$18="China",'China Holidays'!$A$2:$A$82,'Thai Holidays'!$A$2:$A$63))</f>
        <v>46283</v>
      </c>
      <c r="Z296" s="319">
        <f>WORKDAY.INTL(Y296,INDEX(Z$12:Z$15,MATCH($L296,$L$12:$L$15,0)),1,IF(Z$18="China",'China Holidays'!$A$2:$A$82,'Thai Holidays'!$A$2:$A$63))</f>
        <v>46293</v>
      </c>
      <c r="AA296" s="319">
        <f>WORKDAY.INTL(Z296,INDEX(AA$12:AA$15,MATCH($L296,$L$12:$L$15,0)),1,IF(AA$18="China",'China Holidays'!$A$2:$A$82,'Thai Holidays'!$A$2:$A$63))</f>
        <v>46328</v>
      </c>
      <c r="AB296" s="319">
        <f>WORKDAY.INTL(AA296,INDEX(AB$12:AB$15,MATCH($L296,$L$12:$L$15,0)),1,IF(AB$18="China",'China Holidays'!$A$2:$A$82,'Thai Holidays'!$A$2:$A$63))</f>
        <v>46342</v>
      </c>
      <c r="AC296" s="319">
        <f>AB296+30</f>
        <v>46372</v>
      </c>
      <c r="AD296" s="319">
        <f>AC296</f>
        <v>46372</v>
      </c>
      <c r="AE296" s="319">
        <f>AD296+2</f>
        <v>46374</v>
      </c>
      <c r="AF296" s="319">
        <f>AG296-7</f>
        <v>46435</v>
      </c>
      <c r="AG296" s="319">
        <f>AH296-7</f>
        <v>46442</v>
      </c>
      <c r="AH296" s="319">
        <f>AM296</f>
        <v>46449</v>
      </c>
      <c r="AI296" s="319">
        <f>AM296+14</f>
        <v>46463</v>
      </c>
      <c r="AJ296" s="319">
        <f>AM296+30</f>
        <v>46479</v>
      </c>
      <c r="AK296" s="343"/>
      <c r="AL296" s="321">
        <f>AK295*7</f>
        <v>168</v>
      </c>
      <c r="AM296" s="319">
        <f>IF(X296&lt;&gt;"",X296+AL296,X297+AL296)</f>
        <v>46449</v>
      </c>
      <c r="AN296" s="322">
        <f>AU295-7</f>
        <v>46500</v>
      </c>
      <c r="AO296" s="322">
        <f>AP296-7</f>
        <v>46135</v>
      </c>
      <c r="AP296" s="322">
        <v>46142</v>
      </c>
      <c r="AQ296" s="322"/>
      <c r="AR296" s="314">
        <f>AN296-AM296</f>
        <v>51</v>
      </c>
      <c r="AS296" s="323"/>
      <c r="AT296" s="324" t="s">
        <v>66</v>
      </c>
      <c r="AU296" s="325">
        <v>46507</v>
      </c>
      <c r="AV296" s="265"/>
    </row>
    <row r="297" spans="1:48" s="264" customFormat="1" ht="25.05" customHeight="1">
      <c r="A297" s="327"/>
      <c r="B297" s="328" t="s">
        <v>324</v>
      </c>
      <c r="C297" s="328" t="s">
        <v>325</v>
      </c>
      <c r="D297" s="364"/>
      <c r="E297" s="330"/>
      <c r="F297" s="364"/>
      <c r="G297" s="332"/>
      <c r="H297" s="333"/>
      <c r="I297" s="332" t="s">
        <v>83</v>
      </c>
      <c r="J297" s="328" t="s">
        <v>64</v>
      </c>
      <c r="K297" s="310">
        <v>3</v>
      </c>
      <c r="L297" s="328" t="s">
        <v>6</v>
      </c>
      <c r="M297" s="334" t="s">
        <v>67</v>
      </c>
      <c r="N297" s="335"/>
      <c r="O297" s="335">
        <v>46169</v>
      </c>
      <c r="P297" s="335">
        <v>46184</v>
      </c>
      <c r="Q297" s="335">
        <v>46184</v>
      </c>
      <c r="R297" s="335">
        <v>46184</v>
      </c>
      <c r="S297" s="335">
        <v>46188</v>
      </c>
      <c r="T297" s="335"/>
      <c r="U297" s="335"/>
      <c r="V297" s="335"/>
      <c r="W297" s="335"/>
      <c r="X297" s="335"/>
      <c r="Y297" s="335"/>
      <c r="Z297" s="335"/>
      <c r="AA297" s="335"/>
      <c r="AB297" s="335"/>
      <c r="AC297" s="335"/>
      <c r="AD297" s="335"/>
      <c r="AE297" s="335"/>
      <c r="AF297" s="335"/>
      <c r="AG297" s="335"/>
      <c r="AH297" s="335"/>
      <c r="AI297" s="335"/>
      <c r="AJ297" s="335"/>
      <c r="AK297" s="336"/>
      <c r="AL297" s="337"/>
      <c r="AM297" s="335"/>
      <c r="AN297" s="338"/>
      <c r="AO297" s="338"/>
      <c r="AP297" s="338"/>
      <c r="AQ297" s="338"/>
      <c r="AR297" s="332"/>
      <c r="AS297" s="339"/>
      <c r="AT297" s="340"/>
      <c r="AU297" s="358" t="s">
        <v>305</v>
      </c>
    </row>
    <row r="298" spans="1:48" s="264" customFormat="1" ht="25.05" customHeight="1">
      <c r="A298" s="309">
        <v>98</v>
      </c>
      <c r="B298" s="310" t="s">
        <v>326</v>
      </c>
      <c r="C298" s="310" t="s">
        <v>327</v>
      </c>
      <c r="D298" s="361"/>
      <c r="E298" s="312"/>
      <c r="F298" s="362"/>
      <c r="G298" s="314"/>
      <c r="H298" s="315"/>
      <c r="I298" s="314" t="s">
        <v>83</v>
      </c>
      <c r="J298" s="310"/>
      <c r="K298" s="316"/>
      <c r="L298" s="310" t="s">
        <v>6</v>
      </c>
      <c r="M298" s="317" t="s">
        <v>61</v>
      </c>
      <c r="N298" s="318"/>
      <c r="O298" s="319">
        <v>46167</v>
      </c>
      <c r="P298" s="319">
        <v>46175</v>
      </c>
      <c r="Q298" s="319">
        <v>46176</v>
      </c>
      <c r="R298" s="319">
        <v>46183</v>
      </c>
      <c r="S298" s="319">
        <v>46184</v>
      </c>
      <c r="T298" s="319">
        <v>46226</v>
      </c>
      <c r="U298" s="319">
        <v>46254</v>
      </c>
      <c r="V298" s="319">
        <v>46268</v>
      </c>
      <c r="W298" s="319"/>
      <c r="X298" s="319">
        <v>46281</v>
      </c>
      <c r="Y298" s="319">
        <v>46283</v>
      </c>
      <c r="Z298" s="319">
        <v>46293</v>
      </c>
      <c r="AA298" s="319">
        <v>46328</v>
      </c>
      <c r="AB298" s="319">
        <v>46342</v>
      </c>
      <c r="AC298" s="319">
        <v>46372</v>
      </c>
      <c r="AD298" s="319">
        <v>46372</v>
      </c>
      <c r="AE298" s="319">
        <v>46374</v>
      </c>
      <c r="AF298" s="319">
        <v>46435</v>
      </c>
      <c r="AG298" s="319">
        <v>46442</v>
      </c>
      <c r="AH298" s="319">
        <v>46449</v>
      </c>
      <c r="AI298" s="319">
        <v>46463</v>
      </c>
      <c r="AJ298" s="319">
        <v>46479</v>
      </c>
      <c r="AK298" s="320">
        <v>24</v>
      </c>
      <c r="AL298" s="321"/>
      <c r="AM298" s="319">
        <f>X298+AL299</f>
        <v>46449</v>
      </c>
      <c r="AN298" s="322"/>
      <c r="AO298" s="322"/>
      <c r="AP298" s="322"/>
      <c r="AQ298" s="322"/>
      <c r="AR298" s="314">
        <f>AN299-AM298</f>
        <v>51</v>
      </c>
      <c r="AS298" s="323"/>
      <c r="AT298" s="324" t="s">
        <v>62</v>
      </c>
      <c r="AU298" s="325">
        <v>46507</v>
      </c>
    </row>
    <row r="299" spans="1:48" s="264" customFormat="1" ht="25.05" customHeight="1">
      <c r="A299" s="309"/>
      <c r="B299" s="310" t="s">
        <v>326</v>
      </c>
      <c r="C299" s="310" t="s">
        <v>327</v>
      </c>
      <c r="D299" s="363"/>
      <c r="E299" s="312"/>
      <c r="F299" s="363"/>
      <c r="G299" s="314">
        <v>85</v>
      </c>
      <c r="H299" s="315" t="s">
        <v>255</v>
      </c>
      <c r="I299" s="314" t="s">
        <v>83</v>
      </c>
      <c r="J299" s="310" t="s">
        <v>64</v>
      </c>
      <c r="K299" s="310">
        <v>3</v>
      </c>
      <c r="L299" s="310" t="s">
        <v>6</v>
      </c>
      <c r="M299" s="317" t="s">
        <v>65</v>
      </c>
      <c r="N299" s="319">
        <v>46161</v>
      </c>
      <c r="O299" s="319"/>
      <c r="P299" s="319"/>
      <c r="Q299" s="319"/>
      <c r="R299" s="319"/>
      <c r="S299" s="319"/>
      <c r="T299" s="319">
        <v>46226</v>
      </c>
      <c r="U299" s="319">
        <f>WORKDAY.INTL(T299,INDEX(U$8:U$11,MATCH($L299,$L$8:$L$11,0)),1,IF(U$18="China",'China Holidays'!$A$2:$A$82,'Thai Holidays'!$A$2:$A$63))</f>
        <v>46254</v>
      </c>
      <c r="V299" s="319">
        <f>WORKDAY.INTL(U299,INDEX(V$8:V$11,MATCH($L299,$L$8:$L$11,0)),1,IF(V$18="China",'China Holidays'!$A$2:$A$82,'Thai Holidays'!$A$2:$A$63))</f>
        <v>46268</v>
      </c>
      <c r="W299" s="319"/>
      <c r="X299" s="319">
        <f>WORKDAY.INTL(V299,INDEX(X$8:X$11,MATCH($L299,$L$8:$L$11,0)),1,IF(X$18="China",'China Holidays'!$A$2:$A$82,'Thai Holidays'!$A$2:$A$63))</f>
        <v>46281</v>
      </c>
      <c r="Y299" s="319">
        <f>WORKDAY.INTL(X299,INDEX(Y$12:Y$15,MATCH($L299,$L$12:$L$15,0)),1,IF(Y$18="China",'China Holidays'!$A$2:$A$82,'Thai Holidays'!$A$2:$A$63))</f>
        <v>46283</v>
      </c>
      <c r="Z299" s="319">
        <f>WORKDAY.INTL(Y299,INDEX(Z$12:Z$15,MATCH($L299,$L$12:$L$15,0)),1,IF(Z$18="China",'China Holidays'!$A$2:$A$82,'Thai Holidays'!$A$2:$A$63))</f>
        <v>46293</v>
      </c>
      <c r="AA299" s="319">
        <f>WORKDAY.INTL(Z299,INDEX(AA$12:AA$15,MATCH($L299,$L$12:$L$15,0)),1,IF(AA$18="China",'China Holidays'!$A$2:$A$82,'Thai Holidays'!$A$2:$A$63))</f>
        <v>46328</v>
      </c>
      <c r="AB299" s="319">
        <f>WORKDAY.INTL(AA299,INDEX(AB$12:AB$15,MATCH($L299,$L$12:$L$15,0)),1,IF(AB$18="China",'China Holidays'!$A$2:$A$82,'Thai Holidays'!$A$2:$A$63))</f>
        <v>46342</v>
      </c>
      <c r="AC299" s="319">
        <f>AB299+30</f>
        <v>46372</v>
      </c>
      <c r="AD299" s="319">
        <f>AC299</f>
        <v>46372</v>
      </c>
      <c r="AE299" s="319">
        <f>AD299+2</f>
        <v>46374</v>
      </c>
      <c r="AF299" s="319">
        <f>AG299-7</f>
        <v>46435</v>
      </c>
      <c r="AG299" s="319">
        <f>AH299-7</f>
        <v>46442</v>
      </c>
      <c r="AH299" s="319">
        <f>AM299</f>
        <v>46449</v>
      </c>
      <c r="AI299" s="319">
        <f>AM299+14</f>
        <v>46463</v>
      </c>
      <c r="AJ299" s="319">
        <f>AM299+30</f>
        <v>46479</v>
      </c>
      <c r="AK299" s="343"/>
      <c r="AL299" s="321">
        <f>AK298*7</f>
        <v>168</v>
      </c>
      <c r="AM299" s="319">
        <f>IF(X299&lt;&gt;"",X299+AL299,X300+AL299)</f>
        <v>46449</v>
      </c>
      <c r="AN299" s="322">
        <f>AU298-7</f>
        <v>46500</v>
      </c>
      <c r="AO299" s="322">
        <f>AP299-7</f>
        <v>46135</v>
      </c>
      <c r="AP299" s="322">
        <v>46142</v>
      </c>
      <c r="AQ299" s="322"/>
      <c r="AR299" s="314">
        <f>AN299-AM299</f>
        <v>51</v>
      </c>
      <c r="AS299" s="323"/>
      <c r="AT299" s="324" t="s">
        <v>66</v>
      </c>
      <c r="AU299" s="325">
        <v>46507</v>
      </c>
      <c r="AV299" s="265"/>
    </row>
    <row r="300" spans="1:48" s="264" customFormat="1" ht="25.05" customHeight="1">
      <c r="A300" s="327"/>
      <c r="B300" s="328" t="s">
        <v>326</v>
      </c>
      <c r="C300" s="328" t="s">
        <v>327</v>
      </c>
      <c r="D300" s="364"/>
      <c r="E300" s="330"/>
      <c r="F300" s="364"/>
      <c r="G300" s="332"/>
      <c r="H300" s="333"/>
      <c r="I300" s="332" t="s">
        <v>83</v>
      </c>
      <c r="J300" s="328" t="s">
        <v>64</v>
      </c>
      <c r="K300" s="310">
        <v>3</v>
      </c>
      <c r="L300" s="328" t="s">
        <v>6</v>
      </c>
      <c r="M300" s="334" t="s">
        <v>67</v>
      </c>
      <c r="N300" s="335"/>
      <c r="O300" s="335">
        <v>46169</v>
      </c>
      <c r="P300" s="335">
        <v>46184</v>
      </c>
      <c r="Q300" s="335">
        <v>46184</v>
      </c>
      <c r="R300" s="335">
        <v>46184</v>
      </c>
      <c r="S300" s="335">
        <v>46188</v>
      </c>
      <c r="T300" s="335"/>
      <c r="U300" s="335"/>
      <c r="V300" s="335"/>
      <c r="W300" s="335"/>
      <c r="X300" s="335"/>
      <c r="Y300" s="335"/>
      <c r="Z300" s="335"/>
      <c r="AA300" s="335"/>
      <c r="AB300" s="335"/>
      <c r="AC300" s="335"/>
      <c r="AD300" s="335"/>
      <c r="AE300" s="335"/>
      <c r="AF300" s="335"/>
      <c r="AG300" s="335"/>
      <c r="AH300" s="335"/>
      <c r="AI300" s="335"/>
      <c r="AJ300" s="335"/>
      <c r="AK300" s="336"/>
      <c r="AL300" s="337"/>
      <c r="AM300" s="335"/>
      <c r="AN300" s="338"/>
      <c r="AO300" s="338"/>
      <c r="AP300" s="338"/>
      <c r="AQ300" s="338" t="s">
        <v>210</v>
      </c>
      <c r="AR300" s="332"/>
      <c r="AS300" s="339"/>
      <c r="AT300" s="340"/>
      <c r="AU300" s="358" t="s">
        <v>305</v>
      </c>
    </row>
    <row r="301" spans="1:48" s="264" customFormat="1" ht="25.05" customHeight="1">
      <c r="A301" s="309">
        <v>99</v>
      </c>
      <c r="B301" s="310" t="s">
        <v>328</v>
      </c>
      <c r="C301" s="310" t="s">
        <v>329</v>
      </c>
      <c r="D301" s="361"/>
      <c r="E301" s="312"/>
      <c r="F301" s="362"/>
      <c r="G301" s="314"/>
      <c r="H301" s="315"/>
      <c r="I301" s="314" t="s">
        <v>83</v>
      </c>
      <c r="J301" s="310"/>
      <c r="K301" s="316"/>
      <c r="L301" s="310" t="s">
        <v>6</v>
      </c>
      <c r="M301" s="317" t="s">
        <v>61</v>
      </c>
      <c r="N301" s="318"/>
      <c r="O301" s="319">
        <v>46167</v>
      </c>
      <c r="P301" s="319">
        <v>46175</v>
      </c>
      <c r="Q301" s="319">
        <v>46176</v>
      </c>
      <c r="R301" s="319">
        <v>46183</v>
      </c>
      <c r="S301" s="319">
        <v>46184</v>
      </c>
      <c r="T301" s="319">
        <v>46226</v>
      </c>
      <c r="U301" s="319">
        <v>46254</v>
      </c>
      <c r="V301" s="319">
        <v>46268</v>
      </c>
      <c r="W301" s="319"/>
      <c r="X301" s="319">
        <v>46281</v>
      </c>
      <c r="Y301" s="319">
        <v>46283</v>
      </c>
      <c r="Z301" s="319">
        <v>46293</v>
      </c>
      <c r="AA301" s="319">
        <v>46328</v>
      </c>
      <c r="AB301" s="319">
        <v>46342</v>
      </c>
      <c r="AC301" s="319">
        <v>46372</v>
      </c>
      <c r="AD301" s="319">
        <v>46372</v>
      </c>
      <c r="AE301" s="319">
        <v>46374</v>
      </c>
      <c r="AF301" s="319">
        <v>46435</v>
      </c>
      <c r="AG301" s="319">
        <v>46442</v>
      </c>
      <c r="AH301" s="319">
        <v>46449</v>
      </c>
      <c r="AI301" s="319">
        <v>46463</v>
      </c>
      <c r="AJ301" s="319">
        <v>46479</v>
      </c>
      <c r="AK301" s="320">
        <v>24</v>
      </c>
      <c r="AL301" s="321"/>
      <c r="AM301" s="319">
        <f>X301+AL302</f>
        <v>46449</v>
      </c>
      <c r="AN301" s="322"/>
      <c r="AO301" s="322"/>
      <c r="AP301" s="322"/>
      <c r="AQ301" s="322"/>
      <c r="AR301" s="314">
        <f>AN302-AM301</f>
        <v>51</v>
      </c>
      <c r="AS301" s="323"/>
      <c r="AT301" s="324" t="s">
        <v>62</v>
      </c>
      <c r="AU301" s="325">
        <v>46507</v>
      </c>
    </row>
    <row r="302" spans="1:48" s="264" customFormat="1" ht="25.05" customHeight="1">
      <c r="A302" s="309"/>
      <c r="B302" s="310" t="s">
        <v>328</v>
      </c>
      <c r="C302" s="310" t="s">
        <v>329</v>
      </c>
      <c r="D302" s="363"/>
      <c r="E302" s="312"/>
      <c r="F302" s="363"/>
      <c r="G302" s="314">
        <v>85</v>
      </c>
      <c r="H302" s="315" t="s">
        <v>255</v>
      </c>
      <c r="I302" s="314" t="s">
        <v>83</v>
      </c>
      <c r="J302" s="310" t="s">
        <v>64</v>
      </c>
      <c r="K302" s="310">
        <v>3</v>
      </c>
      <c r="L302" s="310" t="s">
        <v>6</v>
      </c>
      <c r="M302" s="317" t="s">
        <v>65</v>
      </c>
      <c r="N302" s="319">
        <v>46161</v>
      </c>
      <c r="O302" s="319"/>
      <c r="P302" s="319"/>
      <c r="Q302" s="319"/>
      <c r="R302" s="319"/>
      <c r="S302" s="319"/>
      <c r="T302" s="319">
        <v>46226</v>
      </c>
      <c r="U302" s="319">
        <f>WORKDAY.INTL(T302,INDEX(U$8:U$11,MATCH($L302,$L$8:$L$11,0)),1,IF(U$18="China",'China Holidays'!$A$2:$A$82,'Thai Holidays'!$A$2:$A$63))</f>
        <v>46254</v>
      </c>
      <c r="V302" s="319">
        <f>WORKDAY.INTL(U302,INDEX(V$8:V$11,MATCH($L302,$L$8:$L$11,0)),1,IF(V$18="China",'China Holidays'!$A$2:$A$82,'Thai Holidays'!$A$2:$A$63))</f>
        <v>46268</v>
      </c>
      <c r="W302" s="319"/>
      <c r="X302" s="319">
        <f>WORKDAY.INTL(V302,INDEX(X$8:X$11,MATCH($L302,$L$8:$L$11,0)),1,IF(X$18="China",'China Holidays'!$A$2:$A$82,'Thai Holidays'!$A$2:$A$63))</f>
        <v>46281</v>
      </c>
      <c r="Y302" s="319">
        <f>WORKDAY.INTL(X302,INDEX(Y$12:Y$15,MATCH($L302,$L$12:$L$15,0)),1,IF(Y$18="China",'China Holidays'!$A$2:$A$82,'Thai Holidays'!$A$2:$A$63))</f>
        <v>46283</v>
      </c>
      <c r="Z302" s="319">
        <f>WORKDAY.INTL(Y302,INDEX(Z$12:Z$15,MATCH($L302,$L$12:$L$15,0)),1,IF(Z$18="China",'China Holidays'!$A$2:$A$82,'Thai Holidays'!$A$2:$A$63))</f>
        <v>46293</v>
      </c>
      <c r="AA302" s="319">
        <f>WORKDAY.INTL(Z302,INDEX(AA$12:AA$15,MATCH($L302,$L$12:$L$15,0)),1,IF(AA$18="China",'China Holidays'!$A$2:$A$82,'Thai Holidays'!$A$2:$A$63))</f>
        <v>46328</v>
      </c>
      <c r="AB302" s="319">
        <f>WORKDAY.INTL(AA302,INDEX(AB$12:AB$15,MATCH($L302,$L$12:$L$15,0)),1,IF(AB$18="China",'China Holidays'!$A$2:$A$82,'Thai Holidays'!$A$2:$A$63))</f>
        <v>46342</v>
      </c>
      <c r="AC302" s="319">
        <f>AB302+30</f>
        <v>46372</v>
      </c>
      <c r="AD302" s="319">
        <f>AC302</f>
        <v>46372</v>
      </c>
      <c r="AE302" s="319">
        <f>AD302+2</f>
        <v>46374</v>
      </c>
      <c r="AF302" s="319">
        <f>AG302-7</f>
        <v>46435</v>
      </c>
      <c r="AG302" s="319">
        <f>AH302-7</f>
        <v>46442</v>
      </c>
      <c r="AH302" s="319">
        <f>AM302</f>
        <v>46449</v>
      </c>
      <c r="AI302" s="319">
        <f>AM302+14</f>
        <v>46463</v>
      </c>
      <c r="AJ302" s="319">
        <f>AM302+30</f>
        <v>46479</v>
      </c>
      <c r="AK302" s="343"/>
      <c r="AL302" s="321">
        <f>AK301*7</f>
        <v>168</v>
      </c>
      <c r="AM302" s="319">
        <f>IF(X302&lt;&gt;"",X302+AL302,X303+AL302)</f>
        <v>46449</v>
      </c>
      <c r="AN302" s="322">
        <f>AU301-7</f>
        <v>46500</v>
      </c>
      <c r="AO302" s="322">
        <f>AP302-7</f>
        <v>46135</v>
      </c>
      <c r="AP302" s="322">
        <v>46142</v>
      </c>
      <c r="AQ302" s="322"/>
      <c r="AR302" s="314">
        <f>AN302-AM302</f>
        <v>51</v>
      </c>
      <c r="AS302" s="323"/>
      <c r="AT302" s="324" t="s">
        <v>66</v>
      </c>
      <c r="AU302" s="325">
        <v>46507</v>
      </c>
      <c r="AV302" s="265"/>
    </row>
    <row r="303" spans="1:48" s="264" customFormat="1" ht="25.05" customHeight="1">
      <c r="A303" s="327"/>
      <c r="B303" s="328" t="s">
        <v>328</v>
      </c>
      <c r="C303" s="328" t="s">
        <v>329</v>
      </c>
      <c r="D303" s="364"/>
      <c r="E303" s="330"/>
      <c r="F303" s="364"/>
      <c r="G303" s="332"/>
      <c r="H303" s="333"/>
      <c r="I303" s="332" t="s">
        <v>83</v>
      </c>
      <c r="J303" s="328" t="s">
        <v>64</v>
      </c>
      <c r="K303" s="328">
        <v>3</v>
      </c>
      <c r="L303" s="328" t="s">
        <v>6</v>
      </c>
      <c r="M303" s="334" t="s">
        <v>67</v>
      </c>
      <c r="N303" s="335"/>
      <c r="O303" s="335">
        <v>46169</v>
      </c>
      <c r="P303" s="335">
        <v>46184</v>
      </c>
      <c r="Q303" s="335">
        <v>46184</v>
      </c>
      <c r="R303" s="335">
        <v>46184</v>
      </c>
      <c r="S303" s="335">
        <v>46188</v>
      </c>
      <c r="T303" s="335"/>
      <c r="U303" s="335"/>
      <c r="V303" s="335"/>
      <c r="W303" s="335"/>
      <c r="X303" s="335"/>
      <c r="Y303" s="335"/>
      <c r="Z303" s="335"/>
      <c r="AA303" s="335"/>
      <c r="AB303" s="335"/>
      <c r="AC303" s="335"/>
      <c r="AD303" s="335"/>
      <c r="AE303" s="335"/>
      <c r="AF303" s="335"/>
      <c r="AG303" s="335"/>
      <c r="AH303" s="335"/>
      <c r="AI303" s="335"/>
      <c r="AJ303" s="335"/>
      <c r="AK303" s="336"/>
      <c r="AL303" s="337"/>
      <c r="AM303" s="335"/>
      <c r="AN303" s="338"/>
      <c r="AO303" s="338"/>
      <c r="AP303" s="338"/>
      <c r="AQ303" s="338" t="s">
        <v>210</v>
      </c>
      <c r="AR303" s="332"/>
      <c r="AS303" s="339"/>
      <c r="AT303" s="340"/>
      <c r="AU303" s="358" t="s">
        <v>305</v>
      </c>
    </row>
    <row r="304" spans="1:48" s="264" customFormat="1" ht="25.05" customHeight="1">
      <c r="A304" s="309">
        <v>100</v>
      </c>
      <c r="B304" s="310" t="s">
        <v>330</v>
      </c>
      <c r="C304" s="310" t="s">
        <v>331</v>
      </c>
      <c r="D304" s="361"/>
      <c r="E304" s="312"/>
      <c r="F304" s="362"/>
      <c r="G304" s="314"/>
      <c r="H304" s="315"/>
      <c r="I304" s="314" t="s">
        <v>83</v>
      </c>
      <c r="J304" s="310"/>
      <c r="K304" s="316"/>
      <c r="L304" s="310" t="s">
        <v>9</v>
      </c>
      <c r="M304" s="317" t="s">
        <v>61</v>
      </c>
      <c r="N304" s="318"/>
      <c r="O304" s="319">
        <v>46169</v>
      </c>
      <c r="P304" s="319">
        <v>46184</v>
      </c>
      <c r="Q304" s="319">
        <v>46184</v>
      </c>
      <c r="R304" s="319">
        <f>WORKDAY.INTL(Q304,INDEX(R$8:R$11,MATCH($L304,$L$8:$L$11,0)),1,IF(R$18="China",'China Holidays'!$A$2:$A$82,'Thai Holidays'!$A$2:$A$63))</f>
        <v>46184</v>
      </c>
      <c r="S304" s="319">
        <f>WORKDAY.INTL(R304,INDEX(S$8:S$11,MATCH($L304,$L$8:$L$11,0)),1,IF(S$18="China",'China Holidays'!$A$2:$A$82,'Thai Holidays'!$A$2:$A$63))</f>
        <v>46184</v>
      </c>
      <c r="T304" s="319">
        <v>46252</v>
      </c>
      <c r="U304" s="319">
        <v>46261</v>
      </c>
      <c r="V304" s="319">
        <f>WORKDAY.INTL(U304,INDEX(V$8:V$11,MATCH($L304,$L$8:$L$11,0)),1,IF(V$18="China",'China Holidays'!$A$2:$A$82,'Thai Holidays'!$A$2:$A$63))</f>
        <v>46275</v>
      </c>
      <c r="W304" s="319"/>
      <c r="X304" s="319">
        <f>WORKDAY.INTL(V304,INDEX(X$8:X$11,MATCH($L304,$L$8:$L$11,0)),1,IF(X$18="China",'China Holidays'!$A$2:$A$82,'Thai Holidays'!$A$2:$A$63))</f>
        <v>46282</v>
      </c>
      <c r="Y304" s="319">
        <f>X304+2</f>
        <v>46284</v>
      </c>
      <c r="Z304" s="319">
        <f>Y304+5</f>
        <v>46289</v>
      </c>
      <c r="AA304" s="319">
        <f>Z304+14</f>
        <v>46303</v>
      </c>
      <c r="AB304" s="319">
        <f>AA304+14</f>
        <v>46317</v>
      </c>
      <c r="AC304" s="319">
        <f>AA304</f>
        <v>46303</v>
      </c>
      <c r="AD304" s="319">
        <f>AC304</f>
        <v>46303</v>
      </c>
      <c r="AE304" s="319">
        <f>AD304+2</f>
        <v>46305</v>
      </c>
      <c r="AF304" s="319">
        <f>AG304-3</f>
        <v>46324</v>
      </c>
      <c r="AG304" s="319">
        <f>AH304-15</f>
        <v>46327</v>
      </c>
      <c r="AH304" s="319">
        <f>AM304</f>
        <v>46342</v>
      </c>
      <c r="AI304" s="319">
        <f>AM304+14</f>
        <v>46356</v>
      </c>
      <c r="AJ304" s="319">
        <f>AM304+30</f>
        <v>46372</v>
      </c>
      <c r="AK304" s="320">
        <v>8.5714285714285694</v>
      </c>
      <c r="AL304" s="321"/>
      <c r="AM304" s="319">
        <f>X304+AL305</f>
        <v>46342</v>
      </c>
      <c r="AN304" s="322"/>
      <c r="AO304" s="322"/>
      <c r="AP304" s="322"/>
      <c r="AQ304" s="322"/>
      <c r="AR304" s="314">
        <f>AN305-AM304</f>
        <v>16</v>
      </c>
      <c r="AS304" s="323"/>
      <c r="AT304" s="324" t="s">
        <v>62</v>
      </c>
      <c r="AU304" s="325">
        <v>46365</v>
      </c>
    </row>
    <row r="305" spans="1:48" s="262" customFormat="1" ht="25.05" customHeight="1">
      <c r="A305" s="309"/>
      <c r="B305" s="310" t="s">
        <v>330</v>
      </c>
      <c r="C305" s="310" t="s">
        <v>331</v>
      </c>
      <c r="D305" s="363"/>
      <c r="E305" s="312"/>
      <c r="F305" s="363"/>
      <c r="G305" s="314">
        <v>13</v>
      </c>
      <c r="H305" s="438" t="s">
        <v>255</v>
      </c>
      <c r="I305" s="314" t="s">
        <v>83</v>
      </c>
      <c r="J305" s="310" t="s">
        <v>72</v>
      </c>
      <c r="K305" s="310">
        <v>0</v>
      </c>
      <c r="L305" s="310" t="s">
        <v>9</v>
      </c>
      <c r="M305" s="317" t="s">
        <v>65</v>
      </c>
      <c r="N305" s="319">
        <v>46162</v>
      </c>
      <c r="O305" s="319"/>
      <c r="P305" s="319"/>
      <c r="Q305" s="319"/>
      <c r="R305" s="319"/>
      <c r="S305" s="319"/>
      <c r="T305" s="319">
        <v>46252</v>
      </c>
      <c r="U305" s="319">
        <f>WORKDAY.INTL(T305,INDEX(U$8:U$11,MATCH($L305,$L$8:$L$11,0)),1,IF(U$18="China",'China Holidays'!$A$2:$A$82,'Thai Holidays'!$A$2:$A$63))</f>
        <v>46261</v>
      </c>
      <c r="V305" s="319">
        <f>WORKDAY.INTL(U305,INDEX(V$8:V$11,MATCH($L305,$L$8:$L$11,0)),1,IF(V$18="China",'China Holidays'!$A$2:$A$82,'Thai Holidays'!$A$2:$A$63))</f>
        <v>46275</v>
      </c>
      <c r="W305" s="319"/>
      <c r="X305" s="319">
        <f>WORKDAY.INTL(V305,INDEX(X$8:X$11,MATCH($L305,$L$8:$L$11,0)),1,IF(X$18="China",'China Holidays'!$A$2:$A$82,'Thai Holidays'!$A$2:$A$63))</f>
        <v>46282</v>
      </c>
      <c r="Y305" s="319">
        <f>X305+2</f>
        <v>46284</v>
      </c>
      <c r="Z305" s="319">
        <f>Y305+5</f>
        <v>46289</v>
      </c>
      <c r="AA305" s="319">
        <f>Z305+14</f>
        <v>46303</v>
      </c>
      <c r="AB305" s="319">
        <f>AA305+14</f>
        <v>46317</v>
      </c>
      <c r="AC305" s="319">
        <f>AA305</f>
        <v>46303</v>
      </c>
      <c r="AD305" s="319">
        <f>AC305</f>
        <v>46303</v>
      </c>
      <c r="AE305" s="319">
        <f>AD305+2</f>
        <v>46305</v>
      </c>
      <c r="AF305" s="319">
        <f>AG305-3</f>
        <v>46324</v>
      </c>
      <c r="AG305" s="319">
        <f>AH305-15</f>
        <v>46327</v>
      </c>
      <c r="AH305" s="319">
        <f>AM305</f>
        <v>46342</v>
      </c>
      <c r="AI305" s="319">
        <f>AM305+14</f>
        <v>46356</v>
      </c>
      <c r="AJ305" s="319">
        <f>AM305+30</f>
        <v>46372</v>
      </c>
      <c r="AK305" s="343"/>
      <c r="AL305" s="321">
        <f>AK304*7</f>
        <v>59.999999999999986</v>
      </c>
      <c r="AM305" s="319">
        <f>IF(X305&lt;&gt;"",X305+AL305,X306+AL305)</f>
        <v>46342</v>
      </c>
      <c r="AN305" s="322">
        <f>AU304-7</f>
        <v>46358</v>
      </c>
      <c r="AO305" s="322">
        <f>AP305-7</f>
        <v>46358</v>
      </c>
      <c r="AP305" s="322">
        <v>46365</v>
      </c>
      <c r="AQ305" s="439" t="s">
        <v>332</v>
      </c>
      <c r="AR305" s="314">
        <f>AN305-AM305</f>
        <v>16</v>
      </c>
      <c r="AS305" s="323"/>
      <c r="AT305" s="324" t="s">
        <v>66</v>
      </c>
      <c r="AU305" s="325">
        <v>46365</v>
      </c>
      <c r="AV305" s="265"/>
    </row>
    <row r="306" spans="1:48" s="262" customFormat="1" ht="25.05" customHeight="1">
      <c r="A306" s="327"/>
      <c r="B306" s="328" t="s">
        <v>330</v>
      </c>
      <c r="C306" s="328" t="s">
        <v>331</v>
      </c>
      <c r="D306" s="364"/>
      <c r="E306" s="330"/>
      <c r="F306" s="364"/>
      <c r="G306" s="332"/>
      <c r="H306" s="425"/>
      <c r="I306" s="332" t="s">
        <v>83</v>
      </c>
      <c r="J306" s="328" t="s">
        <v>72</v>
      </c>
      <c r="K306" s="328"/>
      <c r="L306" s="328" t="s">
        <v>9</v>
      </c>
      <c r="M306" s="334" t="s">
        <v>67</v>
      </c>
      <c r="N306" s="335"/>
      <c r="O306" s="335">
        <v>46169</v>
      </c>
      <c r="P306" s="335">
        <v>46184</v>
      </c>
      <c r="Q306" s="335">
        <v>46184</v>
      </c>
      <c r="R306" s="335">
        <v>46184</v>
      </c>
      <c r="S306" s="335">
        <v>46184</v>
      </c>
      <c r="T306" s="335"/>
      <c r="U306" s="335"/>
      <c r="V306" s="335"/>
      <c r="W306" s="335"/>
      <c r="X306" s="332"/>
      <c r="Y306" s="335"/>
      <c r="Z306" s="335"/>
      <c r="AA306" s="335"/>
      <c r="AB306" s="335"/>
      <c r="AC306" s="335"/>
      <c r="AD306" s="335"/>
      <c r="AE306" s="335"/>
      <c r="AF306" s="335"/>
      <c r="AG306" s="335"/>
      <c r="AH306" s="335"/>
      <c r="AI306" s="335"/>
      <c r="AJ306" s="335"/>
      <c r="AK306" s="336"/>
      <c r="AL306" s="337"/>
      <c r="AM306" s="335"/>
      <c r="AN306" s="440"/>
      <c r="AO306" s="440"/>
      <c r="AP306" s="440"/>
      <c r="AQ306" s="440"/>
      <c r="AR306" s="332"/>
      <c r="AS306" s="339"/>
      <c r="AT306" s="340"/>
      <c r="AU306" s="339"/>
    </row>
    <row r="307" spans="1:48" s="264" customFormat="1" ht="25.05" customHeight="1">
      <c r="A307" s="309">
        <v>101</v>
      </c>
      <c r="B307" s="310" t="s">
        <v>333</v>
      </c>
      <c r="C307" s="310" t="s">
        <v>334</v>
      </c>
      <c r="D307" s="361"/>
      <c r="E307" s="312"/>
      <c r="F307" s="362"/>
      <c r="G307" s="314"/>
      <c r="H307" s="315"/>
      <c r="I307" s="314" t="s">
        <v>132</v>
      </c>
      <c r="J307" s="310"/>
      <c r="K307" s="316"/>
      <c r="L307" s="310" t="s">
        <v>8</v>
      </c>
      <c r="M307" s="317" t="s">
        <v>61</v>
      </c>
      <c r="N307" s="318"/>
      <c r="O307" s="319">
        <v>46245</v>
      </c>
      <c r="P307" s="319">
        <v>46260</v>
      </c>
      <c r="Q307" s="319">
        <v>46260</v>
      </c>
      <c r="R307" s="319">
        <v>46261</v>
      </c>
      <c r="S307" s="319">
        <v>46261</v>
      </c>
      <c r="T307" s="319">
        <v>46275</v>
      </c>
      <c r="U307" s="319">
        <v>46293</v>
      </c>
      <c r="V307" s="319">
        <v>46307</v>
      </c>
      <c r="W307" s="319"/>
      <c r="X307" s="319">
        <v>46316</v>
      </c>
      <c r="Y307" s="319">
        <v>46318</v>
      </c>
      <c r="Z307" s="319">
        <v>46325</v>
      </c>
      <c r="AA307" s="319">
        <v>46346</v>
      </c>
      <c r="AB307" s="319">
        <v>46360</v>
      </c>
      <c r="AC307" s="319">
        <v>46375</v>
      </c>
      <c r="AD307" s="319">
        <v>46375</v>
      </c>
      <c r="AE307" s="319">
        <v>46377</v>
      </c>
      <c r="AF307" s="319">
        <v>46421</v>
      </c>
      <c r="AG307" s="319">
        <v>46435</v>
      </c>
      <c r="AH307" s="319">
        <v>46442</v>
      </c>
      <c r="AI307" s="319">
        <v>46456</v>
      </c>
      <c r="AJ307" s="319">
        <v>46472</v>
      </c>
      <c r="AK307" s="320">
        <v>18</v>
      </c>
      <c r="AL307" s="321"/>
      <c r="AM307" s="319">
        <f>X307+AL308</f>
        <v>46442</v>
      </c>
      <c r="AN307" s="322"/>
      <c r="AO307" s="322"/>
      <c r="AP307" s="322"/>
      <c r="AQ307" s="322"/>
      <c r="AR307" s="314">
        <f>AN308-AM307</f>
        <v>36</v>
      </c>
      <c r="AS307" s="323"/>
      <c r="AT307" s="324" t="s">
        <v>62</v>
      </c>
      <c r="AU307" s="325">
        <v>46485</v>
      </c>
    </row>
    <row r="308" spans="1:48" s="264" customFormat="1" ht="25.05" customHeight="1">
      <c r="A308" s="309"/>
      <c r="B308" s="310" t="s">
        <v>333</v>
      </c>
      <c r="C308" s="310" t="s">
        <v>334</v>
      </c>
      <c r="D308" s="363"/>
      <c r="E308" s="312"/>
      <c r="F308" s="363"/>
      <c r="G308" s="314">
        <v>34</v>
      </c>
      <c r="H308" s="315" t="s">
        <v>157</v>
      </c>
      <c r="I308" s="314" t="s">
        <v>132</v>
      </c>
      <c r="J308" s="310" t="s">
        <v>72</v>
      </c>
      <c r="K308" s="310">
        <v>4</v>
      </c>
      <c r="L308" s="310" t="s">
        <v>8</v>
      </c>
      <c r="M308" s="317" t="s">
        <v>65</v>
      </c>
      <c r="N308" s="319"/>
      <c r="O308" s="319">
        <v>46245</v>
      </c>
      <c r="P308" s="319">
        <f>WORKDAY.INTL(O308,INDEX(P$8:P$11,MATCH($L308,$L$8:$L$11,0)),1,IF(P$18="China",'China Holidays'!$A$2:$A$82,'Thai Holidays'!$A$2:$A$63))</f>
        <v>46260</v>
      </c>
      <c r="Q308" s="319">
        <f>WORKDAY.INTL(P308,INDEX(Q$8:Q$11,MATCH($L308,$L$8:$L$11,0)),1,IF(Q$18="China",'China Holidays'!$A$2:$A$82,'Thai Holidays'!$A$2:$A$63))</f>
        <v>46260</v>
      </c>
      <c r="R308" s="319">
        <f>WORKDAY.INTL(Q308,INDEX(R$8:R$11,MATCH($L308,$L$8:$L$11,0)),1,IF(R$18="China",'China Holidays'!$A$2:$A$82,'Thai Holidays'!$A$2:$A$63))</f>
        <v>46260</v>
      </c>
      <c r="S308" s="319">
        <f>WORKDAY.INTL(R308,INDEX(S$8:S$11,MATCH($L308,$L$8:$L$11,0)),1,IF(S$18="China",'China Holidays'!$A$2:$A$82,'Thai Holidays'!$A$2:$A$63))</f>
        <v>46260</v>
      </c>
      <c r="T308" s="319">
        <f>WORKDAY.INTL(S308,INDEX(T$8:T$11,MATCH($L308,$L$8:$L$11,0)),1,IF(T$18="China",'China Holidays'!$A$2:$A$82,'Thai Holidays'!$A$2:$A$63))</f>
        <v>46274</v>
      </c>
      <c r="U308" s="319">
        <f>WORKDAY.INTL(T308,INDEX(U$8:U$11,MATCH($L308,$L$8:$L$11,0)),1,IF(U$18="China",'China Holidays'!$A$2:$A$82,'Thai Holidays'!$A$2:$A$63))</f>
        <v>46293</v>
      </c>
      <c r="V308" s="319">
        <f>WORKDAY.INTL(U308,INDEX(V$8:V$11,MATCH($L308,$L$8:$L$11,0)),1,IF(V$18="China",'China Holidays'!$A$2:$A$82,'Thai Holidays'!$A$2:$A$63))</f>
        <v>46307</v>
      </c>
      <c r="W308" s="319"/>
      <c r="X308" s="319">
        <f>WORKDAY.INTL(V308,INDEX(X$8:X$11,MATCH($L308,$L$8:$L$11,0)),1,IF(X$18="China",'China Holidays'!$A$2:$A$82,'Thai Holidays'!$A$2:$A$63))</f>
        <v>46318</v>
      </c>
      <c r="Y308" s="319">
        <f>WORKDAY.INTL(X308,INDEX(Y$12:Y$15,MATCH($L308,$L$12:$L$15,0)),1,IF(Y$18="China",'China Holidays'!$A$2:$A$82,'Thai Holidays'!$A$2:$A$63))</f>
        <v>46322</v>
      </c>
      <c r="Z308" s="319">
        <f>WORKDAY.INTL(Y308,INDEX(Z$12:Z$15,MATCH($L308,$L$12:$L$15,0)),1,IF(Z$18="China",'China Holidays'!$A$2:$A$82,'Thai Holidays'!$A$2:$A$63))</f>
        <v>46329</v>
      </c>
      <c r="AA308" s="319">
        <f>WORKDAY.INTL(Z308,INDEX(AA$12:AA$15,MATCH($L308,$L$12:$L$15,0)),1,IF(AA$18="China",'China Holidays'!$A$2:$A$82,'Thai Holidays'!$A$2:$A$63))</f>
        <v>46350</v>
      </c>
      <c r="AB308" s="319">
        <f>WORKDAY.INTL(AA308,INDEX(AB$12:AB$15,MATCH($L308,$L$12:$L$15,0)),1,IF(AB$18="China",'China Holidays'!$A$2:$A$82,'Thai Holidays'!$A$2:$A$63))</f>
        <v>46365</v>
      </c>
      <c r="AC308" s="319">
        <f>AB308+15</f>
        <v>46380</v>
      </c>
      <c r="AD308" s="319">
        <f>AC308</f>
        <v>46380</v>
      </c>
      <c r="AE308" s="319">
        <f>AD308+2</f>
        <v>46382</v>
      </c>
      <c r="AF308" s="319">
        <f>AG308-14</f>
        <v>46423</v>
      </c>
      <c r="AG308" s="319">
        <f>AH308-7</f>
        <v>46437</v>
      </c>
      <c r="AH308" s="319">
        <f>AM308</f>
        <v>46444</v>
      </c>
      <c r="AI308" s="319">
        <f>AM308+14</f>
        <v>46458</v>
      </c>
      <c r="AJ308" s="319">
        <f>AM308+30</f>
        <v>46474</v>
      </c>
      <c r="AK308" s="343"/>
      <c r="AL308" s="321">
        <f>AK307*7</f>
        <v>126</v>
      </c>
      <c r="AM308" s="319">
        <f>IF(X308&lt;&gt;"",X308+AL308,X309+AL308)</f>
        <v>46444</v>
      </c>
      <c r="AN308" s="322">
        <f>AU307-7</f>
        <v>46478</v>
      </c>
      <c r="AO308" s="322">
        <f>AP308-7</f>
        <v>46485</v>
      </c>
      <c r="AP308" s="322">
        <v>46492</v>
      </c>
      <c r="AQ308" s="322"/>
      <c r="AR308" s="314">
        <f>AN308-AM308</f>
        <v>34</v>
      </c>
      <c r="AS308" s="323"/>
      <c r="AT308" s="324" t="s">
        <v>66</v>
      </c>
      <c r="AU308" s="325">
        <v>46485</v>
      </c>
    </row>
    <row r="309" spans="1:48" s="264" customFormat="1" ht="25.05" customHeight="1">
      <c r="A309" s="327"/>
      <c r="B309" s="328" t="s">
        <v>333</v>
      </c>
      <c r="C309" s="328" t="s">
        <v>334</v>
      </c>
      <c r="D309" s="364"/>
      <c r="E309" s="330"/>
      <c r="F309" s="364"/>
      <c r="G309" s="332"/>
      <c r="H309" s="333"/>
      <c r="I309" s="332" t="s">
        <v>132</v>
      </c>
      <c r="J309" s="328" t="s">
        <v>72</v>
      </c>
      <c r="K309" s="310">
        <v>4</v>
      </c>
      <c r="L309" s="328" t="s">
        <v>8</v>
      </c>
      <c r="M309" s="334" t="s">
        <v>67</v>
      </c>
      <c r="N309" s="332"/>
      <c r="O309" s="335"/>
      <c r="P309" s="335"/>
      <c r="Q309" s="335"/>
      <c r="R309" s="335"/>
      <c r="S309" s="335"/>
      <c r="T309" s="335"/>
      <c r="U309" s="335"/>
      <c r="V309" s="335"/>
      <c r="W309" s="335"/>
      <c r="X309" s="332"/>
      <c r="Y309" s="335"/>
      <c r="Z309" s="335"/>
      <c r="AA309" s="335"/>
      <c r="AB309" s="335"/>
      <c r="AC309" s="335"/>
      <c r="AD309" s="335"/>
      <c r="AE309" s="335"/>
      <c r="AF309" s="335"/>
      <c r="AG309" s="335"/>
      <c r="AH309" s="335"/>
      <c r="AI309" s="335"/>
      <c r="AJ309" s="335"/>
      <c r="AK309" s="336"/>
      <c r="AL309" s="337"/>
      <c r="AM309" s="335"/>
      <c r="AN309" s="338"/>
      <c r="AO309" s="338"/>
      <c r="AP309" s="338"/>
      <c r="AQ309" s="338"/>
      <c r="AR309" s="332"/>
      <c r="AS309" s="339"/>
      <c r="AT309" s="340"/>
      <c r="AU309" s="339"/>
    </row>
    <row r="310" spans="1:48" s="267" customFormat="1" ht="25.05" customHeight="1">
      <c r="A310" s="309">
        <v>105</v>
      </c>
      <c r="B310" s="310" t="s">
        <v>335</v>
      </c>
      <c r="C310" s="310" t="s">
        <v>336</v>
      </c>
      <c r="D310" s="361"/>
      <c r="E310" s="312"/>
      <c r="F310" s="362"/>
      <c r="G310" s="314"/>
      <c r="H310" s="315"/>
      <c r="I310" s="314" t="s">
        <v>225</v>
      </c>
      <c r="J310" s="310"/>
      <c r="K310" s="316"/>
      <c r="L310" s="310" t="s">
        <v>6</v>
      </c>
      <c r="M310" s="317" t="s">
        <v>61</v>
      </c>
      <c r="N310" s="318"/>
      <c r="O310" s="319">
        <v>46208</v>
      </c>
      <c r="P310" s="319">
        <v>46213</v>
      </c>
      <c r="Q310" s="319">
        <v>46213</v>
      </c>
      <c r="R310" s="319">
        <v>46213</v>
      </c>
      <c r="S310" s="319">
        <v>46213</v>
      </c>
      <c r="T310" s="319">
        <v>46222</v>
      </c>
      <c r="U310" s="319">
        <v>46223</v>
      </c>
      <c r="V310" s="319">
        <v>46227</v>
      </c>
      <c r="W310" s="319"/>
      <c r="X310" s="319">
        <v>46229</v>
      </c>
      <c r="Y310" s="319">
        <v>46231</v>
      </c>
      <c r="Z310" s="319">
        <v>46236</v>
      </c>
      <c r="AA310" s="319">
        <v>46246</v>
      </c>
      <c r="AB310" s="319">
        <v>46256</v>
      </c>
      <c r="AC310" s="319">
        <v>46263</v>
      </c>
      <c r="AD310" s="319">
        <v>46261</v>
      </c>
      <c r="AE310" s="319">
        <v>46263</v>
      </c>
      <c r="AF310" s="319">
        <v>46309</v>
      </c>
      <c r="AG310" s="319">
        <v>46316</v>
      </c>
      <c r="AH310" s="319">
        <v>46319</v>
      </c>
      <c r="AI310" s="319">
        <v>46333</v>
      </c>
      <c r="AJ310" s="319">
        <v>46349</v>
      </c>
      <c r="AK310" s="320">
        <v>12.8571428571429</v>
      </c>
      <c r="AL310" s="321"/>
      <c r="AM310" s="319">
        <f>X310+AL311</f>
        <v>46319</v>
      </c>
      <c r="AN310" s="348">
        <f>AM310-AH310</f>
        <v>0</v>
      </c>
      <c r="AO310" s="322"/>
      <c r="AP310" s="322"/>
      <c r="AQ310" s="322"/>
      <c r="AR310" s="314">
        <f>AN311-AM310</f>
        <v>8</v>
      </c>
      <c r="AS310" s="323"/>
      <c r="AT310" s="324" t="s">
        <v>62</v>
      </c>
      <c r="AU310" s="325">
        <v>46307</v>
      </c>
      <c r="AV310" s="264"/>
    </row>
    <row r="311" spans="1:48" s="264" customFormat="1" ht="25.05" customHeight="1">
      <c r="A311" s="391"/>
      <c r="B311" s="310" t="s">
        <v>335</v>
      </c>
      <c r="C311" s="310" t="s">
        <v>336</v>
      </c>
      <c r="D311" s="363"/>
      <c r="E311" s="312"/>
      <c r="F311" s="363"/>
      <c r="G311" s="314">
        <v>1</v>
      </c>
      <c r="H311" s="315" t="s">
        <v>233</v>
      </c>
      <c r="I311" s="314" t="s">
        <v>225</v>
      </c>
      <c r="J311" s="310" t="s">
        <v>64</v>
      </c>
      <c r="K311" s="310">
        <v>2</v>
      </c>
      <c r="L311" s="310" t="s">
        <v>6</v>
      </c>
      <c r="M311" s="317" t="s">
        <v>65</v>
      </c>
      <c r="N311" s="319">
        <v>46137</v>
      </c>
      <c r="O311" s="319"/>
      <c r="P311" s="319"/>
      <c r="Q311" s="319"/>
      <c r="R311" s="319"/>
      <c r="S311" s="319"/>
      <c r="T311" s="319"/>
      <c r="U311" s="319"/>
      <c r="V311" s="319"/>
      <c r="W311" s="319"/>
      <c r="X311" s="319"/>
      <c r="Y311" s="319">
        <f>X311+2</f>
        <v>2</v>
      </c>
      <c r="Z311" s="319">
        <f>Y311+5</f>
        <v>7</v>
      </c>
      <c r="AA311" s="319">
        <v>46246</v>
      </c>
      <c r="AB311" s="319">
        <f>AA311+10</f>
        <v>46256</v>
      </c>
      <c r="AC311" s="319">
        <f>AB311+7</f>
        <v>46263</v>
      </c>
      <c r="AD311" s="319">
        <f>AB311+5</f>
        <v>46261</v>
      </c>
      <c r="AE311" s="319">
        <f>AD311+2</f>
        <v>46263</v>
      </c>
      <c r="AF311" s="319">
        <f>AG311-7</f>
        <v>46299</v>
      </c>
      <c r="AG311" s="319">
        <f>AH311-3</f>
        <v>46306</v>
      </c>
      <c r="AH311" s="319">
        <f>AM311</f>
        <v>46309</v>
      </c>
      <c r="AI311" s="319">
        <f>AM311+14</f>
        <v>46323</v>
      </c>
      <c r="AJ311" s="319">
        <f>AM311+30</f>
        <v>46339</v>
      </c>
      <c r="AK311" s="343"/>
      <c r="AL311" s="321">
        <f>AK310*7</f>
        <v>90.000000000000298</v>
      </c>
      <c r="AM311" s="319">
        <f>IF(X311&lt;&gt;"",X311+AL311,X312+AL311)</f>
        <v>46309</v>
      </c>
      <c r="AN311" s="322">
        <v>46327</v>
      </c>
      <c r="AO311" s="322">
        <f>AP311-3</f>
        <v>46292</v>
      </c>
      <c r="AP311" s="322">
        <v>46295</v>
      </c>
      <c r="AQ311" s="322" t="s">
        <v>230</v>
      </c>
      <c r="AR311" s="314">
        <f>AN311-AM311</f>
        <v>18</v>
      </c>
      <c r="AS311" s="323"/>
      <c r="AT311" s="324" t="s">
        <v>66</v>
      </c>
      <c r="AU311" s="325">
        <v>46318</v>
      </c>
      <c r="AV311" s="265"/>
    </row>
    <row r="312" spans="1:48" s="264" customFormat="1" ht="25.05" customHeight="1">
      <c r="A312" s="392"/>
      <c r="B312" s="328" t="s">
        <v>335</v>
      </c>
      <c r="C312" s="328" t="s">
        <v>336</v>
      </c>
      <c r="D312" s="364"/>
      <c r="E312" s="330"/>
      <c r="F312" s="364"/>
      <c r="G312" s="332"/>
      <c r="H312" s="333"/>
      <c r="I312" s="332" t="s">
        <v>225</v>
      </c>
      <c r="J312" s="328" t="s">
        <v>64</v>
      </c>
      <c r="K312" s="310">
        <v>2</v>
      </c>
      <c r="L312" s="328" t="s">
        <v>6</v>
      </c>
      <c r="M312" s="334" t="s">
        <v>67</v>
      </c>
      <c r="N312" s="335">
        <v>46137</v>
      </c>
      <c r="O312" s="335">
        <v>46162</v>
      </c>
      <c r="P312" s="335">
        <v>46175</v>
      </c>
      <c r="Q312" s="335">
        <v>46175</v>
      </c>
      <c r="R312" s="335">
        <f>Q312</f>
        <v>46175</v>
      </c>
      <c r="S312" s="335">
        <f>R312</f>
        <v>46175</v>
      </c>
      <c r="T312" s="335">
        <f>S312+2</f>
        <v>46177</v>
      </c>
      <c r="U312" s="335">
        <v>46211</v>
      </c>
      <c r="V312" s="335">
        <v>46216</v>
      </c>
      <c r="W312" s="335">
        <v>46219</v>
      </c>
      <c r="X312" s="335">
        <v>46219</v>
      </c>
      <c r="Y312" s="335">
        <v>46219</v>
      </c>
      <c r="Z312" s="335">
        <v>46220</v>
      </c>
      <c r="AA312" s="335"/>
      <c r="AB312" s="335"/>
      <c r="AC312" s="335"/>
      <c r="AD312" s="335"/>
      <c r="AE312" s="335"/>
      <c r="AF312" s="335"/>
      <c r="AG312" s="335"/>
      <c r="AH312" s="335"/>
      <c r="AI312" s="335"/>
      <c r="AJ312" s="335"/>
      <c r="AK312" s="336"/>
      <c r="AL312" s="337"/>
      <c r="AM312" s="335"/>
      <c r="AN312" s="338"/>
      <c r="AO312" s="338"/>
      <c r="AP312" s="338"/>
      <c r="AQ312" s="338"/>
      <c r="AR312" s="332"/>
      <c r="AS312" s="339"/>
      <c r="AT312" s="340"/>
      <c r="AU312" s="339"/>
    </row>
    <row r="313" spans="1:48" s="267" customFormat="1" ht="25.05" customHeight="1">
      <c r="A313" s="309">
        <v>106</v>
      </c>
      <c r="B313" s="310" t="s">
        <v>337</v>
      </c>
      <c r="C313" s="310" t="s">
        <v>338</v>
      </c>
      <c r="D313" s="361"/>
      <c r="E313" s="312"/>
      <c r="F313" s="362"/>
      <c r="G313" s="314"/>
      <c r="H313" s="315"/>
      <c r="I313" s="314" t="s">
        <v>225</v>
      </c>
      <c r="J313" s="310"/>
      <c r="K313" s="316"/>
      <c r="L313" s="310" t="s">
        <v>6</v>
      </c>
      <c r="M313" s="317" t="s">
        <v>61</v>
      </c>
      <c r="N313" s="318"/>
      <c r="O313" s="319">
        <v>46207</v>
      </c>
      <c r="P313" s="319">
        <v>46212</v>
      </c>
      <c r="Q313" s="319">
        <v>46212</v>
      </c>
      <c r="R313" s="319">
        <v>46212</v>
      </c>
      <c r="S313" s="319">
        <v>46212</v>
      </c>
      <c r="T313" s="319">
        <v>46221</v>
      </c>
      <c r="U313" s="319">
        <v>46223</v>
      </c>
      <c r="V313" s="319">
        <v>46226</v>
      </c>
      <c r="W313" s="319"/>
      <c r="X313" s="319">
        <v>46228</v>
      </c>
      <c r="Y313" s="319">
        <v>46230</v>
      </c>
      <c r="Z313" s="319">
        <v>46235</v>
      </c>
      <c r="AA313" s="319">
        <v>46245</v>
      </c>
      <c r="AB313" s="319">
        <v>46255</v>
      </c>
      <c r="AC313" s="319">
        <v>46262</v>
      </c>
      <c r="AD313" s="319">
        <v>46260</v>
      </c>
      <c r="AE313" s="319">
        <v>46262</v>
      </c>
      <c r="AF313" s="319">
        <v>46308</v>
      </c>
      <c r="AG313" s="319">
        <v>46315</v>
      </c>
      <c r="AH313" s="319">
        <v>46318</v>
      </c>
      <c r="AI313" s="319">
        <v>46332</v>
      </c>
      <c r="AJ313" s="319">
        <v>46348</v>
      </c>
      <c r="AK313" s="320">
        <v>12.8571428571429</v>
      </c>
      <c r="AL313" s="321"/>
      <c r="AM313" s="319">
        <f>X313+AL314</f>
        <v>46318</v>
      </c>
      <c r="AN313" s="348">
        <f>AM313-AH313</f>
        <v>0</v>
      </c>
      <c r="AO313" s="322"/>
      <c r="AP313" s="322"/>
      <c r="AQ313" s="322"/>
      <c r="AR313" s="314">
        <f>AN314-AM313</f>
        <v>9</v>
      </c>
      <c r="AS313" s="323"/>
      <c r="AT313" s="324" t="s">
        <v>62</v>
      </c>
      <c r="AU313" s="325">
        <v>46307</v>
      </c>
      <c r="AV313" s="264"/>
    </row>
    <row r="314" spans="1:48" s="264" customFormat="1" ht="25.05" customHeight="1">
      <c r="A314" s="391"/>
      <c r="B314" s="310" t="s">
        <v>337</v>
      </c>
      <c r="C314" s="310" t="s">
        <v>339</v>
      </c>
      <c r="D314" s="363"/>
      <c r="E314" s="312"/>
      <c r="F314" s="363"/>
      <c r="G314" s="314">
        <v>1</v>
      </c>
      <c r="H314" s="315" t="s">
        <v>233</v>
      </c>
      <c r="I314" s="314" t="s">
        <v>225</v>
      </c>
      <c r="J314" s="310" t="s">
        <v>64</v>
      </c>
      <c r="K314" s="310">
        <v>2</v>
      </c>
      <c r="L314" s="310" t="s">
        <v>6</v>
      </c>
      <c r="M314" s="317" t="s">
        <v>65</v>
      </c>
      <c r="N314" s="319">
        <v>46137</v>
      </c>
      <c r="O314" s="319"/>
      <c r="P314" s="319"/>
      <c r="Q314" s="319"/>
      <c r="R314" s="319"/>
      <c r="S314" s="319"/>
      <c r="T314" s="319"/>
      <c r="U314" s="319">
        <v>46230</v>
      </c>
      <c r="V314" s="319">
        <f>U314+3</f>
        <v>46233</v>
      </c>
      <c r="W314" s="319"/>
      <c r="X314" s="319">
        <f>V314+2</f>
        <v>46235</v>
      </c>
      <c r="Y314" s="319">
        <f>X314+2</f>
        <v>46237</v>
      </c>
      <c r="Z314" s="319">
        <f>Y314+5</f>
        <v>46242</v>
      </c>
      <c r="AA314" s="319">
        <f>Z314+10</f>
        <v>46252</v>
      </c>
      <c r="AB314" s="319">
        <f>AA314+10</f>
        <v>46262</v>
      </c>
      <c r="AC314" s="319">
        <f>AB314+7</f>
        <v>46269</v>
      </c>
      <c r="AD314" s="319">
        <f>AB314+5</f>
        <v>46267</v>
      </c>
      <c r="AE314" s="319">
        <f>AD314+2</f>
        <v>46269</v>
      </c>
      <c r="AF314" s="319">
        <f>AG314-7</f>
        <v>46315</v>
      </c>
      <c r="AG314" s="319">
        <f>AH314-3</f>
        <v>46322</v>
      </c>
      <c r="AH314" s="319">
        <f>AM314</f>
        <v>46325</v>
      </c>
      <c r="AI314" s="319">
        <f>AM314+14</f>
        <v>46339</v>
      </c>
      <c r="AJ314" s="319">
        <f>AM314+30</f>
        <v>46355</v>
      </c>
      <c r="AK314" s="343"/>
      <c r="AL314" s="321">
        <f>AK313*7</f>
        <v>90.000000000000298</v>
      </c>
      <c r="AM314" s="319">
        <f>IF(X314&lt;&gt;"",X314+AL314,X315+AL314)</f>
        <v>46325</v>
      </c>
      <c r="AN314" s="322">
        <v>46327</v>
      </c>
      <c r="AO314" s="322">
        <f>AP314-3</f>
        <v>46292</v>
      </c>
      <c r="AP314" s="322">
        <v>46295</v>
      </c>
      <c r="AQ314" s="322" t="s">
        <v>230</v>
      </c>
      <c r="AR314" s="314">
        <f>AN314-AM314</f>
        <v>2</v>
      </c>
      <c r="AS314" s="323"/>
      <c r="AT314" s="324" t="s">
        <v>66</v>
      </c>
      <c r="AU314" s="325">
        <v>46318</v>
      </c>
      <c r="AV314" s="265"/>
    </row>
    <row r="315" spans="1:48" s="264" customFormat="1" ht="25.05" customHeight="1">
      <c r="A315" s="392"/>
      <c r="B315" s="328" t="s">
        <v>337</v>
      </c>
      <c r="C315" s="328" t="s">
        <v>339</v>
      </c>
      <c r="D315" s="364"/>
      <c r="E315" s="330"/>
      <c r="F315" s="364"/>
      <c r="G315" s="332"/>
      <c r="H315" s="333"/>
      <c r="I315" s="332" t="s">
        <v>225</v>
      </c>
      <c r="J315" s="328" t="s">
        <v>64</v>
      </c>
      <c r="K315" s="310">
        <v>2</v>
      </c>
      <c r="L315" s="328" t="s">
        <v>6</v>
      </c>
      <c r="M315" s="334" t="s">
        <v>67</v>
      </c>
      <c r="N315" s="335">
        <v>46137</v>
      </c>
      <c r="O315" s="335">
        <v>46210</v>
      </c>
      <c r="P315" s="335">
        <v>46216</v>
      </c>
      <c r="Q315" s="335">
        <v>46216</v>
      </c>
      <c r="R315" s="335">
        <v>46216</v>
      </c>
      <c r="S315" s="335">
        <v>46216</v>
      </c>
      <c r="T315" s="335">
        <v>46218</v>
      </c>
      <c r="U315" s="335"/>
      <c r="V315" s="335"/>
      <c r="W315" s="335"/>
      <c r="X315" s="332"/>
      <c r="Y315" s="335"/>
      <c r="Z315" s="335"/>
      <c r="AA315" s="335"/>
      <c r="AB315" s="335"/>
      <c r="AC315" s="335"/>
      <c r="AD315" s="335"/>
      <c r="AE315" s="335"/>
      <c r="AF315" s="335"/>
      <c r="AG315" s="335"/>
      <c r="AH315" s="335"/>
      <c r="AI315" s="335"/>
      <c r="AJ315" s="335"/>
      <c r="AK315" s="336"/>
      <c r="AL315" s="337"/>
      <c r="AM315" s="335"/>
      <c r="AN315" s="338"/>
      <c r="AO315" s="338"/>
      <c r="AP315" s="338"/>
      <c r="AQ315" s="338"/>
      <c r="AR315" s="332"/>
      <c r="AS315" s="339"/>
      <c r="AT315" s="340"/>
      <c r="AU315" s="339"/>
    </row>
    <row r="316" spans="1:48" s="267" customFormat="1" ht="25.05" customHeight="1">
      <c r="A316" s="309">
        <v>107</v>
      </c>
      <c r="B316" s="310" t="s">
        <v>340</v>
      </c>
      <c r="C316" s="310" t="s">
        <v>341</v>
      </c>
      <c r="D316" s="361"/>
      <c r="E316" s="312"/>
      <c r="F316" s="362"/>
      <c r="G316" s="314"/>
      <c r="H316" s="315"/>
      <c r="I316" s="314" t="s">
        <v>225</v>
      </c>
      <c r="J316" s="310"/>
      <c r="K316" s="316"/>
      <c r="L316" s="310" t="s">
        <v>6</v>
      </c>
      <c r="M316" s="317" t="s">
        <v>61</v>
      </c>
      <c r="N316" s="318"/>
      <c r="O316" s="319">
        <v>46207</v>
      </c>
      <c r="P316" s="319">
        <v>46212</v>
      </c>
      <c r="Q316" s="319">
        <v>46212</v>
      </c>
      <c r="R316" s="319">
        <v>46212</v>
      </c>
      <c r="S316" s="319">
        <v>46212</v>
      </c>
      <c r="T316" s="319">
        <v>46221</v>
      </c>
      <c r="U316" s="319">
        <v>46223</v>
      </c>
      <c r="V316" s="319">
        <v>46226</v>
      </c>
      <c r="W316" s="319"/>
      <c r="X316" s="319">
        <v>46228</v>
      </c>
      <c r="Y316" s="319">
        <v>46230</v>
      </c>
      <c r="Z316" s="319">
        <v>46235</v>
      </c>
      <c r="AA316" s="319">
        <v>46245</v>
      </c>
      <c r="AB316" s="319">
        <v>46255</v>
      </c>
      <c r="AC316" s="319">
        <v>46262</v>
      </c>
      <c r="AD316" s="319">
        <v>46260</v>
      </c>
      <c r="AE316" s="319">
        <v>46262</v>
      </c>
      <c r="AF316" s="319">
        <f>AG316-5</f>
        <v>46278</v>
      </c>
      <c r="AG316" s="319">
        <f>AH316-5</f>
        <v>46283</v>
      </c>
      <c r="AH316" s="319">
        <v>46288</v>
      </c>
      <c r="AI316" s="319">
        <v>46332</v>
      </c>
      <c r="AJ316" s="319">
        <v>46348</v>
      </c>
      <c r="AK316" s="320">
        <v>8.5714285714285694</v>
      </c>
      <c r="AL316" s="321"/>
      <c r="AM316" s="319">
        <f>X316+AL317</f>
        <v>46288</v>
      </c>
      <c r="AN316" s="348"/>
      <c r="AO316" s="322"/>
      <c r="AP316" s="322"/>
      <c r="AQ316" s="322"/>
      <c r="AR316" s="314">
        <f>AN317-AM316</f>
        <v>12</v>
      </c>
      <c r="AS316" s="323"/>
      <c r="AT316" s="324" t="s">
        <v>62</v>
      </c>
      <c r="AU316" s="325">
        <v>46307</v>
      </c>
      <c r="AV316" s="264"/>
    </row>
    <row r="317" spans="1:48" s="264" customFormat="1" ht="25.05" customHeight="1">
      <c r="A317" s="391"/>
      <c r="B317" s="310" t="s">
        <v>340</v>
      </c>
      <c r="C317" s="310" t="s">
        <v>341</v>
      </c>
      <c r="D317" s="363"/>
      <c r="E317" s="312"/>
      <c r="F317" s="363"/>
      <c r="G317" s="314">
        <v>1</v>
      </c>
      <c r="H317" s="315" t="s">
        <v>233</v>
      </c>
      <c r="I317" s="314" t="s">
        <v>225</v>
      </c>
      <c r="J317" s="310" t="s">
        <v>64</v>
      </c>
      <c r="K317" s="310">
        <v>2</v>
      </c>
      <c r="L317" s="310" t="s">
        <v>6</v>
      </c>
      <c r="M317" s="317" t="s">
        <v>65</v>
      </c>
      <c r="N317" s="319">
        <v>46137</v>
      </c>
      <c r="O317" s="319"/>
      <c r="P317" s="319"/>
      <c r="Q317" s="319"/>
      <c r="R317" s="319"/>
      <c r="S317" s="319"/>
      <c r="T317" s="319"/>
      <c r="U317" s="319">
        <v>46230</v>
      </c>
      <c r="V317" s="319">
        <f>U317+3</f>
        <v>46233</v>
      </c>
      <c r="W317" s="319"/>
      <c r="X317" s="319">
        <f>V317+2</f>
        <v>46235</v>
      </c>
      <c r="Y317" s="319">
        <f>X317+2</f>
        <v>46237</v>
      </c>
      <c r="Z317" s="319">
        <f>Y317+5</f>
        <v>46242</v>
      </c>
      <c r="AA317" s="319">
        <f>Z317+10</f>
        <v>46252</v>
      </c>
      <c r="AB317" s="319">
        <f>AA317+10</f>
        <v>46262</v>
      </c>
      <c r="AC317" s="319">
        <f>AB317+7</f>
        <v>46269</v>
      </c>
      <c r="AD317" s="319">
        <f>AB317+5</f>
        <v>46267</v>
      </c>
      <c r="AE317" s="319">
        <f>AD317+2</f>
        <v>46269</v>
      </c>
      <c r="AF317" s="319">
        <f>AG317-7</f>
        <v>46285</v>
      </c>
      <c r="AG317" s="319">
        <f>AH317-3</f>
        <v>46292</v>
      </c>
      <c r="AH317" s="319">
        <f>AM317</f>
        <v>46295</v>
      </c>
      <c r="AI317" s="319">
        <f>AM317+14</f>
        <v>46309</v>
      </c>
      <c r="AJ317" s="319">
        <f>AM317+30</f>
        <v>46325</v>
      </c>
      <c r="AK317" s="343"/>
      <c r="AL317" s="321">
        <f>AK316*7</f>
        <v>59.999999999999986</v>
      </c>
      <c r="AM317" s="319">
        <f>IF(X317&lt;&gt;"",X317+AL317,X318+AL317)</f>
        <v>46295</v>
      </c>
      <c r="AN317" s="322">
        <f>AU316-7</f>
        <v>46300</v>
      </c>
      <c r="AO317" s="322">
        <f>AP317-3</f>
        <v>46292</v>
      </c>
      <c r="AP317" s="322">
        <v>46295</v>
      </c>
      <c r="AQ317" s="322" t="s">
        <v>230</v>
      </c>
      <c r="AR317" s="314">
        <f>AN317-AM317</f>
        <v>5</v>
      </c>
      <c r="AS317" s="323"/>
      <c r="AT317" s="324" t="s">
        <v>66</v>
      </c>
      <c r="AU317" s="325">
        <v>46318</v>
      </c>
      <c r="AV317" s="265"/>
    </row>
    <row r="318" spans="1:48" s="264" customFormat="1" ht="25.05" customHeight="1">
      <c r="A318" s="392"/>
      <c r="B318" s="328" t="s">
        <v>340</v>
      </c>
      <c r="C318" s="328" t="s">
        <v>341</v>
      </c>
      <c r="D318" s="364"/>
      <c r="E318" s="330"/>
      <c r="F318" s="364"/>
      <c r="G318" s="332"/>
      <c r="H318" s="333"/>
      <c r="I318" s="332" t="s">
        <v>225</v>
      </c>
      <c r="J318" s="328" t="s">
        <v>64</v>
      </c>
      <c r="K318" s="310">
        <v>2</v>
      </c>
      <c r="L318" s="328" t="s">
        <v>6</v>
      </c>
      <c r="M318" s="334" t="s">
        <v>67</v>
      </c>
      <c r="N318" s="335">
        <v>46137</v>
      </c>
      <c r="O318" s="335">
        <v>46210</v>
      </c>
      <c r="P318" s="441">
        <v>46222</v>
      </c>
      <c r="Q318" s="441">
        <v>46222</v>
      </c>
      <c r="R318" s="335">
        <f>Q318</f>
        <v>46222</v>
      </c>
      <c r="S318" s="335">
        <f>Q318</f>
        <v>46222</v>
      </c>
      <c r="T318" s="335">
        <f>S318+2</f>
        <v>46224</v>
      </c>
      <c r="U318" s="335"/>
      <c r="V318" s="335"/>
      <c r="W318" s="335"/>
      <c r="X318" s="332"/>
      <c r="Y318" s="335"/>
      <c r="Z318" s="335"/>
      <c r="AA318" s="335"/>
      <c r="AB318" s="335"/>
      <c r="AC318" s="335"/>
      <c r="AD318" s="335"/>
      <c r="AE318" s="335"/>
      <c r="AF318" s="335"/>
      <c r="AG318" s="335"/>
      <c r="AH318" s="335"/>
      <c r="AI318" s="335"/>
      <c r="AJ318" s="335"/>
      <c r="AK318" s="336"/>
      <c r="AL318" s="337"/>
      <c r="AM318" s="335"/>
      <c r="AN318" s="338"/>
      <c r="AO318" s="338"/>
      <c r="AP318" s="338"/>
      <c r="AQ318" s="338"/>
      <c r="AR318" s="332"/>
      <c r="AS318" s="339"/>
      <c r="AT318" s="340"/>
      <c r="AU318" s="339"/>
    </row>
    <row r="319" spans="1:48">
      <c r="AV319" s="265"/>
    </row>
    <row r="320" spans="1:48">
      <c r="AV320" s="265"/>
    </row>
    <row r="321" spans="37:48">
      <c r="AK321" s="269">
        <f>60/7</f>
        <v>8.5714285714285694</v>
      </c>
      <c r="AV321" s="265"/>
    </row>
    <row r="322" spans="37:48">
      <c r="AV322" s="265"/>
    </row>
    <row r="323" spans="37:48">
      <c r="AV323" s="265"/>
    </row>
    <row r="324" spans="37:48">
      <c r="AV324" s="265"/>
    </row>
    <row r="325" spans="37:48">
      <c r="AV325" s="265"/>
    </row>
    <row r="326" spans="37:48">
      <c r="AV326" s="265"/>
    </row>
    <row r="327" spans="37:48">
      <c r="AV327" s="265"/>
    </row>
    <row r="328" spans="37:48">
      <c r="AV328" s="265"/>
    </row>
  </sheetData>
  <autoFilter ref="A18:AV328" xr:uid="{00000000-0009-0000-0000-000000000000}"/>
  <mergeCells count="1">
    <mergeCell ref="AO12:AQ15"/>
  </mergeCells>
  <dataValidations count="1">
    <dataValidation type="list" allowBlank="1" showInputMessage="1" showErrorMessage="1" sqref="E18:G18 N18:AU18" xr:uid="{00000000-0002-0000-0000-000000000000}">
      <formula1>"Thai,China"</formula1>
    </dataValidation>
  </dataValidations>
  <pageMargins left="0.70069444444444495" right="0.70069444444444495" top="0.75138888888888899" bottom="0.75138888888888899" header="0.29861111111111099" footer="0.29861111111111099"/>
  <pageSetup paperSize="8" scale="27" fitToHeight="0" orientation="portrait" horizontalDpi="1200" verticalDpi="1200" r:id="rId1"/>
  <colBreaks count="1" manualBreakCount="1">
    <brk id="21" max="323" man="1"/>
  </colBreaks>
  <ignoredErrors>
    <ignoredError sqref="T212 V31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E22"/>
  <sheetViews>
    <sheetView workbookViewId="0">
      <selection activeCell="H25" sqref="H25"/>
    </sheetView>
  </sheetViews>
  <sheetFormatPr defaultColWidth="9" defaultRowHeight="14.25"/>
  <cols>
    <col min="4" max="4" width="11" customWidth="1"/>
  </cols>
  <sheetData>
    <row r="3" spans="4:5">
      <c r="D3" s="261">
        <v>46054</v>
      </c>
    </row>
    <row r="4" spans="4:5">
      <c r="D4" s="261">
        <v>46082</v>
      </c>
      <c r="E4">
        <v>1</v>
      </c>
    </row>
    <row r="5" spans="4:5">
      <c r="D5" s="261">
        <v>46113</v>
      </c>
      <c r="E5">
        <v>2</v>
      </c>
    </row>
    <row r="6" spans="4:5">
      <c r="D6" s="261">
        <v>46143</v>
      </c>
      <c r="E6">
        <v>3</v>
      </c>
    </row>
    <row r="7" spans="4:5">
      <c r="D7" s="261">
        <v>46174</v>
      </c>
      <c r="E7">
        <v>4</v>
      </c>
    </row>
    <row r="8" spans="4:5">
      <c r="D8" s="261">
        <v>46204</v>
      </c>
      <c r="E8">
        <v>5</v>
      </c>
    </row>
    <row r="9" spans="4:5">
      <c r="D9" s="261">
        <v>46235</v>
      </c>
      <c r="E9">
        <v>6</v>
      </c>
    </row>
    <row r="10" spans="4:5">
      <c r="D10" s="261">
        <v>46266</v>
      </c>
      <c r="E10">
        <v>7</v>
      </c>
    </row>
    <row r="11" spans="4:5">
      <c r="D11" s="261">
        <v>46296</v>
      </c>
      <c r="E11">
        <v>8</v>
      </c>
    </row>
    <row r="12" spans="4:5">
      <c r="D12" s="261">
        <v>46327</v>
      </c>
      <c r="E12">
        <v>9</v>
      </c>
    </row>
    <row r="13" spans="4:5">
      <c r="D13" s="261">
        <v>46357</v>
      </c>
      <c r="E13">
        <v>10</v>
      </c>
    </row>
    <row r="14" spans="4:5">
      <c r="D14" s="261">
        <v>46388</v>
      </c>
      <c r="E14">
        <v>11</v>
      </c>
    </row>
    <row r="15" spans="4:5">
      <c r="D15" s="261">
        <v>46419</v>
      </c>
      <c r="E15">
        <v>12</v>
      </c>
    </row>
    <row r="16" spans="4:5">
      <c r="D16" s="261">
        <v>46447</v>
      </c>
      <c r="E16">
        <v>13</v>
      </c>
    </row>
    <row r="17" spans="4:5">
      <c r="D17" s="261">
        <v>46478</v>
      </c>
      <c r="E17">
        <v>14</v>
      </c>
    </row>
    <row r="18" spans="4:5">
      <c r="D18" s="261">
        <v>46508</v>
      </c>
      <c r="E18">
        <v>15</v>
      </c>
    </row>
    <row r="19" spans="4:5">
      <c r="D19" s="261">
        <v>46539</v>
      </c>
      <c r="E19">
        <v>16</v>
      </c>
    </row>
    <row r="20" spans="4:5">
      <c r="D20" s="261">
        <v>46569</v>
      </c>
      <c r="E20">
        <v>17</v>
      </c>
    </row>
    <row r="21" spans="4:5">
      <c r="D21" s="261">
        <v>46600</v>
      </c>
      <c r="E21">
        <v>18</v>
      </c>
    </row>
    <row r="22" spans="4:5">
      <c r="D22" s="261">
        <v>46631</v>
      </c>
      <c r="E22">
        <v>19</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25"/>
  <cols>
    <col min="1" max="1" width="18.265625" customWidth="1"/>
    <col min="2" max="2" width="69" customWidth="1"/>
    <col min="3" max="5" width="16.73046875" customWidth="1"/>
    <col min="6" max="6" width="12.3984375" customWidth="1"/>
    <col min="7" max="7" width="20.1328125" customWidth="1"/>
    <col min="8" max="8" width="40.86328125" customWidth="1"/>
  </cols>
  <sheetData>
    <row r="1" spans="1:7">
      <c r="A1" t="s">
        <v>342</v>
      </c>
      <c r="B1" t="s">
        <v>343</v>
      </c>
      <c r="C1" t="s">
        <v>344</v>
      </c>
      <c r="D1" t="s">
        <v>345</v>
      </c>
      <c r="E1" t="s">
        <v>346</v>
      </c>
      <c r="F1" t="s">
        <v>347</v>
      </c>
      <c r="G1" t="s">
        <v>348</v>
      </c>
    </row>
    <row r="2" spans="1:7">
      <c r="A2" t="s">
        <v>349</v>
      </c>
      <c r="C2">
        <v>211</v>
      </c>
      <c r="D2" s="260">
        <v>46085</v>
      </c>
      <c r="E2" s="260">
        <v>46405</v>
      </c>
      <c r="F2">
        <v>0</v>
      </c>
      <c r="G2" t="s">
        <v>350</v>
      </c>
    </row>
    <row r="3" spans="1:7">
      <c r="A3" t="s">
        <v>351</v>
      </c>
      <c r="C3">
        <v>211</v>
      </c>
      <c r="D3" s="260">
        <v>46085</v>
      </c>
      <c r="E3" s="260">
        <v>46405</v>
      </c>
      <c r="F3">
        <v>0</v>
      </c>
      <c r="G3" t="s">
        <v>350</v>
      </c>
    </row>
    <row r="4" spans="1:7">
      <c r="A4" t="s">
        <v>352</v>
      </c>
      <c r="B4" t="s">
        <v>353</v>
      </c>
      <c r="C4">
        <v>0</v>
      </c>
      <c r="D4" s="260">
        <v>46085</v>
      </c>
      <c r="F4">
        <v>-47</v>
      </c>
      <c r="G4" t="s">
        <v>350</v>
      </c>
    </row>
    <row r="5" spans="1:7">
      <c r="A5" t="s">
        <v>354</v>
      </c>
      <c r="B5" t="s">
        <v>355</v>
      </c>
      <c r="C5">
        <v>0</v>
      </c>
      <c r="E5" t="s">
        <v>356</v>
      </c>
      <c r="F5">
        <v>-7</v>
      </c>
      <c r="G5" t="s">
        <v>350</v>
      </c>
    </row>
    <row r="6" spans="1:7">
      <c r="A6" t="s">
        <v>357</v>
      </c>
      <c r="B6" t="s">
        <v>358</v>
      </c>
      <c r="C6">
        <v>2</v>
      </c>
      <c r="D6" s="260">
        <v>46155</v>
      </c>
      <c r="E6" s="260">
        <v>46156</v>
      </c>
      <c r="F6">
        <v>10</v>
      </c>
      <c r="G6" t="s">
        <v>350</v>
      </c>
    </row>
    <row r="7" spans="1:7">
      <c r="A7" t="s">
        <v>359</v>
      </c>
      <c r="B7" t="s">
        <v>360</v>
      </c>
      <c r="C7">
        <v>0</v>
      </c>
      <c r="E7" s="260">
        <v>46170</v>
      </c>
      <c r="F7">
        <v>22</v>
      </c>
      <c r="G7" t="s">
        <v>350</v>
      </c>
    </row>
    <row r="8" spans="1:7">
      <c r="A8" t="s">
        <v>361</v>
      </c>
      <c r="B8" t="s">
        <v>362</v>
      </c>
      <c r="C8">
        <v>2</v>
      </c>
      <c r="D8" s="260">
        <v>46162</v>
      </c>
      <c r="E8" s="260">
        <v>46163</v>
      </c>
      <c r="F8">
        <v>105</v>
      </c>
      <c r="G8" t="s">
        <v>350</v>
      </c>
    </row>
    <row r="9" spans="1:7">
      <c r="A9" t="s">
        <v>363</v>
      </c>
      <c r="B9" t="s">
        <v>364</v>
      </c>
      <c r="C9">
        <v>5</v>
      </c>
      <c r="D9" s="260">
        <v>46178</v>
      </c>
      <c r="E9" s="260">
        <v>46184</v>
      </c>
      <c r="F9">
        <v>22</v>
      </c>
      <c r="G9" t="s">
        <v>350</v>
      </c>
    </row>
    <row r="10" spans="1:7">
      <c r="A10" t="s">
        <v>365</v>
      </c>
      <c r="B10" t="s">
        <v>366</v>
      </c>
      <c r="C10">
        <v>2</v>
      </c>
      <c r="D10" s="260">
        <v>46192</v>
      </c>
      <c r="E10" s="260">
        <v>46195</v>
      </c>
      <c r="F10">
        <v>75</v>
      </c>
      <c r="G10" t="s">
        <v>350</v>
      </c>
    </row>
    <row r="11" spans="1:7">
      <c r="A11" t="s">
        <v>367</v>
      </c>
      <c r="B11" t="s">
        <v>368</v>
      </c>
      <c r="C11">
        <v>0</v>
      </c>
      <c r="E11" t="s">
        <v>369</v>
      </c>
      <c r="F11">
        <v>0</v>
      </c>
      <c r="G11" t="s">
        <v>350</v>
      </c>
    </row>
    <row r="12" spans="1:7">
      <c r="A12" t="s">
        <v>370</v>
      </c>
      <c r="B12" t="s">
        <v>371</v>
      </c>
      <c r="C12">
        <v>5</v>
      </c>
      <c r="D12" s="260">
        <v>46258</v>
      </c>
      <c r="E12" s="260">
        <v>46262</v>
      </c>
      <c r="F12">
        <v>0</v>
      </c>
      <c r="G12" t="s">
        <v>350</v>
      </c>
    </row>
    <row r="13" spans="1:7">
      <c r="A13" t="s">
        <v>372</v>
      </c>
      <c r="B13" t="s">
        <v>373</v>
      </c>
      <c r="C13">
        <v>1</v>
      </c>
      <c r="D13" s="260">
        <v>46321</v>
      </c>
      <c r="E13" s="260">
        <v>46321</v>
      </c>
      <c r="F13">
        <v>11</v>
      </c>
      <c r="G13" t="s">
        <v>350</v>
      </c>
    </row>
    <row r="14" spans="1:7">
      <c r="A14" t="s">
        <v>374</v>
      </c>
      <c r="B14" t="s">
        <v>375</v>
      </c>
      <c r="C14">
        <v>0</v>
      </c>
      <c r="E14" s="260">
        <v>46392</v>
      </c>
      <c r="F14">
        <v>0</v>
      </c>
      <c r="G14" t="s">
        <v>350</v>
      </c>
    </row>
    <row r="15" spans="1:7">
      <c r="A15" t="s">
        <v>376</v>
      </c>
      <c r="B15" t="s">
        <v>377</v>
      </c>
      <c r="C15">
        <v>0</v>
      </c>
      <c r="E15" s="260">
        <v>46405</v>
      </c>
      <c r="F15">
        <v>0</v>
      </c>
      <c r="G15" t="s">
        <v>350</v>
      </c>
    </row>
    <row r="16" spans="1:7">
      <c r="A16" t="s">
        <v>378</v>
      </c>
      <c r="C16">
        <v>35</v>
      </c>
      <c r="D16" s="260">
        <v>46086</v>
      </c>
      <c r="E16" s="260">
        <v>46140</v>
      </c>
      <c r="F16">
        <v>166</v>
      </c>
      <c r="G16" t="s">
        <v>350</v>
      </c>
    </row>
    <row r="17" spans="1:7">
      <c r="A17" t="s">
        <v>379</v>
      </c>
      <c r="B17" t="s">
        <v>380</v>
      </c>
      <c r="C17">
        <v>10</v>
      </c>
      <c r="D17" s="260">
        <v>46086</v>
      </c>
      <c r="E17" s="260">
        <v>46099</v>
      </c>
      <c r="F17">
        <v>166</v>
      </c>
      <c r="G17" t="s">
        <v>350</v>
      </c>
    </row>
    <row r="18" spans="1:7">
      <c r="A18" t="s">
        <v>381</v>
      </c>
      <c r="B18" t="s">
        <v>382</v>
      </c>
      <c r="C18">
        <v>5</v>
      </c>
      <c r="D18" s="260">
        <v>46114</v>
      </c>
      <c r="E18" s="260">
        <v>46121</v>
      </c>
      <c r="F18">
        <v>171</v>
      </c>
      <c r="G18" t="s">
        <v>350</v>
      </c>
    </row>
    <row r="19" spans="1:7">
      <c r="A19" t="s">
        <v>383</v>
      </c>
      <c r="B19" t="s">
        <v>384</v>
      </c>
      <c r="C19">
        <v>10</v>
      </c>
      <c r="D19" s="260">
        <v>46100</v>
      </c>
      <c r="E19" s="260">
        <v>46113</v>
      </c>
      <c r="F19">
        <v>166</v>
      </c>
      <c r="G19" t="s">
        <v>350</v>
      </c>
    </row>
    <row r="20" spans="1:7">
      <c r="A20" t="s">
        <v>385</v>
      </c>
      <c r="B20" t="s">
        <v>386</v>
      </c>
      <c r="C20">
        <v>5</v>
      </c>
      <c r="D20" s="260">
        <v>46134</v>
      </c>
      <c r="E20" s="260">
        <v>46140</v>
      </c>
      <c r="F20">
        <v>166</v>
      </c>
      <c r="G20" t="s">
        <v>350</v>
      </c>
    </row>
    <row r="21" spans="1:7">
      <c r="A21" t="s">
        <v>387</v>
      </c>
      <c r="C21">
        <v>80</v>
      </c>
      <c r="D21" s="260">
        <v>46106</v>
      </c>
      <c r="E21" s="260">
        <v>46226</v>
      </c>
      <c r="F21">
        <v>107</v>
      </c>
      <c r="G21" t="s">
        <v>350</v>
      </c>
    </row>
    <row r="22" spans="1:7">
      <c r="A22" t="s">
        <v>388</v>
      </c>
      <c r="B22" t="s">
        <v>389</v>
      </c>
      <c r="C22">
        <v>10</v>
      </c>
      <c r="D22" s="260">
        <v>46113</v>
      </c>
      <c r="E22" s="260">
        <v>46132</v>
      </c>
      <c r="F22">
        <v>33</v>
      </c>
      <c r="G22" t="s">
        <v>350</v>
      </c>
    </row>
    <row r="23" spans="1:7">
      <c r="A23" t="s">
        <v>390</v>
      </c>
      <c r="B23" t="s">
        <v>391</v>
      </c>
      <c r="C23">
        <v>5</v>
      </c>
      <c r="D23" s="260">
        <v>46148</v>
      </c>
      <c r="E23" s="260">
        <v>46154</v>
      </c>
      <c r="F23">
        <v>33</v>
      </c>
      <c r="G23" t="s">
        <v>350</v>
      </c>
    </row>
    <row r="24" spans="1:7">
      <c r="A24" t="s">
        <v>392</v>
      </c>
      <c r="B24" t="s">
        <v>393</v>
      </c>
      <c r="C24">
        <v>5</v>
      </c>
      <c r="D24" s="260">
        <v>46169</v>
      </c>
      <c r="E24" s="260">
        <v>46177</v>
      </c>
      <c r="F24">
        <v>33</v>
      </c>
      <c r="G24" t="s">
        <v>350</v>
      </c>
    </row>
    <row r="25" spans="1:7">
      <c r="A25" t="s">
        <v>394</v>
      </c>
      <c r="B25" t="s">
        <v>395</v>
      </c>
      <c r="C25">
        <v>5</v>
      </c>
      <c r="D25" s="260">
        <v>46185</v>
      </c>
      <c r="E25" s="260">
        <v>46191</v>
      </c>
      <c r="F25">
        <v>117</v>
      </c>
      <c r="G25" t="s">
        <v>350</v>
      </c>
    </row>
    <row r="26" spans="1:7">
      <c r="A26" t="s">
        <v>396</v>
      </c>
      <c r="B26" t="s">
        <v>397</v>
      </c>
      <c r="C26">
        <v>5</v>
      </c>
      <c r="D26" s="260">
        <v>46206</v>
      </c>
      <c r="E26" s="260">
        <v>46212</v>
      </c>
      <c r="F26">
        <v>117</v>
      </c>
      <c r="G26" t="s">
        <v>350</v>
      </c>
    </row>
    <row r="27" spans="1:7">
      <c r="A27" t="s">
        <v>398</v>
      </c>
      <c r="B27" t="s">
        <v>399</v>
      </c>
      <c r="C27">
        <v>10</v>
      </c>
      <c r="D27" s="260">
        <v>46185</v>
      </c>
      <c r="E27" s="260">
        <v>46198</v>
      </c>
      <c r="F27">
        <v>112</v>
      </c>
      <c r="G27" t="s">
        <v>350</v>
      </c>
    </row>
    <row r="28" spans="1:7">
      <c r="A28" t="s">
        <v>400</v>
      </c>
      <c r="B28" t="s">
        <v>401</v>
      </c>
      <c r="C28">
        <v>5</v>
      </c>
      <c r="D28" s="260">
        <v>46213</v>
      </c>
      <c r="E28" s="260">
        <v>46219</v>
      </c>
      <c r="F28">
        <v>112</v>
      </c>
      <c r="G28" t="s">
        <v>350</v>
      </c>
    </row>
    <row r="29" spans="1:7">
      <c r="A29" t="s">
        <v>402</v>
      </c>
      <c r="B29" t="s">
        <v>403</v>
      </c>
      <c r="C29">
        <v>15</v>
      </c>
      <c r="D29" s="260">
        <v>46162</v>
      </c>
      <c r="E29" s="260">
        <v>46184</v>
      </c>
      <c r="F29">
        <v>109</v>
      </c>
      <c r="G29" t="s">
        <v>350</v>
      </c>
    </row>
    <row r="30" spans="1:7">
      <c r="A30" t="s">
        <v>404</v>
      </c>
      <c r="B30" t="s">
        <v>405</v>
      </c>
      <c r="C30">
        <v>5</v>
      </c>
      <c r="D30" s="260">
        <v>46199</v>
      </c>
      <c r="E30" s="260">
        <v>46205</v>
      </c>
      <c r="F30">
        <v>122</v>
      </c>
      <c r="G30" t="s">
        <v>350</v>
      </c>
    </row>
    <row r="31" spans="1:7">
      <c r="A31" t="s">
        <v>406</v>
      </c>
      <c r="B31" t="s">
        <v>407</v>
      </c>
      <c r="C31">
        <v>20</v>
      </c>
      <c r="D31" s="260">
        <v>46175</v>
      </c>
      <c r="E31" s="260">
        <v>46203</v>
      </c>
      <c r="F31">
        <v>109</v>
      </c>
      <c r="G31" t="s">
        <v>350</v>
      </c>
    </row>
    <row r="32" spans="1:7">
      <c r="A32" t="s">
        <v>408</v>
      </c>
      <c r="B32" t="s">
        <v>409</v>
      </c>
      <c r="C32">
        <v>5</v>
      </c>
      <c r="D32" s="260">
        <v>46218</v>
      </c>
      <c r="E32" s="260">
        <v>46224</v>
      </c>
      <c r="F32">
        <v>109</v>
      </c>
      <c r="G32" t="s">
        <v>350</v>
      </c>
    </row>
    <row r="33" spans="1:7">
      <c r="A33" t="s">
        <v>410</v>
      </c>
      <c r="B33" t="s">
        <v>411</v>
      </c>
      <c r="C33">
        <v>13</v>
      </c>
      <c r="D33" s="260">
        <v>46175</v>
      </c>
      <c r="E33" s="260">
        <v>46192</v>
      </c>
      <c r="F33">
        <v>116</v>
      </c>
      <c r="G33" t="s">
        <v>350</v>
      </c>
    </row>
    <row r="34" spans="1:7">
      <c r="A34" t="s">
        <v>412</v>
      </c>
      <c r="B34" t="s">
        <v>413</v>
      </c>
      <c r="C34">
        <v>5</v>
      </c>
      <c r="D34" s="260">
        <v>46209</v>
      </c>
      <c r="E34" s="260">
        <v>46213</v>
      </c>
      <c r="F34">
        <v>116</v>
      </c>
      <c r="G34" t="s">
        <v>350</v>
      </c>
    </row>
    <row r="35" spans="1:7">
      <c r="A35" t="s">
        <v>414</v>
      </c>
      <c r="B35" t="s">
        <v>415</v>
      </c>
      <c r="C35">
        <v>15</v>
      </c>
      <c r="D35" s="260">
        <v>46185</v>
      </c>
      <c r="E35" s="260">
        <v>46205</v>
      </c>
      <c r="F35">
        <v>107</v>
      </c>
      <c r="G35" t="s">
        <v>350</v>
      </c>
    </row>
    <row r="36" spans="1:7">
      <c r="A36" t="s">
        <v>416</v>
      </c>
      <c r="B36" t="s">
        <v>417</v>
      </c>
      <c r="C36">
        <v>5</v>
      </c>
      <c r="D36" s="260">
        <v>46220</v>
      </c>
      <c r="E36" s="260">
        <v>46226</v>
      </c>
      <c r="F36">
        <v>107</v>
      </c>
      <c r="G36" t="s">
        <v>350</v>
      </c>
    </row>
    <row r="37" spans="1:7">
      <c r="A37" t="s">
        <v>418</v>
      </c>
      <c r="B37" t="s">
        <v>419</v>
      </c>
      <c r="C37">
        <v>15</v>
      </c>
      <c r="D37" s="260">
        <v>46185</v>
      </c>
      <c r="E37" s="260">
        <v>46205</v>
      </c>
      <c r="F37">
        <v>107</v>
      </c>
      <c r="G37" t="s">
        <v>350</v>
      </c>
    </row>
    <row r="38" spans="1:7">
      <c r="A38" t="s">
        <v>420</v>
      </c>
      <c r="B38" t="s">
        <v>421</v>
      </c>
      <c r="C38">
        <v>5</v>
      </c>
      <c r="D38" s="260">
        <v>46220</v>
      </c>
      <c r="E38" s="260">
        <v>46226</v>
      </c>
      <c r="F38">
        <v>107</v>
      </c>
      <c r="G38" t="s">
        <v>350</v>
      </c>
    </row>
    <row r="39" spans="1:7">
      <c r="A39" t="s">
        <v>422</v>
      </c>
      <c r="B39" t="s">
        <v>423</v>
      </c>
      <c r="C39">
        <v>13</v>
      </c>
      <c r="D39" s="260">
        <v>46175</v>
      </c>
      <c r="E39" s="260">
        <v>46192</v>
      </c>
      <c r="F39">
        <v>116</v>
      </c>
      <c r="G39" t="s">
        <v>350</v>
      </c>
    </row>
    <row r="40" spans="1:7">
      <c r="A40" t="s">
        <v>424</v>
      </c>
      <c r="B40" t="s">
        <v>425</v>
      </c>
      <c r="C40">
        <v>5</v>
      </c>
      <c r="D40" s="260">
        <v>46209</v>
      </c>
      <c r="E40" s="260">
        <v>46213</v>
      </c>
      <c r="F40">
        <v>116</v>
      </c>
      <c r="G40" t="s">
        <v>350</v>
      </c>
    </row>
    <row r="41" spans="1:7">
      <c r="A41" t="s">
        <v>426</v>
      </c>
      <c r="B41" t="s">
        <v>427</v>
      </c>
      <c r="C41">
        <v>15</v>
      </c>
      <c r="D41" s="260">
        <v>46140</v>
      </c>
      <c r="E41" s="260">
        <v>46161</v>
      </c>
      <c r="F41">
        <v>105</v>
      </c>
      <c r="G41" t="s">
        <v>350</v>
      </c>
    </row>
    <row r="42" spans="1:7">
      <c r="A42" t="s">
        <v>428</v>
      </c>
      <c r="B42" t="s">
        <v>429</v>
      </c>
      <c r="C42">
        <v>5</v>
      </c>
      <c r="D42" s="260">
        <v>46199</v>
      </c>
      <c r="E42" s="260">
        <v>46205</v>
      </c>
      <c r="F42">
        <v>122</v>
      </c>
      <c r="G42" t="s">
        <v>350</v>
      </c>
    </row>
    <row r="43" spans="1:7">
      <c r="A43" t="s">
        <v>430</v>
      </c>
      <c r="B43" t="s">
        <v>431</v>
      </c>
      <c r="C43">
        <v>15</v>
      </c>
      <c r="D43" s="260">
        <v>46140</v>
      </c>
      <c r="E43" s="260">
        <v>46161</v>
      </c>
      <c r="F43">
        <v>137</v>
      </c>
      <c r="G43" t="s">
        <v>350</v>
      </c>
    </row>
    <row r="44" spans="1:7">
      <c r="A44" t="s">
        <v>432</v>
      </c>
      <c r="B44" t="s">
        <v>433</v>
      </c>
      <c r="C44">
        <v>5</v>
      </c>
      <c r="D44" s="260">
        <v>46199</v>
      </c>
      <c r="E44" s="260">
        <v>46205</v>
      </c>
      <c r="F44">
        <v>122</v>
      </c>
      <c r="G44" t="s">
        <v>350</v>
      </c>
    </row>
    <row r="45" spans="1:7">
      <c r="A45" t="s">
        <v>434</v>
      </c>
      <c r="B45" t="s">
        <v>435</v>
      </c>
      <c r="C45">
        <v>10</v>
      </c>
      <c r="D45" s="260">
        <v>46185</v>
      </c>
      <c r="E45" s="260">
        <v>46198</v>
      </c>
      <c r="F45">
        <v>112</v>
      </c>
      <c r="G45" t="s">
        <v>350</v>
      </c>
    </row>
    <row r="46" spans="1:7">
      <c r="A46" t="s">
        <v>436</v>
      </c>
      <c r="B46" t="s">
        <v>437</v>
      </c>
      <c r="C46">
        <v>5</v>
      </c>
      <c r="D46" s="260">
        <v>46213</v>
      </c>
      <c r="E46" s="260">
        <v>46219</v>
      </c>
      <c r="F46">
        <v>112</v>
      </c>
      <c r="G46" t="s">
        <v>350</v>
      </c>
    </row>
    <row r="47" spans="1:7">
      <c r="A47" t="s">
        <v>438</v>
      </c>
      <c r="B47" t="s">
        <v>439</v>
      </c>
      <c r="C47">
        <v>10</v>
      </c>
      <c r="D47" s="260">
        <v>46113</v>
      </c>
      <c r="E47" s="260">
        <v>46132</v>
      </c>
      <c r="F47">
        <v>157</v>
      </c>
      <c r="G47" t="s">
        <v>350</v>
      </c>
    </row>
    <row r="48" spans="1:7">
      <c r="A48" t="s">
        <v>440</v>
      </c>
      <c r="B48" t="s">
        <v>441</v>
      </c>
      <c r="C48">
        <v>5</v>
      </c>
      <c r="D48" s="260">
        <v>46213</v>
      </c>
      <c r="E48" s="260">
        <v>46219</v>
      </c>
      <c r="F48">
        <v>112</v>
      </c>
      <c r="G48" t="s">
        <v>350</v>
      </c>
    </row>
    <row r="49" spans="1:7">
      <c r="A49" t="s">
        <v>442</v>
      </c>
      <c r="B49" t="s">
        <v>443</v>
      </c>
      <c r="C49">
        <v>10</v>
      </c>
      <c r="D49" s="260">
        <v>46113</v>
      </c>
      <c r="E49" s="260">
        <v>46132</v>
      </c>
      <c r="F49">
        <v>172</v>
      </c>
      <c r="G49" t="s">
        <v>350</v>
      </c>
    </row>
    <row r="50" spans="1:7">
      <c r="A50" t="s">
        <v>444</v>
      </c>
      <c r="B50" t="s">
        <v>445</v>
      </c>
      <c r="C50">
        <v>10</v>
      </c>
      <c r="D50" s="260">
        <v>46206</v>
      </c>
      <c r="E50" s="260">
        <v>46219</v>
      </c>
      <c r="F50">
        <v>112</v>
      </c>
      <c r="G50" t="s">
        <v>350</v>
      </c>
    </row>
    <row r="51" spans="1:7">
      <c r="A51" t="s">
        <v>446</v>
      </c>
      <c r="B51" t="s">
        <v>447</v>
      </c>
      <c r="C51">
        <v>5</v>
      </c>
      <c r="D51" s="260">
        <v>46113</v>
      </c>
      <c r="E51" s="260">
        <v>46120</v>
      </c>
      <c r="F51">
        <v>-47</v>
      </c>
      <c r="G51" t="s">
        <v>350</v>
      </c>
    </row>
    <row r="52" spans="1:7">
      <c r="A52" t="s">
        <v>448</v>
      </c>
      <c r="B52" t="s">
        <v>449</v>
      </c>
      <c r="C52">
        <v>10</v>
      </c>
      <c r="D52" s="260">
        <v>46140</v>
      </c>
      <c r="E52" s="260">
        <v>46154</v>
      </c>
      <c r="F52">
        <v>-17</v>
      </c>
      <c r="G52" t="s">
        <v>350</v>
      </c>
    </row>
    <row r="53" spans="1:7">
      <c r="A53" t="s">
        <v>450</v>
      </c>
      <c r="B53" t="s">
        <v>451</v>
      </c>
      <c r="C53">
        <v>10</v>
      </c>
      <c r="D53" s="260">
        <v>46169</v>
      </c>
      <c r="E53" s="260">
        <v>46184</v>
      </c>
      <c r="F53">
        <v>-17</v>
      </c>
      <c r="G53" t="s">
        <v>350</v>
      </c>
    </row>
    <row r="54" spans="1:7">
      <c r="A54" t="s">
        <v>452</v>
      </c>
      <c r="B54" t="s">
        <v>453</v>
      </c>
      <c r="C54">
        <v>5</v>
      </c>
      <c r="D54" s="260">
        <v>46113</v>
      </c>
      <c r="E54" s="260">
        <v>46120</v>
      </c>
      <c r="F54">
        <v>-47</v>
      </c>
      <c r="G54" t="s">
        <v>350</v>
      </c>
    </row>
    <row r="55" spans="1:7">
      <c r="A55" t="s">
        <v>454</v>
      </c>
      <c r="B55" t="s">
        <v>455</v>
      </c>
      <c r="C55">
        <v>10</v>
      </c>
      <c r="D55" s="260">
        <v>46140</v>
      </c>
      <c r="E55" s="260">
        <v>46154</v>
      </c>
      <c r="F55">
        <v>-17</v>
      </c>
      <c r="G55" t="s">
        <v>350</v>
      </c>
    </row>
    <row r="56" spans="1:7">
      <c r="A56" t="s">
        <v>456</v>
      </c>
      <c r="B56" t="s">
        <v>457</v>
      </c>
      <c r="C56">
        <v>10</v>
      </c>
      <c r="D56" s="260">
        <v>46169</v>
      </c>
      <c r="E56" s="260">
        <v>46184</v>
      </c>
      <c r="F56">
        <v>-17</v>
      </c>
      <c r="G56" t="s">
        <v>350</v>
      </c>
    </row>
    <row r="57" spans="1:7">
      <c r="A57" t="s">
        <v>458</v>
      </c>
      <c r="B57" t="s">
        <v>459</v>
      </c>
      <c r="C57">
        <v>5</v>
      </c>
      <c r="D57" s="260">
        <v>46113</v>
      </c>
      <c r="E57" s="260">
        <v>46120</v>
      </c>
      <c r="F57">
        <v>-47</v>
      </c>
      <c r="G57" t="s">
        <v>350</v>
      </c>
    </row>
    <row r="58" spans="1:7">
      <c r="A58" t="s">
        <v>460</v>
      </c>
      <c r="B58" t="s">
        <v>461</v>
      </c>
      <c r="C58">
        <v>10</v>
      </c>
      <c r="D58" s="260">
        <v>46140</v>
      </c>
      <c r="E58" s="260">
        <v>46154</v>
      </c>
      <c r="F58">
        <v>-17</v>
      </c>
      <c r="G58" t="s">
        <v>350</v>
      </c>
    </row>
    <row r="59" spans="1:7">
      <c r="A59" t="s">
        <v>462</v>
      </c>
      <c r="B59" t="s">
        <v>463</v>
      </c>
      <c r="C59">
        <v>10</v>
      </c>
      <c r="D59" s="260">
        <v>46169</v>
      </c>
      <c r="E59" s="260">
        <v>46184</v>
      </c>
      <c r="F59">
        <v>-17</v>
      </c>
      <c r="G59" t="s">
        <v>350</v>
      </c>
    </row>
    <row r="60" spans="1:7">
      <c r="A60" t="s">
        <v>464</v>
      </c>
      <c r="B60" t="s">
        <v>465</v>
      </c>
      <c r="C60">
        <v>5</v>
      </c>
      <c r="D60" s="260">
        <v>46113</v>
      </c>
      <c r="E60" s="260">
        <v>46120</v>
      </c>
      <c r="F60">
        <v>-47</v>
      </c>
      <c r="G60" t="s">
        <v>350</v>
      </c>
    </row>
    <row r="61" spans="1:7">
      <c r="A61" t="s">
        <v>466</v>
      </c>
      <c r="B61" t="s">
        <v>467</v>
      </c>
      <c r="C61">
        <v>10</v>
      </c>
      <c r="D61" s="260">
        <v>46140</v>
      </c>
      <c r="E61" s="260">
        <v>46154</v>
      </c>
      <c r="F61">
        <v>-17</v>
      </c>
      <c r="G61" t="s">
        <v>350</v>
      </c>
    </row>
    <row r="62" spans="1:7">
      <c r="A62" t="s">
        <v>468</v>
      </c>
      <c r="B62" t="s">
        <v>469</v>
      </c>
      <c r="C62">
        <v>10</v>
      </c>
      <c r="D62" s="260">
        <v>46169</v>
      </c>
      <c r="E62" s="260">
        <v>46184</v>
      </c>
      <c r="F62">
        <v>-17</v>
      </c>
      <c r="G62" t="s">
        <v>350</v>
      </c>
    </row>
    <row r="63" spans="1:7">
      <c r="A63" t="s">
        <v>470</v>
      </c>
      <c r="B63" t="s">
        <v>471</v>
      </c>
      <c r="C63">
        <v>15</v>
      </c>
      <c r="D63" s="260">
        <v>46113</v>
      </c>
      <c r="E63" s="260">
        <v>46139</v>
      </c>
      <c r="F63">
        <v>-47</v>
      </c>
      <c r="G63" t="s">
        <v>350</v>
      </c>
    </row>
    <row r="64" spans="1:7">
      <c r="A64" t="s">
        <v>472</v>
      </c>
      <c r="B64" t="s">
        <v>473</v>
      </c>
      <c r="C64">
        <v>10</v>
      </c>
      <c r="D64" s="260">
        <v>46155</v>
      </c>
      <c r="E64" s="260">
        <v>46168</v>
      </c>
      <c r="F64">
        <v>-17</v>
      </c>
      <c r="G64" t="s">
        <v>350</v>
      </c>
    </row>
    <row r="65" spans="1:7">
      <c r="A65" t="s">
        <v>474</v>
      </c>
      <c r="B65" t="s">
        <v>475</v>
      </c>
      <c r="C65">
        <v>10</v>
      </c>
      <c r="D65" s="260">
        <v>46185</v>
      </c>
      <c r="E65" s="260">
        <v>46198</v>
      </c>
      <c r="F65">
        <v>-17</v>
      </c>
      <c r="G65" t="s">
        <v>350</v>
      </c>
    </row>
    <row r="66" spans="1:7">
      <c r="A66" t="s">
        <v>476</v>
      </c>
      <c r="B66" t="s">
        <v>477</v>
      </c>
      <c r="C66">
        <v>15</v>
      </c>
      <c r="D66" s="260">
        <v>46113</v>
      </c>
      <c r="E66" s="260">
        <v>46139</v>
      </c>
      <c r="F66">
        <v>-47</v>
      </c>
      <c r="G66" t="s">
        <v>350</v>
      </c>
    </row>
    <row r="67" spans="1:7">
      <c r="A67" t="s">
        <v>478</v>
      </c>
      <c r="B67" t="s">
        <v>479</v>
      </c>
      <c r="C67">
        <v>10</v>
      </c>
      <c r="D67" s="260">
        <v>46155</v>
      </c>
      <c r="E67" s="260">
        <v>46168</v>
      </c>
      <c r="F67">
        <v>-17</v>
      </c>
      <c r="G67" t="s">
        <v>350</v>
      </c>
    </row>
    <row r="68" spans="1:7">
      <c r="A68" t="s">
        <v>480</v>
      </c>
      <c r="B68" t="s">
        <v>481</v>
      </c>
      <c r="C68">
        <v>10</v>
      </c>
      <c r="D68" s="260">
        <v>46185</v>
      </c>
      <c r="E68" s="260">
        <v>46198</v>
      </c>
      <c r="F68">
        <v>-17</v>
      </c>
      <c r="G68" t="s">
        <v>350</v>
      </c>
    </row>
    <row r="69" spans="1:7">
      <c r="A69" t="s">
        <v>482</v>
      </c>
      <c r="B69" t="s">
        <v>483</v>
      </c>
      <c r="C69">
        <v>15</v>
      </c>
      <c r="D69" s="260">
        <v>46113</v>
      </c>
      <c r="E69" s="260">
        <v>46139</v>
      </c>
      <c r="F69">
        <v>-47</v>
      </c>
      <c r="G69" t="s">
        <v>350</v>
      </c>
    </row>
    <row r="70" spans="1:7">
      <c r="A70" t="s">
        <v>484</v>
      </c>
      <c r="B70" t="s">
        <v>485</v>
      </c>
      <c r="C70">
        <v>10</v>
      </c>
      <c r="D70" s="260">
        <v>46155</v>
      </c>
      <c r="E70" s="260">
        <v>46168</v>
      </c>
      <c r="F70">
        <v>-17</v>
      </c>
      <c r="G70" t="s">
        <v>350</v>
      </c>
    </row>
    <row r="71" spans="1:7">
      <c r="A71" t="s">
        <v>486</v>
      </c>
      <c r="B71" t="s">
        <v>487</v>
      </c>
      <c r="C71">
        <v>10</v>
      </c>
      <c r="D71" s="260">
        <v>46185</v>
      </c>
      <c r="E71" s="260">
        <v>46198</v>
      </c>
      <c r="F71">
        <v>-17</v>
      </c>
      <c r="G71" t="s">
        <v>350</v>
      </c>
    </row>
    <row r="72" spans="1:7">
      <c r="A72" t="s">
        <v>488</v>
      </c>
      <c r="B72" t="s">
        <v>489</v>
      </c>
      <c r="C72">
        <v>10</v>
      </c>
      <c r="D72" s="260">
        <v>46106</v>
      </c>
      <c r="E72" s="260">
        <v>46120</v>
      </c>
      <c r="F72">
        <v>162</v>
      </c>
      <c r="G72" t="s">
        <v>350</v>
      </c>
    </row>
    <row r="73" spans="1:7">
      <c r="A73" t="s">
        <v>490</v>
      </c>
      <c r="B73" t="s">
        <v>491</v>
      </c>
      <c r="C73">
        <v>5</v>
      </c>
      <c r="D73" s="260">
        <v>46185</v>
      </c>
      <c r="E73" s="260">
        <v>46191</v>
      </c>
      <c r="F73">
        <v>132</v>
      </c>
      <c r="G73" t="s">
        <v>350</v>
      </c>
    </row>
    <row r="74" spans="1:7">
      <c r="A74" t="s">
        <v>492</v>
      </c>
      <c r="B74" t="s">
        <v>493</v>
      </c>
      <c r="C74">
        <v>10</v>
      </c>
      <c r="D74" s="260">
        <v>46106</v>
      </c>
      <c r="E74" s="260">
        <v>46120</v>
      </c>
      <c r="F74">
        <v>162</v>
      </c>
      <c r="G74" t="s">
        <v>350</v>
      </c>
    </row>
    <row r="75" spans="1:7">
      <c r="A75" t="s">
        <v>494</v>
      </c>
      <c r="B75" t="s">
        <v>495</v>
      </c>
      <c r="C75">
        <v>5</v>
      </c>
      <c r="D75" s="260">
        <v>46185</v>
      </c>
      <c r="E75" s="260">
        <v>46191</v>
      </c>
      <c r="F75">
        <v>132</v>
      </c>
      <c r="G75" t="s">
        <v>350</v>
      </c>
    </row>
    <row r="76" spans="1:7">
      <c r="A76" t="s">
        <v>496</v>
      </c>
      <c r="B76" t="s">
        <v>497</v>
      </c>
      <c r="C76">
        <v>25</v>
      </c>
      <c r="D76" s="260">
        <v>46140</v>
      </c>
      <c r="E76" s="260">
        <v>46177</v>
      </c>
      <c r="F76">
        <v>107</v>
      </c>
      <c r="G76" t="s">
        <v>350</v>
      </c>
    </row>
    <row r="77" spans="1:7">
      <c r="A77" t="s">
        <v>498</v>
      </c>
      <c r="B77" t="s">
        <v>499</v>
      </c>
      <c r="C77">
        <v>10</v>
      </c>
      <c r="D77" s="260">
        <v>46192</v>
      </c>
      <c r="E77" s="260">
        <v>46205</v>
      </c>
      <c r="F77">
        <v>107</v>
      </c>
      <c r="G77" t="s">
        <v>350</v>
      </c>
    </row>
    <row r="78" spans="1:7">
      <c r="A78" t="s">
        <v>500</v>
      </c>
      <c r="B78" t="s">
        <v>501</v>
      </c>
      <c r="C78">
        <v>5</v>
      </c>
      <c r="D78" s="260">
        <v>46220</v>
      </c>
      <c r="E78" s="260">
        <v>46226</v>
      </c>
      <c r="F78">
        <v>107</v>
      </c>
      <c r="G78" t="s">
        <v>350</v>
      </c>
    </row>
    <row r="79" spans="1:7">
      <c r="A79" t="s">
        <v>502</v>
      </c>
      <c r="B79" t="s">
        <v>503</v>
      </c>
      <c r="C79">
        <v>25</v>
      </c>
      <c r="D79" s="260">
        <v>46140</v>
      </c>
      <c r="E79" s="260">
        <v>46177</v>
      </c>
      <c r="F79">
        <v>127</v>
      </c>
      <c r="G79" t="s">
        <v>350</v>
      </c>
    </row>
    <row r="80" spans="1:7">
      <c r="A80" t="s">
        <v>504</v>
      </c>
      <c r="B80" t="s">
        <v>505</v>
      </c>
      <c r="C80">
        <v>5</v>
      </c>
      <c r="D80" s="260">
        <v>46220</v>
      </c>
      <c r="E80" s="260">
        <v>46226</v>
      </c>
      <c r="F80">
        <v>107</v>
      </c>
      <c r="G80" t="s">
        <v>350</v>
      </c>
    </row>
    <row r="81" spans="1:7">
      <c r="A81" t="s">
        <v>506</v>
      </c>
      <c r="B81" t="s">
        <v>507</v>
      </c>
      <c r="C81">
        <v>25</v>
      </c>
      <c r="D81" s="260">
        <v>46140</v>
      </c>
      <c r="E81" s="260">
        <v>46177</v>
      </c>
      <c r="F81">
        <v>107</v>
      </c>
      <c r="G81" t="s">
        <v>350</v>
      </c>
    </row>
    <row r="82" spans="1:7">
      <c r="A82" t="s">
        <v>508</v>
      </c>
      <c r="B82" t="s">
        <v>509</v>
      </c>
      <c r="C82">
        <v>10</v>
      </c>
      <c r="D82" s="260">
        <v>46192</v>
      </c>
      <c r="E82" s="260">
        <v>46205</v>
      </c>
      <c r="F82">
        <v>107</v>
      </c>
      <c r="G82" t="s">
        <v>350</v>
      </c>
    </row>
    <row r="83" spans="1:7">
      <c r="A83" t="s">
        <v>510</v>
      </c>
      <c r="B83" t="s">
        <v>511</v>
      </c>
      <c r="C83">
        <v>5</v>
      </c>
      <c r="D83" s="260">
        <v>46220</v>
      </c>
      <c r="E83" s="260">
        <v>46226</v>
      </c>
      <c r="F83">
        <v>107</v>
      </c>
      <c r="G83" t="s">
        <v>350</v>
      </c>
    </row>
    <row r="84" spans="1:7">
      <c r="A84" t="s">
        <v>512</v>
      </c>
      <c r="C84">
        <v>45</v>
      </c>
      <c r="D84" s="260">
        <v>46140</v>
      </c>
      <c r="E84" s="260">
        <v>46205</v>
      </c>
      <c r="F84">
        <v>-17</v>
      </c>
      <c r="G84" t="s">
        <v>350</v>
      </c>
    </row>
    <row r="85" spans="1:7">
      <c r="A85" t="s">
        <v>513</v>
      </c>
      <c r="B85" t="s">
        <v>514</v>
      </c>
      <c r="C85">
        <v>23</v>
      </c>
      <c r="D85" s="260">
        <v>46140</v>
      </c>
      <c r="E85" s="260">
        <v>46171</v>
      </c>
      <c r="F85">
        <v>-10</v>
      </c>
      <c r="G85" t="s">
        <v>350</v>
      </c>
    </row>
    <row r="86" spans="1:7">
      <c r="A86" t="s">
        <v>515</v>
      </c>
      <c r="B86" t="s">
        <v>516</v>
      </c>
      <c r="C86">
        <v>5</v>
      </c>
      <c r="D86" s="260">
        <v>46199</v>
      </c>
      <c r="E86" s="260">
        <v>46205</v>
      </c>
      <c r="F86">
        <v>-17</v>
      </c>
      <c r="G86" t="s">
        <v>350</v>
      </c>
    </row>
    <row r="87" spans="1:7">
      <c r="A87" t="s">
        <v>517</v>
      </c>
      <c r="B87" t="s">
        <v>518</v>
      </c>
      <c r="C87">
        <v>15</v>
      </c>
      <c r="D87" s="260">
        <v>46140</v>
      </c>
      <c r="E87" s="260">
        <v>46161</v>
      </c>
      <c r="F87">
        <v>-2</v>
      </c>
      <c r="G87" t="s">
        <v>350</v>
      </c>
    </row>
    <row r="88" spans="1:7">
      <c r="A88" t="s">
        <v>519</v>
      </c>
      <c r="B88" t="s">
        <v>520</v>
      </c>
      <c r="C88">
        <v>5</v>
      </c>
      <c r="D88" s="260">
        <v>46199</v>
      </c>
      <c r="E88" s="260">
        <v>46205</v>
      </c>
      <c r="F88">
        <v>-17</v>
      </c>
      <c r="G88" t="s">
        <v>350</v>
      </c>
    </row>
    <row r="89" spans="1:7">
      <c r="A89" t="s">
        <v>521</v>
      </c>
      <c r="B89" t="s">
        <v>522</v>
      </c>
      <c r="C89">
        <v>15</v>
      </c>
      <c r="D89" s="260">
        <v>46140</v>
      </c>
      <c r="E89" s="260">
        <v>46161</v>
      </c>
      <c r="F89">
        <v>-2</v>
      </c>
      <c r="G89" t="s">
        <v>350</v>
      </c>
    </row>
    <row r="90" spans="1:7">
      <c r="A90" t="s">
        <v>523</v>
      </c>
      <c r="B90" t="s">
        <v>524</v>
      </c>
      <c r="C90">
        <v>5</v>
      </c>
      <c r="D90" s="260">
        <v>46199</v>
      </c>
      <c r="E90" s="260">
        <v>46205</v>
      </c>
      <c r="F90">
        <v>-17</v>
      </c>
      <c r="G90" t="s">
        <v>350</v>
      </c>
    </row>
    <row r="91" spans="1:7">
      <c r="A91" t="s">
        <v>525</v>
      </c>
      <c r="B91" t="s">
        <v>526</v>
      </c>
      <c r="C91">
        <v>15</v>
      </c>
      <c r="D91" s="260">
        <v>46140</v>
      </c>
      <c r="E91" s="260">
        <v>46161</v>
      </c>
      <c r="F91">
        <v>-2</v>
      </c>
      <c r="G91" t="s">
        <v>350</v>
      </c>
    </row>
    <row r="92" spans="1:7">
      <c r="A92" t="s">
        <v>527</v>
      </c>
      <c r="B92" t="s">
        <v>528</v>
      </c>
      <c r="C92">
        <v>5</v>
      </c>
      <c r="D92" s="260">
        <v>46199</v>
      </c>
      <c r="E92" s="260">
        <v>46205</v>
      </c>
      <c r="F92">
        <v>-17</v>
      </c>
      <c r="G92" t="s">
        <v>350</v>
      </c>
    </row>
    <row r="93" spans="1:7">
      <c r="A93" t="s">
        <v>529</v>
      </c>
      <c r="B93" t="s">
        <v>530</v>
      </c>
      <c r="C93">
        <v>15</v>
      </c>
      <c r="D93" s="260">
        <v>46140</v>
      </c>
      <c r="E93" s="260">
        <v>46161</v>
      </c>
      <c r="F93">
        <v>-2</v>
      </c>
      <c r="G93" t="s">
        <v>350</v>
      </c>
    </row>
    <row r="94" spans="1:7">
      <c r="A94" t="s">
        <v>531</v>
      </c>
      <c r="B94" t="s">
        <v>532</v>
      </c>
      <c r="C94">
        <v>5</v>
      </c>
      <c r="D94" s="260">
        <v>46199</v>
      </c>
      <c r="E94" s="260">
        <v>46205</v>
      </c>
      <c r="F94">
        <v>-17</v>
      </c>
      <c r="G94" t="s">
        <v>350</v>
      </c>
    </row>
    <row r="95" spans="1:7">
      <c r="A95" t="s">
        <v>533</v>
      </c>
      <c r="B95" t="s">
        <v>534</v>
      </c>
      <c r="C95">
        <v>23</v>
      </c>
      <c r="D95" s="260">
        <v>46140</v>
      </c>
      <c r="E95" s="260">
        <v>46171</v>
      </c>
      <c r="F95">
        <v>-10</v>
      </c>
      <c r="G95" t="s">
        <v>350</v>
      </c>
    </row>
    <row r="96" spans="1:7">
      <c r="A96" t="s">
        <v>535</v>
      </c>
      <c r="B96" t="s">
        <v>536</v>
      </c>
      <c r="C96">
        <v>5</v>
      </c>
      <c r="D96" s="260">
        <v>46199</v>
      </c>
      <c r="E96" s="260">
        <v>46205</v>
      </c>
      <c r="F96">
        <v>-17</v>
      </c>
      <c r="G96" t="s">
        <v>350</v>
      </c>
    </row>
    <row r="97" spans="1:7">
      <c r="A97" t="s">
        <v>537</v>
      </c>
      <c r="B97" t="s">
        <v>538</v>
      </c>
      <c r="C97">
        <v>23</v>
      </c>
      <c r="D97" s="260">
        <v>46140</v>
      </c>
      <c r="E97" s="260">
        <v>46171</v>
      </c>
      <c r="F97">
        <v>-10</v>
      </c>
      <c r="G97" t="s">
        <v>350</v>
      </c>
    </row>
    <row r="98" spans="1:7">
      <c r="A98" t="s">
        <v>539</v>
      </c>
      <c r="B98" t="s">
        <v>540</v>
      </c>
      <c r="C98">
        <v>5</v>
      </c>
      <c r="D98" s="260">
        <v>46199</v>
      </c>
      <c r="E98" s="260">
        <v>46205</v>
      </c>
      <c r="F98">
        <v>-17</v>
      </c>
      <c r="G98" t="s">
        <v>350</v>
      </c>
    </row>
    <row r="99" spans="1:7">
      <c r="A99" t="s">
        <v>541</v>
      </c>
      <c r="B99" t="s">
        <v>542</v>
      </c>
      <c r="C99">
        <v>23</v>
      </c>
      <c r="D99" s="260">
        <v>46140</v>
      </c>
      <c r="E99" s="260">
        <v>46171</v>
      </c>
      <c r="F99">
        <v>-10</v>
      </c>
      <c r="G99" t="s">
        <v>350</v>
      </c>
    </row>
    <row r="100" spans="1:7">
      <c r="A100" t="s">
        <v>543</v>
      </c>
      <c r="B100" t="s">
        <v>544</v>
      </c>
      <c r="C100">
        <v>5</v>
      </c>
      <c r="D100" s="260">
        <v>46199</v>
      </c>
      <c r="E100" s="260">
        <v>46205</v>
      </c>
      <c r="F100">
        <v>-17</v>
      </c>
      <c r="G100" t="s">
        <v>350</v>
      </c>
    </row>
    <row r="101" spans="1:7">
      <c r="A101" t="s">
        <v>545</v>
      </c>
      <c r="B101" t="s">
        <v>546</v>
      </c>
      <c r="C101">
        <v>23</v>
      </c>
      <c r="D101" s="260">
        <v>46140</v>
      </c>
      <c r="E101" s="260">
        <v>46171</v>
      </c>
      <c r="F101">
        <v>-10</v>
      </c>
      <c r="G101" t="s">
        <v>350</v>
      </c>
    </row>
    <row r="102" spans="1:7">
      <c r="A102" t="s">
        <v>547</v>
      </c>
      <c r="B102" t="s">
        <v>548</v>
      </c>
      <c r="C102">
        <v>5</v>
      </c>
      <c r="D102" s="260">
        <v>46199</v>
      </c>
      <c r="E102" s="260">
        <v>46205</v>
      </c>
      <c r="F102">
        <v>-17</v>
      </c>
      <c r="G102" t="s">
        <v>350</v>
      </c>
    </row>
    <row r="103" spans="1:7">
      <c r="A103" t="s">
        <v>549</v>
      </c>
      <c r="B103" t="s">
        <v>550</v>
      </c>
      <c r="C103">
        <v>15</v>
      </c>
      <c r="D103" s="260">
        <v>46140</v>
      </c>
      <c r="E103" s="260">
        <v>46161</v>
      </c>
      <c r="F103">
        <v>-2</v>
      </c>
      <c r="G103" t="s">
        <v>350</v>
      </c>
    </row>
    <row r="104" spans="1:7">
      <c r="A104" t="s">
        <v>551</v>
      </c>
      <c r="B104" t="s">
        <v>552</v>
      </c>
      <c r="C104">
        <v>5</v>
      </c>
      <c r="D104" s="260">
        <v>46199</v>
      </c>
      <c r="E104" s="260">
        <v>46205</v>
      </c>
      <c r="F104">
        <v>-17</v>
      </c>
      <c r="G104" t="s">
        <v>350</v>
      </c>
    </row>
    <row r="105" spans="1:7">
      <c r="A105" t="s">
        <v>553</v>
      </c>
      <c r="B105" t="s">
        <v>554</v>
      </c>
      <c r="C105">
        <v>23</v>
      </c>
      <c r="D105" s="260">
        <v>46140</v>
      </c>
      <c r="E105" s="260">
        <v>46171</v>
      </c>
      <c r="F105">
        <v>-30</v>
      </c>
      <c r="G105" t="s">
        <v>350</v>
      </c>
    </row>
    <row r="106" spans="1:7">
      <c r="A106" t="s">
        <v>555</v>
      </c>
      <c r="B106" t="s">
        <v>556</v>
      </c>
      <c r="C106">
        <v>5</v>
      </c>
      <c r="D106" s="260">
        <v>46199</v>
      </c>
      <c r="E106" s="260">
        <v>46205</v>
      </c>
      <c r="F106">
        <v>-17</v>
      </c>
      <c r="G106" t="s">
        <v>350</v>
      </c>
    </row>
    <row r="107" spans="1:7">
      <c r="A107" t="s">
        <v>557</v>
      </c>
      <c r="B107" t="s">
        <v>558</v>
      </c>
      <c r="C107">
        <v>15</v>
      </c>
      <c r="D107" s="260">
        <v>46140</v>
      </c>
      <c r="E107" s="260">
        <v>46161</v>
      </c>
      <c r="F107">
        <v>-44</v>
      </c>
      <c r="G107" t="s">
        <v>350</v>
      </c>
    </row>
    <row r="108" spans="1:7">
      <c r="A108" t="s">
        <v>559</v>
      </c>
      <c r="B108" t="s">
        <v>560</v>
      </c>
      <c r="C108">
        <v>5</v>
      </c>
      <c r="D108" s="260">
        <v>46199</v>
      </c>
      <c r="E108" s="260">
        <v>46205</v>
      </c>
      <c r="F108">
        <v>-17</v>
      </c>
      <c r="G108" t="s">
        <v>350</v>
      </c>
    </row>
    <row r="109" spans="1:7">
      <c r="A109" t="s">
        <v>561</v>
      </c>
      <c r="B109" t="s">
        <v>562</v>
      </c>
      <c r="C109">
        <v>15</v>
      </c>
      <c r="D109" s="260">
        <v>46140</v>
      </c>
      <c r="E109" s="260">
        <v>46161</v>
      </c>
      <c r="F109">
        <v>-47</v>
      </c>
      <c r="G109" t="s">
        <v>350</v>
      </c>
    </row>
    <row r="110" spans="1:7">
      <c r="A110" t="s">
        <v>563</v>
      </c>
      <c r="B110" t="s">
        <v>564</v>
      </c>
      <c r="C110">
        <v>5</v>
      </c>
      <c r="D110" s="260">
        <v>46199</v>
      </c>
      <c r="E110" s="260">
        <v>46205</v>
      </c>
      <c r="F110">
        <v>-17</v>
      </c>
      <c r="G110" t="s">
        <v>350</v>
      </c>
    </row>
    <row r="111" spans="1:7">
      <c r="A111" t="s">
        <v>565</v>
      </c>
      <c r="B111" t="s">
        <v>566</v>
      </c>
      <c r="C111">
        <v>15</v>
      </c>
      <c r="D111" s="260">
        <v>46140</v>
      </c>
      <c r="E111" s="260">
        <v>46161</v>
      </c>
      <c r="F111">
        <v>-2</v>
      </c>
      <c r="G111" t="s">
        <v>350</v>
      </c>
    </row>
    <row r="112" spans="1:7">
      <c r="A112" t="s">
        <v>567</v>
      </c>
      <c r="B112" t="s">
        <v>568</v>
      </c>
      <c r="C112">
        <v>5</v>
      </c>
      <c r="D112" s="260">
        <v>46199</v>
      </c>
      <c r="E112" s="260">
        <v>46205</v>
      </c>
      <c r="F112">
        <v>-17</v>
      </c>
      <c r="G112" t="s">
        <v>350</v>
      </c>
    </row>
    <row r="113" spans="1:7">
      <c r="A113" t="s">
        <v>569</v>
      </c>
      <c r="B113" t="s">
        <v>570</v>
      </c>
      <c r="C113">
        <v>15</v>
      </c>
      <c r="D113" s="260">
        <v>46140</v>
      </c>
      <c r="E113" s="260">
        <v>46161</v>
      </c>
      <c r="F113">
        <v>-21</v>
      </c>
      <c r="G113" t="s">
        <v>350</v>
      </c>
    </row>
    <row r="114" spans="1:7">
      <c r="A114" t="s">
        <v>571</v>
      </c>
      <c r="B114" t="s">
        <v>572</v>
      </c>
      <c r="C114">
        <v>5</v>
      </c>
      <c r="D114" s="260">
        <v>46199</v>
      </c>
      <c r="E114" s="260">
        <v>46205</v>
      </c>
      <c r="F114">
        <v>-17</v>
      </c>
      <c r="G114" t="s">
        <v>350</v>
      </c>
    </row>
    <row r="115" spans="1:7">
      <c r="A115" t="s">
        <v>573</v>
      </c>
      <c r="B115" t="s">
        <v>574</v>
      </c>
      <c r="C115">
        <v>15</v>
      </c>
      <c r="D115" s="260">
        <v>46140</v>
      </c>
      <c r="E115" s="260">
        <v>46161</v>
      </c>
      <c r="F115">
        <v>-16</v>
      </c>
      <c r="G115" t="s">
        <v>350</v>
      </c>
    </row>
    <row r="116" spans="1:7">
      <c r="A116" t="s">
        <v>575</v>
      </c>
      <c r="B116" t="s">
        <v>576</v>
      </c>
      <c r="C116">
        <v>5</v>
      </c>
      <c r="D116" s="260">
        <v>46199</v>
      </c>
      <c r="E116" s="260">
        <v>46205</v>
      </c>
      <c r="F116">
        <v>-17</v>
      </c>
      <c r="G116" t="s">
        <v>350</v>
      </c>
    </row>
    <row r="117" spans="1:7">
      <c r="A117" t="s">
        <v>577</v>
      </c>
      <c r="B117" t="s">
        <v>578</v>
      </c>
      <c r="C117">
        <v>8</v>
      </c>
      <c r="D117" s="260">
        <v>46140</v>
      </c>
      <c r="E117" s="260">
        <v>46150</v>
      </c>
      <c r="F117">
        <v>5</v>
      </c>
      <c r="G117" t="s">
        <v>350</v>
      </c>
    </row>
    <row r="118" spans="1:7">
      <c r="A118" t="s">
        <v>579</v>
      </c>
      <c r="B118" t="s">
        <v>580</v>
      </c>
      <c r="C118">
        <v>5</v>
      </c>
      <c r="D118" s="260">
        <v>46199</v>
      </c>
      <c r="E118" s="260">
        <v>46205</v>
      </c>
      <c r="F118">
        <v>-17</v>
      </c>
      <c r="G118" t="s">
        <v>350</v>
      </c>
    </row>
    <row r="119" spans="1:7">
      <c r="A119" t="s">
        <v>581</v>
      </c>
      <c r="B119" t="s">
        <v>582</v>
      </c>
      <c r="C119">
        <v>13</v>
      </c>
      <c r="D119" s="260">
        <v>46140</v>
      </c>
      <c r="E119" s="260">
        <v>46157</v>
      </c>
      <c r="F119">
        <v>0</v>
      </c>
      <c r="G119" t="s">
        <v>350</v>
      </c>
    </row>
    <row r="120" spans="1:7">
      <c r="A120" t="s">
        <v>583</v>
      </c>
      <c r="B120" t="s">
        <v>584</v>
      </c>
      <c r="C120">
        <v>5</v>
      </c>
      <c r="D120" s="260">
        <v>46199</v>
      </c>
      <c r="E120" s="260">
        <v>46205</v>
      </c>
      <c r="F120">
        <v>-17</v>
      </c>
      <c r="G120" t="s">
        <v>350</v>
      </c>
    </row>
    <row r="121" spans="1:7">
      <c r="A121" t="s">
        <v>585</v>
      </c>
      <c r="B121" t="s">
        <v>586</v>
      </c>
      <c r="C121">
        <v>23</v>
      </c>
      <c r="D121" s="260">
        <v>46140</v>
      </c>
      <c r="E121" s="260">
        <v>46171</v>
      </c>
      <c r="F121">
        <v>-10</v>
      </c>
      <c r="G121" t="s">
        <v>350</v>
      </c>
    </row>
    <row r="122" spans="1:7">
      <c r="A122" t="s">
        <v>587</v>
      </c>
      <c r="B122" t="s">
        <v>588</v>
      </c>
      <c r="C122">
        <v>5</v>
      </c>
      <c r="D122" s="260">
        <v>46199</v>
      </c>
      <c r="E122" s="260">
        <v>46205</v>
      </c>
      <c r="F122">
        <v>-17</v>
      </c>
      <c r="G122" t="s">
        <v>350</v>
      </c>
    </row>
    <row r="123" spans="1:7">
      <c r="A123" t="s">
        <v>589</v>
      </c>
      <c r="B123" t="s">
        <v>590</v>
      </c>
      <c r="C123">
        <v>23</v>
      </c>
      <c r="D123" s="260">
        <v>46140</v>
      </c>
      <c r="E123" s="260">
        <v>46171</v>
      </c>
      <c r="F123">
        <v>-10</v>
      </c>
      <c r="G123" t="s">
        <v>350</v>
      </c>
    </row>
    <row r="124" spans="1:7">
      <c r="A124" t="s">
        <v>591</v>
      </c>
      <c r="B124" t="s">
        <v>592</v>
      </c>
      <c r="C124">
        <v>5</v>
      </c>
      <c r="D124" s="260">
        <v>46199</v>
      </c>
      <c r="E124" s="260">
        <v>46205</v>
      </c>
      <c r="F124">
        <v>-17</v>
      </c>
      <c r="G124" t="s">
        <v>350</v>
      </c>
    </row>
    <row r="125" spans="1:7">
      <c r="A125" t="s">
        <v>593</v>
      </c>
      <c r="B125" t="s">
        <v>594</v>
      </c>
      <c r="C125">
        <v>23</v>
      </c>
      <c r="D125" s="260">
        <v>46140</v>
      </c>
      <c r="E125" s="260">
        <v>46171</v>
      </c>
      <c r="F125">
        <v>-10</v>
      </c>
      <c r="G125" t="s">
        <v>350</v>
      </c>
    </row>
    <row r="126" spans="1:7">
      <c r="A126" t="s">
        <v>595</v>
      </c>
      <c r="B126" t="s">
        <v>596</v>
      </c>
      <c r="C126">
        <v>5</v>
      </c>
      <c r="D126" s="260">
        <v>46199</v>
      </c>
      <c r="E126" s="260">
        <v>46205</v>
      </c>
      <c r="F126">
        <v>-17</v>
      </c>
      <c r="G126" t="s">
        <v>350</v>
      </c>
    </row>
    <row r="127" spans="1:7">
      <c r="A127" t="s">
        <v>597</v>
      </c>
      <c r="C127">
        <v>194</v>
      </c>
      <c r="D127" s="260">
        <v>46091</v>
      </c>
      <c r="E127" s="260">
        <v>46384</v>
      </c>
      <c r="F127">
        <v>4</v>
      </c>
      <c r="G127" t="s">
        <v>350</v>
      </c>
    </row>
    <row r="128" spans="1:7">
      <c r="A128" t="s">
        <v>598</v>
      </c>
      <c r="B128" t="s">
        <v>599</v>
      </c>
      <c r="C128">
        <v>19</v>
      </c>
      <c r="D128" s="260">
        <v>46091</v>
      </c>
      <c r="E128" s="260">
        <v>46115</v>
      </c>
      <c r="F128">
        <v>4</v>
      </c>
      <c r="G128" t="s">
        <v>350</v>
      </c>
    </row>
    <row r="129" spans="1:7">
      <c r="A129" t="s">
        <v>600</v>
      </c>
      <c r="B129" t="s">
        <v>601</v>
      </c>
      <c r="C129">
        <v>10</v>
      </c>
      <c r="D129" s="260">
        <v>46136</v>
      </c>
      <c r="E129" s="260">
        <v>46150</v>
      </c>
      <c r="F129">
        <v>159</v>
      </c>
      <c r="G129" t="s">
        <v>350</v>
      </c>
    </row>
    <row r="130" spans="1:7">
      <c r="A130" t="s">
        <v>602</v>
      </c>
      <c r="B130" t="s">
        <v>603</v>
      </c>
      <c r="C130">
        <v>15</v>
      </c>
      <c r="D130" s="260">
        <v>46129</v>
      </c>
      <c r="E130" s="260">
        <v>46150</v>
      </c>
      <c r="F130">
        <v>4</v>
      </c>
      <c r="G130" t="s">
        <v>350</v>
      </c>
    </row>
    <row r="131" spans="1:7">
      <c r="A131" t="s">
        <v>604</v>
      </c>
      <c r="B131" t="s">
        <v>605</v>
      </c>
      <c r="C131">
        <v>10</v>
      </c>
      <c r="D131" s="260">
        <v>46274</v>
      </c>
      <c r="E131" s="260">
        <v>46287</v>
      </c>
      <c r="F131">
        <v>68</v>
      </c>
      <c r="G131" t="s">
        <v>350</v>
      </c>
    </row>
    <row r="132" spans="1:7">
      <c r="A132" t="s">
        <v>606</v>
      </c>
      <c r="B132" t="s">
        <v>607</v>
      </c>
      <c r="C132">
        <v>20</v>
      </c>
      <c r="D132" s="260">
        <v>46141</v>
      </c>
      <c r="E132" s="260">
        <v>46169</v>
      </c>
      <c r="F132">
        <v>32</v>
      </c>
      <c r="G132" t="s">
        <v>350</v>
      </c>
    </row>
    <row r="133" spans="1:7">
      <c r="A133" t="s">
        <v>608</v>
      </c>
      <c r="B133" t="s">
        <v>609</v>
      </c>
      <c r="C133">
        <v>10</v>
      </c>
      <c r="D133" s="260">
        <v>46199</v>
      </c>
      <c r="E133" s="260">
        <v>46212</v>
      </c>
      <c r="F133">
        <v>82</v>
      </c>
      <c r="G133" t="s">
        <v>350</v>
      </c>
    </row>
    <row r="134" spans="1:7">
      <c r="A134" t="s">
        <v>610</v>
      </c>
      <c r="B134" t="s">
        <v>611</v>
      </c>
      <c r="C134">
        <v>20</v>
      </c>
      <c r="D134" s="260">
        <v>46141</v>
      </c>
      <c r="E134" s="260">
        <v>46169</v>
      </c>
      <c r="F134">
        <v>32</v>
      </c>
      <c r="G134" t="s">
        <v>350</v>
      </c>
    </row>
    <row r="135" spans="1:7">
      <c r="A135" t="s">
        <v>612</v>
      </c>
      <c r="B135" t="s">
        <v>613</v>
      </c>
      <c r="C135">
        <v>10</v>
      </c>
      <c r="D135" s="260">
        <v>46199</v>
      </c>
      <c r="E135" s="260">
        <v>46212</v>
      </c>
      <c r="F135">
        <v>82</v>
      </c>
      <c r="G135" t="s">
        <v>350</v>
      </c>
    </row>
    <row r="136" spans="1:7">
      <c r="A136" t="s">
        <v>614</v>
      </c>
      <c r="B136" t="s">
        <v>615</v>
      </c>
      <c r="C136">
        <v>25</v>
      </c>
      <c r="D136" s="260">
        <v>46091</v>
      </c>
      <c r="E136" s="260">
        <v>46129</v>
      </c>
      <c r="F136">
        <v>153</v>
      </c>
      <c r="G136" t="s">
        <v>350</v>
      </c>
    </row>
    <row r="137" spans="1:7">
      <c r="A137" t="s">
        <v>616</v>
      </c>
      <c r="B137" t="s">
        <v>617</v>
      </c>
      <c r="C137">
        <v>10</v>
      </c>
      <c r="D137" s="260">
        <v>46147</v>
      </c>
      <c r="E137" s="260">
        <v>46160</v>
      </c>
      <c r="F137">
        <v>153</v>
      </c>
      <c r="G137" t="s">
        <v>350</v>
      </c>
    </row>
    <row r="138" spans="1:7">
      <c r="A138" t="s">
        <v>618</v>
      </c>
      <c r="B138" t="s">
        <v>619</v>
      </c>
      <c r="C138">
        <v>23</v>
      </c>
      <c r="D138" s="260">
        <v>46091</v>
      </c>
      <c r="E138" s="260">
        <v>46122</v>
      </c>
      <c r="F138">
        <v>155</v>
      </c>
      <c r="G138" t="s">
        <v>350</v>
      </c>
    </row>
    <row r="139" spans="1:7">
      <c r="A139" t="s">
        <v>620</v>
      </c>
      <c r="B139" t="s">
        <v>621</v>
      </c>
      <c r="C139">
        <v>10</v>
      </c>
      <c r="D139" s="260">
        <v>46142</v>
      </c>
      <c r="E139" s="260">
        <v>46156</v>
      </c>
      <c r="F139">
        <v>155</v>
      </c>
      <c r="G139" t="s">
        <v>350</v>
      </c>
    </row>
    <row r="140" spans="1:7">
      <c r="A140" t="s">
        <v>622</v>
      </c>
      <c r="B140" t="s">
        <v>623</v>
      </c>
      <c r="C140">
        <v>29</v>
      </c>
      <c r="D140" s="260">
        <v>46091</v>
      </c>
      <c r="E140" s="260">
        <v>46135</v>
      </c>
      <c r="F140">
        <v>149</v>
      </c>
      <c r="G140" t="s">
        <v>350</v>
      </c>
    </row>
    <row r="141" spans="1:7">
      <c r="A141" t="s">
        <v>624</v>
      </c>
      <c r="B141" t="s">
        <v>625</v>
      </c>
      <c r="C141">
        <v>10</v>
      </c>
      <c r="D141" s="260">
        <v>46153</v>
      </c>
      <c r="E141" s="260">
        <v>46164</v>
      </c>
      <c r="F141">
        <v>149</v>
      </c>
      <c r="G141" t="s">
        <v>350</v>
      </c>
    </row>
    <row r="142" spans="1:7">
      <c r="A142" t="s">
        <v>626</v>
      </c>
      <c r="B142" t="s">
        <v>627</v>
      </c>
      <c r="C142">
        <v>29</v>
      </c>
      <c r="D142" s="260">
        <v>46091</v>
      </c>
      <c r="E142" s="260">
        <v>46135</v>
      </c>
      <c r="F142">
        <v>149</v>
      </c>
      <c r="G142" t="s">
        <v>350</v>
      </c>
    </row>
    <row r="143" spans="1:7">
      <c r="A143" t="s">
        <v>628</v>
      </c>
      <c r="B143" t="s">
        <v>629</v>
      </c>
      <c r="C143">
        <v>10</v>
      </c>
      <c r="D143" s="260">
        <v>46153</v>
      </c>
      <c r="E143" s="260">
        <v>46164</v>
      </c>
      <c r="F143">
        <v>149</v>
      </c>
      <c r="G143" t="s">
        <v>350</v>
      </c>
    </row>
    <row r="144" spans="1:7">
      <c r="A144" t="s">
        <v>630</v>
      </c>
      <c r="B144" t="s">
        <v>631</v>
      </c>
      <c r="C144">
        <v>27</v>
      </c>
      <c r="D144" s="260">
        <v>46091</v>
      </c>
      <c r="E144" s="260">
        <v>46133</v>
      </c>
      <c r="F144">
        <v>57</v>
      </c>
      <c r="G144" t="s">
        <v>350</v>
      </c>
    </row>
    <row r="145" spans="1:7">
      <c r="A145" t="s">
        <v>632</v>
      </c>
      <c r="B145" t="s">
        <v>633</v>
      </c>
      <c r="C145">
        <v>10</v>
      </c>
      <c r="D145" s="260">
        <v>46149</v>
      </c>
      <c r="E145" s="260">
        <v>46162</v>
      </c>
      <c r="F145">
        <v>141</v>
      </c>
      <c r="G145" t="s">
        <v>350</v>
      </c>
    </row>
    <row r="146" spans="1:7">
      <c r="A146" t="s">
        <v>634</v>
      </c>
      <c r="B146" t="s">
        <v>635</v>
      </c>
      <c r="C146">
        <v>19</v>
      </c>
      <c r="D146" s="260">
        <v>46157</v>
      </c>
      <c r="E146" s="260">
        <v>46185</v>
      </c>
      <c r="F146">
        <v>41</v>
      </c>
      <c r="G146" t="s">
        <v>350</v>
      </c>
    </row>
    <row r="147" spans="1:7">
      <c r="A147" t="s">
        <v>636</v>
      </c>
      <c r="B147" t="s">
        <v>637</v>
      </c>
      <c r="C147">
        <v>10</v>
      </c>
      <c r="D147" s="260">
        <v>46202</v>
      </c>
      <c r="E147" s="260">
        <v>46213</v>
      </c>
      <c r="F147">
        <v>106</v>
      </c>
      <c r="G147" t="s">
        <v>350</v>
      </c>
    </row>
    <row r="148" spans="1:7">
      <c r="A148" t="s">
        <v>638</v>
      </c>
      <c r="B148" t="s">
        <v>639</v>
      </c>
      <c r="C148">
        <v>15</v>
      </c>
      <c r="D148" s="260">
        <v>46097</v>
      </c>
      <c r="E148" s="260">
        <v>46115</v>
      </c>
      <c r="F148">
        <v>-34</v>
      </c>
      <c r="G148" t="s">
        <v>350</v>
      </c>
    </row>
    <row r="149" spans="1:7">
      <c r="A149" t="s">
        <v>640</v>
      </c>
      <c r="B149" t="s">
        <v>641</v>
      </c>
      <c r="C149">
        <v>10</v>
      </c>
      <c r="D149" s="260">
        <v>46136</v>
      </c>
      <c r="E149" s="260">
        <v>46150</v>
      </c>
      <c r="F149">
        <v>20</v>
      </c>
      <c r="G149" t="s">
        <v>350</v>
      </c>
    </row>
    <row r="150" spans="1:7">
      <c r="A150" t="s">
        <v>642</v>
      </c>
      <c r="B150" t="s">
        <v>643</v>
      </c>
      <c r="C150">
        <v>15</v>
      </c>
      <c r="D150" s="260">
        <v>46113</v>
      </c>
      <c r="E150" s="260">
        <v>46139</v>
      </c>
      <c r="F150">
        <v>147</v>
      </c>
      <c r="G150" t="s">
        <v>350</v>
      </c>
    </row>
    <row r="151" spans="1:7">
      <c r="A151" t="s">
        <v>644</v>
      </c>
      <c r="B151" t="s">
        <v>645</v>
      </c>
      <c r="C151">
        <v>10</v>
      </c>
      <c r="D151" s="260">
        <v>46155</v>
      </c>
      <c r="E151" s="260">
        <v>46168</v>
      </c>
      <c r="F151">
        <v>147</v>
      </c>
      <c r="G151" t="s">
        <v>350</v>
      </c>
    </row>
    <row r="152" spans="1:7">
      <c r="A152" t="s">
        <v>646</v>
      </c>
      <c r="B152" t="s">
        <v>647</v>
      </c>
      <c r="C152">
        <v>15</v>
      </c>
      <c r="D152" s="260">
        <v>46113</v>
      </c>
      <c r="E152" s="260">
        <v>46139</v>
      </c>
      <c r="F152">
        <v>147</v>
      </c>
      <c r="G152" t="s">
        <v>350</v>
      </c>
    </row>
    <row r="153" spans="1:7">
      <c r="A153" t="s">
        <v>648</v>
      </c>
      <c r="B153" t="s">
        <v>649</v>
      </c>
      <c r="C153">
        <v>10</v>
      </c>
      <c r="D153" s="260">
        <v>46155</v>
      </c>
      <c r="E153" s="260">
        <v>46168</v>
      </c>
      <c r="F153">
        <v>147</v>
      </c>
      <c r="G153" t="s">
        <v>350</v>
      </c>
    </row>
    <row r="154" spans="1:7">
      <c r="A154" t="s">
        <v>650</v>
      </c>
      <c r="B154" t="s">
        <v>651</v>
      </c>
      <c r="C154">
        <v>10</v>
      </c>
      <c r="D154" s="260">
        <v>46153</v>
      </c>
      <c r="E154" s="260">
        <v>46164</v>
      </c>
      <c r="F154">
        <v>99</v>
      </c>
      <c r="G154" t="s">
        <v>350</v>
      </c>
    </row>
    <row r="155" spans="1:7">
      <c r="A155" t="s">
        <v>652</v>
      </c>
      <c r="B155" t="s">
        <v>653</v>
      </c>
      <c r="C155">
        <v>10</v>
      </c>
      <c r="D155" s="260">
        <v>46183</v>
      </c>
      <c r="E155" s="260">
        <v>46196</v>
      </c>
      <c r="F155">
        <v>119</v>
      </c>
      <c r="G155" t="s">
        <v>350</v>
      </c>
    </row>
    <row r="156" spans="1:7">
      <c r="A156" t="s">
        <v>654</v>
      </c>
      <c r="B156" t="s">
        <v>655</v>
      </c>
      <c r="C156">
        <v>18</v>
      </c>
      <c r="D156" s="260">
        <v>46097</v>
      </c>
      <c r="E156" s="260">
        <v>46121</v>
      </c>
      <c r="F156">
        <v>-33</v>
      </c>
      <c r="G156" t="s">
        <v>350</v>
      </c>
    </row>
    <row r="157" spans="1:7">
      <c r="A157" t="s">
        <v>656</v>
      </c>
      <c r="B157" t="s">
        <v>657</v>
      </c>
      <c r="C157">
        <v>10</v>
      </c>
      <c r="D157" s="260">
        <v>46141</v>
      </c>
      <c r="E157" s="260">
        <v>46155</v>
      </c>
      <c r="F157">
        <v>28</v>
      </c>
      <c r="G157" t="s">
        <v>350</v>
      </c>
    </row>
    <row r="158" spans="1:7">
      <c r="A158" t="s">
        <v>658</v>
      </c>
      <c r="B158" t="s">
        <v>659</v>
      </c>
      <c r="C158">
        <v>23</v>
      </c>
      <c r="D158" s="260">
        <v>46091</v>
      </c>
      <c r="E158" s="260">
        <v>46122</v>
      </c>
      <c r="F158">
        <v>155</v>
      </c>
      <c r="G158" t="s">
        <v>350</v>
      </c>
    </row>
    <row r="159" spans="1:7">
      <c r="A159" t="s">
        <v>660</v>
      </c>
      <c r="B159" t="s">
        <v>661</v>
      </c>
      <c r="C159">
        <v>10</v>
      </c>
      <c r="D159" s="260">
        <v>46142</v>
      </c>
      <c r="E159" s="260">
        <v>46156</v>
      </c>
      <c r="F159">
        <v>155</v>
      </c>
      <c r="G159" t="s">
        <v>350</v>
      </c>
    </row>
    <row r="160" spans="1:7">
      <c r="A160" t="s">
        <v>662</v>
      </c>
      <c r="B160" t="s">
        <v>663</v>
      </c>
      <c r="C160">
        <v>15</v>
      </c>
      <c r="D160" s="260">
        <v>46112</v>
      </c>
      <c r="E160" s="260">
        <v>46136</v>
      </c>
      <c r="F160">
        <v>148</v>
      </c>
      <c r="G160" t="s">
        <v>350</v>
      </c>
    </row>
    <row r="161" spans="1:7">
      <c r="A161" t="s">
        <v>664</v>
      </c>
      <c r="B161" t="s">
        <v>665</v>
      </c>
      <c r="C161">
        <v>10</v>
      </c>
      <c r="D161" s="260">
        <v>46154</v>
      </c>
      <c r="E161" s="260">
        <v>46167</v>
      </c>
      <c r="F161">
        <v>148</v>
      </c>
      <c r="G161" t="s">
        <v>350</v>
      </c>
    </row>
    <row r="162" spans="1:7">
      <c r="A162" t="s">
        <v>666</v>
      </c>
      <c r="B162" t="s">
        <v>667</v>
      </c>
      <c r="C162">
        <v>15</v>
      </c>
      <c r="D162" s="260">
        <v>46134</v>
      </c>
      <c r="E162" s="260">
        <v>46155</v>
      </c>
      <c r="F162">
        <v>136</v>
      </c>
      <c r="G162" t="s">
        <v>350</v>
      </c>
    </row>
    <row r="163" spans="1:7">
      <c r="A163" t="s">
        <v>668</v>
      </c>
      <c r="B163" t="s">
        <v>669</v>
      </c>
      <c r="C163">
        <v>10</v>
      </c>
      <c r="D163" s="260">
        <v>46170</v>
      </c>
      <c r="E163" s="260">
        <v>46185</v>
      </c>
      <c r="F163">
        <v>136</v>
      </c>
      <c r="G163" t="s">
        <v>350</v>
      </c>
    </row>
    <row r="164" spans="1:7">
      <c r="A164" t="s">
        <v>670</v>
      </c>
      <c r="B164" t="s">
        <v>671</v>
      </c>
      <c r="C164">
        <v>15</v>
      </c>
      <c r="D164" s="260">
        <v>46106</v>
      </c>
      <c r="E164" s="260">
        <v>46132</v>
      </c>
      <c r="F164">
        <v>152</v>
      </c>
      <c r="G164" t="s">
        <v>350</v>
      </c>
    </row>
    <row r="165" spans="1:7">
      <c r="A165" t="s">
        <v>672</v>
      </c>
      <c r="B165" t="s">
        <v>673</v>
      </c>
      <c r="C165">
        <v>10</v>
      </c>
      <c r="D165" s="260">
        <v>46148</v>
      </c>
      <c r="E165" s="260">
        <v>46161</v>
      </c>
      <c r="F165">
        <v>152</v>
      </c>
      <c r="G165" t="s">
        <v>350</v>
      </c>
    </row>
    <row r="166" spans="1:7">
      <c r="A166" t="s">
        <v>674</v>
      </c>
      <c r="C166">
        <v>104</v>
      </c>
      <c r="D166" s="260">
        <v>46097</v>
      </c>
      <c r="E166" s="260">
        <v>46255</v>
      </c>
      <c r="F166">
        <v>90</v>
      </c>
      <c r="G166" t="s">
        <v>350</v>
      </c>
    </row>
    <row r="167" spans="1:7">
      <c r="A167" t="s">
        <v>675</v>
      </c>
      <c r="B167" t="s">
        <v>676</v>
      </c>
      <c r="C167">
        <v>10</v>
      </c>
      <c r="D167" s="260">
        <v>46140</v>
      </c>
      <c r="E167" s="260">
        <v>46154</v>
      </c>
      <c r="F167">
        <v>-44</v>
      </c>
      <c r="G167" t="s">
        <v>350</v>
      </c>
    </row>
    <row r="168" spans="1:7">
      <c r="A168" t="s">
        <v>677</v>
      </c>
      <c r="B168" t="s">
        <v>678</v>
      </c>
      <c r="C168">
        <v>10</v>
      </c>
      <c r="D168" s="260">
        <v>46175</v>
      </c>
      <c r="E168" s="260">
        <v>46189</v>
      </c>
      <c r="F168">
        <v>34</v>
      </c>
      <c r="G168" t="s">
        <v>350</v>
      </c>
    </row>
    <row r="169" spans="1:7">
      <c r="A169" t="s">
        <v>679</v>
      </c>
      <c r="B169" t="s">
        <v>680</v>
      </c>
      <c r="C169">
        <v>5</v>
      </c>
      <c r="D169" s="260">
        <v>46206</v>
      </c>
      <c r="E169" s="260">
        <v>46212</v>
      </c>
      <c r="F169">
        <v>32</v>
      </c>
      <c r="G169" t="s">
        <v>350</v>
      </c>
    </row>
    <row r="170" spans="1:7">
      <c r="A170" t="s">
        <v>681</v>
      </c>
      <c r="B170" t="s">
        <v>682</v>
      </c>
      <c r="C170">
        <v>12</v>
      </c>
      <c r="D170" s="260">
        <v>46140</v>
      </c>
      <c r="E170" s="260">
        <v>46156</v>
      </c>
      <c r="F170">
        <v>-16</v>
      </c>
      <c r="G170" t="s">
        <v>350</v>
      </c>
    </row>
    <row r="171" spans="1:7">
      <c r="A171" t="s">
        <v>683</v>
      </c>
      <c r="B171" t="s">
        <v>684</v>
      </c>
      <c r="C171">
        <v>10</v>
      </c>
      <c r="D171" s="260">
        <v>46178</v>
      </c>
      <c r="E171" s="260">
        <v>46191</v>
      </c>
      <c r="F171">
        <v>32</v>
      </c>
      <c r="G171" t="s">
        <v>350</v>
      </c>
    </row>
    <row r="172" spans="1:7">
      <c r="A172" t="s">
        <v>685</v>
      </c>
      <c r="B172" t="s">
        <v>686</v>
      </c>
      <c r="C172">
        <v>5</v>
      </c>
      <c r="D172" s="260">
        <v>46206</v>
      </c>
      <c r="E172" s="260">
        <v>46212</v>
      </c>
      <c r="F172">
        <v>32</v>
      </c>
      <c r="G172" t="s">
        <v>350</v>
      </c>
    </row>
    <row r="173" spans="1:7">
      <c r="A173" t="s">
        <v>687</v>
      </c>
      <c r="B173" t="s">
        <v>688</v>
      </c>
      <c r="C173">
        <v>10</v>
      </c>
      <c r="D173" s="260">
        <v>46142</v>
      </c>
      <c r="E173" s="260">
        <v>46156</v>
      </c>
      <c r="F173">
        <v>-16</v>
      </c>
      <c r="G173" t="s">
        <v>350</v>
      </c>
    </row>
    <row r="174" spans="1:7">
      <c r="A174" t="s">
        <v>689</v>
      </c>
      <c r="B174" t="s">
        <v>690</v>
      </c>
      <c r="C174">
        <v>10</v>
      </c>
      <c r="D174" s="260">
        <v>46178</v>
      </c>
      <c r="E174" s="260">
        <v>46191</v>
      </c>
      <c r="F174">
        <v>32</v>
      </c>
      <c r="G174" t="s">
        <v>350</v>
      </c>
    </row>
    <row r="175" spans="1:7">
      <c r="A175" t="s">
        <v>691</v>
      </c>
      <c r="B175" t="s">
        <v>692</v>
      </c>
      <c r="C175">
        <v>5</v>
      </c>
      <c r="D175" s="260">
        <v>46206</v>
      </c>
      <c r="E175" s="260">
        <v>46212</v>
      </c>
      <c r="F175">
        <v>32</v>
      </c>
      <c r="G175" t="s">
        <v>350</v>
      </c>
    </row>
    <row r="176" spans="1:7">
      <c r="A176" t="s">
        <v>693</v>
      </c>
      <c r="B176" t="s">
        <v>694</v>
      </c>
      <c r="C176">
        <v>10</v>
      </c>
      <c r="D176" s="260">
        <v>46146</v>
      </c>
      <c r="E176" s="260">
        <v>46157</v>
      </c>
      <c r="F176">
        <v>-21</v>
      </c>
      <c r="G176" t="s">
        <v>350</v>
      </c>
    </row>
    <row r="177" spans="1:7">
      <c r="A177" t="s">
        <v>695</v>
      </c>
      <c r="B177" t="s">
        <v>696</v>
      </c>
      <c r="C177">
        <v>10</v>
      </c>
      <c r="D177" s="260">
        <v>46181</v>
      </c>
      <c r="E177" s="260">
        <v>46192</v>
      </c>
      <c r="F177">
        <v>32</v>
      </c>
      <c r="G177" t="s">
        <v>350</v>
      </c>
    </row>
    <row r="178" spans="1:7">
      <c r="A178" t="s">
        <v>697</v>
      </c>
      <c r="B178" t="s">
        <v>698</v>
      </c>
      <c r="C178">
        <v>5</v>
      </c>
      <c r="D178" s="260">
        <v>46206</v>
      </c>
      <c r="E178" s="260">
        <v>46212</v>
      </c>
      <c r="F178">
        <v>32</v>
      </c>
      <c r="G178" t="s">
        <v>350</v>
      </c>
    </row>
    <row r="179" spans="1:7">
      <c r="A179" t="s">
        <v>699</v>
      </c>
      <c r="B179" t="s">
        <v>700</v>
      </c>
      <c r="C179">
        <v>15</v>
      </c>
      <c r="D179" s="260">
        <v>46097</v>
      </c>
      <c r="E179" s="260">
        <v>46115</v>
      </c>
      <c r="F179">
        <v>-34</v>
      </c>
      <c r="G179" t="s">
        <v>350</v>
      </c>
    </row>
    <row r="180" spans="1:7">
      <c r="A180" t="s">
        <v>701</v>
      </c>
      <c r="B180" t="s">
        <v>702</v>
      </c>
      <c r="C180">
        <v>5</v>
      </c>
      <c r="D180" s="260">
        <v>46146</v>
      </c>
      <c r="E180" s="260">
        <v>46150</v>
      </c>
      <c r="F180">
        <v>10</v>
      </c>
      <c r="G180" t="s">
        <v>350</v>
      </c>
    </row>
    <row r="181" spans="1:7">
      <c r="A181" t="s">
        <v>703</v>
      </c>
      <c r="B181" t="s">
        <v>704</v>
      </c>
      <c r="C181">
        <v>5</v>
      </c>
      <c r="D181" s="260">
        <v>46206</v>
      </c>
      <c r="E181" s="260">
        <v>46212</v>
      </c>
      <c r="F181">
        <v>-17</v>
      </c>
      <c r="G181" t="s">
        <v>350</v>
      </c>
    </row>
    <row r="182" spans="1:7">
      <c r="A182" t="s">
        <v>705</v>
      </c>
      <c r="B182" t="s">
        <v>706</v>
      </c>
      <c r="C182">
        <v>12</v>
      </c>
      <c r="D182" s="260">
        <v>46140</v>
      </c>
      <c r="E182" s="260">
        <v>46156</v>
      </c>
      <c r="F182">
        <v>-30</v>
      </c>
      <c r="G182" t="s">
        <v>350</v>
      </c>
    </row>
    <row r="183" spans="1:7">
      <c r="A183" t="s">
        <v>707</v>
      </c>
      <c r="B183" t="s">
        <v>708</v>
      </c>
      <c r="C183">
        <v>10</v>
      </c>
      <c r="D183" s="260">
        <v>46178</v>
      </c>
      <c r="E183" s="260">
        <v>46191</v>
      </c>
      <c r="F183">
        <v>117</v>
      </c>
      <c r="G183" t="s">
        <v>350</v>
      </c>
    </row>
    <row r="184" spans="1:7">
      <c r="A184" t="s">
        <v>709</v>
      </c>
      <c r="B184" t="s">
        <v>710</v>
      </c>
      <c r="C184">
        <v>5</v>
      </c>
      <c r="D184" s="260">
        <v>46206</v>
      </c>
      <c r="E184" s="260">
        <v>46212</v>
      </c>
      <c r="F184">
        <v>117</v>
      </c>
      <c r="G184" t="s">
        <v>350</v>
      </c>
    </row>
    <row r="185" spans="1:7">
      <c r="A185" t="s">
        <v>711</v>
      </c>
      <c r="B185" t="s">
        <v>712</v>
      </c>
      <c r="C185">
        <v>15</v>
      </c>
      <c r="D185" s="260">
        <v>46188</v>
      </c>
      <c r="E185" s="260">
        <v>46206</v>
      </c>
      <c r="F185">
        <v>41</v>
      </c>
      <c r="G185" t="s">
        <v>350</v>
      </c>
    </row>
    <row r="186" spans="1:7">
      <c r="A186" t="s">
        <v>713</v>
      </c>
      <c r="B186" t="s">
        <v>714</v>
      </c>
      <c r="C186">
        <v>10</v>
      </c>
      <c r="D186" s="260">
        <v>46225</v>
      </c>
      <c r="E186" s="260">
        <v>46241</v>
      </c>
      <c r="F186">
        <v>85</v>
      </c>
      <c r="G186" t="s">
        <v>350</v>
      </c>
    </row>
    <row r="187" spans="1:7">
      <c r="A187" t="s">
        <v>715</v>
      </c>
      <c r="B187" t="s">
        <v>716</v>
      </c>
      <c r="C187">
        <v>5</v>
      </c>
      <c r="D187" s="260">
        <v>46251</v>
      </c>
      <c r="E187" s="260">
        <v>46255</v>
      </c>
      <c r="F187">
        <v>85</v>
      </c>
      <c r="G187" t="s">
        <v>350</v>
      </c>
    </row>
    <row r="188" spans="1:7">
      <c r="A188" t="s">
        <v>717</v>
      </c>
      <c r="B188" t="s">
        <v>718</v>
      </c>
      <c r="C188">
        <v>10</v>
      </c>
      <c r="D188" s="260">
        <v>46112</v>
      </c>
      <c r="E188" s="260">
        <v>46129</v>
      </c>
      <c r="F188">
        <v>-21</v>
      </c>
      <c r="G188" t="s">
        <v>350</v>
      </c>
    </row>
    <row r="189" spans="1:7">
      <c r="A189" t="s">
        <v>719</v>
      </c>
      <c r="B189" t="s">
        <v>720</v>
      </c>
      <c r="C189">
        <v>10</v>
      </c>
      <c r="D189" s="260">
        <v>46153</v>
      </c>
      <c r="E189" s="260">
        <v>46164</v>
      </c>
      <c r="F189">
        <v>49</v>
      </c>
      <c r="G189" t="s">
        <v>350</v>
      </c>
    </row>
    <row r="190" spans="1:7">
      <c r="A190" t="s">
        <v>721</v>
      </c>
      <c r="B190" t="s">
        <v>722</v>
      </c>
      <c r="C190">
        <v>5</v>
      </c>
      <c r="D190" s="260">
        <v>46206</v>
      </c>
      <c r="E190" s="260">
        <v>46212</v>
      </c>
      <c r="F190">
        <v>32</v>
      </c>
      <c r="G190" t="s">
        <v>350</v>
      </c>
    </row>
    <row r="191" spans="1:7">
      <c r="A191" t="s">
        <v>723</v>
      </c>
      <c r="B191" t="s">
        <v>724</v>
      </c>
      <c r="C191">
        <v>12</v>
      </c>
      <c r="D191" s="260">
        <v>46140</v>
      </c>
      <c r="E191" s="260">
        <v>46156</v>
      </c>
      <c r="F191">
        <v>92</v>
      </c>
      <c r="G191" t="s">
        <v>350</v>
      </c>
    </row>
    <row r="192" spans="1:7">
      <c r="A192" t="s">
        <v>725</v>
      </c>
      <c r="B192" t="s">
        <v>726</v>
      </c>
      <c r="C192">
        <v>10</v>
      </c>
      <c r="D192" s="260">
        <v>46178</v>
      </c>
      <c r="E192" s="260">
        <v>46191</v>
      </c>
      <c r="F192">
        <v>112</v>
      </c>
      <c r="G192" t="s">
        <v>350</v>
      </c>
    </row>
    <row r="193" spans="1:7">
      <c r="A193" t="s">
        <v>727</v>
      </c>
      <c r="B193" t="s">
        <v>728</v>
      </c>
      <c r="C193">
        <v>5</v>
      </c>
      <c r="D193" s="260">
        <v>46206</v>
      </c>
      <c r="E193" s="260">
        <v>46212</v>
      </c>
      <c r="F193">
        <v>112</v>
      </c>
      <c r="G193" t="s">
        <v>350</v>
      </c>
    </row>
    <row r="194" spans="1:7">
      <c r="A194" t="s">
        <v>729</v>
      </c>
      <c r="B194" t="s">
        <v>730</v>
      </c>
      <c r="C194">
        <v>8</v>
      </c>
      <c r="D194" s="260">
        <v>46140</v>
      </c>
      <c r="E194" s="260">
        <v>46150</v>
      </c>
      <c r="F194">
        <v>1</v>
      </c>
      <c r="G194" t="s">
        <v>350</v>
      </c>
    </row>
    <row r="195" spans="1:7">
      <c r="A195" t="s">
        <v>731</v>
      </c>
      <c r="B195" t="s">
        <v>732</v>
      </c>
      <c r="C195">
        <v>10</v>
      </c>
      <c r="D195" s="260">
        <v>46170</v>
      </c>
      <c r="E195" s="260">
        <v>46185</v>
      </c>
      <c r="F195">
        <v>43</v>
      </c>
      <c r="G195" t="s">
        <v>350</v>
      </c>
    </row>
    <row r="196" spans="1:7">
      <c r="A196" t="s">
        <v>733</v>
      </c>
      <c r="B196" t="s">
        <v>734</v>
      </c>
      <c r="C196">
        <v>5</v>
      </c>
      <c r="D196" s="260">
        <v>46206</v>
      </c>
      <c r="E196" s="260">
        <v>46212</v>
      </c>
      <c r="F196">
        <v>39</v>
      </c>
      <c r="G196" t="s">
        <v>350</v>
      </c>
    </row>
    <row r="197" spans="1:7">
      <c r="A197" t="s">
        <v>735</v>
      </c>
      <c r="B197" t="s">
        <v>736</v>
      </c>
      <c r="C197">
        <v>8</v>
      </c>
      <c r="D197" s="260">
        <v>46140</v>
      </c>
      <c r="E197" s="260">
        <v>46150</v>
      </c>
      <c r="F197">
        <v>0</v>
      </c>
      <c r="G197" t="s">
        <v>350</v>
      </c>
    </row>
    <row r="198" spans="1:7">
      <c r="A198" t="s">
        <v>737</v>
      </c>
      <c r="B198" t="s">
        <v>738</v>
      </c>
      <c r="C198">
        <v>10</v>
      </c>
      <c r="D198" s="260">
        <v>46170</v>
      </c>
      <c r="E198" s="260">
        <v>46185</v>
      </c>
      <c r="F198">
        <v>16</v>
      </c>
      <c r="G198" t="s">
        <v>350</v>
      </c>
    </row>
    <row r="199" spans="1:7">
      <c r="A199" t="s">
        <v>739</v>
      </c>
      <c r="B199" t="s">
        <v>740</v>
      </c>
      <c r="C199">
        <v>5</v>
      </c>
      <c r="D199" s="260">
        <v>46206</v>
      </c>
      <c r="E199" s="260">
        <v>46212</v>
      </c>
      <c r="F199">
        <v>12</v>
      </c>
      <c r="G199" t="s">
        <v>350</v>
      </c>
    </row>
    <row r="200" spans="1:7">
      <c r="A200" t="s">
        <v>741</v>
      </c>
      <c r="B200" t="s">
        <v>742</v>
      </c>
      <c r="C200">
        <v>10</v>
      </c>
      <c r="D200" s="260">
        <v>46160</v>
      </c>
      <c r="E200" s="260">
        <v>46171</v>
      </c>
      <c r="F200">
        <v>4</v>
      </c>
      <c r="G200" t="s">
        <v>350</v>
      </c>
    </row>
    <row r="201" spans="1:7">
      <c r="A201" t="s">
        <v>743</v>
      </c>
      <c r="B201" t="s">
        <v>744</v>
      </c>
      <c r="C201">
        <v>10</v>
      </c>
      <c r="D201" s="260">
        <v>46195</v>
      </c>
      <c r="E201" s="260">
        <v>46206</v>
      </c>
      <c r="F201">
        <v>106</v>
      </c>
      <c r="G201" t="s">
        <v>350</v>
      </c>
    </row>
    <row r="202" spans="1:7">
      <c r="A202" t="s">
        <v>745</v>
      </c>
      <c r="B202" t="s">
        <v>746</v>
      </c>
      <c r="C202">
        <v>5</v>
      </c>
      <c r="D202" s="260">
        <v>46216</v>
      </c>
      <c r="E202" s="260">
        <v>46220</v>
      </c>
      <c r="F202">
        <v>106</v>
      </c>
      <c r="G202" t="s">
        <v>350</v>
      </c>
    </row>
    <row r="203" spans="1:7">
      <c r="A203" t="s">
        <v>747</v>
      </c>
      <c r="B203" t="s">
        <v>748</v>
      </c>
      <c r="C203">
        <v>15</v>
      </c>
      <c r="D203" s="260">
        <v>46112</v>
      </c>
      <c r="E203" s="260">
        <v>46136</v>
      </c>
      <c r="F203">
        <v>-26</v>
      </c>
      <c r="G203" t="s">
        <v>350</v>
      </c>
    </row>
    <row r="204" spans="1:7">
      <c r="A204" t="s">
        <v>749</v>
      </c>
      <c r="B204" t="s">
        <v>750</v>
      </c>
      <c r="C204">
        <v>5</v>
      </c>
      <c r="D204" s="260">
        <v>46167</v>
      </c>
      <c r="E204" s="260">
        <v>46171</v>
      </c>
      <c r="F204">
        <v>44</v>
      </c>
      <c r="G204" t="s">
        <v>350</v>
      </c>
    </row>
    <row r="205" spans="1:7">
      <c r="A205" t="s">
        <v>751</v>
      </c>
      <c r="B205" t="s">
        <v>752</v>
      </c>
      <c r="C205">
        <v>5</v>
      </c>
      <c r="D205" s="260">
        <v>46206</v>
      </c>
      <c r="E205" s="260">
        <v>46212</v>
      </c>
      <c r="F205">
        <v>32</v>
      </c>
      <c r="G205" t="s">
        <v>350</v>
      </c>
    </row>
    <row r="206" spans="1:7">
      <c r="A206" t="s">
        <v>753</v>
      </c>
      <c r="B206" t="s">
        <v>754</v>
      </c>
      <c r="C206">
        <v>15</v>
      </c>
      <c r="D206" s="260">
        <v>46112</v>
      </c>
      <c r="E206" s="260">
        <v>46136</v>
      </c>
      <c r="F206">
        <v>138</v>
      </c>
      <c r="G206" t="s">
        <v>350</v>
      </c>
    </row>
    <row r="207" spans="1:7">
      <c r="A207" t="s">
        <v>755</v>
      </c>
      <c r="B207" t="s">
        <v>756</v>
      </c>
      <c r="C207">
        <v>5</v>
      </c>
      <c r="D207" s="260">
        <v>46167</v>
      </c>
      <c r="E207" s="260">
        <v>46171</v>
      </c>
      <c r="F207">
        <v>129</v>
      </c>
      <c r="G207" t="s">
        <v>350</v>
      </c>
    </row>
    <row r="208" spans="1:7">
      <c r="A208" t="s">
        <v>757</v>
      </c>
      <c r="B208" t="s">
        <v>758</v>
      </c>
      <c r="C208">
        <v>5</v>
      </c>
      <c r="D208" s="260">
        <v>46206</v>
      </c>
      <c r="E208" s="260">
        <v>46212</v>
      </c>
      <c r="F208">
        <v>117</v>
      </c>
      <c r="G208" t="s">
        <v>350</v>
      </c>
    </row>
    <row r="209" spans="1:7">
      <c r="A209" t="s">
        <v>759</v>
      </c>
      <c r="B209" t="s">
        <v>760</v>
      </c>
      <c r="C209">
        <v>13</v>
      </c>
      <c r="D209" s="260">
        <v>46140</v>
      </c>
      <c r="E209" s="260">
        <v>46157</v>
      </c>
      <c r="F209">
        <v>-47</v>
      </c>
      <c r="G209" t="s">
        <v>350</v>
      </c>
    </row>
    <row r="210" spans="1:7">
      <c r="A210" t="s">
        <v>761</v>
      </c>
      <c r="B210" t="s">
        <v>762</v>
      </c>
      <c r="C210">
        <v>10</v>
      </c>
      <c r="D210" s="260">
        <v>46181</v>
      </c>
      <c r="E210" s="260">
        <v>46192</v>
      </c>
      <c r="F210">
        <v>32</v>
      </c>
      <c r="G210" t="s">
        <v>350</v>
      </c>
    </row>
    <row r="211" spans="1:7">
      <c r="A211" t="s">
        <v>763</v>
      </c>
      <c r="B211" t="s">
        <v>764</v>
      </c>
      <c r="C211">
        <v>5</v>
      </c>
      <c r="D211" s="260">
        <v>46206</v>
      </c>
      <c r="E211" s="260">
        <v>46212</v>
      </c>
      <c r="F211">
        <v>32</v>
      </c>
      <c r="G211" t="s">
        <v>350</v>
      </c>
    </row>
    <row r="212" spans="1:7">
      <c r="A212" t="s">
        <v>765</v>
      </c>
      <c r="B212" t="s">
        <v>766</v>
      </c>
      <c r="C212">
        <v>12</v>
      </c>
      <c r="D212" s="260">
        <v>46140</v>
      </c>
      <c r="E212" s="260">
        <v>46156</v>
      </c>
      <c r="F212">
        <v>-46</v>
      </c>
      <c r="G212" t="s">
        <v>350</v>
      </c>
    </row>
    <row r="213" spans="1:7">
      <c r="A213" t="s">
        <v>767</v>
      </c>
      <c r="B213" t="s">
        <v>768</v>
      </c>
      <c r="C213">
        <v>10</v>
      </c>
      <c r="D213" s="260">
        <v>46178</v>
      </c>
      <c r="E213" s="260">
        <v>46191</v>
      </c>
      <c r="F213">
        <v>32</v>
      </c>
      <c r="G213" t="s">
        <v>350</v>
      </c>
    </row>
    <row r="214" spans="1:7">
      <c r="A214" t="s">
        <v>769</v>
      </c>
      <c r="B214" t="s">
        <v>770</v>
      </c>
      <c r="C214">
        <v>5</v>
      </c>
      <c r="D214" s="260">
        <v>46206</v>
      </c>
      <c r="E214" s="260">
        <v>46212</v>
      </c>
      <c r="F214">
        <v>32</v>
      </c>
      <c r="G214" t="s">
        <v>350</v>
      </c>
    </row>
    <row r="215" spans="1:7">
      <c r="A215" t="s">
        <v>771</v>
      </c>
      <c r="B215" t="s">
        <v>772</v>
      </c>
      <c r="C215">
        <v>12</v>
      </c>
      <c r="D215" s="260">
        <v>46140</v>
      </c>
      <c r="E215" s="260">
        <v>46156</v>
      </c>
      <c r="F215">
        <v>92</v>
      </c>
      <c r="G215" t="s">
        <v>350</v>
      </c>
    </row>
    <row r="216" spans="1:7">
      <c r="A216" t="s">
        <v>773</v>
      </c>
      <c r="B216" t="s">
        <v>774</v>
      </c>
      <c r="C216">
        <v>10</v>
      </c>
      <c r="D216" s="260">
        <v>46178</v>
      </c>
      <c r="E216" s="260">
        <v>46191</v>
      </c>
      <c r="F216">
        <v>112</v>
      </c>
      <c r="G216" t="s">
        <v>350</v>
      </c>
    </row>
    <row r="217" spans="1:7">
      <c r="A217" t="s">
        <v>775</v>
      </c>
      <c r="B217" t="s">
        <v>776</v>
      </c>
      <c r="C217">
        <v>5</v>
      </c>
      <c r="D217" s="260">
        <v>46206</v>
      </c>
      <c r="E217" s="260">
        <v>46212</v>
      </c>
      <c r="F217">
        <v>112</v>
      </c>
      <c r="G217" t="s">
        <v>350</v>
      </c>
    </row>
    <row r="218" spans="1:7">
      <c r="A218" t="s">
        <v>777</v>
      </c>
      <c r="B218" t="s">
        <v>778</v>
      </c>
      <c r="C218">
        <v>9</v>
      </c>
      <c r="D218" s="260">
        <v>46140</v>
      </c>
      <c r="E218" s="260">
        <v>46153</v>
      </c>
      <c r="F218">
        <v>0</v>
      </c>
      <c r="G218" t="s">
        <v>350</v>
      </c>
    </row>
    <row r="219" spans="1:7">
      <c r="A219" t="s">
        <v>779</v>
      </c>
      <c r="B219" t="s">
        <v>780</v>
      </c>
      <c r="C219">
        <v>10</v>
      </c>
      <c r="D219" s="260">
        <v>46171</v>
      </c>
      <c r="E219" s="260">
        <v>46188</v>
      </c>
      <c r="F219">
        <v>42</v>
      </c>
      <c r="G219" t="s">
        <v>350</v>
      </c>
    </row>
    <row r="220" spans="1:7">
      <c r="A220" t="s">
        <v>781</v>
      </c>
      <c r="B220" t="s">
        <v>782</v>
      </c>
      <c r="C220">
        <v>5</v>
      </c>
      <c r="D220" s="260">
        <v>46206</v>
      </c>
      <c r="E220" s="260">
        <v>46212</v>
      </c>
      <c r="F220">
        <v>39</v>
      </c>
      <c r="G220" t="s">
        <v>350</v>
      </c>
    </row>
    <row r="221" spans="1:7">
      <c r="A221" t="s">
        <v>783</v>
      </c>
      <c r="B221" t="s">
        <v>784</v>
      </c>
      <c r="C221">
        <v>8</v>
      </c>
      <c r="D221" s="260">
        <v>46140</v>
      </c>
      <c r="E221" s="260">
        <v>46150</v>
      </c>
      <c r="F221">
        <v>0</v>
      </c>
      <c r="G221" t="s">
        <v>350</v>
      </c>
    </row>
    <row r="222" spans="1:7">
      <c r="A222" t="s">
        <v>785</v>
      </c>
      <c r="B222" t="s">
        <v>786</v>
      </c>
      <c r="C222">
        <v>10</v>
      </c>
      <c r="D222" s="260">
        <v>46170</v>
      </c>
      <c r="E222" s="260">
        <v>46185</v>
      </c>
      <c r="F222">
        <v>16</v>
      </c>
      <c r="G222" t="s">
        <v>350</v>
      </c>
    </row>
    <row r="223" spans="1:7">
      <c r="A223" t="s">
        <v>787</v>
      </c>
      <c r="B223" t="s">
        <v>788</v>
      </c>
      <c r="C223">
        <v>5</v>
      </c>
      <c r="D223" s="260">
        <v>46206</v>
      </c>
      <c r="E223" s="260">
        <v>46212</v>
      </c>
      <c r="F223">
        <v>12</v>
      </c>
      <c r="G223" t="s">
        <v>350</v>
      </c>
    </row>
    <row r="224" spans="1:7">
      <c r="A224" t="s">
        <v>789</v>
      </c>
      <c r="B224" t="s">
        <v>790</v>
      </c>
      <c r="C224">
        <v>10</v>
      </c>
      <c r="D224" s="260">
        <v>46160</v>
      </c>
      <c r="E224" s="260">
        <v>46171</v>
      </c>
      <c r="F224">
        <v>4</v>
      </c>
      <c r="G224" t="s">
        <v>350</v>
      </c>
    </row>
    <row r="225" spans="1:7">
      <c r="A225" t="s">
        <v>791</v>
      </c>
      <c r="B225" t="s">
        <v>792</v>
      </c>
      <c r="C225">
        <v>10</v>
      </c>
      <c r="D225" s="260">
        <v>46195</v>
      </c>
      <c r="E225" s="260">
        <v>46206</v>
      </c>
      <c r="F225">
        <v>106</v>
      </c>
      <c r="G225" t="s">
        <v>350</v>
      </c>
    </row>
    <row r="226" spans="1:7">
      <c r="A226" t="s">
        <v>793</v>
      </c>
      <c r="B226" t="s">
        <v>794</v>
      </c>
      <c r="C226">
        <v>5</v>
      </c>
      <c r="D226" s="260">
        <v>46216</v>
      </c>
      <c r="E226" s="260">
        <v>46220</v>
      </c>
      <c r="F226">
        <v>106</v>
      </c>
      <c r="G226" t="s">
        <v>350</v>
      </c>
    </row>
    <row r="227" spans="1:7">
      <c r="A227" t="s">
        <v>795</v>
      </c>
      <c r="B227" t="s">
        <v>796</v>
      </c>
      <c r="C227">
        <v>8</v>
      </c>
      <c r="D227" s="260">
        <v>46140</v>
      </c>
      <c r="E227" s="260">
        <v>46150</v>
      </c>
      <c r="F227">
        <v>0</v>
      </c>
      <c r="G227" t="s">
        <v>350</v>
      </c>
    </row>
    <row r="228" spans="1:7">
      <c r="A228" t="s">
        <v>797</v>
      </c>
      <c r="B228" t="s">
        <v>798</v>
      </c>
      <c r="C228">
        <v>10</v>
      </c>
      <c r="D228" s="260">
        <v>46170</v>
      </c>
      <c r="E228" s="260">
        <v>46185</v>
      </c>
      <c r="F228">
        <v>31</v>
      </c>
      <c r="G228" t="s">
        <v>350</v>
      </c>
    </row>
    <row r="229" spans="1:7">
      <c r="A229" t="s">
        <v>799</v>
      </c>
      <c r="B229" t="s">
        <v>800</v>
      </c>
      <c r="C229">
        <v>5</v>
      </c>
      <c r="D229" s="260">
        <v>46206</v>
      </c>
      <c r="E229" s="260">
        <v>46212</v>
      </c>
      <c r="F229">
        <v>27</v>
      </c>
      <c r="G229" t="s">
        <v>350</v>
      </c>
    </row>
    <row r="230" spans="1:7">
      <c r="A230" t="s">
        <v>801</v>
      </c>
      <c r="B230" t="s">
        <v>802</v>
      </c>
      <c r="C230">
        <v>6</v>
      </c>
      <c r="D230" s="260">
        <v>46122</v>
      </c>
      <c r="E230" s="260">
        <v>46134</v>
      </c>
      <c r="F230">
        <v>-33</v>
      </c>
      <c r="G230" t="s">
        <v>350</v>
      </c>
    </row>
    <row r="231" spans="1:7">
      <c r="A231" t="s">
        <v>803</v>
      </c>
      <c r="B231" t="s">
        <v>804</v>
      </c>
      <c r="C231">
        <v>10</v>
      </c>
      <c r="D231" s="260">
        <v>46156</v>
      </c>
      <c r="E231" s="260">
        <v>46169</v>
      </c>
      <c r="F231">
        <v>8</v>
      </c>
      <c r="G231" t="s">
        <v>350</v>
      </c>
    </row>
    <row r="232" spans="1:7">
      <c r="A232" t="s">
        <v>805</v>
      </c>
      <c r="B232" t="s">
        <v>806</v>
      </c>
      <c r="C232">
        <v>5</v>
      </c>
      <c r="D232" s="260">
        <v>46206</v>
      </c>
      <c r="E232" s="260">
        <v>46212</v>
      </c>
      <c r="F232">
        <v>-6</v>
      </c>
      <c r="G232" t="s">
        <v>350</v>
      </c>
    </row>
    <row r="233" spans="1:7">
      <c r="A233" t="s">
        <v>807</v>
      </c>
      <c r="B233" t="s">
        <v>808</v>
      </c>
      <c r="C233">
        <v>6</v>
      </c>
      <c r="D233" s="260">
        <v>46122</v>
      </c>
      <c r="E233" s="260">
        <v>46134</v>
      </c>
      <c r="F233">
        <v>0</v>
      </c>
      <c r="G233" t="s">
        <v>350</v>
      </c>
    </row>
    <row r="234" spans="1:7">
      <c r="A234" t="s">
        <v>809</v>
      </c>
      <c r="B234" t="s">
        <v>810</v>
      </c>
      <c r="C234">
        <v>10</v>
      </c>
      <c r="D234" s="260">
        <v>46156</v>
      </c>
      <c r="E234" s="260">
        <v>46169</v>
      </c>
      <c r="F234">
        <v>41</v>
      </c>
      <c r="G234" t="s">
        <v>350</v>
      </c>
    </row>
    <row r="235" spans="1:7">
      <c r="A235" t="s">
        <v>811</v>
      </c>
      <c r="B235" t="s">
        <v>812</v>
      </c>
      <c r="C235">
        <v>5</v>
      </c>
      <c r="D235" s="260">
        <v>46206</v>
      </c>
      <c r="E235" s="260">
        <v>46212</v>
      </c>
      <c r="F235">
        <v>27</v>
      </c>
      <c r="G235" t="s">
        <v>350</v>
      </c>
    </row>
    <row r="236" spans="1:7">
      <c r="A236" t="s">
        <v>813</v>
      </c>
      <c r="B236" t="s">
        <v>814</v>
      </c>
      <c r="C236">
        <v>15</v>
      </c>
      <c r="D236" s="260">
        <v>46156</v>
      </c>
      <c r="E236" s="260">
        <v>46178</v>
      </c>
      <c r="F236">
        <v>72</v>
      </c>
      <c r="G236" t="s">
        <v>350</v>
      </c>
    </row>
    <row r="237" spans="1:7">
      <c r="A237" t="s">
        <v>815</v>
      </c>
      <c r="B237" t="s">
        <v>816</v>
      </c>
      <c r="C237">
        <v>10</v>
      </c>
      <c r="D237" s="260">
        <v>46202</v>
      </c>
      <c r="E237" s="260">
        <v>46213</v>
      </c>
      <c r="F237">
        <v>101</v>
      </c>
      <c r="G237" t="s">
        <v>350</v>
      </c>
    </row>
    <row r="238" spans="1:7">
      <c r="A238" t="s">
        <v>817</v>
      </c>
      <c r="B238" t="s">
        <v>818</v>
      </c>
      <c r="C238">
        <v>5</v>
      </c>
      <c r="D238" s="260">
        <v>46223</v>
      </c>
      <c r="E238" s="260">
        <v>46227</v>
      </c>
      <c r="F238">
        <v>101</v>
      </c>
      <c r="G238" t="s">
        <v>350</v>
      </c>
    </row>
    <row r="239" spans="1:7">
      <c r="A239" t="s">
        <v>819</v>
      </c>
      <c r="C239">
        <v>165</v>
      </c>
      <c r="D239" s="260">
        <v>46136</v>
      </c>
      <c r="E239" s="260">
        <v>46384</v>
      </c>
      <c r="F239">
        <v>4</v>
      </c>
      <c r="G239" t="s">
        <v>350</v>
      </c>
    </row>
    <row r="240" spans="1:7">
      <c r="A240" t="s">
        <v>820</v>
      </c>
      <c r="B240" t="s">
        <v>821</v>
      </c>
      <c r="C240">
        <v>10</v>
      </c>
      <c r="D240" s="260">
        <v>46199</v>
      </c>
      <c r="E240" s="260">
        <v>46212</v>
      </c>
      <c r="F240">
        <v>-26</v>
      </c>
      <c r="G240" t="s">
        <v>350</v>
      </c>
    </row>
    <row r="241" spans="1:7">
      <c r="A241" t="s">
        <v>822</v>
      </c>
      <c r="B241" t="s">
        <v>823</v>
      </c>
      <c r="C241">
        <v>5</v>
      </c>
      <c r="D241" s="260">
        <v>46301</v>
      </c>
      <c r="E241" s="260">
        <v>46307</v>
      </c>
      <c r="F241">
        <v>-26</v>
      </c>
      <c r="G241" t="s">
        <v>350</v>
      </c>
    </row>
    <row r="242" spans="1:7">
      <c r="A242" t="s">
        <v>824</v>
      </c>
      <c r="B242" t="s">
        <v>825</v>
      </c>
      <c r="C242">
        <v>10</v>
      </c>
      <c r="D242" s="260">
        <v>46211</v>
      </c>
      <c r="E242" s="260">
        <v>46224</v>
      </c>
      <c r="F242">
        <v>-30</v>
      </c>
      <c r="G242" t="s">
        <v>350</v>
      </c>
    </row>
    <row r="243" spans="1:7">
      <c r="A243" t="s">
        <v>826</v>
      </c>
      <c r="B243" t="s">
        <v>827</v>
      </c>
      <c r="C243">
        <v>5</v>
      </c>
      <c r="D243" s="260">
        <v>46307</v>
      </c>
      <c r="E243" s="260">
        <v>46314</v>
      </c>
      <c r="F243">
        <v>-30</v>
      </c>
      <c r="G243" t="s">
        <v>350</v>
      </c>
    </row>
    <row r="244" spans="1:7">
      <c r="A244" t="s">
        <v>828</v>
      </c>
      <c r="B244" t="s">
        <v>829</v>
      </c>
      <c r="C244">
        <v>10</v>
      </c>
      <c r="D244" s="260">
        <v>46192</v>
      </c>
      <c r="E244" s="260">
        <v>46205</v>
      </c>
      <c r="F244">
        <v>-21</v>
      </c>
      <c r="G244" t="s">
        <v>350</v>
      </c>
    </row>
    <row r="245" spans="1:7">
      <c r="A245" t="s">
        <v>830</v>
      </c>
      <c r="B245" t="s">
        <v>831</v>
      </c>
      <c r="C245">
        <v>5</v>
      </c>
      <c r="D245" s="260">
        <v>46294</v>
      </c>
      <c r="E245" s="260">
        <v>46300</v>
      </c>
      <c r="F245">
        <v>-21</v>
      </c>
      <c r="G245" t="s">
        <v>350</v>
      </c>
    </row>
    <row r="246" spans="1:7">
      <c r="A246" t="s">
        <v>832</v>
      </c>
      <c r="B246" t="s">
        <v>833</v>
      </c>
      <c r="C246">
        <v>10</v>
      </c>
      <c r="D246" s="260">
        <v>46225</v>
      </c>
      <c r="E246" s="260">
        <v>46241</v>
      </c>
      <c r="F246">
        <v>-47</v>
      </c>
      <c r="G246" t="s">
        <v>350</v>
      </c>
    </row>
    <row r="247" spans="1:7">
      <c r="A247" t="s">
        <v>834</v>
      </c>
      <c r="B247" t="s">
        <v>835</v>
      </c>
      <c r="C247">
        <v>5</v>
      </c>
      <c r="D247" s="260">
        <v>46332</v>
      </c>
      <c r="E247" s="260">
        <v>46338</v>
      </c>
      <c r="F247">
        <v>-47</v>
      </c>
      <c r="G247" t="s">
        <v>350</v>
      </c>
    </row>
    <row r="248" spans="1:7">
      <c r="A248" t="s">
        <v>836</v>
      </c>
      <c r="B248" t="s">
        <v>837</v>
      </c>
      <c r="C248">
        <v>10</v>
      </c>
      <c r="D248" s="260">
        <v>46147</v>
      </c>
      <c r="E248" s="260">
        <v>46160</v>
      </c>
      <c r="F248">
        <v>92</v>
      </c>
      <c r="G248" t="s">
        <v>350</v>
      </c>
    </row>
    <row r="249" spans="1:7">
      <c r="A249" t="s">
        <v>838</v>
      </c>
      <c r="B249" t="s">
        <v>839</v>
      </c>
      <c r="C249">
        <v>5</v>
      </c>
      <c r="D249" s="260">
        <v>46247</v>
      </c>
      <c r="E249" s="260">
        <v>46253</v>
      </c>
      <c r="F249">
        <v>92</v>
      </c>
      <c r="G249" t="s">
        <v>350</v>
      </c>
    </row>
    <row r="250" spans="1:7">
      <c r="A250" t="s">
        <v>840</v>
      </c>
      <c r="B250" t="s">
        <v>841</v>
      </c>
      <c r="C250">
        <v>10</v>
      </c>
      <c r="D250" s="260">
        <v>46219</v>
      </c>
      <c r="E250" s="260">
        <v>46237</v>
      </c>
      <c r="F250">
        <v>41</v>
      </c>
      <c r="G250" t="s">
        <v>350</v>
      </c>
    </row>
    <row r="251" spans="1:7">
      <c r="A251" t="s">
        <v>842</v>
      </c>
      <c r="B251" t="s">
        <v>843</v>
      </c>
      <c r="C251">
        <v>5</v>
      </c>
      <c r="D251" s="260">
        <v>46322</v>
      </c>
      <c r="E251" s="260">
        <v>46328</v>
      </c>
      <c r="F251">
        <v>41</v>
      </c>
      <c r="G251" t="s">
        <v>350</v>
      </c>
    </row>
    <row r="252" spans="1:7">
      <c r="A252" t="s">
        <v>844</v>
      </c>
      <c r="B252" t="s">
        <v>845</v>
      </c>
      <c r="C252">
        <v>5</v>
      </c>
      <c r="D252" s="260">
        <v>46149</v>
      </c>
      <c r="E252" s="260">
        <v>46155</v>
      </c>
      <c r="F252">
        <v>-34</v>
      </c>
      <c r="G252" t="s">
        <v>350</v>
      </c>
    </row>
    <row r="253" spans="1:7">
      <c r="A253" t="s">
        <v>846</v>
      </c>
      <c r="B253" t="s">
        <v>847</v>
      </c>
      <c r="C253">
        <v>5</v>
      </c>
      <c r="D253" s="260">
        <v>46241</v>
      </c>
      <c r="E253" s="260">
        <v>46248</v>
      </c>
      <c r="F253">
        <v>-34</v>
      </c>
      <c r="G253" t="s">
        <v>350</v>
      </c>
    </row>
    <row r="254" spans="1:7">
      <c r="A254" t="s">
        <v>848</v>
      </c>
      <c r="B254" t="s">
        <v>849</v>
      </c>
      <c r="C254">
        <v>10</v>
      </c>
      <c r="D254" s="260">
        <v>46169</v>
      </c>
      <c r="E254" s="260">
        <v>46184</v>
      </c>
      <c r="F254">
        <v>0</v>
      </c>
      <c r="G254" t="s">
        <v>350</v>
      </c>
    </row>
    <row r="255" spans="1:7">
      <c r="A255" t="s">
        <v>850</v>
      </c>
      <c r="B255" t="s">
        <v>851</v>
      </c>
      <c r="C255">
        <v>5</v>
      </c>
      <c r="D255" s="260">
        <v>46274</v>
      </c>
      <c r="E255" s="260">
        <v>46280</v>
      </c>
      <c r="F255">
        <v>0</v>
      </c>
      <c r="G255" t="s">
        <v>350</v>
      </c>
    </row>
    <row r="256" spans="1:7">
      <c r="A256" t="s">
        <v>852</v>
      </c>
      <c r="B256" t="s">
        <v>853</v>
      </c>
      <c r="C256">
        <v>10</v>
      </c>
      <c r="D256" s="260">
        <v>46136</v>
      </c>
      <c r="E256" s="260">
        <v>46150</v>
      </c>
      <c r="F256">
        <v>0</v>
      </c>
      <c r="G256" t="s">
        <v>350</v>
      </c>
    </row>
    <row r="257" spans="1:7">
      <c r="A257" t="s">
        <v>854</v>
      </c>
      <c r="B257" t="s">
        <v>855</v>
      </c>
      <c r="C257">
        <v>5</v>
      </c>
      <c r="D257" s="260">
        <v>46234</v>
      </c>
      <c r="E257" s="260">
        <v>46240</v>
      </c>
      <c r="F257">
        <v>0</v>
      </c>
      <c r="G257" t="s">
        <v>350</v>
      </c>
    </row>
    <row r="258" spans="1:7">
      <c r="A258" t="s">
        <v>856</v>
      </c>
      <c r="B258" t="s">
        <v>857</v>
      </c>
      <c r="C258">
        <v>10</v>
      </c>
      <c r="D258" s="260">
        <v>46272</v>
      </c>
      <c r="E258" s="260">
        <v>46283</v>
      </c>
      <c r="F258">
        <v>4</v>
      </c>
      <c r="G258" t="s">
        <v>350</v>
      </c>
    </row>
    <row r="259" spans="1:7">
      <c r="A259" t="s">
        <v>858</v>
      </c>
      <c r="B259" t="s">
        <v>859</v>
      </c>
      <c r="C259">
        <v>5</v>
      </c>
      <c r="D259" s="260">
        <v>46377</v>
      </c>
      <c r="E259" s="260">
        <v>46384</v>
      </c>
      <c r="F259">
        <v>4</v>
      </c>
      <c r="G259" t="s">
        <v>350</v>
      </c>
    </row>
    <row r="260" spans="1:7">
      <c r="A260" t="s">
        <v>860</v>
      </c>
      <c r="B260" t="s">
        <v>861</v>
      </c>
      <c r="C260">
        <v>10</v>
      </c>
      <c r="D260" s="260">
        <v>46150</v>
      </c>
      <c r="E260" s="260">
        <v>46163</v>
      </c>
      <c r="F260">
        <v>-33</v>
      </c>
      <c r="G260" t="s">
        <v>350</v>
      </c>
    </row>
    <row r="261" spans="1:7">
      <c r="A261" t="s">
        <v>862</v>
      </c>
      <c r="B261" t="s">
        <v>863</v>
      </c>
      <c r="C261">
        <v>5</v>
      </c>
      <c r="D261" s="260">
        <v>46258</v>
      </c>
      <c r="E261" s="260">
        <v>46262</v>
      </c>
      <c r="F261">
        <v>-33</v>
      </c>
      <c r="G261" t="s">
        <v>350</v>
      </c>
    </row>
    <row r="262" spans="1:7">
      <c r="A262" t="s">
        <v>864</v>
      </c>
      <c r="B262" t="s">
        <v>865</v>
      </c>
      <c r="C262">
        <v>10</v>
      </c>
      <c r="D262" s="260">
        <v>46150</v>
      </c>
      <c r="E262" s="260">
        <v>46163</v>
      </c>
      <c r="F262">
        <v>0</v>
      </c>
      <c r="G262" t="s">
        <v>350</v>
      </c>
    </row>
    <row r="263" spans="1:7">
      <c r="A263" t="s">
        <v>866</v>
      </c>
      <c r="B263" t="s">
        <v>867</v>
      </c>
      <c r="C263">
        <v>5</v>
      </c>
      <c r="D263" s="260">
        <v>46258</v>
      </c>
      <c r="E263" s="260">
        <v>46262</v>
      </c>
      <c r="F263">
        <v>0</v>
      </c>
      <c r="G263" t="s">
        <v>350</v>
      </c>
    </row>
    <row r="264" spans="1:7">
      <c r="A264" t="s">
        <v>868</v>
      </c>
      <c r="B264" t="s">
        <v>869</v>
      </c>
      <c r="C264">
        <v>10</v>
      </c>
      <c r="D264" s="260">
        <v>46150</v>
      </c>
      <c r="E264" s="260">
        <v>46163</v>
      </c>
      <c r="F264">
        <v>0</v>
      </c>
      <c r="G264" t="s">
        <v>350</v>
      </c>
    </row>
    <row r="265" spans="1:7">
      <c r="A265" t="s">
        <v>870</v>
      </c>
      <c r="B265" t="s">
        <v>871</v>
      </c>
      <c r="C265">
        <v>5</v>
      </c>
      <c r="D265" s="260">
        <v>46258</v>
      </c>
      <c r="E265" s="260">
        <v>46262</v>
      </c>
      <c r="F265">
        <v>0</v>
      </c>
      <c r="G265" t="s">
        <v>350</v>
      </c>
    </row>
    <row r="266" spans="1:7">
      <c r="A266" t="s">
        <v>872</v>
      </c>
      <c r="B266" t="s">
        <v>873</v>
      </c>
      <c r="C266">
        <v>10</v>
      </c>
      <c r="D266" s="260">
        <v>46178</v>
      </c>
      <c r="E266" s="260">
        <v>46191</v>
      </c>
      <c r="F266">
        <v>72</v>
      </c>
      <c r="G266" t="s">
        <v>350</v>
      </c>
    </row>
    <row r="267" spans="1:7">
      <c r="A267" t="s">
        <v>874</v>
      </c>
      <c r="B267" t="s">
        <v>875</v>
      </c>
      <c r="C267">
        <v>5</v>
      </c>
      <c r="D267" s="260">
        <v>46275</v>
      </c>
      <c r="E267" s="260">
        <v>46281</v>
      </c>
      <c r="F267">
        <v>72</v>
      </c>
      <c r="G267" t="s">
        <v>350</v>
      </c>
    </row>
    <row r="268" spans="1:7">
      <c r="A268" t="s">
        <v>876</v>
      </c>
      <c r="C268">
        <v>129</v>
      </c>
      <c r="D268" s="260">
        <v>46168</v>
      </c>
      <c r="E268" s="260">
        <v>46358</v>
      </c>
      <c r="F268">
        <v>4</v>
      </c>
      <c r="G268" t="s">
        <v>350</v>
      </c>
    </row>
    <row r="269" spans="1:7">
      <c r="A269" t="s">
        <v>877</v>
      </c>
      <c r="B269" t="s">
        <v>878</v>
      </c>
      <c r="C269">
        <v>20</v>
      </c>
      <c r="D269" s="260">
        <v>46237</v>
      </c>
      <c r="E269" s="260">
        <v>46265</v>
      </c>
      <c r="F269">
        <v>-26</v>
      </c>
      <c r="G269" t="s">
        <v>350</v>
      </c>
    </row>
    <row r="270" spans="1:7">
      <c r="A270" t="s">
        <v>879</v>
      </c>
      <c r="B270" t="s">
        <v>880</v>
      </c>
      <c r="C270">
        <v>5</v>
      </c>
      <c r="D270" s="260">
        <v>46280</v>
      </c>
      <c r="E270" s="260">
        <v>46286</v>
      </c>
      <c r="F270">
        <v>-26</v>
      </c>
      <c r="G270" t="s">
        <v>350</v>
      </c>
    </row>
    <row r="271" spans="1:7">
      <c r="A271" t="s">
        <v>881</v>
      </c>
      <c r="B271" t="s">
        <v>882</v>
      </c>
      <c r="C271">
        <v>20</v>
      </c>
      <c r="D271" s="260">
        <v>46241</v>
      </c>
      <c r="E271" s="260">
        <v>46269</v>
      </c>
      <c r="F271">
        <v>-30</v>
      </c>
      <c r="G271" t="s">
        <v>350</v>
      </c>
    </row>
    <row r="272" spans="1:7">
      <c r="A272" t="s">
        <v>883</v>
      </c>
      <c r="B272" t="s">
        <v>884</v>
      </c>
      <c r="C272">
        <v>5</v>
      </c>
      <c r="D272" s="260">
        <v>46286</v>
      </c>
      <c r="E272" s="260">
        <v>46290</v>
      </c>
      <c r="F272">
        <v>-30</v>
      </c>
      <c r="G272" t="s">
        <v>350</v>
      </c>
    </row>
    <row r="273" spans="1:7">
      <c r="A273" t="s">
        <v>885</v>
      </c>
      <c r="B273" t="s">
        <v>886</v>
      </c>
      <c r="C273">
        <v>17</v>
      </c>
      <c r="D273" s="260">
        <v>46230</v>
      </c>
      <c r="E273" s="260">
        <v>46258</v>
      </c>
      <c r="F273">
        <v>-21</v>
      </c>
      <c r="G273" t="s">
        <v>350</v>
      </c>
    </row>
    <row r="274" spans="1:7">
      <c r="A274" t="s">
        <v>887</v>
      </c>
      <c r="B274" t="s">
        <v>888</v>
      </c>
      <c r="C274">
        <v>5</v>
      </c>
      <c r="D274" s="260">
        <v>46273</v>
      </c>
      <c r="E274" s="260">
        <v>46279</v>
      </c>
      <c r="F274">
        <v>-21</v>
      </c>
      <c r="G274" t="s">
        <v>350</v>
      </c>
    </row>
    <row r="275" spans="1:7">
      <c r="A275" t="s">
        <v>889</v>
      </c>
      <c r="B275" t="s">
        <v>890</v>
      </c>
      <c r="C275">
        <v>20</v>
      </c>
      <c r="D275" s="260">
        <v>46267</v>
      </c>
      <c r="E275" s="260">
        <v>46294</v>
      </c>
      <c r="F275">
        <v>-47</v>
      </c>
      <c r="G275" t="s">
        <v>350</v>
      </c>
    </row>
    <row r="276" spans="1:7">
      <c r="A276" t="s">
        <v>891</v>
      </c>
      <c r="B276" t="s">
        <v>892</v>
      </c>
      <c r="C276">
        <v>5</v>
      </c>
      <c r="D276" s="260">
        <v>46310</v>
      </c>
      <c r="E276" s="260">
        <v>46316</v>
      </c>
      <c r="F276">
        <v>-47</v>
      </c>
      <c r="G276" t="s">
        <v>350</v>
      </c>
    </row>
    <row r="277" spans="1:7">
      <c r="A277" t="s">
        <v>893</v>
      </c>
      <c r="B277" t="s">
        <v>894</v>
      </c>
      <c r="C277">
        <v>20</v>
      </c>
      <c r="D277" s="260">
        <v>46178</v>
      </c>
      <c r="E277" s="260">
        <v>46205</v>
      </c>
      <c r="F277">
        <v>92</v>
      </c>
      <c r="G277" t="s">
        <v>350</v>
      </c>
    </row>
    <row r="278" spans="1:7">
      <c r="A278" t="s">
        <v>895</v>
      </c>
      <c r="B278" t="s">
        <v>896</v>
      </c>
      <c r="C278">
        <v>5</v>
      </c>
      <c r="D278" s="260">
        <v>46220</v>
      </c>
      <c r="E278" s="260">
        <v>46226</v>
      </c>
      <c r="F278">
        <v>92</v>
      </c>
      <c r="G278" t="s">
        <v>350</v>
      </c>
    </row>
    <row r="279" spans="1:7">
      <c r="A279" t="s">
        <v>897</v>
      </c>
      <c r="B279" t="s">
        <v>898</v>
      </c>
      <c r="C279">
        <v>20</v>
      </c>
      <c r="D279" s="260">
        <v>46255</v>
      </c>
      <c r="E279" s="260">
        <v>46282</v>
      </c>
      <c r="F279">
        <v>41</v>
      </c>
      <c r="G279" t="s">
        <v>350</v>
      </c>
    </row>
    <row r="280" spans="1:7">
      <c r="A280" t="s">
        <v>899</v>
      </c>
      <c r="B280" t="s">
        <v>900</v>
      </c>
      <c r="C280">
        <v>5</v>
      </c>
      <c r="D280" s="260">
        <v>46297</v>
      </c>
      <c r="E280" s="260">
        <v>46303</v>
      </c>
      <c r="F280">
        <v>41</v>
      </c>
      <c r="G280" t="s">
        <v>350</v>
      </c>
    </row>
    <row r="281" spans="1:7">
      <c r="A281" t="s">
        <v>901</v>
      </c>
      <c r="B281" t="s">
        <v>902</v>
      </c>
      <c r="C281">
        <v>20</v>
      </c>
      <c r="D281" s="260">
        <v>46171</v>
      </c>
      <c r="E281" s="260">
        <v>46202</v>
      </c>
      <c r="F281">
        <v>-34</v>
      </c>
      <c r="G281" t="s">
        <v>350</v>
      </c>
    </row>
    <row r="282" spans="1:7">
      <c r="A282" t="s">
        <v>903</v>
      </c>
      <c r="B282" t="s">
        <v>904</v>
      </c>
      <c r="C282">
        <v>5</v>
      </c>
      <c r="D282" s="260">
        <v>46217</v>
      </c>
      <c r="E282" s="260">
        <v>46223</v>
      </c>
      <c r="F282">
        <v>-34</v>
      </c>
      <c r="G282" t="s">
        <v>350</v>
      </c>
    </row>
    <row r="283" spans="1:7">
      <c r="A283" t="s">
        <v>905</v>
      </c>
      <c r="B283" t="s">
        <v>906</v>
      </c>
      <c r="C283">
        <v>17</v>
      </c>
      <c r="D283" s="260">
        <v>46210</v>
      </c>
      <c r="E283" s="260">
        <v>46237</v>
      </c>
      <c r="F283">
        <v>0</v>
      </c>
      <c r="G283" t="s">
        <v>350</v>
      </c>
    </row>
    <row r="284" spans="1:7">
      <c r="A284" t="s">
        <v>907</v>
      </c>
      <c r="B284" t="s">
        <v>908</v>
      </c>
      <c r="C284">
        <v>5</v>
      </c>
      <c r="D284" s="260">
        <v>46253</v>
      </c>
      <c r="E284" s="260">
        <v>46259</v>
      </c>
      <c r="F284">
        <v>0</v>
      </c>
      <c r="G284" t="s">
        <v>350</v>
      </c>
    </row>
    <row r="285" spans="1:7">
      <c r="A285" t="s">
        <v>909</v>
      </c>
      <c r="B285" t="s">
        <v>910</v>
      </c>
      <c r="C285">
        <v>18</v>
      </c>
      <c r="D285" s="260">
        <v>46168</v>
      </c>
      <c r="E285" s="260">
        <v>46195</v>
      </c>
      <c r="F285">
        <v>0</v>
      </c>
      <c r="G285" t="s">
        <v>350</v>
      </c>
    </row>
    <row r="286" spans="1:7">
      <c r="A286" t="s">
        <v>911</v>
      </c>
      <c r="B286" t="s">
        <v>912</v>
      </c>
      <c r="C286">
        <v>5</v>
      </c>
      <c r="D286" s="260">
        <v>46210</v>
      </c>
      <c r="E286" s="260">
        <v>46216</v>
      </c>
      <c r="F286">
        <v>0</v>
      </c>
      <c r="G286" t="s">
        <v>350</v>
      </c>
    </row>
    <row r="287" spans="1:7">
      <c r="A287" t="s">
        <v>913</v>
      </c>
      <c r="B287" t="s">
        <v>914</v>
      </c>
      <c r="C287">
        <v>14</v>
      </c>
      <c r="D287" s="260">
        <v>46317</v>
      </c>
      <c r="E287" s="260">
        <v>46337</v>
      </c>
      <c r="F287">
        <v>4</v>
      </c>
      <c r="G287" t="s">
        <v>350</v>
      </c>
    </row>
    <row r="288" spans="1:7">
      <c r="A288" t="s">
        <v>915</v>
      </c>
      <c r="B288" t="s">
        <v>916</v>
      </c>
      <c r="C288">
        <v>5</v>
      </c>
      <c r="D288" s="260">
        <v>46352</v>
      </c>
      <c r="E288" s="260">
        <v>46358</v>
      </c>
      <c r="F288">
        <v>4</v>
      </c>
      <c r="G288" t="s">
        <v>350</v>
      </c>
    </row>
    <row r="289" spans="1:7">
      <c r="A289" t="s">
        <v>917</v>
      </c>
      <c r="B289" t="s">
        <v>918</v>
      </c>
      <c r="C289">
        <v>20</v>
      </c>
      <c r="D289" s="260">
        <v>46189</v>
      </c>
      <c r="E289" s="260">
        <v>46216</v>
      </c>
      <c r="F289">
        <v>-33</v>
      </c>
      <c r="G289" t="s">
        <v>350</v>
      </c>
    </row>
    <row r="290" spans="1:7">
      <c r="A290" t="s">
        <v>919</v>
      </c>
      <c r="B290" t="s">
        <v>920</v>
      </c>
      <c r="C290">
        <v>5</v>
      </c>
      <c r="D290" s="260">
        <v>46234</v>
      </c>
      <c r="E290" s="260">
        <v>46240</v>
      </c>
      <c r="F290">
        <v>-33</v>
      </c>
      <c r="G290" t="s">
        <v>350</v>
      </c>
    </row>
    <row r="291" spans="1:7">
      <c r="A291" t="s">
        <v>921</v>
      </c>
      <c r="B291" t="s">
        <v>922</v>
      </c>
      <c r="C291">
        <v>20</v>
      </c>
      <c r="D291" s="260">
        <v>46189</v>
      </c>
      <c r="E291" s="260">
        <v>46216</v>
      </c>
      <c r="F291">
        <v>0</v>
      </c>
      <c r="G291" t="s">
        <v>350</v>
      </c>
    </row>
    <row r="292" spans="1:7">
      <c r="A292" t="s">
        <v>923</v>
      </c>
      <c r="B292" t="s">
        <v>924</v>
      </c>
      <c r="C292">
        <v>5</v>
      </c>
      <c r="D292" s="260">
        <v>46234</v>
      </c>
      <c r="E292" s="260">
        <v>46240</v>
      </c>
      <c r="F292">
        <v>0</v>
      </c>
      <c r="G292" t="s">
        <v>350</v>
      </c>
    </row>
    <row r="293" spans="1:7">
      <c r="A293" t="s">
        <v>925</v>
      </c>
      <c r="B293" t="s">
        <v>926</v>
      </c>
      <c r="C293">
        <v>20</v>
      </c>
      <c r="D293" s="260">
        <v>46189</v>
      </c>
      <c r="E293" s="260">
        <v>46216</v>
      </c>
      <c r="F293">
        <v>0</v>
      </c>
      <c r="G293" t="s">
        <v>350</v>
      </c>
    </row>
    <row r="294" spans="1:7">
      <c r="A294" t="s">
        <v>927</v>
      </c>
      <c r="B294" t="s">
        <v>928</v>
      </c>
      <c r="C294">
        <v>5</v>
      </c>
      <c r="D294" s="260">
        <v>46234</v>
      </c>
      <c r="E294" s="260">
        <v>46240</v>
      </c>
      <c r="F294">
        <v>0</v>
      </c>
      <c r="G294" t="s">
        <v>350</v>
      </c>
    </row>
    <row r="295" spans="1:7">
      <c r="A295" t="s">
        <v>929</v>
      </c>
      <c r="B295" t="s">
        <v>930</v>
      </c>
      <c r="C295">
        <v>17</v>
      </c>
      <c r="D295" s="260">
        <v>46211</v>
      </c>
      <c r="E295" s="260">
        <v>46238</v>
      </c>
      <c r="F295">
        <v>72</v>
      </c>
      <c r="G295" t="s">
        <v>350</v>
      </c>
    </row>
    <row r="296" spans="1:7">
      <c r="A296" t="s">
        <v>931</v>
      </c>
      <c r="B296" t="s">
        <v>932</v>
      </c>
      <c r="C296">
        <v>5</v>
      </c>
      <c r="D296" s="260">
        <v>46254</v>
      </c>
      <c r="E296" s="260">
        <v>46260</v>
      </c>
      <c r="F296">
        <v>72</v>
      </c>
      <c r="G296" t="s">
        <v>350</v>
      </c>
    </row>
    <row r="297" spans="1:7">
      <c r="A297" t="s">
        <v>933</v>
      </c>
      <c r="C297">
        <v>166</v>
      </c>
      <c r="D297" s="260">
        <v>46121</v>
      </c>
      <c r="E297" s="260">
        <v>46372</v>
      </c>
      <c r="F297">
        <v>20</v>
      </c>
      <c r="G297" t="s">
        <v>350</v>
      </c>
    </row>
    <row r="298" spans="1:7">
      <c r="A298" t="s">
        <v>934</v>
      </c>
      <c r="B298" t="s">
        <v>935</v>
      </c>
      <c r="C298">
        <v>20</v>
      </c>
      <c r="D298" s="260">
        <v>46133</v>
      </c>
      <c r="E298" s="260">
        <v>46161</v>
      </c>
      <c r="F298">
        <v>52</v>
      </c>
      <c r="G298" t="s">
        <v>350</v>
      </c>
    </row>
    <row r="299" spans="1:7">
      <c r="A299" t="s">
        <v>936</v>
      </c>
      <c r="B299" t="s">
        <v>937</v>
      </c>
      <c r="C299">
        <v>5</v>
      </c>
      <c r="D299" s="260">
        <v>46178</v>
      </c>
      <c r="E299" s="260">
        <v>46184</v>
      </c>
      <c r="F299">
        <v>127</v>
      </c>
      <c r="G299" t="s">
        <v>350</v>
      </c>
    </row>
    <row r="300" spans="1:7">
      <c r="A300" t="s">
        <v>938</v>
      </c>
      <c r="B300" t="s">
        <v>939</v>
      </c>
      <c r="C300">
        <v>20</v>
      </c>
      <c r="D300" s="260">
        <v>46140</v>
      </c>
      <c r="E300" s="260">
        <v>46168</v>
      </c>
      <c r="F300">
        <v>112</v>
      </c>
      <c r="G300" t="s">
        <v>350</v>
      </c>
    </row>
    <row r="301" spans="1:7">
      <c r="A301" t="s">
        <v>940</v>
      </c>
      <c r="B301" t="s">
        <v>941</v>
      </c>
      <c r="C301">
        <v>5</v>
      </c>
      <c r="D301" s="260">
        <v>46185</v>
      </c>
      <c r="E301" s="260">
        <v>46191</v>
      </c>
      <c r="F301">
        <v>127</v>
      </c>
      <c r="G301" t="s">
        <v>350</v>
      </c>
    </row>
    <row r="302" spans="1:7">
      <c r="A302" t="s">
        <v>942</v>
      </c>
      <c r="B302" t="s">
        <v>943</v>
      </c>
      <c r="C302">
        <v>10</v>
      </c>
      <c r="D302" s="260">
        <v>46157</v>
      </c>
      <c r="E302" s="260">
        <v>46170</v>
      </c>
      <c r="F302">
        <v>130</v>
      </c>
      <c r="G302" t="s">
        <v>350</v>
      </c>
    </row>
    <row r="303" spans="1:7">
      <c r="A303" t="s">
        <v>944</v>
      </c>
      <c r="B303" t="s">
        <v>945</v>
      </c>
      <c r="C303">
        <v>5</v>
      </c>
      <c r="D303" s="260">
        <v>46189</v>
      </c>
      <c r="E303" s="260">
        <v>46195</v>
      </c>
      <c r="F303">
        <v>130</v>
      </c>
      <c r="G303" t="s">
        <v>350</v>
      </c>
    </row>
    <row r="304" spans="1:7">
      <c r="A304" t="s">
        <v>946</v>
      </c>
      <c r="B304" t="s">
        <v>947</v>
      </c>
      <c r="C304">
        <v>10</v>
      </c>
      <c r="D304" s="260">
        <v>46265</v>
      </c>
      <c r="E304" s="260">
        <v>46276</v>
      </c>
      <c r="F304">
        <v>60</v>
      </c>
      <c r="G304" t="s">
        <v>350</v>
      </c>
    </row>
    <row r="305" spans="1:7">
      <c r="A305" t="s">
        <v>948</v>
      </c>
      <c r="B305" t="s">
        <v>949</v>
      </c>
      <c r="C305">
        <v>5</v>
      </c>
      <c r="D305" s="260">
        <v>46293</v>
      </c>
      <c r="E305" s="260">
        <v>46297</v>
      </c>
      <c r="F305">
        <v>60</v>
      </c>
      <c r="G305" t="s">
        <v>350</v>
      </c>
    </row>
    <row r="306" spans="1:7">
      <c r="A306" t="s">
        <v>950</v>
      </c>
      <c r="B306" t="s">
        <v>951</v>
      </c>
      <c r="C306">
        <v>10</v>
      </c>
      <c r="D306" s="260">
        <v>46322</v>
      </c>
      <c r="E306" s="260">
        <v>46335</v>
      </c>
      <c r="F306">
        <v>21</v>
      </c>
      <c r="G306" t="s">
        <v>350</v>
      </c>
    </row>
    <row r="307" spans="1:7">
      <c r="A307" t="s">
        <v>952</v>
      </c>
      <c r="B307" t="s">
        <v>953</v>
      </c>
      <c r="C307">
        <v>5</v>
      </c>
      <c r="D307" s="260">
        <v>46350</v>
      </c>
      <c r="E307" s="260">
        <v>46356</v>
      </c>
      <c r="F307">
        <v>21</v>
      </c>
      <c r="G307" t="s">
        <v>350</v>
      </c>
    </row>
    <row r="308" spans="1:7">
      <c r="A308" t="s">
        <v>954</v>
      </c>
      <c r="B308" t="s">
        <v>955</v>
      </c>
      <c r="C308">
        <v>20</v>
      </c>
      <c r="D308" s="260">
        <v>46121</v>
      </c>
      <c r="E308" s="260">
        <v>46154</v>
      </c>
      <c r="F308">
        <v>0</v>
      </c>
      <c r="G308" t="s">
        <v>350</v>
      </c>
    </row>
    <row r="309" spans="1:7">
      <c r="A309" t="s">
        <v>956</v>
      </c>
      <c r="B309" t="s">
        <v>957</v>
      </c>
      <c r="C309">
        <v>60</v>
      </c>
      <c r="D309" s="260">
        <v>46155</v>
      </c>
      <c r="E309" s="260">
        <v>46245</v>
      </c>
      <c r="F309">
        <v>0</v>
      </c>
      <c r="G309" t="s">
        <v>350</v>
      </c>
    </row>
    <row r="310" spans="1:7">
      <c r="A310" t="s">
        <v>958</v>
      </c>
      <c r="B310" t="s">
        <v>959</v>
      </c>
      <c r="C310">
        <v>45</v>
      </c>
      <c r="D310" s="260">
        <v>46247</v>
      </c>
      <c r="E310" s="260">
        <v>46310</v>
      </c>
      <c r="F310">
        <v>11</v>
      </c>
      <c r="G310" t="s">
        <v>350</v>
      </c>
    </row>
    <row r="311" spans="1:7">
      <c r="A311" t="s">
        <v>960</v>
      </c>
      <c r="B311" t="s">
        <v>961</v>
      </c>
      <c r="C311">
        <v>5</v>
      </c>
      <c r="D311" s="260">
        <v>46155</v>
      </c>
      <c r="E311" s="260">
        <v>46161</v>
      </c>
      <c r="F311">
        <v>137</v>
      </c>
      <c r="G311" t="s">
        <v>350</v>
      </c>
    </row>
    <row r="312" spans="1:7">
      <c r="A312" t="s">
        <v>962</v>
      </c>
      <c r="B312" t="s">
        <v>963</v>
      </c>
      <c r="C312">
        <v>5</v>
      </c>
      <c r="D312" s="260">
        <v>46247</v>
      </c>
      <c r="E312" s="260">
        <v>46253</v>
      </c>
      <c r="F312">
        <v>92</v>
      </c>
      <c r="G312" t="s">
        <v>350</v>
      </c>
    </row>
    <row r="313" spans="1:7">
      <c r="A313" t="s">
        <v>964</v>
      </c>
      <c r="B313" t="s">
        <v>965</v>
      </c>
      <c r="C313">
        <v>5</v>
      </c>
      <c r="D313" s="260">
        <v>46155</v>
      </c>
      <c r="E313" s="260">
        <v>46161</v>
      </c>
      <c r="F313">
        <v>137</v>
      </c>
      <c r="G313" t="s">
        <v>350</v>
      </c>
    </row>
    <row r="314" spans="1:7">
      <c r="A314" t="s">
        <v>966</v>
      </c>
      <c r="B314" t="s">
        <v>967</v>
      </c>
      <c r="C314">
        <v>5</v>
      </c>
      <c r="D314" s="260">
        <v>46247</v>
      </c>
      <c r="E314" s="260">
        <v>46253</v>
      </c>
      <c r="F314">
        <v>92</v>
      </c>
      <c r="G314" t="s">
        <v>350</v>
      </c>
    </row>
    <row r="315" spans="1:7">
      <c r="A315" t="s">
        <v>968</v>
      </c>
      <c r="B315" t="s">
        <v>969</v>
      </c>
      <c r="C315">
        <v>5</v>
      </c>
      <c r="D315" s="260">
        <v>46162</v>
      </c>
      <c r="E315" s="260">
        <v>46168</v>
      </c>
      <c r="F315">
        <v>52</v>
      </c>
      <c r="G315" t="s">
        <v>350</v>
      </c>
    </row>
    <row r="316" spans="1:7">
      <c r="A316" t="s">
        <v>970</v>
      </c>
      <c r="B316" t="s">
        <v>971</v>
      </c>
      <c r="C316">
        <v>5</v>
      </c>
      <c r="D316" s="260">
        <v>46185</v>
      </c>
      <c r="E316" s="260">
        <v>46191</v>
      </c>
      <c r="F316">
        <v>127</v>
      </c>
      <c r="G316" t="s">
        <v>350</v>
      </c>
    </row>
    <row r="317" spans="1:7">
      <c r="A317" t="s">
        <v>972</v>
      </c>
      <c r="B317" t="s">
        <v>973</v>
      </c>
      <c r="C317">
        <v>20</v>
      </c>
      <c r="D317" s="260">
        <v>46162</v>
      </c>
      <c r="E317" s="260">
        <v>46191</v>
      </c>
      <c r="F317">
        <v>52</v>
      </c>
      <c r="G317" t="s">
        <v>350</v>
      </c>
    </row>
    <row r="318" spans="1:7">
      <c r="A318" t="s">
        <v>974</v>
      </c>
      <c r="B318" t="s">
        <v>975</v>
      </c>
      <c r="C318">
        <v>5</v>
      </c>
      <c r="D318" s="260">
        <v>46206</v>
      </c>
      <c r="E318" s="260">
        <v>46212</v>
      </c>
      <c r="F318">
        <v>117</v>
      </c>
      <c r="G318" t="s">
        <v>350</v>
      </c>
    </row>
    <row r="319" spans="1:7">
      <c r="A319" t="s">
        <v>976</v>
      </c>
      <c r="B319" t="s">
        <v>977</v>
      </c>
      <c r="C319">
        <v>20</v>
      </c>
      <c r="D319" s="260">
        <v>46162</v>
      </c>
      <c r="E319" s="260">
        <v>46191</v>
      </c>
      <c r="F319">
        <v>117</v>
      </c>
      <c r="G319" t="s">
        <v>350</v>
      </c>
    </row>
    <row r="320" spans="1:7">
      <c r="A320" t="s">
        <v>978</v>
      </c>
      <c r="B320" t="s">
        <v>979</v>
      </c>
      <c r="C320">
        <v>5</v>
      </c>
      <c r="D320" s="260">
        <v>46206</v>
      </c>
      <c r="E320" s="260">
        <v>46212</v>
      </c>
      <c r="F320">
        <v>117</v>
      </c>
      <c r="G320" t="s">
        <v>350</v>
      </c>
    </row>
    <row r="321" spans="1:7">
      <c r="A321" t="s">
        <v>980</v>
      </c>
      <c r="B321" t="s">
        <v>981</v>
      </c>
      <c r="C321">
        <v>15</v>
      </c>
      <c r="D321" s="260">
        <v>46140</v>
      </c>
      <c r="E321" s="260">
        <v>46161</v>
      </c>
      <c r="F321">
        <v>112</v>
      </c>
      <c r="G321" t="s">
        <v>350</v>
      </c>
    </row>
    <row r="322" spans="1:7">
      <c r="A322" t="s">
        <v>982</v>
      </c>
      <c r="B322" t="s">
        <v>983</v>
      </c>
      <c r="C322">
        <v>10</v>
      </c>
      <c r="D322" s="260">
        <v>46178</v>
      </c>
      <c r="E322" s="260">
        <v>46191</v>
      </c>
      <c r="F322">
        <v>112</v>
      </c>
      <c r="G322" t="s">
        <v>350</v>
      </c>
    </row>
    <row r="323" spans="1:7">
      <c r="A323" t="s">
        <v>984</v>
      </c>
      <c r="B323" t="s">
        <v>985</v>
      </c>
      <c r="C323">
        <v>10</v>
      </c>
      <c r="D323" s="260">
        <v>46206</v>
      </c>
      <c r="E323" s="260">
        <v>46219</v>
      </c>
      <c r="F323">
        <v>112</v>
      </c>
      <c r="G323" t="s">
        <v>350</v>
      </c>
    </row>
    <row r="324" spans="1:7">
      <c r="A324" t="s">
        <v>986</v>
      </c>
      <c r="B324" t="s">
        <v>987</v>
      </c>
      <c r="C324">
        <v>15</v>
      </c>
      <c r="D324" s="260">
        <v>46169</v>
      </c>
      <c r="E324" s="260">
        <v>46191</v>
      </c>
      <c r="F324">
        <v>52</v>
      </c>
      <c r="G324" t="s">
        <v>350</v>
      </c>
    </row>
    <row r="325" spans="1:7">
      <c r="A325" t="s">
        <v>988</v>
      </c>
      <c r="B325" t="s">
        <v>989</v>
      </c>
      <c r="C325">
        <v>10</v>
      </c>
      <c r="D325" s="260">
        <v>46206</v>
      </c>
      <c r="E325" s="260">
        <v>46219</v>
      </c>
      <c r="F325">
        <v>92</v>
      </c>
      <c r="G325" t="s">
        <v>350</v>
      </c>
    </row>
    <row r="326" spans="1:7">
      <c r="A326" t="s">
        <v>990</v>
      </c>
      <c r="B326" t="s">
        <v>991</v>
      </c>
      <c r="C326">
        <v>10</v>
      </c>
      <c r="D326" s="260">
        <v>46239</v>
      </c>
      <c r="E326" s="260">
        <v>46253</v>
      </c>
      <c r="F326">
        <v>92</v>
      </c>
      <c r="G326" t="s">
        <v>350</v>
      </c>
    </row>
    <row r="327" spans="1:7">
      <c r="A327" t="s">
        <v>992</v>
      </c>
      <c r="B327" t="s">
        <v>993</v>
      </c>
      <c r="C327">
        <v>15</v>
      </c>
      <c r="D327" s="260">
        <v>46121</v>
      </c>
      <c r="E327" s="260">
        <v>46147</v>
      </c>
      <c r="F327">
        <v>47</v>
      </c>
      <c r="G327" t="s">
        <v>350</v>
      </c>
    </row>
    <row r="328" spans="1:7">
      <c r="A328" t="s">
        <v>994</v>
      </c>
      <c r="B328" t="s">
        <v>995</v>
      </c>
      <c r="C328">
        <v>15</v>
      </c>
      <c r="D328" s="260">
        <v>46192</v>
      </c>
      <c r="E328" s="260">
        <v>46212</v>
      </c>
      <c r="F328">
        <v>47</v>
      </c>
      <c r="G328" t="s">
        <v>350</v>
      </c>
    </row>
    <row r="329" spans="1:7">
      <c r="A329" t="s">
        <v>996</v>
      </c>
      <c r="B329" t="s">
        <v>997</v>
      </c>
      <c r="C329">
        <v>10</v>
      </c>
      <c r="D329" s="260">
        <v>46261</v>
      </c>
      <c r="E329" s="260">
        <v>46274</v>
      </c>
      <c r="F329">
        <v>47</v>
      </c>
      <c r="G329" t="s">
        <v>350</v>
      </c>
    </row>
    <row r="330" spans="1:7">
      <c r="A330" t="s">
        <v>998</v>
      </c>
      <c r="B330" t="s">
        <v>999</v>
      </c>
      <c r="C330">
        <v>15</v>
      </c>
      <c r="D330" s="260">
        <v>46121</v>
      </c>
      <c r="E330" s="260">
        <v>46147</v>
      </c>
      <c r="F330">
        <v>47</v>
      </c>
      <c r="G330" t="s">
        <v>350</v>
      </c>
    </row>
    <row r="331" spans="1:7">
      <c r="A331" t="s">
        <v>1000</v>
      </c>
      <c r="B331" t="s">
        <v>1001</v>
      </c>
      <c r="C331">
        <v>15</v>
      </c>
      <c r="D331" s="260">
        <v>46192</v>
      </c>
      <c r="E331" s="260">
        <v>46212</v>
      </c>
      <c r="F331">
        <v>47</v>
      </c>
      <c r="G331" t="s">
        <v>350</v>
      </c>
    </row>
    <row r="332" spans="1:7">
      <c r="A332" t="s">
        <v>1002</v>
      </c>
      <c r="B332" t="s">
        <v>1003</v>
      </c>
      <c r="C332">
        <v>10</v>
      </c>
      <c r="D332" s="260">
        <v>46261</v>
      </c>
      <c r="E332" s="260">
        <v>46274</v>
      </c>
      <c r="F332">
        <v>47</v>
      </c>
      <c r="G332" t="s">
        <v>350</v>
      </c>
    </row>
    <row r="333" spans="1:7">
      <c r="A333" t="s">
        <v>1004</v>
      </c>
      <c r="B333" t="s">
        <v>1005</v>
      </c>
      <c r="C333">
        <v>15</v>
      </c>
      <c r="D333" s="260">
        <v>46121</v>
      </c>
      <c r="E333" s="260">
        <v>46147</v>
      </c>
      <c r="F333">
        <v>65</v>
      </c>
      <c r="G333" t="s">
        <v>350</v>
      </c>
    </row>
    <row r="334" spans="1:7">
      <c r="A334" t="s">
        <v>1006</v>
      </c>
      <c r="B334" t="s">
        <v>1007</v>
      </c>
      <c r="C334">
        <v>15</v>
      </c>
      <c r="D334" s="260">
        <v>46192</v>
      </c>
      <c r="E334" s="260">
        <v>46212</v>
      </c>
      <c r="F334">
        <v>67</v>
      </c>
      <c r="G334" t="s">
        <v>350</v>
      </c>
    </row>
    <row r="335" spans="1:7">
      <c r="A335" t="s">
        <v>1008</v>
      </c>
      <c r="B335" t="s">
        <v>1009</v>
      </c>
      <c r="C335">
        <v>10</v>
      </c>
      <c r="D335" s="260">
        <v>46261</v>
      </c>
      <c r="E335" s="260">
        <v>46274</v>
      </c>
      <c r="F335">
        <v>47</v>
      </c>
      <c r="G335" t="s">
        <v>350</v>
      </c>
    </row>
    <row r="336" spans="1:7">
      <c r="A336" t="s">
        <v>1010</v>
      </c>
      <c r="B336" t="s">
        <v>1011</v>
      </c>
      <c r="C336">
        <v>15</v>
      </c>
      <c r="D336" s="260">
        <v>46121</v>
      </c>
      <c r="E336" s="260">
        <v>46147</v>
      </c>
      <c r="F336">
        <v>32</v>
      </c>
      <c r="G336" t="s">
        <v>350</v>
      </c>
    </row>
    <row r="337" spans="1:7">
      <c r="A337" t="s">
        <v>1012</v>
      </c>
      <c r="B337" t="s">
        <v>1013</v>
      </c>
      <c r="C337">
        <v>15</v>
      </c>
      <c r="D337" s="260">
        <v>46192</v>
      </c>
      <c r="E337" s="260">
        <v>46212</v>
      </c>
      <c r="F337">
        <v>42</v>
      </c>
      <c r="G337" t="s">
        <v>350</v>
      </c>
    </row>
    <row r="338" spans="1:7">
      <c r="A338" t="s">
        <v>1014</v>
      </c>
      <c r="B338" t="s">
        <v>1015</v>
      </c>
      <c r="C338">
        <v>10</v>
      </c>
      <c r="D338" s="260">
        <v>46261</v>
      </c>
      <c r="E338" s="260">
        <v>46274</v>
      </c>
      <c r="F338">
        <v>47</v>
      </c>
      <c r="G338" t="s">
        <v>350</v>
      </c>
    </row>
    <row r="339" spans="1:7">
      <c r="A339" t="s">
        <v>1016</v>
      </c>
      <c r="B339" t="s">
        <v>1017</v>
      </c>
      <c r="C339">
        <v>15</v>
      </c>
      <c r="D339" s="260">
        <v>46121</v>
      </c>
      <c r="E339" s="260">
        <v>46147</v>
      </c>
      <c r="F339">
        <v>32</v>
      </c>
      <c r="G339" t="s">
        <v>350</v>
      </c>
    </row>
    <row r="340" spans="1:7">
      <c r="A340" t="s">
        <v>1018</v>
      </c>
      <c r="B340" t="s">
        <v>1019</v>
      </c>
      <c r="C340">
        <v>15</v>
      </c>
      <c r="D340" s="260">
        <v>46192</v>
      </c>
      <c r="E340" s="260">
        <v>46212</v>
      </c>
      <c r="F340">
        <v>42</v>
      </c>
      <c r="G340" t="s">
        <v>350</v>
      </c>
    </row>
    <row r="341" spans="1:7">
      <c r="A341" t="s">
        <v>1020</v>
      </c>
      <c r="B341" t="s">
        <v>1021</v>
      </c>
      <c r="C341">
        <v>10</v>
      </c>
      <c r="D341" s="260">
        <v>46261</v>
      </c>
      <c r="E341" s="260">
        <v>46274</v>
      </c>
      <c r="F341">
        <v>47</v>
      </c>
      <c r="G341" t="s">
        <v>350</v>
      </c>
    </row>
    <row r="342" spans="1:7">
      <c r="A342" t="s">
        <v>1022</v>
      </c>
      <c r="B342" t="s">
        <v>1023</v>
      </c>
      <c r="C342">
        <v>15</v>
      </c>
      <c r="D342" s="260">
        <v>46121</v>
      </c>
      <c r="E342" s="260">
        <v>46147</v>
      </c>
      <c r="F342">
        <v>65</v>
      </c>
      <c r="G342" t="s">
        <v>350</v>
      </c>
    </row>
    <row r="343" spans="1:7">
      <c r="A343" t="s">
        <v>1024</v>
      </c>
      <c r="B343" t="s">
        <v>1025</v>
      </c>
      <c r="C343">
        <v>15</v>
      </c>
      <c r="D343" s="260">
        <v>46192</v>
      </c>
      <c r="E343" s="260">
        <v>46212</v>
      </c>
      <c r="F343">
        <v>87</v>
      </c>
      <c r="G343" t="s">
        <v>350</v>
      </c>
    </row>
    <row r="344" spans="1:7">
      <c r="A344" t="s">
        <v>1026</v>
      </c>
      <c r="B344" t="s">
        <v>1027</v>
      </c>
      <c r="C344">
        <v>10</v>
      </c>
      <c r="D344" s="260">
        <v>46261</v>
      </c>
      <c r="E344" s="260">
        <v>46274</v>
      </c>
      <c r="F344">
        <v>67</v>
      </c>
      <c r="G344" t="s">
        <v>350</v>
      </c>
    </row>
    <row r="345" spans="1:7">
      <c r="A345" t="s">
        <v>1028</v>
      </c>
      <c r="B345" t="s">
        <v>1029</v>
      </c>
      <c r="C345">
        <v>35</v>
      </c>
      <c r="D345" s="260">
        <v>46265</v>
      </c>
      <c r="E345" s="260">
        <v>46314</v>
      </c>
      <c r="F345">
        <v>25</v>
      </c>
      <c r="G345" t="s">
        <v>350</v>
      </c>
    </row>
    <row r="346" spans="1:7">
      <c r="A346" t="s">
        <v>1030</v>
      </c>
      <c r="B346" t="s">
        <v>1031</v>
      </c>
      <c r="C346">
        <v>15</v>
      </c>
      <c r="D346" s="260">
        <v>46330</v>
      </c>
      <c r="E346" s="260">
        <v>46350</v>
      </c>
      <c r="F346">
        <v>25</v>
      </c>
      <c r="G346" t="s">
        <v>350</v>
      </c>
    </row>
    <row r="347" spans="1:7">
      <c r="A347" t="s">
        <v>1032</v>
      </c>
      <c r="B347" t="s">
        <v>1033</v>
      </c>
      <c r="C347">
        <v>35</v>
      </c>
      <c r="D347" s="260">
        <v>46265</v>
      </c>
      <c r="E347" s="260">
        <v>46314</v>
      </c>
      <c r="F347">
        <v>25</v>
      </c>
      <c r="G347" t="s">
        <v>350</v>
      </c>
    </row>
    <row r="348" spans="1:7">
      <c r="A348" t="s">
        <v>1034</v>
      </c>
      <c r="B348" t="s">
        <v>1035</v>
      </c>
      <c r="C348">
        <v>15</v>
      </c>
      <c r="D348" s="260">
        <v>46330</v>
      </c>
      <c r="E348" s="260">
        <v>46350</v>
      </c>
      <c r="F348">
        <v>25</v>
      </c>
      <c r="G348" t="s">
        <v>350</v>
      </c>
    </row>
    <row r="349" spans="1:7">
      <c r="A349" t="s">
        <v>1036</v>
      </c>
      <c r="B349" t="s">
        <v>1037</v>
      </c>
      <c r="C349">
        <v>15</v>
      </c>
      <c r="D349" s="260">
        <v>46148</v>
      </c>
      <c r="E349" s="260">
        <v>46168</v>
      </c>
      <c r="F349">
        <v>117</v>
      </c>
      <c r="G349" t="s">
        <v>350</v>
      </c>
    </row>
    <row r="350" spans="1:7">
      <c r="A350" t="s">
        <v>1038</v>
      </c>
      <c r="B350" t="s">
        <v>1039</v>
      </c>
      <c r="C350">
        <v>10</v>
      </c>
      <c r="D350" s="260">
        <v>46199</v>
      </c>
      <c r="E350" s="260">
        <v>46212</v>
      </c>
      <c r="F350">
        <v>117</v>
      </c>
      <c r="G350" t="s">
        <v>350</v>
      </c>
    </row>
    <row r="351" spans="1:7">
      <c r="A351" t="s">
        <v>1040</v>
      </c>
      <c r="B351" t="s">
        <v>1041</v>
      </c>
      <c r="C351">
        <v>15</v>
      </c>
      <c r="D351" s="260">
        <v>46322</v>
      </c>
      <c r="E351" s="260">
        <v>46342</v>
      </c>
      <c r="F351">
        <v>11</v>
      </c>
      <c r="G351" t="s">
        <v>350</v>
      </c>
    </row>
    <row r="352" spans="1:7">
      <c r="A352" t="s">
        <v>1042</v>
      </c>
      <c r="B352" t="s">
        <v>1043</v>
      </c>
      <c r="C352">
        <v>10</v>
      </c>
      <c r="D352" s="260">
        <v>46357</v>
      </c>
      <c r="E352" s="260">
        <v>46372</v>
      </c>
      <c r="F352">
        <v>11</v>
      </c>
      <c r="G352" t="s">
        <v>350</v>
      </c>
    </row>
    <row r="353" spans="1:7">
      <c r="A353" t="s">
        <v>1044</v>
      </c>
      <c r="B353" t="s">
        <v>1045</v>
      </c>
      <c r="C353">
        <v>20</v>
      </c>
      <c r="D353" s="260">
        <v>46258</v>
      </c>
      <c r="E353" s="260">
        <v>46283</v>
      </c>
      <c r="F353">
        <v>50</v>
      </c>
      <c r="G353" t="s">
        <v>350</v>
      </c>
    </row>
    <row r="354" spans="1:7">
      <c r="A354" t="s">
        <v>1046</v>
      </c>
      <c r="B354" t="s">
        <v>1047</v>
      </c>
      <c r="C354">
        <v>10</v>
      </c>
      <c r="D354" s="260">
        <v>46300</v>
      </c>
      <c r="E354" s="260">
        <v>46314</v>
      </c>
      <c r="F354">
        <v>50</v>
      </c>
      <c r="G354" t="s">
        <v>350</v>
      </c>
    </row>
    <row r="355" spans="1:7">
      <c r="A355" t="s">
        <v>1048</v>
      </c>
      <c r="B355" t="s">
        <v>1049</v>
      </c>
      <c r="C355">
        <v>20</v>
      </c>
      <c r="D355" s="260">
        <v>46258</v>
      </c>
      <c r="E355" s="260">
        <v>46283</v>
      </c>
      <c r="F355">
        <v>50</v>
      </c>
      <c r="G355" t="s">
        <v>350</v>
      </c>
    </row>
    <row r="356" spans="1:7">
      <c r="A356" t="s">
        <v>1050</v>
      </c>
      <c r="B356" t="s">
        <v>1051</v>
      </c>
      <c r="C356">
        <v>10</v>
      </c>
      <c r="D356" s="260">
        <v>46300</v>
      </c>
      <c r="E356" s="260">
        <v>46314</v>
      </c>
      <c r="F356">
        <v>50</v>
      </c>
      <c r="G356" t="s">
        <v>350</v>
      </c>
    </row>
    <row r="357" spans="1:7">
      <c r="A357" t="s">
        <v>1052</v>
      </c>
      <c r="B357" t="s">
        <v>1053</v>
      </c>
      <c r="C357">
        <v>20</v>
      </c>
      <c r="D357" s="260">
        <v>46258</v>
      </c>
      <c r="E357" s="260">
        <v>46283</v>
      </c>
      <c r="F357">
        <v>50</v>
      </c>
      <c r="G357" t="s">
        <v>350</v>
      </c>
    </row>
    <row r="358" spans="1:7">
      <c r="A358" t="s">
        <v>1054</v>
      </c>
      <c r="B358" t="s">
        <v>1055</v>
      </c>
      <c r="C358">
        <v>10</v>
      </c>
      <c r="D358" s="260">
        <v>46300</v>
      </c>
      <c r="E358" s="260">
        <v>46314</v>
      </c>
      <c r="F358">
        <v>50</v>
      </c>
      <c r="G358" t="s">
        <v>350</v>
      </c>
    </row>
    <row r="359" spans="1:7">
      <c r="A359" t="s">
        <v>1056</v>
      </c>
      <c r="B359" t="s">
        <v>1057</v>
      </c>
      <c r="C359">
        <v>20</v>
      </c>
      <c r="D359" s="260">
        <v>46258</v>
      </c>
      <c r="E359" s="260">
        <v>46283</v>
      </c>
      <c r="F359">
        <v>50</v>
      </c>
      <c r="G359" t="s">
        <v>350</v>
      </c>
    </row>
    <row r="360" spans="1:7">
      <c r="A360" t="s">
        <v>1058</v>
      </c>
      <c r="B360" t="s">
        <v>1059</v>
      </c>
      <c r="C360">
        <v>10</v>
      </c>
      <c r="D360" s="260">
        <v>46300</v>
      </c>
      <c r="E360" s="260">
        <v>46314</v>
      </c>
      <c r="F360">
        <v>50</v>
      </c>
      <c r="G360" t="s">
        <v>350</v>
      </c>
    </row>
    <row r="361" spans="1:7">
      <c r="A361" t="s">
        <v>1060</v>
      </c>
      <c r="B361" t="s">
        <v>1061</v>
      </c>
      <c r="C361">
        <v>20</v>
      </c>
      <c r="D361" s="260">
        <v>46258</v>
      </c>
      <c r="E361" s="260">
        <v>46283</v>
      </c>
      <c r="F361">
        <v>50</v>
      </c>
      <c r="G361" t="s">
        <v>350</v>
      </c>
    </row>
    <row r="362" spans="1:7">
      <c r="A362" t="s">
        <v>1062</v>
      </c>
      <c r="B362" t="s">
        <v>1063</v>
      </c>
      <c r="C362">
        <v>10</v>
      </c>
      <c r="D362" s="260">
        <v>46300</v>
      </c>
      <c r="E362" s="260">
        <v>46314</v>
      </c>
      <c r="F362">
        <v>50</v>
      </c>
      <c r="G362" t="s">
        <v>350</v>
      </c>
    </row>
    <row r="363" spans="1:7">
      <c r="A363" t="s">
        <v>1064</v>
      </c>
      <c r="B363" t="s">
        <v>1065</v>
      </c>
      <c r="C363">
        <v>20</v>
      </c>
      <c r="D363" s="260">
        <v>46265</v>
      </c>
      <c r="E363" s="260">
        <v>46290</v>
      </c>
      <c r="F363">
        <v>45</v>
      </c>
      <c r="G363" t="s">
        <v>350</v>
      </c>
    </row>
    <row r="364" spans="1:7">
      <c r="A364" t="s">
        <v>1066</v>
      </c>
      <c r="B364" t="s">
        <v>1067</v>
      </c>
      <c r="C364">
        <v>10</v>
      </c>
      <c r="D364" s="260">
        <v>46307</v>
      </c>
      <c r="E364" s="260">
        <v>46322</v>
      </c>
      <c r="F364">
        <v>45</v>
      </c>
      <c r="G364" t="s">
        <v>350</v>
      </c>
    </row>
    <row r="365" spans="1:7">
      <c r="A365" t="s">
        <v>1068</v>
      </c>
      <c r="B365" t="s">
        <v>1069</v>
      </c>
      <c r="C365">
        <v>20</v>
      </c>
      <c r="D365" s="260">
        <v>46265</v>
      </c>
      <c r="E365" s="260">
        <v>46290</v>
      </c>
      <c r="F365">
        <v>45</v>
      </c>
      <c r="G365" t="s">
        <v>350</v>
      </c>
    </row>
    <row r="366" spans="1:7">
      <c r="A366" t="s">
        <v>1070</v>
      </c>
      <c r="B366" t="s">
        <v>1071</v>
      </c>
      <c r="C366">
        <v>10</v>
      </c>
      <c r="D366" s="260">
        <v>46307</v>
      </c>
      <c r="E366" s="260">
        <v>46322</v>
      </c>
      <c r="F366">
        <v>45</v>
      </c>
      <c r="G366" t="s">
        <v>350</v>
      </c>
    </row>
    <row r="367" spans="1:7">
      <c r="A367" t="s">
        <v>1072</v>
      </c>
      <c r="B367" t="s">
        <v>1073</v>
      </c>
      <c r="C367">
        <v>20</v>
      </c>
      <c r="D367" s="260">
        <v>46265</v>
      </c>
      <c r="E367" s="260">
        <v>46290</v>
      </c>
      <c r="F367">
        <v>45</v>
      </c>
      <c r="G367" t="s">
        <v>350</v>
      </c>
    </row>
    <row r="368" spans="1:7">
      <c r="A368" t="s">
        <v>1074</v>
      </c>
      <c r="B368" t="s">
        <v>1075</v>
      </c>
      <c r="C368">
        <v>10</v>
      </c>
      <c r="D368" s="260">
        <v>46307</v>
      </c>
      <c r="E368" s="260">
        <v>46322</v>
      </c>
      <c r="F368">
        <v>45</v>
      </c>
      <c r="G368" t="s">
        <v>350</v>
      </c>
    </row>
    <row r="369" spans="1:7">
      <c r="A369" t="s">
        <v>1076</v>
      </c>
      <c r="B369" t="s">
        <v>1077</v>
      </c>
      <c r="C369">
        <v>20</v>
      </c>
      <c r="D369" s="260">
        <v>46265</v>
      </c>
      <c r="E369" s="260">
        <v>46290</v>
      </c>
      <c r="F369">
        <v>45</v>
      </c>
      <c r="G369" t="s">
        <v>350</v>
      </c>
    </row>
    <row r="370" spans="1:7">
      <c r="A370" t="s">
        <v>1078</v>
      </c>
      <c r="B370" t="s">
        <v>1079</v>
      </c>
      <c r="C370">
        <v>10</v>
      </c>
      <c r="D370" s="260">
        <v>46307</v>
      </c>
      <c r="E370" s="260">
        <v>46322</v>
      </c>
      <c r="F370">
        <v>45</v>
      </c>
      <c r="G370" t="s">
        <v>350</v>
      </c>
    </row>
    <row r="371" spans="1:7">
      <c r="A371" t="s">
        <v>1080</v>
      </c>
      <c r="B371" t="s">
        <v>1081</v>
      </c>
      <c r="C371">
        <v>20</v>
      </c>
      <c r="D371" s="260">
        <v>46265</v>
      </c>
      <c r="E371" s="260">
        <v>46290</v>
      </c>
      <c r="F371">
        <v>45</v>
      </c>
      <c r="G371" t="s">
        <v>350</v>
      </c>
    </row>
    <row r="372" spans="1:7">
      <c r="A372" t="s">
        <v>1082</v>
      </c>
      <c r="B372" t="s">
        <v>1083</v>
      </c>
      <c r="C372">
        <v>10</v>
      </c>
      <c r="D372" s="260">
        <v>46307</v>
      </c>
      <c r="E372" s="260">
        <v>46322</v>
      </c>
      <c r="F372">
        <v>45</v>
      </c>
      <c r="G372" t="s">
        <v>350</v>
      </c>
    </row>
    <row r="373" spans="1:7">
      <c r="A373" t="s">
        <v>1084</v>
      </c>
      <c r="B373" t="s">
        <v>1085</v>
      </c>
      <c r="C373">
        <v>10</v>
      </c>
      <c r="D373" s="260">
        <v>46148</v>
      </c>
      <c r="E373" s="260">
        <v>46161</v>
      </c>
      <c r="F373">
        <v>65</v>
      </c>
      <c r="G373" t="s">
        <v>350</v>
      </c>
    </row>
    <row r="374" spans="1:7">
      <c r="A374" t="s">
        <v>1086</v>
      </c>
      <c r="B374" t="s">
        <v>1087</v>
      </c>
      <c r="C374">
        <v>10</v>
      </c>
      <c r="D374" s="260">
        <v>46178</v>
      </c>
      <c r="E374" s="260">
        <v>46191</v>
      </c>
      <c r="F374">
        <v>107</v>
      </c>
      <c r="G374" t="s">
        <v>350</v>
      </c>
    </row>
    <row r="375" spans="1:7">
      <c r="A375" t="s">
        <v>1088</v>
      </c>
      <c r="B375" t="s">
        <v>1089</v>
      </c>
      <c r="C375">
        <v>5</v>
      </c>
      <c r="D375" s="260">
        <v>46206</v>
      </c>
      <c r="E375" s="260">
        <v>46212</v>
      </c>
      <c r="F375">
        <v>107</v>
      </c>
      <c r="G375" t="s">
        <v>350</v>
      </c>
    </row>
    <row r="376" spans="1:7">
      <c r="A376" t="s">
        <v>1090</v>
      </c>
      <c r="B376" t="s">
        <v>1091</v>
      </c>
      <c r="C376">
        <v>20</v>
      </c>
      <c r="D376" s="260">
        <v>46224</v>
      </c>
      <c r="E376" s="260">
        <v>46255</v>
      </c>
      <c r="F376">
        <v>55</v>
      </c>
      <c r="G376" t="s">
        <v>350</v>
      </c>
    </row>
    <row r="377" spans="1:7">
      <c r="A377" t="s">
        <v>1092</v>
      </c>
      <c r="B377" t="s">
        <v>1093</v>
      </c>
      <c r="C377">
        <v>10</v>
      </c>
      <c r="D377" s="260">
        <v>46286</v>
      </c>
      <c r="E377" s="260">
        <v>46297</v>
      </c>
      <c r="F377">
        <v>45</v>
      </c>
      <c r="G377" t="s">
        <v>350</v>
      </c>
    </row>
    <row r="378" spans="1:7">
      <c r="A378" t="s">
        <v>1094</v>
      </c>
      <c r="B378" t="s">
        <v>1095</v>
      </c>
      <c r="C378">
        <v>5</v>
      </c>
      <c r="D378" s="260">
        <v>46343</v>
      </c>
      <c r="E378" s="260">
        <v>46349</v>
      </c>
      <c r="F378">
        <v>26</v>
      </c>
      <c r="G378" t="s">
        <v>350</v>
      </c>
    </row>
    <row r="379" spans="1:7">
      <c r="A379" t="s">
        <v>1096</v>
      </c>
      <c r="B379" t="s">
        <v>1097</v>
      </c>
      <c r="C379">
        <v>15</v>
      </c>
      <c r="D379" s="260">
        <v>46148</v>
      </c>
      <c r="E379" s="260">
        <v>46168</v>
      </c>
      <c r="F379">
        <v>69</v>
      </c>
      <c r="G379" t="s">
        <v>350</v>
      </c>
    </row>
    <row r="380" spans="1:7">
      <c r="A380" t="s">
        <v>1098</v>
      </c>
      <c r="B380" t="s">
        <v>1099</v>
      </c>
      <c r="C380">
        <v>10</v>
      </c>
      <c r="D380" s="260">
        <v>46185</v>
      </c>
      <c r="E380" s="260">
        <v>46198</v>
      </c>
      <c r="F380">
        <v>112</v>
      </c>
      <c r="G380" t="s">
        <v>350</v>
      </c>
    </row>
    <row r="381" spans="1:7">
      <c r="A381" t="s">
        <v>1100</v>
      </c>
      <c r="B381" t="s">
        <v>1101</v>
      </c>
      <c r="C381">
        <v>5</v>
      </c>
      <c r="D381" s="260">
        <v>46213</v>
      </c>
      <c r="E381" s="260">
        <v>46219</v>
      </c>
      <c r="F381">
        <v>112</v>
      </c>
      <c r="G381" t="s">
        <v>350</v>
      </c>
    </row>
    <row r="382" spans="1:7">
      <c r="A382" t="s">
        <v>1102</v>
      </c>
      <c r="B382" t="s">
        <v>1103</v>
      </c>
      <c r="C382">
        <v>20</v>
      </c>
      <c r="D382" s="260">
        <v>46224</v>
      </c>
      <c r="E382" s="260">
        <v>46255</v>
      </c>
      <c r="F382">
        <v>55</v>
      </c>
      <c r="G382" t="s">
        <v>350</v>
      </c>
    </row>
    <row r="383" spans="1:7">
      <c r="A383" t="s">
        <v>1104</v>
      </c>
      <c r="B383" t="s">
        <v>1105</v>
      </c>
      <c r="C383">
        <v>10</v>
      </c>
      <c r="D383" s="260">
        <v>46286</v>
      </c>
      <c r="E383" s="260">
        <v>46297</v>
      </c>
      <c r="F383">
        <v>45</v>
      </c>
      <c r="G383" t="s">
        <v>350</v>
      </c>
    </row>
    <row r="384" spans="1:7">
      <c r="A384" t="s">
        <v>1106</v>
      </c>
      <c r="B384" t="s">
        <v>1107</v>
      </c>
      <c r="C384">
        <v>5</v>
      </c>
      <c r="D384" s="260">
        <v>46343</v>
      </c>
      <c r="E384" s="260">
        <v>46349</v>
      </c>
      <c r="F384">
        <v>26</v>
      </c>
      <c r="G384" t="s">
        <v>350</v>
      </c>
    </row>
    <row r="385" spans="1:7">
      <c r="A385" t="s">
        <v>1108</v>
      </c>
      <c r="B385" t="s">
        <v>1109</v>
      </c>
      <c r="C385">
        <v>20</v>
      </c>
      <c r="D385" s="260">
        <v>46258</v>
      </c>
      <c r="E385" s="260">
        <v>46283</v>
      </c>
      <c r="F385">
        <v>40</v>
      </c>
      <c r="G385" t="s">
        <v>350</v>
      </c>
    </row>
    <row r="386" spans="1:7">
      <c r="A386" t="s">
        <v>1110</v>
      </c>
      <c r="B386" t="s">
        <v>1111</v>
      </c>
      <c r="C386">
        <v>10</v>
      </c>
      <c r="D386" s="260">
        <v>46322</v>
      </c>
      <c r="E386" s="260">
        <v>46335</v>
      </c>
      <c r="F386">
        <v>26</v>
      </c>
      <c r="G386" t="s">
        <v>350</v>
      </c>
    </row>
    <row r="387" spans="1:7">
      <c r="A387" t="s">
        <v>1112</v>
      </c>
      <c r="B387" t="s">
        <v>1113</v>
      </c>
      <c r="C387">
        <v>10</v>
      </c>
      <c r="D387" s="260">
        <v>46286</v>
      </c>
      <c r="E387" s="260">
        <v>46297</v>
      </c>
      <c r="F387">
        <v>40</v>
      </c>
      <c r="G387" t="s">
        <v>350</v>
      </c>
    </row>
    <row r="388" spans="1:7">
      <c r="A388" t="s">
        <v>1114</v>
      </c>
      <c r="B388" t="s">
        <v>1115</v>
      </c>
      <c r="C388">
        <v>10</v>
      </c>
      <c r="D388" s="260">
        <v>46336</v>
      </c>
      <c r="E388" s="260">
        <v>46349</v>
      </c>
      <c r="F388">
        <v>26</v>
      </c>
      <c r="G388" t="s">
        <v>350</v>
      </c>
    </row>
    <row r="389" spans="1:7">
      <c r="A389" t="s">
        <v>1116</v>
      </c>
      <c r="B389" t="s">
        <v>1117</v>
      </c>
      <c r="C389">
        <v>10</v>
      </c>
      <c r="D389" s="260">
        <v>46286</v>
      </c>
      <c r="E389" s="260">
        <v>46297</v>
      </c>
      <c r="F389">
        <v>40</v>
      </c>
      <c r="G389" t="s">
        <v>350</v>
      </c>
    </row>
    <row r="390" spans="1:7">
      <c r="A390" t="s">
        <v>1118</v>
      </c>
      <c r="B390" t="s">
        <v>1119</v>
      </c>
      <c r="C390">
        <v>10</v>
      </c>
      <c r="D390" s="260">
        <v>46336</v>
      </c>
      <c r="E390" s="260">
        <v>46349</v>
      </c>
      <c r="F390">
        <v>26</v>
      </c>
      <c r="G390" t="s">
        <v>350</v>
      </c>
    </row>
    <row r="391" spans="1:7">
      <c r="A391" t="s">
        <v>1120</v>
      </c>
      <c r="B391" t="s">
        <v>1121</v>
      </c>
      <c r="C391">
        <v>10</v>
      </c>
      <c r="D391" s="260">
        <v>46286</v>
      </c>
      <c r="E391" s="260">
        <v>46297</v>
      </c>
      <c r="F391">
        <v>40</v>
      </c>
      <c r="G391" t="s">
        <v>350</v>
      </c>
    </row>
    <row r="392" spans="1:7">
      <c r="A392" t="s">
        <v>1122</v>
      </c>
      <c r="B392" t="s">
        <v>1123</v>
      </c>
      <c r="C392">
        <v>10</v>
      </c>
      <c r="D392" s="260">
        <v>46336</v>
      </c>
      <c r="E392" s="260">
        <v>46349</v>
      </c>
      <c r="F392">
        <v>26</v>
      </c>
      <c r="G392" t="s">
        <v>350</v>
      </c>
    </row>
    <row r="393" spans="1:7">
      <c r="A393" t="s">
        <v>1124</v>
      </c>
      <c r="B393" t="s">
        <v>1125</v>
      </c>
      <c r="C393">
        <v>10</v>
      </c>
      <c r="D393" s="260">
        <v>46286</v>
      </c>
      <c r="E393" s="260">
        <v>46297</v>
      </c>
      <c r="F393">
        <v>40</v>
      </c>
      <c r="G393" t="s">
        <v>350</v>
      </c>
    </row>
    <row r="394" spans="1:7">
      <c r="A394" t="s">
        <v>1126</v>
      </c>
      <c r="B394" t="s">
        <v>1127</v>
      </c>
      <c r="C394">
        <v>10</v>
      </c>
      <c r="D394" s="260">
        <v>46336</v>
      </c>
      <c r="E394" s="260">
        <v>46349</v>
      </c>
      <c r="F394">
        <v>26</v>
      </c>
      <c r="G394" t="s">
        <v>350</v>
      </c>
    </row>
    <row r="395" spans="1:7">
      <c r="A395" t="s">
        <v>1128</v>
      </c>
      <c r="B395" t="s">
        <v>1129</v>
      </c>
      <c r="C395">
        <v>15</v>
      </c>
      <c r="D395" s="260">
        <v>46265</v>
      </c>
      <c r="E395" s="260">
        <v>46283</v>
      </c>
      <c r="F395">
        <v>50</v>
      </c>
      <c r="G395" t="s">
        <v>350</v>
      </c>
    </row>
    <row r="396" spans="1:7">
      <c r="A396" t="s">
        <v>1130</v>
      </c>
      <c r="B396" t="s">
        <v>1131</v>
      </c>
      <c r="C396">
        <v>10</v>
      </c>
      <c r="D396" s="260">
        <v>46322</v>
      </c>
      <c r="E396" s="260">
        <v>46335</v>
      </c>
      <c r="F396">
        <v>36</v>
      </c>
      <c r="G396" t="s">
        <v>350</v>
      </c>
    </row>
    <row r="397" spans="1:7">
      <c r="A397" t="s">
        <v>1132</v>
      </c>
      <c r="B397" t="s">
        <v>1133</v>
      </c>
      <c r="C397">
        <v>10</v>
      </c>
      <c r="D397" s="260">
        <v>46286</v>
      </c>
      <c r="E397" s="260">
        <v>46297</v>
      </c>
      <c r="F397">
        <v>40</v>
      </c>
      <c r="G397" t="s">
        <v>350</v>
      </c>
    </row>
    <row r="398" spans="1:7">
      <c r="A398" t="s">
        <v>1134</v>
      </c>
      <c r="B398" t="s">
        <v>1135</v>
      </c>
      <c r="C398">
        <v>10</v>
      </c>
      <c r="D398" s="260">
        <v>46336</v>
      </c>
      <c r="E398" s="260">
        <v>46349</v>
      </c>
      <c r="F398">
        <v>26</v>
      </c>
      <c r="G398" t="s">
        <v>350</v>
      </c>
    </row>
    <row r="399" spans="1:7">
      <c r="A399" t="s">
        <v>1136</v>
      </c>
      <c r="B399" t="s">
        <v>1137</v>
      </c>
      <c r="C399">
        <v>10</v>
      </c>
      <c r="D399" s="260">
        <v>46286</v>
      </c>
      <c r="E399" s="260">
        <v>46297</v>
      </c>
      <c r="F399">
        <v>40</v>
      </c>
      <c r="G399" t="s">
        <v>350</v>
      </c>
    </row>
    <row r="400" spans="1:7">
      <c r="A400" t="s">
        <v>1138</v>
      </c>
      <c r="B400" t="s">
        <v>1139</v>
      </c>
      <c r="C400">
        <v>10</v>
      </c>
      <c r="D400" s="260">
        <v>46336</v>
      </c>
      <c r="E400" s="260">
        <v>46349</v>
      </c>
      <c r="F400">
        <v>26</v>
      </c>
      <c r="G400" t="s">
        <v>350</v>
      </c>
    </row>
    <row r="401" spans="1:7">
      <c r="A401" t="s">
        <v>1140</v>
      </c>
      <c r="B401" t="s">
        <v>1141</v>
      </c>
      <c r="C401">
        <v>10</v>
      </c>
      <c r="D401" s="260">
        <v>46286</v>
      </c>
      <c r="E401" s="260">
        <v>46297</v>
      </c>
      <c r="F401">
        <v>40</v>
      </c>
      <c r="G401" t="s">
        <v>350</v>
      </c>
    </row>
    <row r="402" spans="1:7">
      <c r="A402" t="s">
        <v>1142</v>
      </c>
      <c r="B402" t="s">
        <v>1143</v>
      </c>
      <c r="C402">
        <v>10</v>
      </c>
      <c r="D402" s="260">
        <v>46336</v>
      </c>
      <c r="E402" s="260">
        <v>46349</v>
      </c>
      <c r="F402">
        <v>26</v>
      </c>
      <c r="G402" t="s">
        <v>350</v>
      </c>
    </row>
    <row r="403" spans="1:7">
      <c r="A403" t="s">
        <v>1144</v>
      </c>
      <c r="B403" t="s">
        <v>1145</v>
      </c>
      <c r="C403">
        <v>10</v>
      </c>
      <c r="D403" s="260">
        <v>46286</v>
      </c>
      <c r="E403" s="260">
        <v>46297</v>
      </c>
      <c r="F403">
        <v>40</v>
      </c>
      <c r="G403" t="s">
        <v>350</v>
      </c>
    </row>
    <row r="404" spans="1:7">
      <c r="A404" t="s">
        <v>1146</v>
      </c>
      <c r="B404" t="s">
        <v>1147</v>
      </c>
      <c r="C404">
        <v>10</v>
      </c>
      <c r="D404" s="260">
        <v>46336</v>
      </c>
      <c r="E404" s="260">
        <v>46349</v>
      </c>
      <c r="F404">
        <v>26</v>
      </c>
      <c r="G404" t="s">
        <v>350</v>
      </c>
    </row>
    <row r="405" spans="1:7">
      <c r="A405" t="s">
        <v>1148</v>
      </c>
      <c r="C405">
        <v>70</v>
      </c>
      <c r="D405" s="260">
        <v>46155</v>
      </c>
      <c r="E405" s="260">
        <v>46260</v>
      </c>
      <c r="F405">
        <v>91</v>
      </c>
      <c r="G405" t="s">
        <v>350</v>
      </c>
    </row>
    <row r="406" spans="1:7">
      <c r="A406" t="s">
        <v>1149</v>
      </c>
      <c r="B406" t="s">
        <v>1150</v>
      </c>
      <c r="C406">
        <v>10</v>
      </c>
      <c r="D406" s="260">
        <v>46155</v>
      </c>
      <c r="E406" s="260">
        <v>46168</v>
      </c>
      <c r="F406">
        <v>65</v>
      </c>
      <c r="G406" t="s">
        <v>350</v>
      </c>
    </row>
    <row r="407" spans="1:7">
      <c r="A407" t="s">
        <v>1151</v>
      </c>
      <c r="B407" t="s">
        <v>1152</v>
      </c>
      <c r="C407">
        <v>5</v>
      </c>
      <c r="D407" s="260">
        <v>46192</v>
      </c>
      <c r="E407" s="260">
        <v>46198</v>
      </c>
      <c r="F407">
        <v>107</v>
      </c>
      <c r="G407" t="s">
        <v>350</v>
      </c>
    </row>
    <row r="408" spans="1:7">
      <c r="A408" t="s">
        <v>1153</v>
      </c>
      <c r="B408" t="s">
        <v>1154</v>
      </c>
      <c r="C408">
        <v>5</v>
      </c>
      <c r="D408" s="260">
        <v>46213</v>
      </c>
      <c r="E408" s="260">
        <v>46219</v>
      </c>
      <c r="F408">
        <v>107</v>
      </c>
      <c r="G408" t="s">
        <v>350</v>
      </c>
    </row>
    <row r="409" spans="1:7">
      <c r="A409" t="s">
        <v>1155</v>
      </c>
      <c r="B409" t="s">
        <v>1156</v>
      </c>
      <c r="C409">
        <v>20</v>
      </c>
      <c r="D409" s="260">
        <v>46169</v>
      </c>
      <c r="E409" s="260">
        <v>46198</v>
      </c>
      <c r="F409">
        <v>52</v>
      </c>
      <c r="G409" t="s">
        <v>350</v>
      </c>
    </row>
    <row r="410" spans="1:7">
      <c r="A410" t="s">
        <v>1157</v>
      </c>
      <c r="B410" t="s">
        <v>1158</v>
      </c>
      <c r="C410">
        <v>10</v>
      </c>
      <c r="D410" s="260">
        <v>46213</v>
      </c>
      <c r="E410" s="260">
        <v>46226</v>
      </c>
      <c r="F410">
        <v>82</v>
      </c>
      <c r="G410" t="s">
        <v>350</v>
      </c>
    </row>
    <row r="411" spans="1:7">
      <c r="A411" t="s">
        <v>1159</v>
      </c>
      <c r="B411" t="s">
        <v>1160</v>
      </c>
      <c r="C411">
        <v>10</v>
      </c>
      <c r="D411" s="260">
        <v>46247</v>
      </c>
      <c r="E411" s="260">
        <v>46260</v>
      </c>
      <c r="F411">
        <v>82</v>
      </c>
      <c r="G411" t="s">
        <v>350</v>
      </c>
    </row>
    <row r="412" spans="1:7">
      <c r="A412" t="s">
        <v>1161</v>
      </c>
      <c r="B412" t="s">
        <v>1162</v>
      </c>
      <c r="C412">
        <v>20</v>
      </c>
      <c r="D412" s="260">
        <v>46169</v>
      </c>
      <c r="E412" s="260">
        <v>46198</v>
      </c>
      <c r="F412">
        <v>52</v>
      </c>
      <c r="G412" t="s">
        <v>350</v>
      </c>
    </row>
    <row r="413" spans="1:7">
      <c r="A413" t="s">
        <v>1163</v>
      </c>
      <c r="B413" t="s">
        <v>1164</v>
      </c>
      <c r="C413">
        <v>10</v>
      </c>
      <c r="D413" s="260">
        <v>46213</v>
      </c>
      <c r="E413" s="260">
        <v>46226</v>
      </c>
      <c r="F413">
        <v>82</v>
      </c>
      <c r="G413" t="s">
        <v>350</v>
      </c>
    </row>
    <row r="414" spans="1:7">
      <c r="A414" t="s">
        <v>1165</v>
      </c>
      <c r="B414" t="s">
        <v>1166</v>
      </c>
      <c r="C414">
        <v>10</v>
      </c>
      <c r="D414" s="260">
        <v>46247</v>
      </c>
      <c r="E414" s="260">
        <v>46260</v>
      </c>
      <c r="F414">
        <v>82</v>
      </c>
      <c r="G414" t="s">
        <v>350</v>
      </c>
    </row>
    <row r="415" spans="1:7">
      <c r="A415" t="s">
        <v>1167</v>
      </c>
      <c r="B415" t="s">
        <v>1168</v>
      </c>
      <c r="C415">
        <v>20</v>
      </c>
      <c r="D415" s="260">
        <v>46169</v>
      </c>
      <c r="E415" s="260">
        <v>46198</v>
      </c>
      <c r="F415">
        <v>52</v>
      </c>
      <c r="G415" t="s">
        <v>350</v>
      </c>
    </row>
    <row r="416" spans="1:7">
      <c r="A416" t="s">
        <v>1169</v>
      </c>
      <c r="B416" t="s">
        <v>1170</v>
      </c>
      <c r="C416">
        <v>10</v>
      </c>
      <c r="D416" s="260">
        <v>46213</v>
      </c>
      <c r="E416" s="260">
        <v>46226</v>
      </c>
      <c r="F416">
        <v>82</v>
      </c>
      <c r="G416" t="s">
        <v>350</v>
      </c>
    </row>
    <row r="417" spans="1:7">
      <c r="A417" t="s">
        <v>1171</v>
      </c>
      <c r="B417" t="s">
        <v>1172</v>
      </c>
      <c r="C417">
        <v>10</v>
      </c>
      <c r="D417" s="260">
        <v>46247</v>
      </c>
      <c r="E417" s="260">
        <v>46260</v>
      </c>
      <c r="F417">
        <v>82</v>
      </c>
      <c r="G417" t="s">
        <v>350</v>
      </c>
    </row>
    <row r="418" spans="1:7">
      <c r="A418" t="s">
        <v>1173</v>
      </c>
      <c r="B418" t="s">
        <v>1174</v>
      </c>
      <c r="C418">
        <v>20</v>
      </c>
      <c r="D418" s="260">
        <v>46169</v>
      </c>
      <c r="E418" s="260">
        <v>46198</v>
      </c>
      <c r="F418">
        <v>52</v>
      </c>
      <c r="G418" t="s">
        <v>350</v>
      </c>
    </row>
    <row r="419" spans="1:7">
      <c r="A419" t="s">
        <v>1175</v>
      </c>
      <c r="B419" t="s">
        <v>1176</v>
      </c>
      <c r="C419">
        <v>10</v>
      </c>
      <c r="D419" s="260">
        <v>46213</v>
      </c>
      <c r="E419" s="260">
        <v>46226</v>
      </c>
      <c r="F419">
        <v>82</v>
      </c>
      <c r="G419" t="s">
        <v>350</v>
      </c>
    </row>
    <row r="420" spans="1:7">
      <c r="A420" t="s">
        <v>1177</v>
      </c>
      <c r="B420" t="s">
        <v>1178</v>
      </c>
      <c r="C420">
        <v>10</v>
      </c>
      <c r="D420" s="260">
        <v>46247</v>
      </c>
      <c r="E420" s="260">
        <v>46260</v>
      </c>
      <c r="F420">
        <v>82</v>
      </c>
      <c r="G420" t="s">
        <v>350</v>
      </c>
    </row>
    <row r="421" spans="1:7">
      <c r="A421" t="s">
        <v>1179</v>
      </c>
      <c r="B421" t="s">
        <v>1180</v>
      </c>
      <c r="C421">
        <v>20</v>
      </c>
      <c r="D421" s="260">
        <v>46169</v>
      </c>
      <c r="E421" s="260">
        <v>46198</v>
      </c>
      <c r="F421">
        <v>52</v>
      </c>
      <c r="G421" t="s">
        <v>350</v>
      </c>
    </row>
    <row r="422" spans="1:7">
      <c r="A422" t="s">
        <v>1181</v>
      </c>
      <c r="B422" t="s">
        <v>1182</v>
      </c>
      <c r="C422">
        <v>10</v>
      </c>
      <c r="D422" s="260">
        <v>46213</v>
      </c>
      <c r="E422" s="260">
        <v>46226</v>
      </c>
      <c r="F422">
        <v>82</v>
      </c>
      <c r="G422" t="s">
        <v>350</v>
      </c>
    </row>
    <row r="423" spans="1:7">
      <c r="A423" t="s">
        <v>1183</v>
      </c>
      <c r="B423" t="s">
        <v>1184</v>
      </c>
      <c r="C423">
        <v>10</v>
      </c>
      <c r="D423" s="260">
        <v>46247</v>
      </c>
      <c r="E423" s="260">
        <v>46260</v>
      </c>
      <c r="F423">
        <v>82</v>
      </c>
      <c r="G423" t="s">
        <v>350</v>
      </c>
    </row>
    <row r="424" spans="1:7">
      <c r="A424" t="s">
        <v>1185</v>
      </c>
      <c r="B424" t="s">
        <v>1186</v>
      </c>
      <c r="C424">
        <v>20</v>
      </c>
      <c r="D424" s="260">
        <v>46169</v>
      </c>
      <c r="E424" s="260">
        <v>46198</v>
      </c>
      <c r="F424">
        <v>52</v>
      </c>
      <c r="G424" t="s">
        <v>350</v>
      </c>
    </row>
    <row r="425" spans="1:7">
      <c r="A425" t="s">
        <v>1187</v>
      </c>
      <c r="B425" t="s">
        <v>1188</v>
      </c>
      <c r="C425">
        <v>10</v>
      </c>
      <c r="D425" s="260">
        <v>46213</v>
      </c>
      <c r="E425" s="260">
        <v>46226</v>
      </c>
      <c r="F425">
        <v>82</v>
      </c>
      <c r="G425" t="s">
        <v>350</v>
      </c>
    </row>
    <row r="426" spans="1:7">
      <c r="A426" t="s">
        <v>1189</v>
      </c>
      <c r="B426" t="s">
        <v>1190</v>
      </c>
      <c r="C426">
        <v>10</v>
      </c>
      <c r="D426" s="260">
        <v>46247</v>
      </c>
      <c r="E426" s="260">
        <v>46260</v>
      </c>
      <c r="F426">
        <v>82</v>
      </c>
      <c r="G426" t="s">
        <v>350</v>
      </c>
    </row>
    <row r="427" spans="1:7">
      <c r="A427" t="s">
        <v>1191</v>
      </c>
      <c r="B427" t="s">
        <v>1192</v>
      </c>
      <c r="C427">
        <v>20</v>
      </c>
      <c r="D427" s="260">
        <v>46169</v>
      </c>
      <c r="E427" s="260">
        <v>46198</v>
      </c>
      <c r="F427">
        <v>52</v>
      </c>
      <c r="G427" t="s">
        <v>350</v>
      </c>
    </row>
    <row r="428" spans="1:7">
      <c r="A428" t="s">
        <v>1193</v>
      </c>
      <c r="B428" t="s">
        <v>1194</v>
      </c>
      <c r="C428">
        <v>10</v>
      </c>
      <c r="D428" s="260">
        <v>46213</v>
      </c>
      <c r="E428" s="260">
        <v>46226</v>
      </c>
      <c r="F428">
        <v>82</v>
      </c>
      <c r="G428" t="s">
        <v>350</v>
      </c>
    </row>
    <row r="429" spans="1:7">
      <c r="A429" t="s">
        <v>1195</v>
      </c>
      <c r="B429" t="s">
        <v>1196</v>
      </c>
      <c r="C429">
        <v>10</v>
      </c>
      <c r="D429" s="260">
        <v>46247</v>
      </c>
      <c r="E429" s="260">
        <v>46260</v>
      </c>
      <c r="F429">
        <v>82</v>
      </c>
      <c r="G429" t="s">
        <v>350</v>
      </c>
    </row>
    <row r="430" spans="1:7">
      <c r="A430" t="s">
        <v>1197</v>
      </c>
      <c r="B430" t="s">
        <v>1198</v>
      </c>
      <c r="C430">
        <v>20</v>
      </c>
      <c r="D430" s="260">
        <v>46169</v>
      </c>
      <c r="E430" s="260">
        <v>46198</v>
      </c>
      <c r="F430">
        <v>61</v>
      </c>
      <c r="G430" t="s">
        <v>350</v>
      </c>
    </row>
    <row r="431" spans="1:7">
      <c r="A431" t="s">
        <v>1199</v>
      </c>
      <c r="B431" t="s">
        <v>1200</v>
      </c>
      <c r="C431">
        <v>10</v>
      </c>
      <c r="D431" s="260">
        <v>46213</v>
      </c>
      <c r="E431" s="260">
        <v>46226</v>
      </c>
      <c r="F431">
        <v>91</v>
      </c>
      <c r="G431" t="s">
        <v>350</v>
      </c>
    </row>
    <row r="432" spans="1:7">
      <c r="A432" t="s">
        <v>1201</v>
      </c>
      <c r="B432" t="s">
        <v>1202</v>
      </c>
      <c r="C432">
        <v>10</v>
      </c>
      <c r="D432" s="260">
        <v>46247</v>
      </c>
      <c r="E432" s="260">
        <v>46260</v>
      </c>
      <c r="F432">
        <v>91</v>
      </c>
      <c r="G432" t="s">
        <v>350</v>
      </c>
    </row>
    <row r="433" spans="1:7">
      <c r="A433" t="s">
        <v>1203</v>
      </c>
      <c r="C433">
        <v>109</v>
      </c>
      <c r="D433" s="260">
        <v>46149</v>
      </c>
      <c r="E433" s="260">
        <v>46310</v>
      </c>
      <c r="F433">
        <v>61</v>
      </c>
      <c r="G433" t="s">
        <v>350</v>
      </c>
    </row>
    <row r="434" spans="1:7">
      <c r="A434" t="s">
        <v>1204</v>
      </c>
      <c r="B434" t="s">
        <v>1205</v>
      </c>
      <c r="C434">
        <v>15</v>
      </c>
      <c r="D434" s="260">
        <v>46162</v>
      </c>
      <c r="E434" s="260">
        <v>46184</v>
      </c>
      <c r="F434">
        <v>71</v>
      </c>
      <c r="G434" t="s">
        <v>350</v>
      </c>
    </row>
    <row r="435" spans="1:7">
      <c r="A435" t="s">
        <v>1206</v>
      </c>
      <c r="B435" t="s">
        <v>1207</v>
      </c>
      <c r="C435">
        <v>5</v>
      </c>
      <c r="D435" s="260">
        <v>46276</v>
      </c>
      <c r="E435" s="260">
        <v>46282</v>
      </c>
      <c r="F435">
        <v>71</v>
      </c>
      <c r="G435" t="s">
        <v>350</v>
      </c>
    </row>
    <row r="436" spans="1:7">
      <c r="A436" t="s">
        <v>1208</v>
      </c>
      <c r="B436" t="s">
        <v>1209</v>
      </c>
      <c r="C436">
        <v>15</v>
      </c>
      <c r="D436" s="260">
        <v>46162</v>
      </c>
      <c r="E436" s="260">
        <v>46184</v>
      </c>
      <c r="F436">
        <v>71</v>
      </c>
      <c r="G436" t="s">
        <v>350</v>
      </c>
    </row>
    <row r="437" spans="1:7">
      <c r="A437" t="s">
        <v>1210</v>
      </c>
      <c r="B437" t="s">
        <v>1211</v>
      </c>
      <c r="C437">
        <v>5</v>
      </c>
      <c r="D437" s="260">
        <v>46276</v>
      </c>
      <c r="E437" s="260">
        <v>46282</v>
      </c>
      <c r="F437">
        <v>71</v>
      </c>
      <c r="G437" t="s">
        <v>350</v>
      </c>
    </row>
    <row r="438" spans="1:7">
      <c r="A438" t="s">
        <v>1212</v>
      </c>
      <c r="B438" t="s">
        <v>1213</v>
      </c>
      <c r="C438">
        <v>15</v>
      </c>
      <c r="D438" s="260">
        <v>46177</v>
      </c>
      <c r="E438" s="260">
        <v>46197</v>
      </c>
      <c r="F438">
        <v>65</v>
      </c>
      <c r="G438" t="s">
        <v>350</v>
      </c>
    </row>
    <row r="439" spans="1:7">
      <c r="A439" t="s">
        <v>1214</v>
      </c>
      <c r="B439" t="s">
        <v>1215</v>
      </c>
      <c r="C439">
        <v>5</v>
      </c>
      <c r="D439" s="260">
        <v>46286</v>
      </c>
      <c r="E439" s="260">
        <v>46290</v>
      </c>
      <c r="F439">
        <v>65</v>
      </c>
      <c r="G439" t="s">
        <v>350</v>
      </c>
    </row>
    <row r="440" spans="1:7">
      <c r="A440" t="s">
        <v>1216</v>
      </c>
      <c r="B440" t="s">
        <v>1217</v>
      </c>
      <c r="C440">
        <v>15</v>
      </c>
      <c r="D440" s="260">
        <v>46177</v>
      </c>
      <c r="E440" s="260">
        <v>46197</v>
      </c>
      <c r="F440">
        <v>65</v>
      </c>
      <c r="G440" t="s">
        <v>350</v>
      </c>
    </row>
    <row r="441" spans="1:7">
      <c r="A441" t="s">
        <v>1218</v>
      </c>
      <c r="B441" t="s">
        <v>1219</v>
      </c>
      <c r="C441">
        <v>5</v>
      </c>
      <c r="D441" s="260">
        <v>46286</v>
      </c>
      <c r="E441" s="260">
        <v>46290</v>
      </c>
      <c r="F441">
        <v>65</v>
      </c>
      <c r="G441" t="s">
        <v>350</v>
      </c>
    </row>
    <row r="442" spans="1:7">
      <c r="A442" t="s">
        <v>1220</v>
      </c>
      <c r="B442" t="s">
        <v>1221</v>
      </c>
      <c r="C442">
        <v>15</v>
      </c>
      <c r="D442" s="260">
        <v>46177</v>
      </c>
      <c r="E442" s="260">
        <v>46197</v>
      </c>
      <c r="F442">
        <v>65</v>
      </c>
      <c r="G442" t="s">
        <v>350</v>
      </c>
    </row>
    <row r="443" spans="1:7">
      <c r="A443" t="s">
        <v>1222</v>
      </c>
      <c r="B443" t="s">
        <v>1223</v>
      </c>
      <c r="C443">
        <v>5</v>
      </c>
      <c r="D443" s="260">
        <v>46286</v>
      </c>
      <c r="E443" s="260">
        <v>46290</v>
      </c>
      <c r="F443">
        <v>65</v>
      </c>
      <c r="G443" t="s">
        <v>350</v>
      </c>
    </row>
    <row r="444" spans="1:7">
      <c r="A444" t="s">
        <v>1224</v>
      </c>
      <c r="B444" t="s">
        <v>1225</v>
      </c>
      <c r="C444">
        <v>15</v>
      </c>
      <c r="D444" s="260">
        <v>46177</v>
      </c>
      <c r="E444" s="260">
        <v>46197</v>
      </c>
      <c r="F444">
        <v>65</v>
      </c>
      <c r="G444" t="s">
        <v>350</v>
      </c>
    </row>
    <row r="445" spans="1:7">
      <c r="A445" t="s">
        <v>1226</v>
      </c>
      <c r="B445" t="s">
        <v>1227</v>
      </c>
      <c r="C445">
        <v>5</v>
      </c>
      <c r="D445" s="260">
        <v>46286</v>
      </c>
      <c r="E445" s="260">
        <v>46290</v>
      </c>
      <c r="F445">
        <v>65</v>
      </c>
      <c r="G445" t="s">
        <v>350</v>
      </c>
    </row>
    <row r="446" spans="1:7">
      <c r="A446" t="s">
        <v>1228</v>
      </c>
      <c r="B446" t="s">
        <v>1229</v>
      </c>
      <c r="C446">
        <v>15</v>
      </c>
      <c r="D446" s="260">
        <v>46149</v>
      </c>
      <c r="E446" s="260">
        <v>46169</v>
      </c>
      <c r="F446">
        <v>81</v>
      </c>
      <c r="G446" t="s">
        <v>350</v>
      </c>
    </row>
    <row r="447" spans="1:7">
      <c r="A447" t="s">
        <v>1230</v>
      </c>
      <c r="B447" t="s">
        <v>1231</v>
      </c>
      <c r="C447">
        <v>5</v>
      </c>
      <c r="D447" s="260">
        <v>46262</v>
      </c>
      <c r="E447" s="260">
        <v>46268</v>
      </c>
      <c r="F447">
        <v>81</v>
      </c>
      <c r="G447" t="s">
        <v>350</v>
      </c>
    </row>
    <row r="448" spans="1:7">
      <c r="A448" t="s">
        <v>1232</v>
      </c>
      <c r="B448" t="s">
        <v>1233</v>
      </c>
      <c r="C448">
        <v>15</v>
      </c>
      <c r="D448" s="260">
        <v>46178</v>
      </c>
      <c r="E448" s="260">
        <v>46198</v>
      </c>
      <c r="F448">
        <v>78</v>
      </c>
      <c r="G448" t="s">
        <v>350</v>
      </c>
    </row>
    <row r="449" spans="1:7">
      <c r="A449" t="s">
        <v>1234</v>
      </c>
      <c r="B449" t="s">
        <v>1235</v>
      </c>
      <c r="C449">
        <v>5</v>
      </c>
      <c r="D449" s="260">
        <v>46267</v>
      </c>
      <c r="E449" s="260">
        <v>46273</v>
      </c>
      <c r="F449">
        <v>78</v>
      </c>
      <c r="G449" t="s">
        <v>350</v>
      </c>
    </row>
    <row r="450" spans="1:7">
      <c r="A450" t="s">
        <v>1236</v>
      </c>
      <c r="B450" t="s">
        <v>1237</v>
      </c>
      <c r="C450">
        <v>15</v>
      </c>
      <c r="D450" s="260">
        <v>46178</v>
      </c>
      <c r="E450" s="260">
        <v>46198</v>
      </c>
      <c r="F450">
        <v>78</v>
      </c>
      <c r="G450" t="s">
        <v>350</v>
      </c>
    </row>
    <row r="451" spans="1:7">
      <c r="A451" t="s">
        <v>1238</v>
      </c>
      <c r="B451" t="s">
        <v>1239</v>
      </c>
      <c r="C451">
        <v>5</v>
      </c>
      <c r="D451" s="260">
        <v>46267</v>
      </c>
      <c r="E451" s="260">
        <v>46273</v>
      </c>
      <c r="F451">
        <v>78</v>
      </c>
      <c r="G451" t="s">
        <v>350</v>
      </c>
    </row>
    <row r="452" spans="1:7">
      <c r="A452" t="s">
        <v>1240</v>
      </c>
      <c r="B452" t="s">
        <v>1241</v>
      </c>
      <c r="C452">
        <v>15</v>
      </c>
      <c r="D452" s="260">
        <v>46178</v>
      </c>
      <c r="E452" s="260">
        <v>46198</v>
      </c>
      <c r="F452">
        <v>78</v>
      </c>
      <c r="G452" t="s">
        <v>350</v>
      </c>
    </row>
    <row r="453" spans="1:7">
      <c r="A453" t="s">
        <v>1242</v>
      </c>
      <c r="B453" t="s">
        <v>1243</v>
      </c>
      <c r="C453">
        <v>5</v>
      </c>
      <c r="D453" s="260">
        <v>46267</v>
      </c>
      <c r="E453" s="260">
        <v>46273</v>
      </c>
      <c r="F453">
        <v>78</v>
      </c>
      <c r="G453" t="s">
        <v>350</v>
      </c>
    </row>
    <row r="454" spans="1:7">
      <c r="A454" t="s">
        <v>1244</v>
      </c>
      <c r="B454" t="s">
        <v>1245</v>
      </c>
      <c r="C454">
        <v>15</v>
      </c>
      <c r="D454" s="260">
        <v>46178</v>
      </c>
      <c r="E454" s="260">
        <v>46198</v>
      </c>
      <c r="F454">
        <v>78</v>
      </c>
      <c r="G454" t="s">
        <v>350</v>
      </c>
    </row>
    <row r="455" spans="1:7">
      <c r="A455" t="s">
        <v>1246</v>
      </c>
      <c r="B455" t="s">
        <v>1247</v>
      </c>
      <c r="C455">
        <v>5</v>
      </c>
      <c r="D455" s="260">
        <v>46267</v>
      </c>
      <c r="E455" s="260">
        <v>46273</v>
      </c>
      <c r="F455">
        <v>78</v>
      </c>
      <c r="G455" t="s">
        <v>350</v>
      </c>
    </row>
    <row r="456" spans="1:7">
      <c r="A456" t="s">
        <v>1248</v>
      </c>
      <c r="B456" t="s">
        <v>1249</v>
      </c>
      <c r="C456">
        <v>15</v>
      </c>
      <c r="D456" s="260">
        <v>46178</v>
      </c>
      <c r="E456" s="260">
        <v>46198</v>
      </c>
      <c r="F456">
        <v>78</v>
      </c>
      <c r="G456" t="s">
        <v>350</v>
      </c>
    </row>
    <row r="457" spans="1:7">
      <c r="A457" t="s">
        <v>1250</v>
      </c>
      <c r="B457" t="s">
        <v>1251</v>
      </c>
      <c r="C457">
        <v>5</v>
      </c>
      <c r="D457" s="260">
        <v>46267</v>
      </c>
      <c r="E457" s="260">
        <v>46273</v>
      </c>
      <c r="F457">
        <v>78</v>
      </c>
      <c r="G457" t="s">
        <v>350</v>
      </c>
    </row>
    <row r="458" spans="1:7">
      <c r="A458" t="s">
        <v>1252</v>
      </c>
      <c r="B458" t="s">
        <v>1253</v>
      </c>
      <c r="C458">
        <v>15</v>
      </c>
      <c r="D458" s="260">
        <v>46178</v>
      </c>
      <c r="E458" s="260">
        <v>46198</v>
      </c>
      <c r="F458">
        <v>78</v>
      </c>
      <c r="G458" t="s">
        <v>350</v>
      </c>
    </row>
    <row r="459" spans="1:7">
      <c r="A459" t="s">
        <v>1254</v>
      </c>
      <c r="B459" t="s">
        <v>1255</v>
      </c>
      <c r="C459">
        <v>5</v>
      </c>
      <c r="D459" s="260">
        <v>46267</v>
      </c>
      <c r="E459" s="260">
        <v>46273</v>
      </c>
      <c r="F459">
        <v>78</v>
      </c>
      <c r="G459" t="s">
        <v>350</v>
      </c>
    </row>
    <row r="460" spans="1:7">
      <c r="A460" t="s">
        <v>1256</v>
      </c>
      <c r="B460" t="s">
        <v>1257</v>
      </c>
      <c r="C460">
        <v>15</v>
      </c>
      <c r="D460" s="260">
        <v>46178</v>
      </c>
      <c r="E460" s="260">
        <v>46198</v>
      </c>
      <c r="F460">
        <v>78</v>
      </c>
      <c r="G460" t="s">
        <v>350</v>
      </c>
    </row>
    <row r="461" spans="1:7">
      <c r="A461" t="s">
        <v>1258</v>
      </c>
      <c r="B461" t="s">
        <v>1259</v>
      </c>
      <c r="C461">
        <v>5</v>
      </c>
      <c r="D461" s="260">
        <v>46267</v>
      </c>
      <c r="E461" s="260">
        <v>46273</v>
      </c>
      <c r="F461">
        <v>78</v>
      </c>
      <c r="G461" t="s">
        <v>350</v>
      </c>
    </row>
    <row r="462" spans="1:7">
      <c r="A462" t="s">
        <v>1260</v>
      </c>
      <c r="B462" t="s">
        <v>1261</v>
      </c>
      <c r="C462">
        <v>15</v>
      </c>
      <c r="D462" s="260">
        <v>46178</v>
      </c>
      <c r="E462" s="260">
        <v>46198</v>
      </c>
      <c r="F462">
        <v>80</v>
      </c>
      <c r="G462" t="s">
        <v>350</v>
      </c>
    </row>
    <row r="463" spans="1:7">
      <c r="A463" t="s">
        <v>1262</v>
      </c>
      <c r="B463" t="s">
        <v>1263</v>
      </c>
      <c r="C463">
        <v>5</v>
      </c>
      <c r="D463" s="260">
        <v>46267</v>
      </c>
      <c r="E463" s="260">
        <v>46273</v>
      </c>
      <c r="F463">
        <v>78</v>
      </c>
      <c r="G463" t="s">
        <v>350</v>
      </c>
    </row>
    <row r="464" spans="1:7">
      <c r="A464" t="s">
        <v>1264</v>
      </c>
      <c r="B464" t="s">
        <v>1265</v>
      </c>
      <c r="C464">
        <v>15</v>
      </c>
      <c r="D464" s="260">
        <v>46199</v>
      </c>
      <c r="E464" s="260">
        <v>46219</v>
      </c>
      <c r="F464">
        <v>52</v>
      </c>
      <c r="G464" t="s">
        <v>350</v>
      </c>
    </row>
    <row r="465" spans="1:7">
      <c r="A465" t="s">
        <v>1266</v>
      </c>
      <c r="B465" t="s">
        <v>1267</v>
      </c>
      <c r="C465">
        <v>5</v>
      </c>
      <c r="D465" s="260">
        <v>46303</v>
      </c>
      <c r="E465" s="260">
        <v>46310</v>
      </c>
      <c r="F465">
        <v>52</v>
      </c>
      <c r="G465" t="s">
        <v>350</v>
      </c>
    </row>
    <row r="466" spans="1:7">
      <c r="A466" t="s">
        <v>1268</v>
      </c>
      <c r="B466" t="s">
        <v>1269</v>
      </c>
      <c r="C466">
        <v>15</v>
      </c>
      <c r="D466" s="260">
        <v>46199</v>
      </c>
      <c r="E466" s="260">
        <v>46219</v>
      </c>
      <c r="F466">
        <v>52</v>
      </c>
      <c r="G466" t="s">
        <v>350</v>
      </c>
    </row>
    <row r="467" spans="1:7">
      <c r="A467" t="s">
        <v>1270</v>
      </c>
      <c r="B467" t="s">
        <v>1271</v>
      </c>
      <c r="C467">
        <v>5</v>
      </c>
      <c r="D467" s="260">
        <v>46303</v>
      </c>
      <c r="E467" s="260">
        <v>46310</v>
      </c>
      <c r="F467">
        <v>52</v>
      </c>
      <c r="G467" t="s">
        <v>350</v>
      </c>
    </row>
    <row r="468" spans="1:7">
      <c r="A468" t="s">
        <v>1272</v>
      </c>
      <c r="B468" t="s">
        <v>1273</v>
      </c>
      <c r="C468">
        <v>15</v>
      </c>
      <c r="D468" s="260">
        <v>46199</v>
      </c>
      <c r="E468" s="260">
        <v>46219</v>
      </c>
      <c r="F468">
        <v>52</v>
      </c>
      <c r="G468" t="s">
        <v>350</v>
      </c>
    </row>
    <row r="469" spans="1:7">
      <c r="A469" t="s">
        <v>1274</v>
      </c>
      <c r="B469" t="s">
        <v>1275</v>
      </c>
      <c r="C469">
        <v>5</v>
      </c>
      <c r="D469" s="260">
        <v>46303</v>
      </c>
      <c r="E469" s="260">
        <v>46310</v>
      </c>
      <c r="F469">
        <v>52</v>
      </c>
      <c r="G469" t="s">
        <v>350</v>
      </c>
    </row>
    <row r="470" spans="1:7">
      <c r="A470" t="s">
        <v>1276</v>
      </c>
      <c r="B470" t="s">
        <v>1277</v>
      </c>
      <c r="C470">
        <v>15</v>
      </c>
      <c r="D470" s="260">
        <v>46199</v>
      </c>
      <c r="E470" s="260">
        <v>46219</v>
      </c>
      <c r="F470">
        <v>52</v>
      </c>
      <c r="G470" t="s">
        <v>350</v>
      </c>
    </row>
    <row r="471" spans="1:7">
      <c r="A471" t="s">
        <v>1278</v>
      </c>
      <c r="B471" t="s">
        <v>1279</v>
      </c>
      <c r="C471">
        <v>5</v>
      </c>
      <c r="D471" s="260">
        <v>46303</v>
      </c>
      <c r="E471" s="260">
        <v>46310</v>
      </c>
      <c r="F471">
        <v>52</v>
      </c>
      <c r="G471" t="s">
        <v>350</v>
      </c>
    </row>
    <row r="472" spans="1:7">
      <c r="A472" t="s">
        <v>1280</v>
      </c>
      <c r="B472" t="s">
        <v>1281</v>
      </c>
      <c r="C472">
        <v>15</v>
      </c>
      <c r="D472" s="260">
        <v>46199</v>
      </c>
      <c r="E472" s="260">
        <v>46219</v>
      </c>
      <c r="F472">
        <v>52</v>
      </c>
      <c r="G472" t="s">
        <v>350</v>
      </c>
    </row>
    <row r="473" spans="1:7">
      <c r="A473" t="s">
        <v>1282</v>
      </c>
      <c r="B473" t="s">
        <v>1283</v>
      </c>
      <c r="C473">
        <v>5</v>
      </c>
      <c r="D473" s="260">
        <v>46303</v>
      </c>
      <c r="E473" s="260">
        <v>46310</v>
      </c>
      <c r="F473">
        <v>52</v>
      </c>
      <c r="G473" t="s">
        <v>350</v>
      </c>
    </row>
    <row r="474" spans="1:7">
      <c r="A474" t="s">
        <v>1284</v>
      </c>
      <c r="B474" t="s">
        <v>1285</v>
      </c>
      <c r="C474">
        <v>15</v>
      </c>
      <c r="D474" s="260">
        <v>46199</v>
      </c>
      <c r="E474" s="260">
        <v>46219</v>
      </c>
      <c r="F474">
        <v>52</v>
      </c>
      <c r="G474" t="s">
        <v>350</v>
      </c>
    </row>
    <row r="475" spans="1:7">
      <c r="A475" t="s">
        <v>1286</v>
      </c>
      <c r="B475" t="s">
        <v>1287</v>
      </c>
      <c r="C475">
        <v>5</v>
      </c>
      <c r="D475" s="260">
        <v>46303</v>
      </c>
      <c r="E475" s="260">
        <v>46310</v>
      </c>
      <c r="F475">
        <v>52</v>
      </c>
      <c r="G475" t="s">
        <v>350</v>
      </c>
    </row>
    <row r="476" spans="1:7">
      <c r="A476" t="s">
        <v>1288</v>
      </c>
      <c r="B476" t="s">
        <v>1289</v>
      </c>
      <c r="C476">
        <v>15</v>
      </c>
      <c r="D476" s="260">
        <v>46199</v>
      </c>
      <c r="E476" s="260">
        <v>46219</v>
      </c>
      <c r="F476">
        <v>52</v>
      </c>
      <c r="G476" t="s">
        <v>350</v>
      </c>
    </row>
    <row r="477" spans="1:7">
      <c r="A477" t="s">
        <v>1290</v>
      </c>
      <c r="B477" t="s">
        <v>1291</v>
      </c>
      <c r="C477">
        <v>5</v>
      </c>
      <c r="D477" s="260">
        <v>46303</v>
      </c>
      <c r="E477" s="260">
        <v>46310</v>
      </c>
      <c r="F477">
        <v>52</v>
      </c>
      <c r="G477" t="s">
        <v>350</v>
      </c>
    </row>
    <row r="478" spans="1:7">
      <c r="A478" t="s">
        <v>1292</v>
      </c>
      <c r="B478" t="s">
        <v>1293</v>
      </c>
      <c r="C478">
        <v>15</v>
      </c>
      <c r="D478" s="260">
        <v>46199</v>
      </c>
      <c r="E478" s="260">
        <v>46219</v>
      </c>
      <c r="F478">
        <v>52</v>
      </c>
      <c r="G478" t="s">
        <v>350</v>
      </c>
    </row>
    <row r="479" spans="1:7">
      <c r="A479" t="s">
        <v>1294</v>
      </c>
      <c r="B479" t="s">
        <v>1295</v>
      </c>
      <c r="C479">
        <v>5</v>
      </c>
      <c r="D479" s="260">
        <v>46303</v>
      </c>
      <c r="E479" s="260">
        <v>46310</v>
      </c>
      <c r="F479">
        <v>52</v>
      </c>
      <c r="G479" t="s">
        <v>350</v>
      </c>
    </row>
    <row r="480" spans="1:7">
      <c r="A480" t="s">
        <v>1296</v>
      </c>
      <c r="B480" t="s">
        <v>1297</v>
      </c>
      <c r="C480">
        <v>15</v>
      </c>
      <c r="D480" s="260">
        <v>46199</v>
      </c>
      <c r="E480" s="260">
        <v>46219</v>
      </c>
      <c r="F480">
        <v>61</v>
      </c>
      <c r="G480" t="s">
        <v>350</v>
      </c>
    </row>
    <row r="481" spans="1:7">
      <c r="A481" t="s">
        <v>1298</v>
      </c>
      <c r="B481" t="s">
        <v>1299</v>
      </c>
      <c r="C481">
        <v>5</v>
      </c>
      <c r="D481" s="260">
        <v>46303</v>
      </c>
      <c r="E481" s="260">
        <v>46310</v>
      </c>
      <c r="F481">
        <v>61</v>
      </c>
      <c r="G481" t="s">
        <v>350</v>
      </c>
    </row>
    <row r="482" spans="1:7">
      <c r="A482" t="s">
        <v>1300</v>
      </c>
      <c r="C482">
        <v>64</v>
      </c>
      <c r="D482" s="260">
        <v>46195</v>
      </c>
      <c r="E482" s="260">
        <v>46288</v>
      </c>
      <c r="F482">
        <v>61</v>
      </c>
      <c r="G482" t="s">
        <v>350</v>
      </c>
    </row>
    <row r="483" spans="1:7">
      <c r="A483" t="s">
        <v>1301</v>
      </c>
      <c r="B483" t="s">
        <v>1302</v>
      </c>
      <c r="C483">
        <v>11</v>
      </c>
      <c r="D483" s="260">
        <v>46220</v>
      </c>
      <c r="E483" s="260">
        <v>46239</v>
      </c>
      <c r="F483">
        <v>71</v>
      </c>
      <c r="G483" t="s">
        <v>350</v>
      </c>
    </row>
    <row r="484" spans="1:7">
      <c r="A484" t="s">
        <v>1303</v>
      </c>
      <c r="B484" t="s">
        <v>1304</v>
      </c>
      <c r="C484">
        <v>5</v>
      </c>
      <c r="D484" s="260">
        <v>46255</v>
      </c>
      <c r="E484" s="260">
        <v>46261</v>
      </c>
      <c r="F484">
        <v>71</v>
      </c>
      <c r="G484" t="s">
        <v>350</v>
      </c>
    </row>
    <row r="485" spans="1:7">
      <c r="A485" t="s">
        <v>1305</v>
      </c>
      <c r="B485" t="s">
        <v>1306</v>
      </c>
      <c r="C485">
        <v>11</v>
      </c>
      <c r="D485" s="260">
        <v>46220</v>
      </c>
      <c r="E485" s="260">
        <v>46239</v>
      </c>
      <c r="F485">
        <v>71</v>
      </c>
      <c r="G485" t="s">
        <v>350</v>
      </c>
    </row>
    <row r="486" spans="1:7">
      <c r="A486" t="s">
        <v>1307</v>
      </c>
      <c r="B486" t="s">
        <v>1308</v>
      </c>
      <c r="C486">
        <v>5</v>
      </c>
      <c r="D486" s="260">
        <v>46255</v>
      </c>
      <c r="E486" s="260">
        <v>46261</v>
      </c>
      <c r="F486">
        <v>71</v>
      </c>
      <c r="G486" t="s">
        <v>350</v>
      </c>
    </row>
    <row r="487" spans="1:7">
      <c r="A487" t="s">
        <v>1309</v>
      </c>
      <c r="B487" t="s">
        <v>1310</v>
      </c>
      <c r="C487">
        <v>16</v>
      </c>
      <c r="D487" s="260">
        <v>46223</v>
      </c>
      <c r="E487" s="260">
        <v>46248</v>
      </c>
      <c r="F487">
        <v>65</v>
      </c>
      <c r="G487" t="s">
        <v>350</v>
      </c>
    </row>
    <row r="488" spans="1:7">
      <c r="A488" t="s">
        <v>1311</v>
      </c>
      <c r="B488" t="s">
        <v>1312</v>
      </c>
      <c r="C488">
        <v>5</v>
      </c>
      <c r="D488" s="260">
        <v>46265</v>
      </c>
      <c r="E488" s="260">
        <v>46269</v>
      </c>
      <c r="F488">
        <v>65</v>
      </c>
      <c r="G488" t="s">
        <v>350</v>
      </c>
    </row>
    <row r="489" spans="1:7">
      <c r="A489" t="s">
        <v>1313</v>
      </c>
      <c r="B489" t="s">
        <v>1314</v>
      </c>
      <c r="C489">
        <v>16</v>
      </c>
      <c r="D489" s="260">
        <v>46223</v>
      </c>
      <c r="E489" s="260">
        <v>46248</v>
      </c>
      <c r="F489">
        <v>65</v>
      </c>
      <c r="G489" t="s">
        <v>350</v>
      </c>
    </row>
    <row r="490" spans="1:7">
      <c r="A490" t="s">
        <v>1315</v>
      </c>
      <c r="B490" t="s">
        <v>1316</v>
      </c>
      <c r="C490">
        <v>5</v>
      </c>
      <c r="D490" s="260">
        <v>46265</v>
      </c>
      <c r="E490" s="260">
        <v>46269</v>
      </c>
      <c r="F490">
        <v>65</v>
      </c>
      <c r="G490" t="s">
        <v>350</v>
      </c>
    </row>
    <row r="491" spans="1:7">
      <c r="A491" t="s">
        <v>1317</v>
      </c>
      <c r="B491" t="s">
        <v>1318</v>
      </c>
      <c r="C491">
        <v>16</v>
      </c>
      <c r="D491" s="260">
        <v>46223</v>
      </c>
      <c r="E491" s="260">
        <v>46248</v>
      </c>
      <c r="F491">
        <v>65</v>
      </c>
      <c r="G491" t="s">
        <v>350</v>
      </c>
    </row>
    <row r="492" spans="1:7">
      <c r="A492" t="s">
        <v>1319</v>
      </c>
      <c r="B492" t="s">
        <v>1320</v>
      </c>
      <c r="C492">
        <v>5</v>
      </c>
      <c r="D492" s="260">
        <v>46265</v>
      </c>
      <c r="E492" s="260">
        <v>46269</v>
      </c>
      <c r="F492">
        <v>65</v>
      </c>
      <c r="G492" t="s">
        <v>350</v>
      </c>
    </row>
    <row r="493" spans="1:7">
      <c r="A493" t="s">
        <v>1321</v>
      </c>
      <c r="B493" t="s">
        <v>1322</v>
      </c>
      <c r="C493">
        <v>16</v>
      </c>
      <c r="D493" s="260">
        <v>46223</v>
      </c>
      <c r="E493" s="260">
        <v>46248</v>
      </c>
      <c r="F493">
        <v>65</v>
      </c>
      <c r="G493" t="s">
        <v>350</v>
      </c>
    </row>
    <row r="494" spans="1:7">
      <c r="A494" t="s">
        <v>1323</v>
      </c>
      <c r="B494" t="s">
        <v>1324</v>
      </c>
      <c r="C494">
        <v>5</v>
      </c>
      <c r="D494" s="260">
        <v>46265</v>
      </c>
      <c r="E494" s="260">
        <v>46269</v>
      </c>
      <c r="F494">
        <v>65</v>
      </c>
      <c r="G494" t="s">
        <v>350</v>
      </c>
    </row>
    <row r="495" spans="1:7">
      <c r="A495" t="s">
        <v>1325</v>
      </c>
      <c r="B495" t="s">
        <v>1326</v>
      </c>
      <c r="C495">
        <v>20</v>
      </c>
      <c r="D495" s="260">
        <v>46195</v>
      </c>
      <c r="E495" s="260">
        <v>46220</v>
      </c>
      <c r="F495">
        <v>81</v>
      </c>
      <c r="G495" t="s">
        <v>350</v>
      </c>
    </row>
    <row r="496" spans="1:7">
      <c r="A496" t="s">
        <v>1327</v>
      </c>
      <c r="B496" t="s">
        <v>1328</v>
      </c>
      <c r="C496">
        <v>5</v>
      </c>
      <c r="D496" s="260">
        <v>46240</v>
      </c>
      <c r="E496" s="260">
        <v>46247</v>
      </c>
      <c r="F496">
        <v>81</v>
      </c>
      <c r="G496" t="s">
        <v>350</v>
      </c>
    </row>
    <row r="497" spans="1:7">
      <c r="A497" t="s">
        <v>1329</v>
      </c>
      <c r="B497" t="s">
        <v>1330</v>
      </c>
      <c r="C497">
        <v>8</v>
      </c>
      <c r="D497" s="260">
        <v>46216</v>
      </c>
      <c r="E497" s="260">
        <v>46225</v>
      </c>
      <c r="F497">
        <v>78</v>
      </c>
      <c r="G497" t="s">
        <v>350</v>
      </c>
    </row>
    <row r="498" spans="1:7">
      <c r="A498" t="s">
        <v>1331</v>
      </c>
      <c r="B498" t="s">
        <v>1332</v>
      </c>
      <c r="C498">
        <v>5</v>
      </c>
      <c r="D498" s="260">
        <v>46245</v>
      </c>
      <c r="E498" s="260">
        <v>46252</v>
      </c>
      <c r="F498">
        <v>78</v>
      </c>
      <c r="G498" t="s">
        <v>350</v>
      </c>
    </row>
    <row r="499" spans="1:7">
      <c r="A499" t="s">
        <v>1333</v>
      </c>
      <c r="B499" t="s">
        <v>1334</v>
      </c>
      <c r="C499">
        <v>8</v>
      </c>
      <c r="D499" s="260">
        <v>46216</v>
      </c>
      <c r="E499" s="260">
        <v>46225</v>
      </c>
      <c r="F499">
        <v>78</v>
      </c>
      <c r="G499" t="s">
        <v>350</v>
      </c>
    </row>
    <row r="500" spans="1:7">
      <c r="A500" t="s">
        <v>1335</v>
      </c>
      <c r="B500" t="s">
        <v>1336</v>
      </c>
      <c r="C500">
        <v>5</v>
      </c>
      <c r="D500" s="260">
        <v>46245</v>
      </c>
      <c r="E500" s="260">
        <v>46252</v>
      </c>
      <c r="F500">
        <v>78</v>
      </c>
      <c r="G500" t="s">
        <v>350</v>
      </c>
    </row>
    <row r="501" spans="1:7">
      <c r="A501" t="s">
        <v>1337</v>
      </c>
      <c r="B501" t="s">
        <v>1338</v>
      </c>
      <c r="C501">
        <v>8</v>
      </c>
      <c r="D501" s="260">
        <v>46216</v>
      </c>
      <c r="E501" s="260">
        <v>46225</v>
      </c>
      <c r="F501">
        <v>78</v>
      </c>
      <c r="G501" t="s">
        <v>350</v>
      </c>
    </row>
    <row r="502" spans="1:7">
      <c r="A502" t="s">
        <v>1339</v>
      </c>
      <c r="B502" t="s">
        <v>1340</v>
      </c>
      <c r="C502">
        <v>5</v>
      </c>
      <c r="D502" s="260">
        <v>46245</v>
      </c>
      <c r="E502" s="260">
        <v>46252</v>
      </c>
      <c r="F502">
        <v>78</v>
      </c>
      <c r="G502" t="s">
        <v>350</v>
      </c>
    </row>
    <row r="503" spans="1:7">
      <c r="A503" t="s">
        <v>1341</v>
      </c>
      <c r="B503" t="s">
        <v>1342</v>
      </c>
      <c r="C503">
        <v>8</v>
      </c>
      <c r="D503" s="260">
        <v>46216</v>
      </c>
      <c r="E503" s="260">
        <v>46225</v>
      </c>
      <c r="F503">
        <v>78</v>
      </c>
      <c r="G503" t="s">
        <v>350</v>
      </c>
    </row>
    <row r="504" spans="1:7">
      <c r="A504" t="s">
        <v>1343</v>
      </c>
      <c r="B504" t="s">
        <v>1344</v>
      </c>
      <c r="C504">
        <v>5</v>
      </c>
      <c r="D504" s="260">
        <v>46245</v>
      </c>
      <c r="E504" s="260">
        <v>46252</v>
      </c>
      <c r="F504">
        <v>78</v>
      </c>
      <c r="G504" t="s">
        <v>350</v>
      </c>
    </row>
    <row r="505" spans="1:7">
      <c r="A505" t="s">
        <v>1345</v>
      </c>
      <c r="B505" t="s">
        <v>1346</v>
      </c>
      <c r="C505">
        <v>8</v>
      </c>
      <c r="D505" s="260">
        <v>46216</v>
      </c>
      <c r="E505" s="260">
        <v>46225</v>
      </c>
      <c r="F505">
        <v>78</v>
      </c>
      <c r="G505" t="s">
        <v>350</v>
      </c>
    </row>
    <row r="506" spans="1:7">
      <c r="A506" t="s">
        <v>1347</v>
      </c>
      <c r="B506" t="s">
        <v>1348</v>
      </c>
      <c r="C506">
        <v>5</v>
      </c>
      <c r="D506" s="260">
        <v>46245</v>
      </c>
      <c r="E506" s="260">
        <v>46252</v>
      </c>
      <c r="F506">
        <v>78</v>
      </c>
      <c r="G506" t="s">
        <v>350</v>
      </c>
    </row>
    <row r="507" spans="1:7">
      <c r="A507" t="s">
        <v>1349</v>
      </c>
      <c r="B507" t="s">
        <v>1350</v>
      </c>
      <c r="C507">
        <v>8</v>
      </c>
      <c r="D507" s="260">
        <v>46216</v>
      </c>
      <c r="E507" s="260">
        <v>46225</v>
      </c>
      <c r="F507">
        <v>78</v>
      </c>
      <c r="G507" t="s">
        <v>350</v>
      </c>
    </row>
    <row r="508" spans="1:7">
      <c r="A508" t="s">
        <v>1351</v>
      </c>
      <c r="B508" t="s">
        <v>1352</v>
      </c>
      <c r="C508">
        <v>5</v>
      </c>
      <c r="D508" s="260">
        <v>46245</v>
      </c>
      <c r="E508" s="260">
        <v>46252</v>
      </c>
      <c r="F508">
        <v>78</v>
      </c>
      <c r="G508" t="s">
        <v>350</v>
      </c>
    </row>
    <row r="509" spans="1:7">
      <c r="A509" t="s">
        <v>1353</v>
      </c>
      <c r="B509" t="s">
        <v>1354</v>
      </c>
      <c r="C509">
        <v>8</v>
      </c>
      <c r="D509" s="260">
        <v>46216</v>
      </c>
      <c r="E509" s="260">
        <v>46225</v>
      </c>
      <c r="F509">
        <v>78</v>
      </c>
      <c r="G509" t="s">
        <v>350</v>
      </c>
    </row>
    <row r="510" spans="1:7">
      <c r="A510" t="s">
        <v>1355</v>
      </c>
      <c r="B510" t="s">
        <v>1356</v>
      </c>
      <c r="C510">
        <v>5</v>
      </c>
      <c r="D510" s="260">
        <v>46245</v>
      </c>
      <c r="E510" s="260">
        <v>46252</v>
      </c>
      <c r="F510">
        <v>78</v>
      </c>
      <c r="G510" t="s">
        <v>350</v>
      </c>
    </row>
    <row r="511" spans="1:7">
      <c r="A511" t="s">
        <v>1357</v>
      </c>
      <c r="B511" t="s">
        <v>1358</v>
      </c>
      <c r="C511">
        <v>8</v>
      </c>
      <c r="D511" s="260">
        <v>46216</v>
      </c>
      <c r="E511" s="260">
        <v>46225</v>
      </c>
      <c r="F511">
        <v>80</v>
      </c>
      <c r="G511" t="s">
        <v>350</v>
      </c>
    </row>
    <row r="512" spans="1:7">
      <c r="A512" t="s">
        <v>1359</v>
      </c>
      <c r="B512" t="s">
        <v>1360</v>
      </c>
      <c r="C512">
        <v>3</v>
      </c>
      <c r="D512" s="260">
        <v>46245</v>
      </c>
      <c r="E512" s="260">
        <v>46248</v>
      </c>
      <c r="F512">
        <v>80</v>
      </c>
      <c r="G512" t="s">
        <v>350</v>
      </c>
    </row>
    <row r="513" spans="1:7">
      <c r="A513" t="s">
        <v>1361</v>
      </c>
      <c r="B513" t="s">
        <v>1362</v>
      </c>
      <c r="C513">
        <v>15</v>
      </c>
      <c r="D513" s="260">
        <v>46247</v>
      </c>
      <c r="E513" s="260">
        <v>46267</v>
      </c>
      <c r="F513">
        <v>52</v>
      </c>
      <c r="G513" t="s">
        <v>350</v>
      </c>
    </row>
    <row r="514" spans="1:7">
      <c r="A514" t="s">
        <v>1363</v>
      </c>
      <c r="B514" t="s">
        <v>1364</v>
      </c>
      <c r="C514">
        <v>5</v>
      </c>
      <c r="D514" s="260">
        <v>46282</v>
      </c>
      <c r="E514" s="260">
        <v>46288</v>
      </c>
      <c r="F514">
        <v>52</v>
      </c>
      <c r="G514" t="s">
        <v>350</v>
      </c>
    </row>
    <row r="515" spans="1:7">
      <c r="A515" t="s">
        <v>1365</v>
      </c>
      <c r="B515" t="s">
        <v>1366</v>
      </c>
      <c r="C515">
        <v>15</v>
      </c>
      <c r="D515" s="260">
        <v>46247</v>
      </c>
      <c r="E515" s="260">
        <v>46267</v>
      </c>
      <c r="F515">
        <v>52</v>
      </c>
      <c r="G515" t="s">
        <v>350</v>
      </c>
    </row>
    <row r="516" spans="1:7">
      <c r="A516" t="s">
        <v>1367</v>
      </c>
      <c r="B516" t="s">
        <v>1368</v>
      </c>
      <c r="C516">
        <v>5</v>
      </c>
      <c r="D516" s="260">
        <v>46282</v>
      </c>
      <c r="E516" s="260">
        <v>46288</v>
      </c>
      <c r="F516">
        <v>52</v>
      </c>
      <c r="G516" t="s">
        <v>350</v>
      </c>
    </row>
    <row r="517" spans="1:7">
      <c r="A517" t="s">
        <v>1369</v>
      </c>
      <c r="B517" t="s">
        <v>1370</v>
      </c>
      <c r="C517">
        <v>15</v>
      </c>
      <c r="D517" s="260">
        <v>46247</v>
      </c>
      <c r="E517" s="260">
        <v>46267</v>
      </c>
      <c r="F517">
        <v>52</v>
      </c>
      <c r="G517" t="s">
        <v>350</v>
      </c>
    </row>
    <row r="518" spans="1:7">
      <c r="A518" t="s">
        <v>1371</v>
      </c>
      <c r="B518" t="s">
        <v>1372</v>
      </c>
      <c r="C518">
        <v>5</v>
      </c>
      <c r="D518" s="260">
        <v>46282</v>
      </c>
      <c r="E518" s="260">
        <v>46288</v>
      </c>
      <c r="F518">
        <v>52</v>
      </c>
      <c r="G518" t="s">
        <v>350</v>
      </c>
    </row>
    <row r="519" spans="1:7">
      <c r="A519" t="s">
        <v>1373</v>
      </c>
      <c r="B519" t="s">
        <v>1374</v>
      </c>
      <c r="C519">
        <v>15</v>
      </c>
      <c r="D519" s="260">
        <v>46247</v>
      </c>
      <c r="E519" s="260">
        <v>46267</v>
      </c>
      <c r="F519">
        <v>52</v>
      </c>
      <c r="G519" t="s">
        <v>350</v>
      </c>
    </row>
    <row r="520" spans="1:7">
      <c r="A520" t="s">
        <v>1375</v>
      </c>
      <c r="B520" t="s">
        <v>1376</v>
      </c>
      <c r="C520">
        <v>5</v>
      </c>
      <c r="D520" s="260">
        <v>46282</v>
      </c>
      <c r="E520" s="260">
        <v>46288</v>
      </c>
      <c r="F520">
        <v>52</v>
      </c>
      <c r="G520" t="s">
        <v>350</v>
      </c>
    </row>
    <row r="521" spans="1:7">
      <c r="A521" t="s">
        <v>1377</v>
      </c>
      <c r="B521" t="s">
        <v>1378</v>
      </c>
      <c r="C521">
        <v>15</v>
      </c>
      <c r="D521" s="260">
        <v>46247</v>
      </c>
      <c r="E521" s="260">
        <v>46267</v>
      </c>
      <c r="F521">
        <v>52</v>
      </c>
      <c r="G521" t="s">
        <v>350</v>
      </c>
    </row>
    <row r="522" spans="1:7">
      <c r="A522" t="s">
        <v>1379</v>
      </c>
      <c r="B522" t="s">
        <v>1380</v>
      </c>
      <c r="C522">
        <v>5</v>
      </c>
      <c r="D522" s="260">
        <v>46282</v>
      </c>
      <c r="E522" s="260">
        <v>46288</v>
      </c>
      <c r="F522">
        <v>52</v>
      </c>
      <c r="G522" t="s">
        <v>350</v>
      </c>
    </row>
    <row r="523" spans="1:7">
      <c r="A523" t="s">
        <v>1381</v>
      </c>
      <c r="B523" t="s">
        <v>1382</v>
      </c>
      <c r="C523">
        <v>15</v>
      </c>
      <c r="D523" s="260">
        <v>46247</v>
      </c>
      <c r="E523" s="260">
        <v>46267</v>
      </c>
      <c r="F523">
        <v>52</v>
      </c>
      <c r="G523" t="s">
        <v>350</v>
      </c>
    </row>
    <row r="524" spans="1:7">
      <c r="A524" t="s">
        <v>1383</v>
      </c>
      <c r="B524" t="s">
        <v>1384</v>
      </c>
      <c r="C524">
        <v>5</v>
      </c>
      <c r="D524" s="260">
        <v>46282</v>
      </c>
      <c r="E524" s="260">
        <v>46288</v>
      </c>
      <c r="F524">
        <v>52</v>
      </c>
      <c r="G524" t="s">
        <v>350</v>
      </c>
    </row>
    <row r="525" spans="1:7">
      <c r="A525" t="s">
        <v>1385</v>
      </c>
      <c r="B525" t="s">
        <v>1386</v>
      </c>
      <c r="C525">
        <v>15</v>
      </c>
      <c r="D525" s="260">
        <v>46247</v>
      </c>
      <c r="E525" s="260">
        <v>46267</v>
      </c>
      <c r="F525">
        <v>52</v>
      </c>
      <c r="G525" t="s">
        <v>350</v>
      </c>
    </row>
    <row r="526" spans="1:7">
      <c r="A526" t="s">
        <v>1387</v>
      </c>
      <c r="B526" t="s">
        <v>1388</v>
      </c>
      <c r="C526">
        <v>5</v>
      </c>
      <c r="D526" s="260">
        <v>46282</v>
      </c>
      <c r="E526" s="260">
        <v>46288</v>
      </c>
      <c r="F526">
        <v>52</v>
      </c>
      <c r="G526" t="s">
        <v>350</v>
      </c>
    </row>
    <row r="527" spans="1:7">
      <c r="A527" t="s">
        <v>1389</v>
      </c>
      <c r="B527" t="s">
        <v>1390</v>
      </c>
      <c r="C527">
        <v>15</v>
      </c>
      <c r="D527" s="260">
        <v>46247</v>
      </c>
      <c r="E527" s="260">
        <v>46267</v>
      </c>
      <c r="F527">
        <v>52</v>
      </c>
      <c r="G527" t="s">
        <v>350</v>
      </c>
    </row>
    <row r="528" spans="1:7">
      <c r="A528" t="s">
        <v>1391</v>
      </c>
      <c r="B528" t="s">
        <v>1392</v>
      </c>
      <c r="C528">
        <v>5</v>
      </c>
      <c r="D528" s="260">
        <v>46282</v>
      </c>
      <c r="E528" s="260">
        <v>46288</v>
      </c>
      <c r="F528">
        <v>52</v>
      </c>
      <c r="G528" t="s">
        <v>350</v>
      </c>
    </row>
    <row r="529" spans="1:7">
      <c r="A529" t="s">
        <v>1393</v>
      </c>
      <c r="B529" t="s">
        <v>1394</v>
      </c>
      <c r="C529">
        <v>15</v>
      </c>
      <c r="D529" s="260">
        <v>46247</v>
      </c>
      <c r="E529" s="260">
        <v>46267</v>
      </c>
      <c r="F529">
        <v>61</v>
      </c>
      <c r="G529" t="s">
        <v>350</v>
      </c>
    </row>
    <row r="530" spans="1:7">
      <c r="A530" t="s">
        <v>1395</v>
      </c>
      <c r="B530" t="s">
        <v>1396</v>
      </c>
      <c r="C530">
        <v>5</v>
      </c>
      <c r="D530" s="260">
        <v>46282</v>
      </c>
      <c r="E530" s="260">
        <v>46288</v>
      </c>
      <c r="F530">
        <v>61</v>
      </c>
      <c r="G530" t="s">
        <v>350</v>
      </c>
    </row>
    <row r="531" spans="1:7">
      <c r="A531" t="s">
        <v>1397</v>
      </c>
      <c r="C531">
        <v>175</v>
      </c>
      <c r="D531" s="260">
        <v>46085</v>
      </c>
      <c r="E531" s="260">
        <v>46346</v>
      </c>
      <c r="F531">
        <v>36</v>
      </c>
      <c r="G531" t="s">
        <v>350</v>
      </c>
    </row>
    <row r="532" spans="1:7">
      <c r="A532" t="s">
        <v>1398</v>
      </c>
      <c r="B532" t="s">
        <v>1399</v>
      </c>
      <c r="C532">
        <v>10</v>
      </c>
      <c r="D532" s="260">
        <v>46220</v>
      </c>
      <c r="E532" s="260">
        <v>46238</v>
      </c>
      <c r="F532">
        <v>76</v>
      </c>
      <c r="G532" t="s">
        <v>350</v>
      </c>
    </row>
    <row r="533" spans="1:7">
      <c r="A533" t="s">
        <v>1400</v>
      </c>
      <c r="B533" t="s">
        <v>1401</v>
      </c>
      <c r="C533">
        <v>10</v>
      </c>
      <c r="D533" s="260">
        <v>46254</v>
      </c>
      <c r="E533" s="260">
        <v>46267</v>
      </c>
      <c r="F533">
        <v>76</v>
      </c>
      <c r="G533" t="s">
        <v>350</v>
      </c>
    </row>
    <row r="534" spans="1:7">
      <c r="A534" t="s">
        <v>1402</v>
      </c>
      <c r="B534" t="s">
        <v>1403</v>
      </c>
      <c r="C534">
        <v>5</v>
      </c>
      <c r="D534" s="260">
        <v>46282</v>
      </c>
      <c r="E534" s="260">
        <v>46288</v>
      </c>
      <c r="F534">
        <v>76</v>
      </c>
      <c r="G534" t="s">
        <v>350</v>
      </c>
    </row>
    <row r="535" spans="1:7">
      <c r="A535" t="s">
        <v>1404</v>
      </c>
      <c r="B535" t="s">
        <v>1405</v>
      </c>
      <c r="C535">
        <v>10</v>
      </c>
      <c r="D535" s="260">
        <v>46156</v>
      </c>
      <c r="E535" s="260">
        <v>46169</v>
      </c>
      <c r="F535">
        <v>46</v>
      </c>
      <c r="G535" t="s">
        <v>350</v>
      </c>
    </row>
    <row r="536" spans="1:7">
      <c r="A536" t="s">
        <v>1406</v>
      </c>
      <c r="B536" t="s">
        <v>1407</v>
      </c>
      <c r="C536">
        <v>10</v>
      </c>
      <c r="D536" s="260">
        <v>46188</v>
      </c>
      <c r="E536" s="260">
        <v>46199</v>
      </c>
      <c r="F536">
        <v>71</v>
      </c>
      <c r="G536" t="s">
        <v>350</v>
      </c>
    </row>
    <row r="537" spans="1:7">
      <c r="A537" t="s">
        <v>1408</v>
      </c>
      <c r="B537" t="s">
        <v>1409</v>
      </c>
      <c r="C537">
        <v>5</v>
      </c>
      <c r="D537" s="260">
        <v>46216</v>
      </c>
      <c r="E537" s="260">
        <v>46220</v>
      </c>
      <c r="F537">
        <v>81</v>
      </c>
      <c r="G537" t="s">
        <v>350</v>
      </c>
    </row>
    <row r="538" spans="1:7">
      <c r="A538" t="s">
        <v>1410</v>
      </c>
      <c r="B538" t="s">
        <v>1411</v>
      </c>
      <c r="C538">
        <v>10</v>
      </c>
      <c r="D538" s="260">
        <v>46155</v>
      </c>
      <c r="E538" s="260">
        <v>46168</v>
      </c>
      <c r="F538">
        <v>0</v>
      </c>
      <c r="G538" t="s">
        <v>350</v>
      </c>
    </row>
    <row r="539" spans="1:7">
      <c r="A539" t="s">
        <v>1412</v>
      </c>
      <c r="B539" t="s">
        <v>1413</v>
      </c>
      <c r="C539">
        <v>10</v>
      </c>
      <c r="D539" s="260">
        <v>46185</v>
      </c>
      <c r="E539" s="260">
        <v>46198</v>
      </c>
      <c r="F539">
        <v>112</v>
      </c>
      <c r="G539" t="s">
        <v>350</v>
      </c>
    </row>
    <row r="540" spans="1:7">
      <c r="A540" t="s">
        <v>1414</v>
      </c>
      <c r="B540" t="s">
        <v>1415</v>
      </c>
      <c r="C540">
        <v>5</v>
      </c>
      <c r="D540" s="260">
        <v>46213</v>
      </c>
      <c r="E540" s="260">
        <v>46219</v>
      </c>
      <c r="F540">
        <v>112</v>
      </c>
      <c r="G540" t="s">
        <v>350</v>
      </c>
    </row>
    <row r="541" spans="1:7">
      <c r="A541" t="s">
        <v>1416</v>
      </c>
      <c r="B541" t="s">
        <v>1417</v>
      </c>
      <c r="C541">
        <v>10</v>
      </c>
      <c r="D541" s="260">
        <v>46155</v>
      </c>
      <c r="E541" s="260">
        <v>46168</v>
      </c>
      <c r="F541">
        <v>0</v>
      </c>
      <c r="G541" t="s">
        <v>350</v>
      </c>
    </row>
    <row r="542" spans="1:7">
      <c r="A542" t="s">
        <v>1418</v>
      </c>
      <c r="B542" t="s">
        <v>1419</v>
      </c>
      <c r="C542">
        <v>10</v>
      </c>
      <c r="D542" s="260">
        <v>46185</v>
      </c>
      <c r="E542" s="260">
        <v>46198</v>
      </c>
      <c r="F542">
        <v>112</v>
      </c>
      <c r="G542" t="s">
        <v>350</v>
      </c>
    </row>
    <row r="543" spans="1:7">
      <c r="A543" t="s">
        <v>1420</v>
      </c>
      <c r="B543" t="s">
        <v>1421</v>
      </c>
      <c r="C543">
        <v>5</v>
      </c>
      <c r="D543" s="260">
        <v>46213</v>
      </c>
      <c r="E543" s="260">
        <v>46219</v>
      </c>
      <c r="F543">
        <v>112</v>
      </c>
      <c r="G543" t="s">
        <v>350</v>
      </c>
    </row>
    <row r="544" spans="1:7">
      <c r="A544" t="s">
        <v>1422</v>
      </c>
      <c r="B544" t="s">
        <v>1423</v>
      </c>
      <c r="C544">
        <v>10</v>
      </c>
      <c r="D544" s="260">
        <v>46155</v>
      </c>
      <c r="E544" s="260">
        <v>46168</v>
      </c>
      <c r="F544">
        <v>0</v>
      </c>
      <c r="G544" t="s">
        <v>350</v>
      </c>
    </row>
    <row r="545" spans="1:7">
      <c r="A545" t="s">
        <v>1424</v>
      </c>
      <c r="B545" t="s">
        <v>1425</v>
      </c>
      <c r="C545">
        <v>10</v>
      </c>
      <c r="D545" s="260">
        <v>46185</v>
      </c>
      <c r="E545" s="260">
        <v>46198</v>
      </c>
      <c r="F545">
        <v>112</v>
      </c>
      <c r="G545" t="s">
        <v>350</v>
      </c>
    </row>
    <row r="546" spans="1:7">
      <c r="A546" t="s">
        <v>1426</v>
      </c>
      <c r="B546" t="s">
        <v>1427</v>
      </c>
      <c r="C546">
        <v>5</v>
      </c>
      <c r="D546" s="260">
        <v>46213</v>
      </c>
      <c r="E546" s="260">
        <v>46219</v>
      </c>
      <c r="F546">
        <v>112</v>
      </c>
      <c r="G546" t="s">
        <v>350</v>
      </c>
    </row>
    <row r="547" spans="1:7">
      <c r="A547" t="s">
        <v>1428</v>
      </c>
      <c r="B547" t="s">
        <v>1429</v>
      </c>
      <c r="C547">
        <v>10</v>
      </c>
      <c r="D547" s="260">
        <v>46155</v>
      </c>
      <c r="E547" s="260">
        <v>46168</v>
      </c>
      <c r="F547">
        <v>0</v>
      </c>
      <c r="G547" t="s">
        <v>350</v>
      </c>
    </row>
    <row r="548" spans="1:7">
      <c r="A548" t="s">
        <v>1430</v>
      </c>
      <c r="B548" t="s">
        <v>1431</v>
      </c>
      <c r="C548">
        <v>10</v>
      </c>
      <c r="D548" s="260">
        <v>46185</v>
      </c>
      <c r="E548" s="260">
        <v>46198</v>
      </c>
      <c r="F548">
        <v>112</v>
      </c>
      <c r="G548" t="s">
        <v>350</v>
      </c>
    </row>
    <row r="549" spans="1:7">
      <c r="A549" t="s">
        <v>1432</v>
      </c>
      <c r="B549" t="s">
        <v>1433</v>
      </c>
      <c r="C549">
        <v>5</v>
      </c>
      <c r="D549" s="260">
        <v>46213</v>
      </c>
      <c r="E549" s="260">
        <v>46219</v>
      </c>
      <c r="F549">
        <v>112</v>
      </c>
      <c r="G549" t="s">
        <v>350</v>
      </c>
    </row>
    <row r="550" spans="1:7">
      <c r="A550" t="s">
        <v>1434</v>
      </c>
      <c r="B550" t="s">
        <v>1435</v>
      </c>
      <c r="C550">
        <v>10</v>
      </c>
      <c r="D550" s="260">
        <v>46155</v>
      </c>
      <c r="E550" s="260">
        <v>46168</v>
      </c>
      <c r="F550">
        <v>0</v>
      </c>
      <c r="G550" t="s">
        <v>350</v>
      </c>
    </row>
    <row r="551" spans="1:7">
      <c r="A551" t="s">
        <v>1436</v>
      </c>
      <c r="B551" t="s">
        <v>1437</v>
      </c>
      <c r="C551">
        <v>10</v>
      </c>
      <c r="D551" s="260">
        <v>46185</v>
      </c>
      <c r="E551" s="260">
        <v>46198</v>
      </c>
      <c r="F551">
        <v>112</v>
      </c>
      <c r="G551" t="s">
        <v>350</v>
      </c>
    </row>
    <row r="552" spans="1:7">
      <c r="A552" t="s">
        <v>1438</v>
      </c>
      <c r="B552" t="s">
        <v>1439</v>
      </c>
      <c r="C552">
        <v>5</v>
      </c>
      <c r="D552" s="260">
        <v>46213</v>
      </c>
      <c r="E552" s="260">
        <v>46219</v>
      </c>
      <c r="F552">
        <v>112</v>
      </c>
      <c r="G552" t="s">
        <v>350</v>
      </c>
    </row>
    <row r="553" spans="1:7">
      <c r="A553" t="s">
        <v>1440</v>
      </c>
      <c r="B553" t="s">
        <v>1441</v>
      </c>
      <c r="C553">
        <v>25</v>
      </c>
      <c r="D553" s="260">
        <v>46169</v>
      </c>
      <c r="E553" s="260">
        <v>46205</v>
      </c>
      <c r="F553">
        <v>27</v>
      </c>
      <c r="G553" t="s">
        <v>350</v>
      </c>
    </row>
    <row r="554" spans="1:7">
      <c r="A554" t="s">
        <v>1442</v>
      </c>
      <c r="B554" t="s">
        <v>1443</v>
      </c>
      <c r="C554">
        <v>15</v>
      </c>
      <c r="D554" s="260">
        <v>46220</v>
      </c>
      <c r="E554" s="260">
        <v>46245</v>
      </c>
      <c r="F554">
        <v>72</v>
      </c>
      <c r="G554" t="s">
        <v>350</v>
      </c>
    </row>
    <row r="555" spans="1:7">
      <c r="A555" t="s">
        <v>1444</v>
      </c>
      <c r="B555" t="s">
        <v>1445</v>
      </c>
      <c r="C555">
        <v>15</v>
      </c>
      <c r="D555" s="260">
        <v>46261</v>
      </c>
      <c r="E555" s="260">
        <v>46281</v>
      </c>
      <c r="F555">
        <v>72</v>
      </c>
      <c r="G555" t="s">
        <v>350</v>
      </c>
    </row>
    <row r="556" spans="1:7">
      <c r="A556" t="s">
        <v>1446</v>
      </c>
      <c r="B556" t="s">
        <v>1447</v>
      </c>
      <c r="C556">
        <v>25</v>
      </c>
      <c r="D556" s="260">
        <v>46169</v>
      </c>
      <c r="E556" s="260">
        <v>46205</v>
      </c>
      <c r="F556">
        <v>47</v>
      </c>
      <c r="G556" t="s">
        <v>350</v>
      </c>
    </row>
    <row r="557" spans="1:7">
      <c r="A557" t="s">
        <v>1448</v>
      </c>
      <c r="B557" t="s">
        <v>1449</v>
      </c>
      <c r="C557">
        <v>15</v>
      </c>
      <c r="D557" s="260">
        <v>46220</v>
      </c>
      <c r="E557" s="260">
        <v>46245</v>
      </c>
      <c r="F557">
        <v>72</v>
      </c>
      <c r="G557" t="s">
        <v>350</v>
      </c>
    </row>
    <row r="558" spans="1:7">
      <c r="A558" t="s">
        <v>1450</v>
      </c>
      <c r="B558" t="s">
        <v>1451</v>
      </c>
      <c r="C558">
        <v>15</v>
      </c>
      <c r="D558" s="260">
        <v>46261</v>
      </c>
      <c r="E558" s="260">
        <v>46281</v>
      </c>
      <c r="F558">
        <v>72</v>
      </c>
      <c r="G558" t="s">
        <v>350</v>
      </c>
    </row>
    <row r="559" spans="1:7">
      <c r="A559" t="s">
        <v>1452</v>
      </c>
      <c r="B559" t="s">
        <v>1453</v>
      </c>
      <c r="C559">
        <v>25</v>
      </c>
      <c r="D559" s="260">
        <v>46169</v>
      </c>
      <c r="E559" s="260">
        <v>46205</v>
      </c>
      <c r="F559">
        <v>42</v>
      </c>
      <c r="G559" t="s">
        <v>350</v>
      </c>
    </row>
    <row r="560" spans="1:7">
      <c r="A560" t="s">
        <v>1454</v>
      </c>
      <c r="B560" t="s">
        <v>1455</v>
      </c>
      <c r="C560">
        <v>15</v>
      </c>
      <c r="D560" s="260">
        <v>46220</v>
      </c>
      <c r="E560" s="260">
        <v>46245</v>
      </c>
      <c r="F560">
        <v>72</v>
      </c>
      <c r="G560" t="s">
        <v>350</v>
      </c>
    </row>
    <row r="561" spans="1:7">
      <c r="A561" t="s">
        <v>1456</v>
      </c>
      <c r="B561" t="s">
        <v>1457</v>
      </c>
      <c r="C561">
        <v>15</v>
      </c>
      <c r="D561" s="260">
        <v>46261</v>
      </c>
      <c r="E561" s="260">
        <v>46281</v>
      </c>
      <c r="F561">
        <v>72</v>
      </c>
      <c r="G561" t="s">
        <v>350</v>
      </c>
    </row>
    <row r="562" spans="1:7">
      <c r="A562" t="s">
        <v>1458</v>
      </c>
      <c r="B562" t="s">
        <v>1459</v>
      </c>
      <c r="C562">
        <v>25</v>
      </c>
      <c r="D562" s="260">
        <v>46178</v>
      </c>
      <c r="E562" s="260">
        <v>46212</v>
      </c>
      <c r="F562">
        <v>42</v>
      </c>
      <c r="G562" t="s">
        <v>350</v>
      </c>
    </row>
    <row r="563" spans="1:7">
      <c r="A563" t="s">
        <v>1460</v>
      </c>
      <c r="B563" t="s">
        <v>1461</v>
      </c>
      <c r="C563">
        <v>15</v>
      </c>
      <c r="D563" s="260">
        <v>46227</v>
      </c>
      <c r="E563" s="260">
        <v>46253</v>
      </c>
      <c r="F563">
        <v>67</v>
      </c>
      <c r="G563" t="s">
        <v>350</v>
      </c>
    </row>
    <row r="564" spans="1:7">
      <c r="A564" t="s">
        <v>1462</v>
      </c>
      <c r="B564" t="s">
        <v>1463</v>
      </c>
      <c r="C564">
        <v>15</v>
      </c>
      <c r="D564" s="260">
        <v>46268</v>
      </c>
      <c r="E564" s="260">
        <v>46288</v>
      </c>
      <c r="F564">
        <v>67</v>
      </c>
      <c r="G564" t="s">
        <v>350</v>
      </c>
    </row>
    <row r="565" spans="1:7">
      <c r="A565" t="s">
        <v>1464</v>
      </c>
      <c r="B565" t="s">
        <v>1465</v>
      </c>
      <c r="C565">
        <v>25</v>
      </c>
      <c r="D565" s="260">
        <v>46169</v>
      </c>
      <c r="E565" s="260">
        <v>46205</v>
      </c>
      <c r="F565">
        <v>42</v>
      </c>
      <c r="G565" t="s">
        <v>350</v>
      </c>
    </row>
    <row r="566" spans="1:7">
      <c r="A566" t="s">
        <v>1466</v>
      </c>
      <c r="B566" t="s">
        <v>1467</v>
      </c>
      <c r="C566">
        <v>15</v>
      </c>
      <c r="D566" s="260">
        <v>46220</v>
      </c>
      <c r="E566" s="260">
        <v>46245</v>
      </c>
      <c r="F566">
        <v>72</v>
      </c>
      <c r="G566" t="s">
        <v>350</v>
      </c>
    </row>
    <row r="567" spans="1:7">
      <c r="A567" t="s">
        <v>1468</v>
      </c>
      <c r="B567" t="s">
        <v>1469</v>
      </c>
      <c r="C567">
        <v>15</v>
      </c>
      <c r="D567" s="260">
        <v>46261</v>
      </c>
      <c r="E567" s="260">
        <v>46281</v>
      </c>
      <c r="F567">
        <v>72</v>
      </c>
      <c r="G567" t="s">
        <v>350</v>
      </c>
    </row>
    <row r="568" spans="1:7">
      <c r="A568" t="s">
        <v>1470</v>
      </c>
      <c r="B568" t="s">
        <v>1471</v>
      </c>
      <c r="C568">
        <v>25</v>
      </c>
      <c r="D568" s="260">
        <v>46178</v>
      </c>
      <c r="E568" s="260">
        <v>46212</v>
      </c>
      <c r="F568">
        <v>42</v>
      </c>
      <c r="G568" t="s">
        <v>350</v>
      </c>
    </row>
    <row r="569" spans="1:7">
      <c r="A569" t="s">
        <v>1472</v>
      </c>
      <c r="B569" t="s">
        <v>1473</v>
      </c>
      <c r="C569">
        <v>15</v>
      </c>
      <c r="D569" s="260">
        <v>46227</v>
      </c>
      <c r="E569" s="260">
        <v>46253</v>
      </c>
      <c r="F569">
        <v>67</v>
      </c>
      <c r="G569" t="s">
        <v>350</v>
      </c>
    </row>
    <row r="570" spans="1:7">
      <c r="A570" t="s">
        <v>1474</v>
      </c>
      <c r="B570" t="s">
        <v>1475</v>
      </c>
      <c r="C570">
        <v>15</v>
      </c>
      <c r="D570" s="260">
        <v>46268</v>
      </c>
      <c r="E570" s="260">
        <v>46288</v>
      </c>
      <c r="F570">
        <v>67</v>
      </c>
      <c r="G570" t="s">
        <v>350</v>
      </c>
    </row>
    <row r="571" spans="1:7">
      <c r="A571" t="s">
        <v>1476</v>
      </c>
      <c r="B571" t="s">
        <v>1477</v>
      </c>
      <c r="C571">
        <v>25</v>
      </c>
      <c r="D571" s="260">
        <v>46178</v>
      </c>
      <c r="E571" s="260">
        <v>46212</v>
      </c>
      <c r="F571">
        <v>42</v>
      </c>
      <c r="G571" t="s">
        <v>350</v>
      </c>
    </row>
    <row r="572" spans="1:7">
      <c r="A572" t="s">
        <v>1478</v>
      </c>
      <c r="B572" t="s">
        <v>1479</v>
      </c>
      <c r="C572">
        <v>15</v>
      </c>
      <c r="D572" s="260">
        <v>46227</v>
      </c>
      <c r="E572" s="260">
        <v>46253</v>
      </c>
      <c r="F572">
        <v>67</v>
      </c>
      <c r="G572" t="s">
        <v>350</v>
      </c>
    </row>
    <row r="573" spans="1:7">
      <c r="A573" t="s">
        <v>1480</v>
      </c>
      <c r="B573" t="s">
        <v>1481</v>
      </c>
      <c r="C573">
        <v>15</v>
      </c>
      <c r="D573" s="260">
        <v>46268</v>
      </c>
      <c r="E573" s="260">
        <v>46288</v>
      </c>
      <c r="F573">
        <v>67</v>
      </c>
      <c r="G573" t="s">
        <v>350</v>
      </c>
    </row>
    <row r="574" spans="1:7">
      <c r="A574" t="s">
        <v>1482</v>
      </c>
      <c r="B574" t="s">
        <v>1483</v>
      </c>
      <c r="C574">
        <v>25</v>
      </c>
      <c r="D574" s="260">
        <v>46169</v>
      </c>
      <c r="E574" s="260">
        <v>46205</v>
      </c>
      <c r="F574">
        <v>27</v>
      </c>
      <c r="G574" t="s">
        <v>350</v>
      </c>
    </row>
    <row r="575" spans="1:7">
      <c r="A575" t="s">
        <v>1484</v>
      </c>
      <c r="B575" t="s">
        <v>1485</v>
      </c>
      <c r="C575">
        <v>15</v>
      </c>
      <c r="D575" s="260">
        <v>46220</v>
      </c>
      <c r="E575" s="260">
        <v>46245</v>
      </c>
      <c r="F575">
        <v>72</v>
      </c>
      <c r="G575" t="s">
        <v>350</v>
      </c>
    </row>
    <row r="576" spans="1:7">
      <c r="A576" t="s">
        <v>1486</v>
      </c>
      <c r="B576" t="s">
        <v>1487</v>
      </c>
      <c r="C576">
        <v>15</v>
      </c>
      <c r="D576" s="260">
        <v>46261</v>
      </c>
      <c r="E576" s="260">
        <v>46281</v>
      </c>
      <c r="F576">
        <v>72</v>
      </c>
      <c r="G576" t="s">
        <v>350</v>
      </c>
    </row>
    <row r="577" spans="1:7">
      <c r="A577" t="s">
        <v>1488</v>
      </c>
      <c r="B577" t="s">
        <v>1489</v>
      </c>
      <c r="C577">
        <v>25</v>
      </c>
      <c r="D577" s="260">
        <v>46178</v>
      </c>
      <c r="E577" s="260">
        <v>46212</v>
      </c>
      <c r="F577">
        <v>27</v>
      </c>
      <c r="G577" t="s">
        <v>350</v>
      </c>
    </row>
    <row r="578" spans="1:7">
      <c r="A578" t="s">
        <v>1490</v>
      </c>
      <c r="B578" t="s">
        <v>1491</v>
      </c>
      <c r="C578">
        <v>15</v>
      </c>
      <c r="D578" s="260">
        <v>46227</v>
      </c>
      <c r="E578" s="260">
        <v>46253</v>
      </c>
      <c r="F578">
        <v>67</v>
      </c>
      <c r="G578" t="s">
        <v>350</v>
      </c>
    </row>
    <row r="579" spans="1:7">
      <c r="A579" t="s">
        <v>1492</v>
      </c>
      <c r="B579" t="s">
        <v>1493</v>
      </c>
      <c r="C579">
        <v>15</v>
      </c>
      <c r="D579" s="260">
        <v>46268</v>
      </c>
      <c r="E579" s="260">
        <v>46288</v>
      </c>
      <c r="F579">
        <v>67</v>
      </c>
      <c r="G579" t="s">
        <v>350</v>
      </c>
    </row>
    <row r="580" spans="1:7">
      <c r="A580" t="s">
        <v>1494</v>
      </c>
      <c r="B580" t="s">
        <v>1495</v>
      </c>
      <c r="C580">
        <v>25</v>
      </c>
      <c r="D580" s="260">
        <v>46178</v>
      </c>
      <c r="E580" s="260">
        <v>46212</v>
      </c>
      <c r="F580">
        <v>27</v>
      </c>
      <c r="G580" t="s">
        <v>350</v>
      </c>
    </row>
    <row r="581" spans="1:7">
      <c r="A581" t="s">
        <v>1496</v>
      </c>
      <c r="B581" t="s">
        <v>1497</v>
      </c>
      <c r="C581">
        <v>15</v>
      </c>
      <c r="D581" s="260">
        <v>46227</v>
      </c>
      <c r="E581" s="260">
        <v>46253</v>
      </c>
      <c r="F581">
        <v>67</v>
      </c>
      <c r="G581" t="s">
        <v>350</v>
      </c>
    </row>
    <row r="582" spans="1:7">
      <c r="A582" t="s">
        <v>1498</v>
      </c>
      <c r="B582" t="s">
        <v>1499</v>
      </c>
      <c r="C582">
        <v>15</v>
      </c>
      <c r="D582" s="260">
        <v>46268</v>
      </c>
      <c r="E582" s="260">
        <v>46288</v>
      </c>
      <c r="F582">
        <v>67</v>
      </c>
      <c r="G582" t="s">
        <v>350</v>
      </c>
    </row>
    <row r="583" spans="1:7">
      <c r="A583" t="s">
        <v>1500</v>
      </c>
      <c r="B583" t="s">
        <v>1501</v>
      </c>
      <c r="C583">
        <v>25</v>
      </c>
      <c r="D583" s="260">
        <v>46185</v>
      </c>
      <c r="E583" s="260">
        <v>46219</v>
      </c>
      <c r="F583">
        <v>37</v>
      </c>
      <c r="G583" t="s">
        <v>350</v>
      </c>
    </row>
    <row r="584" spans="1:7">
      <c r="A584" t="s">
        <v>1502</v>
      </c>
      <c r="B584" t="s">
        <v>1503</v>
      </c>
      <c r="C584">
        <v>15</v>
      </c>
      <c r="D584" s="260">
        <v>46239</v>
      </c>
      <c r="E584" s="260">
        <v>46260</v>
      </c>
      <c r="F584">
        <v>62</v>
      </c>
      <c r="G584" t="s">
        <v>350</v>
      </c>
    </row>
    <row r="585" spans="1:7">
      <c r="A585" t="s">
        <v>1504</v>
      </c>
      <c r="B585" t="s">
        <v>1505</v>
      </c>
      <c r="C585">
        <v>15</v>
      </c>
      <c r="D585" s="260">
        <v>46275</v>
      </c>
      <c r="E585" s="260">
        <v>46295</v>
      </c>
      <c r="F585">
        <v>62</v>
      </c>
      <c r="G585" t="s">
        <v>350</v>
      </c>
    </row>
    <row r="586" spans="1:7">
      <c r="A586" t="s">
        <v>1506</v>
      </c>
      <c r="B586" t="s">
        <v>1507</v>
      </c>
      <c r="C586">
        <v>25</v>
      </c>
      <c r="D586" s="260">
        <v>46185</v>
      </c>
      <c r="E586" s="260">
        <v>46219</v>
      </c>
      <c r="F586">
        <v>37</v>
      </c>
      <c r="G586" t="s">
        <v>350</v>
      </c>
    </row>
    <row r="587" spans="1:7">
      <c r="A587" t="s">
        <v>1508</v>
      </c>
      <c r="B587" t="s">
        <v>1509</v>
      </c>
      <c r="C587">
        <v>15</v>
      </c>
      <c r="D587" s="260">
        <v>46239</v>
      </c>
      <c r="E587" s="260">
        <v>46260</v>
      </c>
      <c r="F587">
        <v>62</v>
      </c>
      <c r="G587" t="s">
        <v>350</v>
      </c>
    </row>
    <row r="588" spans="1:7">
      <c r="A588" t="s">
        <v>1510</v>
      </c>
      <c r="B588" t="s">
        <v>1511</v>
      </c>
      <c r="C588">
        <v>15</v>
      </c>
      <c r="D588" s="260">
        <v>46275</v>
      </c>
      <c r="E588" s="260">
        <v>46295</v>
      </c>
      <c r="F588">
        <v>62</v>
      </c>
      <c r="G588" t="s">
        <v>350</v>
      </c>
    </row>
    <row r="589" spans="1:7">
      <c r="A589" t="s">
        <v>1512</v>
      </c>
      <c r="B589" t="s">
        <v>1513</v>
      </c>
      <c r="C589">
        <v>25</v>
      </c>
      <c r="D589" s="260">
        <v>46178</v>
      </c>
      <c r="E589" s="260">
        <v>46212</v>
      </c>
      <c r="F589">
        <v>27</v>
      </c>
      <c r="G589" t="s">
        <v>350</v>
      </c>
    </row>
    <row r="590" spans="1:7">
      <c r="A590" t="s">
        <v>1514</v>
      </c>
      <c r="B590" t="s">
        <v>1515</v>
      </c>
      <c r="C590">
        <v>15</v>
      </c>
      <c r="D590" s="260">
        <v>46227</v>
      </c>
      <c r="E590" s="260">
        <v>46253</v>
      </c>
      <c r="F590">
        <v>67</v>
      </c>
      <c r="G590" t="s">
        <v>350</v>
      </c>
    </row>
    <row r="591" spans="1:7">
      <c r="A591" t="s">
        <v>1516</v>
      </c>
      <c r="B591" t="s">
        <v>1517</v>
      </c>
      <c r="C591">
        <v>15</v>
      </c>
      <c r="D591" s="260">
        <v>46268</v>
      </c>
      <c r="E591" s="260">
        <v>46288</v>
      </c>
      <c r="F591">
        <v>67</v>
      </c>
      <c r="G591" t="s">
        <v>350</v>
      </c>
    </row>
    <row r="592" spans="1:7">
      <c r="A592" t="s">
        <v>1518</v>
      </c>
      <c r="B592" t="s">
        <v>1519</v>
      </c>
      <c r="C592">
        <v>25</v>
      </c>
      <c r="D592" s="260">
        <v>46178</v>
      </c>
      <c r="E592" s="260">
        <v>46212</v>
      </c>
      <c r="F592">
        <v>42</v>
      </c>
      <c r="G592" t="s">
        <v>350</v>
      </c>
    </row>
    <row r="593" spans="1:7">
      <c r="A593" t="s">
        <v>1520</v>
      </c>
      <c r="B593" t="s">
        <v>1521</v>
      </c>
      <c r="C593">
        <v>15</v>
      </c>
      <c r="D593" s="260">
        <v>46227</v>
      </c>
      <c r="E593" s="260">
        <v>46253</v>
      </c>
      <c r="F593">
        <v>67</v>
      </c>
      <c r="G593" t="s">
        <v>350</v>
      </c>
    </row>
    <row r="594" spans="1:7">
      <c r="A594" t="s">
        <v>1522</v>
      </c>
      <c r="B594" t="s">
        <v>1523</v>
      </c>
      <c r="C594">
        <v>15</v>
      </c>
      <c r="D594" s="260">
        <v>46268</v>
      </c>
      <c r="E594" s="260">
        <v>46288</v>
      </c>
      <c r="F594">
        <v>67</v>
      </c>
      <c r="G594" t="s">
        <v>350</v>
      </c>
    </row>
    <row r="595" spans="1:7">
      <c r="A595" t="s">
        <v>1524</v>
      </c>
      <c r="B595" t="s">
        <v>1525</v>
      </c>
      <c r="C595">
        <v>25</v>
      </c>
      <c r="D595" s="260">
        <v>46178</v>
      </c>
      <c r="E595" s="260">
        <v>46212</v>
      </c>
      <c r="F595">
        <v>42</v>
      </c>
      <c r="G595" t="s">
        <v>350</v>
      </c>
    </row>
    <row r="596" spans="1:7">
      <c r="A596" t="s">
        <v>1526</v>
      </c>
      <c r="B596" t="s">
        <v>1527</v>
      </c>
      <c r="C596">
        <v>15</v>
      </c>
      <c r="D596" s="260">
        <v>46227</v>
      </c>
      <c r="E596" s="260">
        <v>46253</v>
      </c>
      <c r="F596">
        <v>67</v>
      </c>
      <c r="G596" t="s">
        <v>350</v>
      </c>
    </row>
    <row r="597" spans="1:7">
      <c r="A597" t="s">
        <v>1528</v>
      </c>
      <c r="B597" t="s">
        <v>1529</v>
      </c>
      <c r="C597">
        <v>15</v>
      </c>
      <c r="D597" s="260">
        <v>46268</v>
      </c>
      <c r="E597" s="260">
        <v>46288</v>
      </c>
      <c r="F597">
        <v>67</v>
      </c>
      <c r="G597" t="s">
        <v>350</v>
      </c>
    </row>
    <row r="598" spans="1:7">
      <c r="A598" t="s">
        <v>1530</v>
      </c>
      <c r="B598" t="s">
        <v>1531</v>
      </c>
      <c r="C598">
        <v>25</v>
      </c>
      <c r="D598" s="260">
        <v>46178</v>
      </c>
      <c r="E598" s="260">
        <v>46212</v>
      </c>
      <c r="F598">
        <v>42</v>
      </c>
      <c r="G598" t="s">
        <v>350</v>
      </c>
    </row>
    <row r="599" spans="1:7">
      <c r="A599" t="s">
        <v>1532</v>
      </c>
      <c r="B599" t="s">
        <v>1533</v>
      </c>
      <c r="C599">
        <v>15</v>
      </c>
      <c r="D599" s="260">
        <v>46227</v>
      </c>
      <c r="E599" s="260">
        <v>46253</v>
      </c>
      <c r="F599">
        <v>67</v>
      </c>
      <c r="G599" t="s">
        <v>350</v>
      </c>
    </row>
    <row r="600" spans="1:7">
      <c r="A600" t="s">
        <v>1534</v>
      </c>
      <c r="B600" t="s">
        <v>1535</v>
      </c>
      <c r="C600">
        <v>15</v>
      </c>
      <c r="D600" s="260">
        <v>46268</v>
      </c>
      <c r="E600" s="260">
        <v>46288</v>
      </c>
      <c r="F600">
        <v>67</v>
      </c>
      <c r="G600" t="s">
        <v>350</v>
      </c>
    </row>
    <row r="601" spans="1:7">
      <c r="A601" t="s">
        <v>1536</v>
      </c>
      <c r="B601" t="s">
        <v>1537</v>
      </c>
      <c r="C601">
        <v>25</v>
      </c>
      <c r="D601" s="260">
        <v>46178</v>
      </c>
      <c r="E601" s="260">
        <v>46212</v>
      </c>
      <c r="F601">
        <v>42</v>
      </c>
      <c r="G601" t="s">
        <v>350</v>
      </c>
    </row>
    <row r="602" spans="1:7">
      <c r="A602" t="s">
        <v>1538</v>
      </c>
      <c r="B602" t="s">
        <v>1539</v>
      </c>
      <c r="C602">
        <v>15</v>
      </c>
      <c r="D602" s="260">
        <v>46227</v>
      </c>
      <c r="E602" s="260">
        <v>46253</v>
      </c>
      <c r="F602">
        <v>67</v>
      </c>
      <c r="G602" t="s">
        <v>350</v>
      </c>
    </row>
    <row r="603" spans="1:7">
      <c r="A603" t="s">
        <v>1540</v>
      </c>
      <c r="B603" t="s">
        <v>1541</v>
      </c>
      <c r="C603">
        <v>15</v>
      </c>
      <c r="D603" s="260">
        <v>46268</v>
      </c>
      <c r="E603" s="260">
        <v>46288</v>
      </c>
      <c r="F603">
        <v>67</v>
      </c>
      <c r="G603" t="s">
        <v>350</v>
      </c>
    </row>
    <row r="604" spans="1:7">
      <c r="A604" t="s">
        <v>1542</v>
      </c>
      <c r="B604" t="s">
        <v>1543</v>
      </c>
      <c r="C604">
        <v>25</v>
      </c>
      <c r="D604" s="260">
        <v>46178</v>
      </c>
      <c r="E604" s="260">
        <v>46212</v>
      </c>
      <c r="F604">
        <v>42</v>
      </c>
      <c r="G604" t="s">
        <v>350</v>
      </c>
    </row>
    <row r="605" spans="1:7">
      <c r="A605" t="s">
        <v>1544</v>
      </c>
      <c r="B605" t="s">
        <v>1545</v>
      </c>
      <c r="C605">
        <v>15</v>
      </c>
      <c r="D605" s="260">
        <v>46227</v>
      </c>
      <c r="E605" s="260">
        <v>46253</v>
      </c>
      <c r="F605">
        <v>67</v>
      </c>
      <c r="G605" t="s">
        <v>350</v>
      </c>
    </row>
    <row r="606" spans="1:7">
      <c r="A606" t="s">
        <v>1546</v>
      </c>
      <c r="B606" t="s">
        <v>1547</v>
      </c>
      <c r="C606">
        <v>15</v>
      </c>
      <c r="D606" s="260">
        <v>46268</v>
      </c>
      <c r="E606" s="260">
        <v>46288</v>
      </c>
      <c r="F606">
        <v>67</v>
      </c>
      <c r="G606" t="s">
        <v>350</v>
      </c>
    </row>
    <row r="607" spans="1:7">
      <c r="A607" t="s">
        <v>1548</v>
      </c>
      <c r="B607" t="s">
        <v>1549</v>
      </c>
      <c r="C607">
        <v>25</v>
      </c>
      <c r="D607" s="260">
        <v>46192</v>
      </c>
      <c r="E607" s="260">
        <v>46226</v>
      </c>
      <c r="F607">
        <v>27</v>
      </c>
      <c r="G607" t="s">
        <v>350</v>
      </c>
    </row>
    <row r="608" spans="1:7">
      <c r="A608" t="s">
        <v>1550</v>
      </c>
      <c r="B608" t="s">
        <v>1551</v>
      </c>
      <c r="C608">
        <v>15</v>
      </c>
      <c r="D608" s="260">
        <v>46247</v>
      </c>
      <c r="E608" s="260">
        <v>46267</v>
      </c>
      <c r="F608">
        <v>57</v>
      </c>
      <c r="G608" t="s">
        <v>350</v>
      </c>
    </row>
    <row r="609" spans="1:7">
      <c r="A609" t="s">
        <v>1552</v>
      </c>
      <c r="B609" t="s">
        <v>1553</v>
      </c>
      <c r="C609">
        <v>15</v>
      </c>
      <c r="D609" s="260">
        <v>46282</v>
      </c>
      <c r="E609" s="260">
        <v>46302</v>
      </c>
      <c r="F609">
        <v>57</v>
      </c>
      <c r="G609" t="s">
        <v>350</v>
      </c>
    </row>
    <row r="610" spans="1:7">
      <c r="A610" t="s">
        <v>1554</v>
      </c>
      <c r="B610" t="s">
        <v>1555</v>
      </c>
      <c r="C610">
        <v>25</v>
      </c>
      <c r="D610" s="260">
        <v>46192</v>
      </c>
      <c r="E610" s="260">
        <v>46226</v>
      </c>
      <c r="F610">
        <v>32</v>
      </c>
      <c r="G610" t="s">
        <v>350</v>
      </c>
    </row>
    <row r="611" spans="1:7">
      <c r="A611" t="s">
        <v>1556</v>
      </c>
      <c r="B611" t="s">
        <v>1557</v>
      </c>
      <c r="C611">
        <v>15</v>
      </c>
      <c r="D611" s="260">
        <v>46247</v>
      </c>
      <c r="E611" s="260">
        <v>46267</v>
      </c>
      <c r="F611">
        <v>57</v>
      </c>
      <c r="G611" t="s">
        <v>350</v>
      </c>
    </row>
    <row r="612" spans="1:7">
      <c r="A612" t="s">
        <v>1558</v>
      </c>
      <c r="B612" t="s">
        <v>1559</v>
      </c>
      <c r="C612">
        <v>15</v>
      </c>
      <c r="D612" s="260">
        <v>46282</v>
      </c>
      <c r="E612" s="260">
        <v>46302</v>
      </c>
      <c r="F612">
        <v>57</v>
      </c>
      <c r="G612" t="s">
        <v>350</v>
      </c>
    </row>
    <row r="613" spans="1:7">
      <c r="A613" t="s">
        <v>1560</v>
      </c>
      <c r="B613" t="s">
        <v>1561</v>
      </c>
      <c r="C613">
        <v>25</v>
      </c>
      <c r="D613" s="260">
        <v>46192</v>
      </c>
      <c r="E613" s="260">
        <v>46226</v>
      </c>
      <c r="F613">
        <v>32</v>
      </c>
      <c r="G613" t="s">
        <v>350</v>
      </c>
    </row>
    <row r="614" spans="1:7">
      <c r="A614" t="s">
        <v>1562</v>
      </c>
      <c r="B614" t="s">
        <v>1563</v>
      </c>
      <c r="C614">
        <v>15</v>
      </c>
      <c r="D614" s="260">
        <v>46247</v>
      </c>
      <c r="E614" s="260">
        <v>46267</v>
      </c>
      <c r="F614">
        <v>57</v>
      </c>
      <c r="G614" t="s">
        <v>350</v>
      </c>
    </row>
    <row r="615" spans="1:7">
      <c r="A615" t="s">
        <v>1564</v>
      </c>
      <c r="B615" t="s">
        <v>1565</v>
      </c>
      <c r="C615">
        <v>15</v>
      </c>
      <c r="D615" s="260">
        <v>46282</v>
      </c>
      <c r="E615" s="260">
        <v>46302</v>
      </c>
      <c r="F615">
        <v>57</v>
      </c>
      <c r="G615" t="s">
        <v>350</v>
      </c>
    </row>
    <row r="616" spans="1:7">
      <c r="A616" t="s">
        <v>1566</v>
      </c>
      <c r="B616" t="s">
        <v>1567</v>
      </c>
      <c r="C616">
        <v>25</v>
      </c>
      <c r="D616" s="260">
        <v>46192</v>
      </c>
      <c r="E616" s="260">
        <v>46226</v>
      </c>
      <c r="F616">
        <v>27</v>
      </c>
      <c r="G616" t="s">
        <v>350</v>
      </c>
    </row>
    <row r="617" spans="1:7">
      <c r="A617" t="s">
        <v>1568</v>
      </c>
      <c r="B617" t="s">
        <v>1569</v>
      </c>
      <c r="C617">
        <v>15</v>
      </c>
      <c r="D617" s="260">
        <v>46247</v>
      </c>
      <c r="E617" s="260">
        <v>46267</v>
      </c>
      <c r="F617">
        <v>57</v>
      </c>
      <c r="G617" t="s">
        <v>350</v>
      </c>
    </row>
    <row r="618" spans="1:7">
      <c r="A618" t="s">
        <v>1570</v>
      </c>
      <c r="B618" t="s">
        <v>1571</v>
      </c>
      <c r="C618">
        <v>15</v>
      </c>
      <c r="D618" s="260">
        <v>46282</v>
      </c>
      <c r="E618" s="260">
        <v>46302</v>
      </c>
      <c r="F618">
        <v>57</v>
      </c>
      <c r="G618" t="s">
        <v>350</v>
      </c>
    </row>
    <row r="619" spans="1:7">
      <c r="A619" t="s">
        <v>1572</v>
      </c>
      <c r="B619" t="s">
        <v>1573</v>
      </c>
      <c r="C619">
        <v>25</v>
      </c>
      <c r="D619" s="260">
        <v>46192</v>
      </c>
      <c r="E619" s="260">
        <v>46226</v>
      </c>
      <c r="F619">
        <v>32</v>
      </c>
      <c r="G619" t="s">
        <v>350</v>
      </c>
    </row>
    <row r="620" spans="1:7">
      <c r="A620" t="s">
        <v>1574</v>
      </c>
      <c r="B620" t="s">
        <v>1575</v>
      </c>
      <c r="C620">
        <v>15</v>
      </c>
      <c r="D620" s="260">
        <v>46247</v>
      </c>
      <c r="E620" s="260">
        <v>46267</v>
      </c>
      <c r="F620">
        <v>57</v>
      </c>
      <c r="G620" t="s">
        <v>350</v>
      </c>
    </row>
    <row r="621" spans="1:7">
      <c r="A621" t="s">
        <v>1576</v>
      </c>
      <c r="B621" t="s">
        <v>1577</v>
      </c>
      <c r="C621">
        <v>15</v>
      </c>
      <c r="D621" s="260">
        <v>46282</v>
      </c>
      <c r="E621" s="260">
        <v>46302</v>
      </c>
      <c r="F621">
        <v>57</v>
      </c>
      <c r="G621" t="s">
        <v>350</v>
      </c>
    </row>
    <row r="622" spans="1:7">
      <c r="A622" t="s">
        <v>1578</v>
      </c>
      <c r="B622" t="s">
        <v>1579</v>
      </c>
      <c r="C622">
        <v>25</v>
      </c>
      <c r="D622" s="260">
        <v>46192</v>
      </c>
      <c r="E622" s="260">
        <v>46226</v>
      </c>
      <c r="F622">
        <v>27</v>
      </c>
      <c r="G622" t="s">
        <v>350</v>
      </c>
    </row>
    <row r="623" spans="1:7">
      <c r="A623" t="s">
        <v>1580</v>
      </c>
      <c r="B623" t="s">
        <v>1581</v>
      </c>
      <c r="C623">
        <v>15</v>
      </c>
      <c r="D623" s="260">
        <v>46247</v>
      </c>
      <c r="E623" s="260">
        <v>46267</v>
      </c>
      <c r="F623">
        <v>57</v>
      </c>
      <c r="G623" t="s">
        <v>350</v>
      </c>
    </row>
    <row r="624" spans="1:7">
      <c r="A624" t="s">
        <v>1582</v>
      </c>
      <c r="B624" t="s">
        <v>1583</v>
      </c>
      <c r="C624">
        <v>15</v>
      </c>
      <c r="D624" s="260">
        <v>46282</v>
      </c>
      <c r="E624" s="260">
        <v>46302</v>
      </c>
      <c r="F624">
        <v>57</v>
      </c>
      <c r="G624" t="s">
        <v>350</v>
      </c>
    </row>
    <row r="625" spans="1:7">
      <c r="A625" t="s">
        <v>1584</v>
      </c>
      <c r="B625" t="s">
        <v>1585</v>
      </c>
      <c r="C625">
        <v>25</v>
      </c>
      <c r="D625" s="260">
        <v>46192</v>
      </c>
      <c r="E625" s="260">
        <v>46226</v>
      </c>
      <c r="F625">
        <v>32</v>
      </c>
      <c r="G625" t="s">
        <v>350</v>
      </c>
    </row>
    <row r="626" spans="1:7">
      <c r="A626" t="s">
        <v>1586</v>
      </c>
      <c r="B626" t="s">
        <v>1587</v>
      </c>
      <c r="C626">
        <v>15</v>
      </c>
      <c r="D626" s="260">
        <v>46247</v>
      </c>
      <c r="E626" s="260">
        <v>46267</v>
      </c>
      <c r="F626">
        <v>57</v>
      </c>
      <c r="G626" t="s">
        <v>350</v>
      </c>
    </row>
    <row r="627" spans="1:7">
      <c r="A627" t="s">
        <v>1588</v>
      </c>
      <c r="B627" t="s">
        <v>1589</v>
      </c>
      <c r="C627">
        <v>15</v>
      </c>
      <c r="D627" s="260">
        <v>46282</v>
      </c>
      <c r="E627" s="260">
        <v>46302</v>
      </c>
      <c r="F627">
        <v>57</v>
      </c>
      <c r="G627" t="s">
        <v>350</v>
      </c>
    </row>
    <row r="628" spans="1:7">
      <c r="A628" t="s">
        <v>1590</v>
      </c>
      <c r="B628" t="s">
        <v>1591</v>
      </c>
      <c r="C628">
        <v>25</v>
      </c>
      <c r="D628" s="260">
        <v>46192</v>
      </c>
      <c r="E628" s="260">
        <v>46226</v>
      </c>
      <c r="F628">
        <v>32</v>
      </c>
      <c r="G628" t="s">
        <v>350</v>
      </c>
    </row>
    <row r="629" spans="1:7">
      <c r="A629" t="s">
        <v>1592</v>
      </c>
      <c r="B629" t="s">
        <v>1593</v>
      </c>
      <c r="C629">
        <v>15</v>
      </c>
      <c r="D629" s="260">
        <v>46247</v>
      </c>
      <c r="E629" s="260">
        <v>46267</v>
      </c>
      <c r="F629">
        <v>57</v>
      </c>
      <c r="G629" t="s">
        <v>350</v>
      </c>
    </row>
    <row r="630" spans="1:7">
      <c r="A630" t="s">
        <v>1594</v>
      </c>
      <c r="B630" t="s">
        <v>1595</v>
      </c>
      <c r="C630">
        <v>15</v>
      </c>
      <c r="D630" s="260">
        <v>46282</v>
      </c>
      <c r="E630" s="260">
        <v>46302</v>
      </c>
      <c r="F630">
        <v>57</v>
      </c>
      <c r="G630" t="s">
        <v>350</v>
      </c>
    </row>
    <row r="631" spans="1:7">
      <c r="A631" t="s">
        <v>1596</v>
      </c>
      <c r="B631" t="s">
        <v>1597</v>
      </c>
      <c r="C631">
        <v>25</v>
      </c>
      <c r="D631" s="260">
        <v>46192</v>
      </c>
      <c r="E631" s="260">
        <v>46226</v>
      </c>
      <c r="F631">
        <v>32</v>
      </c>
      <c r="G631" t="s">
        <v>350</v>
      </c>
    </row>
    <row r="632" spans="1:7">
      <c r="A632" t="s">
        <v>1598</v>
      </c>
      <c r="B632" t="s">
        <v>1599</v>
      </c>
      <c r="C632">
        <v>15</v>
      </c>
      <c r="D632" s="260">
        <v>46247</v>
      </c>
      <c r="E632" s="260">
        <v>46267</v>
      </c>
      <c r="F632">
        <v>57</v>
      </c>
      <c r="G632" t="s">
        <v>350</v>
      </c>
    </row>
    <row r="633" spans="1:7">
      <c r="A633" t="s">
        <v>1600</v>
      </c>
      <c r="B633" t="s">
        <v>1601</v>
      </c>
      <c r="C633">
        <v>15</v>
      </c>
      <c r="D633" s="260">
        <v>46282</v>
      </c>
      <c r="E633" s="260">
        <v>46302</v>
      </c>
      <c r="F633">
        <v>57</v>
      </c>
      <c r="G633" t="s">
        <v>350</v>
      </c>
    </row>
    <row r="634" spans="1:7">
      <c r="A634" t="s">
        <v>1602</v>
      </c>
      <c r="B634" t="s">
        <v>1603</v>
      </c>
      <c r="C634">
        <v>25</v>
      </c>
      <c r="D634" s="260">
        <v>46199</v>
      </c>
      <c r="E634" s="260">
        <v>46238</v>
      </c>
      <c r="F634">
        <v>27</v>
      </c>
      <c r="G634" t="s">
        <v>350</v>
      </c>
    </row>
    <row r="635" spans="1:7">
      <c r="A635" t="s">
        <v>1604</v>
      </c>
      <c r="B635" t="s">
        <v>1605</v>
      </c>
      <c r="C635">
        <v>15</v>
      </c>
      <c r="D635" s="260">
        <v>46254</v>
      </c>
      <c r="E635" s="260">
        <v>46274</v>
      </c>
      <c r="F635">
        <v>52</v>
      </c>
      <c r="G635" t="s">
        <v>350</v>
      </c>
    </row>
    <row r="636" spans="1:7">
      <c r="A636" t="s">
        <v>1606</v>
      </c>
      <c r="B636" t="s">
        <v>1607</v>
      </c>
      <c r="C636">
        <v>15</v>
      </c>
      <c r="D636" s="260">
        <v>46289</v>
      </c>
      <c r="E636" s="260">
        <v>46310</v>
      </c>
      <c r="F636">
        <v>52</v>
      </c>
      <c r="G636" t="s">
        <v>350</v>
      </c>
    </row>
    <row r="637" spans="1:7">
      <c r="A637" t="s">
        <v>1608</v>
      </c>
      <c r="B637" t="s">
        <v>1609</v>
      </c>
      <c r="C637">
        <v>25</v>
      </c>
      <c r="D637" s="260">
        <v>46199</v>
      </c>
      <c r="E637" s="260">
        <v>46238</v>
      </c>
      <c r="F637">
        <v>27</v>
      </c>
      <c r="G637" t="s">
        <v>350</v>
      </c>
    </row>
    <row r="638" spans="1:7">
      <c r="A638" t="s">
        <v>1610</v>
      </c>
      <c r="B638" t="s">
        <v>1611</v>
      </c>
      <c r="C638">
        <v>15</v>
      </c>
      <c r="D638" s="260">
        <v>46254</v>
      </c>
      <c r="E638" s="260">
        <v>46274</v>
      </c>
      <c r="F638">
        <v>52</v>
      </c>
      <c r="G638" t="s">
        <v>350</v>
      </c>
    </row>
    <row r="639" spans="1:7">
      <c r="A639" t="s">
        <v>1612</v>
      </c>
      <c r="B639" t="s">
        <v>1613</v>
      </c>
      <c r="C639">
        <v>15</v>
      </c>
      <c r="D639" s="260">
        <v>46289</v>
      </c>
      <c r="E639" s="260">
        <v>46310</v>
      </c>
      <c r="F639">
        <v>52</v>
      </c>
      <c r="G639" t="s">
        <v>350</v>
      </c>
    </row>
    <row r="640" spans="1:7">
      <c r="A640" t="s">
        <v>1614</v>
      </c>
      <c r="B640" t="s">
        <v>1615</v>
      </c>
      <c r="C640">
        <v>25</v>
      </c>
      <c r="D640" s="260">
        <v>46199</v>
      </c>
      <c r="E640" s="260">
        <v>46238</v>
      </c>
      <c r="F640">
        <v>27</v>
      </c>
      <c r="G640" t="s">
        <v>350</v>
      </c>
    </row>
    <row r="641" spans="1:7">
      <c r="A641" t="s">
        <v>1616</v>
      </c>
      <c r="B641" t="s">
        <v>1617</v>
      </c>
      <c r="C641">
        <v>15</v>
      </c>
      <c r="D641" s="260">
        <v>46254</v>
      </c>
      <c r="E641" s="260">
        <v>46274</v>
      </c>
      <c r="F641">
        <v>52</v>
      </c>
      <c r="G641" t="s">
        <v>350</v>
      </c>
    </row>
    <row r="642" spans="1:7">
      <c r="A642" t="s">
        <v>1618</v>
      </c>
      <c r="B642" t="s">
        <v>1619</v>
      </c>
      <c r="C642">
        <v>15</v>
      </c>
      <c r="D642" s="260">
        <v>46289</v>
      </c>
      <c r="E642" s="260">
        <v>46310</v>
      </c>
      <c r="F642">
        <v>52</v>
      </c>
      <c r="G642" t="s">
        <v>350</v>
      </c>
    </row>
    <row r="643" spans="1:7">
      <c r="A643" t="s">
        <v>1620</v>
      </c>
      <c r="B643" t="s">
        <v>1621</v>
      </c>
      <c r="C643">
        <v>25</v>
      </c>
      <c r="D643" s="260">
        <v>46199</v>
      </c>
      <c r="E643" s="260">
        <v>46238</v>
      </c>
      <c r="F643">
        <v>27</v>
      </c>
      <c r="G643" t="s">
        <v>350</v>
      </c>
    </row>
    <row r="644" spans="1:7">
      <c r="A644" t="s">
        <v>1622</v>
      </c>
      <c r="B644" t="s">
        <v>1623</v>
      </c>
      <c r="C644">
        <v>15</v>
      </c>
      <c r="D644" s="260">
        <v>46254</v>
      </c>
      <c r="E644" s="260">
        <v>46274</v>
      </c>
      <c r="F644">
        <v>52</v>
      </c>
      <c r="G644" t="s">
        <v>350</v>
      </c>
    </row>
    <row r="645" spans="1:7">
      <c r="A645" t="s">
        <v>1624</v>
      </c>
      <c r="B645" t="s">
        <v>1625</v>
      </c>
      <c r="C645">
        <v>15</v>
      </c>
      <c r="D645" s="260">
        <v>46289</v>
      </c>
      <c r="E645" s="260">
        <v>46310</v>
      </c>
      <c r="F645">
        <v>52</v>
      </c>
      <c r="G645" t="s">
        <v>350</v>
      </c>
    </row>
    <row r="646" spans="1:7">
      <c r="A646" t="s">
        <v>1626</v>
      </c>
      <c r="B646" t="s">
        <v>1627</v>
      </c>
      <c r="C646">
        <v>20</v>
      </c>
      <c r="D646" s="260">
        <v>46140</v>
      </c>
      <c r="E646" s="260">
        <v>46168</v>
      </c>
      <c r="F646">
        <v>0</v>
      </c>
      <c r="G646" t="s">
        <v>350</v>
      </c>
    </row>
    <row r="647" spans="1:7">
      <c r="A647" t="s">
        <v>1628</v>
      </c>
      <c r="B647" t="s">
        <v>1629</v>
      </c>
      <c r="C647">
        <v>10</v>
      </c>
      <c r="D647" s="260">
        <v>46185</v>
      </c>
      <c r="E647" s="260">
        <v>46198</v>
      </c>
      <c r="F647">
        <v>112</v>
      </c>
      <c r="G647" t="s">
        <v>350</v>
      </c>
    </row>
    <row r="648" spans="1:7">
      <c r="A648" t="s">
        <v>1630</v>
      </c>
      <c r="B648" t="s">
        <v>1631</v>
      </c>
      <c r="C648">
        <v>5</v>
      </c>
      <c r="D648" s="260">
        <v>46213</v>
      </c>
      <c r="E648" s="260">
        <v>46219</v>
      </c>
      <c r="F648">
        <v>112</v>
      </c>
      <c r="G648" t="s">
        <v>350</v>
      </c>
    </row>
    <row r="649" spans="1:7">
      <c r="A649" t="s">
        <v>1632</v>
      </c>
      <c r="B649" t="s">
        <v>1633</v>
      </c>
      <c r="C649">
        <v>25</v>
      </c>
      <c r="D649" s="260">
        <v>46239</v>
      </c>
      <c r="E649" s="260">
        <v>46274</v>
      </c>
      <c r="F649">
        <v>27</v>
      </c>
      <c r="G649" t="s">
        <v>350</v>
      </c>
    </row>
    <row r="650" spans="1:7">
      <c r="A650" t="s">
        <v>1634</v>
      </c>
      <c r="B650" t="s">
        <v>1635</v>
      </c>
      <c r="C650">
        <v>15</v>
      </c>
      <c r="D650" s="260">
        <v>46289</v>
      </c>
      <c r="E650" s="260">
        <v>46310</v>
      </c>
      <c r="F650">
        <v>27</v>
      </c>
      <c r="G650" t="s">
        <v>350</v>
      </c>
    </row>
    <row r="651" spans="1:7">
      <c r="A651" t="s">
        <v>1636</v>
      </c>
      <c r="B651" t="s">
        <v>1637</v>
      </c>
      <c r="C651">
        <v>15</v>
      </c>
      <c r="D651" s="260">
        <v>46328</v>
      </c>
      <c r="E651" s="260">
        <v>46346</v>
      </c>
      <c r="F651">
        <v>27</v>
      </c>
      <c r="G651" t="s">
        <v>350</v>
      </c>
    </row>
    <row r="652" spans="1:7">
      <c r="A652" t="s">
        <v>1638</v>
      </c>
      <c r="B652" t="s">
        <v>1639</v>
      </c>
      <c r="C652">
        <v>25</v>
      </c>
      <c r="D652" s="260">
        <v>46170</v>
      </c>
      <c r="E652" s="260">
        <v>46206</v>
      </c>
      <c r="F652">
        <v>46</v>
      </c>
      <c r="G652" t="s">
        <v>350</v>
      </c>
    </row>
    <row r="653" spans="1:7">
      <c r="A653" t="s">
        <v>1640</v>
      </c>
      <c r="B653" t="s">
        <v>1641</v>
      </c>
      <c r="C653">
        <v>15</v>
      </c>
      <c r="D653" s="260">
        <v>46223</v>
      </c>
      <c r="E653" s="260">
        <v>46247</v>
      </c>
      <c r="F653">
        <v>56</v>
      </c>
      <c r="G653" t="s">
        <v>350</v>
      </c>
    </row>
    <row r="654" spans="1:7">
      <c r="A654" t="s">
        <v>1642</v>
      </c>
      <c r="B654" t="s">
        <v>1643</v>
      </c>
      <c r="C654">
        <v>15</v>
      </c>
      <c r="D654" s="260">
        <v>46262</v>
      </c>
      <c r="E654" s="260">
        <v>46282</v>
      </c>
      <c r="F654">
        <v>56</v>
      </c>
      <c r="G654" t="s">
        <v>350</v>
      </c>
    </row>
    <row r="655" spans="1:7">
      <c r="A655" t="s">
        <v>1644</v>
      </c>
      <c r="B655" t="s">
        <v>1645</v>
      </c>
      <c r="C655">
        <v>25</v>
      </c>
      <c r="D655" s="260">
        <v>46170</v>
      </c>
      <c r="E655" s="260">
        <v>46206</v>
      </c>
      <c r="F655">
        <v>46</v>
      </c>
      <c r="G655" t="s">
        <v>350</v>
      </c>
    </row>
    <row r="656" spans="1:7">
      <c r="A656" t="s">
        <v>1646</v>
      </c>
      <c r="B656" t="s">
        <v>1647</v>
      </c>
      <c r="C656">
        <v>15</v>
      </c>
      <c r="D656" s="260">
        <v>46223</v>
      </c>
      <c r="E656" s="260">
        <v>46247</v>
      </c>
      <c r="F656">
        <v>56</v>
      </c>
      <c r="G656" t="s">
        <v>350</v>
      </c>
    </row>
    <row r="657" spans="1:7">
      <c r="A657" t="s">
        <v>1648</v>
      </c>
      <c r="B657" t="s">
        <v>1649</v>
      </c>
      <c r="C657">
        <v>15</v>
      </c>
      <c r="D657" s="260">
        <v>46262</v>
      </c>
      <c r="E657" s="260">
        <v>46282</v>
      </c>
      <c r="F657">
        <v>56</v>
      </c>
      <c r="G657" t="s">
        <v>350</v>
      </c>
    </row>
    <row r="658" spans="1:7">
      <c r="A658" t="s">
        <v>1650</v>
      </c>
      <c r="B658" t="s">
        <v>1651</v>
      </c>
      <c r="C658">
        <v>25</v>
      </c>
      <c r="D658" s="260">
        <v>46170</v>
      </c>
      <c r="E658" s="260">
        <v>46206</v>
      </c>
      <c r="F658">
        <v>71</v>
      </c>
      <c r="G658" t="s">
        <v>350</v>
      </c>
    </row>
    <row r="659" spans="1:7">
      <c r="A659" t="s">
        <v>1652</v>
      </c>
      <c r="B659" t="s">
        <v>1653</v>
      </c>
      <c r="C659">
        <v>15</v>
      </c>
      <c r="D659" s="260">
        <v>46223</v>
      </c>
      <c r="E659" s="260">
        <v>46247</v>
      </c>
      <c r="F659">
        <v>71</v>
      </c>
      <c r="G659" t="s">
        <v>350</v>
      </c>
    </row>
    <row r="660" spans="1:7">
      <c r="A660" t="s">
        <v>1654</v>
      </c>
      <c r="B660" t="s">
        <v>1655</v>
      </c>
      <c r="C660">
        <v>15</v>
      </c>
      <c r="D660" s="260">
        <v>46262</v>
      </c>
      <c r="E660" s="260">
        <v>46282</v>
      </c>
      <c r="F660">
        <v>71</v>
      </c>
      <c r="G660" t="s">
        <v>350</v>
      </c>
    </row>
    <row r="661" spans="1:7">
      <c r="A661" t="s">
        <v>1656</v>
      </c>
      <c r="B661" t="s">
        <v>1657</v>
      </c>
      <c r="C661">
        <v>25</v>
      </c>
      <c r="D661" s="260">
        <v>46170</v>
      </c>
      <c r="E661" s="260">
        <v>46206</v>
      </c>
      <c r="F661">
        <v>46</v>
      </c>
      <c r="G661" t="s">
        <v>350</v>
      </c>
    </row>
    <row r="662" spans="1:7">
      <c r="A662" t="s">
        <v>1658</v>
      </c>
      <c r="B662" t="s">
        <v>1659</v>
      </c>
      <c r="C662">
        <v>15</v>
      </c>
      <c r="D662" s="260">
        <v>46223</v>
      </c>
      <c r="E662" s="260">
        <v>46247</v>
      </c>
      <c r="F662">
        <v>56</v>
      </c>
      <c r="G662" t="s">
        <v>350</v>
      </c>
    </row>
    <row r="663" spans="1:7">
      <c r="A663" t="s">
        <v>1660</v>
      </c>
      <c r="B663" t="s">
        <v>1661</v>
      </c>
      <c r="C663">
        <v>15</v>
      </c>
      <c r="D663" s="260">
        <v>46262</v>
      </c>
      <c r="E663" s="260">
        <v>46282</v>
      </c>
      <c r="F663">
        <v>56</v>
      </c>
      <c r="G663" t="s">
        <v>350</v>
      </c>
    </row>
    <row r="664" spans="1:7">
      <c r="A664" t="s">
        <v>1662</v>
      </c>
      <c r="B664" t="s">
        <v>1663</v>
      </c>
      <c r="C664">
        <v>25</v>
      </c>
      <c r="D664" s="260">
        <v>46209</v>
      </c>
      <c r="E664" s="260">
        <v>46247</v>
      </c>
      <c r="F664">
        <v>46</v>
      </c>
      <c r="G664" t="s">
        <v>350</v>
      </c>
    </row>
    <row r="665" spans="1:7">
      <c r="A665" t="s">
        <v>1664</v>
      </c>
      <c r="B665" t="s">
        <v>1665</v>
      </c>
      <c r="C665">
        <v>15</v>
      </c>
      <c r="D665" s="260">
        <v>46262</v>
      </c>
      <c r="E665" s="260">
        <v>46282</v>
      </c>
      <c r="F665">
        <v>46</v>
      </c>
      <c r="G665" t="s">
        <v>350</v>
      </c>
    </row>
    <row r="666" spans="1:7">
      <c r="A666" t="s">
        <v>1666</v>
      </c>
      <c r="B666" t="s">
        <v>1667</v>
      </c>
      <c r="C666">
        <v>15</v>
      </c>
      <c r="D666" s="260">
        <v>46297</v>
      </c>
      <c r="E666" s="260">
        <v>46321</v>
      </c>
      <c r="F666">
        <v>46</v>
      </c>
      <c r="G666" t="s">
        <v>350</v>
      </c>
    </row>
    <row r="667" spans="1:7">
      <c r="A667" t="s">
        <v>1668</v>
      </c>
      <c r="B667" t="s">
        <v>1669</v>
      </c>
      <c r="C667">
        <v>25</v>
      </c>
      <c r="D667" s="260">
        <v>46209</v>
      </c>
      <c r="E667" s="260">
        <v>46247</v>
      </c>
      <c r="F667">
        <v>46</v>
      </c>
      <c r="G667" t="s">
        <v>350</v>
      </c>
    </row>
    <row r="668" spans="1:7">
      <c r="A668" t="s">
        <v>1670</v>
      </c>
      <c r="B668" t="s">
        <v>1671</v>
      </c>
      <c r="C668">
        <v>15</v>
      </c>
      <c r="D668" s="260">
        <v>46262</v>
      </c>
      <c r="E668" s="260">
        <v>46282</v>
      </c>
      <c r="F668">
        <v>46</v>
      </c>
      <c r="G668" t="s">
        <v>350</v>
      </c>
    </row>
    <row r="669" spans="1:7">
      <c r="A669" t="s">
        <v>1672</v>
      </c>
      <c r="B669" t="s">
        <v>1673</v>
      </c>
      <c r="C669">
        <v>15</v>
      </c>
      <c r="D669" s="260">
        <v>46297</v>
      </c>
      <c r="E669" s="260">
        <v>46321</v>
      </c>
      <c r="F669">
        <v>46</v>
      </c>
      <c r="G669" t="s">
        <v>350</v>
      </c>
    </row>
    <row r="670" spans="1:7">
      <c r="A670" t="s">
        <v>1674</v>
      </c>
      <c r="B670" t="s">
        <v>1675</v>
      </c>
      <c r="C670">
        <v>25</v>
      </c>
      <c r="D670" s="260">
        <v>46209</v>
      </c>
      <c r="E670" s="260">
        <v>46247</v>
      </c>
      <c r="F670">
        <v>46</v>
      </c>
      <c r="G670" t="s">
        <v>350</v>
      </c>
    </row>
    <row r="671" spans="1:7">
      <c r="A671" t="s">
        <v>1676</v>
      </c>
      <c r="B671" t="s">
        <v>1677</v>
      </c>
      <c r="C671">
        <v>15</v>
      </c>
      <c r="D671" s="260">
        <v>46262</v>
      </c>
      <c r="E671" s="260">
        <v>46282</v>
      </c>
      <c r="F671">
        <v>46</v>
      </c>
      <c r="G671" t="s">
        <v>350</v>
      </c>
    </row>
    <row r="672" spans="1:7">
      <c r="A672" t="s">
        <v>1678</v>
      </c>
      <c r="B672" t="s">
        <v>1679</v>
      </c>
      <c r="C672">
        <v>15</v>
      </c>
      <c r="D672" s="260">
        <v>46297</v>
      </c>
      <c r="E672" s="260">
        <v>46321</v>
      </c>
      <c r="F672">
        <v>46</v>
      </c>
      <c r="G672" t="s">
        <v>350</v>
      </c>
    </row>
    <row r="673" spans="1:7">
      <c r="A673" t="s">
        <v>1680</v>
      </c>
      <c r="B673" t="s">
        <v>1681</v>
      </c>
      <c r="C673">
        <v>25</v>
      </c>
      <c r="D673" s="260">
        <v>46209</v>
      </c>
      <c r="E673" s="260">
        <v>46247</v>
      </c>
      <c r="F673">
        <v>46</v>
      </c>
      <c r="G673" t="s">
        <v>350</v>
      </c>
    </row>
    <row r="674" spans="1:7">
      <c r="A674" t="s">
        <v>1682</v>
      </c>
      <c r="B674" t="s">
        <v>1683</v>
      </c>
      <c r="C674">
        <v>15</v>
      </c>
      <c r="D674" s="260">
        <v>46262</v>
      </c>
      <c r="E674" s="260">
        <v>46282</v>
      </c>
      <c r="F674">
        <v>46</v>
      </c>
      <c r="G674" t="s">
        <v>350</v>
      </c>
    </row>
    <row r="675" spans="1:7">
      <c r="A675" t="s">
        <v>1684</v>
      </c>
      <c r="B675" t="s">
        <v>1685</v>
      </c>
      <c r="C675">
        <v>15</v>
      </c>
      <c r="D675" s="260">
        <v>46297</v>
      </c>
      <c r="E675" s="260">
        <v>46321</v>
      </c>
      <c r="F675">
        <v>46</v>
      </c>
      <c r="G675" t="s">
        <v>350</v>
      </c>
    </row>
    <row r="676" spans="1:7">
      <c r="A676" t="s">
        <v>1686</v>
      </c>
      <c r="B676" t="s">
        <v>1687</v>
      </c>
      <c r="C676">
        <v>25</v>
      </c>
      <c r="D676" s="260">
        <v>46209</v>
      </c>
      <c r="E676" s="260">
        <v>46247</v>
      </c>
      <c r="F676">
        <v>46</v>
      </c>
      <c r="G676" t="s">
        <v>350</v>
      </c>
    </row>
    <row r="677" spans="1:7">
      <c r="A677" t="s">
        <v>1688</v>
      </c>
      <c r="B677" t="s">
        <v>1689</v>
      </c>
      <c r="C677">
        <v>15</v>
      </c>
      <c r="D677" s="260">
        <v>46262</v>
      </c>
      <c r="E677" s="260">
        <v>46282</v>
      </c>
      <c r="F677">
        <v>46</v>
      </c>
      <c r="G677" t="s">
        <v>350</v>
      </c>
    </row>
    <row r="678" spans="1:7">
      <c r="A678" t="s">
        <v>1690</v>
      </c>
      <c r="B678" t="s">
        <v>1691</v>
      </c>
      <c r="C678">
        <v>15</v>
      </c>
      <c r="D678" s="260">
        <v>46297</v>
      </c>
      <c r="E678" s="260">
        <v>46321</v>
      </c>
      <c r="F678">
        <v>46</v>
      </c>
      <c r="G678" t="s">
        <v>350</v>
      </c>
    </row>
    <row r="679" spans="1:7">
      <c r="A679" t="s">
        <v>1692</v>
      </c>
      <c r="B679" t="s">
        <v>1693</v>
      </c>
      <c r="C679">
        <v>25</v>
      </c>
      <c r="D679" s="260">
        <v>46209</v>
      </c>
      <c r="E679" s="260">
        <v>46247</v>
      </c>
      <c r="F679">
        <v>46</v>
      </c>
      <c r="G679" t="s">
        <v>350</v>
      </c>
    </row>
    <row r="680" spans="1:7">
      <c r="A680" t="s">
        <v>1694</v>
      </c>
      <c r="B680" t="s">
        <v>1695</v>
      </c>
      <c r="C680">
        <v>15</v>
      </c>
      <c r="D680" s="260">
        <v>46262</v>
      </c>
      <c r="E680" s="260">
        <v>46282</v>
      </c>
      <c r="F680">
        <v>46</v>
      </c>
      <c r="G680" t="s">
        <v>350</v>
      </c>
    </row>
    <row r="681" spans="1:7">
      <c r="A681" t="s">
        <v>1696</v>
      </c>
      <c r="B681" t="s">
        <v>1697</v>
      </c>
      <c r="C681">
        <v>15</v>
      </c>
      <c r="D681" s="260">
        <v>46297</v>
      </c>
      <c r="E681" s="260">
        <v>46321</v>
      </c>
      <c r="F681">
        <v>46</v>
      </c>
      <c r="G681" t="s">
        <v>350</v>
      </c>
    </row>
    <row r="682" spans="1:7">
      <c r="A682" t="s">
        <v>1698</v>
      </c>
      <c r="B682" t="s">
        <v>1699</v>
      </c>
      <c r="C682">
        <v>25</v>
      </c>
      <c r="D682" s="260">
        <v>46209</v>
      </c>
      <c r="E682" s="260">
        <v>46247</v>
      </c>
      <c r="F682">
        <v>46</v>
      </c>
      <c r="G682" t="s">
        <v>350</v>
      </c>
    </row>
    <row r="683" spans="1:7">
      <c r="A683" t="s">
        <v>1700</v>
      </c>
      <c r="B683" t="s">
        <v>1701</v>
      </c>
      <c r="C683">
        <v>15</v>
      </c>
      <c r="D683" s="260">
        <v>46262</v>
      </c>
      <c r="E683" s="260">
        <v>46282</v>
      </c>
      <c r="F683">
        <v>46</v>
      </c>
      <c r="G683" t="s">
        <v>350</v>
      </c>
    </row>
    <row r="684" spans="1:7">
      <c r="A684" t="s">
        <v>1702</v>
      </c>
      <c r="B684" t="s">
        <v>1703</v>
      </c>
      <c r="C684">
        <v>15</v>
      </c>
      <c r="D684" s="260">
        <v>46297</v>
      </c>
      <c r="E684" s="260">
        <v>46321</v>
      </c>
      <c r="F684">
        <v>46</v>
      </c>
      <c r="G684" t="s">
        <v>350</v>
      </c>
    </row>
    <row r="685" spans="1:7">
      <c r="A685" t="s">
        <v>1704</v>
      </c>
      <c r="B685" t="s">
        <v>1705</v>
      </c>
      <c r="C685">
        <v>10</v>
      </c>
      <c r="D685" s="260">
        <v>46254</v>
      </c>
      <c r="E685" s="260">
        <v>46267</v>
      </c>
      <c r="F685">
        <v>47</v>
      </c>
      <c r="G685" t="s">
        <v>350</v>
      </c>
    </row>
    <row r="686" spans="1:7">
      <c r="A686" t="s">
        <v>1706</v>
      </c>
      <c r="B686" t="s">
        <v>1707</v>
      </c>
      <c r="C686">
        <v>10</v>
      </c>
      <c r="D686" s="260">
        <v>46282</v>
      </c>
      <c r="E686" s="260">
        <v>46295</v>
      </c>
      <c r="F686">
        <v>47</v>
      </c>
      <c r="G686" t="s">
        <v>350</v>
      </c>
    </row>
    <row r="687" spans="1:7">
      <c r="A687" t="s">
        <v>1708</v>
      </c>
      <c r="B687" t="s">
        <v>1709</v>
      </c>
      <c r="C687">
        <v>5</v>
      </c>
      <c r="D687" s="260">
        <v>46311</v>
      </c>
      <c r="E687" s="260">
        <v>46317</v>
      </c>
      <c r="F687">
        <v>47</v>
      </c>
      <c r="G687" t="s">
        <v>350</v>
      </c>
    </row>
    <row r="688" spans="1:7">
      <c r="A688" t="s">
        <v>1710</v>
      </c>
      <c r="B688" t="s">
        <v>1711</v>
      </c>
      <c r="C688">
        <v>10</v>
      </c>
      <c r="D688" s="260">
        <v>46156</v>
      </c>
      <c r="E688" s="260">
        <v>46169</v>
      </c>
      <c r="F688">
        <v>111</v>
      </c>
      <c r="G688" t="s">
        <v>350</v>
      </c>
    </row>
    <row r="689" spans="1:7">
      <c r="A689" t="s">
        <v>1712</v>
      </c>
      <c r="B689" t="s">
        <v>1713</v>
      </c>
      <c r="C689">
        <v>10</v>
      </c>
      <c r="D689" s="260">
        <v>46188</v>
      </c>
      <c r="E689" s="260">
        <v>46199</v>
      </c>
      <c r="F689">
        <v>111</v>
      </c>
      <c r="G689" t="s">
        <v>350</v>
      </c>
    </row>
    <row r="690" spans="1:7">
      <c r="A690" t="s">
        <v>1714</v>
      </c>
      <c r="B690" t="s">
        <v>1715</v>
      </c>
      <c r="C690">
        <v>5</v>
      </c>
      <c r="D690" s="260">
        <v>46216</v>
      </c>
      <c r="E690" s="260">
        <v>46220</v>
      </c>
      <c r="F690">
        <v>111</v>
      </c>
      <c r="G690" t="s">
        <v>350</v>
      </c>
    </row>
    <row r="691" spans="1:7">
      <c r="A691" t="s">
        <v>1716</v>
      </c>
      <c r="B691" t="s">
        <v>1717</v>
      </c>
      <c r="C691">
        <v>10</v>
      </c>
      <c r="D691" s="260">
        <v>46155</v>
      </c>
      <c r="E691" s="260">
        <v>46168</v>
      </c>
      <c r="F691">
        <v>112</v>
      </c>
      <c r="G691" t="s">
        <v>350</v>
      </c>
    </row>
    <row r="692" spans="1:7">
      <c r="A692" t="s">
        <v>1718</v>
      </c>
      <c r="B692" t="s">
        <v>1719</v>
      </c>
      <c r="C692">
        <v>10</v>
      </c>
      <c r="D692" s="260">
        <v>46185</v>
      </c>
      <c r="E692" s="260">
        <v>46198</v>
      </c>
      <c r="F692">
        <v>112</v>
      </c>
      <c r="G692" t="s">
        <v>350</v>
      </c>
    </row>
    <row r="693" spans="1:7">
      <c r="A693" t="s">
        <v>1720</v>
      </c>
      <c r="B693" t="s">
        <v>1721</v>
      </c>
      <c r="C693">
        <v>5</v>
      </c>
      <c r="D693" s="260">
        <v>46213</v>
      </c>
      <c r="E693" s="260">
        <v>46219</v>
      </c>
      <c r="F693">
        <v>112</v>
      </c>
      <c r="G693" t="s">
        <v>350</v>
      </c>
    </row>
    <row r="694" spans="1:7">
      <c r="A694" t="s">
        <v>1722</v>
      </c>
      <c r="B694" t="s">
        <v>1417</v>
      </c>
      <c r="C694">
        <v>10</v>
      </c>
      <c r="D694" s="260">
        <v>46155</v>
      </c>
      <c r="E694" s="260">
        <v>46168</v>
      </c>
      <c r="F694">
        <v>112</v>
      </c>
      <c r="G694" t="s">
        <v>350</v>
      </c>
    </row>
    <row r="695" spans="1:7">
      <c r="A695" t="s">
        <v>1723</v>
      </c>
      <c r="B695" t="s">
        <v>1419</v>
      </c>
      <c r="C695">
        <v>10</v>
      </c>
      <c r="D695" s="260">
        <v>46185</v>
      </c>
      <c r="E695" s="260">
        <v>46198</v>
      </c>
      <c r="F695">
        <v>112</v>
      </c>
      <c r="G695" t="s">
        <v>350</v>
      </c>
    </row>
    <row r="696" spans="1:7">
      <c r="A696" t="s">
        <v>1724</v>
      </c>
      <c r="B696" t="s">
        <v>1421</v>
      </c>
      <c r="C696">
        <v>5</v>
      </c>
      <c r="D696" s="260">
        <v>46213</v>
      </c>
      <c r="E696" s="260">
        <v>46219</v>
      </c>
      <c r="F696">
        <v>112</v>
      </c>
      <c r="G696" t="s">
        <v>350</v>
      </c>
    </row>
    <row r="697" spans="1:7">
      <c r="A697" t="s">
        <v>1725</v>
      </c>
      <c r="B697" t="s">
        <v>1726</v>
      </c>
      <c r="C697">
        <v>10</v>
      </c>
      <c r="D697" s="260">
        <v>46155</v>
      </c>
      <c r="E697" s="260">
        <v>46168</v>
      </c>
      <c r="F697">
        <v>112</v>
      </c>
      <c r="G697" t="s">
        <v>350</v>
      </c>
    </row>
    <row r="698" spans="1:7">
      <c r="A698" t="s">
        <v>1727</v>
      </c>
      <c r="B698" t="s">
        <v>1728</v>
      </c>
      <c r="C698">
        <v>10</v>
      </c>
      <c r="D698" s="260">
        <v>46185</v>
      </c>
      <c r="E698" s="260">
        <v>46198</v>
      </c>
      <c r="F698">
        <v>112</v>
      </c>
      <c r="G698" t="s">
        <v>350</v>
      </c>
    </row>
    <row r="699" spans="1:7">
      <c r="A699" t="s">
        <v>1729</v>
      </c>
      <c r="B699" t="s">
        <v>1730</v>
      </c>
      <c r="C699">
        <v>5</v>
      </c>
      <c r="D699" s="260">
        <v>46213</v>
      </c>
      <c r="E699" s="260">
        <v>46219</v>
      </c>
      <c r="F699">
        <v>112</v>
      </c>
      <c r="G699" t="s">
        <v>350</v>
      </c>
    </row>
    <row r="700" spans="1:7">
      <c r="A700" t="s">
        <v>1731</v>
      </c>
      <c r="B700" t="s">
        <v>1732</v>
      </c>
      <c r="C700">
        <v>10</v>
      </c>
      <c r="D700" s="260">
        <v>46155</v>
      </c>
      <c r="E700" s="260">
        <v>46168</v>
      </c>
      <c r="F700">
        <v>112</v>
      </c>
      <c r="G700" t="s">
        <v>350</v>
      </c>
    </row>
    <row r="701" spans="1:7">
      <c r="A701" t="s">
        <v>1733</v>
      </c>
      <c r="B701" t="s">
        <v>1734</v>
      </c>
      <c r="C701">
        <v>10</v>
      </c>
      <c r="D701" s="260">
        <v>46185</v>
      </c>
      <c r="E701" s="260">
        <v>46198</v>
      </c>
      <c r="F701">
        <v>112</v>
      </c>
      <c r="G701" t="s">
        <v>350</v>
      </c>
    </row>
    <row r="702" spans="1:7">
      <c r="A702" t="s">
        <v>1735</v>
      </c>
      <c r="B702" t="s">
        <v>1736</v>
      </c>
      <c r="C702">
        <v>5</v>
      </c>
      <c r="D702" s="260">
        <v>46213</v>
      </c>
      <c r="E702" s="260">
        <v>46219</v>
      </c>
      <c r="F702">
        <v>112</v>
      </c>
      <c r="G702" t="s">
        <v>350</v>
      </c>
    </row>
    <row r="703" spans="1:7">
      <c r="A703" t="s">
        <v>1737</v>
      </c>
      <c r="B703" t="s">
        <v>1738</v>
      </c>
      <c r="C703">
        <v>10</v>
      </c>
      <c r="D703" s="260">
        <v>46155</v>
      </c>
      <c r="E703" s="260">
        <v>46168</v>
      </c>
      <c r="F703">
        <v>112</v>
      </c>
      <c r="G703" t="s">
        <v>350</v>
      </c>
    </row>
    <row r="704" spans="1:7">
      <c r="A704" t="s">
        <v>1739</v>
      </c>
      <c r="B704" t="s">
        <v>1740</v>
      </c>
      <c r="C704">
        <v>10</v>
      </c>
      <c r="D704" s="260">
        <v>46185</v>
      </c>
      <c r="E704" s="260">
        <v>46198</v>
      </c>
      <c r="F704">
        <v>112</v>
      </c>
      <c r="G704" t="s">
        <v>350</v>
      </c>
    </row>
    <row r="705" spans="1:7">
      <c r="A705" t="s">
        <v>1741</v>
      </c>
      <c r="B705" t="s">
        <v>1742</v>
      </c>
      <c r="C705">
        <v>5</v>
      </c>
      <c r="D705" s="260">
        <v>46213</v>
      </c>
      <c r="E705" s="260">
        <v>46219</v>
      </c>
      <c r="F705">
        <v>112</v>
      </c>
      <c r="G705" t="s">
        <v>350</v>
      </c>
    </row>
    <row r="706" spans="1:7">
      <c r="A706" t="s">
        <v>1743</v>
      </c>
      <c r="B706" t="s">
        <v>1744</v>
      </c>
      <c r="C706">
        <v>25</v>
      </c>
      <c r="D706" s="260">
        <v>46169</v>
      </c>
      <c r="E706" s="260">
        <v>46205</v>
      </c>
      <c r="F706">
        <v>72</v>
      </c>
      <c r="G706" t="s">
        <v>350</v>
      </c>
    </row>
    <row r="707" spans="1:7">
      <c r="A707" t="s">
        <v>1745</v>
      </c>
      <c r="B707" t="s">
        <v>1746</v>
      </c>
      <c r="C707">
        <v>15</v>
      </c>
      <c r="D707" s="260">
        <v>46220</v>
      </c>
      <c r="E707" s="260">
        <v>46245</v>
      </c>
      <c r="F707">
        <v>72</v>
      </c>
      <c r="G707" t="s">
        <v>350</v>
      </c>
    </row>
    <row r="708" spans="1:7">
      <c r="A708" t="s">
        <v>1747</v>
      </c>
      <c r="B708" t="s">
        <v>1748</v>
      </c>
      <c r="C708">
        <v>15</v>
      </c>
      <c r="D708" s="260">
        <v>46261</v>
      </c>
      <c r="E708" s="260">
        <v>46281</v>
      </c>
      <c r="F708">
        <v>72</v>
      </c>
      <c r="G708" t="s">
        <v>350</v>
      </c>
    </row>
    <row r="709" spans="1:7">
      <c r="A709" t="s">
        <v>1749</v>
      </c>
      <c r="B709" t="s">
        <v>1750</v>
      </c>
      <c r="C709">
        <v>25</v>
      </c>
      <c r="D709" s="260">
        <v>46169</v>
      </c>
      <c r="E709" s="260">
        <v>46205</v>
      </c>
      <c r="F709">
        <v>72</v>
      </c>
      <c r="G709" t="s">
        <v>350</v>
      </c>
    </row>
    <row r="710" spans="1:7">
      <c r="A710" t="s">
        <v>1751</v>
      </c>
      <c r="B710" t="s">
        <v>1752</v>
      </c>
      <c r="C710">
        <v>15</v>
      </c>
      <c r="D710" s="260">
        <v>46220</v>
      </c>
      <c r="E710" s="260">
        <v>46245</v>
      </c>
      <c r="F710">
        <v>72</v>
      </c>
      <c r="G710" t="s">
        <v>350</v>
      </c>
    </row>
    <row r="711" spans="1:7">
      <c r="A711" t="s">
        <v>1753</v>
      </c>
      <c r="B711" t="s">
        <v>1754</v>
      </c>
      <c r="C711">
        <v>15</v>
      </c>
      <c r="D711" s="260">
        <v>46261</v>
      </c>
      <c r="E711" s="260">
        <v>46281</v>
      </c>
      <c r="F711">
        <v>72</v>
      </c>
      <c r="G711" t="s">
        <v>350</v>
      </c>
    </row>
    <row r="712" spans="1:7">
      <c r="A712" t="s">
        <v>1755</v>
      </c>
      <c r="B712" t="s">
        <v>1756</v>
      </c>
      <c r="C712">
        <v>25</v>
      </c>
      <c r="D712" s="260">
        <v>46169</v>
      </c>
      <c r="E712" s="260">
        <v>46205</v>
      </c>
      <c r="F712">
        <v>72</v>
      </c>
      <c r="G712" t="s">
        <v>350</v>
      </c>
    </row>
    <row r="713" spans="1:7">
      <c r="A713" t="s">
        <v>1757</v>
      </c>
      <c r="B713" t="s">
        <v>1758</v>
      </c>
      <c r="C713">
        <v>15</v>
      </c>
      <c r="D713" s="260">
        <v>46220</v>
      </c>
      <c r="E713" s="260">
        <v>46245</v>
      </c>
      <c r="F713">
        <v>72</v>
      </c>
      <c r="G713" t="s">
        <v>350</v>
      </c>
    </row>
    <row r="714" spans="1:7">
      <c r="A714" t="s">
        <v>1759</v>
      </c>
      <c r="B714" t="s">
        <v>1760</v>
      </c>
      <c r="C714">
        <v>15</v>
      </c>
      <c r="D714" s="260">
        <v>46261</v>
      </c>
      <c r="E714" s="260">
        <v>46281</v>
      </c>
      <c r="F714">
        <v>72</v>
      </c>
      <c r="G714" t="s">
        <v>350</v>
      </c>
    </row>
    <row r="715" spans="1:7">
      <c r="A715" t="s">
        <v>1761</v>
      </c>
      <c r="B715" t="s">
        <v>1762</v>
      </c>
      <c r="C715">
        <v>25</v>
      </c>
      <c r="D715" s="260">
        <v>46178</v>
      </c>
      <c r="E715" s="260">
        <v>46212</v>
      </c>
      <c r="F715">
        <v>67</v>
      </c>
      <c r="G715" t="s">
        <v>350</v>
      </c>
    </row>
    <row r="716" spans="1:7">
      <c r="A716" t="s">
        <v>1763</v>
      </c>
      <c r="B716" t="s">
        <v>1764</v>
      </c>
      <c r="C716">
        <v>15</v>
      </c>
      <c r="D716" s="260">
        <v>46227</v>
      </c>
      <c r="E716" s="260">
        <v>46253</v>
      </c>
      <c r="F716">
        <v>67</v>
      </c>
      <c r="G716" t="s">
        <v>350</v>
      </c>
    </row>
    <row r="717" spans="1:7">
      <c r="A717" t="s">
        <v>1765</v>
      </c>
      <c r="B717" t="s">
        <v>1766</v>
      </c>
      <c r="C717">
        <v>15</v>
      </c>
      <c r="D717" s="260">
        <v>46268</v>
      </c>
      <c r="E717" s="260">
        <v>46288</v>
      </c>
      <c r="F717">
        <v>67</v>
      </c>
      <c r="G717" t="s">
        <v>350</v>
      </c>
    </row>
    <row r="718" spans="1:7">
      <c r="A718" t="s">
        <v>1767</v>
      </c>
      <c r="B718" t="s">
        <v>1768</v>
      </c>
      <c r="C718">
        <v>25</v>
      </c>
      <c r="D718" s="260">
        <v>46169</v>
      </c>
      <c r="E718" s="260">
        <v>46205</v>
      </c>
      <c r="F718">
        <v>72</v>
      </c>
      <c r="G718" t="s">
        <v>350</v>
      </c>
    </row>
    <row r="719" spans="1:7">
      <c r="A719" t="s">
        <v>1769</v>
      </c>
      <c r="B719" t="s">
        <v>1770</v>
      </c>
      <c r="C719">
        <v>15</v>
      </c>
      <c r="D719" s="260">
        <v>46220</v>
      </c>
      <c r="E719" s="260">
        <v>46245</v>
      </c>
      <c r="F719">
        <v>72</v>
      </c>
      <c r="G719" t="s">
        <v>350</v>
      </c>
    </row>
    <row r="720" spans="1:7">
      <c r="A720" t="s">
        <v>1771</v>
      </c>
      <c r="B720" t="s">
        <v>1772</v>
      </c>
      <c r="C720">
        <v>15</v>
      </c>
      <c r="D720" s="260">
        <v>46261</v>
      </c>
      <c r="E720" s="260">
        <v>46281</v>
      </c>
      <c r="F720">
        <v>72</v>
      </c>
      <c r="G720" t="s">
        <v>350</v>
      </c>
    </row>
    <row r="721" spans="1:7">
      <c r="A721" t="s">
        <v>1773</v>
      </c>
      <c r="B721" t="s">
        <v>1774</v>
      </c>
      <c r="C721">
        <v>25</v>
      </c>
      <c r="D721" s="260">
        <v>46178</v>
      </c>
      <c r="E721" s="260">
        <v>46212</v>
      </c>
      <c r="F721">
        <v>67</v>
      </c>
      <c r="G721" t="s">
        <v>350</v>
      </c>
    </row>
    <row r="722" spans="1:7">
      <c r="A722" t="s">
        <v>1775</v>
      </c>
      <c r="B722" t="s">
        <v>1776</v>
      </c>
      <c r="C722">
        <v>15</v>
      </c>
      <c r="D722" s="260">
        <v>46227</v>
      </c>
      <c r="E722" s="260">
        <v>46253</v>
      </c>
      <c r="F722">
        <v>67</v>
      </c>
      <c r="G722" t="s">
        <v>350</v>
      </c>
    </row>
    <row r="723" spans="1:7">
      <c r="A723" t="s">
        <v>1777</v>
      </c>
      <c r="B723" t="s">
        <v>1778</v>
      </c>
      <c r="C723">
        <v>15</v>
      </c>
      <c r="D723" s="260">
        <v>46268</v>
      </c>
      <c r="E723" s="260">
        <v>46288</v>
      </c>
      <c r="F723">
        <v>67</v>
      </c>
      <c r="G723" t="s">
        <v>350</v>
      </c>
    </row>
    <row r="724" spans="1:7">
      <c r="A724" t="s">
        <v>1779</v>
      </c>
      <c r="B724" t="s">
        <v>1780</v>
      </c>
      <c r="C724">
        <v>25</v>
      </c>
      <c r="D724" s="260">
        <v>46178</v>
      </c>
      <c r="E724" s="260">
        <v>46212</v>
      </c>
      <c r="F724">
        <v>67</v>
      </c>
      <c r="G724" t="s">
        <v>350</v>
      </c>
    </row>
    <row r="725" spans="1:7">
      <c r="A725" t="s">
        <v>1781</v>
      </c>
      <c r="B725" t="s">
        <v>1782</v>
      </c>
      <c r="C725">
        <v>15</v>
      </c>
      <c r="D725" s="260">
        <v>46227</v>
      </c>
      <c r="E725" s="260">
        <v>46253</v>
      </c>
      <c r="F725">
        <v>67</v>
      </c>
      <c r="G725" t="s">
        <v>350</v>
      </c>
    </row>
    <row r="726" spans="1:7">
      <c r="A726" t="s">
        <v>1783</v>
      </c>
      <c r="B726" t="s">
        <v>1784</v>
      </c>
      <c r="C726">
        <v>15</v>
      </c>
      <c r="D726" s="260">
        <v>46268</v>
      </c>
      <c r="E726" s="260">
        <v>46288</v>
      </c>
      <c r="F726">
        <v>67</v>
      </c>
      <c r="G726" t="s">
        <v>350</v>
      </c>
    </row>
    <row r="727" spans="1:7">
      <c r="A727" t="s">
        <v>1785</v>
      </c>
      <c r="B727" t="s">
        <v>1786</v>
      </c>
      <c r="C727">
        <v>25</v>
      </c>
      <c r="D727" s="260">
        <v>46169</v>
      </c>
      <c r="E727" s="260">
        <v>46205</v>
      </c>
      <c r="F727">
        <v>72</v>
      </c>
      <c r="G727" t="s">
        <v>350</v>
      </c>
    </row>
    <row r="728" spans="1:7">
      <c r="A728" t="s">
        <v>1787</v>
      </c>
      <c r="B728" t="s">
        <v>1788</v>
      </c>
      <c r="C728">
        <v>15</v>
      </c>
      <c r="D728" s="260">
        <v>46220</v>
      </c>
      <c r="E728" s="260">
        <v>46245</v>
      </c>
      <c r="F728">
        <v>72</v>
      </c>
      <c r="G728" t="s">
        <v>350</v>
      </c>
    </row>
    <row r="729" spans="1:7">
      <c r="A729" t="s">
        <v>1789</v>
      </c>
      <c r="B729" t="s">
        <v>1790</v>
      </c>
      <c r="C729">
        <v>15</v>
      </c>
      <c r="D729" s="260">
        <v>46261</v>
      </c>
      <c r="E729" s="260">
        <v>46281</v>
      </c>
      <c r="F729">
        <v>72</v>
      </c>
      <c r="G729" t="s">
        <v>350</v>
      </c>
    </row>
    <row r="730" spans="1:7">
      <c r="A730" t="s">
        <v>1791</v>
      </c>
      <c r="B730" t="s">
        <v>1792</v>
      </c>
      <c r="C730">
        <v>25</v>
      </c>
      <c r="D730" s="260">
        <v>46178</v>
      </c>
      <c r="E730" s="260">
        <v>46212</v>
      </c>
      <c r="F730">
        <v>67</v>
      </c>
      <c r="G730" t="s">
        <v>350</v>
      </c>
    </row>
    <row r="731" spans="1:7">
      <c r="A731" t="s">
        <v>1793</v>
      </c>
      <c r="B731" t="s">
        <v>1794</v>
      </c>
      <c r="C731">
        <v>15</v>
      </c>
      <c r="D731" s="260">
        <v>46227</v>
      </c>
      <c r="E731" s="260">
        <v>46253</v>
      </c>
      <c r="F731">
        <v>67</v>
      </c>
      <c r="G731" t="s">
        <v>350</v>
      </c>
    </row>
    <row r="732" spans="1:7">
      <c r="A732" t="s">
        <v>1795</v>
      </c>
      <c r="B732" t="s">
        <v>1796</v>
      </c>
      <c r="C732">
        <v>15</v>
      </c>
      <c r="D732" s="260">
        <v>46268</v>
      </c>
      <c r="E732" s="260">
        <v>46288</v>
      </c>
      <c r="F732">
        <v>67</v>
      </c>
      <c r="G732" t="s">
        <v>350</v>
      </c>
    </row>
    <row r="733" spans="1:7">
      <c r="A733" t="s">
        <v>1797</v>
      </c>
      <c r="B733" t="s">
        <v>1798</v>
      </c>
      <c r="C733">
        <v>25</v>
      </c>
      <c r="D733" s="260">
        <v>46178</v>
      </c>
      <c r="E733" s="260">
        <v>46212</v>
      </c>
      <c r="F733">
        <v>67</v>
      </c>
      <c r="G733" t="s">
        <v>350</v>
      </c>
    </row>
    <row r="734" spans="1:7">
      <c r="A734" t="s">
        <v>1799</v>
      </c>
      <c r="B734" t="s">
        <v>1800</v>
      </c>
      <c r="C734">
        <v>15</v>
      </c>
      <c r="D734" s="260">
        <v>46227</v>
      </c>
      <c r="E734" s="260">
        <v>46253</v>
      </c>
      <c r="F734">
        <v>67</v>
      </c>
      <c r="G734" t="s">
        <v>350</v>
      </c>
    </row>
    <row r="735" spans="1:7">
      <c r="A735" t="s">
        <v>1801</v>
      </c>
      <c r="B735" t="s">
        <v>1802</v>
      </c>
      <c r="C735">
        <v>15</v>
      </c>
      <c r="D735" s="260">
        <v>46268</v>
      </c>
      <c r="E735" s="260">
        <v>46288</v>
      </c>
      <c r="F735">
        <v>67</v>
      </c>
      <c r="G735" t="s">
        <v>350</v>
      </c>
    </row>
    <row r="736" spans="1:7">
      <c r="A736" t="s">
        <v>1803</v>
      </c>
      <c r="B736" t="s">
        <v>1804</v>
      </c>
      <c r="C736">
        <v>25</v>
      </c>
      <c r="D736" s="260">
        <v>46185</v>
      </c>
      <c r="E736" s="260">
        <v>46219</v>
      </c>
      <c r="F736">
        <v>62</v>
      </c>
      <c r="G736" t="s">
        <v>350</v>
      </c>
    </row>
    <row r="737" spans="1:7">
      <c r="A737" t="s">
        <v>1805</v>
      </c>
      <c r="B737" t="s">
        <v>1806</v>
      </c>
      <c r="C737">
        <v>15</v>
      </c>
      <c r="D737" s="260">
        <v>46239</v>
      </c>
      <c r="E737" s="260">
        <v>46260</v>
      </c>
      <c r="F737">
        <v>62</v>
      </c>
      <c r="G737" t="s">
        <v>350</v>
      </c>
    </row>
    <row r="738" spans="1:7">
      <c r="A738" t="s">
        <v>1807</v>
      </c>
      <c r="B738" t="s">
        <v>1808</v>
      </c>
      <c r="C738">
        <v>15</v>
      </c>
      <c r="D738" s="260">
        <v>46275</v>
      </c>
      <c r="E738" s="260">
        <v>46295</v>
      </c>
      <c r="F738">
        <v>62</v>
      </c>
      <c r="G738" t="s">
        <v>350</v>
      </c>
    </row>
    <row r="739" spans="1:7">
      <c r="A739" t="s">
        <v>1809</v>
      </c>
      <c r="B739" t="s">
        <v>1810</v>
      </c>
      <c r="C739">
        <v>25</v>
      </c>
      <c r="D739" s="260">
        <v>46185</v>
      </c>
      <c r="E739" s="260">
        <v>46219</v>
      </c>
      <c r="F739">
        <v>62</v>
      </c>
      <c r="G739" t="s">
        <v>350</v>
      </c>
    </row>
    <row r="740" spans="1:7">
      <c r="A740" t="s">
        <v>1811</v>
      </c>
      <c r="B740" t="s">
        <v>1812</v>
      </c>
      <c r="C740">
        <v>15</v>
      </c>
      <c r="D740" s="260">
        <v>46239</v>
      </c>
      <c r="E740" s="260">
        <v>46260</v>
      </c>
      <c r="F740">
        <v>62</v>
      </c>
      <c r="G740" t="s">
        <v>350</v>
      </c>
    </row>
    <row r="741" spans="1:7">
      <c r="A741" t="s">
        <v>1813</v>
      </c>
      <c r="B741" t="s">
        <v>1814</v>
      </c>
      <c r="C741">
        <v>15</v>
      </c>
      <c r="D741" s="260">
        <v>46275</v>
      </c>
      <c r="E741" s="260">
        <v>46295</v>
      </c>
      <c r="F741">
        <v>62</v>
      </c>
      <c r="G741" t="s">
        <v>350</v>
      </c>
    </row>
    <row r="742" spans="1:7">
      <c r="A742" t="s">
        <v>1815</v>
      </c>
      <c r="B742" t="s">
        <v>1816</v>
      </c>
      <c r="C742">
        <v>25</v>
      </c>
      <c r="D742" s="260">
        <v>46178</v>
      </c>
      <c r="E742" s="260">
        <v>46212</v>
      </c>
      <c r="F742">
        <v>67</v>
      </c>
      <c r="G742" t="s">
        <v>350</v>
      </c>
    </row>
    <row r="743" spans="1:7">
      <c r="A743" t="s">
        <v>1817</v>
      </c>
      <c r="B743" t="s">
        <v>1818</v>
      </c>
      <c r="C743">
        <v>15</v>
      </c>
      <c r="D743" s="260">
        <v>46227</v>
      </c>
      <c r="E743" s="260">
        <v>46253</v>
      </c>
      <c r="F743">
        <v>67</v>
      </c>
      <c r="G743" t="s">
        <v>350</v>
      </c>
    </row>
    <row r="744" spans="1:7">
      <c r="A744" t="s">
        <v>1819</v>
      </c>
      <c r="B744" t="s">
        <v>1820</v>
      </c>
      <c r="C744">
        <v>15</v>
      </c>
      <c r="D744" s="260">
        <v>46268</v>
      </c>
      <c r="E744" s="260">
        <v>46288</v>
      </c>
      <c r="F744">
        <v>67</v>
      </c>
      <c r="G744" t="s">
        <v>350</v>
      </c>
    </row>
    <row r="745" spans="1:7">
      <c r="A745" t="s">
        <v>1821</v>
      </c>
      <c r="B745" t="s">
        <v>1822</v>
      </c>
      <c r="C745">
        <v>25</v>
      </c>
      <c r="D745" s="260">
        <v>46178</v>
      </c>
      <c r="E745" s="260">
        <v>46212</v>
      </c>
      <c r="F745">
        <v>67</v>
      </c>
      <c r="G745" t="s">
        <v>350</v>
      </c>
    </row>
    <row r="746" spans="1:7">
      <c r="A746" t="s">
        <v>1823</v>
      </c>
      <c r="B746" t="s">
        <v>1824</v>
      </c>
      <c r="C746">
        <v>15</v>
      </c>
      <c r="D746" s="260">
        <v>46227</v>
      </c>
      <c r="E746" s="260">
        <v>46253</v>
      </c>
      <c r="F746">
        <v>67</v>
      </c>
      <c r="G746" t="s">
        <v>350</v>
      </c>
    </row>
    <row r="747" spans="1:7">
      <c r="A747" t="s">
        <v>1825</v>
      </c>
      <c r="B747" t="s">
        <v>1826</v>
      </c>
      <c r="C747">
        <v>15</v>
      </c>
      <c r="D747" s="260">
        <v>46268</v>
      </c>
      <c r="E747" s="260">
        <v>46288</v>
      </c>
      <c r="F747">
        <v>67</v>
      </c>
      <c r="G747" t="s">
        <v>350</v>
      </c>
    </row>
    <row r="748" spans="1:7">
      <c r="A748" t="s">
        <v>1827</v>
      </c>
      <c r="B748" t="s">
        <v>1828</v>
      </c>
      <c r="C748">
        <v>25</v>
      </c>
      <c r="D748" s="260">
        <v>46178</v>
      </c>
      <c r="E748" s="260">
        <v>46212</v>
      </c>
      <c r="F748">
        <v>67</v>
      </c>
      <c r="G748" t="s">
        <v>350</v>
      </c>
    </row>
    <row r="749" spans="1:7">
      <c r="A749" t="s">
        <v>1829</v>
      </c>
      <c r="B749" t="s">
        <v>1830</v>
      </c>
      <c r="C749">
        <v>15</v>
      </c>
      <c r="D749" s="260">
        <v>46227</v>
      </c>
      <c r="E749" s="260">
        <v>46253</v>
      </c>
      <c r="F749">
        <v>67</v>
      </c>
      <c r="G749" t="s">
        <v>350</v>
      </c>
    </row>
    <row r="750" spans="1:7">
      <c r="A750" t="s">
        <v>1831</v>
      </c>
      <c r="B750" t="s">
        <v>1832</v>
      </c>
      <c r="C750">
        <v>15</v>
      </c>
      <c r="D750" s="260">
        <v>46268</v>
      </c>
      <c r="E750" s="260">
        <v>46288</v>
      </c>
      <c r="F750">
        <v>67</v>
      </c>
      <c r="G750" t="s">
        <v>350</v>
      </c>
    </row>
    <row r="751" spans="1:7">
      <c r="A751" t="s">
        <v>1833</v>
      </c>
      <c r="B751" t="s">
        <v>1834</v>
      </c>
      <c r="C751">
        <v>25</v>
      </c>
      <c r="D751" s="260">
        <v>46178</v>
      </c>
      <c r="E751" s="260">
        <v>46212</v>
      </c>
      <c r="F751">
        <v>67</v>
      </c>
      <c r="G751" t="s">
        <v>350</v>
      </c>
    </row>
    <row r="752" spans="1:7">
      <c r="A752" t="s">
        <v>1835</v>
      </c>
      <c r="B752" t="s">
        <v>1836</v>
      </c>
      <c r="C752">
        <v>15</v>
      </c>
      <c r="D752" s="260">
        <v>46227</v>
      </c>
      <c r="E752" s="260">
        <v>46253</v>
      </c>
      <c r="F752">
        <v>67</v>
      </c>
      <c r="G752" t="s">
        <v>350</v>
      </c>
    </row>
    <row r="753" spans="1:7">
      <c r="A753" t="s">
        <v>1837</v>
      </c>
      <c r="B753" t="s">
        <v>1838</v>
      </c>
      <c r="C753">
        <v>15</v>
      </c>
      <c r="D753" s="260">
        <v>46268</v>
      </c>
      <c r="E753" s="260">
        <v>46288</v>
      </c>
      <c r="F753">
        <v>67</v>
      </c>
      <c r="G753" t="s">
        <v>350</v>
      </c>
    </row>
    <row r="754" spans="1:7">
      <c r="A754" t="s">
        <v>1839</v>
      </c>
      <c r="B754" t="s">
        <v>1840</v>
      </c>
      <c r="C754">
        <v>25</v>
      </c>
      <c r="D754" s="260">
        <v>46178</v>
      </c>
      <c r="E754" s="260">
        <v>46212</v>
      </c>
      <c r="F754">
        <v>67</v>
      </c>
      <c r="G754" t="s">
        <v>350</v>
      </c>
    </row>
    <row r="755" spans="1:7">
      <c r="A755" t="s">
        <v>1841</v>
      </c>
      <c r="B755" t="s">
        <v>1842</v>
      </c>
      <c r="C755">
        <v>15</v>
      </c>
      <c r="D755" s="260">
        <v>46227</v>
      </c>
      <c r="E755" s="260">
        <v>46253</v>
      </c>
      <c r="F755">
        <v>67</v>
      </c>
      <c r="G755" t="s">
        <v>350</v>
      </c>
    </row>
    <row r="756" spans="1:7">
      <c r="A756" t="s">
        <v>1843</v>
      </c>
      <c r="B756" t="s">
        <v>1844</v>
      </c>
      <c r="C756">
        <v>15</v>
      </c>
      <c r="D756" s="260">
        <v>46268</v>
      </c>
      <c r="E756" s="260">
        <v>46288</v>
      </c>
      <c r="F756">
        <v>67</v>
      </c>
      <c r="G756" t="s">
        <v>350</v>
      </c>
    </row>
    <row r="757" spans="1:7">
      <c r="A757" t="s">
        <v>1845</v>
      </c>
      <c r="B757" t="s">
        <v>1846</v>
      </c>
      <c r="C757">
        <v>25</v>
      </c>
      <c r="D757" s="260">
        <v>46178</v>
      </c>
      <c r="E757" s="260">
        <v>46212</v>
      </c>
      <c r="F757">
        <v>67</v>
      </c>
      <c r="G757" t="s">
        <v>350</v>
      </c>
    </row>
    <row r="758" spans="1:7">
      <c r="A758" t="s">
        <v>1847</v>
      </c>
      <c r="B758" t="s">
        <v>1848</v>
      </c>
      <c r="C758">
        <v>15</v>
      </c>
      <c r="D758" s="260">
        <v>46227</v>
      </c>
      <c r="E758" s="260">
        <v>46253</v>
      </c>
      <c r="F758">
        <v>67</v>
      </c>
      <c r="G758" t="s">
        <v>350</v>
      </c>
    </row>
    <row r="759" spans="1:7">
      <c r="A759" t="s">
        <v>1849</v>
      </c>
      <c r="B759" t="s">
        <v>1850</v>
      </c>
      <c r="C759">
        <v>15</v>
      </c>
      <c r="D759" s="260">
        <v>46268</v>
      </c>
      <c r="E759" s="260">
        <v>46288</v>
      </c>
      <c r="F759">
        <v>67</v>
      </c>
      <c r="G759" t="s">
        <v>350</v>
      </c>
    </row>
    <row r="760" spans="1:7">
      <c r="A760" t="s">
        <v>1851</v>
      </c>
      <c r="B760" t="s">
        <v>1852</v>
      </c>
      <c r="C760">
        <v>25</v>
      </c>
      <c r="D760" s="260">
        <v>46227</v>
      </c>
      <c r="E760" s="260">
        <v>46267</v>
      </c>
      <c r="F760">
        <v>32</v>
      </c>
      <c r="G760" t="s">
        <v>350</v>
      </c>
    </row>
    <row r="761" spans="1:7">
      <c r="A761" t="s">
        <v>1853</v>
      </c>
      <c r="B761" t="s">
        <v>1854</v>
      </c>
      <c r="C761">
        <v>15</v>
      </c>
      <c r="D761" s="260">
        <v>46282</v>
      </c>
      <c r="E761" s="260">
        <v>46302</v>
      </c>
      <c r="F761">
        <v>32</v>
      </c>
      <c r="G761" t="s">
        <v>350</v>
      </c>
    </row>
    <row r="762" spans="1:7">
      <c r="A762" t="s">
        <v>1855</v>
      </c>
      <c r="B762" t="s">
        <v>1856</v>
      </c>
      <c r="C762">
        <v>15</v>
      </c>
      <c r="D762" s="260">
        <v>46321</v>
      </c>
      <c r="E762" s="260">
        <v>46339</v>
      </c>
      <c r="F762">
        <v>32</v>
      </c>
      <c r="G762" t="s">
        <v>350</v>
      </c>
    </row>
    <row r="763" spans="1:7">
      <c r="A763" t="s">
        <v>1857</v>
      </c>
      <c r="B763" t="s">
        <v>1858</v>
      </c>
      <c r="C763">
        <v>25</v>
      </c>
      <c r="D763" s="260">
        <v>46192</v>
      </c>
      <c r="E763" s="260">
        <v>46226</v>
      </c>
      <c r="F763">
        <v>57</v>
      </c>
      <c r="G763" t="s">
        <v>350</v>
      </c>
    </row>
    <row r="764" spans="1:7">
      <c r="A764" t="s">
        <v>1859</v>
      </c>
      <c r="B764" t="s">
        <v>1860</v>
      </c>
      <c r="C764">
        <v>15</v>
      </c>
      <c r="D764" s="260">
        <v>46247</v>
      </c>
      <c r="E764" s="260">
        <v>46267</v>
      </c>
      <c r="F764">
        <v>57</v>
      </c>
      <c r="G764" t="s">
        <v>350</v>
      </c>
    </row>
    <row r="765" spans="1:7">
      <c r="A765" t="s">
        <v>1861</v>
      </c>
      <c r="B765" t="s">
        <v>1862</v>
      </c>
      <c r="C765">
        <v>15</v>
      </c>
      <c r="D765" s="260">
        <v>46282</v>
      </c>
      <c r="E765" s="260">
        <v>46302</v>
      </c>
      <c r="F765">
        <v>57</v>
      </c>
      <c r="G765" t="s">
        <v>350</v>
      </c>
    </row>
    <row r="766" spans="1:7">
      <c r="A766" t="s">
        <v>1863</v>
      </c>
      <c r="B766" t="s">
        <v>1864</v>
      </c>
      <c r="C766">
        <v>25</v>
      </c>
      <c r="D766" s="260">
        <v>46192</v>
      </c>
      <c r="E766" s="260">
        <v>46226</v>
      </c>
      <c r="F766">
        <v>57</v>
      </c>
      <c r="G766" t="s">
        <v>350</v>
      </c>
    </row>
    <row r="767" spans="1:7">
      <c r="A767" t="s">
        <v>1865</v>
      </c>
      <c r="B767" t="s">
        <v>1866</v>
      </c>
      <c r="C767">
        <v>15</v>
      </c>
      <c r="D767" s="260">
        <v>46247</v>
      </c>
      <c r="E767" s="260">
        <v>46267</v>
      </c>
      <c r="F767">
        <v>57</v>
      </c>
      <c r="G767" t="s">
        <v>350</v>
      </c>
    </row>
    <row r="768" spans="1:7">
      <c r="A768" t="s">
        <v>1867</v>
      </c>
      <c r="B768" t="s">
        <v>1868</v>
      </c>
      <c r="C768">
        <v>15</v>
      </c>
      <c r="D768" s="260">
        <v>46282</v>
      </c>
      <c r="E768" s="260">
        <v>46302</v>
      </c>
      <c r="F768">
        <v>57</v>
      </c>
      <c r="G768" t="s">
        <v>350</v>
      </c>
    </row>
    <row r="769" spans="1:7">
      <c r="A769" t="s">
        <v>1869</v>
      </c>
      <c r="B769" t="s">
        <v>1870</v>
      </c>
      <c r="C769">
        <v>25</v>
      </c>
      <c r="D769" s="260">
        <v>46192</v>
      </c>
      <c r="E769" s="260">
        <v>46226</v>
      </c>
      <c r="F769">
        <v>57</v>
      </c>
      <c r="G769" t="s">
        <v>350</v>
      </c>
    </row>
    <row r="770" spans="1:7">
      <c r="A770" t="s">
        <v>1871</v>
      </c>
      <c r="B770" t="s">
        <v>1872</v>
      </c>
      <c r="C770">
        <v>15</v>
      </c>
      <c r="D770" s="260">
        <v>46247</v>
      </c>
      <c r="E770" s="260">
        <v>46267</v>
      </c>
      <c r="F770">
        <v>57</v>
      </c>
      <c r="G770" t="s">
        <v>350</v>
      </c>
    </row>
    <row r="771" spans="1:7">
      <c r="A771" t="s">
        <v>1873</v>
      </c>
      <c r="B771" t="s">
        <v>1874</v>
      </c>
      <c r="C771">
        <v>15</v>
      </c>
      <c r="D771" s="260">
        <v>46282</v>
      </c>
      <c r="E771" s="260">
        <v>46302</v>
      </c>
      <c r="F771">
        <v>57</v>
      </c>
      <c r="G771" t="s">
        <v>350</v>
      </c>
    </row>
    <row r="772" spans="1:7">
      <c r="A772" t="s">
        <v>1875</v>
      </c>
      <c r="B772" t="s">
        <v>1876</v>
      </c>
      <c r="C772">
        <v>25</v>
      </c>
      <c r="D772" s="260">
        <v>46192</v>
      </c>
      <c r="E772" s="260">
        <v>46226</v>
      </c>
      <c r="F772">
        <v>57</v>
      </c>
      <c r="G772" t="s">
        <v>350</v>
      </c>
    </row>
    <row r="773" spans="1:7">
      <c r="A773" t="s">
        <v>1877</v>
      </c>
      <c r="B773" t="s">
        <v>1878</v>
      </c>
      <c r="C773">
        <v>15</v>
      </c>
      <c r="D773" s="260">
        <v>46247</v>
      </c>
      <c r="E773" s="260">
        <v>46267</v>
      </c>
      <c r="F773">
        <v>57</v>
      </c>
      <c r="G773" t="s">
        <v>350</v>
      </c>
    </row>
    <row r="774" spans="1:7">
      <c r="A774" t="s">
        <v>1879</v>
      </c>
      <c r="B774" t="s">
        <v>1880</v>
      </c>
      <c r="C774">
        <v>15</v>
      </c>
      <c r="D774" s="260">
        <v>46282</v>
      </c>
      <c r="E774" s="260">
        <v>46302</v>
      </c>
      <c r="F774">
        <v>57</v>
      </c>
      <c r="G774" t="s">
        <v>350</v>
      </c>
    </row>
    <row r="775" spans="1:7">
      <c r="A775" t="s">
        <v>1881</v>
      </c>
      <c r="B775" t="s">
        <v>1882</v>
      </c>
      <c r="C775">
        <v>25</v>
      </c>
      <c r="D775" s="260">
        <v>46192</v>
      </c>
      <c r="E775" s="260">
        <v>46226</v>
      </c>
      <c r="F775">
        <v>57</v>
      </c>
      <c r="G775" t="s">
        <v>350</v>
      </c>
    </row>
    <row r="776" spans="1:7">
      <c r="A776" t="s">
        <v>1883</v>
      </c>
      <c r="B776" t="s">
        <v>1884</v>
      </c>
      <c r="C776">
        <v>15</v>
      </c>
      <c r="D776" s="260">
        <v>46247</v>
      </c>
      <c r="E776" s="260">
        <v>46267</v>
      </c>
      <c r="F776">
        <v>57</v>
      </c>
      <c r="G776" t="s">
        <v>350</v>
      </c>
    </row>
    <row r="777" spans="1:7">
      <c r="A777" t="s">
        <v>1885</v>
      </c>
      <c r="B777" t="s">
        <v>1886</v>
      </c>
      <c r="C777">
        <v>15</v>
      </c>
      <c r="D777" s="260">
        <v>46282</v>
      </c>
      <c r="E777" s="260">
        <v>46302</v>
      </c>
      <c r="F777">
        <v>57</v>
      </c>
      <c r="G777" t="s">
        <v>350</v>
      </c>
    </row>
    <row r="778" spans="1:7">
      <c r="A778" t="s">
        <v>1887</v>
      </c>
      <c r="B778" t="s">
        <v>1888</v>
      </c>
      <c r="C778">
        <v>25</v>
      </c>
      <c r="D778" s="260">
        <v>46192</v>
      </c>
      <c r="E778" s="260">
        <v>46226</v>
      </c>
      <c r="F778">
        <v>57</v>
      </c>
      <c r="G778" t="s">
        <v>350</v>
      </c>
    </row>
    <row r="779" spans="1:7">
      <c r="A779" t="s">
        <v>1889</v>
      </c>
      <c r="B779" t="s">
        <v>1890</v>
      </c>
      <c r="C779">
        <v>15</v>
      </c>
      <c r="D779" s="260">
        <v>46247</v>
      </c>
      <c r="E779" s="260">
        <v>46267</v>
      </c>
      <c r="F779">
        <v>57</v>
      </c>
      <c r="G779" t="s">
        <v>350</v>
      </c>
    </row>
    <row r="780" spans="1:7">
      <c r="A780" t="s">
        <v>1891</v>
      </c>
      <c r="B780" t="s">
        <v>1892</v>
      </c>
      <c r="C780">
        <v>15</v>
      </c>
      <c r="D780" s="260">
        <v>46282</v>
      </c>
      <c r="E780" s="260">
        <v>46302</v>
      </c>
      <c r="F780">
        <v>57</v>
      </c>
      <c r="G780" t="s">
        <v>350</v>
      </c>
    </row>
    <row r="781" spans="1:7">
      <c r="A781" t="s">
        <v>1893</v>
      </c>
      <c r="B781" t="s">
        <v>1894</v>
      </c>
      <c r="C781">
        <v>25</v>
      </c>
      <c r="D781" s="260">
        <v>46192</v>
      </c>
      <c r="E781" s="260">
        <v>46226</v>
      </c>
      <c r="F781">
        <v>57</v>
      </c>
      <c r="G781" t="s">
        <v>350</v>
      </c>
    </row>
    <row r="782" spans="1:7">
      <c r="A782" t="s">
        <v>1895</v>
      </c>
      <c r="B782" t="s">
        <v>1896</v>
      </c>
      <c r="C782">
        <v>15</v>
      </c>
      <c r="D782" s="260">
        <v>46247</v>
      </c>
      <c r="E782" s="260">
        <v>46267</v>
      </c>
      <c r="F782">
        <v>57</v>
      </c>
      <c r="G782" t="s">
        <v>350</v>
      </c>
    </row>
    <row r="783" spans="1:7">
      <c r="A783" t="s">
        <v>1897</v>
      </c>
      <c r="B783" t="s">
        <v>1898</v>
      </c>
      <c r="C783">
        <v>15</v>
      </c>
      <c r="D783" s="260">
        <v>46282</v>
      </c>
      <c r="E783" s="260">
        <v>46302</v>
      </c>
      <c r="F783">
        <v>57</v>
      </c>
      <c r="G783" t="s">
        <v>350</v>
      </c>
    </row>
    <row r="784" spans="1:7">
      <c r="A784" t="s">
        <v>1899</v>
      </c>
      <c r="B784" t="s">
        <v>1900</v>
      </c>
      <c r="C784">
        <v>25</v>
      </c>
      <c r="D784" s="260">
        <v>46192</v>
      </c>
      <c r="E784" s="260">
        <v>46226</v>
      </c>
      <c r="F784">
        <v>57</v>
      </c>
      <c r="G784" t="s">
        <v>350</v>
      </c>
    </row>
    <row r="785" spans="1:7">
      <c r="A785" t="s">
        <v>1901</v>
      </c>
      <c r="B785" t="s">
        <v>1902</v>
      </c>
      <c r="C785">
        <v>15</v>
      </c>
      <c r="D785" s="260">
        <v>46247</v>
      </c>
      <c r="E785" s="260">
        <v>46267</v>
      </c>
      <c r="F785">
        <v>57</v>
      </c>
      <c r="G785" t="s">
        <v>350</v>
      </c>
    </row>
    <row r="786" spans="1:7">
      <c r="A786" t="s">
        <v>1903</v>
      </c>
      <c r="B786" t="s">
        <v>1904</v>
      </c>
      <c r="C786">
        <v>15</v>
      </c>
      <c r="D786" s="260">
        <v>46282</v>
      </c>
      <c r="E786" s="260">
        <v>46302</v>
      </c>
      <c r="F786">
        <v>57</v>
      </c>
      <c r="G786" t="s">
        <v>350</v>
      </c>
    </row>
    <row r="787" spans="1:7">
      <c r="A787" t="s">
        <v>1905</v>
      </c>
      <c r="B787" t="s">
        <v>1906</v>
      </c>
      <c r="C787">
        <v>25</v>
      </c>
      <c r="D787" s="260">
        <v>46199</v>
      </c>
      <c r="E787" s="260">
        <v>46238</v>
      </c>
      <c r="F787">
        <v>52</v>
      </c>
      <c r="G787" t="s">
        <v>350</v>
      </c>
    </row>
    <row r="788" spans="1:7">
      <c r="A788" t="s">
        <v>1907</v>
      </c>
      <c r="B788" t="s">
        <v>1908</v>
      </c>
      <c r="C788">
        <v>15</v>
      </c>
      <c r="D788" s="260">
        <v>46254</v>
      </c>
      <c r="E788" s="260">
        <v>46274</v>
      </c>
      <c r="F788">
        <v>52</v>
      </c>
      <c r="G788" t="s">
        <v>350</v>
      </c>
    </row>
    <row r="789" spans="1:7">
      <c r="A789" t="s">
        <v>1909</v>
      </c>
      <c r="B789" t="s">
        <v>1910</v>
      </c>
      <c r="C789">
        <v>15</v>
      </c>
      <c r="D789" s="260">
        <v>46289</v>
      </c>
      <c r="E789" s="260">
        <v>46310</v>
      </c>
      <c r="F789">
        <v>52</v>
      </c>
      <c r="G789" t="s">
        <v>350</v>
      </c>
    </row>
    <row r="790" spans="1:7">
      <c r="A790" t="s">
        <v>1911</v>
      </c>
      <c r="B790" t="s">
        <v>1912</v>
      </c>
      <c r="C790">
        <v>25</v>
      </c>
      <c r="D790" s="260">
        <v>46199</v>
      </c>
      <c r="E790" s="260">
        <v>46238</v>
      </c>
      <c r="F790">
        <v>52</v>
      </c>
      <c r="G790" t="s">
        <v>350</v>
      </c>
    </row>
    <row r="791" spans="1:7">
      <c r="A791" t="s">
        <v>1913</v>
      </c>
      <c r="B791" t="s">
        <v>1914</v>
      </c>
      <c r="C791">
        <v>15</v>
      </c>
      <c r="D791" s="260">
        <v>46254</v>
      </c>
      <c r="E791" s="260">
        <v>46274</v>
      </c>
      <c r="F791">
        <v>52</v>
      </c>
      <c r="G791" t="s">
        <v>350</v>
      </c>
    </row>
    <row r="792" spans="1:7">
      <c r="A792" t="s">
        <v>1915</v>
      </c>
      <c r="B792" t="s">
        <v>1916</v>
      </c>
      <c r="C792">
        <v>15</v>
      </c>
      <c r="D792" s="260">
        <v>46289</v>
      </c>
      <c r="E792" s="260">
        <v>46310</v>
      </c>
      <c r="F792">
        <v>52</v>
      </c>
      <c r="G792" t="s">
        <v>350</v>
      </c>
    </row>
    <row r="793" spans="1:7">
      <c r="A793" t="s">
        <v>1917</v>
      </c>
      <c r="B793" t="s">
        <v>1918</v>
      </c>
      <c r="C793">
        <v>25</v>
      </c>
      <c r="D793" s="260">
        <v>46199</v>
      </c>
      <c r="E793" s="260">
        <v>46238</v>
      </c>
      <c r="F793">
        <v>52</v>
      </c>
      <c r="G793" t="s">
        <v>350</v>
      </c>
    </row>
    <row r="794" spans="1:7">
      <c r="A794" t="s">
        <v>1919</v>
      </c>
      <c r="B794" t="s">
        <v>1920</v>
      </c>
      <c r="C794">
        <v>15</v>
      </c>
      <c r="D794" s="260">
        <v>46254</v>
      </c>
      <c r="E794" s="260">
        <v>46274</v>
      </c>
      <c r="F794">
        <v>52</v>
      </c>
      <c r="G794" t="s">
        <v>350</v>
      </c>
    </row>
    <row r="795" spans="1:7">
      <c r="A795" t="s">
        <v>1921</v>
      </c>
      <c r="B795" t="s">
        <v>1922</v>
      </c>
      <c r="C795">
        <v>15</v>
      </c>
      <c r="D795" s="260">
        <v>46289</v>
      </c>
      <c r="E795" s="260">
        <v>46310</v>
      </c>
      <c r="F795">
        <v>52</v>
      </c>
      <c r="G795" t="s">
        <v>350</v>
      </c>
    </row>
    <row r="796" spans="1:7">
      <c r="A796" t="s">
        <v>1923</v>
      </c>
      <c r="B796" t="s">
        <v>1924</v>
      </c>
      <c r="C796">
        <v>25</v>
      </c>
      <c r="D796" s="260">
        <v>46199</v>
      </c>
      <c r="E796" s="260">
        <v>46238</v>
      </c>
      <c r="F796">
        <v>52</v>
      </c>
      <c r="G796" t="s">
        <v>350</v>
      </c>
    </row>
    <row r="797" spans="1:7">
      <c r="A797" t="s">
        <v>1925</v>
      </c>
      <c r="B797" t="s">
        <v>1926</v>
      </c>
      <c r="C797">
        <v>15</v>
      </c>
      <c r="D797" s="260">
        <v>46254</v>
      </c>
      <c r="E797" s="260">
        <v>46274</v>
      </c>
      <c r="F797">
        <v>52</v>
      </c>
      <c r="G797" t="s">
        <v>350</v>
      </c>
    </row>
    <row r="798" spans="1:7">
      <c r="A798" t="s">
        <v>1927</v>
      </c>
      <c r="B798" t="s">
        <v>1928</v>
      </c>
      <c r="C798">
        <v>15</v>
      </c>
      <c r="D798" s="260">
        <v>46289</v>
      </c>
      <c r="E798" s="260">
        <v>46310</v>
      </c>
      <c r="F798">
        <v>52</v>
      </c>
      <c r="G798" t="s">
        <v>350</v>
      </c>
    </row>
    <row r="799" spans="1:7">
      <c r="A799" t="s">
        <v>1929</v>
      </c>
      <c r="B799" t="s">
        <v>1930</v>
      </c>
      <c r="C799">
        <v>20</v>
      </c>
      <c r="D799" s="260">
        <v>46140</v>
      </c>
      <c r="E799" s="260">
        <v>46168</v>
      </c>
      <c r="F799">
        <v>0</v>
      </c>
      <c r="G799" t="s">
        <v>350</v>
      </c>
    </row>
    <row r="800" spans="1:7">
      <c r="A800" t="s">
        <v>1931</v>
      </c>
      <c r="B800" t="s">
        <v>1932</v>
      </c>
      <c r="C800">
        <v>10</v>
      </c>
      <c r="D800" s="260">
        <v>46185</v>
      </c>
      <c r="E800" s="260">
        <v>46198</v>
      </c>
      <c r="F800">
        <v>112</v>
      </c>
      <c r="G800" t="s">
        <v>350</v>
      </c>
    </row>
    <row r="801" spans="1:7">
      <c r="A801" t="s">
        <v>1933</v>
      </c>
      <c r="B801" t="s">
        <v>1934</v>
      </c>
      <c r="C801">
        <v>5</v>
      </c>
      <c r="D801" s="260">
        <v>46213</v>
      </c>
      <c r="E801" s="260">
        <v>46219</v>
      </c>
      <c r="F801">
        <v>112</v>
      </c>
      <c r="G801" t="s">
        <v>350</v>
      </c>
    </row>
    <row r="802" spans="1:7">
      <c r="A802" t="s">
        <v>1935</v>
      </c>
      <c r="B802" t="s">
        <v>1936</v>
      </c>
      <c r="C802">
        <v>25</v>
      </c>
      <c r="D802" s="260">
        <v>46239</v>
      </c>
      <c r="E802" s="260">
        <v>46274</v>
      </c>
      <c r="F802">
        <v>27</v>
      </c>
      <c r="G802" t="s">
        <v>350</v>
      </c>
    </row>
    <row r="803" spans="1:7">
      <c r="A803" t="s">
        <v>1937</v>
      </c>
      <c r="B803" t="s">
        <v>1938</v>
      </c>
      <c r="C803">
        <v>15</v>
      </c>
      <c r="D803" s="260">
        <v>46289</v>
      </c>
      <c r="E803" s="260">
        <v>46310</v>
      </c>
      <c r="F803">
        <v>27</v>
      </c>
      <c r="G803" t="s">
        <v>350</v>
      </c>
    </row>
    <row r="804" spans="1:7">
      <c r="A804" t="s">
        <v>1939</v>
      </c>
      <c r="B804" t="s">
        <v>1940</v>
      </c>
      <c r="C804">
        <v>15</v>
      </c>
      <c r="D804" s="260">
        <v>46328</v>
      </c>
      <c r="E804" s="260">
        <v>46346</v>
      </c>
      <c r="F804">
        <v>27</v>
      </c>
      <c r="G804" t="s">
        <v>350</v>
      </c>
    </row>
    <row r="805" spans="1:7">
      <c r="A805" t="s">
        <v>1941</v>
      </c>
      <c r="B805" t="s">
        <v>1942</v>
      </c>
      <c r="C805">
        <v>25</v>
      </c>
      <c r="D805" s="260">
        <v>46170</v>
      </c>
      <c r="E805" s="260">
        <v>46206</v>
      </c>
      <c r="F805">
        <v>71</v>
      </c>
      <c r="G805" t="s">
        <v>350</v>
      </c>
    </row>
    <row r="806" spans="1:7">
      <c r="A806" t="s">
        <v>1943</v>
      </c>
      <c r="B806" t="s">
        <v>1944</v>
      </c>
      <c r="C806">
        <v>15</v>
      </c>
      <c r="D806" s="260">
        <v>46223</v>
      </c>
      <c r="E806" s="260">
        <v>46247</v>
      </c>
      <c r="F806">
        <v>71</v>
      </c>
      <c r="G806" t="s">
        <v>350</v>
      </c>
    </row>
    <row r="807" spans="1:7">
      <c r="A807" t="s">
        <v>1945</v>
      </c>
      <c r="B807" t="s">
        <v>1946</v>
      </c>
      <c r="C807">
        <v>15</v>
      </c>
      <c r="D807" s="260">
        <v>46262</v>
      </c>
      <c r="E807" s="260">
        <v>46282</v>
      </c>
      <c r="F807">
        <v>71</v>
      </c>
      <c r="G807" t="s">
        <v>350</v>
      </c>
    </row>
    <row r="808" spans="1:7">
      <c r="A808" t="s">
        <v>1947</v>
      </c>
      <c r="B808" t="s">
        <v>1948</v>
      </c>
      <c r="C808">
        <v>25</v>
      </c>
      <c r="D808" s="260">
        <v>46170</v>
      </c>
      <c r="E808" s="260">
        <v>46206</v>
      </c>
      <c r="F808">
        <v>71</v>
      </c>
      <c r="G808" t="s">
        <v>350</v>
      </c>
    </row>
    <row r="809" spans="1:7">
      <c r="A809" t="s">
        <v>1949</v>
      </c>
      <c r="B809" t="s">
        <v>1950</v>
      </c>
      <c r="C809">
        <v>15</v>
      </c>
      <c r="D809" s="260">
        <v>46223</v>
      </c>
      <c r="E809" s="260">
        <v>46247</v>
      </c>
      <c r="F809">
        <v>71</v>
      </c>
      <c r="G809" t="s">
        <v>350</v>
      </c>
    </row>
    <row r="810" spans="1:7">
      <c r="A810" t="s">
        <v>1951</v>
      </c>
      <c r="B810" t="s">
        <v>1952</v>
      </c>
      <c r="C810">
        <v>15</v>
      </c>
      <c r="D810" s="260">
        <v>46262</v>
      </c>
      <c r="E810" s="260">
        <v>46282</v>
      </c>
      <c r="F810">
        <v>71</v>
      </c>
      <c r="G810" t="s">
        <v>350</v>
      </c>
    </row>
    <row r="811" spans="1:7">
      <c r="A811" t="s">
        <v>1953</v>
      </c>
      <c r="B811" t="s">
        <v>1954</v>
      </c>
      <c r="C811">
        <v>25</v>
      </c>
      <c r="D811" s="260">
        <v>46170</v>
      </c>
      <c r="E811" s="260">
        <v>46206</v>
      </c>
      <c r="F811">
        <v>71</v>
      </c>
      <c r="G811" t="s">
        <v>350</v>
      </c>
    </row>
    <row r="812" spans="1:7">
      <c r="A812" t="s">
        <v>1955</v>
      </c>
      <c r="B812" t="s">
        <v>1956</v>
      </c>
      <c r="C812">
        <v>15</v>
      </c>
      <c r="D812" s="260">
        <v>46223</v>
      </c>
      <c r="E812" s="260">
        <v>46247</v>
      </c>
      <c r="F812">
        <v>71</v>
      </c>
      <c r="G812" t="s">
        <v>350</v>
      </c>
    </row>
    <row r="813" spans="1:7">
      <c r="A813" t="s">
        <v>1957</v>
      </c>
      <c r="B813" t="s">
        <v>1958</v>
      </c>
      <c r="C813">
        <v>15</v>
      </c>
      <c r="D813" s="260">
        <v>46262</v>
      </c>
      <c r="E813" s="260">
        <v>46282</v>
      </c>
      <c r="F813">
        <v>71</v>
      </c>
      <c r="G813" t="s">
        <v>350</v>
      </c>
    </row>
    <row r="814" spans="1:7">
      <c r="A814" t="s">
        <v>1959</v>
      </c>
      <c r="B814" t="s">
        <v>1960</v>
      </c>
      <c r="C814">
        <v>25</v>
      </c>
      <c r="D814" s="260">
        <v>46209</v>
      </c>
      <c r="E814" s="260">
        <v>46247</v>
      </c>
      <c r="F814">
        <v>46</v>
      </c>
      <c r="G814" t="s">
        <v>350</v>
      </c>
    </row>
    <row r="815" spans="1:7">
      <c r="A815" t="s">
        <v>1961</v>
      </c>
      <c r="B815" t="s">
        <v>1962</v>
      </c>
      <c r="C815">
        <v>15</v>
      </c>
      <c r="D815" s="260">
        <v>46262</v>
      </c>
      <c r="E815" s="260">
        <v>46282</v>
      </c>
      <c r="F815">
        <v>46</v>
      </c>
      <c r="G815" t="s">
        <v>350</v>
      </c>
    </row>
    <row r="816" spans="1:7">
      <c r="A816" t="s">
        <v>1963</v>
      </c>
      <c r="B816" t="s">
        <v>1964</v>
      </c>
      <c r="C816">
        <v>15</v>
      </c>
      <c r="D816" s="260">
        <v>46297</v>
      </c>
      <c r="E816" s="260">
        <v>46321</v>
      </c>
      <c r="F816">
        <v>46</v>
      </c>
      <c r="G816" t="s">
        <v>350</v>
      </c>
    </row>
    <row r="817" spans="1:7">
      <c r="A817" t="s">
        <v>1965</v>
      </c>
      <c r="B817" t="s">
        <v>1966</v>
      </c>
      <c r="C817">
        <v>25</v>
      </c>
      <c r="D817" s="260">
        <v>46209</v>
      </c>
      <c r="E817" s="260">
        <v>46247</v>
      </c>
      <c r="F817">
        <v>46</v>
      </c>
      <c r="G817" t="s">
        <v>350</v>
      </c>
    </row>
    <row r="818" spans="1:7">
      <c r="A818" t="s">
        <v>1967</v>
      </c>
      <c r="B818" t="s">
        <v>1968</v>
      </c>
      <c r="C818">
        <v>15</v>
      </c>
      <c r="D818" s="260">
        <v>46262</v>
      </c>
      <c r="E818" s="260">
        <v>46282</v>
      </c>
      <c r="F818">
        <v>46</v>
      </c>
      <c r="G818" t="s">
        <v>350</v>
      </c>
    </row>
    <row r="819" spans="1:7">
      <c r="A819" t="s">
        <v>1969</v>
      </c>
      <c r="B819" t="s">
        <v>1970</v>
      </c>
      <c r="C819">
        <v>15</v>
      </c>
      <c r="D819" s="260">
        <v>46297</v>
      </c>
      <c r="E819" s="260">
        <v>46321</v>
      </c>
      <c r="F819">
        <v>46</v>
      </c>
      <c r="G819" t="s">
        <v>350</v>
      </c>
    </row>
    <row r="820" spans="1:7">
      <c r="A820" t="s">
        <v>1971</v>
      </c>
      <c r="B820" t="s">
        <v>1972</v>
      </c>
      <c r="C820">
        <v>25</v>
      </c>
      <c r="D820" s="260">
        <v>46209</v>
      </c>
      <c r="E820" s="260">
        <v>46247</v>
      </c>
      <c r="F820">
        <v>46</v>
      </c>
      <c r="G820" t="s">
        <v>350</v>
      </c>
    </row>
    <row r="821" spans="1:7">
      <c r="A821" t="s">
        <v>1973</v>
      </c>
      <c r="B821" t="s">
        <v>1974</v>
      </c>
      <c r="C821">
        <v>15</v>
      </c>
      <c r="D821" s="260">
        <v>46262</v>
      </c>
      <c r="E821" s="260">
        <v>46282</v>
      </c>
      <c r="F821">
        <v>46</v>
      </c>
      <c r="G821" t="s">
        <v>350</v>
      </c>
    </row>
    <row r="822" spans="1:7">
      <c r="A822" t="s">
        <v>1975</v>
      </c>
      <c r="B822" t="s">
        <v>1976</v>
      </c>
      <c r="C822">
        <v>15</v>
      </c>
      <c r="D822" s="260">
        <v>46297</v>
      </c>
      <c r="E822" s="260">
        <v>46321</v>
      </c>
      <c r="F822">
        <v>46</v>
      </c>
      <c r="G822" t="s">
        <v>350</v>
      </c>
    </row>
    <row r="823" spans="1:7">
      <c r="A823" t="s">
        <v>1977</v>
      </c>
      <c r="B823" t="s">
        <v>1978</v>
      </c>
      <c r="C823">
        <v>25</v>
      </c>
      <c r="D823" s="260">
        <v>46209</v>
      </c>
      <c r="E823" s="260">
        <v>46247</v>
      </c>
      <c r="F823">
        <v>46</v>
      </c>
      <c r="G823" t="s">
        <v>350</v>
      </c>
    </row>
    <row r="824" spans="1:7">
      <c r="A824" t="s">
        <v>1979</v>
      </c>
      <c r="B824" t="s">
        <v>1980</v>
      </c>
      <c r="C824">
        <v>15</v>
      </c>
      <c r="D824" s="260">
        <v>46262</v>
      </c>
      <c r="E824" s="260">
        <v>46282</v>
      </c>
      <c r="F824">
        <v>46</v>
      </c>
      <c r="G824" t="s">
        <v>350</v>
      </c>
    </row>
    <row r="825" spans="1:7">
      <c r="A825" t="s">
        <v>1981</v>
      </c>
      <c r="B825" t="s">
        <v>1982</v>
      </c>
      <c r="C825">
        <v>15</v>
      </c>
      <c r="D825" s="260">
        <v>46297</v>
      </c>
      <c r="E825" s="260">
        <v>46321</v>
      </c>
      <c r="F825">
        <v>46</v>
      </c>
      <c r="G825" t="s">
        <v>350</v>
      </c>
    </row>
    <row r="826" spans="1:7">
      <c r="A826" t="s">
        <v>1983</v>
      </c>
      <c r="B826" t="s">
        <v>1984</v>
      </c>
      <c r="C826">
        <v>25</v>
      </c>
      <c r="D826" s="260">
        <v>46209</v>
      </c>
      <c r="E826" s="260">
        <v>46247</v>
      </c>
      <c r="F826">
        <v>46</v>
      </c>
      <c r="G826" t="s">
        <v>350</v>
      </c>
    </row>
    <row r="827" spans="1:7">
      <c r="A827" t="s">
        <v>1985</v>
      </c>
      <c r="B827" t="s">
        <v>1986</v>
      </c>
      <c r="C827">
        <v>15</v>
      </c>
      <c r="D827" s="260">
        <v>46262</v>
      </c>
      <c r="E827" s="260">
        <v>46282</v>
      </c>
      <c r="F827">
        <v>46</v>
      </c>
      <c r="G827" t="s">
        <v>350</v>
      </c>
    </row>
    <row r="828" spans="1:7">
      <c r="A828" t="s">
        <v>1987</v>
      </c>
      <c r="B828" t="s">
        <v>1988</v>
      </c>
      <c r="C828">
        <v>15</v>
      </c>
      <c r="D828" s="260">
        <v>46297</v>
      </c>
      <c r="E828" s="260">
        <v>46321</v>
      </c>
      <c r="F828">
        <v>46</v>
      </c>
      <c r="G828" t="s">
        <v>350</v>
      </c>
    </row>
    <row r="829" spans="1:7">
      <c r="A829" t="s">
        <v>1989</v>
      </c>
      <c r="B829" t="s">
        <v>1990</v>
      </c>
      <c r="C829">
        <v>25</v>
      </c>
      <c r="D829" s="260">
        <v>46209</v>
      </c>
      <c r="E829" s="260">
        <v>46247</v>
      </c>
      <c r="F829">
        <v>46</v>
      </c>
      <c r="G829" t="s">
        <v>350</v>
      </c>
    </row>
    <row r="830" spans="1:7">
      <c r="A830" t="s">
        <v>1991</v>
      </c>
      <c r="B830" t="s">
        <v>1992</v>
      </c>
      <c r="C830">
        <v>15</v>
      </c>
      <c r="D830" s="260">
        <v>46262</v>
      </c>
      <c r="E830" s="260">
        <v>46282</v>
      </c>
      <c r="F830">
        <v>46</v>
      </c>
      <c r="G830" t="s">
        <v>350</v>
      </c>
    </row>
    <row r="831" spans="1:7">
      <c r="A831" t="s">
        <v>1993</v>
      </c>
      <c r="B831" t="s">
        <v>1994</v>
      </c>
      <c r="C831">
        <v>15</v>
      </c>
      <c r="D831" s="260">
        <v>46297</v>
      </c>
      <c r="E831" s="260">
        <v>46321</v>
      </c>
      <c r="F831">
        <v>46</v>
      </c>
      <c r="G831" t="s">
        <v>350</v>
      </c>
    </row>
    <row r="832" spans="1:7">
      <c r="A832" t="s">
        <v>1995</v>
      </c>
      <c r="B832" t="s">
        <v>1996</v>
      </c>
      <c r="C832">
        <v>25</v>
      </c>
      <c r="D832" s="260">
        <v>46209</v>
      </c>
      <c r="E832" s="260">
        <v>46247</v>
      </c>
      <c r="F832">
        <v>46</v>
      </c>
      <c r="G832" t="s">
        <v>350</v>
      </c>
    </row>
    <row r="833" spans="1:7">
      <c r="A833" t="s">
        <v>1997</v>
      </c>
      <c r="B833" t="s">
        <v>1998</v>
      </c>
      <c r="C833">
        <v>15</v>
      </c>
      <c r="D833" s="260">
        <v>46262</v>
      </c>
      <c r="E833" s="260">
        <v>46282</v>
      </c>
      <c r="F833">
        <v>46</v>
      </c>
      <c r="G833" t="s">
        <v>350</v>
      </c>
    </row>
    <row r="834" spans="1:7">
      <c r="A834" t="s">
        <v>1999</v>
      </c>
      <c r="B834" t="s">
        <v>2000</v>
      </c>
      <c r="C834">
        <v>15</v>
      </c>
      <c r="D834" s="260">
        <v>46297</v>
      </c>
      <c r="E834" s="260">
        <v>46321</v>
      </c>
      <c r="F834">
        <v>46</v>
      </c>
      <c r="G834" t="s">
        <v>350</v>
      </c>
    </row>
    <row r="835" spans="1:7">
      <c r="A835" t="s">
        <v>2001</v>
      </c>
      <c r="B835" t="s">
        <v>2002</v>
      </c>
      <c r="C835">
        <v>25</v>
      </c>
      <c r="D835" s="260">
        <v>46085</v>
      </c>
      <c r="E835" s="260">
        <v>46120</v>
      </c>
      <c r="F835">
        <v>127</v>
      </c>
      <c r="G835" t="s">
        <v>350</v>
      </c>
    </row>
    <row r="836" spans="1:7">
      <c r="A836" t="s">
        <v>2003</v>
      </c>
      <c r="B836" t="s">
        <v>2004</v>
      </c>
      <c r="C836">
        <v>15</v>
      </c>
      <c r="D836" s="260">
        <v>46140</v>
      </c>
      <c r="E836" s="260">
        <v>46161</v>
      </c>
      <c r="F836">
        <v>127</v>
      </c>
      <c r="G836" t="s">
        <v>350</v>
      </c>
    </row>
    <row r="837" spans="1:7">
      <c r="A837" t="s">
        <v>2005</v>
      </c>
      <c r="B837" t="s">
        <v>2006</v>
      </c>
      <c r="C837">
        <v>15</v>
      </c>
      <c r="D837" s="260">
        <v>46178</v>
      </c>
      <c r="E837" s="260">
        <v>46198</v>
      </c>
      <c r="F837">
        <v>127</v>
      </c>
      <c r="G837" t="s">
        <v>350</v>
      </c>
    </row>
    <row r="838" spans="1:7">
      <c r="A838" t="s">
        <v>2007</v>
      </c>
      <c r="B838" t="s">
        <v>2008</v>
      </c>
      <c r="C838">
        <v>25</v>
      </c>
      <c r="D838" s="260">
        <v>46085</v>
      </c>
      <c r="E838" s="260">
        <v>46120</v>
      </c>
      <c r="F838">
        <v>127</v>
      </c>
      <c r="G838" t="s">
        <v>350</v>
      </c>
    </row>
    <row r="839" spans="1:7">
      <c r="A839" t="s">
        <v>2009</v>
      </c>
      <c r="B839" t="s">
        <v>2010</v>
      </c>
      <c r="C839">
        <v>15</v>
      </c>
      <c r="D839" s="260">
        <v>46140</v>
      </c>
      <c r="E839" s="260">
        <v>46161</v>
      </c>
      <c r="F839">
        <v>127</v>
      </c>
      <c r="G839" t="s">
        <v>350</v>
      </c>
    </row>
    <row r="840" spans="1:7">
      <c r="A840" t="s">
        <v>2011</v>
      </c>
      <c r="B840" t="s">
        <v>2012</v>
      </c>
      <c r="C840">
        <v>15</v>
      </c>
      <c r="D840" s="260">
        <v>46178</v>
      </c>
      <c r="E840" s="260">
        <v>46198</v>
      </c>
      <c r="F840">
        <v>127</v>
      </c>
      <c r="G840" t="s">
        <v>350</v>
      </c>
    </row>
    <row r="841" spans="1:7">
      <c r="A841" t="s">
        <v>2013</v>
      </c>
      <c r="B841" t="s">
        <v>2014</v>
      </c>
      <c r="C841">
        <v>25</v>
      </c>
      <c r="D841" s="260">
        <v>46085</v>
      </c>
      <c r="E841" s="260">
        <v>46120</v>
      </c>
      <c r="F841">
        <v>127</v>
      </c>
      <c r="G841" t="s">
        <v>350</v>
      </c>
    </row>
    <row r="842" spans="1:7">
      <c r="A842" t="s">
        <v>2015</v>
      </c>
      <c r="B842" t="s">
        <v>2016</v>
      </c>
      <c r="C842">
        <v>15</v>
      </c>
      <c r="D842" s="260">
        <v>46140</v>
      </c>
      <c r="E842" s="260">
        <v>46161</v>
      </c>
      <c r="F842">
        <v>127</v>
      </c>
      <c r="G842" t="s">
        <v>350</v>
      </c>
    </row>
    <row r="843" spans="1:7">
      <c r="A843" t="s">
        <v>2017</v>
      </c>
      <c r="B843" t="s">
        <v>2018</v>
      </c>
      <c r="C843">
        <v>15</v>
      </c>
      <c r="D843" s="260">
        <v>46178</v>
      </c>
      <c r="E843" s="260">
        <v>46198</v>
      </c>
      <c r="F843">
        <v>127</v>
      </c>
      <c r="G843" t="s">
        <v>350</v>
      </c>
    </row>
    <row r="844" spans="1:7">
      <c r="A844" t="s">
        <v>2019</v>
      </c>
      <c r="B844" t="s">
        <v>2020</v>
      </c>
      <c r="C844">
        <v>25</v>
      </c>
      <c r="D844" s="260">
        <v>46085</v>
      </c>
      <c r="E844" s="260">
        <v>46120</v>
      </c>
      <c r="F844">
        <v>127</v>
      </c>
      <c r="G844" t="s">
        <v>350</v>
      </c>
    </row>
    <row r="845" spans="1:7">
      <c r="A845" t="s">
        <v>2021</v>
      </c>
      <c r="B845" t="s">
        <v>2022</v>
      </c>
      <c r="C845">
        <v>15</v>
      </c>
      <c r="D845" s="260">
        <v>46140</v>
      </c>
      <c r="E845" s="260">
        <v>46161</v>
      </c>
      <c r="F845">
        <v>127</v>
      </c>
      <c r="G845" t="s">
        <v>350</v>
      </c>
    </row>
    <row r="846" spans="1:7">
      <c r="A846" t="s">
        <v>2023</v>
      </c>
      <c r="B846" t="s">
        <v>2024</v>
      </c>
      <c r="C846">
        <v>15</v>
      </c>
      <c r="D846" s="260">
        <v>46178</v>
      </c>
      <c r="E846" s="260">
        <v>46198</v>
      </c>
      <c r="F846">
        <v>127</v>
      </c>
      <c r="G846" t="s">
        <v>350</v>
      </c>
    </row>
    <row r="847" spans="1:7">
      <c r="A847" t="s">
        <v>2025</v>
      </c>
      <c r="B847" t="s">
        <v>2026</v>
      </c>
      <c r="C847">
        <v>25</v>
      </c>
      <c r="D847" s="260">
        <v>46085</v>
      </c>
      <c r="E847" s="260">
        <v>46120</v>
      </c>
      <c r="F847">
        <v>127</v>
      </c>
      <c r="G847" t="s">
        <v>350</v>
      </c>
    </row>
    <row r="848" spans="1:7">
      <c r="A848" t="s">
        <v>2027</v>
      </c>
      <c r="B848" t="s">
        <v>2028</v>
      </c>
      <c r="C848">
        <v>15</v>
      </c>
      <c r="D848" s="260">
        <v>46140</v>
      </c>
      <c r="E848" s="260">
        <v>46161</v>
      </c>
      <c r="F848">
        <v>127</v>
      </c>
      <c r="G848" t="s">
        <v>350</v>
      </c>
    </row>
    <row r="849" spans="1:7">
      <c r="A849" t="s">
        <v>2029</v>
      </c>
      <c r="B849" t="s">
        <v>2030</v>
      </c>
      <c r="C849">
        <v>15</v>
      </c>
      <c r="D849" s="260">
        <v>46178</v>
      </c>
      <c r="E849" s="260">
        <v>46198</v>
      </c>
      <c r="F849">
        <v>127</v>
      </c>
      <c r="G849" t="s">
        <v>350</v>
      </c>
    </row>
    <row r="850" spans="1:7">
      <c r="A850" t="s">
        <v>2031</v>
      </c>
      <c r="B850" t="s">
        <v>2032</v>
      </c>
      <c r="C850">
        <v>25</v>
      </c>
      <c r="D850" s="260">
        <v>46085</v>
      </c>
      <c r="E850" s="260">
        <v>46120</v>
      </c>
      <c r="F850">
        <v>127</v>
      </c>
      <c r="G850" t="s">
        <v>350</v>
      </c>
    </row>
    <row r="851" spans="1:7">
      <c r="A851" t="s">
        <v>2033</v>
      </c>
      <c r="B851" t="s">
        <v>2034</v>
      </c>
      <c r="C851">
        <v>15</v>
      </c>
      <c r="D851" s="260">
        <v>46140</v>
      </c>
      <c r="E851" s="260">
        <v>46161</v>
      </c>
      <c r="F851">
        <v>127</v>
      </c>
      <c r="G851" t="s">
        <v>350</v>
      </c>
    </row>
    <row r="852" spans="1:7">
      <c r="A852" t="s">
        <v>2035</v>
      </c>
      <c r="B852" t="s">
        <v>2036</v>
      </c>
      <c r="C852">
        <v>15</v>
      </c>
      <c r="D852" s="260">
        <v>46178</v>
      </c>
      <c r="E852" s="260">
        <v>46198</v>
      </c>
      <c r="F852">
        <v>127</v>
      </c>
      <c r="G852" t="s">
        <v>350</v>
      </c>
    </row>
    <row r="853" spans="1:7">
      <c r="A853" t="s">
        <v>2037</v>
      </c>
      <c r="B853" t="s">
        <v>2038</v>
      </c>
      <c r="C853">
        <v>25</v>
      </c>
      <c r="D853" s="260">
        <v>46085</v>
      </c>
      <c r="E853" s="260">
        <v>46120</v>
      </c>
      <c r="F853">
        <v>127</v>
      </c>
      <c r="G853" t="s">
        <v>350</v>
      </c>
    </row>
    <row r="854" spans="1:7">
      <c r="A854" t="s">
        <v>2039</v>
      </c>
      <c r="B854" t="s">
        <v>2040</v>
      </c>
      <c r="C854">
        <v>15</v>
      </c>
      <c r="D854" s="260">
        <v>46140</v>
      </c>
      <c r="E854" s="260">
        <v>46161</v>
      </c>
      <c r="F854">
        <v>127</v>
      </c>
      <c r="G854" t="s">
        <v>350</v>
      </c>
    </row>
    <row r="855" spans="1:7">
      <c r="A855" t="s">
        <v>2041</v>
      </c>
      <c r="B855" t="s">
        <v>2042</v>
      </c>
      <c r="C855">
        <v>15</v>
      </c>
      <c r="D855" s="260">
        <v>46178</v>
      </c>
      <c r="E855" s="260">
        <v>46198</v>
      </c>
      <c r="F855">
        <v>127</v>
      </c>
      <c r="G855" t="s">
        <v>350</v>
      </c>
    </row>
    <row r="856" spans="1:7">
      <c r="A856" t="s">
        <v>2043</v>
      </c>
      <c r="B856" t="s">
        <v>2044</v>
      </c>
      <c r="C856">
        <v>25</v>
      </c>
      <c r="D856" s="260">
        <v>46085</v>
      </c>
      <c r="E856" s="260">
        <v>46120</v>
      </c>
      <c r="F856">
        <v>127</v>
      </c>
      <c r="G856" t="s">
        <v>350</v>
      </c>
    </row>
    <row r="857" spans="1:7">
      <c r="A857" t="s">
        <v>2045</v>
      </c>
      <c r="B857" t="s">
        <v>2046</v>
      </c>
      <c r="C857">
        <v>15</v>
      </c>
      <c r="D857" s="260">
        <v>46140</v>
      </c>
      <c r="E857" s="260">
        <v>46161</v>
      </c>
      <c r="F857">
        <v>127</v>
      </c>
      <c r="G857" t="s">
        <v>350</v>
      </c>
    </row>
    <row r="858" spans="1:7">
      <c r="A858" t="s">
        <v>2047</v>
      </c>
      <c r="B858" t="s">
        <v>2048</v>
      </c>
      <c r="C858">
        <v>15</v>
      </c>
      <c r="D858" s="260">
        <v>46178</v>
      </c>
      <c r="E858" s="260">
        <v>46198</v>
      </c>
      <c r="F858">
        <v>127</v>
      </c>
      <c r="G858" t="s">
        <v>350</v>
      </c>
    </row>
    <row r="859" spans="1:7">
      <c r="A859" t="s">
        <v>2049</v>
      </c>
      <c r="B859" t="s">
        <v>2050</v>
      </c>
      <c r="C859">
        <v>25</v>
      </c>
      <c r="D859" s="260">
        <v>46085</v>
      </c>
      <c r="E859" s="260">
        <v>46120</v>
      </c>
      <c r="F859">
        <v>127</v>
      </c>
      <c r="G859" t="s">
        <v>350</v>
      </c>
    </row>
    <row r="860" spans="1:7">
      <c r="A860" t="s">
        <v>2051</v>
      </c>
      <c r="B860" t="s">
        <v>2052</v>
      </c>
      <c r="C860">
        <v>15</v>
      </c>
      <c r="D860" s="260">
        <v>46140</v>
      </c>
      <c r="E860" s="260">
        <v>46161</v>
      </c>
      <c r="F860">
        <v>127</v>
      </c>
      <c r="G860" t="s">
        <v>350</v>
      </c>
    </row>
    <row r="861" spans="1:7">
      <c r="A861" t="s">
        <v>2053</v>
      </c>
      <c r="B861" t="s">
        <v>2054</v>
      </c>
      <c r="C861">
        <v>15</v>
      </c>
      <c r="D861" s="260">
        <v>46178</v>
      </c>
      <c r="E861" s="260">
        <v>46198</v>
      </c>
      <c r="F861">
        <v>127</v>
      </c>
      <c r="G861" t="s">
        <v>350</v>
      </c>
    </row>
    <row r="862" spans="1:7">
      <c r="A862" t="s">
        <v>2055</v>
      </c>
      <c r="B862" t="s">
        <v>2056</v>
      </c>
      <c r="C862">
        <v>25</v>
      </c>
      <c r="D862" s="260">
        <v>46085</v>
      </c>
      <c r="E862" s="260">
        <v>46120</v>
      </c>
      <c r="F862">
        <v>127</v>
      </c>
      <c r="G862" t="s">
        <v>350</v>
      </c>
    </row>
    <row r="863" spans="1:7">
      <c r="A863" t="s">
        <v>2057</v>
      </c>
      <c r="B863" t="s">
        <v>2058</v>
      </c>
      <c r="C863">
        <v>15</v>
      </c>
      <c r="D863" s="260">
        <v>46140</v>
      </c>
      <c r="E863" s="260">
        <v>46161</v>
      </c>
      <c r="F863">
        <v>127</v>
      </c>
      <c r="G863" t="s">
        <v>350</v>
      </c>
    </row>
    <row r="864" spans="1:7">
      <c r="A864" t="s">
        <v>2059</v>
      </c>
      <c r="B864" t="s">
        <v>2060</v>
      </c>
      <c r="C864">
        <v>15</v>
      </c>
      <c r="D864" s="260">
        <v>46178</v>
      </c>
      <c r="E864" s="260">
        <v>46198</v>
      </c>
      <c r="F864">
        <v>127</v>
      </c>
      <c r="G864" t="s">
        <v>350</v>
      </c>
    </row>
    <row r="865" spans="1:7">
      <c r="A865" t="s">
        <v>2061</v>
      </c>
      <c r="B865" t="s">
        <v>2062</v>
      </c>
      <c r="C865">
        <v>25</v>
      </c>
      <c r="D865" s="260">
        <v>46169</v>
      </c>
      <c r="E865" s="260">
        <v>46205</v>
      </c>
      <c r="F865">
        <v>72</v>
      </c>
      <c r="G865" t="s">
        <v>350</v>
      </c>
    </row>
    <row r="866" spans="1:7">
      <c r="A866" t="s">
        <v>2063</v>
      </c>
      <c r="B866" t="s">
        <v>2064</v>
      </c>
      <c r="C866">
        <v>15</v>
      </c>
      <c r="D866" s="260">
        <v>46220</v>
      </c>
      <c r="E866" s="260">
        <v>46245</v>
      </c>
      <c r="F866">
        <v>72</v>
      </c>
      <c r="G866" t="s">
        <v>350</v>
      </c>
    </row>
    <row r="867" spans="1:7">
      <c r="A867" t="s">
        <v>2065</v>
      </c>
      <c r="B867" t="s">
        <v>2066</v>
      </c>
      <c r="C867">
        <v>15</v>
      </c>
      <c r="D867" s="260">
        <v>46261</v>
      </c>
      <c r="E867" s="260">
        <v>46281</v>
      </c>
      <c r="F867">
        <v>72</v>
      </c>
      <c r="G867" t="s">
        <v>350</v>
      </c>
    </row>
    <row r="868" spans="1:7">
      <c r="A868" t="s">
        <v>2067</v>
      </c>
      <c r="B868" t="s">
        <v>2068</v>
      </c>
      <c r="C868">
        <v>25</v>
      </c>
      <c r="D868" s="260">
        <v>46169</v>
      </c>
      <c r="E868" s="260">
        <v>46205</v>
      </c>
      <c r="F868">
        <v>72</v>
      </c>
      <c r="G868" t="s">
        <v>350</v>
      </c>
    </row>
    <row r="869" spans="1:7">
      <c r="A869" t="s">
        <v>2069</v>
      </c>
      <c r="B869" t="s">
        <v>2070</v>
      </c>
      <c r="C869">
        <v>15</v>
      </c>
      <c r="D869" s="260">
        <v>46220</v>
      </c>
      <c r="E869" s="260">
        <v>46245</v>
      </c>
      <c r="F869">
        <v>72</v>
      </c>
      <c r="G869" t="s">
        <v>350</v>
      </c>
    </row>
    <row r="870" spans="1:7">
      <c r="A870" t="s">
        <v>2071</v>
      </c>
      <c r="B870" t="s">
        <v>2072</v>
      </c>
      <c r="C870">
        <v>15</v>
      </c>
      <c r="D870" s="260">
        <v>46261</v>
      </c>
      <c r="E870" s="260">
        <v>46281</v>
      </c>
      <c r="F870">
        <v>72</v>
      </c>
      <c r="G870" t="s">
        <v>350</v>
      </c>
    </row>
    <row r="871" spans="1:7">
      <c r="A871" t="s">
        <v>2073</v>
      </c>
      <c r="B871" t="s">
        <v>2074</v>
      </c>
      <c r="C871">
        <v>25</v>
      </c>
      <c r="D871" s="260">
        <v>46169</v>
      </c>
      <c r="E871" s="260">
        <v>46205</v>
      </c>
      <c r="F871">
        <v>72</v>
      </c>
      <c r="G871" t="s">
        <v>350</v>
      </c>
    </row>
    <row r="872" spans="1:7">
      <c r="A872" t="s">
        <v>2075</v>
      </c>
      <c r="B872" t="s">
        <v>2076</v>
      </c>
      <c r="C872">
        <v>15</v>
      </c>
      <c r="D872" s="260">
        <v>46220</v>
      </c>
      <c r="E872" s="260">
        <v>46245</v>
      </c>
      <c r="F872">
        <v>72</v>
      </c>
      <c r="G872" t="s">
        <v>350</v>
      </c>
    </row>
    <row r="873" spans="1:7">
      <c r="A873" t="s">
        <v>2077</v>
      </c>
      <c r="B873" t="s">
        <v>2078</v>
      </c>
      <c r="C873">
        <v>15</v>
      </c>
      <c r="D873" s="260">
        <v>46261</v>
      </c>
      <c r="E873" s="260">
        <v>46281</v>
      </c>
      <c r="F873">
        <v>72</v>
      </c>
      <c r="G873" t="s">
        <v>350</v>
      </c>
    </row>
    <row r="874" spans="1:7">
      <c r="A874" t="s">
        <v>2079</v>
      </c>
      <c r="B874" t="s">
        <v>2080</v>
      </c>
      <c r="C874">
        <v>25</v>
      </c>
      <c r="D874" s="260">
        <v>46169</v>
      </c>
      <c r="E874" s="260">
        <v>46205</v>
      </c>
      <c r="F874">
        <v>72</v>
      </c>
      <c r="G874" t="s">
        <v>350</v>
      </c>
    </row>
    <row r="875" spans="1:7">
      <c r="A875" t="s">
        <v>2081</v>
      </c>
      <c r="B875" t="s">
        <v>2082</v>
      </c>
      <c r="C875">
        <v>15</v>
      </c>
      <c r="D875" s="260">
        <v>46220</v>
      </c>
      <c r="E875" s="260">
        <v>46245</v>
      </c>
      <c r="F875">
        <v>72</v>
      </c>
      <c r="G875" t="s">
        <v>350</v>
      </c>
    </row>
    <row r="876" spans="1:7">
      <c r="A876" t="s">
        <v>2083</v>
      </c>
      <c r="B876" t="s">
        <v>2084</v>
      </c>
      <c r="C876">
        <v>15</v>
      </c>
      <c r="D876" s="260">
        <v>46261</v>
      </c>
      <c r="E876" s="260">
        <v>46281</v>
      </c>
      <c r="F876">
        <v>72</v>
      </c>
      <c r="G876" t="s">
        <v>350</v>
      </c>
    </row>
    <row r="877" spans="1:7">
      <c r="A877" t="s">
        <v>2085</v>
      </c>
      <c r="B877" t="s">
        <v>2086</v>
      </c>
      <c r="C877">
        <v>25</v>
      </c>
      <c r="D877" s="260">
        <v>46169</v>
      </c>
      <c r="E877" s="260">
        <v>46205</v>
      </c>
      <c r="F877">
        <v>72</v>
      </c>
      <c r="G877" t="s">
        <v>350</v>
      </c>
    </row>
    <row r="878" spans="1:7">
      <c r="A878" t="s">
        <v>2087</v>
      </c>
      <c r="B878" t="s">
        <v>2088</v>
      </c>
      <c r="C878">
        <v>15</v>
      </c>
      <c r="D878" s="260">
        <v>46220</v>
      </c>
      <c r="E878" s="260">
        <v>46245</v>
      </c>
      <c r="F878">
        <v>72</v>
      </c>
      <c r="G878" t="s">
        <v>350</v>
      </c>
    </row>
    <row r="879" spans="1:7">
      <c r="A879" t="s">
        <v>2089</v>
      </c>
      <c r="B879" t="s">
        <v>2090</v>
      </c>
      <c r="C879">
        <v>15</v>
      </c>
      <c r="D879" s="260">
        <v>46261</v>
      </c>
      <c r="E879" s="260">
        <v>46281</v>
      </c>
      <c r="F879">
        <v>72</v>
      </c>
      <c r="G879" t="s">
        <v>350</v>
      </c>
    </row>
    <row r="880" spans="1:7">
      <c r="A880" t="s">
        <v>2091</v>
      </c>
      <c r="B880" t="s">
        <v>2092</v>
      </c>
      <c r="C880">
        <v>25</v>
      </c>
      <c r="D880" s="260">
        <v>46169</v>
      </c>
      <c r="E880" s="260">
        <v>46205</v>
      </c>
      <c r="F880">
        <v>72</v>
      </c>
      <c r="G880" t="s">
        <v>350</v>
      </c>
    </row>
    <row r="881" spans="1:7">
      <c r="A881" t="s">
        <v>2093</v>
      </c>
      <c r="B881" t="s">
        <v>2094</v>
      </c>
      <c r="C881">
        <v>15</v>
      </c>
      <c r="D881" s="260">
        <v>46220</v>
      </c>
      <c r="E881" s="260">
        <v>46245</v>
      </c>
      <c r="F881">
        <v>72</v>
      </c>
      <c r="G881" t="s">
        <v>350</v>
      </c>
    </row>
    <row r="882" spans="1:7">
      <c r="A882" t="s">
        <v>2095</v>
      </c>
      <c r="B882" t="s">
        <v>2096</v>
      </c>
      <c r="C882">
        <v>15</v>
      </c>
      <c r="D882" s="260">
        <v>46261</v>
      </c>
      <c r="E882" s="260">
        <v>46281</v>
      </c>
      <c r="F882">
        <v>72</v>
      </c>
      <c r="G882" t="s">
        <v>350</v>
      </c>
    </row>
    <row r="883" spans="1:7">
      <c r="A883" t="s">
        <v>2097</v>
      </c>
      <c r="B883" t="s">
        <v>2098</v>
      </c>
      <c r="C883">
        <v>25</v>
      </c>
      <c r="D883" s="260">
        <v>46169</v>
      </c>
      <c r="E883" s="260">
        <v>46205</v>
      </c>
      <c r="F883">
        <v>72</v>
      </c>
      <c r="G883" t="s">
        <v>350</v>
      </c>
    </row>
    <row r="884" spans="1:7">
      <c r="A884" t="s">
        <v>2099</v>
      </c>
      <c r="B884" t="s">
        <v>2100</v>
      </c>
      <c r="C884">
        <v>15</v>
      </c>
      <c r="D884" s="260">
        <v>46220</v>
      </c>
      <c r="E884" s="260">
        <v>46245</v>
      </c>
      <c r="F884">
        <v>72</v>
      </c>
      <c r="G884" t="s">
        <v>350</v>
      </c>
    </row>
    <row r="885" spans="1:7">
      <c r="A885" t="s">
        <v>2101</v>
      </c>
      <c r="B885" t="s">
        <v>2102</v>
      </c>
      <c r="C885">
        <v>15</v>
      </c>
      <c r="D885" s="260">
        <v>46261</v>
      </c>
      <c r="E885" s="260">
        <v>46281</v>
      </c>
      <c r="F885">
        <v>72</v>
      </c>
      <c r="G885" t="s">
        <v>350</v>
      </c>
    </row>
    <row r="886" spans="1:7">
      <c r="A886" t="s">
        <v>2103</v>
      </c>
      <c r="B886" t="s">
        <v>2104</v>
      </c>
      <c r="C886">
        <v>25</v>
      </c>
      <c r="D886" s="260">
        <v>46169</v>
      </c>
      <c r="E886" s="260">
        <v>46205</v>
      </c>
      <c r="F886">
        <v>72</v>
      </c>
      <c r="G886" t="s">
        <v>350</v>
      </c>
    </row>
    <row r="887" spans="1:7">
      <c r="A887" t="s">
        <v>2105</v>
      </c>
      <c r="B887" t="s">
        <v>2106</v>
      </c>
      <c r="C887">
        <v>15</v>
      </c>
      <c r="D887" s="260">
        <v>46220</v>
      </c>
      <c r="E887" s="260">
        <v>46245</v>
      </c>
      <c r="F887">
        <v>72</v>
      </c>
      <c r="G887" t="s">
        <v>350</v>
      </c>
    </row>
    <row r="888" spans="1:7">
      <c r="A888" t="s">
        <v>2107</v>
      </c>
      <c r="B888" t="s">
        <v>2108</v>
      </c>
      <c r="C888">
        <v>15</v>
      </c>
      <c r="D888" s="260">
        <v>46261</v>
      </c>
      <c r="E888" s="260">
        <v>46281</v>
      </c>
      <c r="F888">
        <v>72</v>
      </c>
      <c r="G888" t="s">
        <v>350</v>
      </c>
    </row>
    <row r="889" spans="1:7">
      <c r="A889" t="s">
        <v>2109</v>
      </c>
      <c r="B889" t="s">
        <v>2110</v>
      </c>
      <c r="C889">
        <v>25</v>
      </c>
      <c r="D889" s="260">
        <v>46169</v>
      </c>
      <c r="E889" s="260">
        <v>46205</v>
      </c>
      <c r="F889">
        <v>72</v>
      </c>
      <c r="G889" t="s">
        <v>350</v>
      </c>
    </row>
    <row r="890" spans="1:7">
      <c r="A890" t="s">
        <v>2111</v>
      </c>
      <c r="B890" t="s">
        <v>2112</v>
      </c>
      <c r="C890">
        <v>15</v>
      </c>
      <c r="D890" s="260">
        <v>46220</v>
      </c>
      <c r="E890" s="260">
        <v>46245</v>
      </c>
      <c r="F890">
        <v>72</v>
      </c>
      <c r="G890" t="s">
        <v>350</v>
      </c>
    </row>
    <row r="891" spans="1:7">
      <c r="A891" t="s">
        <v>2113</v>
      </c>
      <c r="B891" t="s">
        <v>2114</v>
      </c>
      <c r="C891">
        <v>15</v>
      </c>
      <c r="D891" s="260">
        <v>46261</v>
      </c>
      <c r="E891" s="260">
        <v>46281</v>
      </c>
      <c r="F891">
        <v>72</v>
      </c>
      <c r="G891" t="s">
        <v>350</v>
      </c>
    </row>
    <row r="892" spans="1:7">
      <c r="A892" t="s">
        <v>2115</v>
      </c>
      <c r="B892" t="s">
        <v>2116</v>
      </c>
      <c r="C892">
        <v>25</v>
      </c>
      <c r="D892" s="260">
        <v>46085</v>
      </c>
      <c r="E892" s="260">
        <v>46120</v>
      </c>
      <c r="F892">
        <v>127</v>
      </c>
      <c r="G892" t="s">
        <v>350</v>
      </c>
    </row>
    <row r="893" spans="1:7">
      <c r="A893" t="s">
        <v>2117</v>
      </c>
      <c r="B893" t="s">
        <v>2118</v>
      </c>
      <c r="C893">
        <v>15</v>
      </c>
      <c r="D893" s="260">
        <v>46140</v>
      </c>
      <c r="E893" s="260">
        <v>46161</v>
      </c>
      <c r="F893">
        <v>127</v>
      </c>
      <c r="G893" t="s">
        <v>350</v>
      </c>
    </row>
    <row r="894" spans="1:7">
      <c r="A894" t="s">
        <v>2119</v>
      </c>
      <c r="B894" t="s">
        <v>2120</v>
      </c>
      <c r="C894">
        <v>15</v>
      </c>
      <c r="D894" s="260">
        <v>46178</v>
      </c>
      <c r="E894" s="260">
        <v>46198</v>
      </c>
      <c r="F894">
        <v>127</v>
      </c>
      <c r="G894" t="s">
        <v>350</v>
      </c>
    </row>
    <row r="895" spans="1:7">
      <c r="A895" t="s">
        <v>2121</v>
      </c>
      <c r="C895">
        <v>177</v>
      </c>
      <c r="D895" s="260">
        <v>46113</v>
      </c>
      <c r="E895" s="260">
        <v>46380</v>
      </c>
      <c r="F895">
        <v>14</v>
      </c>
      <c r="G895" t="s">
        <v>350</v>
      </c>
    </row>
    <row r="896" spans="1:7">
      <c r="A896" t="s">
        <v>2122</v>
      </c>
      <c r="B896" t="s">
        <v>2123</v>
      </c>
      <c r="C896">
        <v>11</v>
      </c>
      <c r="D896" s="260">
        <v>46219</v>
      </c>
      <c r="E896" s="260">
        <v>46238</v>
      </c>
      <c r="F896">
        <v>60</v>
      </c>
      <c r="G896" t="s">
        <v>350</v>
      </c>
    </row>
    <row r="897" spans="1:7">
      <c r="A897" t="s">
        <v>2124</v>
      </c>
      <c r="B897" t="s">
        <v>2125</v>
      </c>
      <c r="C897">
        <v>10</v>
      </c>
      <c r="D897" s="260">
        <v>46254</v>
      </c>
      <c r="E897" s="260">
        <v>46267</v>
      </c>
      <c r="F897">
        <v>71</v>
      </c>
      <c r="G897" t="s">
        <v>350</v>
      </c>
    </row>
    <row r="898" spans="1:7">
      <c r="A898" t="s">
        <v>2126</v>
      </c>
      <c r="B898" t="s">
        <v>2127</v>
      </c>
      <c r="C898">
        <v>10</v>
      </c>
      <c r="D898" s="260">
        <v>46282</v>
      </c>
      <c r="E898" s="260">
        <v>46295</v>
      </c>
      <c r="F898">
        <v>71</v>
      </c>
      <c r="G898" t="s">
        <v>350</v>
      </c>
    </row>
    <row r="899" spans="1:7">
      <c r="A899" t="s">
        <v>2128</v>
      </c>
      <c r="B899" t="s">
        <v>2129</v>
      </c>
      <c r="C899">
        <v>15</v>
      </c>
      <c r="D899" s="260">
        <v>46219</v>
      </c>
      <c r="E899" s="260">
        <v>46244</v>
      </c>
      <c r="F899">
        <v>67</v>
      </c>
      <c r="G899" t="s">
        <v>350</v>
      </c>
    </row>
    <row r="900" spans="1:7">
      <c r="A900" t="s">
        <v>2130</v>
      </c>
      <c r="B900" t="s">
        <v>2131</v>
      </c>
      <c r="C900">
        <v>10</v>
      </c>
      <c r="D900" s="260">
        <v>46260</v>
      </c>
      <c r="E900" s="260">
        <v>46273</v>
      </c>
      <c r="F900">
        <v>67</v>
      </c>
      <c r="G900" t="s">
        <v>350</v>
      </c>
    </row>
    <row r="901" spans="1:7">
      <c r="A901" t="s">
        <v>2132</v>
      </c>
      <c r="B901" t="s">
        <v>2133</v>
      </c>
      <c r="C901">
        <v>10</v>
      </c>
      <c r="D901" s="260">
        <v>46288</v>
      </c>
      <c r="E901" s="260">
        <v>46301</v>
      </c>
      <c r="F901">
        <v>67</v>
      </c>
      <c r="G901" t="s">
        <v>350</v>
      </c>
    </row>
    <row r="902" spans="1:7">
      <c r="A902" t="s">
        <v>2134</v>
      </c>
      <c r="B902" t="s">
        <v>2135</v>
      </c>
      <c r="C902">
        <v>17</v>
      </c>
      <c r="D902" s="260">
        <v>46226</v>
      </c>
      <c r="E902" s="260">
        <v>46254</v>
      </c>
      <c r="F902">
        <v>60</v>
      </c>
      <c r="G902" t="s">
        <v>350</v>
      </c>
    </row>
    <row r="903" spans="1:7">
      <c r="A903" t="s">
        <v>2136</v>
      </c>
      <c r="B903" t="s">
        <v>2137</v>
      </c>
      <c r="C903">
        <v>10</v>
      </c>
      <c r="D903" s="260">
        <v>46269</v>
      </c>
      <c r="E903" s="260">
        <v>46282</v>
      </c>
      <c r="F903">
        <v>60</v>
      </c>
      <c r="G903" t="s">
        <v>350</v>
      </c>
    </row>
    <row r="904" spans="1:7">
      <c r="A904" t="s">
        <v>2138</v>
      </c>
      <c r="B904" t="s">
        <v>2139</v>
      </c>
      <c r="C904">
        <v>10</v>
      </c>
      <c r="D904" s="260">
        <v>46297</v>
      </c>
      <c r="E904" s="260">
        <v>46311</v>
      </c>
      <c r="F904">
        <v>60</v>
      </c>
      <c r="G904" t="s">
        <v>350</v>
      </c>
    </row>
    <row r="905" spans="1:7">
      <c r="A905" t="s">
        <v>2140</v>
      </c>
      <c r="B905" t="s">
        <v>2141</v>
      </c>
      <c r="C905">
        <v>17</v>
      </c>
      <c r="D905" s="260">
        <v>46226</v>
      </c>
      <c r="E905" s="260">
        <v>46254</v>
      </c>
      <c r="F905">
        <v>60</v>
      </c>
      <c r="G905" t="s">
        <v>350</v>
      </c>
    </row>
    <row r="906" spans="1:7">
      <c r="A906" t="s">
        <v>2142</v>
      </c>
      <c r="B906" t="s">
        <v>2143</v>
      </c>
      <c r="C906">
        <v>10</v>
      </c>
      <c r="D906" s="260">
        <v>46269</v>
      </c>
      <c r="E906" s="260">
        <v>46282</v>
      </c>
      <c r="F906">
        <v>60</v>
      </c>
      <c r="G906" t="s">
        <v>350</v>
      </c>
    </row>
    <row r="907" spans="1:7">
      <c r="A907" t="s">
        <v>2144</v>
      </c>
      <c r="B907" t="s">
        <v>2145</v>
      </c>
      <c r="C907">
        <v>10</v>
      </c>
      <c r="D907" s="260">
        <v>46297</v>
      </c>
      <c r="E907" s="260">
        <v>46311</v>
      </c>
      <c r="F907">
        <v>60</v>
      </c>
      <c r="G907" t="s">
        <v>350</v>
      </c>
    </row>
    <row r="908" spans="1:7">
      <c r="A908" t="s">
        <v>2146</v>
      </c>
      <c r="B908" t="s">
        <v>2147</v>
      </c>
      <c r="C908">
        <v>19</v>
      </c>
      <c r="D908" s="260">
        <v>46147</v>
      </c>
      <c r="E908" s="260">
        <v>46171</v>
      </c>
      <c r="F908">
        <v>91</v>
      </c>
      <c r="G908" t="s">
        <v>350</v>
      </c>
    </row>
    <row r="909" spans="1:7">
      <c r="A909" t="s">
        <v>2148</v>
      </c>
      <c r="B909" t="s">
        <v>2149</v>
      </c>
      <c r="C909">
        <v>10</v>
      </c>
      <c r="D909" s="260">
        <v>46190</v>
      </c>
      <c r="E909" s="260">
        <v>46203</v>
      </c>
      <c r="F909">
        <v>113</v>
      </c>
      <c r="G909" t="s">
        <v>350</v>
      </c>
    </row>
    <row r="910" spans="1:7">
      <c r="A910" t="s">
        <v>2150</v>
      </c>
      <c r="B910" t="s">
        <v>2151</v>
      </c>
      <c r="C910">
        <v>10</v>
      </c>
      <c r="D910" s="260">
        <v>46218</v>
      </c>
      <c r="E910" s="260">
        <v>46234</v>
      </c>
      <c r="F910">
        <v>113</v>
      </c>
      <c r="G910" t="s">
        <v>350</v>
      </c>
    </row>
    <row r="911" spans="1:7">
      <c r="A911" t="s">
        <v>2152</v>
      </c>
      <c r="B911" t="s">
        <v>2153</v>
      </c>
      <c r="C911">
        <v>19</v>
      </c>
      <c r="D911" s="260">
        <v>46147</v>
      </c>
      <c r="E911" s="260">
        <v>46171</v>
      </c>
      <c r="F911">
        <v>113</v>
      </c>
      <c r="G911" t="s">
        <v>350</v>
      </c>
    </row>
    <row r="912" spans="1:7">
      <c r="A912" t="s">
        <v>2154</v>
      </c>
      <c r="B912" t="s">
        <v>2155</v>
      </c>
      <c r="C912">
        <v>10</v>
      </c>
      <c r="D912" s="260">
        <v>46190</v>
      </c>
      <c r="E912" s="260">
        <v>46203</v>
      </c>
      <c r="F912">
        <v>113</v>
      </c>
      <c r="G912" t="s">
        <v>350</v>
      </c>
    </row>
    <row r="913" spans="1:7">
      <c r="A913" t="s">
        <v>2156</v>
      </c>
      <c r="B913" t="s">
        <v>2157</v>
      </c>
      <c r="C913">
        <v>10</v>
      </c>
      <c r="D913" s="260">
        <v>46218</v>
      </c>
      <c r="E913" s="260">
        <v>46234</v>
      </c>
      <c r="F913">
        <v>113</v>
      </c>
      <c r="G913" t="s">
        <v>350</v>
      </c>
    </row>
    <row r="914" spans="1:7">
      <c r="A914" t="s">
        <v>2158</v>
      </c>
      <c r="B914" t="s">
        <v>2159</v>
      </c>
      <c r="C914">
        <v>22</v>
      </c>
      <c r="D914" s="260">
        <v>46154</v>
      </c>
      <c r="E914" s="260">
        <v>46185</v>
      </c>
      <c r="F914">
        <v>91</v>
      </c>
      <c r="G914" t="s">
        <v>350</v>
      </c>
    </row>
    <row r="915" spans="1:7">
      <c r="A915" t="s">
        <v>2160</v>
      </c>
      <c r="B915" t="s">
        <v>2161</v>
      </c>
      <c r="C915">
        <v>10</v>
      </c>
      <c r="D915" s="260">
        <v>46202</v>
      </c>
      <c r="E915" s="260">
        <v>46213</v>
      </c>
      <c r="F915">
        <v>91</v>
      </c>
      <c r="G915" t="s">
        <v>350</v>
      </c>
    </row>
    <row r="916" spans="1:7">
      <c r="A916" t="s">
        <v>2162</v>
      </c>
      <c r="B916" t="s">
        <v>2163</v>
      </c>
      <c r="C916">
        <v>10</v>
      </c>
      <c r="D916" s="260">
        <v>46230</v>
      </c>
      <c r="E916" s="260">
        <v>46247</v>
      </c>
      <c r="F916">
        <v>91</v>
      </c>
      <c r="G916" t="s">
        <v>350</v>
      </c>
    </row>
    <row r="917" spans="1:7">
      <c r="A917" t="s">
        <v>2164</v>
      </c>
      <c r="B917" t="s">
        <v>2165</v>
      </c>
      <c r="C917">
        <v>22</v>
      </c>
      <c r="D917" s="260">
        <v>46154</v>
      </c>
      <c r="E917" s="260">
        <v>46185</v>
      </c>
      <c r="F917">
        <v>105</v>
      </c>
      <c r="G917" t="s">
        <v>350</v>
      </c>
    </row>
    <row r="918" spans="1:7">
      <c r="A918" t="s">
        <v>2166</v>
      </c>
      <c r="B918" t="s">
        <v>2167</v>
      </c>
      <c r="C918">
        <v>10</v>
      </c>
      <c r="D918" s="260">
        <v>46202</v>
      </c>
      <c r="E918" s="260">
        <v>46213</v>
      </c>
      <c r="F918">
        <v>105</v>
      </c>
      <c r="G918" t="s">
        <v>350</v>
      </c>
    </row>
    <row r="919" spans="1:7">
      <c r="A919" t="s">
        <v>2168</v>
      </c>
      <c r="B919" t="s">
        <v>2169</v>
      </c>
      <c r="C919">
        <v>10</v>
      </c>
      <c r="D919" s="260">
        <v>46230</v>
      </c>
      <c r="E919" s="260">
        <v>46247</v>
      </c>
      <c r="F919">
        <v>105</v>
      </c>
      <c r="G919" t="s">
        <v>350</v>
      </c>
    </row>
    <row r="920" spans="1:7">
      <c r="A920" t="s">
        <v>2170</v>
      </c>
      <c r="B920" t="s">
        <v>2171</v>
      </c>
      <c r="C920">
        <v>11</v>
      </c>
      <c r="D920" s="260">
        <v>46168</v>
      </c>
      <c r="E920" s="260">
        <v>46184</v>
      </c>
      <c r="F920">
        <v>5</v>
      </c>
      <c r="G920" t="s">
        <v>350</v>
      </c>
    </row>
    <row r="921" spans="1:7">
      <c r="A921" t="s">
        <v>2172</v>
      </c>
      <c r="B921" t="s">
        <v>2173</v>
      </c>
      <c r="C921">
        <v>5</v>
      </c>
      <c r="D921" s="260">
        <v>46199</v>
      </c>
      <c r="E921" s="260">
        <v>46205</v>
      </c>
      <c r="F921">
        <v>107</v>
      </c>
      <c r="G921" t="s">
        <v>350</v>
      </c>
    </row>
    <row r="922" spans="1:7">
      <c r="A922" t="s">
        <v>2174</v>
      </c>
      <c r="B922" t="s">
        <v>2175</v>
      </c>
      <c r="C922">
        <v>5</v>
      </c>
      <c r="D922" s="260">
        <v>46220</v>
      </c>
      <c r="E922" s="260">
        <v>46226</v>
      </c>
      <c r="F922">
        <v>107</v>
      </c>
      <c r="G922" t="s">
        <v>350</v>
      </c>
    </row>
    <row r="923" spans="1:7">
      <c r="A923" t="s">
        <v>2176</v>
      </c>
      <c r="B923" t="s">
        <v>2177</v>
      </c>
      <c r="C923">
        <v>11</v>
      </c>
      <c r="D923" s="260">
        <v>46169</v>
      </c>
      <c r="E923" s="260">
        <v>46185</v>
      </c>
      <c r="F923">
        <v>5</v>
      </c>
      <c r="G923" t="s">
        <v>350</v>
      </c>
    </row>
    <row r="924" spans="1:7">
      <c r="A924" t="s">
        <v>2178</v>
      </c>
      <c r="B924" t="s">
        <v>2179</v>
      </c>
      <c r="C924">
        <v>5</v>
      </c>
      <c r="D924" s="260">
        <v>46202</v>
      </c>
      <c r="E924" s="260">
        <v>46206</v>
      </c>
      <c r="F924">
        <v>106</v>
      </c>
      <c r="G924" t="s">
        <v>350</v>
      </c>
    </row>
    <row r="925" spans="1:7">
      <c r="A925" t="s">
        <v>2180</v>
      </c>
      <c r="B925" t="s">
        <v>2181</v>
      </c>
      <c r="C925">
        <v>5</v>
      </c>
      <c r="D925" s="260">
        <v>46223</v>
      </c>
      <c r="E925" s="260">
        <v>46227</v>
      </c>
      <c r="F925">
        <v>106</v>
      </c>
      <c r="G925" t="s">
        <v>350</v>
      </c>
    </row>
    <row r="926" spans="1:7">
      <c r="A926" t="s">
        <v>2182</v>
      </c>
      <c r="B926" t="s">
        <v>2183</v>
      </c>
      <c r="C926">
        <v>11</v>
      </c>
      <c r="D926" s="260">
        <v>46169</v>
      </c>
      <c r="E926" s="260">
        <v>46185</v>
      </c>
      <c r="F926">
        <v>106</v>
      </c>
      <c r="G926" t="s">
        <v>350</v>
      </c>
    </row>
    <row r="927" spans="1:7">
      <c r="A927" t="s">
        <v>2184</v>
      </c>
      <c r="B927" t="s">
        <v>2185</v>
      </c>
      <c r="C927">
        <v>5</v>
      </c>
      <c r="D927" s="260">
        <v>46202</v>
      </c>
      <c r="E927" s="260">
        <v>46206</v>
      </c>
      <c r="F927">
        <v>106</v>
      </c>
      <c r="G927" t="s">
        <v>350</v>
      </c>
    </row>
    <row r="928" spans="1:7">
      <c r="A928" t="s">
        <v>2186</v>
      </c>
      <c r="B928" t="s">
        <v>2187</v>
      </c>
      <c r="C928">
        <v>5</v>
      </c>
      <c r="D928" s="260">
        <v>46223</v>
      </c>
      <c r="E928" s="260">
        <v>46227</v>
      </c>
      <c r="F928">
        <v>106</v>
      </c>
      <c r="G928" t="s">
        <v>350</v>
      </c>
    </row>
    <row r="929" spans="1:7">
      <c r="A929" t="s">
        <v>2188</v>
      </c>
      <c r="B929" t="s">
        <v>2189</v>
      </c>
      <c r="C929">
        <v>10</v>
      </c>
      <c r="D929" s="260">
        <v>46178</v>
      </c>
      <c r="E929" s="260">
        <v>46191</v>
      </c>
      <c r="F929">
        <v>5</v>
      </c>
      <c r="G929" t="s">
        <v>350</v>
      </c>
    </row>
    <row r="930" spans="1:7">
      <c r="A930" t="s">
        <v>2190</v>
      </c>
      <c r="B930" t="s">
        <v>2191</v>
      </c>
      <c r="C930">
        <v>5</v>
      </c>
      <c r="D930" s="260">
        <v>46206</v>
      </c>
      <c r="E930" s="260">
        <v>46212</v>
      </c>
      <c r="F930">
        <v>102</v>
      </c>
      <c r="G930" t="s">
        <v>350</v>
      </c>
    </row>
    <row r="931" spans="1:7">
      <c r="A931" t="s">
        <v>2192</v>
      </c>
      <c r="B931" t="s">
        <v>2193</v>
      </c>
      <c r="C931">
        <v>5</v>
      </c>
      <c r="D931" s="260">
        <v>46227</v>
      </c>
      <c r="E931" s="260">
        <v>46238</v>
      </c>
      <c r="F931">
        <v>102</v>
      </c>
      <c r="G931" t="s">
        <v>350</v>
      </c>
    </row>
    <row r="932" spans="1:7">
      <c r="A932" t="s">
        <v>2194</v>
      </c>
      <c r="B932" t="s">
        <v>2195</v>
      </c>
      <c r="C932">
        <v>10</v>
      </c>
      <c r="D932" s="260">
        <v>46183</v>
      </c>
      <c r="E932" s="260">
        <v>46196</v>
      </c>
      <c r="F932">
        <v>5</v>
      </c>
      <c r="G932" t="s">
        <v>350</v>
      </c>
    </row>
    <row r="933" spans="1:7">
      <c r="A933" t="s">
        <v>2196</v>
      </c>
      <c r="B933" t="s">
        <v>2197</v>
      </c>
      <c r="C933">
        <v>5</v>
      </c>
      <c r="D933" s="260">
        <v>46216</v>
      </c>
      <c r="E933" s="260">
        <v>46220</v>
      </c>
      <c r="F933">
        <v>96</v>
      </c>
      <c r="G933" t="s">
        <v>350</v>
      </c>
    </row>
    <row r="934" spans="1:7">
      <c r="A934" t="s">
        <v>2198</v>
      </c>
      <c r="B934" t="s">
        <v>2199</v>
      </c>
      <c r="C934">
        <v>5</v>
      </c>
      <c r="D934" s="260">
        <v>46248</v>
      </c>
      <c r="E934" s="260">
        <v>46254</v>
      </c>
      <c r="F934">
        <v>91</v>
      </c>
      <c r="G934" t="s">
        <v>350</v>
      </c>
    </row>
    <row r="935" spans="1:7">
      <c r="A935" t="s">
        <v>2200</v>
      </c>
      <c r="B935" t="s">
        <v>2201</v>
      </c>
      <c r="C935">
        <v>10</v>
      </c>
      <c r="D935" s="260">
        <v>46183</v>
      </c>
      <c r="E935" s="260">
        <v>46196</v>
      </c>
      <c r="F935">
        <v>5</v>
      </c>
      <c r="G935" t="s">
        <v>350</v>
      </c>
    </row>
    <row r="936" spans="1:7">
      <c r="A936" t="s">
        <v>2202</v>
      </c>
      <c r="B936" t="s">
        <v>2203</v>
      </c>
      <c r="C936">
        <v>5</v>
      </c>
      <c r="D936" s="260">
        <v>46216</v>
      </c>
      <c r="E936" s="260">
        <v>46220</v>
      </c>
      <c r="F936">
        <v>96</v>
      </c>
      <c r="G936" t="s">
        <v>350</v>
      </c>
    </row>
    <row r="937" spans="1:7">
      <c r="A937" t="s">
        <v>2204</v>
      </c>
      <c r="B937" t="s">
        <v>2205</v>
      </c>
      <c r="C937">
        <v>5</v>
      </c>
      <c r="D937" s="260">
        <v>46248</v>
      </c>
      <c r="E937" s="260">
        <v>46254</v>
      </c>
      <c r="F937">
        <v>91</v>
      </c>
      <c r="G937" t="s">
        <v>350</v>
      </c>
    </row>
    <row r="938" spans="1:7">
      <c r="A938" t="s">
        <v>2206</v>
      </c>
      <c r="B938" t="s">
        <v>2207</v>
      </c>
      <c r="C938">
        <v>12</v>
      </c>
      <c r="D938" s="260">
        <v>46195</v>
      </c>
      <c r="E938" s="260">
        <v>46210</v>
      </c>
      <c r="F938">
        <v>5</v>
      </c>
      <c r="G938" t="s">
        <v>350</v>
      </c>
    </row>
    <row r="939" spans="1:7">
      <c r="A939" t="s">
        <v>2208</v>
      </c>
      <c r="B939" t="s">
        <v>2209</v>
      </c>
      <c r="C939">
        <v>5</v>
      </c>
      <c r="D939" s="260">
        <v>46225</v>
      </c>
      <c r="E939" s="260">
        <v>46234</v>
      </c>
      <c r="F939">
        <v>89</v>
      </c>
      <c r="G939" t="s">
        <v>350</v>
      </c>
    </row>
    <row r="940" spans="1:7">
      <c r="A940" t="s">
        <v>2210</v>
      </c>
      <c r="B940" t="s">
        <v>2211</v>
      </c>
      <c r="C940">
        <v>5</v>
      </c>
      <c r="D940" s="260">
        <v>46252</v>
      </c>
      <c r="E940" s="260">
        <v>46258</v>
      </c>
      <c r="F940">
        <v>89</v>
      </c>
      <c r="G940" t="s">
        <v>350</v>
      </c>
    </row>
    <row r="941" spans="1:7">
      <c r="A941" t="s">
        <v>2212</v>
      </c>
      <c r="B941" t="s">
        <v>2213</v>
      </c>
      <c r="C941">
        <v>12</v>
      </c>
      <c r="D941" s="260">
        <v>46196</v>
      </c>
      <c r="E941" s="260">
        <v>46211</v>
      </c>
      <c r="F941">
        <v>5</v>
      </c>
      <c r="G941" t="s">
        <v>350</v>
      </c>
    </row>
    <row r="942" spans="1:7">
      <c r="A942" t="s">
        <v>2214</v>
      </c>
      <c r="B942" t="s">
        <v>2215</v>
      </c>
      <c r="C942">
        <v>5</v>
      </c>
      <c r="D942" s="260">
        <v>46226</v>
      </c>
      <c r="E942" s="260">
        <v>46237</v>
      </c>
      <c r="F942">
        <v>88</v>
      </c>
      <c r="G942" t="s">
        <v>350</v>
      </c>
    </row>
    <row r="943" spans="1:7">
      <c r="A943" t="s">
        <v>2216</v>
      </c>
      <c r="B943" t="s">
        <v>2217</v>
      </c>
      <c r="C943">
        <v>5</v>
      </c>
      <c r="D943" s="260">
        <v>46253</v>
      </c>
      <c r="E943" s="260">
        <v>46259</v>
      </c>
      <c r="F943">
        <v>88</v>
      </c>
      <c r="G943" t="s">
        <v>350</v>
      </c>
    </row>
    <row r="944" spans="1:7">
      <c r="A944" t="s">
        <v>2218</v>
      </c>
      <c r="B944" t="s">
        <v>2219</v>
      </c>
      <c r="C944">
        <v>10</v>
      </c>
      <c r="D944" s="260">
        <v>46113</v>
      </c>
      <c r="E944" s="260">
        <v>46132</v>
      </c>
      <c r="F944">
        <v>43</v>
      </c>
      <c r="G944" t="s">
        <v>350</v>
      </c>
    </row>
    <row r="945" spans="1:7">
      <c r="A945" t="s">
        <v>2220</v>
      </c>
      <c r="B945" t="s">
        <v>2221</v>
      </c>
      <c r="C945">
        <v>5</v>
      </c>
      <c r="D945" s="260">
        <v>46148</v>
      </c>
      <c r="E945" s="260">
        <v>46154</v>
      </c>
      <c r="F945">
        <v>87</v>
      </c>
      <c r="G945" t="s">
        <v>350</v>
      </c>
    </row>
    <row r="946" spans="1:7">
      <c r="A946" t="s">
        <v>2222</v>
      </c>
      <c r="B946" t="s">
        <v>2223</v>
      </c>
      <c r="C946">
        <v>5</v>
      </c>
      <c r="D946" s="260">
        <v>46169</v>
      </c>
      <c r="E946" s="260">
        <v>46177</v>
      </c>
      <c r="F946">
        <v>97</v>
      </c>
      <c r="G946" t="s">
        <v>350</v>
      </c>
    </row>
    <row r="947" spans="1:7">
      <c r="A947" t="s">
        <v>2224</v>
      </c>
      <c r="B947" t="s">
        <v>2225</v>
      </c>
      <c r="C947">
        <v>12</v>
      </c>
      <c r="D947" s="260">
        <v>46128</v>
      </c>
      <c r="E947" s="260">
        <v>46146</v>
      </c>
      <c r="F947">
        <v>43</v>
      </c>
      <c r="G947" t="s">
        <v>350</v>
      </c>
    </row>
    <row r="948" spans="1:7">
      <c r="A948" t="s">
        <v>2226</v>
      </c>
      <c r="B948" t="s">
        <v>2227</v>
      </c>
      <c r="C948">
        <v>5</v>
      </c>
      <c r="D948" s="260">
        <v>46161</v>
      </c>
      <c r="E948" s="260">
        <v>46167</v>
      </c>
      <c r="F948">
        <v>83</v>
      </c>
      <c r="G948" t="s">
        <v>350</v>
      </c>
    </row>
    <row r="949" spans="1:7">
      <c r="A949" t="s">
        <v>2228</v>
      </c>
      <c r="B949" t="s">
        <v>2229</v>
      </c>
      <c r="C949">
        <v>5</v>
      </c>
      <c r="D949" s="260">
        <v>46184</v>
      </c>
      <c r="E949" s="260">
        <v>46190</v>
      </c>
      <c r="F949">
        <v>93</v>
      </c>
      <c r="G949" t="s">
        <v>350</v>
      </c>
    </row>
    <row r="950" spans="1:7">
      <c r="A950" t="s">
        <v>2230</v>
      </c>
      <c r="B950" t="s">
        <v>2231</v>
      </c>
      <c r="C950">
        <v>15</v>
      </c>
      <c r="D950" s="260">
        <v>46132</v>
      </c>
      <c r="E950" s="260">
        <v>46153</v>
      </c>
      <c r="F950">
        <v>95</v>
      </c>
      <c r="G950" t="s">
        <v>350</v>
      </c>
    </row>
    <row r="951" spans="1:7">
      <c r="A951" t="s">
        <v>2232</v>
      </c>
      <c r="B951" t="s">
        <v>2233</v>
      </c>
      <c r="C951">
        <v>5</v>
      </c>
      <c r="D951" s="260">
        <v>46168</v>
      </c>
      <c r="E951" s="260">
        <v>46175</v>
      </c>
      <c r="F951">
        <v>113</v>
      </c>
      <c r="G951" t="s">
        <v>350</v>
      </c>
    </row>
    <row r="952" spans="1:7">
      <c r="A952" t="s">
        <v>2234</v>
      </c>
      <c r="B952" t="s">
        <v>2235</v>
      </c>
      <c r="C952">
        <v>5</v>
      </c>
      <c r="D952" s="260">
        <v>46191</v>
      </c>
      <c r="E952" s="260">
        <v>46197</v>
      </c>
      <c r="F952">
        <v>118</v>
      </c>
      <c r="G952" t="s">
        <v>350</v>
      </c>
    </row>
    <row r="953" spans="1:7">
      <c r="A953" t="s">
        <v>2236</v>
      </c>
      <c r="B953" t="s">
        <v>2237</v>
      </c>
      <c r="C953">
        <v>19</v>
      </c>
      <c r="D953" s="260">
        <v>46160</v>
      </c>
      <c r="E953" s="260">
        <v>46188</v>
      </c>
      <c r="F953">
        <v>95</v>
      </c>
      <c r="G953" t="s">
        <v>350</v>
      </c>
    </row>
    <row r="954" spans="1:7">
      <c r="A954" t="s">
        <v>2238</v>
      </c>
      <c r="B954" t="s">
        <v>2239</v>
      </c>
      <c r="C954">
        <v>10</v>
      </c>
      <c r="D954" s="260">
        <v>46203</v>
      </c>
      <c r="E954" s="260">
        <v>46216</v>
      </c>
      <c r="F954">
        <v>95</v>
      </c>
      <c r="G954" t="s">
        <v>350</v>
      </c>
    </row>
    <row r="955" spans="1:7">
      <c r="A955" t="s">
        <v>2240</v>
      </c>
      <c r="B955" t="s">
        <v>2241</v>
      </c>
      <c r="C955">
        <v>10</v>
      </c>
      <c r="D955" s="260">
        <v>46234</v>
      </c>
      <c r="E955" s="260">
        <v>46248</v>
      </c>
      <c r="F955">
        <v>95</v>
      </c>
      <c r="G955" t="s">
        <v>350</v>
      </c>
    </row>
    <row r="956" spans="1:7">
      <c r="A956" t="s">
        <v>2242</v>
      </c>
      <c r="B956" t="s">
        <v>2243</v>
      </c>
      <c r="C956">
        <v>20</v>
      </c>
      <c r="D956" s="260">
        <v>46147</v>
      </c>
      <c r="E956" s="260">
        <v>46175</v>
      </c>
      <c r="F956">
        <v>43</v>
      </c>
      <c r="G956" t="s">
        <v>350</v>
      </c>
    </row>
    <row r="957" spans="1:7">
      <c r="A957" t="s">
        <v>2244</v>
      </c>
      <c r="B957" t="s">
        <v>2245</v>
      </c>
      <c r="C957">
        <v>10</v>
      </c>
      <c r="D957" s="260">
        <v>46191</v>
      </c>
      <c r="E957" s="260">
        <v>46204</v>
      </c>
      <c r="F957">
        <v>73</v>
      </c>
      <c r="G957" t="s">
        <v>350</v>
      </c>
    </row>
    <row r="958" spans="1:7">
      <c r="A958" t="s">
        <v>2246</v>
      </c>
      <c r="B958" t="s">
        <v>2247</v>
      </c>
      <c r="C958">
        <v>10</v>
      </c>
      <c r="D958" s="260">
        <v>46219</v>
      </c>
      <c r="E958" s="260">
        <v>46237</v>
      </c>
      <c r="F958">
        <v>73</v>
      </c>
      <c r="G958" t="s">
        <v>350</v>
      </c>
    </row>
    <row r="959" spans="1:7">
      <c r="A959" t="s">
        <v>2248</v>
      </c>
      <c r="B959" t="s">
        <v>2249</v>
      </c>
      <c r="C959">
        <v>16</v>
      </c>
      <c r="D959" s="260">
        <v>46245</v>
      </c>
      <c r="E959" s="260">
        <v>46267</v>
      </c>
      <c r="F959">
        <v>42</v>
      </c>
      <c r="G959" t="s">
        <v>350</v>
      </c>
    </row>
    <row r="960" spans="1:7">
      <c r="A960" t="s">
        <v>2250</v>
      </c>
      <c r="B960" t="s">
        <v>2251</v>
      </c>
      <c r="C960">
        <v>10</v>
      </c>
      <c r="D960" s="260">
        <v>46282</v>
      </c>
      <c r="E960" s="260">
        <v>46295</v>
      </c>
      <c r="F960">
        <v>42</v>
      </c>
      <c r="G960" t="s">
        <v>350</v>
      </c>
    </row>
    <row r="961" spans="1:7">
      <c r="A961" t="s">
        <v>2252</v>
      </c>
      <c r="B961" t="s">
        <v>2253</v>
      </c>
      <c r="C961">
        <v>10</v>
      </c>
      <c r="D961" s="260">
        <v>46311</v>
      </c>
      <c r="E961" s="260">
        <v>46325</v>
      </c>
      <c r="F961">
        <v>42</v>
      </c>
      <c r="G961" t="s">
        <v>350</v>
      </c>
    </row>
    <row r="962" spans="1:7">
      <c r="A962" t="s">
        <v>2254</v>
      </c>
      <c r="B962" t="s">
        <v>2255</v>
      </c>
      <c r="C962">
        <v>19</v>
      </c>
      <c r="D962" s="260">
        <v>46167</v>
      </c>
      <c r="E962" s="260">
        <v>46195</v>
      </c>
      <c r="F962">
        <v>49</v>
      </c>
      <c r="G962" t="s">
        <v>350</v>
      </c>
    </row>
    <row r="963" spans="1:7">
      <c r="A963" t="s">
        <v>2256</v>
      </c>
      <c r="B963" t="s">
        <v>2257</v>
      </c>
      <c r="C963">
        <v>10</v>
      </c>
      <c r="D963" s="260">
        <v>46210</v>
      </c>
      <c r="E963" s="260">
        <v>46223</v>
      </c>
      <c r="F963">
        <v>90</v>
      </c>
      <c r="G963" t="s">
        <v>350</v>
      </c>
    </row>
    <row r="964" spans="1:7">
      <c r="A964" t="s">
        <v>2258</v>
      </c>
      <c r="B964" t="s">
        <v>2259</v>
      </c>
      <c r="C964">
        <v>10</v>
      </c>
      <c r="D964" s="260">
        <v>46241</v>
      </c>
      <c r="E964" s="260">
        <v>46255</v>
      </c>
      <c r="F964">
        <v>90</v>
      </c>
      <c r="G964" t="s">
        <v>350</v>
      </c>
    </row>
    <row r="965" spans="1:7">
      <c r="A965" t="s">
        <v>2260</v>
      </c>
      <c r="B965" t="s">
        <v>2261</v>
      </c>
      <c r="C965">
        <v>19</v>
      </c>
      <c r="D965" s="260">
        <v>46175</v>
      </c>
      <c r="E965" s="260">
        <v>46202</v>
      </c>
      <c r="F965">
        <v>85</v>
      </c>
      <c r="G965" t="s">
        <v>350</v>
      </c>
    </row>
    <row r="966" spans="1:7">
      <c r="A966" t="s">
        <v>2262</v>
      </c>
      <c r="B966" t="s">
        <v>2263</v>
      </c>
      <c r="C966">
        <v>10</v>
      </c>
      <c r="D966" s="260">
        <v>46217</v>
      </c>
      <c r="E966" s="260">
        <v>46230</v>
      </c>
      <c r="F966">
        <v>85</v>
      </c>
      <c r="G966" t="s">
        <v>350</v>
      </c>
    </row>
    <row r="967" spans="1:7">
      <c r="A967" t="s">
        <v>2264</v>
      </c>
      <c r="B967" t="s">
        <v>2265</v>
      </c>
      <c r="C967">
        <v>10</v>
      </c>
      <c r="D967" s="260">
        <v>46251</v>
      </c>
      <c r="E967" s="260">
        <v>46262</v>
      </c>
      <c r="F967">
        <v>85</v>
      </c>
      <c r="G967" t="s">
        <v>350</v>
      </c>
    </row>
    <row r="968" spans="1:7">
      <c r="A968" t="s">
        <v>2266</v>
      </c>
      <c r="B968" t="s">
        <v>2267</v>
      </c>
      <c r="C968">
        <v>21</v>
      </c>
      <c r="D968" s="260">
        <v>46188</v>
      </c>
      <c r="E968" s="260">
        <v>46216</v>
      </c>
      <c r="F968">
        <v>49</v>
      </c>
      <c r="G968" t="s">
        <v>350</v>
      </c>
    </row>
    <row r="969" spans="1:7">
      <c r="A969" t="s">
        <v>2268</v>
      </c>
      <c r="B969" t="s">
        <v>2269</v>
      </c>
      <c r="C969">
        <v>10</v>
      </c>
      <c r="D969" s="260">
        <v>46234</v>
      </c>
      <c r="E969" s="260">
        <v>46248</v>
      </c>
      <c r="F969">
        <v>75</v>
      </c>
      <c r="G969" t="s">
        <v>350</v>
      </c>
    </row>
    <row r="970" spans="1:7">
      <c r="A970" t="s">
        <v>2270</v>
      </c>
      <c r="B970" t="s">
        <v>2271</v>
      </c>
      <c r="C970">
        <v>10</v>
      </c>
      <c r="D970" s="260">
        <v>46265</v>
      </c>
      <c r="E970" s="260">
        <v>46276</v>
      </c>
      <c r="F970">
        <v>75</v>
      </c>
      <c r="G970" t="s">
        <v>350</v>
      </c>
    </row>
    <row r="971" spans="1:7">
      <c r="A971" t="s">
        <v>2272</v>
      </c>
      <c r="B971" t="s">
        <v>2273</v>
      </c>
      <c r="C971">
        <v>21</v>
      </c>
      <c r="D971" s="260">
        <v>46195</v>
      </c>
      <c r="E971" s="260">
        <v>46223</v>
      </c>
      <c r="F971">
        <v>54</v>
      </c>
      <c r="G971" t="s">
        <v>350</v>
      </c>
    </row>
    <row r="972" spans="1:7">
      <c r="A972" t="s">
        <v>2274</v>
      </c>
      <c r="B972" t="s">
        <v>2275</v>
      </c>
      <c r="C972">
        <v>10</v>
      </c>
      <c r="D972" s="260">
        <v>46241</v>
      </c>
      <c r="E972" s="260">
        <v>46255</v>
      </c>
      <c r="F972">
        <v>70</v>
      </c>
      <c r="G972" t="s">
        <v>350</v>
      </c>
    </row>
    <row r="973" spans="1:7">
      <c r="A973" t="s">
        <v>2276</v>
      </c>
      <c r="B973" t="s">
        <v>2277</v>
      </c>
      <c r="C973">
        <v>10</v>
      </c>
      <c r="D973" s="260">
        <v>46272</v>
      </c>
      <c r="E973" s="260">
        <v>46283</v>
      </c>
      <c r="F973">
        <v>70</v>
      </c>
      <c r="G973" t="s">
        <v>350</v>
      </c>
    </row>
    <row r="974" spans="1:7">
      <c r="A974" t="s">
        <v>2278</v>
      </c>
      <c r="B974" t="s">
        <v>2279</v>
      </c>
      <c r="C974">
        <v>17</v>
      </c>
      <c r="D974" s="260">
        <v>46223</v>
      </c>
      <c r="E974" s="260">
        <v>46251</v>
      </c>
      <c r="F974">
        <v>54</v>
      </c>
      <c r="G974" t="s">
        <v>350</v>
      </c>
    </row>
    <row r="975" spans="1:7">
      <c r="A975" t="s">
        <v>2280</v>
      </c>
      <c r="B975" t="s">
        <v>2281</v>
      </c>
      <c r="C975">
        <v>10</v>
      </c>
      <c r="D975" s="260">
        <v>46266</v>
      </c>
      <c r="E975" s="260">
        <v>46279</v>
      </c>
      <c r="F975">
        <v>54</v>
      </c>
      <c r="G975" t="s">
        <v>350</v>
      </c>
    </row>
    <row r="976" spans="1:7">
      <c r="A976" t="s">
        <v>2282</v>
      </c>
      <c r="B976" t="s">
        <v>2283</v>
      </c>
      <c r="C976">
        <v>10</v>
      </c>
      <c r="D976" s="260">
        <v>46294</v>
      </c>
      <c r="E976" s="260">
        <v>46307</v>
      </c>
      <c r="F976">
        <v>54</v>
      </c>
      <c r="G976" t="s">
        <v>350</v>
      </c>
    </row>
    <row r="977" spans="1:7">
      <c r="A977" t="s">
        <v>2284</v>
      </c>
      <c r="B977" t="s">
        <v>2285</v>
      </c>
      <c r="C977">
        <v>12</v>
      </c>
      <c r="D977" s="260">
        <v>46230</v>
      </c>
      <c r="E977" s="260">
        <v>46251</v>
      </c>
      <c r="F977">
        <v>54</v>
      </c>
      <c r="G977" t="s">
        <v>350</v>
      </c>
    </row>
    <row r="978" spans="1:7">
      <c r="A978" t="s">
        <v>2286</v>
      </c>
      <c r="B978" t="s">
        <v>2287</v>
      </c>
      <c r="C978">
        <v>10</v>
      </c>
      <c r="D978" s="260">
        <v>46266</v>
      </c>
      <c r="E978" s="260">
        <v>46279</v>
      </c>
      <c r="F978">
        <v>54</v>
      </c>
      <c r="G978" t="s">
        <v>350</v>
      </c>
    </row>
    <row r="979" spans="1:7">
      <c r="A979" t="s">
        <v>2288</v>
      </c>
      <c r="B979" t="s">
        <v>2289</v>
      </c>
      <c r="C979">
        <v>10</v>
      </c>
      <c r="D979" s="260">
        <v>46294</v>
      </c>
      <c r="E979" s="260">
        <v>46307</v>
      </c>
      <c r="F979">
        <v>54</v>
      </c>
      <c r="G979" t="s">
        <v>350</v>
      </c>
    </row>
    <row r="980" spans="1:7">
      <c r="A980" t="s">
        <v>2290</v>
      </c>
      <c r="B980" t="s">
        <v>2291</v>
      </c>
      <c r="C980">
        <v>17</v>
      </c>
      <c r="D980" s="260">
        <v>46128</v>
      </c>
      <c r="E980" s="260">
        <v>46153</v>
      </c>
      <c r="F980">
        <v>118</v>
      </c>
      <c r="G980" t="s">
        <v>350</v>
      </c>
    </row>
    <row r="981" spans="1:7">
      <c r="A981" t="s">
        <v>2292</v>
      </c>
      <c r="B981" t="s">
        <v>2293</v>
      </c>
      <c r="C981">
        <v>10</v>
      </c>
      <c r="D981" s="260">
        <v>46168</v>
      </c>
      <c r="E981" s="260">
        <v>46183</v>
      </c>
      <c r="F981">
        <v>118</v>
      </c>
      <c r="G981" t="s">
        <v>350</v>
      </c>
    </row>
    <row r="982" spans="1:7">
      <c r="A982" t="s">
        <v>2294</v>
      </c>
      <c r="B982" t="s">
        <v>2295</v>
      </c>
      <c r="C982">
        <v>10</v>
      </c>
      <c r="D982" s="260">
        <v>46198</v>
      </c>
      <c r="E982" s="260">
        <v>46211</v>
      </c>
      <c r="F982">
        <v>118</v>
      </c>
      <c r="G982" t="s">
        <v>350</v>
      </c>
    </row>
    <row r="983" spans="1:7">
      <c r="A983" t="s">
        <v>2296</v>
      </c>
      <c r="B983" t="s">
        <v>2297</v>
      </c>
      <c r="C983">
        <v>17</v>
      </c>
      <c r="D983" s="260">
        <v>46199</v>
      </c>
      <c r="E983" s="260">
        <v>46223</v>
      </c>
      <c r="F983">
        <v>5</v>
      </c>
      <c r="G983" t="s">
        <v>350</v>
      </c>
    </row>
    <row r="984" spans="1:7">
      <c r="A984" t="s">
        <v>2298</v>
      </c>
      <c r="B984" t="s">
        <v>2299</v>
      </c>
      <c r="C984">
        <v>10</v>
      </c>
      <c r="D984" s="260">
        <v>46241</v>
      </c>
      <c r="E984" s="260">
        <v>46255</v>
      </c>
      <c r="F984">
        <v>35</v>
      </c>
      <c r="G984" t="s">
        <v>350</v>
      </c>
    </row>
    <row r="985" spans="1:7">
      <c r="A985" t="s">
        <v>2300</v>
      </c>
      <c r="B985" t="s">
        <v>2301</v>
      </c>
      <c r="C985">
        <v>10</v>
      </c>
      <c r="D985" s="260">
        <v>46272</v>
      </c>
      <c r="E985" s="260">
        <v>46283</v>
      </c>
      <c r="F985">
        <v>40</v>
      </c>
      <c r="G985" t="s">
        <v>350</v>
      </c>
    </row>
    <row r="986" spans="1:7">
      <c r="A986" t="s">
        <v>2302</v>
      </c>
      <c r="B986" t="s">
        <v>2303</v>
      </c>
      <c r="C986">
        <v>17</v>
      </c>
      <c r="D986" s="260">
        <v>46199</v>
      </c>
      <c r="E986" s="260">
        <v>46223</v>
      </c>
      <c r="F986">
        <v>39</v>
      </c>
      <c r="G986" t="s">
        <v>350</v>
      </c>
    </row>
    <row r="987" spans="1:7">
      <c r="A987" t="s">
        <v>2304</v>
      </c>
      <c r="B987" t="s">
        <v>2305</v>
      </c>
      <c r="C987">
        <v>10</v>
      </c>
      <c r="D987" s="260">
        <v>46241</v>
      </c>
      <c r="E987" s="260">
        <v>46255</v>
      </c>
      <c r="F987">
        <v>50</v>
      </c>
      <c r="G987" t="s">
        <v>350</v>
      </c>
    </row>
    <row r="988" spans="1:7">
      <c r="A988" t="s">
        <v>2306</v>
      </c>
      <c r="B988" t="s">
        <v>2307</v>
      </c>
      <c r="C988">
        <v>10</v>
      </c>
      <c r="D988" s="260">
        <v>46272</v>
      </c>
      <c r="E988" s="260">
        <v>46283</v>
      </c>
      <c r="F988">
        <v>50</v>
      </c>
      <c r="G988" t="s">
        <v>350</v>
      </c>
    </row>
    <row r="989" spans="1:7">
      <c r="A989" t="s">
        <v>2308</v>
      </c>
      <c r="B989" t="s">
        <v>2309</v>
      </c>
      <c r="C989">
        <v>16</v>
      </c>
      <c r="D989" s="260">
        <v>46209</v>
      </c>
      <c r="E989" s="260">
        <v>46230</v>
      </c>
      <c r="F989">
        <v>39</v>
      </c>
      <c r="G989" t="s">
        <v>350</v>
      </c>
    </row>
    <row r="990" spans="1:7">
      <c r="A990" t="s">
        <v>2310</v>
      </c>
      <c r="B990" t="s">
        <v>2311</v>
      </c>
      <c r="C990">
        <v>10</v>
      </c>
      <c r="D990" s="260">
        <v>46251</v>
      </c>
      <c r="E990" s="260">
        <v>46262</v>
      </c>
      <c r="F990">
        <v>45</v>
      </c>
      <c r="G990" t="s">
        <v>350</v>
      </c>
    </row>
    <row r="991" spans="1:7">
      <c r="A991" t="s">
        <v>2312</v>
      </c>
      <c r="B991" t="s">
        <v>2313</v>
      </c>
      <c r="C991">
        <v>10</v>
      </c>
      <c r="D991" s="260">
        <v>46279</v>
      </c>
      <c r="E991" s="260">
        <v>46290</v>
      </c>
      <c r="F991">
        <v>45</v>
      </c>
      <c r="G991" t="s">
        <v>350</v>
      </c>
    </row>
    <row r="992" spans="1:7">
      <c r="A992" t="s">
        <v>2314</v>
      </c>
      <c r="B992" t="s">
        <v>2315</v>
      </c>
      <c r="C992">
        <v>15</v>
      </c>
      <c r="D992" s="260">
        <v>46218</v>
      </c>
      <c r="E992" s="260">
        <v>46241</v>
      </c>
      <c r="F992">
        <v>39</v>
      </c>
      <c r="G992" t="s">
        <v>350</v>
      </c>
    </row>
    <row r="993" spans="1:7">
      <c r="A993" t="s">
        <v>2316</v>
      </c>
      <c r="B993" t="s">
        <v>2317</v>
      </c>
      <c r="C993">
        <v>10</v>
      </c>
      <c r="D993" s="260">
        <v>46259</v>
      </c>
      <c r="E993" s="260">
        <v>46272</v>
      </c>
      <c r="F993">
        <v>39</v>
      </c>
      <c r="G993" t="s">
        <v>350</v>
      </c>
    </row>
    <row r="994" spans="1:7">
      <c r="A994" t="s">
        <v>2318</v>
      </c>
      <c r="B994" t="s">
        <v>2319</v>
      </c>
      <c r="C994">
        <v>10</v>
      </c>
      <c r="D994" s="260">
        <v>46287</v>
      </c>
      <c r="E994" s="260">
        <v>46300</v>
      </c>
      <c r="F994">
        <v>39</v>
      </c>
      <c r="G994" t="s">
        <v>350</v>
      </c>
    </row>
    <row r="995" spans="1:7">
      <c r="A995" t="s">
        <v>2320</v>
      </c>
      <c r="B995" t="s">
        <v>2321</v>
      </c>
      <c r="C995">
        <v>15</v>
      </c>
      <c r="D995" s="260">
        <v>46218</v>
      </c>
      <c r="E995" s="260">
        <v>46241</v>
      </c>
      <c r="F995">
        <v>39</v>
      </c>
      <c r="G995" t="s">
        <v>350</v>
      </c>
    </row>
    <row r="996" spans="1:7">
      <c r="A996" t="s">
        <v>2322</v>
      </c>
      <c r="B996" t="s">
        <v>2323</v>
      </c>
      <c r="C996">
        <v>10</v>
      </c>
      <c r="D996" s="260">
        <v>46259</v>
      </c>
      <c r="E996" s="260">
        <v>46272</v>
      </c>
      <c r="F996">
        <v>39</v>
      </c>
      <c r="G996" t="s">
        <v>350</v>
      </c>
    </row>
    <row r="997" spans="1:7">
      <c r="A997" t="s">
        <v>2324</v>
      </c>
      <c r="B997" t="s">
        <v>2325</v>
      </c>
      <c r="C997">
        <v>10</v>
      </c>
      <c r="D997" s="260">
        <v>46287</v>
      </c>
      <c r="E997" s="260">
        <v>46300</v>
      </c>
      <c r="F997">
        <v>39</v>
      </c>
      <c r="G997" t="s">
        <v>350</v>
      </c>
    </row>
    <row r="998" spans="1:7">
      <c r="A998" t="s">
        <v>2326</v>
      </c>
      <c r="B998" t="s">
        <v>2327</v>
      </c>
      <c r="C998">
        <v>15</v>
      </c>
      <c r="D998" s="260">
        <v>46218</v>
      </c>
      <c r="E998" s="260">
        <v>46241</v>
      </c>
      <c r="F998">
        <v>39</v>
      </c>
      <c r="G998" t="s">
        <v>350</v>
      </c>
    </row>
    <row r="999" spans="1:7">
      <c r="A999" t="s">
        <v>2328</v>
      </c>
      <c r="B999" t="s">
        <v>2329</v>
      </c>
      <c r="C999">
        <v>10</v>
      </c>
      <c r="D999" s="260">
        <v>46259</v>
      </c>
      <c r="E999" s="260">
        <v>46272</v>
      </c>
      <c r="F999">
        <v>39</v>
      </c>
      <c r="G999" t="s">
        <v>350</v>
      </c>
    </row>
    <row r="1000" spans="1:7">
      <c r="A1000" t="s">
        <v>2330</v>
      </c>
      <c r="B1000" t="s">
        <v>2331</v>
      </c>
      <c r="C1000">
        <v>10</v>
      </c>
      <c r="D1000" s="260">
        <v>46287</v>
      </c>
      <c r="E1000" s="260">
        <v>46300</v>
      </c>
      <c r="F1000">
        <v>39</v>
      </c>
      <c r="G1000" t="s">
        <v>350</v>
      </c>
    </row>
    <row r="1001" spans="1:7">
      <c r="A1001" t="s">
        <v>2332</v>
      </c>
      <c r="B1001" t="s">
        <v>2333</v>
      </c>
      <c r="C1001">
        <v>12</v>
      </c>
      <c r="D1001" s="260">
        <v>46225</v>
      </c>
      <c r="E1001" s="260">
        <v>46245</v>
      </c>
      <c r="F1001">
        <v>33</v>
      </c>
      <c r="G1001" t="s">
        <v>350</v>
      </c>
    </row>
    <row r="1002" spans="1:7">
      <c r="A1002" t="s">
        <v>2334</v>
      </c>
      <c r="B1002" t="s">
        <v>2335</v>
      </c>
      <c r="C1002">
        <v>10</v>
      </c>
      <c r="D1002" s="260">
        <v>46261</v>
      </c>
      <c r="E1002" s="260">
        <v>46274</v>
      </c>
      <c r="F1002">
        <v>37</v>
      </c>
      <c r="G1002" t="s">
        <v>350</v>
      </c>
    </row>
    <row r="1003" spans="1:7">
      <c r="A1003" t="s">
        <v>2336</v>
      </c>
      <c r="B1003" t="s">
        <v>2337</v>
      </c>
      <c r="C1003">
        <v>10</v>
      </c>
      <c r="D1003" s="260">
        <v>46289</v>
      </c>
      <c r="E1003" s="260">
        <v>46302</v>
      </c>
      <c r="F1003">
        <v>37</v>
      </c>
      <c r="G1003" t="s">
        <v>350</v>
      </c>
    </row>
    <row r="1004" spans="1:7">
      <c r="A1004" t="s">
        <v>2338</v>
      </c>
      <c r="B1004" t="s">
        <v>2339</v>
      </c>
      <c r="C1004">
        <v>12</v>
      </c>
      <c r="D1004" s="260">
        <v>46234</v>
      </c>
      <c r="E1004" s="260">
        <v>46252</v>
      </c>
      <c r="F1004">
        <v>33</v>
      </c>
      <c r="G1004" t="s">
        <v>350</v>
      </c>
    </row>
    <row r="1005" spans="1:7">
      <c r="A1005" t="s">
        <v>2340</v>
      </c>
      <c r="B1005" t="s">
        <v>2341</v>
      </c>
      <c r="C1005">
        <v>10</v>
      </c>
      <c r="D1005" s="260">
        <v>46267</v>
      </c>
      <c r="E1005" s="260">
        <v>46280</v>
      </c>
      <c r="F1005">
        <v>33</v>
      </c>
      <c r="G1005" t="s">
        <v>350</v>
      </c>
    </row>
    <row r="1006" spans="1:7">
      <c r="A1006" t="s">
        <v>2342</v>
      </c>
      <c r="B1006" t="s">
        <v>2343</v>
      </c>
      <c r="C1006">
        <v>10</v>
      </c>
      <c r="D1006" s="260">
        <v>46295</v>
      </c>
      <c r="E1006" s="260">
        <v>46309</v>
      </c>
      <c r="F1006">
        <v>33</v>
      </c>
      <c r="G1006" t="s">
        <v>350</v>
      </c>
    </row>
    <row r="1007" spans="1:7">
      <c r="A1007" t="s">
        <v>2344</v>
      </c>
      <c r="B1007" t="s">
        <v>2345</v>
      </c>
      <c r="C1007">
        <v>12</v>
      </c>
      <c r="D1007" s="260">
        <v>46234</v>
      </c>
      <c r="E1007" s="260">
        <v>46252</v>
      </c>
      <c r="F1007">
        <v>5</v>
      </c>
      <c r="G1007" t="s">
        <v>350</v>
      </c>
    </row>
    <row r="1008" spans="1:7">
      <c r="A1008" t="s">
        <v>2346</v>
      </c>
      <c r="B1008" t="s">
        <v>2347</v>
      </c>
      <c r="C1008">
        <v>10</v>
      </c>
      <c r="D1008" s="260">
        <v>46267</v>
      </c>
      <c r="E1008" s="260">
        <v>46280</v>
      </c>
      <c r="F1008">
        <v>33</v>
      </c>
      <c r="G1008" t="s">
        <v>350</v>
      </c>
    </row>
    <row r="1009" spans="1:7">
      <c r="A1009" t="s">
        <v>2348</v>
      </c>
      <c r="B1009" t="s">
        <v>2349</v>
      </c>
      <c r="C1009">
        <v>10</v>
      </c>
      <c r="D1009" s="260">
        <v>46295</v>
      </c>
      <c r="E1009" s="260">
        <v>46309</v>
      </c>
      <c r="F1009">
        <v>33</v>
      </c>
      <c r="G1009" t="s">
        <v>350</v>
      </c>
    </row>
    <row r="1010" spans="1:7">
      <c r="A1010" t="s">
        <v>2350</v>
      </c>
      <c r="B1010" t="s">
        <v>2351</v>
      </c>
      <c r="C1010">
        <v>12</v>
      </c>
      <c r="D1010" s="260">
        <v>46238</v>
      </c>
      <c r="E1010" s="260">
        <v>46254</v>
      </c>
      <c r="F1010">
        <v>5</v>
      </c>
      <c r="G1010" t="s">
        <v>350</v>
      </c>
    </row>
    <row r="1011" spans="1:7">
      <c r="A1011" t="s">
        <v>2352</v>
      </c>
      <c r="B1011" t="s">
        <v>2353</v>
      </c>
      <c r="C1011">
        <v>10</v>
      </c>
      <c r="D1011" s="260">
        <v>46269</v>
      </c>
      <c r="E1011" s="260">
        <v>46282</v>
      </c>
      <c r="F1011">
        <v>31</v>
      </c>
      <c r="G1011" t="s">
        <v>350</v>
      </c>
    </row>
    <row r="1012" spans="1:7">
      <c r="A1012" t="s">
        <v>2354</v>
      </c>
      <c r="B1012" t="s">
        <v>2355</v>
      </c>
      <c r="C1012">
        <v>10</v>
      </c>
      <c r="D1012" s="260">
        <v>46297</v>
      </c>
      <c r="E1012" s="260">
        <v>46311</v>
      </c>
      <c r="F1012">
        <v>31</v>
      </c>
      <c r="G1012" t="s">
        <v>350</v>
      </c>
    </row>
    <row r="1013" spans="1:7">
      <c r="A1013" t="s">
        <v>2356</v>
      </c>
      <c r="B1013" t="s">
        <v>2357</v>
      </c>
      <c r="C1013">
        <v>12</v>
      </c>
      <c r="D1013" s="260">
        <v>46238</v>
      </c>
      <c r="E1013" s="260">
        <v>46254</v>
      </c>
      <c r="F1013">
        <v>9</v>
      </c>
      <c r="G1013" t="s">
        <v>350</v>
      </c>
    </row>
    <row r="1014" spans="1:7">
      <c r="A1014" t="s">
        <v>2358</v>
      </c>
      <c r="B1014" t="s">
        <v>2359</v>
      </c>
      <c r="C1014">
        <v>10</v>
      </c>
      <c r="D1014" s="260">
        <v>46269</v>
      </c>
      <c r="E1014" s="260">
        <v>46282</v>
      </c>
      <c r="F1014">
        <v>31</v>
      </c>
      <c r="G1014" t="s">
        <v>350</v>
      </c>
    </row>
    <row r="1015" spans="1:7">
      <c r="A1015" t="s">
        <v>2360</v>
      </c>
      <c r="B1015" t="s">
        <v>2361</v>
      </c>
      <c r="C1015">
        <v>10</v>
      </c>
      <c r="D1015" s="260">
        <v>46297</v>
      </c>
      <c r="E1015" s="260">
        <v>46311</v>
      </c>
      <c r="F1015">
        <v>31</v>
      </c>
      <c r="G1015" t="s">
        <v>350</v>
      </c>
    </row>
    <row r="1016" spans="1:7">
      <c r="A1016" t="s">
        <v>2362</v>
      </c>
      <c r="B1016" t="s">
        <v>2363</v>
      </c>
      <c r="C1016">
        <v>12</v>
      </c>
      <c r="D1016" s="260">
        <v>46238</v>
      </c>
      <c r="E1016" s="260">
        <v>46254</v>
      </c>
      <c r="F1016">
        <v>9</v>
      </c>
      <c r="G1016" t="s">
        <v>350</v>
      </c>
    </row>
    <row r="1017" spans="1:7">
      <c r="A1017" t="s">
        <v>2364</v>
      </c>
      <c r="B1017" t="s">
        <v>2365</v>
      </c>
      <c r="C1017">
        <v>10</v>
      </c>
      <c r="D1017" s="260">
        <v>46269</v>
      </c>
      <c r="E1017" s="260">
        <v>46282</v>
      </c>
      <c r="F1017">
        <v>31</v>
      </c>
      <c r="G1017" t="s">
        <v>350</v>
      </c>
    </row>
    <row r="1018" spans="1:7">
      <c r="A1018" t="s">
        <v>2366</v>
      </c>
      <c r="B1018" t="s">
        <v>2367</v>
      </c>
      <c r="C1018">
        <v>10</v>
      </c>
      <c r="D1018" s="260">
        <v>46297</v>
      </c>
      <c r="E1018" s="260">
        <v>46311</v>
      </c>
      <c r="F1018">
        <v>31</v>
      </c>
      <c r="G1018" t="s">
        <v>350</v>
      </c>
    </row>
    <row r="1019" spans="1:7">
      <c r="A1019" t="s">
        <v>2368</v>
      </c>
      <c r="B1019" t="s">
        <v>2369</v>
      </c>
      <c r="C1019">
        <v>9</v>
      </c>
      <c r="D1019" s="260">
        <v>46244</v>
      </c>
      <c r="E1019" s="260">
        <v>46255</v>
      </c>
      <c r="F1019">
        <v>6</v>
      </c>
      <c r="G1019" t="s">
        <v>350</v>
      </c>
    </row>
    <row r="1020" spans="1:7">
      <c r="A1020" t="s">
        <v>2370</v>
      </c>
      <c r="B1020" t="s">
        <v>2371</v>
      </c>
      <c r="C1020">
        <v>5</v>
      </c>
      <c r="D1020" s="260">
        <v>46272</v>
      </c>
      <c r="E1020" s="260">
        <v>46276</v>
      </c>
      <c r="F1020">
        <v>35</v>
      </c>
      <c r="G1020" t="s">
        <v>350</v>
      </c>
    </row>
    <row r="1021" spans="1:7">
      <c r="A1021" t="s">
        <v>2372</v>
      </c>
      <c r="B1021" t="s">
        <v>2373</v>
      </c>
      <c r="C1021">
        <v>5</v>
      </c>
      <c r="D1021" s="260">
        <v>46293</v>
      </c>
      <c r="E1021" s="260">
        <v>46297</v>
      </c>
      <c r="F1021">
        <v>40</v>
      </c>
      <c r="G1021" t="s">
        <v>350</v>
      </c>
    </row>
    <row r="1022" spans="1:7">
      <c r="A1022" t="s">
        <v>2374</v>
      </c>
      <c r="B1022" t="s">
        <v>2375</v>
      </c>
      <c r="C1022">
        <v>10</v>
      </c>
      <c r="D1022" s="260">
        <v>46113</v>
      </c>
      <c r="E1022" s="260">
        <v>46132</v>
      </c>
      <c r="F1022">
        <v>142</v>
      </c>
      <c r="G1022" t="s">
        <v>350</v>
      </c>
    </row>
    <row r="1023" spans="1:7">
      <c r="A1023" t="s">
        <v>2376</v>
      </c>
      <c r="B1023" t="s">
        <v>2377</v>
      </c>
      <c r="C1023">
        <v>5</v>
      </c>
      <c r="D1023" s="260">
        <v>46148</v>
      </c>
      <c r="E1023" s="260">
        <v>46154</v>
      </c>
      <c r="F1023">
        <v>142</v>
      </c>
      <c r="G1023" t="s">
        <v>350</v>
      </c>
    </row>
    <row r="1024" spans="1:7">
      <c r="A1024" t="s">
        <v>2378</v>
      </c>
      <c r="B1024" t="s">
        <v>2379</v>
      </c>
      <c r="C1024">
        <v>5</v>
      </c>
      <c r="D1024" s="260">
        <v>46169</v>
      </c>
      <c r="E1024" s="260">
        <v>46177</v>
      </c>
      <c r="F1024">
        <v>142</v>
      </c>
      <c r="G1024" t="s">
        <v>350</v>
      </c>
    </row>
    <row r="1025" spans="1:7">
      <c r="A1025" t="s">
        <v>2380</v>
      </c>
      <c r="B1025" t="s">
        <v>2381</v>
      </c>
      <c r="C1025">
        <v>12</v>
      </c>
      <c r="D1025" s="260">
        <v>46128</v>
      </c>
      <c r="E1025" s="260">
        <v>46146</v>
      </c>
      <c r="F1025">
        <v>70</v>
      </c>
      <c r="G1025" t="s">
        <v>350</v>
      </c>
    </row>
    <row r="1026" spans="1:7">
      <c r="A1026" t="s">
        <v>2382</v>
      </c>
      <c r="B1026" t="s">
        <v>2383</v>
      </c>
      <c r="C1026">
        <v>5</v>
      </c>
      <c r="D1026" s="260">
        <v>46161</v>
      </c>
      <c r="E1026" s="260">
        <v>46167</v>
      </c>
      <c r="F1026">
        <v>103</v>
      </c>
      <c r="G1026" t="s">
        <v>350</v>
      </c>
    </row>
    <row r="1027" spans="1:7">
      <c r="A1027" t="s">
        <v>2384</v>
      </c>
      <c r="B1027" t="s">
        <v>2385</v>
      </c>
      <c r="C1027">
        <v>5</v>
      </c>
      <c r="D1027" s="260">
        <v>46184</v>
      </c>
      <c r="E1027" s="260">
        <v>46190</v>
      </c>
      <c r="F1027">
        <v>108</v>
      </c>
      <c r="G1027" t="s">
        <v>350</v>
      </c>
    </row>
    <row r="1028" spans="1:7">
      <c r="A1028" t="s">
        <v>2386</v>
      </c>
      <c r="B1028" t="s">
        <v>2387</v>
      </c>
      <c r="C1028">
        <v>15</v>
      </c>
      <c r="D1028" s="260">
        <v>46132</v>
      </c>
      <c r="E1028" s="260">
        <v>46153</v>
      </c>
      <c r="F1028">
        <v>128</v>
      </c>
      <c r="G1028" t="s">
        <v>350</v>
      </c>
    </row>
    <row r="1029" spans="1:7">
      <c r="A1029" t="s">
        <v>2388</v>
      </c>
      <c r="B1029" t="s">
        <v>2389</v>
      </c>
      <c r="C1029">
        <v>5</v>
      </c>
      <c r="D1029" s="260">
        <v>46168</v>
      </c>
      <c r="E1029" s="260">
        <v>46175</v>
      </c>
      <c r="F1029">
        <v>128</v>
      </c>
      <c r="G1029" t="s">
        <v>350</v>
      </c>
    </row>
    <row r="1030" spans="1:7">
      <c r="A1030" t="s">
        <v>2390</v>
      </c>
      <c r="B1030" t="s">
        <v>2391</v>
      </c>
      <c r="C1030">
        <v>5</v>
      </c>
      <c r="D1030" s="260">
        <v>46191</v>
      </c>
      <c r="E1030" s="260">
        <v>46197</v>
      </c>
      <c r="F1030">
        <v>128</v>
      </c>
      <c r="G1030" t="s">
        <v>350</v>
      </c>
    </row>
    <row r="1031" spans="1:7">
      <c r="A1031" t="s">
        <v>2392</v>
      </c>
      <c r="B1031" t="s">
        <v>2393</v>
      </c>
      <c r="C1031">
        <v>19</v>
      </c>
      <c r="D1031" s="260">
        <v>46160</v>
      </c>
      <c r="E1031" s="260">
        <v>46188</v>
      </c>
      <c r="F1031">
        <v>95</v>
      </c>
      <c r="G1031" t="s">
        <v>350</v>
      </c>
    </row>
    <row r="1032" spans="1:7">
      <c r="A1032" t="s">
        <v>2394</v>
      </c>
      <c r="B1032" t="s">
        <v>2395</v>
      </c>
      <c r="C1032">
        <v>10</v>
      </c>
      <c r="D1032" s="260">
        <v>46203</v>
      </c>
      <c r="E1032" s="260">
        <v>46216</v>
      </c>
      <c r="F1032">
        <v>95</v>
      </c>
      <c r="G1032" t="s">
        <v>350</v>
      </c>
    </row>
    <row r="1033" spans="1:7">
      <c r="A1033" t="s">
        <v>2396</v>
      </c>
      <c r="B1033" t="s">
        <v>2397</v>
      </c>
      <c r="C1033">
        <v>10</v>
      </c>
      <c r="D1033" s="260">
        <v>46234</v>
      </c>
      <c r="E1033" s="260">
        <v>46248</v>
      </c>
      <c r="F1033">
        <v>95</v>
      </c>
      <c r="G1033" t="s">
        <v>350</v>
      </c>
    </row>
    <row r="1034" spans="1:7">
      <c r="A1034" t="s">
        <v>2398</v>
      </c>
      <c r="B1034" t="s">
        <v>2399</v>
      </c>
      <c r="C1034">
        <v>20</v>
      </c>
      <c r="D1034" s="260">
        <v>46147</v>
      </c>
      <c r="E1034" s="260">
        <v>46175</v>
      </c>
      <c r="F1034">
        <v>103</v>
      </c>
      <c r="G1034" t="s">
        <v>350</v>
      </c>
    </row>
    <row r="1035" spans="1:7">
      <c r="A1035" t="s">
        <v>2400</v>
      </c>
      <c r="B1035" t="s">
        <v>2401</v>
      </c>
      <c r="C1035">
        <v>10</v>
      </c>
      <c r="D1035" s="260">
        <v>46191</v>
      </c>
      <c r="E1035" s="260">
        <v>46204</v>
      </c>
      <c r="F1035">
        <v>103</v>
      </c>
      <c r="G1035" t="s">
        <v>350</v>
      </c>
    </row>
    <row r="1036" spans="1:7">
      <c r="A1036" t="s">
        <v>2402</v>
      </c>
      <c r="B1036" t="s">
        <v>2403</v>
      </c>
      <c r="C1036">
        <v>10</v>
      </c>
      <c r="D1036" s="260">
        <v>46219</v>
      </c>
      <c r="E1036" s="260">
        <v>46237</v>
      </c>
      <c r="F1036">
        <v>103</v>
      </c>
      <c r="G1036" t="s">
        <v>350</v>
      </c>
    </row>
    <row r="1037" spans="1:7">
      <c r="A1037" t="s">
        <v>2404</v>
      </c>
      <c r="B1037" t="s">
        <v>2405</v>
      </c>
      <c r="C1037">
        <v>19</v>
      </c>
      <c r="D1037" s="260">
        <v>46167</v>
      </c>
      <c r="E1037" s="260">
        <v>46195</v>
      </c>
      <c r="F1037">
        <v>90</v>
      </c>
      <c r="G1037" t="s">
        <v>350</v>
      </c>
    </row>
    <row r="1038" spans="1:7">
      <c r="A1038" t="s">
        <v>2406</v>
      </c>
      <c r="B1038" t="s">
        <v>2407</v>
      </c>
      <c r="C1038">
        <v>10</v>
      </c>
      <c r="D1038" s="260">
        <v>46210</v>
      </c>
      <c r="E1038" s="260">
        <v>46223</v>
      </c>
      <c r="F1038">
        <v>90</v>
      </c>
      <c r="G1038" t="s">
        <v>350</v>
      </c>
    </row>
    <row r="1039" spans="1:7">
      <c r="A1039" t="s">
        <v>2408</v>
      </c>
      <c r="B1039" t="s">
        <v>2409</v>
      </c>
      <c r="C1039">
        <v>10</v>
      </c>
      <c r="D1039" s="260">
        <v>46241</v>
      </c>
      <c r="E1039" s="260">
        <v>46255</v>
      </c>
      <c r="F1039">
        <v>90</v>
      </c>
      <c r="G1039" t="s">
        <v>350</v>
      </c>
    </row>
    <row r="1040" spans="1:7">
      <c r="A1040" t="s">
        <v>2410</v>
      </c>
      <c r="B1040" t="s">
        <v>2411</v>
      </c>
      <c r="C1040">
        <v>19</v>
      </c>
      <c r="D1040" s="260">
        <v>46175</v>
      </c>
      <c r="E1040" s="260">
        <v>46202</v>
      </c>
      <c r="F1040">
        <v>85</v>
      </c>
      <c r="G1040" t="s">
        <v>350</v>
      </c>
    </row>
    <row r="1041" spans="1:7">
      <c r="A1041" t="s">
        <v>2412</v>
      </c>
      <c r="B1041" t="s">
        <v>2413</v>
      </c>
      <c r="C1041">
        <v>10</v>
      </c>
      <c r="D1041" s="260">
        <v>46217</v>
      </c>
      <c r="E1041" s="260">
        <v>46230</v>
      </c>
      <c r="F1041">
        <v>85</v>
      </c>
      <c r="G1041" t="s">
        <v>350</v>
      </c>
    </row>
    <row r="1042" spans="1:7">
      <c r="A1042" t="s">
        <v>2414</v>
      </c>
      <c r="B1042" t="s">
        <v>2415</v>
      </c>
      <c r="C1042">
        <v>10</v>
      </c>
      <c r="D1042" s="260">
        <v>46251</v>
      </c>
      <c r="E1042" s="260">
        <v>46262</v>
      </c>
      <c r="F1042">
        <v>85</v>
      </c>
      <c r="G1042" t="s">
        <v>350</v>
      </c>
    </row>
    <row r="1043" spans="1:7">
      <c r="A1043" t="s">
        <v>2416</v>
      </c>
      <c r="B1043" t="s">
        <v>2417</v>
      </c>
      <c r="C1043">
        <v>21</v>
      </c>
      <c r="D1043" s="260">
        <v>46188</v>
      </c>
      <c r="E1043" s="260">
        <v>46216</v>
      </c>
      <c r="F1043">
        <v>49</v>
      </c>
      <c r="G1043" t="s">
        <v>350</v>
      </c>
    </row>
    <row r="1044" spans="1:7">
      <c r="A1044" t="s">
        <v>2418</v>
      </c>
      <c r="B1044" t="s">
        <v>2419</v>
      </c>
      <c r="C1044">
        <v>10</v>
      </c>
      <c r="D1044" s="260">
        <v>46234</v>
      </c>
      <c r="E1044" s="260">
        <v>46248</v>
      </c>
      <c r="F1044">
        <v>75</v>
      </c>
      <c r="G1044" t="s">
        <v>350</v>
      </c>
    </row>
    <row r="1045" spans="1:7">
      <c r="A1045" t="s">
        <v>2420</v>
      </c>
      <c r="B1045" t="s">
        <v>2421</v>
      </c>
      <c r="C1045">
        <v>10</v>
      </c>
      <c r="D1045" s="260">
        <v>46265</v>
      </c>
      <c r="E1045" s="260">
        <v>46276</v>
      </c>
      <c r="F1045">
        <v>75</v>
      </c>
      <c r="G1045" t="s">
        <v>350</v>
      </c>
    </row>
    <row r="1046" spans="1:7">
      <c r="A1046" t="s">
        <v>2422</v>
      </c>
      <c r="B1046" t="s">
        <v>2423</v>
      </c>
      <c r="C1046">
        <v>21</v>
      </c>
      <c r="D1046" s="260">
        <v>46195</v>
      </c>
      <c r="E1046" s="260">
        <v>46223</v>
      </c>
      <c r="F1046">
        <v>49</v>
      </c>
      <c r="G1046" t="s">
        <v>350</v>
      </c>
    </row>
    <row r="1047" spans="1:7">
      <c r="A1047" t="s">
        <v>2424</v>
      </c>
      <c r="B1047" t="s">
        <v>2425</v>
      </c>
      <c r="C1047">
        <v>10</v>
      </c>
      <c r="D1047" s="260">
        <v>46241</v>
      </c>
      <c r="E1047" s="260">
        <v>46255</v>
      </c>
      <c r="F1047">
        <v>70</v>
      </c>
      <c r="G1047" t="s">
        <v>350</v>
      </c>
    </row>
    <row r="1048" spans="1:7">
      <c r="A1048" t="s">
        <v>2426</v>
      </c>
      <c r="B1048" t="s">
        <v>2427</v>
      </c>
      <c r="C1048">
        <v>10</v>
      </c>
      <c r="D1048" s="260">
        <v>46272</v>
      </c>
      <c r="E1048" s="260">
        <v>46283</v>
      </c>
      <c r="F1048">
        <v>70</v>
      </c>
      <c r="G1048" t="s">
        <v>350</v>
      </c>
    </row>
    <row r="1049" spans="1:7">
      <c r="A1049" t="s">
        <v>2428</v>
      </c>
      <c r="B1049" t="s">
        <v>2429</v>
      </c>
      <c r="C1049">
        <v>13</v>
      </c>
      <c r="D1049" s="260">
        <v>46223</v>
      </c>
      <c r="E1049" s="260">
        <v>46244</v>
      </c>
      <c r="F1049">
        <v>49</v>
      </c>
      <c r="G1049" t="s">
        <v>350</v>
      </c>
    </row>
    <row r="1050" spans="1:7">
      <c r="A1050" t="s">
        <v>2430</v>
      </c>
      <c r="B1050" t="s">
        <v>2431</v>
      </c>
      <c r="C1050">
        <v>10</v>
      </c>
      <c r="D1050" s="260">
        <v>46260</v>
      </c>
      <c r="E1050" s="260">
        <v>46273</v>
      </c>
      <c r="F1050">
        <v>58</v>
      </c>
      <c r="G1050" t="s">
        <v>350</v>
      </c>
    </row>
    <row r="1051" spans="1:7">
      <c r="A1051" t="s">
        <v>2432</v>
      </c>
      <c r="B1051" t="s">
        <v>2433</v>
      </c>
      <c r="C1051">
        <v>10</v>
      </c>
      <c r="D1051" s="260">
        <v>46288</v>
      </c>
      <c r="E1051" s="260">
        <v>46301</v>
      </c>
      <c r="F1051">
        <v>58</v>
      </c>
      <c r="G1051" t="s">
        <v>350</v>
      </c>
    </row>
    <row r="1052" spans="1:7">
      <c r="A1052" t="s">
        <v>2434</v>
      </c>
      <c r="B1052" t="s">
        <v>2435</v>
      </c>
      <c r="C1052">
        <v>12</v>
      </c>
      <c r="D1052" s="260">
        <v>46230</v>
      </c>
      <c r="E1052" s="260">
        <v>46251</v>
      </c>
      <c r="F1052">
        <v>49</v>
      </c>
      <c r="G1052" t="s">
        <v>350</v>
      </c>
    </row>
    <row r="1053" spans="1:7">
      <c r="A1053" t="s">
        <v>2436</v>
      </c>
      <c r="B1053" t="s">
        <v>2437</v>
      </c>
      <c r="C1053">
        <v>15</v>
      </c>
      <c r="D1053" s="260">
        <v>46266</v>
      </c>
      <c r="E1053" s="260">
        <v>46286</v>
      </c>
      <c r="F1053">
        <v>49</v>
      </c>
      <c r="G1053" t="s">
        <v>350</v>
      </c>
    </row>
    <row r="1054" spans="1:7">
      <c r="A1054" t="s">
        <v>2438</v>
      </c>
      <c r="B1054" t="s">
        <v>2439</v>
      </c>
      <c r="C1054">
        <v>10</v>
      </c>
      <c r="D1054" s="260">
        <v>46301</v>
      </c>
      <c r="E1054" s="260">
        <v>46315</v>
      </c>
      <c r="F1054">
        <v>49</v>
      </c>
      <c r="G1054" t="s">
        <v>350</v>
      </c>
    </row>
    <row r="1055" spans="1:7">
      <c r="A1055" t="s">
        <v>2440</v>
      </c>
      <c r="B1055" t="s">
        <v>2441</v>
      </c>
      <c r="C1055">
        <v>17</v>
      </c>
      <c r="D1055" s="260">
        <v>46128</v>
      </c>
      <c r="E1055" s="260">
        <v>46153</v>
      </c>
      <c r="F1055">
        <v>118</v>
      </c>
      <c r="G1055" t="s">
        <v>350</v>
      </c>
    </row>
    <row r="1056" spans="1:7">
      <c r="A1056" t="s">
        <v>2442</v>
      </c>
      <c r="B1056" t="s">
        <v>2443</v>
      </c>
      <c r="C1056">
        <v>10</v>
      </c>
      <c r="D1056" s="260">
        <v>46168</v>
      </c>
      <c r="E1056" s="260">
        <v>46183</v>
      </c>
      <c r="F1056">
        <v>118</v>
      </c>
      <c r="G1056" t="s">
        <v>350</v>
      </c>
    </row>
    <row r="1057" spans="1:7">
      <c r="A1057" t="s">
        <v>2444</v>
      </c>
      <c r="B1057" t="s">
        <v>2445</v>
      </c>
      <c r="C1057">
        <v>10</v>
      </c>
      <c r="D1057" s="260">
        <v>46198</v>
      </c>
      <c r="E1057" s="260">
        <v>46211</v>
      </c>
      <c r="F1057">
        <v>118</v>
      </c>
      <c r="G1057" t="s">
        <v>350</v>
      </c>
    </row>
    <row r="1058" spans="1:7">
      <c r="A1058" t="s">
        <v>2446</v>
      </c>
      <c r="B1058" t="s">
        <v>2447</v>
      </c>
      <c r="C1058">
        <v>16</v>
      </c>
      <c r="D1058" s="260">
        <v>46245</v>
      </c>
      <c r="E1058" s="260">
        <v>46267</v>
      </c>
      <c r="F1058">
        <v>42</v>
      </c>
      <c r="G1058" t="s">
        <v>350</v>
      </c>
    </row>
    <row r="1059" spans="1:7">
      <c r="A1059" t="s">
        <v>2448</v>
      </c>
      <c r="B1059" t="s">
        <v>2449</v>
      </c>
      <c r="C1059">
        <v>10</v>
      </c>
      <c r="D1059" s="260">
        <v>46282</v>
      </c>
      <c r="E1059" s="260">
        <v>46295</v>
      </c>
      <c r="F1059">
        <v>42</v>
      </c>
      <c r="G1059" t="s">
        <v>350</v>
      </c>
    </row>
    <row r="1060" spans="1:7">
      <c r="A1060" t="s">
        <v>2450</v>
      </c>
      <c r="B1060" t="s">
        <v>2451</v>
      </c>
      <c r="C1060">
        <v>10</v>
      </c>
      <c r="D1060" s="260">
        <v>46311</v>
      </c>
      <c r="E1060" s="260">
        <v>46325</v>
      </c>
      <c r="F1060">
        <v>42</v>
      </c>
      <c r="G1060" t="s">
        <v>350</v>
      </c>
    </row>
    <row r="1061" spans="1:7">
      <c r="A1061" t="s">
        <v>2452</v>
      </c>
      <c r="B1061" t="s">
        <v>2453</v>
      </c>
      <c r="C1061">
        <v>17</v>
      </c>
      <c r="D1061" s="260">
        <v>46199</v>
      </c>
      <c r="E1061" s="260">
        <v>46223</v>
      </c>
      <c r="F1061">
        <v>59</v>
      </c>
      <c r="G1061" t="s">
        <v>350</v>
      </c>
    </row>
    <row r="1062" spans="1:7">
      <c r="A1062" t="s">
        <v>2454</v>
      </c>
      <c r="B1062" t="s">
        <v>2455</v>
      </c>
      <c r="C1062">
        <v>10</v>
      </c>
      <c r="D1062" s="260">
        <v>46241</v>
      </c>
      <c r="E1062" s="260">
        <v>46255</v>
      </c>
      <c r="F1062">
        <v>60</v>
      </c>
      <c r="G1062" t="s">
        <v>350</v>
      </c>
    </row>
    <row r="1063" spans="1:7">
      <c r="A1063" t="s">
        <v>2456</v>
      </c>
      <c r="B1063" t="s">
        <v>2457</v>
      </c>
      <c r="C1063">
        <v>10</v>
      </c>
      <c r="D1063" s="260">
        <v>46272</v>
      </c>
      <c r="E1063" s="260">
        <v>46283</v>
      </c>
      <c r="F1063">
        <v>60</v>
      </c>
      <c r="G1063" t="s">
        <v>350</v>
      </c>
    </row>
    <row r="1064" spans="1:7">
      <c r="A1064" t="s">
        <v>2458</v>
      </c>
      <c r="B1064" t="s">
        <v>2459</v>
      </c>
      <c r="C1064">
        <v>17</v>
      </c>
      <c r="D1064" s="260">
        <v>46199</v>
      </c>
      <c r="E1064" s="260">
        <v>46223</v>
      </c>
      <c r="F1064">
        <v>70</v>
      </c>
      <c r="G1064" t="s">
        <v>350</v>
      </c>
    </row>
    <row r="1065" spans="1:7">
      <c r="A1065" t="s">
        <v>2460</v>
      </c>
      <c r="B1065" t="s">
        <v>2461</v>
      </c>
      <c r="C1065">
        <v>10</v>
      </c>
      <c r="D1065" s="260">
        <v>46241</v>
      </c>
      <c r="E1065" s="260">
        <v>46255</v>
      </c>
      <c r="F1065">
        <v>70</v>
      </c>
      <c r="G1065" t="s">
        <v>350</v>
      </c>
    </row>
    <row r="1066" spans="1:7">
      <c r="A1066" t="s">
        <v>2462</v>
      </c>
      <c r="B1066" t="s">
        <v>2463</v>
      </c>
      <c r="C1066">
        <v>10</v>
      </c>
      <c r="D1066" s="260">
        <v>46272</v>
      </c>
      <c r="E1066" s="260">
        <v>46283</v>
      </c>
      <c r="F1066">
        <v>70</v>
      </c>
      <c r="G1066" t="s">
        <v>350</v>
      </c>
    </row>
    <row r="1067" spans="1:7">
      <c r="A1067" t="s">
        <v>2464</v>
      </c>
      <c r="B1067" t="s">
        <v>2465</v>
      </c>
      <c r="C1067">
        <v>16</v>
      </c>
      <c r="D1067" s="260">
        <v>46209</v>
      </c>
      <c r="E1067" s="260">
        <v>46230</v>
      </c>
      <c r="F1067">
        <v>65</v>
      </c>
      <c r="G1067" t="s">
        <v>350</v>
      </c>
    </row>
    <row r="1068" spans="1:7">
      <c r="A1068" t="s">
        <v>2466</v>
      </c>
      <c r="B1068" t="s">
        <v>2467</v>
      </c>
      <c r="C1068">
        <v>10</v>
      </c>
      <c r="D1068" s="260">
        <v>46251</v>
      </c>
      <c r="E1068" s="260">
        <v>46262</v>
      </c>
      <c r="F1068">
        <v>65</v>
      </c>
      <c r="G1068" t="s">
        <v>350</v>
      </c>
    </row>
    <row r="1069" spans="1:7">
      <c r="A1069" t="s">
        <v>2468</v>
      </c>
      <c r="B1069" t="s">
        <v>2469</v>
      </c>
      <c r="C1069">
        <v>10</v>
      </c>
      <c r="D1069" s="260">
        <v>46279</v>
      </c>
      <c r="E1069" s="260">
        <v>46290</v>
      </c>
      <c r="F1069">
        <v>65</v>
      </c>
      <c r="G1069" t="s">
        <v>350</v>
      </c>
    </row>
    <row r="1070" spans="1:7">
      <c r="A1070" t="s">
        <v>2470</v>
      </c>
      <c r="B1070" t="s">
        <v>2471</v>
      </c>
      <c r="C1070">
        <v>15</v>
      </c>
      <c r="D1070" s="260">
        <v>46218</v>
      </c>
      <c r="E1070" s="260">
        <v>46241</v>
      </c>
      <c r="F1070">
        <v>59</v>
      </c>
      <c r="G1070" t="s">
        <v>350</v>
      </c>
    </row>
    <row r="1071" spans="1:7">
      <c r="A1071" t="s">
        <v>2472</v>
      </c>
      <c r="B1071" t="s">
        <v>2473</v>
      </c>
      <c r="C1071">
        <v>10</v>
      </c>
      <c r="D1071" s="260">
        <v>46259</v>
      </c>
      <c r="E1071" s="260">
        <v>46272</v>
      </c>
      <c r="F1071">
        <v>59</v>
      </c>
      <c r="G1071" t="s">
        <v>350</v>
      </c>
    </row>
    <row r="1072" spans="1:7">
      <c r="A1072" t="s">
        <v>2474</v>
      </c>
      <c r="B1072" t="s">
        <v>2475</v>
      </c>
      <c r="C1072">
        <v>10</v>
      </c>
      <c r="D1072" s="260">
        <v>46287</v>
      </c>
      <c r="E1072" s="260">
        <v>46300</v>
      </c>
      <c r="F1072">
        <v>59</v>
      </c>
      <c r="G1072" t="s">
        <v>350</v>
      </c>
    </row>
    <row r="1073" spans="1:7">
      <c r="A1073" t="s">
        <v>2476</v>
      </c>
      <c r="B1073" t="s">
        <v>2477</v>
      </c>
      <c r="C1073">
        <v>15</v>
      </c>
      <c r="D1073" s="260">
        <v>46218</v>
      </c>
      <c r="E1073" s="260">
        <v>46241</v>
      </c>
      <c r="F1073">
        <v>59</v>
      </c>
      <c r="G1073" t="s">
        <v>350</v>
      </c>
    </row>
    <row r="1074" spans="1:7">
      <c r="A1074" t="s">
        <v>2478</v>
      </c>
      <c r="B1074" t="s">
        <v>2479</v>
      </c>
      <c r="C1074">
        <v>10</v>
      </c>
      <c r="D1074" s="260">
        <v>46259</v>
      </c>
      <c r="E1074" s="260">
        <v>46272</v>
      </c>
      <c r="F1074">
        <v>59</v>
      </c>
      <c r="G1074" t="s">
        <v>350</v>
      </c>
    </row>
    <row r="1075" spans="1:7">
      <c r="A1075" t="s">
        <v>2480</v>
      </c>
      <c r="B1075" t="s">
        <v>2481</v>
      </c>
      <c r="C1075">
        <v>10</v>
      </c>
      <c r="D1075" s="260">
        <v>46287</v>
      </c>
      <c r="E1075" s="260">
        <v>46300</v>
      </c>
      <c r="F1075">
        <v>59</v>
      </c>
      <c r="G1075" t="s">
        <v>350</v>
      </c>
    </row>
    <row r="1076" spans="1:7">
      <c r="A1076" t="s">
        <v>2482</v>
      </c>
      <c r="B1076" t="s">
        <v>2483</v>
      </c>
      <c r="C1076">
        <v>15</v>
      </c>
      <c r="D1076" s="260">
        <v>46218</v>
      </c>
      <c r="E1076" s="260">
        <v>46241</v>
      </c>
      <c r="F1076">
        <v>59</v>
      </c>
      <c r="G1076" t="s">
        <v>350</v>
      </c>
    </row>
    <row r="1077" spans="1:7">
      <c r="A1077" t="s">
        <v>2484</v>
      </c>
      <c r="B1077" t="s">
        <v>2485</v>
      </c>
      <c r="C1077">
        <v>10</v>
      </c>
      <c r="D1077" s="260">
        <v>46259</v>
      </c>
      <c r="E1077" s="260">
        <v>46272</v>
      </c>
      <c r="F1077">
        <v>59</v>
      </c>
      <c r="G1077" t="s">
        <v>350</v>
      </c>
    </row>
    <row r="1078" spans="1:7">
      <c r="A1078" t="s">
        <v>2486</v>
      </c>
      <c r="B1078" t="s">
        <v>2487</v>
      </c>
      <c r="C1078">
        <v>10</v>
      </c>
      <c r="D1078" s="260">
        <v>46287</v>
      </c>
      <c r="E1078" s="260">
        <v>46300</v>
      </c>
      <c r="F1078">
        <v>59</v>
      </c>
      <c r="G1078" t="s">
        <v>350</v>
      </c>
    </row>
    <row r="1079" spans="1:7">
      <c r="A1079" t="s">
        <v>2488</v>
      </c>
      <c r="B1079" t="s">
        <v>2489</v>
      </c>
      <c r="C1079">
        <v>12</v>
      </c>
      <c r="D1079" s="260">
        <v>46225</v>
      </c>
      <c r="E1079" s="260">
        <v>46245</v>
      </c>
      <c r="F1079">
        <v>57</v>
      </c>
      <c r="G1079" t="s">
        <v>350</v>
      </c>
    </row>
    <row r="1080" spans="1:7">
      <c r="A1080" t="s">
        <v>2490</v>
      </c>
      <c r="B1080" t="s">
        <v>2491</v>
      </c>
      <c r="C1080">
        <v>10</v>
      </c>
      <c r="D1080" s="260">
        <v>46261</v>
      </c>
      <c r="E1080" s="260">
        <v>46274</v>
      </c>
      <c r="F1080">
        <v>57</v>
      </c>
      <c r="G1080" t="s">
        <v>350</v>
      </c>
    </row>
    <row r="1081" spans="1:7">
      <c r="A1081" t="s">
        <v>2492</v>
      </c>
      <c r="B1081" t="s">
        <v>2493</v>
      </c>
      <c r="C1081">
        <v>10</v>
      </c>
      <c r="D1081" s="260">
        <v>46289</v>
      </c>
      <c r="E1081" s="260">
        <v>46302</v>
      </c>
      <c r="F1081">
        <v>57</v>
      </c>
      <c r="G1081" t="s">
        <v>350</v>
      </c>
    </row>
    <row r="1082" spans="1:7">
      <c r="A1082" t="s">
        <v>2494</v>
      </c>
      <c r="B1082" t="s">
        <v>2495</v>
      </c>
      <c r="C1082">
        <v>12</v>
      </c>
      <c r="D1082" s="260">
        <v>46234</v>
      </c>
      <c r="E1082" s="260">
        <v>46252</v>
      </c>
      <c r="F1082">
        <v>53</v>
      </c>
      <c r="G1082" t="s">
        <v>350</v>
      </c>
    </row>
    <row r="1083" spans="1:7">
      <c r="A1083" t="s">
        <v>2496</v>
      </c>
      <c r="B1083" t="s">
        <v>2497</v>
      </c>
      <c r="C1083">
        <v>10</v>
      </c>
      <c r="D1083" s="260">
        <v>46267</v>
      </c>
      <c r="E1083" s="260">
        <v>46280</v>
      </c>
      <c r="F1083">
        <v>53</v>
      </c>
      <c r="G1083" t="s">
        <v>350</v>
      </c>
    </row>
    <row r="1084" spans="1:7">
      <c r="A1084" t="s">
        <v>2498</v>
      </c>
      <c r="B1084" t="s">
        <v>2499</v>
      </c>
      <c r="C1084">
        <v>10</v>
      </c>
      <c r="D1084" s="260">
        <v>46295</v>
      </c>
      <c r="E1084" s="260">
        <v>46309</v>
      </c>
      <c r="F1084">
        <v>53</v>
      </c>
      <c r="G1084" t="s">
        <v>350</v>
      </c>
    </row>
    <row r="1085" spans="1:7">
      <c r="A1085" t="s">
        <v>2500</v>
      </c>
      <c r="B1085" t="s">
        <v>2501</v>
      </c>
      <c r="C1085">
        <v>12</v>
      </c>
      <c r="D1085" s="260">
        <v>46234</v>
      </c>
      <c r="E1085" s="260">
        <v>46252</v>
      </c>
      <c r="F1085">
        <v>53</v>
      </c>
      <c r="G1085" t="s">
        <v>350</v>
      </c>
    </row>
    <row r="1086" spans="1:7">
      <c r="A1086" t="s">
        <v>2502</v>
      </c>
      <c r="B1086" t="s">
        <v>2503</v>
      </c>
      <c r="C1086">
        <v>10</v>
      </c>
      <c r="D1086" s="260">
        <v>46267</v>
      </c>
      <c r="E1086" s="260">
        <v>46280</v>
      </c>
      <c r="F1086">
        <v>53</v>
      </c>
      <c r="G1086" t="s">
        <v>350</v>
      </c>
    </row>
    <row r="1087" spans="1:7">
      <c r="A1087" t="s">
        <v>2504</v>
      </c>
      <c r="B1087" t="s">
        <v>2505</v>
      </c>
      <c r="C1087">
        <v>10</v>
      </c>
      <c r="D1087" s="260">
        <v>46295</v>
      </c>
      <c r="E1087" s="260">
        <v>46309</v>
      </c>
      <c r="F1087">
        <v>53</v>
      </c>
      <c r="G1087" t="s">
        <v>350</v>
      </c>
    </row>
    <row r="1088" spans="1:7">
      <c r="A1088" t="s">
        <v>2506</v>
      </c>
      <c r="B1088" t="s">
        <v>2507</v>
      </c>
      <c r="C1088">
        <v>11</v>
      </c>
      <c r="D1088" s="260">
        <v>46244</v>
      </c>
      <c r="E1088" s="260">
        <v>46259</v>
      </c>
      <c r="F1088">
        <v>48</v>
      </c>
      <c r="G1088" t="s">
        <v>350</v>
      </c>
    </row>
    <row r="1089" spans="1:7">
      <c r="A1089" t="s">
        <v>2508</v>
      </c>
      <c r="B1089" t="s">
        <v>2509</v>
      </c>
      <c r="C1089">
        <v>10</v>
      </c>
      <c r="D1089" s="260">
        <v>46274</v>
      </c>
      <c r="E1089" s="260">
        <v>46287</v>
      </c>
      <c r="F1089">
        <v>48</v>
      </c>
      <c r="G1089" t="s">
        <v>350</v>
      </c>
    </row>
    <row r="1090" spans="1:7">
      <c r="A1090" t="s">
        <v>2510</v>
      </c>
      <c r="B1090" t="s">
        <v>2511</v>
      </c>
      <c r="C1090">
        <v>10</v>
      </c>
      <c r="D1090" s="260">
        <v>46302</v>
      </c>
      <c r="E1090" s="260">
        <v>46316</v>
      </c>
      <c r="F1090">
        <v>48</v>
      </c>
      <c r="G1090" t="s">
        <v>350</v>
      </c>
    </row>
    <row r="1091" spans="1:7">
      <c r="A1091" t="s">
        <v>2512</v>
      </c>
      <c r="B1091" t="s">
        <v>2513</v>
      </c>
      <c r="C1091">
        <v>11</v>
      </c>
      <c r="D1091" s="260">
        <v>46244</v>
      </c>
      <c r="E1091" s="260">
        <v>46259</v>
      </c>
      <c r="F1091">
        <v>48</v>
      </c>
      <c r="G1091" t="s">
        <v>350</v>
      </c>
    </row>
    <row r="1092" spans="1:7">
      <c r="A1092" t="s">
        <v>2514</v>
      </c>
      <c r="B1092" t="s">
        <v>2515</v>
      </c>
      <c r="C1092">
        <v>10</v>
      </c>
      <c r="D1092" s="260">
        <v>46274</v>
      </c>
      <c r="E1092" s="260">
        <v>46287</v>
      </c>
      <c r="F1092">
        <v>48</v>
      </c>
      <c r="G1092" t="s">
        <v>350</v>
      </c>
    </row>
    <row r="1093" spans="1:7">
      <c r="A1093" t="s">
        <v>2516</v>
      </c>
      <c r="B1093" t="s">
        <v>2517</v>
      </c>
      <c r="C1093">
        <v>10</v>
      </c>
      <c r="D1093" s="260">
        <v>46302</v>
      </c>
      <c r="E1093" s="260">
        <v>46316</v>
      </c>
      <c r="F1093">
        <v>48</v>
      </c>
      <c r="G1093" t="s">
        <v>350</v>
      </c>
    </row>
    <row r="1094" spans="1:7">
      <c r="A1094" t="s">
        <v>2518</v>
      </c>
      <c r="B1094" t="s">
        <v>2519</v>
      </c>
      <c r="C1094">
        <v>11</v>
      </c>
      <c r="D1094" s="260">
        <v>46244</v>
      </c>
      <c r="E1094" s="260">
        <v>46259</v>
      </c>
      <c r="F1094">
        <v>5</v>
      </c>
      <c r="G1094" t="s">
        <v>350</v>
      </c>
    </row>
    <row r="1095" spans="1:7">
      <c r="A1095" t="s">
        <v>2520</v>
      </c>
      <c r="B1095" t="s">
        <v>2521</v>
      </c>
      <c r="C1095">
        <v>10</v>
      </c>
      <c r="D1095" s="260">
        <v>46274</v>
      </c>
      <c r="E1095" s="260">
        <v>46287</v>
      </c>
      <c r="F1095">
        <v>48</v>
      </c>
      <c r="G1095" t="s">
        <v>350</v>
      </c>
    </row>
    <row r="1096" spans="1:7">
      <c r="A1096" t="s">
        <v>2522</v>
      </c>
      <c r="B1096" t="s">
        <v>2523</v>
      </c>
      <c r="C1096">
        <v>10</v>
      </c>
      <c r="D1096" s="260">
        <v>46302</v>
      </c>
      <c r="E1096" s="260">
        <v>46316</v>
      </c>
      <c r="F1096">
        <v>48</v>
      </c>
      <c r="G1096" t="s">
        <v>350</v>
      </c>
    </row>
    <row r="1097" spans="1:7">
      <c r="A1097" t="s">
        <v>2524</v>
      </c>
      <c r="B1097" t="s">
        <v>2525</v>
      </c>
      <c r="C1097">
        <v>11</v>
      </c>
      <c r="D1097" s="260">
        <v>46244</v>
      </c>
      <c r="E1097" s="260">
        <v>46259</v>
      </c>
      <c r="F1097">
        <v>5</v>
      </c>
      <c r="G1097" t="s">
        <v>350</v>
      </c>
    </row>
    <row r="1098" spans="1:7">
      <c r="A1098" t="s">
        <v>2526</v>
      </c>
      <c r="B1098" t="s">
        <v>2527</v>
      </c>
      <c r="C1098">
        <v>10</v>
      </c>
      <c r="D1098" s="260">
        <v>46274</v>
      </c>
      <c r="E1098" s="260">
        <v>46287</v>
      </c>
      <c r="F1098">
        <v>48</v>
      </c>
      <c r="G1098" t="s">
        <v>350</v>
      </c>
    </row>
    <row r="1099" spans="1:7">
      <c r="A1099" t="s">
        <v>2528</v>
      </c>
      <c r="B1099" t="s">
        <v>2529</v>
      </c>
      <c r="C1099">
        <v>10</v>
      </c>
      <c r="D1099" s="260">
        <v>46302</v>
      </c>
      <c r="E1099" s="260">
        <v>46316</v>
      </c>
      <c r="F1099">
        <v>48</v>
      </c>
      <c r="G1099" t="s">
        <v>350</v>
      </c>
    </row>
    <row r="1100" spans="1:7">
      <c r="A1100" t="s">
        <v>2530</v>
      </c>
      <c r="B1100" t="s">
        <v>2531</v>
      </c>
      <c r="C1100">
        <v>11</v>
      </c>
      <c r="D1100" s="260">
        <v>46244</v>
      </c>
      <c r="E1100" s="260">
        <v>46259</v>
      </c>
      <c r="F1100">
        <v>5</v>
      </c>
      <c r="G1100" t="s">
        <v>350</v>
      </c>
    </row>
    <row r="1101" spans="1:7">
      <c r="A1101" t="s">
        <v>2532</v>
      </c>
      <c r="B1101" t="s">
        <v>2533</v>
      </c>
      <c r="C1101">
        <v>10</v>
      </c>
      <c r="D1101" s="260">
        <v>46274</v>
      </c>
      <c r="E1101" s="260">
        <v>46287</v>
      </c>
      <c r="F1101">
        <v>48</v>
      </c>
      <c r="G1101" t="s">
        <v>350</v>
      </c>
    </row>
    <row r="1102" spans="1:7">
      <c r="A1102" t="s">
        <v>2534</v>
      </c>
      <c r="B1102" t="s">
        <v>2535</v>
      </c>
      <c r="C1102">
        <v>10</v>
      </c>
      <c r="D1102" s="260">
        <v>46302</v>
      </c>
      <c r="E1102" s="260">
        <v>46316</v>
      </c>
      <c r="F1102">
        <v>48</v>
      </c>
      <c r="G1102" t="s">
        <v>350</v>
      </c>
    </row>
    <row r="1103" spans="1:7">
      <c r="A1103" t="s">
        <v>2536</v>
      </c>
      <c r="B1103" t="s">
        <v>2537</v>
      </c>
      <c r="C1103">
        <v>12</v>
      </c>
      <c r="D1103" s="260">
        <v>46245</v>
      </c>
      <c r="E1103" s="260">
        <v>46261</v>
      </c>
      <c r="F1103">
        <v>5</v>
      </c>
      <c r="G1103" t="s">
        <v>350</v>
      </c>
    </row>
    <row r="1104" spans="1:7">
      <c r="A1104" t="s">
        <v>2538</v>
      </c>
      <c r="B1104" t="s">
        <v>2539</v>
      </c>
      <c r="C1104">
        <v>10</v>
      </c>
      <c r="D1104" s="260">
        <v>46276</v>
      </c>
      <c r="E1104" s="260">
        <v>46289</v>
      </c>
      <c r="F1104">
        <v>46</v>
      </c>
      <c r="G1104" t="s">
        <v>350</v>
      </c>
    </row>
    <row r="1105" spans="1:7">
      <c r="A1105" t="s">
        <v>2540</v>
      </c>
      <c r="B1105" t="s">
        <v>2541</v>
      </c>
      <c r="C1105">
        <v>10</v>
      </c>
      <c r="D1105" s="260">
        <v>46304</v>
      </c>
      <c r="E1105" s="260">
        <v>46321</v>
      </c>
      <c r="F1105">
        <v>46</v>
      </c>
      <c r="G1105" t="s">
        <v>350</v>
      </c>
    </row>
    <row r="1106" spans="1:7">
      <c r="A1106" t="s">
        <v>2542</v>
      </c>
      <c r="B1106" t="s">
        <v>2543</v>
      </c>
      <c r="C1106">
        <v>15</v>
      </c>
      <c r="D1106" s="260">
        <v>46258</v>
      </c>
      <c r="E1106" s="260">
        <v>46276</v>
      </c>
      <c r="F1106">
        <v>5</v>
      </c>
      <c r="G1106" t="s">
        <v>350</v>
      </c>
    </row>
    <row r="1107" spans="1:7">
      <c r="A1107" t="s">
        <v>2544</v>
      </c>
      <c r="B1107" t="s">
        <v>2545</v>
      </c>
      <c r="C1107">
        <v>10</v>
      </c>
      <c r="D1107" s="260">
        <v>46293</v>
      </c>
      <c r="E1107" s="260">
        <v>46304</v>
      </c>
      <c r="F1107">
        <v>25</v>
      </c>
      <c r="G1107" t="s">
        <v>350</v>
      </c>
    </row>
    <row r="1108" spans="1:7">
      <c r="A1108" t="s">
        <v>2546</v>
      </c>
      <c r="B1108" t="s">
        <v>2547</v>
      </c>
      <c r="C1108">
        <v>10</v>
      </c>
      <c r="D1108" s="260">
        <v>46323</v>
      </c>
      <c r="E1108" s="260">
        <v>46336</v>
      </c>
      <c r="F1108">
        <v>25</v>
      </c>
      <c r="G1108" t="s">
        <v>350</v>
      </c>
    </row>
    <row r="1109" spans="1:7">
      <c r="A1109" t="s">
        <v>2548</v>
      </c>
      <c r="B1109" t="s">
        <v>2549</v>
      </c>
      <c r="C1109">
        <v>7</v>
      </c>
      <c r="D1109" s="260">
        <v>46175</v>
      </c>
      <c r="E1109" s="260">
        <v>46184</v>
      </c>
      <c r="F1109">
        <v>77</v>
      </c>
      <c r="G1109" t="s">
        <v>350</v>
      </c>
    </row>
    <row r="1110" spans="1:7">
      <c r="A1110" t="s">
        <v>2550</v>
      </c>
      <c r="B1110" t="s">
        <v>2551</v>
      </c>
      <c r="C1110">
        <v>5</v>
      </c>
      <c r="D1110" s="260">
        <v>46199</v>
      </c>
      <c r="E1110" s="260">
        <v>46205</v>
      </c>
      <c r="F1110">
        <v>92</v>
      </c>
      <c r="G1110" t="s">
        <v>350</v>
      </c>
    </row>
    <row r="1111" spans="1:7">
      <c r="A1111" t="s">
        <v>2552</v>
      </c>
      <c r="B1111" t="s">
        <v>2553</v>
      </c>
      <c r="C1111">
        <v>5</v>
      </c>
      <c r="D1111" s="260">
        <v>46220</v>
      </c>
      <c r="E1111" s="260">
        <v>46226</v>
      </c>
      <c r="F1111">
        <v>97</v>
      </c>
      <c r="G1111" t="s">
        <v>350</v>
      </c>
    </row>
    <row r="1112" spans="1:7">
      <c r="A1112" t="s">
        <v>2554</v>
      </c>
      <c r="B1112" t="s">
        <v>2555</v>
      </c>
      <c r="C1112">
        <v>15</v>
      </c>
      <c r="D1112" s="260">
        <v>46300</v>
      </c>
      <c r="E1112" s="260">
        <v>46322</v>
      </c>
      <c r="F1112">
        <v>5</v>
      </c>
      <c r="G1112" t="s">
        <v>350</v>
      </c>
    </row>
    <row r="1113" spans="1:7">
      <c r="A1113" t="s">
        <v>2556</v>
      </c>
      <c r="B1113" t="s">
        <v>2557</v>
      </c>
      <c r="C1113">
        <v>10</v>
      </c>
      <c r="D1113" s="260">
        <v>46337</v>
      </c>
      <c r="E1113" s="260">
        <v>46350</v>
      </c>
      <c r="F1113">
        <v>5</v>
      </c>
      <c r="G1113" t="s">
        <v>350</v>
      </c>
    </row>
    <row r="1114" spans="1:7">
      <c r="A1114" t="s">
        <v>2558</v>
      </c>
      <c r="B1114" t="s">
        <v>2559</v>
      </c>
      <c r="C1114">
        <v>10</v>
      </c>
      <c r="D1114" s="260">
        <v>46367</v>
      </c>
      <c r="E1114" s="260">
        <v>46380</v>
      </c>
      <c r="F1114">
        <v>5</v>
      </c>
      <c r="G1114" t="s">
        <v>350</v>
      </c>
    </row>
    <row r="1115" spans="1:7">
      <c r="A1115" t="s">
        <v>2560</v>
      </c>
      <c r="B1115" t="s">
        <v>2561</v>
      </c>
      <c r="C1115">
        <v>15</v>
      </c>
      <c r="D1115" s="260">
        <v>46258</v>
      </c>
      <c r="E1115" s="260">
        <v>46276</v>
      </c>
      <c r="F1115">
        <v>35</v>
      </c>
      <c r="G1115" t="s">
        <v>350</v>
      </c>
    </row>
    <row r="1116" spans="1:7">
      <c r="A1116" t="s">
        <v>2562</v>
      </c>
      <c r="B1116" t="s">
        <v>2563</v>
      </c>
      <c r="C1116">
        <v>10</v>
      </c>
      <c r="D1116" s="260">
        <v>46293</v>
      </c>
      <c r="E1116" s="260">
        <v>46304</v>
      </c>
      <c r="F1116">
        <v>35</v>
      </c>
      <c r="G1116" t="s">
        <v>350</v>
      </c>
    </row>
    <row r="1117" spans="1:7">
      <c r="A1117" t="s">
        <v>2564</v>
      </c>
      <c r="B1117" t="s">
        <v>2565</v>
      </c>
      <c r="C1117">
        <v>10</v>
      </c>
      <c r="D1117" s="260">
        <v>46323</v>
      </c>
      <c r="E1117" s="260">
        <v>46336</v>
      </c>
      <c r="F1117">
        <v>35</v>
      </c>
      <c r="G1117" t="s">
        <v>350</v>
      </c>
    </row>
    <row r="1118" spans="1:7">
      <c r="A1118" t="s">
        <v>2566</v>
      </c>
      <c r="B1118" t="s">
        <v>2567</v>
      </c>
      <c r="C1118">
        <v>7</v>
      </c>
      <c r="D1118" s="260">
        <v>46175</v>
      </c>
      <c r="E1118" s="260">
        <v>46184</v>
      </c>
      <c r="F1118">
        <v>107</v>
      </c>
      <c r="G1118" t="s">
        <v>350</v>
      </c>
    </row>
    <row r="1119" spans="1:7">
      <c r="A1119" t="s">
        <v>2568</v>
      </c>
      <c r="B1119" t="s">
        <v>2569</v>
      </c>
      <c r="C1119">
        <v>5</v>
      </c>
      <c r="D1119" s="260">
        <v>46199</v>
      </c>
      <c r="E1119" s="260">
        <v>46205</v>
      </c>
      <c r="F1119">
        <v>107</v>
      </c>
      <c r="G1119" t="s">
        <v>350</v>
      </c>
    </row>
    <row r="1120" spans="1:7">
      <c r="A1120" t="s">
        <v>2570</v>
      </c>
      <c r="B1120" t="s">
        <v>2571</v>
      </c>
      <c r="C1120">
        <v>5</v>
      </c>
      <c r="D1120" s="260">
        <v>46220</v>
      </c>
      <c r="E1120" s="260">
        <v>46226</v>
      </c>
      <c r="F1120">
        <v>107</v>
      </c>
      <c r="G1120" t="s">
        <v>350</v>
      </c>
    </row>
    <row r="1121" spans="1:7">
      <c r="A1121" t="s">
        <v>2572</v>
      </c>
      <c r="B1121" t="s">
        <v>2573</v>
      </c>
      <c r="C1121">
        <v>15</v>
      </c>
      <c r="D1121" s="260">
        <v>46300</v>
      </c>
      <c r="E1121" s="260">
        <v>46322</v>
      </c>
      <c r="F1121">
        <v>5</v>
      </c>
      <c r="G1121" t="s">
        <v>350</v>
      </c>
    </row>
    <row r="1122" spans="1:7">
      <c r="A1122" t="s">
        <v>2574</v>
      </c>
      <c r="B1122" t="s">
        <v>2575</v>
      </c>
      <c r="C1122">
        <v>10</v>
      </c>
      <c r="D1122" s="260">
        <v>46337</v>
      </c>
      <c r="E1122" s="260">
        <v>46350</v>
      </c>
      <c r="F1122">
        <v>5</v>
      </c>
      <c r="G1122" t="s">
        <v>350</v>
      </c>
    </row>
    <row r="1123" spans="1:7">
      <c r="A1123" t="s">
        <v>2576</v>
      </c>
      <c r="B1123" t="s">
        <v>2577</v>
      </c>
      <c r="C1123">
        <v>10</v>
      </c>
      <c r="D1123" s="260">
        <v>46367</v>
      </c>
      <c r="E1123" s="260">
        <v>46380</v>
      </c>
      <c r="F1123">
        <v>5</v>
      </c>
      <c r="G1123" t="s">
        <v>350</v>
      </c>
    </row>
    <row r="1124" spans="1:7">
      <c r="A1124" t="s">
        <v>2578</v>
      </c>
      <c r="B1124" t="s">
        <v>2579</v>
      </c>
      <c r="C1124">
        <v>19</v>
      </c>
      <c r="D1124" s="260">
        <v>46148</v>
      </c>
      <c r="E1124" s="260">
        <v>46175</v>
      </c>
      <c r="F1124">
        <v>112</v>
      </c>
      <c r="G1124" t="s">
        <v>350</v>
      </c>
    </row>
    <row r="1125" spans="1:7">
      <c r="A1125" t="s">
        <v>2580</v>
      </c>
      <c r="B1125" t="s">
        <v>2581</v>
      </c>
      <c r="C1125">
        <v>10</v>
      </c>
      <c r="D1125" s="260">
        <v>46191</v>
      </c>
      <c r="E1125" s="260">
        <v>46204</v>
      </c>
      <c r="F1125">
        <v>112</v>
      </c>
      <c r="G1125" t="s">
        <v>350</v>
      </c>
    </row>
    <row r="1126" spans="1:7">
      <c r="A1126" t="s">
        <v>2582</v>
      </c>
      <c r="B1126" t="s">
        <v>2583</v>
      </c>
      <c r="C1126">
        <v>10</v>
      </c>
      <c r="D1126" s="260">
        <v>46219</v>
      </c>
      <c r="E1126" s="260">
        <v>46237</v>
      </c>
      <c r="F1126">
        <v>112</v>
      </c>
      <c r="G1126" t="s">
        <v>350</v>
      </c>
    </row>
    <row r="1127" spans="1:7">
      <c r="A1127" t="s">
        <v>2584</v>
      </c>
      <c r="C1127">
        <v>128</v>
      </c>
      <c r="D1127" s="260">
        <v>46128</v>
      </c>
      <c r="E1127" s="260">
        <v>46317</v>
      </c>
      <c r="F1127">
        <v>56</v>
      </c>
      <c r="G1127" t="s">
        <v>350</v>
      </c>
    </row>
    <row r="1128" spans="1:7">
      <c r="A1128" t="s">
        <v>2585</v>
      </c>
      <c r="B1128" t="s">
        <v>2586</v>
      </c>
      <c r="C1128">
        <v>17</v>
      </c>
      <c r="D1128" s="260">
        <v>46128</v>
      </c>
      <c r="E1128" s="260">
        <v>46153</v>
      </c>
      <c r="F1128">
        <v>47</v>
      </c>
      <c r="G1128" t="s">
        <v>350</v>
      </c>
    </row>
    <row r="1129" spans="1:7">
      <c r="A1129" t="s">
        <v>2587</v>
      </c>
      <c r="B1129" t="s">
        <v>2588</v>
      </c>
      <c r="C1129">
        <v>10</v>
      </c>
      <c r="D1129" s="260">
        <v>46168</v>
      </c>
      <c r="E1129" s="260">
        <v>46183</v>
      </c>
      <c r="F1129">
        <v>118</v>
      </c>
      <c r="G1129" t="s">
        <v>350</v>
      </c>
    </row>
    <row r="1130" spans="1:7">
      <c r="A1130" t="s">
        <v>2589</v>
      </c>
      <c r="B1130" t="s">
        <v>2590</v>
      </c>
      <c r="C1130">
        <v>10</v>
      </c>
      <c r="D1130" s="260">
        <v>46198</v>
      </c>
      <c r="E1130" s="260">
        <v>46211</v>
      </c>
      <c r="F1130">
        <v>118</v>
      </c>
      <c r="G1130" t="s">
        <v>350</v>
      </c>
    </row>
    <row r="1131" spans="1:7">
      <c r="A1131" t="s">
        <v>2591</v>
      </c>
      <c r="B1131" t="s">
        <v>2592</v>
      </c>
      <c r="C1131">
        <v>15</v>
      </c>
      <c r="D1131" s="260">
        <v>46148</v>
      </c>
      <c r="E1131" s="260">
        <v>46168</v>
      </c>
      <c r="F1131">
        <v>47</v>
      </c>
      <c r="G1131" t="s">
        <v>350</v>
      </c>
    </row>
    <row r="1132" spans="1:7">
      <c r="A1132" t="s">
        <v>2593</v>
      </c>
      <c r="B1132" t="s">
        <v>2594</v>
      </c>
      <c r="C1132">
        <v>10</v>
      </c>
      <c r="D1132" s="260">
        <v>46185</v>
      </c>
      <c r="E1132" s="260">
        <v>46198</v>
      </c>
      <c r="F1132">
        <v>102</v>
      </c>
      <c r="G1132" t="s">
        <v>350</v>
      </c>
    </row>
    <row r="1133" spans="1:7">
      <c r="A1133" t="s">
        <v>2595</v>
      </c>
      <c r="B1133" t="s">
        <v>2596</v>
      </c>
      <c r="C1133">
        <v>10</v>
      </c>
      <c r="D1133" s="260">
        <v>46213</v>
      </c>
      <c r="E1133" s="260">
        <v>46226</v>
      </c>
      <c r="F1133">
        <v>102</v>
      </c>
      <c r="G1133" t="s">
        <v>350</v>
      </c>
    </row>
    <row r="1134" spans="1:7">
      <c r="A1134" t="s">
        <v>2597</v>
      </c>
      <c r="B1134" t="s">
        <v>2598</v>
      </c>
      <c r="C1134">
        <v>15</v>
      </c>
      <c r="D1134" s="260">
        <v>46148</v>
      </c>
      <c r="E1134" s="260">
        <v>46168</v>
      </c>
      <c r="F1134">
        <v>107</v>
      </c>
      <c r="G1134" t="s">
        <v>350</v>
      </c>
    </row>
    <row r="1135" spans="1:7">
      <c r="A1135" t="s">
        <v>2599</v>
      </c>
      <c r="B1135" t="s">
        <v>2600</v>
      </c>
      <c r="C1135">
        <v>10</v>
      </c>
      <c r="D1135" s="260">
        <v>46185</v>
      </c>
      <c r="E1135" s="260">
        <v>46198</v>
      </c>
      <c r="F1135">
        <v>107</v>
      </c>
      <c r="G1135" t="s">
        <v>350</v>
      </c>
    </row>
    <row r="1136" spans="1:7">
      <c r="A1136" t="s">
        <v>2601</v>
      </c>
      <c r="B1136" t="s">
        <v>2602</v>
      </c>
      <c r="C1136">
        <v>10</v>
      </c>
      <c r="D1136" s="260">
        <v>46213</v>
      </c>
      <c r="E1136" s="260">
        <v>46226</v>
      </c>
      <c r="F1136">
        <v>107</v>
      </c>
      <c r="G1136" t="s">
        <v>350</v>
      </c>
    </row>
    <row r="1137" spans="1:7">
      <c r="A1137" t="s">
        <v>2603</v>
      </c>
      <c r="B1137" t="s">
        <v>2604</v>
      </c>
      <c r="C1137">
        <v>15</v>
      </c>
      <c r="D1137" s="260">
        <v>46148</v>
      </c>
      <c r="E1137" s="260">
        <v>46168</v>
      </c>
      <c r="F1137">
        <v>107</v>
      </c>
      <c r="G1137" t="s">
        <v>350</v>
      </c>
    </row>
    <row r="1138" spans="1:7">
      <c r="A1138" t="s">
        <v>2605</v>
      </c>
      <c r="B1138" t="s">
        <v>2606</v>
      </c>
      <c r="C1138">
        <v>10</v>
      </c>
      <c r="D1138" s="260">
        <v>46185</v>
      </c>
      <c r="E1138" s="260">
        <v>46198</v>
      </c>
      <c r="F1138">
        <v>107</v>
      </c>
      <c r="G1138" t="s">
        <v>350</v>
      </c>
    </row>
    <row r="1139" spans="1:7">
      <c r="A1139" t="s">
        <v>2607</v>
      </c>
      <c r="B1139" t="s">
        <v>2608</v>
      </c>
      <c r="C1139">
        <v>10</v>
      </c>
      <c r="D1139" s="260">
        <v>46213</v>
      </c>
      <c r="E1139" s="260">
        <v>46226</v>
      </c>
      <c r="F1139">
        <v>107</v>
      </c>
      <c r="G1139" t="s">
        <v>350</v>
      </c>
    </row>
    <row r="1140" spans="1:7">
      <c r="A1140" t="s">
        <v>2609</v>
      </c>
      <c r="B1140" t="s">
        <v>2610</v>
      </c>
      <c r="C1140">
        <v>15</v>
      </c>
      <c r="D1140" s="260">
        <v>46148</v>
      </c>
      <c r="E1140" s="260">
        <v>46168</v>
      </c>
      <c r="F1140">
        <v>82</v>
      </c>
      <c r="G1140" t="s">
        <v>350</v>
      </c>
    </row>
    <row r="1141" spans="1:7">
      <c r="A1141" t="s">
        <v>2611</v>
      </c>
      <c r="B1141" t="s">
        <v>2612</v>
      </c>
      <c r="C1141">
        <v>10</v>
      </c>
      <c r="D1141" s="260">
        <v>46185</v>
      </c>
      <c r="E1141" s="260">
        <v>46198</v>
      </c>
      <c r="F1141">
        <v>107</v>
      </c>
      <c r="G1141" t="s">
        <v>350</v>
      </c>
    </row>
    <row r="1142" spans="1:7">
      <c r="A1142" t="s">
        <v>2613</v>
      </c>
      <c r="B1142" t="s">
        <v>2614</v>
      </c>
      <c r="C1142">
        <v>10</v>
      </c>
      <c r="D1142" s="260">
        <v>46213</v>
      </c>
      <c r="E1142" s="260">
        <v>46226</v>
      </c>
      <c r="F1142">
        <v>107</v>
      </c>
      <c r="G1142" t="s">
        <v>350</v>
      </c>
    </row>
    <row r="1143" spans="1:7">
      <c r="A1143" t="s">
        <v>2615</v>
      </c>
      <c r="B1143" t="s">
        <v>2616</v>
      </c>
      <c r="C1143">
        <v>16</v>
      </c>
      <c r="D1143" s="260">
        <v>46154</v>
      </c>
      <c r="E1143" s="260">
        <v>46177</v>
      </c>
      <c r="F1143">
        <v>47</v>
      </c>
      <c r="G1143" t="s">
        <v>350</v>
      </c>
    </row>
    <row r="1144" spans="1:7">
      <c r="A1144" t="s">
        <v>2617</v>
      </c>
      <c r="B1144" t="s">
        <v>2618</v>
      </c>
      <c r="C1144">
        <v>10</v>
      </c>
      <c r="D1144" s="260">
        <v>46192</v>
      </c>
      <c r="E1144" s="260">
        <v>46205</v>
      </c>
      <c r="F1144">
        <v>97</v>
      </c>
      <c r="G1144" t="s">
        <v>350</v>
      </c>
    </row>
    <row r="1145" spans="1:7">
      <c r="A1145" t="s">
        <v>2619</v>
      </c>
      <c r="B1145" t="s">
        <v>2620</v>
      </c>
      <c r="C1145">
        <v>10</v>
      </c>
      <c r="D1145" s="260">
        <v>46220</v>
      </c>
      <c r="E1145" s="260">
        <v>46238</v>
      </c>
      <c r="F1145">
        <v>97</v>
      </c>
      <c r="G1145" t="s">
        <v>350</v>
      </c>
    </row>
    <row r="1146" spans="1:7">
      <c r="A1146" t="s">
        <v>2621</v>
      </c>
      <c r="B1146" t="s">
        <v>2622</v>
      </c>
      <c r="C1146">
        <v>16</v>
      </c>
      <c r="D1146" s="260">
        <v>46154</v>
      </c>
      <c r="E1146" s="260">
        <v>46177</v>
      </c>
      <c r="F1146">
        <v>102</v>
      </c>
      <c r="G1146" t="s">
        <v>350</v>
      </c>
    </row>
    <row r="1147" spans="1:7">
      <c r="A1147" t="s">
        <v>2623</v>
      </c>
      <c r="B1147" t="s">
        <v>2624</v>
      </c>
      <c r="C1147">
        <v>10</v>
      </c>
      <c r="D1147" s="260">
        <v>46192</v>
      </c>
      <c r="E1147" s="260">
        <v>46205</v>
      </c>
      <c r="F1147">
        <v>102</v>
      </c>
      <c r="G1147" t="s">
        <v>350</v>
      </c>
    </row>
    <row r="1148" spans="1:7">
      <c r="A1148" t="s">
        <v>2625</v>
      </c>
      <c r="B1148" t="s">
        <v>2626</v>
      </c>
      <c r="C1148">
        <v>10</v>
      </c>
      <c r="D1148" s="260">
        <v>46220</v>
      </c>
      <c r="E1148" s="260">
        <v>46238</v>
      </c>
      <c r="F1148">
        <v>102</v>
      </c>
      <c r="G1148" t="s">
        <v>350</v>
      </c>
    </row>
    <row r="1149" spans="1:7">
      <c r="A1149" t="s">
        <v>2627</v>
      </c>
      <c r="B1149" t="s">
        <v>2628</v>
      </c>
      <c r="C1149">
        <v>16</v>
      </c>
      <c r="D1149" s="260">
        <v>46154</v>
      </c>
      <c r="E1149" s="260">
        <v>46177</v>
      </c>
      <c r="F1149">
        <v>102</v>
      </c>
      <c r="G1149" t="s">
        <v>350</v>
      </c>
    </row>
    <row r="1150" spans="1:7">
      <c r="A1150" t="s">
        <v>2629</v>
      </c>
      <c r="B1150" t="s">
        <v>2630</v>
      </c>
      <c r="C1150">
        <v>10</v>
      </c>
      <c r="D1150" s="260">
        <v>46192</v>
      </c>
      <c r="E1150" s="260">
        <v>46205</v>
      </c>
      <c r="F1150">
        <v>102</v>
      </c>
      <c r="G1150" t="s">
        <v>350</v>
      </c>
    </row>
    <row r="1151" spans="1:7">
      <c r="A1151" t="s">
        <v>2631</v>
      </c>
      <c r="B1151" t="s">
        <v>2632</v>
      </c>
      <c r="C1151">
        <v>10</v>
      </c>
      <c r="D1151" s="260">
        <v>46220</v>
      </c>
      <c r="E1151" s="260">
        <v>46238</v>
      </c>
      <c r="F1151">
        <v>102</v>
      </c>
      <c r="G1151" t="s">
        <v>350</v>
      </c>
    </row>
    <row r="1152" spans="1:7">
      <c r="A1152" t="s">
        <v>2633</v>
      </c>
      <c r="B1152" t="s">
        <v>2634</v>
      </c>
      <c r="C1152">
        <v>16</v>
      </c>
      <c r="D1152" s="260">
        <v>46154</v>
      </c>
      <c r="E1152" s="260">
        <v>46177</v>
      </c>
      <c r="F1152">
        <v>80</v>
      </c>
      <c r="G1152" t="s">
        <v>350</v>
      </c>
    </row>
    <row r="1153" spans="1:7">
      <c r="A1153" t="s">
        <v>2635</v>
      </c>
      <c r="B1153" t="s">
        <v>2636</v>
      </c>
      <c r="C1153">
        <v>10</v>
      </c>
      <c r="D1153" s="260">
        <v>46192</v>
      </c>
      <c r="E1153" s="260">
        <v>46205</v>
      </c>
      <c r="F1153">
        <v>102</v>
      </c>
      <c r="G1153" t="s">
        <v>350</v>
      </c>
    </row>
    <row r="1154" spans="1:7">
      <c r="A1154" t="s">
        <v>2637</v>
      </c>
      <c r="B1154" t="s">
        <v>2638</v>
      </c>
      <c r="C1154">
        <v>10</v>
      </c>
      <c r="D1154" s="260">
        <v>46220</v>
      </c>
      <c r="E1154" s="260">
        <v>46238</v>
      </c>
      <c r="F1154">
        <v>102</v>
      </c>
      <c r="G1154" t="s">
        <v>350</v>
      </c>
    </row>
    <row r="1155" spans="1:7">
      <c r="A1155" t="s">
        <v>2639</v>
      </c>
      <c r="B1155" t="s">
        <v>2640</v>
      </c>
      <c r="C1155">
        <v>20</v>
      </c>
      <c r="D1155" s="260">
        <v>46147</v>
      </c>
      <c r="E1155" s="260">
        <v>46175</v>
      </c>
      <c r="F1155">
        <v>47</v>
      </c>
      <c r="G1155" t="s">
        <v>350</v>
      </c>
    </row>
    <row r="1156" spans="1:7">
      <c r="A1156" t="s">
        <v>2641</v>
      </c>
      <c r="B1156" t="s">
        <v>2642</v>
      </c>
      <c r="C1156">
        <v>10</v>
      </c>
      <c r="D1156" s="260">
        <v>46191</v>
      </c>
      <c r="E1156" s="260">
        <v>46204</v>
      </c>
      <c r="F1156">
        <v>103</v>
      </c>
      <c r="G1156" t="s">
        <v>350</v>
      </c>
    </row>
    <row r="1157" spans="1:7">
      <c r="A1157" t="s">
        <v>2643</v>
      </c>
      <c r="B1157" t="s">
        <v>2644</v>
      </c>
      <c r="C1157">
        <v>10</v>
      </c>
      <c r="D1157" s="260">
        <v>46219</v>
      </c>
      <c r="E1157" s="260">
        <v>46237</v>
      </c>
      <c r="F1157">
        <v>103</v>
      </c>
      <c r="G1157" t="s">
        <v>350</v>
      </c>
    </row>
    <row r="1158" spans="1:7">
      <c r="A1158" t="s">
        <v>2645</v>
      </c>
      <c r="B1158" t="s">
        <v>2646</v>
      </c>
      <c r="C1158">
        <v>11</v>
      </c>
      <c r="D1158" s="260">
        <v>46162</v>
      </c>
      <c r="E1158" s="260">
        <v>46178</v>
      </c>
      <c r="F1158">
        <v>101</v>
      </c>
      <c r="G1158" t="s">
        <v>350</v>
      </c>
    </row>
    <row r="1159" spans="1:7">
      <c r="A1159" t="s">
        <v>2647</v>
      </c>
      <c r="B1159" t="s">
        <v>2648</v>
      </c>
      <c r="C1159">
        <v>10</v>
      </c>
      <c r="D1159" s="260">
        <v>46195</v>
      </c>
      <c r="E1159" s="260">
        <v>46206</v>
      </c>
      <c r="F1159">
        <v>110</v>
      </c>
      <c r="G1159" t="s">
        <v>350</v>
      </c>
    </row>
    <row r="1160" spans="1:7">
      <c r="A1160" t="s">
        <v>2649</v>
      </c>
      <c r="B1160" t="s">
        <v>2650</v>
      </c>
      <c r="C1160">
        <v>10</v>
      </c>
      <c r="D1160" s="260">
        <v>46223</v>
      </c>
      <c r="E1160" s="260">
        <v>46239</v>
      </c>
      <c r="F1160">
        <v>110</v>
      </c>
      <c r="G1160" t="s">
        <v>350</v>
      </c>
    </row>
    <row r="1161" spans="1:7">
      <c r="A1161" t="s">
        <v>2651</v>
      </c>
      <c r="B1161" t="s">
        <v>2652</v>
      </c>
      <c r="C1161">
        <v>11</v>
      </c>
      <c r="D1161" s="260">
        <v>46162</v>
      </c>
      <c r="E1161" s="260">
        <v>46178</v>
      </c>
      <c r="F1161">
        <v>110</v>
      </c>
      <c r="G1161" t="s">
        <v>350</v>
      </c>
    </row>
    <row r="1162" spans="1:7">
      <c r="A1162" t="s">
        <v>2653</v>
      </c>
      <c r="B1162" t="s">
        <v>2654</v>
      </c>
      <c r="C1162">
        <v>10</v>
      </c>
      <c r="D1162" s="260">
        <v>46195</v>
      </c>
      <c r="E1162" s="260">
        <v>46206</v>
      </c>
      <c r="F1162">
        <v>110</v>
      </c>
      <c r="G1162" t="s">
        <v>350</v>
      </c>
    </row>
    <row r="1163" spans="1:7">
      <c r="A1163" t="s">
        <v>2655</v>
      </c>
      <c r="B1163" t="s">
        <v>2656</v>
      </c>
      <c r="C1163">
        <v>10</v>
      </c>
      <c r="D1163" s="260">
        <v>46223</v>
      </c>
      <c r="E1163" s="260">
        <v>46239</v>
      </c>
      <c r="F1163">
        <v>110</v>
      </c>
      <c r="G1163" t="s">
        <v>350</v>
      </c>
    </row>
    <row r="1164" spans="1:7">
      <c r="A1164" t="s">
        <v>2657</v>
      </c>
      <c r="B1164" t="s">
        <v>2658</v>
      </c>
      <c r="C1164">
        <v>11</v>
      </c>
      <c r="D1164" s="260">
        <v>46162</v>
      </c>
      <c r="E1164" s="260">
        <v>46178</v>
      </c>
      <c r="F1164">
        <v>101</v>
      </c>
      <c r="G1164" t="s">
        <v>350</v>
      </c>
    </row>
    <row r="1165" spans="1:7">
      <c r="A1165" t="s">
        <v>2659</v>
      </c>
      <c r="B1165" t="s">
        <v>2660</v>
      </c>
      <c r="C1165">
        <v>10</v>
      </c>
      <c r="D1165" s="260">
        <v>46195</v>
      </c>
      <c r="E1165" s="260">
        <v>46206</v>
      </c>
      <c r="F1165">
        <v>101</v>
      </c>
      <c r="G1165" t="s">
        <v>350</v>
      </c>
    </row>
    <row r="1166" spans="1:7">
      <c r="A1166" t="s">
        <v>2661</v>
      </c>
      <c r="B1166" t="s">
        <v>2662</v>
      </c>
      <c r="C1166">
        <v>10</v>
      </c>
      <c r="D1166" s="260">
        <v>46223</v>
      </c>
      <c r="E1166" s="260">
        <v>46239</v>
      </c>
      <c r="F1166">
        <v>101</v>
      </c>
      <c r="G1166" t="s">
        <v>350</v>
      </c>
    </row>
    <row r="1167" spans="1:7">
      <c r="A1167" t="s">
        <v>2663</v>
      </c>
      <c r="C1167">
        <v>50</v>
      </c>
      <c r="D1167" s="260">
        <v>46178</v>
      </c>
      <c r="E1167" s="260">
        <v>46253</v>
      </c>
      <c r="F1167">
        <v>92</v>
      </c>
      <c r="G1167" t="s">
        <v>350</v>
      </c>
    </row>
    <row r="1168" spans="1:7">
      <c r="A1168" t="s">
        <v>2664</v>
      </c>
      <c r="B1168" t="s">
        <v>2665</v>
      </c>
      <c r="C1168">
        <v>10</v>
      </c>
      <c r="D1168" s="260">
        <v>46178</v>
      </c>
      <c r="E1168" s="260">
        <v>46191</v>
      </c>
      <c r="F1168">
        <v>47</v>
      </c>
      <c r="G1168" t="s">
        <v>350</v>
      </c>
    </row>
    <row r="1169" spans="1:7">
      <c r="A1169" t="s">
        <v>2666</v>
      </c>
      <c r="B1169" t="s">
        <v>2667</v>
      </c>
      <c r="C1169">
        <v>5</v>
      </c>
      <c r="D1169" s="260">
        <v>46206</v>
      </c>
      <c r="E1169" s="260">
        <v>46212</v>
      </c>
      <c r="F1169">
        <v>102</v>
      </c>
      <c r="G1169" t="s">
        <v>350</v>
      </c>
    </row>
    <row r="1170" spans="1:7">
      <c r="A1170" t="s">
        <v>2668</v>
      </c>
      <c r="B1170" t="s">
        <v>2669</v>
      </c>
      <c r="C1170">
        <v>5</v>
      </c>
      <c r="D1170" s="260">
        <v>46239</v>
      </c>
      <c r="E1170" s="260">
        <v>46245</v>
      </c>
      <c r="F1170">
        <v>97</v>
      </c>
      <c r="G1170" t="s">
        <v>350</v>
      </c>
    </row>
    <row r="1171" spans="1:7">
      <c r="A1171" t="s">
        <v>2670</v>
      </c>
      <c r="B1171" t="s">
        <v>2671</v>
      </c>
      <c r="C1171">
        <v>10</v>
      </c>
      <c r="D1171" s="260">
        <v>46192</v>
      </c>
      <c r="E1171" s="260">
        <v>46205</v>
      </c>
      <c r="F1171">
        <v>47</v>
      </c>
      <c r="G1171" t="s">
        <v>350</v>
      </c>
    </row>
    <row r="1172" spans="1:7">
      <c r="A1172" t="s">
        <v>2672</v>
      </c>
      <c r="B1172" t="s">
        <v>2673</v>
      </c>
      <c r="C1172">
        <v>5</v>
      </c>
      <c r="D1172" s="260">
        <v>46220</v>
      </c>
      <c r="E1172" s="260">
        <v>46226</v>
      </c>
      <c r="F1172">
        <v>92</v>
      </c>
      <c r="G1172" t="s">
        <v>350</v>
      </c>
    </row>
    <row r="1173" spans="1:7">
      <c r="A1173" t="s">
        <v>2674</v>
      </c>
      <c r="B1173" t="s">
        <v>2675</v>
      </c>
      <c r="C1173">
        <v>5</v>
      </c>
      <c r="D1173" s="260">
        <v>46247</v>
      </c>
      <c r="E1173" s="260">
        <v>46253</v>
      </c>
      <c r="F1173">
        <v>92</v>
      </c>
      <c r="G1173" t="s">
        <v>350</v>
      </c>
    </row>
    <row r="1174" spans="1:7">
      <c r="A1174" t="s">
        <v>2676</v>
      </c>
      <c r="B1174" t="s">
        <v>2677</v>
      </c>
      <c r="C1174">
        <v>10</v>
      </c>
      <c r="D1174" s="260">
        <v>46192</v>
      </c>
      <c r="E1174" s="260">
        <v>46205</v>
      </c>
      <c r="F1174">
        <v>47</v>
      </c>
      <c r="G1174" t="s">
        <v>350</v>
      </c>
    </row>
    <row r="1175" spans="1:7">
      <c r="A1175" t="s">
        <v>2678</v>
      </c>
      <c r="B1175" t="s">
        <v>2679</v>
      </c>
      <c r="C1175">
        <v>5</v>
      </c>
      <c r="D1175" s="260">
        <v>46220</v>
      </c>
      <c r="E1175" s="260">
        <v>46226</v>
      </c>
      <c r="F1175">
        <v>92</v>
      </c>
      <c r="G1175" t="s">
        <v>350</v>
      </c>
    </row>
    <row r="1176" spans="1:7">
      <c r="A1176" t="s">
        <v>2680</v>
      </c>
      <c r="B1176" t="s">
        <v>2681</v>
      </c>
      <c r="C1176">
        <v>5</v>
      </c>
      <c r="D1176" s="260">
        <v>46247</v>
      </c>
      <c r="E1176" s="260">
        <v>46253</v>
      </c>
      <c r="F1176">
        <v>92</v>
      </c>
      <c r="G1176" t="s">
        <v>350</v>
      </c>
    </row>
    <row r="1177" spans="1:7">
      <c r="A1177" t="s">
        <v>2682</v>
      </c>
      <c r="B1177" t="s">
        <v>2683</v>
      </c>
      <c r="C1177">
        <v>10</v>
      </c>
      <c r="D1177" s="260">
        <v>46192</v>
      </c>
      <c r="E1177" s="260">
        <v>46205</v>
      </c>
      <c r="F1177">
        <v>47</v>
      </c>
      <c r="G1177" t="s">
        <v>350</v>
      </c>
    </row>
    <row r="1178" spans="1:7">
      <c r="A1178" t="s">
        <v>2684</v>
      </c>
      <c r="B1178" t="s">
        <v>2685</v>
      </c>
      <c r="C1178">
        <v>5</v>
      </c>
      <c r="D1178" s="260">
        <v>46220</v>
      </c>
      <c r="E1178" s="260">
        <v>46226</v>
      </c>
      <c r="F1178">
        <v>92</v>
      </c>
      <c r="G1178" t="s">
        <v>350</v>
      </c>
    </row>
    <row r="1179" spans="1:7">
      <c r="A1179" t="s">
        <v>2686</v>
      </c>
      <c r="B1179" t="s">
        <v>2687</v>
      </c>
      <c r="C1179">
        <v>5</v>
      </c>
      <c r="D1179" s="260">
        <v>46247</v>
      </c>
      <c r="E1179" s="260">
        <v>46253</v>
      </c>
      <c r="F1179">
        <v>92</v>
      </c>
      <c r="G1179" t="s">
        <v>350</v>
      </c>
    </row>
    <row r="1180" spans="1:7">
      <c r="A1180" t="s">
        <v>2688</v>
      </c>
      <c r="C1180">
        <v>85</v>
      </c>
      <c r="D1180" s="260">
        <v>46192</v>
      </c>
      <c r="E1180" s="260">
        <v>46317</v>
      </c>
      <c r="F1180">
        <v>47</v>
      </c>
      <c r="G1180" t="s">
        <v>350</v>
      </c>
    </row>
    <row r="1181" spans="1:7">
      <c r="A1181" t="s">
        <v>2689</v>
      </c>
      <c r="B1181" t="s">
        <v>2690</v>
      </c>
      <c r="C1181">
        <v>10</v>
      </c>
      <c r="D1181" s="260">
        <v>46192</v>
      </c>
      <c r="E1181" s="260">
        <v>46205</v>
      </c>
      <c r="F1181">
        <v>57</v>
      </c>
      <c r="G1181" t="s">
        <v>350</v>
      </c>
    </row>
    <row r="1182" spans="1:7">
      <c r="A1182" t="s">
        <v>2691</v>
      </c>
      <c r="B1182" t="s">
        <v>2692</v>
      </c>
      <c r="C1182">
        <v>5</v>
      </c>
      <c r="D1182" s="260">
        <v>46296</v>
      </c>
      <c r="E1182" s="260">
        <v>46302</v>
      </c>
      <c r="F1182">
        <v>57</v>
      </c>
      <c r="G1182" t="s">
        <v>350</v>
      </c>
    </row>
    <row r="1183" spans="1:7">
      <c r="A1183" t="s">
        <v>2693</v>
      </c>
      <c r="B1183" t="s">
        <v>2694</v>
      </c>
      <c r="C1183">
        <v>10</v>
      </c>
      <c r="D1183" s="260">
        <v>46206</v>
      </c>
      <c r="E1183" s="260">
        <v>46219</v>
      </c>
      <c r="F1183">
        <v>47</v>
      </c>
      <c r="G1183" t="s">
        <v>350</v>
      </c>
    </row>
    <row r="1184" spans="1:7">
      <c r="A1184" t="s">
        <v>2695</v>
      </c>
      <c r="B1184" t="s">
        <v>2696</v>
      </c>
      <c r="C1184">
        <v>5</v>
      </c>
      <c r="D1184" s="260">
        <v>46311</v>
      </c>
      <c r="E1184" s="260">
        <v>46317</v>
      </c>
      <c r="F1184">
        <v>47</v>
      </c>
      <c r="G1184" t="s">
        <v>350</v>
      </c>
    </row>
    <row r="1185" spans="1:7">
      <c r="A1185" t="s">
        <v>2697</v>
      </c>
      <c r="B1185" t="s">
        <v>2698</v>
      </c>
      <c r="C1185">
        <v>10</v>
      </c>
      <c r="D1185" s="260">
        <v>46206</v>
      </c>
      <c r="E1185" s="260">
        <v>46219</v>
      </c>
      <c r="F1185">
        <v>47</v>
      </c>
      <c r="G1185" t="s">
        <v>350</v>
      </c>
    </row>
    <row r="1186" spans="1:7">
      <c r="A1186" t="s">
        <v>2699</v>
      </c>
      <c r="B1186" t="s">
        <v>2700</v>
      </c>
      <c r="C1186">
        <v>5</v>
      </c>
      <c r="D1186" s="260">
        <v>46311</v>
      </c>
      <c r="E1186" s="260">
        <v>46317</v>
      </c>
      <c r="F1186">
        <v>47</v>
      </c>
      <c r="G1186" t="s">
        <v>350</v>
      </c>
    </row>
    <row r="1187" spans="1:7">
      <c r="A1187" t="s">
        <v>2701</v>
      </c>
      <c r="B1187" t="s">
        <v>2702</v>
      </c>
      <c r="C1187">
        <v>10</v>
      </c>
      <c r="D1187" s="260">
        <v>46206</v>
      </c>
      <c r="E1187" s="260">
        <v>46219</v>
      </c>
      <c r="F1187">
        <v>47</v>
      </c>
      <c r="G1187" t="s">
        <v>350</v>
      </c>
    </row>
    <row r="1188" spans="1:7">
      <c r="A1188" t="s">
        <v>2703</v>
      </c>
      <c r="B1188" t="s">
        <v>2704</v>
      </c>
      <c r="C1188">
        <v>5</v>
      </c>
      <c r="D1188" s="260">
        <v>46311</v>
      </c>
      <c r="E1188" s="260">
        <v>46317</v>
      </c>
      <c r="F1188">
        <v>47</v>
      </c>
      <c r="G1188" t="s">
        <v>350</v>
      </c>
    </row>
    <row r="1189" spans="1:7">
      <c r="A1189" t="s">
        <v>2705</v>
      </c>
      <c r="C1189">
        <v>40</v>
      </c>
      <c r="D1189" s="260">
        <v>46239</v>
      </c>
      <c r="E1189" s="260">
        <v>46295</v>
      </c>
      <c r="F1189">
        <v>47</v>
      </c>
      <c r="G1189" t="s">
        <v>350</v>
      </c>
    </row>
    <row r="1190" spans="1:7">
      <c r="A1190" t="s">
        <v>2706</v>
      </c>
      <c r="B1190" t="s">
        <v>2707</v>
      </c>
      <c r="C1190">
        <v>15</v>
      </c>
      <c r="D1190" s="260">
        <v>46239</v>
      </c>
      <c r="E1190" s="260">
        <v>46260</v>
      </c>
      <c r="F1190">
        <v>57</v>
      </c>
      <c r="G1190" t="s">
        <v>350</v>
      </c>
    </row>
    <row r="1191" spans="1:7">
      <c r="A1191" t="s">
        <v>2708</v>
      </c>
      <c r="B1191" t="s">
        <v>2709</v>
      </c>
      <c r="C1191">
        <v>5</v>
      </c>
      <c r="D1191" s="260">
        <v>46275</v>
      </c>
      <c r="E1191" s="260">
        <v>46281</v>
      </c>
      <c r="F1191">
        <v>57</v>
      </c>
      <c r="G1191" t="s">
        <v>350</v>
      </c>
    </row>
    <row r="1192" spans="1:7">
      <c r="A1192" t="s">
        <v>2710</v>
      </c>
      <c r="B1192" t="s">
        <v>2711</v>
      </c>
      <c r="C1192">
        <v>15</v>
      </c>
      <c r="D1192" s="260">
        <v>46254</v>
      </c>
      <c r="E1192" s="260">
        <v>46274</v>
      </c>
      <c r="F1192">
        <v>47</v>
      </c>
      <c r="G1192" t="s">
        <v>350</v>
      </c>
    </row>
    <row r="1193" spans="1:7">
      <c r="A1193" t="s">
        <v>2712</v>
      </c>
      <c r="B1193" t="s">
        <v>2713</v>
      </c>
      <c r="C1193">
        <v>5</v>
      </c>
      <c r="D1193" s="260">
        <v>46289</v>
      </c>
      <c r="E1193" s="260">
        <v>46295</v>
      </c>
      <c r="F1193">
        <v>47</v>
      </c>
      <c r="G1193" t="s">
        <v>350</v>
      </c>
    </row>
    <row r="1194" spans="1:7">
      <c r="A1194" t="s">
        <v>2714</v>
      </c>
      <c r="B1194" t="s">
        <v>2715</v>
      </c>
      <c r="C1194">
        <v>15</v>
      </c>
      <c r="D1194" s="260">
        <v>46254</v>
      </c>
      <c r="E1194" s="260">
        <v>46274</v>
      </c>
      <c r="F1194">
        <v>47</v>
      </c>
      <c r="G1194" t="s">
        <v>350</v>
      </c>
    </row>
    <row r="1195" spans="1:7">
      <c r="A1195" t="s">
        <v>2716</v>
      </c>
      <c r="B1195" t="s">
        <v>2717</v>
      </c>
      <c r="C1195">
        <v>5</v>
      </c>
      <c r="D1195" s="260">
        <v>46289</v>
      </c>
      <c r="E1195" s="260">
        <v>46295</v>
      </c>
      <c r="F1195">
        <v>47</v>
      </c>
      <c r="G1195" t="s">
        <v>350</v>
      </c>
    </row>
    <row r="1196" spans="1:7">
      <c r="A1196" t="s">
        <v>2718</v>
      </c>
      <c r="B1196" t="s">
        <v>2719</v>
      </c>
      <c r="C1196">
        <v>15</v>
      </c>
      <c r="D1196" s="260">
        <v>46254</v>
      </c>
      <c r="E1196" s="260">
        <v>46274</v>
      </c>
      <c r="F1196">
        <v>47</v>
      </c>
      <c r="G1196" t="s">
        <v>350</v>
      </c>
    </row>
    <row r="1197" spans="1:7">
      <c r="A1197" t="s">
        <v>2720</v>
      </c>
      <c r="B1197" t="s">
        <v>2721</v>
      </c>
      <c r="C1197">
        <v>5</v>
      </c>
      <c r="D1197" s="260">
        <v>46289</v>
      </c>
      <c r="E1197" s="260">
        <v>46295</v>
      </c>
      <c r="F1197">
        <v>47</v>
      </c>
      <c r="G1197" t="s">
        <v>350</v>
      </c>
    </row>
    <row r="1198" spans="1:7">
      <c r="A1198" t="s">
        <v>2722</v>
      </c>
      <c r="C1198">
        <v>151</v>
      </c>
      <c r="D1198" s="260">
        <v>46112</v>
      </c>
      <c r="E1198" s="260">
        <v>46339</v>
      </c>
      <c r="F1198">
        <v>32</v>
      </c>
      <c r="G1198" t="s">
        <v>350</v>
      </c>
    </row>
    <row r="1199" spans="1:7">
      <c r="A1199" t="s">
        <v>2723</v>
      </c>
      <c r="B1199" t="s">
        <v>2724</v>
      </c>
      <c r="C1199">
        <v>10</v>
      </c>
      <c r="D1199" s="260">
        <v>46113</v>
      </c>
      <c r="E1199" s="260">
        <v>46132</v>
      </c>
      <c r="F1199">
        <v>-45</v>
      </c>
      <c r="G1199" t="s">
        <v>350</v>
      </c>
    </row>
    <row r="1200" spans="1:7">
      <c r="A1200" t="s">
        <v>2725</v>
      </c>
      <c r="B1200" t="s">
        <v>2726</v>
      </c>
      <c r="C1200">
        <v>5</v>
      </c>
      <c r="D1200" s="260">
        <v>46155</v>
      </c>
      <c r="E1200" s="260">
        <v>46161</v>
      </c>
      <c r="F1200">
        <v>33</v>
      </c>
      <c r="G1200" t="s">
        <v>350</v>
      </c>
    </row>
    <row r="1201" spans="1:7">
      <c r="A1201" t="s">
        <v>2727</v>
      </c>
      <c r="B1201" t="s">
        <v>2728</v>
      </c>
      <c r="C1201">
        <v>5</v>
      </c>
      <c r="D1201" s="260">
        <v>46178</v>
      </c>
      <c r="E1201" s="260">
        <v>46184</v>
      </c>
      <c r="F1201">
        <v>33</v>
      </c>
      <c r="G1201" t="s">
        <v>350</v>
      </c>
    </row>
    <row r="1202" spans="1:7">
      <c r="A1202" t="s">
        <v>2729</v>
      </c>
      <c r="B1202" t="s">
        <v>2730</v>
      </c>
      <c r="C1202">
        <v>10</v>
      </c>
      <c r="D1202" s="260">
        <v>46120</v>
      </c>
      <c r="E1202" s="260">
        <v>46136</v>
      </c>
      <c r="F1202">
        <v>58</v>
      </c>
      <c r="G1202" t="s">
        <v>350</v>
      </c>
    </row>
    <row r="1203" spans="1:7">
      <c r="A1203" t="s">
        <v>2731</v>
      </c>
      <c r="B1203" t="s">
        <v>2732</v>
      </c>
      <c r="C1203">
        <v>10</v>
      </c>
      <c r="D1203" s="260">
        <v>46162</v>
      </c>
      <c r="E1203" s="260">
        <v>46177</v>
      </c>
      <c r="F1203">
        <v>82</v>
      </c>
      <c r="G1203" t="s">
        <v>350</v>
      </c>
    </row>
    <row r="1204" spans="1:7">
      <c r="A1204" t="s">
        <v>2733</v>
      </c>
      <c r="B1204" t="s">
        <v>2734</v>
      </c>
      <c r="C1204">
        <v>5</v>
      </c>
      <c r="D1204" s="260">
        <v>46192</v>
      </c>
      <c r="E1204" s="260">
        <v>46198</v>
      </c>
      <c r="F1204">
        <v>87</v>
      </c>
      <c r="G1204" t="s">
        <v>350</v>
      </c>
    </row>
    <row r="1205" spans="1:7">
      <c r="A1205" t="s">
        <v>2735</v>
      </c>
      <c r="B1205" t="s">
        <v>2736</v>
      </c>
      <c r="C1205">
        <v>10</v>
      </c>
      <c r="D1205" s="260">
        <v>46120</v>
      </c>
      <c r="E1205" s="260">
        <v>46136</v>
      </c>
      <c r="F1205">
        <v>83</v>
      </c>
      <c r="G1205" t="s">
        <v>350</v>
      </c>
    </row>
    <row r="1206" spans="1:7">
      <c r="A1206" t="s">
        <v>2737</v>
      </c>
      <c r="B1206" t="s">
        <v>2738</v>
      </c>
      <c r="C1206">
        <v>10</v>
      </c>
      <c r="D1206" s="260">
        <v>46162</v>
      </c>
      <c r="E1206" s="260">
        <v>46177</v>
      </c>
      <c r="F1206">
        <v>92</v>
      </c>
      <c r="G1206" t="s">
        <v>350</v>
      </c>
    </row>
    <row r="1207" spans="1:7">
      <c r="A1207" t="s">
        <v>2739</v>
      </c>
      <c r="B1207" t="s">
        <v>2740</v>
      </c>
      <c r="C1207">
        <v>5</v>
      </c>
      <c r="D1207" s="260">
        <v>46192</v>
      </c>
      <c r="E1207" s="260">
        <v>46198</v>
      </c>
      <c r="F1207">
        <v>97</v>
      </c>
      <c r="G1207" t="s">
        <v>350</v>
      </c>
    </row>
    <row r="1208" spans="1:7">
      <c r="A1208" t="s">
        <v>2741</v>
      </c>
      <c r="B1208" t="s">
        <v>2742</v>
      </c>
      <c r="C1208">
        <v>15</v>
      </c>
      <c r="D1208" s="260">
        <v>46178</v>
      </c>
      <c r="E1208" s="260">
        <v>46198</v>
      </c>
      <c r="F1208">
        <v>32</v>
      </c>
      <c r="G1208" t="s">
        <v>350</v>
      </c>
    </row>
    <row r="1209" spans="1:7">
      <c r="A1209" t="s">
        <v>2743</v>
      </c>
      <c r="B1209" t="s">
        <v>2744</v>
      </c>
      <c r="C1209">
        <v>10</v>
      </c>
      <c r="D1209" s="260">
        <v>46213</v>
      </c>
      <c r="E1209" s="260">
        <v>46226</v>
      </c>
      <c r="F1209">
        <v>67</v>
      </c>
      <c r="G1209" t="s">
        <v>350</v>
      </c>
    </row>
    <row r="1210" spans="1:7">
      <c r="A1210" t="s">
        <v>2745</v>
      </c>
      <c r="B1210" t="s">
        <v>2746</v>
      </c>
      <c r="C1210">
        <v>5</v>
      </c>
      <c r="D1210" s="260">
        <v>46247</v>
      </c>
      <c r="E1210" s="260">
        <v>46253</v>
      </c>
      <c r="F1210">
        <v>87</v>
      </c>
      <c r="G1210" t="s">
        <v>350</v>
      </c>
    </row>
    <row r="1211" spans="1:7">
      <c r="A1211" t="s">
        <v>2747</v>
      </c>
      <c r="B1211" t="s">
        <v>2748</v>
      </c>
      <c r="C1211">
        <v>15</v>
      </c>
      <c r="D1211" s="260">
        <v>46199</v>
      </c>
      <c r="E1211" s="260">
        <v>46219</v>
      </c>
      <c r="F1211">
        <v>72</v>
      </c>
      <c r="G1211" t="s">
        <v>350</v>
      </c>
    </row>
    <row r="1212" spans="1:7">
      <c r="A1212" t="s">
        <v>2749</v>
      </c>
      <c r="B1212" t="s">
        <v>2750</v>
      </c>
      <c r="C1212">
        <v>5</v>
      </c>
      <c r="D1212" s="260">
        <v>46275</v>
      </c>
      <c r="E1212" s="260">
        <v>46281</v>
      </c>
      <c r="F1212">
        <v>72</v>
      </c>
      <c r="G1212" t="s">
        <v>350</v>
      </c>
    </row>
    <row r="1213" spans="1:7">
      <c r="A1213" t="s">
        <v>2751</v>
      </c>
      <c r="B1213" t="s">
        <v>2752</v>
      </c>
      <c r="C1213">
        <v>15</v>
      </c>
      <c r="D1213" s="260">
        <v>46178</v>
      </c>
      <c r="E1213" s="260">
        <v>46198</v>
      </c>
      <c r="F1213">
        <v>72</v>
      </c>
      <c r="G1213" t="s">
        <v>350</v>
      </c>
    </row>
    <row r="1214" spans="1:7">
      <c r="A1214" t="s">
        <v>2753</v>
      </c>
      <c r="B1214" t="s">
        <v>2754</v>
      </c>
      <c r="C1214">
        <v>10</v>
      </c>
      <c r="D1214" s="260">
        <v>46227</v>
      </c>
      <c r="E1214" s="260">
        <v>46245</v>
      </c>
      <c r="F1214">
        <v>67</v>
      </c>
      <c r="G1214" t="s">
        <v>350</v>
      </c>
    </row>
    <row r="1215" spans="1:7">
      <c r="A1215" t="s">
        <v>2755</v>
      </c>
      <c r="B1215" t="s">
        <v>2756</v>
      </c>
      <c r="C1215">
        <v>5</v>
      </c>
      <c r="D1215" s="260">
        <v>46261</v>
      </c>
      <c r="E1215" s="260">
        <v>46267</v>
      </c>
      <c r="F1215">
        <v>72</v>
      </c>
      <c r="G1215" t="s">
        <v>350</v>
      </c>
    </row>
    <row r="1216" spans="1:7">
      <c r="A1216" t="s">
        <v>2757</v>
      </c>
      <c r="B1216" t="s">
        <v>2758</v>
      </c>
      <c r="C1216">
        <v>15</v>
      </c>
      <c r="D1216" s="260">
        <v>46199</v>
      </c>
      <c r="E1216" s="260">
        <v>46219</v>
      </c>
      <c r="F1216">
        <v>42</v>
      </c>
      <c r="G1216" t="s">
        <v>350</v>
      </c>
    </row>
    <row r="1217" spans="1:7">
      <c r="A1217" t="s">
        <v>2759</v>
      </c>
      <c r="B1217" t="s">
        <v>2760</v>
      </c>
      <c r="C1217">
        <v>10</v>
      </c>
      <c r="D1217" s="260">
        <v>46239</v>
      </c>
      <c r="E1217" s="260">
        <v>46253</v>
      </c>
      <c r="F1217">
        <v>77</v>
      </c>
      <c r="G1217" t="s">
        <v>350</v>
      </c>
    </row>
    <row r="1218" spans="1:7">
      <c r="A1218" t="s">
        <v>2761</v>
      </c>
      <c r="B1218" t="s">
        <v>2762</v>
      </c>
      <c r="C1218">
        <v>5</v>
      </c>
      <c r="D1218" s="260">
        <v>46268</v>
      </c>
      <c r="E1218" s="260">
        <v>46274</v>
      </c>
      <c r="F1218">
        <v>77</v>
      </c>
      <c r="G1218" t="s">
        <v>350</v>
      </c>
    </row>
    <row r="1219" spans="1:7">
      <c r="A1219" t="s">
        <v>2763</v>
      </c>
      <c r="B1219" t="s">
        <v>2764</v>
      </c>
      <c r="C1219">
        <v>15</v>
      </c>
      <c r="D1219" s="260">
        <v>46199</v>
      </c>
      <c r="E1219" s="260">
        <v>46219</v>
      </c>
      <c r="F1219">
        <v>42</v>
      </c>
      <c r="G1219" t="s">
        <v>350</v>
      </c>
    </row>
    <row r="1220" spans="1:7">
      <c r="A1220" t="s">
        <v>2765</v>
      </c>
      <c r="B1220" t="s">
        <v>2766</v>
      </c>
      <c r="C1220">
        <v>10</v>
      </c>
      <c r="D1220" s="260">
        <v>46239</v>
      </c>
      <c r="E1220" s="260">
        <v>46253</v>
      </c>
      <c r="F1220">
        <v>77</v>
      </c>
      <c r="G1220" t="s">
        <v>350</v>
      </c>
    </row>
    <row r="1221" spans="1:7">
      <c r="A1221" t="s">
        <v>2767</v>
      </c>
      <c r="B1221" t="s">
        <v>2768</v>
      </c>
      <c r="C1221">
        <v>5</v>
      </c>
      <c r="D1221" s="260">
        <v>46268</v>
      </c>
      <c r="E1221" s="260">
        <v>46274</v>
      </c>
      <c r="F1221">
        <v>77</v>
      </c>
      <c r="G1221" t="s">
        <v>350</v>
      </c>
    </row>
    <row r="1222" spans="1:7">
      <c r="A1222" t="s">
        <v>2769</v>
      </c>
      <c r="B1222" t="s">
        <v>2770</v>
      </c>
      <c r="C1222">
        <v>15</v>
      </c>
      <c r="D1222" s="260">
        <v>46199</v>
      </c>
      <c r="E1222" s="260">
        <v>46219</v>
      </c>
      <c r="F1222">
        <v>57</v>
      </c>
      <c r="G1222" t="s">
        <v>350</v>
      </c>
    </row>
    <row r="1223" spans="1:7">
      <c r="A1223" t="s">
        <v>2771</v>
      </c>
      <c r="B1223" t="s">
        <v>2772</v>
      </c>
      <c r="C1223">
        <v>10</v>
      </c>
      <c r="D1223" s="260">
        <v>46239</v>
      </c>
      <c r="E1223" s="260">
        <v>46253</v>
      </c>
      <c r="F1223">
        <v>62</v>
      </c>
      <c r="G1223" t="s">
        <v>350</v>
      </c>
    </row>
    <row r="1224" spans="1:7">
      <c r="A1224" t="s">
        <v>2773</v>
      </c>
      <c r="B1224" t="s">
        <v>2774</v>
      </c>
      <c r="C1224">
        <v>5</v>
      </c>
      <c r="D1224" s="260">
        <v>46268</v>
      </c>
      <c r="E1224" s="260">
        <v>46274</v>
      </c>
      <c r="F1224">
        <v>67</v>
      </c>
      <c r="G1224" t="s">
        <v>350</v>
      </c>
    </row>
    <row r="1225" spans="1:7">
      <c r="A1225" t="s">
        <v>2775</v>
      </c>
      <c r="B1225" t="s">
        <v>2776</v>
      </c>
      <c r="C1225">
        <v>10</v>
      </c>
      <c r="D1225" s="260">
        <v>46120</v>
      </c>
      <c r="E1225" s="260">
        <v>46136</v>
      </c>
      <c r="F1225">
        <v>58</v>
      </c>
      <c r="G1225" t="s">
        <v>350</v>
      </c>
    </row>
    <row r="1226" spans="1:7">
      <c r="A1226" t="s">
        <v>2777</v>
      </c>
      <c r="B1226" t="s">
        <v>2778</v>
      </c>
      <c r="C1226">
        <v>10</v>
      </c>
      <c r="D1226" s="260">
        <v>46162</v>
      </c>
      <c r="E1226" s="260">
        <v>46177</v>
      </c>
      <c r="F1226">
        <v>82</v>
      </c>
      <c r="G1226" t="s">
        <v>350</v>
      </c>
    </row>
    <row r="1227" spans="1:7">
      <c r="A1227" t="s">
        <v>2779</v>
      </c>
      <c r="B1227" t="s">
        <v>2780</v>
      </c>
      <c r="C1227">
        <v>5</v>
      </c>
      <c r="D1227" s="260">
        <v>46192</v>
      </c>
      <c r="E1227" s="260">
        <v>46198</v>
      </c>
      <c r="F1227">
        <v>97</v>
      </c>
      <c r="G1227" t="s">
        <v>350</v>
      </c>
    </row>
    <row r="1228" spans="1:7">
      <c r="A1228" t="s">
        <v>2781</v>
      </c>
      <c r="B1228" t="s">
        <v>2782</v>
      </c>
      <c r="C1228">
        <v>10</v>
      </c>
      <c r="D1228" s="260">
        <v>46120</v>
      </c>
      <c r="E1228" s="260">
        <v>46136</v>
      </c>
      <c r="F1228">
        <v>78</v>
      </c>
      <c r="G1228" t="s">
        <v>350</v>
      </c>
    </row>
    <row r="1229" spans="1:7">
      <c r="A1229" t="s">
        <v>2783</v>
      </c>
      <c r="B1229" t="s">
        <v>2784</v>
      </c>
      <c r="C1229">
        <v>10</v>
      </c>
      <c r="D1229" s="260">
        <v>46162</v>
      </c>
      <c r="E1229" s="260">
        <v>46177</v>
      </c>
      <c r="F1229">
        <v>102</v>
      </c>
      <c r="G1229" t="s">
        <v>350</v>
      </c>
    </row>
    <row r="1230" spans="1:7">
      <c r="A1230" t="s">
        <v>2785</v>
      </c>
      <c r="B1230" t="s">
        <v>2786</v>
      </c>
      <c r="C1230">
        <v>5</v>
      </c>
      <c r="D1230" s="260">
        <v>46192</v>
      </c>
      <c r="E1230" s="260">
        <v>46198</v>
      </c>
      <c r="F1230">
        <v>112</v>
      </c>
      <c r="G1230" t="s">
        <v>350</v>
      </c>
    </row>
    <row r="1231" spans="1:7">
      <c r="A1231" t="s">
        <v>2787</v>
      </c>
      <c r="B1231" t="s">
        <v>2788</v>
      </c>
      <c r="C1231">
        <v>15</v>
      </c>
      <c r="D1231" s="260">
        <v>46178</v>
      </c>
      <c r="E1231" s="260">
        <v>46198</v>
      </c>
      <c r="F1231">
        <v>32</v>
      </c>
      <c r="G1231" t="s">
        <v>350</v>
      </c>
    </row>
    <row r="1232" spans="1:7">
      <c r="A1232" t="s">
        <v>2789</v>
      </c>
      <c r="B1232" t="s">
        <v>2790</v>
      </c>
      <c r="C1232">
        <v>10</v>
      </c>
      <c r="D1232" s="260">
        <v>46213</v>
      </c>
      <c r="E1232" s="260">
        <v>46226</v>
      </c>
      <c r="F1232">
        <v>57</v>
      </c>
      <c r="G1232" t="s">
        <v>350</v>
      </c>
    </row>
    <row r="1233" spans="1:7">
      <c r="A1233" t="s">
        <v>2791</v>
      </c>
      <c r="B1233" t="s">
        <v>2792</v>
      </c>
      <c r="C1233">
        <v>5</v>
      </c>
      <c r="D1233" s="260">
        <v>46247</v>
      </c>
      <c r="E1233" s="260">
        <v>46253</v>
      </c>
      <c r="F1233">
        <v>67</v>
      </c>
      <c r="G1233" t="s">
        <v>350</v>
      </c>
    </row>
    <row r="1234" spans="1:7">
      <c r="A1234" t="s">
        <v>2793</v>
      </c>
      <c r="B1234" t="s">
        <v>2794</v>
      </c>
      <c r="C1234">
        <v>15</v>
      </c>
      <c r="D1234" s="260">
        <v>46199</v>
      </c>
      <c r="E1234" s="260">
        <v>46219</v>
      </c>
      <c r="F1234">
        <v>32</v>
      </c>
      <c r="G1234" t="s">
        <v>350</v>
      </c>
    </row>
    <row r="1235" spans="1:7">
      <c r="A1235" t="s">
        <v>2795</v>
      </c>
      <c r="B1235" t="s">
        <v>2796</v>
      </c>
      <c r="C1235">
        <v>5</v>
      </c>
      <c r="D1235" s="260">
        <v>46268</v>
      </c>
      <c r="E1235" s="260">
        <v>46274</v>
      </c>
      <c r="F1235">
        <v>57</v>
      </c>
      <c r="G1235" t="s">
        <v>350</v>
      </c>
    </row>
    <row r="1236" spans="1:7">
      <c r="A1236" t="s">
        <v>2797</v>
      </c>
      <c r="B1236" t="s">
        <v>2798</v>
      </c>
      <c r="C1236">
        <v>15</v>
      </c>
      <c r="D1236" s="260">
        <v>46139</v>
      </c>
      <c r="E1236" s="260">
        <v>46160</v>
      </c>
      <c r="F1236">
        <v>58</v>
      </c>
      <c r="G1236" t="s">
        <v>350</v>
      </c>
    </row>
    <row r="1237" spans="1:7">
      <c r="A1237" t="s">
        <v>2799</v>
      </c>
      <c r="B1237" t="s">
        <v>2800</v>
      </c>
      <c r="C1237">
        <v>10</v>
      </c>
      <c r="D1237" s="260">
        <v>46178</v>
      </c>
      <c r="E1237" s="260">
        <v>46191</v>
      </c>
      <c r="F1237">
        <v>82</v>
      </c>
      <c r="G1237" t="s">
        <v>350</v>
      </c>
    </row>
    <row r="1238" spans="1:7">
      <c r="A1238" t="s">
        <v>2801</v>
      </c>
      <c r="B1238" t="s">
        <v>2802</v>
      </c>
      <c r="C1238">
        <v>5</v>
      </c>
      <c r="D1238" s="260">
        <v>46206</v>
      </c>
      <c r="E1238" s="260">
        <v>46212</v>
      </c>
      <c r="F1238">
        <v>92</v>
      </c>
      <c r="G1238" t="s">
        <v>350</v>
      </c>
    </row>
    <row r="1239" spans="1:7">
      <c r="A1239" t="s">
        <v>2803</v>
      </c>
      <c r="B1239" t="s">
        <v>2804</v>
      </c>
      <c r="C1239">
        <v>15</v>
      </c>
      <c r="D1239" s="260">
        <v>46199</v>
      </c>
      <c r="E1239" s="260">
        <v>46219</v>
      </c>
      <c r="F1239">
        <v>77</v>
      </c>
      <c r="G1239" t="s">
        <v>350</v>
      </c>
    </row>
    <row r="1240" spans="1:7">
      <c r="A1240" t="s">
        <v>2805</v>
      </c>
      <c r="B1240" t="s">
        <v>2806</v>
      </c>
      <c r="C1240">
        <v>10</v>
      </c>
      <c r="D1240" s="260">
        <v>46239</v>
      </c>
      <c r="E1240" s="260">
        <v>46253</v>
      </c>
      <c r="F1240">
        <v>77</v>
      </c>
      <c r="G1240" t="s">
        <v>350</v>
      </c>
    </row>
    <row r="1241" spans="1:7">
      <c r="A1241" t="s">
        <v>2807</v>
      </c>
      <c r="B1241" t="s">
        <v>2808</v>
      </c>
      <c r="C1241">
        <v>5</v>
      </c>
      <c r="D1241" s="260">
        <v>46268</v>
      </c>
      <c r="E1241" s="260">
        <v>46274</v>
      </c>
      <c r="F1241">
        <v>77</v>
      </c>
      <c r="G1241" t="s">
        <v>350</v>
      </c>
    </row>
    <row r="1242" spans="1:7">
      <c r="A1242" t="s">
        <v>2809</v>
      </c>
      <c r="B1242" t="s">
        <v>2764</v>
      </c>
      <c r="C1242">
        <v>15</v>
      </c>
      <c r="D1242" s="260">
        <v>46199</v>
      </c>
      <c r="E1242" s="260">
        <v>46219</v>
      </c>
      <c r="F1242">
        <v>77</v>
      </c>
      <c r="G1242" t="s">
        <v>350</v>
      </c>
    </row>
    <row r="1243" spans="1:7">
      <c r="A1243" t="s">
        <v>2810</v>
      </c>
      <c r="B1243" t="s">
        <v>2766</v>
      </c>
      <c r="C1243">
        <v>10</v>
      </c>
      <c r="D1243" s="260">
        <v>46239</v>
      </c>
      <c r="E1243" s="260">
        <v>46253</v>
      </c>
      <c r="F1243">
        <v>77</v>
      </c>
      <c r="G1243" t="s">
        <v>350</v>
      </c>
    </row>
    <row r="1244" spans="1:7">
      <c r="A1244" t="s">
        <v>2811</v>
      </c>
      <c r="B1244" t="s">
        <v>2768</v>
      </c>
      <c r="C1244">
        <v>5</v>
      </c>
      <c r="D1244" s="260">
        <v>46268</v>
      </c>
      <c r="E1244" s="260">
        <v>46274</v>
      </c>
      <c r="F1244">
        <v>77</v>
      </c>
      <c r="G1244" t="s">
        <v>350</v>
      </c>
    </row>
    <row r="1245" spans="1:7">
      <c r="A1245" t="s">
        <v>2812</v>
      </c>
      <c r="B1245" t="s">
        <v>2813</v>
      </c>
      <c r="C1245">
        <v>15</v>
      </c>
      <c r="D1245" s="260">
        <v>46199</v>
      </c>
      <c r="E1245" s="260">
        <v>46219</v>
      </c>
      <c r="F1245">
        <v>37</v>
      </c>
      <c r="G1245" t="s">
        <v>350</v>
      </c>
    </row>
    <row r="1246" spans="1:7">
      <c r="A1246" t="s">
        <v>2814</v>
      </c>
      <c r="B1246" t="s">
        <v>2815</v>
      </c>
      <c r="C1246">
        <v>10</v>
      </c>
      <c r="D1246" s="260">
        <v>46239</v>
      </c>
      <c r="E1246" s="260">
        <v>46253</v>
      </c>
      <c r="F1246">
        <v>62</v>
      </c>
      <c r="G1246" t="s">
        <v>350</v>
      </c>
    </row>
    <row r="1247" spans="1:7">
      <c r="A1247" t="s">
        <v>2816</v>
      </c>
      <c r="B1247" t="s">
        <v>2817</v>
      </c>
      <c r="C1247">
        <v>5</v>
      </c>
      <c r="D1247" s="260">
        <v>46268</v>
      </c>
      <c r="E1247" s="260">
        <v>46274</v>
      </c>
      <c r="F1247">
        <v>67</v>
      </c>
      <c r="G1247" t="s">
        <v>350</v>
      </c>
    </row>
    <row r="1248" spans="1:7">
      <c r="A1248" t="s">
        <v>2818</v>
      </c>
      <c r="B1248" t="s">
        <v>2819</v>
      </c>
      <c r="C1248">
        <v>15</v>
      </c>
      <c r="D1248" s="260">
        <v>46113</v>
      </c>
      <c r="E1248" s="260">
        <v>46139</v>
      </c>
      <c r="F1248">
        <v>-45</v>
      </c>
      <c r="G1248" t="s">
        <v>350</v>
      </c>
    </row>
    <row r="1249" spans="1:7">
      <c r="A1249" t="s">
        <v>2820</v>
      </c>
      <c r="B1249" t="s">
        <v>2821</v>
      </c>
      <c r="C1249">
        <v>10</v>
      </c>
      <c r="D1249" s="260">
        <v>46185</v>
      </c>
      <c r="E1249" s="260">
        <v>46198</v>
      </c>
      <c r="F1249">
        <v>112</v>
      </c>
      <c r="G1249" t="s">
        <v>350</v>
      </c>
    </row>
    <row r="1250" spans="1:7">
      <c r="A1250" t="s">
        <v>2822</v>
      </c>
      <c r="B1250" t="s">
        <v>2823</v>
      </c>
      <c r="C1250">
        <v>15</v>
      </c>
      <c r="D1250" s="260">
        <v>46112</v>
      </c>
      <c r="E1250" s="260">
        <v>46136</v>
      </c>
      <c r="F1250">
        <v>0</v>
      </c>
      <c r="G1250" t="s">
        <v>350</v>
      </c>
    </row>
    <row r="1251" spans="1:7">
      <c r="A1251" t="s">
        <v>2824</v>
      </c>
      <c r="B1251" t="s">
        <v>2825</v>
      </c>
      <c r="C1251">
        <v>10</v>
      </c>
      <c r="D1251" s="260">
        <v>46169</v>
      </c>
      <c r="E1251" s="260">
        <v>46184</v>
      </c>
      <c r="F1251">
        <v>33</v>
      </c>
      <c r="G1251" t="s">
        <v>350</v>
      </c>
    </row>
    <row r="1252" spans="1:7">
      <c r="A1252" t="s">
        <v>2826</v>
      </c>
      <c r="B1252" t="s">
        <v>2827</v>
      </c>
      <c r="C1252">
        <v>15</v>
      </c>
      <c r="D1252" s="260">
        <v>46113</v>
      </c>
      <c r="E1252" s="260">
        <v>46139</v>
      </c>
      <c r="F1252">
        <v>-45</v>
      </c>
      <c r="G1252" t="s">
        <v>350</v>
      </c>
    </row>
    <row r="1253" spans="1:7">
      <c r="A1253" t="s">
        <v>2828</v>
      </c>
      <c r="B1253" t="s">
        <v>2829</v>
      </c>
      <c r="C1253">
        <v>10</v>
      </c>
      <c r="D1253" s="260">
        <v>46185</v>
      </c>
      <c r="E1253" s="260">
        <v>46198</v>
      </c>
      <c r="F1253">
        <v>112</v>
      </c>
      <c r="G1253" t="s">
        <v>350</v>
      </c>
    </row>
    <row r="1254" spans="1:7">
      <c r="A1254" t="s">
        <v>2830</v>
      </c>
      <c r="B1254" t="s">
        <v>2831</v>
      </c>
      <c r="C1254">
        <v>15</v>
      </c>
      <c r="D1254" s="260">
        <v>46113</v>
      </c>
      <c r="E1254" s="260">
        <v>46139</v>
      </c>
      <c r="F1254">
        <v>-45</v>
      </c>
      <c r="G1254" t="s">
        <v>350</v>
      </c>
    </row>
    <row r="1255" spans="1:7">
      <c r="A1255" t="s">
        <v>2832</v>
      </c>
      <c r="B1255" t="s">
        <v>2833</v>
      </c>
      <c r="C1255">
        <v>10</v>
      </c>
      <c r="D1255" s="260">
        <v>46185</v>
      </c>
      <c r="E1255" s="260">
        <v>46198</v>
      </c>
      <c r="F1255">
        <v>112</v>
      </c>
      <c r="G1255" t="s">
        <v>350</v>
      </c>
    </row>
    <row r="1256" spans="1:7">
      <c r="A1256" t="s">
        <v>2834</v>
      </c>
      <c r="B1256" t="s">
        <v>2835</v>
      </c>
      <c r="C1256">
        <v>15</v>
      </c>
      <c r="D1256" s="260">
        <v>46113</v>
      </c>
      <c r="E1256" s="260">
        <v>46139</v>
      </c>
      <c r="F1256">
        <v>87</v>
      </c>
      <c r="G1256" t="s">
        <v>350</v>
      </c>
    </row>
    <row r="1257" spans="1:7">
      <c r="A1257" t="s">
        <v>2836</v>
      </c>
      <c r="B1257" t="s">
        <v>2837</v>
      </c>
      <c r="C1257">
        <v>10</v>
      </c>
      <c r="D1257" s="260">
        <v>46185</v>
      </c>
      <c r="E1257" s="260">
        <v>46198</v>
      </c>
      <c r="F1257">
        <v>112</v>
      </c>
      <c r="G1257" t="s">
        <v>350</v>
      </c>
    </row>
    <row r="1258" spans="1:7">
      <c r="A1258" t="s">
        <v>2838</v>
      </c>
      <c r="B1258" t="s">
        <v>2839</v>
      </c>
      <c r="C1258">
        <v>15</v>
      </c>
      <c r="D1258" s="260">
        <v>46113</v>
      </c>
      <c r="E1258" s="260">
        <v>46139</v>
      </c>
      <c r="F1258">
        <v>87</v>
      </c>
      <c r="G1258" t="s">
        <v>350</v>
      </c>
    </row>
    <row r="1259" spans="1:7">
      <c r="A1259" t="s">
        <v>2840</v>
      </c>
      <c r="B1259" t="s">
        <v>2841</v>
      </c>
      <c r="C1259">
        <v>10</v>
      </c>
      <c r="D1259" s="260">
        <v>46185</v>
      </c>
      <c r="E1259" s="260">
        <v>46198</v>
      </c>
      <c r="F1259">
        <v>112</v>
      </c>
      <c r="G1259" t="s">
        <v>350</v>
      </c>
    </row>
    <row r="1260" spans="1:7">
      <c r="A1260" t="s">
        <v>2842</v>
      </c>
      <c r="B1260" t="s">
        <v>2843</v>
      </c>
      <c r="C1260">
        <v>15</v>
      </c>
      <c r="D1260" s="260">
        <v>46113</v>
      </c>
      <c r="E1260" s="260">
        <v>46139</v>
      </c>
      <c r="F1260">
        <v>147</v>
      </c>
      <c r="G1260" t="s">
        <v>350</v>
      </c>
    </row>
    <row r="1261" spans="1:7">
      <c r="A1261" t="s">
        <v>2844</v>
      </c>
      <c r="B1261" t="s">
        <v>2845</v>
      </c>
      <c r="C1261">
        <v>10</v>
      </c>
      <c r="D1261" s="260">
        <v>46185</v>
      </c>
      <c r="E1261" s="260">
        <v>46198</v>
      </c>
      <c r="F1261">
        <v>127</v>
      </c>
      <c r="G1261" t="s">
        <v>350</v>
      </c>
    </row>
    <row r="1262" spans="1:7">
      <c r="A1262" t="s">
        <v>2846</v>
      </c>
      <c r="B1262" t="s">
        <v>2847</v>
      </c>
      <c r="C1262">
        <v>15</v>
      </c>
      <c r="D1262" s="260">
        <v>46113</v>
      </c>
      <c r="E1262" s="260">
        <v>46139</v>
      </c>
      <c r="F1262">
        <v>112</v>
      </c>
      <c r="G1262" t="s">
        <v>350</v>
      </c>
    </row>
    <row r="1263" spans="1:7">
      <c r="A1263" t="s">
        <v>2848</v>
      </c>
      <c r="B1263" t="s">
        <v>2849</v>
      </c>
      <c r="C1263">
        <v>10</v>
      </c>
      <c r="D1263" s="260">
        <v>46185</v>
      </c>
      <c r="E1263" s="260">
        <v>46198</v>
      </c>
      <c r="F1263">
        <v>117</v>
      </c>
      <c r="G1263" t="s">
        <v>350</v>
      </c>
    </row>
    <row r="1264" spans="1:7">
      <c r="A1264" t="s">
        <v>2850</v>
      </c>
      <c r="B1264" t="s">
        <v>2851</v>
      </c>
      <c r="C1264">
        <v>15</v>
      </c>
      <c r="D1264" s="260">
        <v>46113</v>
      </c>
      <c r="E1264" s="260">
        <v>46139</v>
      </c>
      <c r="F1264">
        <v>92</v>
      </c>
      <c r="G1264" t="s">
        <v>350</v>
      </c>
    </row>
    <row r="1265" spans="1:7">
      <c r="A1265" t="s">
        <v>2852</v>
      </c>
      <c r="B1265" t="s">
        <v>2853</v>
      </c>
      <c r="C1265">
        <v>10</v>
      </c>
      <c r="D1265" s="260">
        <v>46185</v>
      </c>
      <c r="E1265" s="260">
        <v>46198</v>
      </c>
      <c r="F1265">
        <v>117</v>
      </c>
      <c r="G1265" t="s">
        <v>350</v>
      </c>
    </row>
    <row r="1266" spans="1:7">
      <c r="A1266" t="s">
        <v>2854</v>
      </c>
      <c r="B1266" t="s">
        <v>2855</v>
      </c>
      <c r="C1266">
        <v>15</v>
      </c>
      <c r="D1266" s="260">
        <v>46113</v>
      </c>
      <c r="E1266" s="260">
        <v>46139</v>
      </c>
      <c r="F1266">
        <v>147</v>
      </c>
      <c r="G1266" t="s">
        <v>350</v>
      </c>
    </row>
    <row r="1267" spans="1:7">
      <c r="A1267" t="s">
        <v>2856</v>
      </c>
      <c r="B1267" t="s">
        <v>2857</v>
      </c>
      <c r="C1267">
        <v>10</v>
      </c>
      <c r="D1267" s="260">
        <v>46185</v>
      </c>
      <c r="E1267" s="260">
        <v>46198</v>
      </c>
      <c r="F1267">
        <v>127</v>
      </c>
      <c r="G1267" t="s">
        <v>350</v>
      </c>
    </row>
    <row r="1268" spans="1:7">
      <c r="A1268" t="s">
        <v>2858</v>
      </c>
      <c r="B1268" t="s">
        <v>2859</v>
      </c>
      <c r="C1268">
        <v>15</v>
      </c>
      <c r="D1268" s="260">
        <v>46113</v>
      </c>
      <c r="E1268" s="260">
        <v>46139</v>
      </c>
      <c r="F1268">
        <v>112</v>
      </c>
      <c r="G1268" t="s">
        <v>350</v>
      </c>
    </row>
    <row r="1269" spans="1:7">
      <c r="A1269" t="s">
        <v>2860</v>
      </c>
      <c r="B1269" t="s">
        <v>2861</v>
      </c>
      <c r="C1269">
        <v>5</v>
      </c>
      <c r="D1269" s="260">
        <v>46185</v>
      </c>
      <c r="E1269" s="260">
        <v>46191</v>
      </c>
      <c r="F1269">
        <v>122</v>
      </c>
      <c r="G1269" t="s">
        <v>350</v>
      </c>
    </row>
    <row r="1270" spans="1:7">
      <c r="A1270" t="s">
        <v>2862</v>
      </c>
      <c r="B1270" t="s">
        <v>2863</v>
      </c>
      <c r="C1270">
        <v>15</v>
      </c>
      <c r="D1270" s="260">
        <v>46133</v>
      </c>
      <c r="E1270" s="260">
        <v>46154</v>
      </c>
      <c r="F1270">
        <v>137</v>
      </c>
      <c r="G1270" t="s">
        <v>350</v>
      </c>
    </row>
    <row r="1271" spans="1:7">
      <c r="A1271" t="s">
        <v>2864</v>
      </c>
      <c r="B1271" t="s">
        <v>2865</v>
      </c>
      <c r="C1271">
        <v>10</v>
      </c>
      <c r="D1271" s="260">
        <v>46169</v>
      </c>
      <c r="E1271" s="260">
        <v>46184</v>
      </c>
      <c r="F1271">
        <v>137</v>
      </c>
      <c r="G1271" t="s">
        <v>350</v>
      </c>
    </row>
    <row r="1272" spans="1:7">
      <c r="A1272" t="s">
        <v>2866</v>
      </c>
      <c r="B1272" t="s">
        <v>2867</v>
      </c>
      <c r="C1272">
        <v>15</v>
      </c>
      <c r="D1272" s="260">
        <v>46133</v>
      </c>
      <c r="E1272" s="260">
        <v>46154</v>
      </c>
      <c r="F1272">
        <v>137</v>
      </c>
      <c r="G1272" t="s">
        <v>350</v>
      </c>
    </row>
    <row r="1273" spans="1:7">
      <c r="A1273" t="s">
        <v>2868</v>
      </c>
      <c r="B1273" t="s">
        <v>2869</v>
      </c>
      <c r="C1273">
        <v>10</v>
      </c>
      <c r="D1273" s="260">
        <v>46169</v>
      </c>
      <c r="E1273" s="260">
        <v>46184</v>
      </c>
      <c r="F1273">
        <v>137</v>
      </c>
      <c r="G1273" t="s">
        <v>350</v>
      </c>
    </row>
    <row r="1274" spans="1:7">
      <c r="A1274" t="s">
        <v>2870</v>
      </c>
      <c r="B1274" t="s">
        <v>2871</v>
      </c>
      <c r="C1274">
        <v>15</v>
      </c>
      <c r="D1274" s="260">
        <v>46133</v>
      </c>
      <c r="E1274" s="260">
        <v>46154</v>
      </c>
      <c r="F1274">
        <v>137</v>
      </c>
      <c r="G1274" t="s">
        <v>350</v>
      </c>
    </row>
    <row r="1275" spans="1:7">
      <c r="A1275" t="s">
        <v>2872</v>
      </c>
      <c r="B1275" t="s">
        <v>2873</v>
      </c>
      <c r="C1275">
        <v>10</v>
      </c>
      <c r="D1275" s="260">
        <v>46169</v>
      </c>
      <c r="E1275" s="260">
        <v>46184</v>
      </c>
      <c r="F1275">
        <v>137</v>
      </c>
      <c r="G1275" t="s">
        <v>350</v>
      </c>
    </row>
    <row r="1276" spans="1:7">
      <c r="A1276" t="s">
        <v>2874</v>
      </c>
      <c r="B1276" t="s">
        <v>2875</v>
      </c>
      <c r="C1276">
        <v>15</v>
      </c>
      <c r="D1276" s="260">
        <v>46133</v>
      </c>
      <c r="E1276" s="260">
        <v>46154</v>
      </c>
      <c r="F1276">
        <v>137</v>
      </c>
      <c r="G1276" t="s">
        <v>350</v>
      </c>
    </row>
    <row r="1277" spans="1:7">
      <c r="A1277" t="s">
        <v>2876</v>
      </c>
      <c r="B1277" t="s">
        <v>2877</v>
      </c>
      <c r="C1277">
        <v>10</v>
      </c>
      <c r="D1277" s="260">
        <v>46169</v>
      </c>
      <c r="E1277" s="260">
        <v>46184</v>
      </c>
      <c r="F1277">
        <v>137</v>
      </c>
      <c r="G1277" t="s">
        <v>350</v>
      </c>
    </row>
    <row r="1278" spans="1:7">
      <c r="A1278" t="s">
        <v>2878</v>
      </c>
      <c r="B1278" t="s">
        <v>2879</v>
      </c>
      <c r="C1278">
        <v>15</v>
      </c>
      <c r="D1278" s="260">
        <v>46133</v>
      </c>
      <c r="E1278" s="260">
        <v>46154</v>
      </c>
      <c r="F1278">
        <v>137</v>
      </c>
      <c r="G1278" t="s">
        <v>350</v>
      </c>
    </row>
    <row r="1279" spans="1:7">
      <c r="A1279" t="s">
        <v>2880</v>
      </c>
      <c r="B1279" t="s">
        <v>2881</v>
      </c>
      <c r="C1279">
        <v>10</v>
      </c>
      <c r="D1279" s="260">
        <v>46169</v>
      </c>
      <c r="E1279" s="260">
        <v>46184</v>
      </c>
      <c r="F1279">
        <v>137</v>
      </c>
      <c r="G1279" t="s">
        <v>350</v>
      </c>
    </row>
    <row r="1280" spans="1:7">
      <c r="A1280" t="s">
        <v>2882</v>
      </c>
      <c r="B1280" t="s">
        <v>2883</v>
      </c>
      <c r="C1280">
        <v>15</v>
      </c>
      <c r="D1280" s="260">
        <v>46113</v>
      </c>
      <c r="E1280" s="260">
        <v>46139</v>
      </c>
      <c r="F1280">
        <v>147</v>
      </c>
      <c r="G1280" t="s">
        <v>350</v>
      </c>
    </row>
    <row r="1281" spans="1:7">
      <c r="A1281" t="s">
        <v>2884</v>
      </c>
      <c r="B1281" t="s">
        <v>2885</v>
      </c>
      <c r="C1281">
        <v>10</v>
      </c>
      <c r="D1281" s="260">
        <v>46155</v>
      </c>
      <c r="E1281" s="260">
        <v>46168</v>
      </c>
      <c r="F1281">
        <v>147</v>
      </c>
      <c r="G1281" t="s">
        <v>350</v>
      </c>
    </row>
    <row r="1282" spans="1:7">
      <c r="A1282" t="s">
        <v>2886</v>
      </c>
      <c r="B1282" t="s">
        <v>2887</v>
      </c>
      <c r="C1282">
        <v>15</v>
      </c>
      <c r="D1282" s="260">
        <v>46140</v>
      </c>
      <c r="E1282" s="260">
        <v>46161</v>
      </c>
      <c r="F1282">
        <v>112</v>
      </c>
      <c r="G1282" t="s">
        <v>350</v>
      </c>
    </row>
    <row r="1283" spans="1:7">
      <c r="A1283" t="s">
        <v>2888</v>
      </c>
      <c r="B1283" t="s">
        <v>2889</v>
      </c>
      <c r="C1283">
        <v>10</v>
      </c>
      <c r="D1283" s="260">
        <v>46206</v>
      </c>
      <c r="E1283" s="260">
        <v>46219</v>
      </c>
      <c r="F1283">
        <v>112</v>
      </c>
      <c r="G1283" t="s">
        <v>350</v>
      </c>
    </row>
    <row r="1284" spans="1:7">
      <c r="A1284" t="s">
        <v>2890</v>
      </c>
      <c r="B1284" t="s">
        <v>2891</v>
      </c>
      <c r="C1284">
        <v>15</v>
      </c>
      <c r="D1284" s="260">
        <v>46199</v>
      </c>
      <c r="E1284" s="260">
        <v>46219</v>
      </c>
      <c r="F1284">
        <v>72</v>
      </c>
      <c r="G1284" t="s">
        <v>350</v>
      </c>
    </row>
    <row r="1285" spans="1:7">
      <c r="A1285" t="s">
        <v>2892</v>
      </c>
      <c r="B1285" t="s">
        <v>2893</v>
      </c>
      <c r="C1285">
        <v>10</v>
      </c>
      <c r="D1285" s="260">
        <v>46239</v>
      </c>
      <c r="E1285" s="260">
        <v>46253</v>
      </c>
      <c r="F1285">
        <v>72</v>
      </c>
      <c r="G1285" t="s">
        <v>350</v>
      </c>
    </row>
    <row r="1286" spans="1:7">
      <c r="A1286" t="s">
        <v>2894</v>
      </c>
      <c r="B1286" t="s">
        <v>2895</v>
      </c>
      <c r="C1286">
        <v>10</v>
      </c>
      <c r="D1286" s="260">
        <v>46268</v>
      </c>
      <c r="E1286" s="260">
        <v>46281</v>
      </c>
      <c r="F1286">
        <v>72</v>
      </c>
      <c r="G1286" t="s">
        <v>350</v>
      </c>
    </row>
    <row r="1287" spans="1:7">
      <c r="A1287" t="s">
        <v>2896</v>
      </c>
      <c r="B1287" t="s">
        <v>2897</v>
      </c>
      <c r="C1287">
        <v>15</v>
      </c>
      <c r="D1287" s="260">
        <v>46199</v>
      </c>
      <c r="E1287" s="260">
        <v>46219</v>
      </c>
      <c r="F1287">
        <v>42</v>
      </c>
      <c r="G1287" t="s">
        <v>350</v>
      </c>
    </row>
    <row r="1288" spans="1:7">
      <c r="A1288" t="s">
        <v>2898</v>
      </c>
      <c r="B1288" t="s">
        <v>2899</v>
      </c>
      <c r="C1288">
        <v>10</v>
      </c>
      <c r="D1288" s="260">
        <v>46268</v>
      </c>
      <c r="E1288" s="260">
        <v>46281</v>
      </c>
      <c r="F1288">
        <v>52</v>
      </c>
      <c r="G1288" t="s">
        <v>350</v>
      </c>
    </row>
    <row r="1289" spans="1:7">
      <c r="A1289" t="s">
        <v>2900</v>
      </c>
      <c r="B1289" t="s">
        <v>2901</v>
      </c>
      <c r="C1289">
        <v>15</v>
      </c>
      <c r="D1289" s="260">
        <v>46148</v>
      </c>
      <c r="E1289" s="260">
        <v>46168</v>
      </c>
      <c r="F1289">
        <v>92</v>
      </c>
      <c r="G1289" t="s">
        <v>350</v>
      </c>
    </row>
    <row r="1290" spans="1:7">
      <c r="A1290" t="s">
        <v>2902</v>
      </c>
      <c r="B1290" t="s">
        <v>2903</v>
      </c>
      <c r="C1290">
        <v>10</v>
      </c>
      <c r="D1290" s="260">
        <v>46213</v>
      </c>
      <c r="E1290" s="260">
        <v>46226</v>
      </c>
      <c r="F1290">
        <v>77</v>
      </c>
      <c r="G1290" t="s">
        <v>350</v>
      </c>
    </row>
    <row r="1291" spans="1:7">
      <c r="A1291" t="s">
        <v>2904</v>
      </c>
      <c r="B1291" t="s">
        <v>2905</v>
      </c>
      <c r="C1291">
        <v>10</v>
      </c>
      <c r="D1291" s="260">
        <v>46275</v>
      </c>
      <c r="E1291" s="260">
        <v>46288</v>
      </c>
      <c r="F1291">
        <v>57</v>
      </c>
      <c r="G1291" t="s">
        <v>350</v>
      </c>
    </row>
    <row r="1292" spans="1:7">
      <c r="A1292" t="s">
        <v>2906</v>
      </c>
      <c r="B1292" t="s">
        <v>2907</v>
      </c>
      <c r="C1292">
        <v>15</v>
      </c>
      <c r="D1292" s="260">
        <v>46199</v>
      </c>
      <c r="E1292" s="260">
        <v>46219</v>
      </c>
      <c r="F1292">
        <v>42</v>
      </c>
      <c r="G1292" t="s">
        <v>350</v>
      </c>
    </row>
    <row r="1293" spans="1:7">
      <c r="A1293" t="s">
        <v>2908</v>
      </c>
      <c r="B1293" t="s">
        <v>2909</v>
      </c>
      <c r="C1293">
        <v>10</v>
      </c>
      <c r="D1293" s="260">
        <v>46247</v>
      </c>
      <c r="E1293" s="260">
        <v>46260</v>
      </c>
      <c r="F1293">
        <v>47</v>
      </c>
      <c r="G1293" t="s">
        <v>350</v>
      </c>
    </row>
    <row r="1294" spans="1:7">
      <c r="A1294" t="s">
        <v>2910</v>
      </c>
      <c r="B1294" t="s">
        <v>2911</v>
      </c>
      <c r="C1294">
        <v>10</v>
      </c>
      <c r="D1294" s="260">
        <v>46275</v>
      </c>
      <c r="E1294" s="260">
        <v>46288</v>
      </c>
      <c r="F1294">
        <v>47</v>
      </c>
      <c r="G1294" t="s">
        <v>350</v>
      </c>
    </row>
    <row r="1295" spans="1:7">
      <c r="A1295" t="s">
        <v>2912</v>
      </c>
      <c r="B1295" t="s">
        <v>2913</v>
      </c>
      <c r="C1295">
        <v>15</v>
      </c>
      <c r="D1295" s="260">
        <v>46199</v>
      </c>
      <c r="E1295" s="260">
        <v>46219</v>
      </c>
      <c r="F1295">
        <v>72</v>
      </c>
      <c r="G1295" t="s">
        <v>350</v>
      </c>
    </row>
    <row r="1296" spans="1:7">
      <c r="A1296" t="s">
        <v>2914</v>
      </c>
      <c r="B1296" t="s">
        <v>2915</v>
      </c>
      <c r="C1296">
        <v>10</v>
      </c>
      <c r="D1296" s="260">
        <v>46275</v>
      </c>
      <c r="E1296" s="260">
        <v>46288</v>
      </c>
      <c r="F1296">
        <v>67</v>
      </c>
      <c r="G1296" t="s">
        <v>350</v>
      </c>
    </row>
    <row r="1297" spans="1:7">
      <c r="A1297" t="s">
        <v>2916</v>
      </c>
      <c r="B1297" t="s">
        <v>2917</v>
      </c>
      <c r="C1297">
        <v>15</v>
      </c>
      <c r="D1297" s="260">
        <v>46199</v>
      </c>
      <c r="E1297" s="260">
        <v>46219</v>
      </c>
      <c r="F1297">
        <v>72</v>
      </c>
      <c r="G1297" t="s">
        <v>350</v>
      </c>
    </row>
    <row r="1298" spans="1:7">
      <c r="A1298" t="s">
        <v>2918</v>
      </c>
      <c r="B1298" t="s">
        <v>2919</v>
      </c>
      <c r="C1298">
        <v>10</v>
      </c>
      <c r="D1298" s="260">
        <v>46239</v>
      </c>
      <c r="E1298" s="260">
        <v>46253</v>
      </c>
      <c r="F1298">
        <v>72</v>
      </c>
      <c r="G1298" t="s">
        <v>350</v>
      </c>
    </row>
    <row r="1299" spans="1:7">
      <c r="A1299" t="s">
        <v>2920</v>
      </c>
      <c r="B1299" t="s">
        <v>2921</v>
      </c>
      <c r="C1299">
        <v>10</v>
      </c>
      <c r="D1299" s="260">
        <v>46268</v>
      </c>
      <c r="E1299" s="260">
        <v>46281</v>
      </c>
      <c r="F1299">
        <v>72</v>
      </c>
      <c r="G1299" t="s">
        <v>350</v>
      </c>
    </row>
    <row r="1300" spans="1:7">
      <c r="A1300" t="s">
        <v>2922</v>
      </c>
      <c r="B1300" t="s">
        <v>2923</v>
      </c>
      <c r="C1300">
        <v>15</v>
      </c>
      <c r="D1300" s="260">
        <v>46220</v>
      </c>
      <c r="E1300" s="260">
        <v>46245</v>
      </c>
      <c r="F1300">
        <v>42</v>
      </c>
      <c r="G1300" t="s">
        <v>350</v>
      </c>
    </row>
    <row r="1301" spans="1:7">
      <c r="A1301" t="s">
        <v>2924</v>
      </c>
      <c r="B1301" t="s">
        <v>2925</v>
      </c>
      <c r="C1301">
        <v>10</v>
      </c>
      <c r="D1301" s="260">
        <v>46289</v>
      </c>
      <c r="E1301" s="260">
        <v>46302</v>
      </c>
      <c r="F1301">
        <v>47</v>
      </c>
      <c r="G1301" t="s">
        <v>350</v>
      </c>
    </row>
    <row r="1302" spans="1:7">
      <c r="A1302" t="s">
        <v>2926</v>
      </c>
      <c r="B1302" t="s">
        <v>2927</v>
      </c>
      <c r="C1302">
        <v>15</v>
      </c>
      <c r="D1302" s="260">
        <v>46220</v>
      </c>
      <c r="E1302" s="260">
        <v>46245</v>
      </c>
      <c r="F1302">
        <v>57</v>
      </c>
      <c r="G1302" t="s">
        <v>350</v>
      </c>
    </row>
    <row r="1303" spans="1:7">
      <c r="A1303" t="s">
        <v>2928</v>
      </c>
      <c r="B1303" t="s">
        <v>2929</v>
      </c>
      <c r="C1303">
        <v>10</v>
      </c>
      <c r="D1303" s="260">
        <v>46289</v>
      </c>
      <c r="E1303" s="260">
        <v>46302</v>
      </c>
      <c r="F1303">
        <v>57</v>
      </c>
      <c r="G1303" t="s">
        <v>350</v>
      </c>
    </row>
    <row r="1304" spans="1:7">
      <c r="A1304" t="s">
        <v>2930</v>
      </c>
      <c r="B1304" t="s">
        <v>2931</v>
      </c>
      <c r="C1304">
        <v>15</v>
      </c>
      <c r="D1304" s="260">
        <v>46247</v>
      </c>
      <c r="E1304" s="260">
        <v>46267</v>
      </c>
      <c r="F1304">
        <v>42</v>
      </c>
      <c r="G1304" t="s">
        <v>350</v>
      </c>
    </row>
    <row r="1305" spans="1:7">
      <c r="A1305" t="s">
        <v>2932</v>
      </c>
      <c r="B1305" t="s">
        <v>2933</v>
      </c>
      <c r="C1305">
        <v>10</v>
      </c>
      <c r="D1305" s="260">
        <v>46282</v>
      </c>
      <c r="E1305" s="260">
        <v>46295</v>
      </c>
      <c r="F1305">
        <v>42</v>
      </c>
      <c r="G1305" t="s">
        <v>350</v>
      </c>
    </row>
    <row r="1306" spans="1:7">
      <c r="A1306" t="s">
        <v>2934</v>
      </c>
      <c r="B1306" t="s">
        <v>2935</v>
      </c>
      <c r="C1306">
        <v>10</v>
      </c>
      <c r="D1306" s="260">
        <v>46311</v>
      </c>
      <c r="E1306" s="260">
        <v>46325</v>
      </c>
      <c r="F1306">
        <v>42</v>
      </c>
      <c r="G1306" t="s">
        <v>350</v>
      </c>
    </row>
    <row r="1307" spans="1:7">
      <c r="A1307" t="s">
        <v>2936</v>
      </c>
      <c r="B1307" t="s">
        <v>2937</v>
      </c>
      <c r="C1307">
        <v>15</v>
      </c>
      <c r="D1307" s="260">
        <v>46199</v>
      </c>
      <c r="E1307" s="260">
        <v>46219</v>
      </c>
      <c r="F1307">
        <v>72</v>
      </c>
      <c r="G1307" t="s">
        <v>350</v>
      </c>
    </row>
    <row r="1308" spans="1:7">
      <c r="A1308" t="s">
        <v>2938</v>
      </c>
      <c r="B1308" t="s">
        <v>2939</v>
      </c>
      <c r="C1308">
        <v>10</v>
      </c>
      <c r="D1308" s="260">
        <v>46239</v>
      </c>
      <c r="E1308" s="260">
        <v>46253</v>
      </c>
      <c r="F1308">
        <v>72</v>
      </c>
      <c r="G1308" t="s">
        <v>350</v>
      </c>
    </row>
    <row r="1309" spans="1:7">
      <c r="A1309" t="s">
        <v>2940</v>
      </c>
      <c r="B1309" t="s">
        <v>2941</v>
      </c>
      <c r="C1309">
        <v>10</v>
      </c>
      <c r="D1309" s="260">
        <v>46268</v>
      </c>
      <c r="E1309" s="260">
        <v>46281</v>
      </c>
      <c r="F1309">
        <v>72</v>
      </c>
      <c r="G1309" t="s">
        <v>350</v>
      </c>
    </row>
    <row r="1310" spans="1:7">
      <c r="A1310" t="s">
        <v>2942</v>
      </c>
      <c r="B1310" t="s">
        <v>2943</v>
      </c>
      <c r="C1310">
        <v>15</v>
      </c>
      <c r="D1310" s="260">
        <v>46199</v>
      </c>
      <c r="E1310" s="260">
        <v>46219</v>
      </c>
      <c r="F1310">
        <v>72</v>
      </c>
      <c r="G1310" t="s">
        <v>350</v>
      </c>
    </row>
    <row r="1311" spans="1:7">
      <c r="A1311" t="s">
        <v>2944</v>
      </c>
      <c r="B1311" t="s">
        <v>2945</v>
      </c>
      <c r="C1311">
        <v>10</v>
      </c>
      <c r="D1311" s="260">
        <v>46239</v>
      </c>
      <c r="E1311" s="260">
        <v>46253</v>
      </c>
      <c r="F1311">
        <v>72</v>
      </c>
      <c r="G1311" t="s">
        <v>350</v>
      </c>
    </row>
    <row r="1312" spans="1:7">
      <c r="A1312" t="s">
        <v>2946</v>
      </c>
      <c r="B1312" t="s">
        <v>2947</v>
      </c>
      <c r="C1312">
        <v>10</v>
      </c>
      <c r="D1312" s="260">
        <v>46268</v>
      </c>
      <c r="E1312" s="260">
        <v>46281</v>
      </c>
      <c r="F1312">
        <v>72</v>
      </c>
      <c r="G1312" t="s">
        <v>350</v>
      </c>
    </row>
    <row r="1313" spans="1:7">
      <c r="A1313" t="s">
        <v>2948</v>
      </c>
      <c r="B1313" t="s">
        <v>2949</v>
      </c>
      <c r="C1313">
        <v>15</v>
      </c>
      <c r="D1313" s="260">
        <v>46199</v>
      </c>
      <c r="E1313" s="260">
        <v>46219</v>
      </c>
      <c r="F1313">
        <v>72</v>
      </c>
      <c r="G1313" t="s">
        <v>350</v>
      </c>
    </row>
    <row r="1314" spans="1:7">
      <c r="A1314" t="s">
        <v>2950</v>
      </c>
      <c r="B1314" t="s">
        <v>2951</v>
      </c>
      <c r="C1314">
        <v>10</v>
      </c>
      <c r="D1314" s="260">
        <v>46239</v>
      </c>
      <c r="E1314" s="260">
        <v>46253</v>
      </c>
      <c r="F1314">
        <v>72</v>
      </c>
      <c r="G1314" t="s">
        <v>350</v>
      </c>
    </row>
    <row r="1315" spans="1:7">
      <c r="A1315" t="s">
        <v>2952</v>
      </c>
      <c r="B1315" t="s">
        <v>2953</v>
      </c>
      <c r="C1315">
        <v>10</v>
      </c>
      <c r="D1315" s="260">
        <v>46268</v>
      </c>
      <c r="E1315" s="260">
        <v>46281</v>
      </c>
      <c r="F1315">
        <v>72</v>
      </c>
      <c r="G1315" t="s">
        <v>350</v>
      </c>
    </row>
    <row r="1316" spans="1:7">
      <c r="A1316" t="s">
        <v>2954</v>
      </c>
      <c r="B1316" t="s">
        <v>2955</v>
      </c>
      <c r="C1316">
        <v>15</v>
      </c>
      <c r="D1316" s="260">
        <v>46199</v>
      </c>
      <c r="E1316" s="260">
        <v>46219</v>
      </c>
      <c r="F1316">
        <v>72</v>
      </c>
      <c r="G1316" t="s">
        <v>350</v>
      </c>
    </row>
    <row r="1317" spans="1:7">
      <c r="A1317" t="s">
        <v>2956</v>
      </c>
      <c r="B1317" t="s">
        <v>2957</v>
      </c>
      <c r="C1317">
        <v>10</v>
      </c>
      <c r="D1317" s="260">
        <v>46268</v>
      </c>
      <c r="E1317" s="260">
        <v>46281</v>
      </c>
      <c r="F1317">
        <v>72</v>
      </c>
      <c r="G1317" t="s">
        <v>350</v>
      </c>
    </row>
    <row r="1318" spans="1:7">
      <c r="A1318" t="s">
        <v>2958</v>
      </c>
      <c r="B1318" t="s">
        <v>2959</v>
      </c>
      <c r="C1318">
        <v>15</v>
      </c>
      <c r="D1318" s="260">
        <v>46220</v>
      </c>
      <c r="E1318" s="260">
        <v>46245</v>
      </c>
      <c r="F1318">
        <v>42</v>
      </c>
      <c r="G1318" t="s">
        <v>350</v>
      </c>
    </row>
    <row r="1319" spans="1:7">
      <c r="A1319" t="s">
        <v>2960</v>
      </c>
      <c r="B1319" t="s">
        <v>2961</v>
      </c>
      <c r="C1319">
        <v>10</v>
      </c>
      <c r="D1319" s="260">
        <v>46289</v>
      </c>
      <c r="E1319" s="260">
        <v>46302</v>
      </c>
      <c r="F1319">
        <v>47</v>
      </c>
      <c r="G1319" t="s">
        <v>350</v>
      </c>
    </row>
    <row r="1320" spans="1:7">
      <c r="A1320" t="s">
        <v>2962</v>
      </c>
      <c r="B1320" t="s">
        <v>2963</v>
      </c>
      <c r="C1320">
        <v>15</v>
      </c>
      <c r="D1320" s="260">
        <v>46220</v>
      </c>
      <c r="E1320" s="260">
        <v>46245</v>
      </c>
      <c r="F1320">
        <v>42</v>
      </c>
      <c r="G1320" t="s">
        <v>350</v>
      </c>
    </row>
    <row r="1321" spans="1:7">
      <c r="A1321" t="s">
        <v>2964</v>
      </c>
      <c r="B1321" t="s">
        <v>2965</v>
      </c>
      <c r="C1321">
        <v>10</v>
      </c>
      <c r="D1321" s="260">
        <v>46289</v>
      </c>
      <c r="E1321" s="260">
        <v>46302</v>
      </c>
      <c r="F1321">
        <v>47</v>
      </c>
      <c r="G1321" t="s">
        <v>350</v>
      </c>
    </row>
    <row r="1322" spans="1:7">
      <c r="A1322" t="s">
        <v>2966</v>
      </c>
      <c r="B1322" t="s">
        <v>2967</v>
      </c>
      <c r="C1322">
        <v>15</v>
      </c>
      <c r="D1322" s="260">
        <v>46220</v>
      </c>
      <c r="E1322" s="260">
        <v>46245</v>
      </c>
      <c r="F1322">
        <v>42</v>
      </c>
      <c r="G1322" t="s">
        <v>350</v>
      </c>
    </row>
    <row r="1323" spans="1:7">
      <c r="A1323" t="s">
        <v>2968</v>
      </c>
      <c r="B1323" t="s">
        <v>2969</v>
      </c>
      <c r="C1323">
        <v>10</v>
      </c>
      <c r="D1323" s="260">
        <v>46289</v>
      </c>
      <c r="E1323" s="260">
        <v>46302</v>
      </c>
      <c r="F1323">
        <v>47</v>
      </c>
      <c r="G1323" t="s">
        <v>350</v>
      </c>
    </row>
    <row r="1324" spans="1:7">
      <c r="A1324" t="s">
        <v>2970</v>
      </c>
      <c r="B1324" t="s">
        <v>2971</v>
      </c>
      <c r="C1324">
        <v>15</v>
      </c>
      <c r="D1324" s="260">
        <v>46140</v>
      </c>
      <c r="E1324" s="260">
        <v>46161</v>
      </c>
      <c r="F1324">
        <v>112</v>
      </c>
      <c r="G1324" t="s">
        <v>350</v>
      </c>
    </row>
    <row r="1325" spans="1:7">
      <c r="A1325" t="s">
        <v>2972</v>
      </c>
      <c r="B1325" t="s">
        <v>2973</v>
      </c>
      <c r="C1325">
        <v>10</v>
      </c>
      <c r="D1325" s="260">
        <v>46206</v>
      </c>
      <c r="E1325" s="260">
        <v>46219</v>
      </c>
      <c r="F1325">
        <v>112</v>
      </c>
      <c r="G1325" t="s">
        <v>350</v>
      </c>
    </row>
    <row r="1326" spans="1:7">
      <c r="A1326" t="s">
        <v>2974</v>
      </c>
      <c r="B1326" t="s">
        <v>2975</v>
      </c>
      <c r="C1326">
        <v>15</v>
      </c>
      <c r="D1326" s="260">
        <v>46199</v>
      </c>
      <c r="E1326" s="260">
        <v>46219</v>
      </c>
      <c r="F1326">
        <v>72</v>
      </c>
      <c r="G1326" t="s">
        <v>350</v>
      </c>
    </row>
    <row r="1327" spans="1:7">
      <c r="A1327" t="s">
        <v>2976</v>
      </c>
      <c r="B1327" t="s">
        <v>2977</v>
      </c>
      <c r="C1327">
        <v>10</v>
      </c>
      <c r="D1327" s="260">
        <v>46239</v>
      </c>
      <c r="E1327" s="260">
        <v>46253</v>
      </c>
      <c r="F1327">
        <v>72</v>
      </c>
      <c r="G1327" t="s">
        <v>350</v>
      </c>
    </row>
    <row r="1328" spans="1:7">
      <c r="A1328" t="s">
        <v>2978</v>
      </c>
      <c r="B1328" t="s">
        <v>2979</v>
      </c>
      <c r="C1328">
        <v>10</v>
      </c>
      <c r="D1328" s="260">
        <v>46268</v>
      </c>
      <c r="E1328" s="260">
        <v>46281</v>
      </c>
      <c r="F1328">
        <v>72</v>
      </c>
      <c r="G1328" t="s">
        <v>350</v>
      </c>
    </row>
    <row r="1329" spans="1:7">
      <c r="A1329" t="s">
        <v>2980</v>
      </c>
      <c r="B1329" t="s">
        <v>2981</v>
      </c>
      <c r="C1329">
        <v>15</v>
      </c>
      <c r="D1329" s="260">
        <v>46199</v>
      </c>
      <c r="E1329" s="260">
        <v>46219</v>
      </c>
      <c r="F1329">
        <v>72</v>
      </c>
      <c r="G1329" t="s">
        <v>350</v>
      </c>
    </row>
    <row r="1330" spans="1:7">
      <c r="A1330" t="s">
        <v>2982</v>
      </c>
      <c r="B1330" t="s">
        <v>2983</v>
      </c>
      <c r="C1330">
        <v>10</v>
      </c>
      <c r="D1330" s="260">
        <v>46239</v>
      </c>
      <c r="E1330" s="260">
        <v>46253</v>
      </c>
      <c r="F1330">
        <v>72</v>
      </c>
      <c r="G1330" t="s">
        <v>350</v>
      </c>
    </row>
    <row r="1331" spans="1:7">
      <c r="A1331" t="s">
        <v>2984</v>
      </c>
      <c r="B1331" t="s">
        <v>2985</v>
      </c>
      <c r="C1331">
        <v>10</v>
      </c>
      <c r="D1331" s="260">
        <v>46268</v>
      </c>
      <c r="E1331" s="260">
        <v>46281</v>
      </c>
      <c r="F1331">
        <v>72</v>
      </c>
      <c r="G1331" t="s">
        <v>350</v>
      </c>
    </row>
    <row r="1332" spans="1:7">
      <c r="A1332" t="s">
        <v>2986</v>
      </c>
      <c r="B1332" t="s">
        <v>2987</v>
      </c>
      <c r="C1332">
        <v>15</v>
      </c>
      <c r="D1332" s="260">
        <v>46148</v>
      </c>
      <c r="E1332" s="260">
        <v>46168</v>
      </c>
      <c r="F1332">
        <v>107</v>
      </c>
      <c r="G1332" t="s">
        <v>350</v>
      </c>
    </row>
    <row r="1333" spans="1:7">
      <c r="A1333" t="s">
        <v>2988</v>
      </c>
      <c r="B1333" t="s">
        <v>2989</v>
      </c>
      <c r="C1333">
        <v>10</v>
      </c>
      <c r="D1333" s="260">
        <v>46213</v>
      </c>
      <c r="E1333" s="260">
        <v>46226</v>
      </c>
      <c r="F1333">
        <v>87</v>
      </c>
      <c r="G1333" t="s">
        <v>350</v>
      </c>
    </row>
    <row r="1334" spans="1:7">
      <c r="A1334" t="s">
        <v>2990</v>
      </c>
      <c r="B1334" t="s">
        <v>2991</v>
      </c>
      <c r="C1334">
        <v>10</v>
      </c>
      <c r="D1334" s="260">
        <v>46275</v>
      </c>
      <c r="E1334" s="260">
        <v>46288</v>
      </c>
      <c r="F1334">
        <v>67</v>
      </c>
      <c r="G1334" t="s">
        <v>350</v>
      </c>
    </row>
    <row r="1335" spans="1:7">
      <c r="A1335" t="s">
        <v>2992</v>
      </c>
      <c r="B1335" t="s">
        <v>2993</v>
      </c>
      <c r="C1335">
        <v>15</v>
      </c>
      <c r="D1335" s="260">
        <v>46199</v>
      </c>
      <c r="E1335" s="260">
        <v>46219</v>
      </c>
      <c r="F1335">
        <v>72</v>
      </c>
      <c r="G1335" t="s">
        <v>350</v>
      </c>
    </row>
    <row r="1336" spans="1:7">
      <c r="A1336" t="s">
        <v>2994</v>
      </c>
      <c r="B1336" t="s">
        <v>2995</v>
      </c>
      <c r="C1336">
        <v>10</v>
      </c>
      <c r="D1336" s="260">
        <v>46239</v>
      </c>
      <c r="E1336" s="260">
        <v>46253</v>
      </c>
      <c r="F1336">
        <v>72</v>
      </c>
      <c r="G1336" t="s">
        <v>350</v>
      </c>
    </row>
    <row r="1337" spans="1:7">
      <c r="A1337" t="s">
        <v>2996</v>
      </c>
      <c r="B1337" t="s">
        <v>2997</v>
      </c>
      <c r="C1337">
        <v>10</v>
      </c>
      <c r="D1337" s="260">
        <v>46275</v>
      </c>
      <c r="E1337" s="260">
        <v>46288</v>
      </c>
      <c r="F1337">
        <v>67</v>
      </c>
      <c r="G1337" t="s">
        <v>350</v>
      </c>
    </row>
    <row r="1338" spans="1:7">
      <c r="A1338" t="s">
        <v>2998</v>
      </c>
      <c r="B1338" t="s">
        <v>2999</v>
      </c>
      <c r="C1338">
        <v>15</v>
      </c>
      <c r="D1338" s="260">
        <v>46199</v>
      </c>
      <c r="E1338" s="260">
        <v>46219</v>
      </c>
      <c r="F1338">
        <v>72</v>
      </c>
      <c r="G1338" t="s">
        <v>350</v>
      </c>
    </row>
    <row r="1339" spans="1:7">
      <c r="A1339" t="s">
        <v>3000</v>
      </c>
      <c r="B1339" t="s">
        <v>3001</v>
      </c>
      <c r="C1339">
        <v>10</v>
      </c>
      <c r="D1339" s="260">
        <v>46268</v>
      </c>
      <c r="E1339" s="260">
        <v>46281</v>
      </c>
      <c r="F1339">
        <v>72</v>
      </c>
      <c r="G1339" t="s">
        <v>350</v>
      </c>
    </row>
    <row r="1340" spans="1:7">
      <c r="A1340" t="s">
        <v>3002</v>
      </c>
      <c r="B1340" t="s">
        <v>3003</v>
      </c>
      <c r="C1340">
        <v>15</v>
      </c>
      <c r="D1340" s="260">
        <v>46199</v>
      </c>
      <c r="E1340" s="260">
        <v>46219</v>
      </c>
      <c r="F1340">
        <v>72</v>
      </c>
      <c r="G1340" t="s">
        <v>350</v>
      </c>
    </row>
    <row r="1341" spans="1:7">
      <c r="A1341" t="s">
        <v>3004</v>
      </c>
      <c r="B1341" t="s">
        <v>3005</v>
      </c>
      <c r="C1341">
        <v>10</v>
      </c>
      <c r="D1341" s="260">
        <v>46239</v>
      </c>
      <c r="E1341" s="260">
        <v>46253</v>
      </c>
      <c r="F1341">
        <v>72</v>
      </c>
      <c r="G1341" t="s">
        <v>350</v>
      </c>
    </row>
    <row r="1342" spans="1:7">
      <c r="A1342" t="s">
        <v>3006</v>
      </c>
      <c r="B1342" t="s">
        <v>3007</v>
      </c>
      <c r="C1342">
        <v>10</v>
      </c>
      <c r="D1342" s="260">
        <v>46268</v>
      </c>
      <c r="E1342" s="260">
        <v>46281</v>
      </c>
      <c r="F1342">
        <v>72</v>
      </c>
      <c r="G1342" t="s">
        <v>350</v>
      </c>
    </row>
    <row r="1343" spans="1:7">
      <c r="A1343" t="s">
        <v>3008</v>
      </c>
      <c r="B1343" t="s">
        <v>3009</v>
      </c>
      <c r="C1343">
        <v>15</v>
      </c>
      <c r="D1343" s="260">
        <v>46220</v>
      </c>
      <c r="E1343" s="260">
        <v>46245</v>
      </c>
      <c r="F1343">
        <v>57</v>
      </c>
      <c r="G1343" t="s">
        <v>350</v>
      </c>
    </row>
    <row r="1344" spans="1:7">
      <c r="A1344" t="s">
        <v>3010</v>
      </c>
      <c r="B1344" t="s">
        <v>3011</v>
      </c>
      <c r="C1344">
        <v>10</v>
      </c>
      <c r="D1344" s="260">
        <v>46289</v>
      </c>
      <c r="E1344" s="260">
        <v>46302</v>
      </c>
      <c r="F1344">
        <v>57</v>
      </c>
      <c r="G1344" t="s">
        <v>350</v>
      </c>
    </row>
    <row r="1345" spans="1:7">
      <c r="A1345" t="s">
        <v>3012</v>
      </c>
      <c r="B1345" t="s">
        <v>3013</v>
      </c>
      <c r="C1345">
        <v>15</v>
      </c>
      <c r="D1345" s="260">
        <v>46220</v>
      </c>
      <c r="E1345" s="260">
        <v>46245</v>
      </c>
      <c r="F1345">
        <v>57</v>
      </c>
      <c r="G1345" t="s">
        <v>350</v>
      </c>
    </row>
    <row r="1346" spans="1:7">
      <c r="A1346" t="s">
        <v>3014</v>
      </c>
      <c r="B1346" t="s">
        <v>3015</v>
      </c>
      <c r="C1346">
        <v>10</v>
      </c>
      <c r="D1346" s="260">
        <v>46289</v>
      </c>
      <c r="E1346" s="260">
        <v>46302</v>
      </c>
      <c r="F1346">
        <v>57</v>
      </c>
      <c r="G1346" t="s">
        <v>350</v>
      </c>
    </row>
    <row r="1347" spans="1:7">
      <c r="A1347" t="s">
        <v>3016</v>
      </c>
      <c r="B1347" t="s">
        <v>3017</v>
      </c>
      <c r="C1347">
        <v>15</v>
      </c>
      <c r="D1347" s="260">
        <v>46247</v>
      </c>
      <c r="E1347" s="260">
        <v>46267</v>
      </c>
      <c r="F1347">
        <v>42</v>
      </c>
      <c r="G1347" t="s">
        <v>350</v>
      </c>
    </row>
    <row r="1348" spans="1:7">
      <c r="A1348" t="s">
        <v>3018</v>
      </c>
      <c r="B1348" t="s">
        <v>3019</v>
      </c>
      <c r="C1348">
        <v>10</v>
      </c>
      <c r="D1348" s="260">
        <v>46282</v>
      </c>
      <c r="E1348" s="260">
        <v>46295</v>
      </c>
      <c r="F1348">
        <v>42</v>
      </c>
      <c r="G1348" t="s">
        <v>350</v>
      </c>
    </row>
    <row r="1349" spans="1:7">
      <c r="A1349" t="s">
        <v>3020</v>
      </c>
      <c r="B1349" t="s">
        <v>3021</v>
      </c>
      <c r="C1349">
        <v>10</v>
      </c>
      <c r="D1349" s="260">
        <v>46311</v>
      </c>
      <c r="E1349" s="260">
        <v>46325</v>
      </c>
      <c r="F1349">
        <v>42</v>
      </c>
      <c r="G1349" t="s">
        <v>350</v>
      </c>
    </row>
    <row r="1350" spans="1:7">
      <c r="A1350" t="s">
        <v>3022</v>
      </c>
      <c r="B1350" t="s">
        <v>3023</v>
      </c>
      <c r="C1350">
        <v>15</v>
      </c>
      <c r="D1350" s="260">
        <v>46199</v>
      </c>
      <c r="E1350" s="260">
        <v>46219</v>
      </c>
      <c r="F1350">
        <v>72</v>
      </c>
      <c r="G1350" t="s">
        <v>350</v>
      </c>
    </row>
    <row r="1351" spans="1:7">
      <c r="A1351" t="s">
        <v>3024</v>
      </c>
      <c r="B1351" t="s">
        <v>3025</v>
      </c>
      <c r="C1351">
        <v>10</v>
      </c>
      <c r="D1351" s="260">
        <v>46239</v>
      </c>
      <c r="E1351" s="260">
        <v>46253</v>
      </c>
      <c r="F1351">
        <v>72</v>
      </c>
      <c r="G1351" t="s">
        <v>350</v>
      </c>
    </row>
    <row r="1352" spans="1:7">
      <c r="A1352" t="s">
        <v>3026</v>
      </c>
      <c r="B1352" t="s">
        <v>3027</v>
      </c>
      <c r="C1352">
        <v>10</v>
      </c>
      <c r="D1352" s="260">
        <v>46268</v>
      </c>
      <c r="E1352" s="260">
        <v>46281</v>
      </c>
      <c r="F1352">
        <v>72</v>
      </c>
      <c r="G1352" t="s">
        <v>350</v>
      </c>
    </row>
    <row r="1353" spans="1:7">
      <c r="A1353" t="s">
        <v>3028</v>
      </c>
      <c r="B1353" t="s">
        <v>3029</v>
      </c>
      <c r="C1353">
        <v>15</v>
      </c>
      <c r="D1353" s="260">
        <v>46199</v>
      </c>
      <c r="E1353" s="260">
        <v>46219</v>
      </c>
      <c r="F1353">
        <v>72</v>
      </c>
      <c r="G1353" t="s">
        <v>350</v>
      </c>
    </row>
    <row r="1354" spans="1:7">
      <c r="A1354" t="s">
        <v>3030</v>
      </c>
      <c r="B1354" t="s">
        <v>3031</v>
      </c>
      <c r="C1354">
        <v>10</v>
      </c>
      <c r="D1354" s="260">
        <v>46239</v>
      </c>
      <c r="E1354" s="260">
        <v>46253</v>
      </c>
      <c r="F1354">
        <v>72</v>
      </c>
      <c r="G1354" t="s">
        <v>350</v>
      </c>
    </row>
    <row r="1355" spans="1:7">
      <c r="A1355" t="s">
        <v>3032</v>
      </c>
      <c r="B1355" t="s">
        <v>3033</v>
      </c>
      <c r="C1355">
        <v>10</v>
      </c>
      <c r="D1355" s="260">
        <v>46268</v>
      </c>
      <c r="E1355" s="260">
        <v>46281</v>
      </c>
      <c r="F1355">
        <v>72</v>
      </c>
      <c r="G1355" t="s">
        <v>350</v>
      </c>
    </row>
    <row r="1356" spans="1:7">
      <c r="A1356" t="s">
        <v>3034</v>
      </c>
      <c r="B1356" t="s">
        <v>3035</v>
      </c>
      <c r="C1356">
        <v>15</v>
      </c>
      <c r="D1356" s="260">
        <v>46199</v>
      </c>
      <c r="E1356" s="260">
        <v>46219</v>
      </c>
      <c r="F1356">
        <v>72</v>
      </c>
      <c r="G1356" t="s">
        <v>350</v>
      </c>
    </row>
    <row r="1357" spans="1:7">
      <c r="A1357" t="s">
        <v>3036</v>
      </c>
      <c r="B1357" t="s">
        <v>3037</v>
      </c>
      <c r="C1357">
        <v>10</v>
      </c>
      <c r="D1357" s="260">
        <v>46268</v>
      </c>
      <c r="E1357" s="260">
        <v>46281</v>
      </c>
      <c r="F1357">
        <v>72</v>
      </c>
      <c r="G1357" t="s">
        <v>350</v>
      </c>
    </row>
    <row r="1358" spans="1:7">
      <c r="A1358" t="s">
        <v>3038</v>
      </c>
      <c r="B1358" t="s">
        <v>3039</v>
      </c>
      <c r="C1358">
        <v>15</v>
      </c>
      <c r="D1358" s="260">
        <v>46199</v>
      </c>
      <c r="E1358" s="260">
        <v>46219</v>
      </c>
      <c r="F1358">
        <v>72</v>
      </c>
      <c r="G1358" t="s">
        <v>350</v>
      </c>
    </row>
    <row r="1359" spans="1:7">
      <c r="A1359" t="s">
        <v>3040</v>
      </c>
      <c r="B1359" t="s">
        <v>3041</v>
      </c>
      <c r="C1359">
        <v>10</v>
      </c>
      <c r="D1359" s="260">
        <v>46268</v>
      </c>
      <c r="E1359" s="260">
        <v>46281</v>
      </c>
      <c r="F1359">
        <v>72</v>
      </c>
      <c r="G1359" t="s">
        <v>350</v>
      </c>
    </row>
    <row r="1360" spans="1:7">
      <c r="A1360" t="s">
        <v>3042</v>
      </c>
      <c r="B1360" t="s">
        <v>3043</v>
      </c>
      <c r="C1360">
        <v>15</v>
      </c>
      <c r="D1360" s="260">
        <v>46220</v>
      </c>
      <c r="E1360" s="260">
        <v>46245</v>
      </c>
      <c r="F1360">
        <v>57</v>
      </c>
      <c r="G1360" t="s">
        <v>350</v>
      </c>
    </row>
    <row r="1361" spans="1:7">
      <c r="A1361" t="s">
        <v>3044</v>
      </c>
      <c r="B1361" t="s">
        <v>3045</v>
      </c>
      <c r="C1361">
        <v>10</v>
      </c>
      <c r="D1361" s="260">
        <v>46289</v>
      </c>
      <c r="E1361" s="260">
        <v>46302</v>
      </c>
      <c r="F1361">
        <v>57</v>
      </c>
      <c r="G1361" t="s">
        <v>350</v>
      </c>
    </row>
    <row r="1362" spans="1:7">
      <c r="A1362" t="s">
        <v>3046</v>
      </c>
      <c r="B1362" t="s">
        <v>3047</v>
      </c>
      <c r="C1362">
        <v>15</v>
      </c>
      <c r="D1362" s="260">
        <v>46220</v>
      </c>
      <c r="E1362" s="260">
        <v>46245</v>
      </c>
      <c r="F1362">
        <v>57</v>
      </c>
      <c r="G1362" t="s">
        <v>350</v>
      </c>
    </row>
    <row r="1363" spans="1:7">
      <c r="A1363" t="s">
        <v>3048</v>
      </c>
      <c r="B1363" t="s">
        <v>3049</v>
      </c>
      <c r="C1363">
        <v>10</v>
      </c>
      <c r="D1363" s="260">
        <v>46289</v>
      </c>
      <c r="E1363" s="260">
        <v>46302</v>
      </c>
      <c r="F1363">
        <v>57</v>
      </c>
      <c r="G1363" t="s">
        <v>350</v>
      </c>
    </row>
    <row r="1364" spans="1:7">
      <c r="A1364" t="s">
        <v>3050</v>
      </c>
      <c r="B1364" t="s">
        <v>3051</v>
      </c>
      <c r="C1364">
        <v>15</v>
      </c>
      <c r="D1364" s="260">
        <v>46220</v>
      </c>
      <c r="E1364" s="260">
        <v>46245</v>
      </c>
      <c r="F1364">
        <v>57</v>
      </c>
      <c r="G1364" t="s">
        <v>350</v>
      </c>
    </row>
    <row r="1365" spans="1:7">
      <c r="A1365" t="s">
        <v>3052</v>
      </c>
      <c r="B1365" t="s">
        <v>3053</v>
      </c>
      <c r="C1365">
        <v>10</v>
      </c>
      <c r="D1365" s="260">
        <v>46289</v>
      </c>
      <c r="E1365" s="260">
        <v>46302</v>
      </c>
      <c r="F1365">
        <v>57</v>
      </c>
      <c r="G1365" t="s">
        <v>350</v>
      </c>
    </row>
    <row r="1366" spans="1:7">
      <c r="A1366" t="s">
        <v>3054</v>
      </c>
      <c r="B1366" t="s">
        <v>3055</v>
      </c>
      <c r="C1366">
        <v>15</v>
      </c>
      <c r="D1366" s="260">
        <v>46178</v>
      </c>
      <c r="E1366" s="260">
        <v>46198</v>
      </c>
      <c r="F1366">
        <v>72</v>
      </c>
      <c r="G1366" t="s">
        <v>350</v>
      </c>
    </row>
    <row r="1367" spans="1:7">
      <c r="A1367" t="s">
        <v>3056</v>
      </c>
      <c r="B1367" t="s">
        <v>3057</v>
      </c>
      <c r="C1367">
        <v>10</v>
      </c>
      <c r="D1367" s="260">
        <v>46213</v>
      </c>
      <c r="E1367" s="260">
        <v>46226</v>
      </c>
      <c r="F1367">
        <v>77</v>
      </c>
      <c r="G1367" t="s">
        <v>350</v>
      </c>
    </row>
    <row r="1368" spans="1:7">
      <c r="A1368" t="s">
        <v>3058</v>
      </c>
      <c r="B1368" t="s">
        <v>3059</v>
      </c>
      <c r="C1368">
        <v>10</v>
      </c>
      <c r="D1368" s="260">
        <v>46247</v>
      </c>
      <c r="E1368" s="260">
        <v>46260</v>
      </c>
      <c r="F1368">
        <v>77</v>
      </c>
      <c r="G1368" t="s">
        <v>350</v>
      </c>
    </row>
    <row r="1369" spans="1:7">
      <c r="A1369" t="s">
        <v>3060</v>
      </c>
      <c r="B1369" t="s">
        <v>3061</v>
      </c>
      <c r="C1369">
        <v>15</v>
      </c>
      <c r="D1369" s="260">
        <v>46178</v>
      </c>
      <c r="E1369" s="260">
        <v>46198</v>
      </c>
      <c r="F1369">
        <v>72</v>
      </c>
      <c r="G1369" t="s">
        <v>350</v>
      </c>
    </row>
    <row r="1370" spans="1:7">
      <c r="A1370" t="s">
        <v>3062</v>
      </c>
      <c r="B1370" t="s">
        <v>3063</v>
      </c>
      <c r="C1370">
        <v>10</v>
      </c>
      <c r="D1370" s="260">
        <v>46213</v>
      </c>
      <c r="E1370" s="260">
        <v>46226</v>
      </c>
      <c r="F1370">
        <v>77</v>
      </c>
      <c r="G1370" t="s">
        <v>350</v>
      </c>
    </row>
    <row r="1371" spans="1:7">
      <c r="A1371" t="s">
        <v>3064</v>
      </c>
      <c r="B1371" t="s">
        <v>3065</v>
      </c>
      <c r="C1371">
        <v>10</v>
      </c>
      <c r="D1371" s="260">
        <v>46247</v>
      </c>
      <c r="E1371" s="260">
        <v>46260</v>
      </c>
      <c r="F1371">
        <v>77</v>
      </c>
      <c r="G1371" t="s">
        <v>350</v>
      </c>
    </row>
    <row r="1372" spans="1:7">
      <c r="A1372" t="s">
        <v>3066</v>
      </c>
      <c r="B1372" t="s">
        <v>3067</v>
      </c>
      <c r="C1372">
        <v>15</v>
      </c>
      <c r="D1372" s="260">
        <v>46178</v>
      </c>
      <c r="E1372" s="260">
        <v>46198</v>
      </c>
      <c r="F1372">
        <v>72</v>
      </c>
      <c r="G1372" t="s">
        <v>350</v>
      </c>
    </row>
    <row r="1373" spans="1:7">
      <c r="A1373" t="s">
        <v>3068</v>
      </c>
      <c r="B1373" t="s">
        <v>3069</v>
      </c>
      <c r="C1373">
        <v>10</v>
      </c>
      <c r="D1373" s="260">
        <v>46213</v>
      </c>
      <c r="E1373" s="260">
        <v>46226</v>
      </c>
      <c r="F1373">
        <v>77</v>
      </c>
      <c r="G1373" t="s">
        <v>350</v>
      </c>
    </row>
    <row r="1374" spans="1:7">
      <c r="A1374" t="s">
        <v>3070</v>
      </c>
      <c r="B1374" t="s">
        <v>3071</v>
      </c>
      <c r="C1374">
        <v>10</v>
      </c>
      <c r="D1374" s="260">
        <v>46247</v>
      </c>
      <c r="E1374" s="260">
        <v>46260</v>
      </c>
      <c r="F1374">
        <v>77</v>
      </c>
      <c r="G1374" t="s">
        <v>350</v>
      </c>
    </row>
    <row r="1375" spans="1:7">
      <c r="A1375" t="s">
        <v>3072</v>
      </c>
      <c r="B1375" t="s">
        <v>3073</v>
      </c>
      <c r="C1375">
        <v>15</v>
      </c>
      <c r="D1375" s="260">
        <v>46199</v>
      </c>
      <c r="E1375" s="260">
        <v>46219</v>
      </c>
      <c r="F1375">
        <v>72</v>
      </c>
      <c r="G1375" t="s">
        <v>350</v>
      </c>
    </row>
    <row r="1376" spans="1:7">
      <c r="A1376" t="s">
        <v>3074</v>
      </c>
      <c r="B1376" t="s">
        <v>3075</v>
      </c>
      <c r="C1376">
        <v>10</v>
      </c>
      <c r="D1376" s="260">
        <v>46239</v>
      </c>
      <c r="E1376" s="260">
        <v>46253</v>
      </c>
      <c r="F1376">
        <v>72</v>
      </c>
      <c r="G1376" t="s">
        <v>350</v>
      </c>
    </row>
    <row r="1377" spans="1:7">
      <c r="A1377" t="s">
        <v>3076</v>
      </c>
      <c r="B1377" t="s">
        <v>3077</v>
      </c>
      <c r="C1377">
        <v>10</v>
      </c>
      <c r="D1377" s="260">
        <v>46268</v>
      </c>
      <c r="E1377" s="260">
        <v>46281</v>
      </c>
      <c r="F1377">
        <v>72</v>
      </c>
      <c r="G1377" t="s">
        <v>350</v>
      </c>
    </row>
    <row r="1378" spans="1:7">
      <c r="A1378" t="s">
        <v>3078</v>
      </c>
      <c r="B1378" t="s">
        <v>3079</v>
      </c>
      <c r="C1378">
        <v>15</v>
      </c>
      <c r="D1378" s="260">
        <v>46199</v>
      </c>
      <c r="E1378" s="260">
        <v>46219</v>
      </c>
      <c r="F1378">
        <v>72</v>
      </c>
      <c r="G1378" t="s">
        <v>350</v>
      </c>
    </row>
    <row r="1379" spans="1:7">
      <c r="A1379" t="s">
        <v>3080</v>
      </c>
      <c r="B1379" t="s">
        <v>3081</v>
      </c>
      <c r="C1379">
        <v>10</v>
      </c>
      <c r="D1379" s="260">
        <v>46239</v>
      </c>
      <c r="E1379" s="260">
        <v>46253</v>
      </c>
      <c r="F1379">
        <v>72</v>
      </c>
      <c r="G1379" t="s">
        <v>350</v>
      </c>
    </row>
    <row r="1380" spans="1:7">
      <c r="A1380" t="s">
        <v>3082</v>
      </c>
      <c r="B1380" t="s">
        <v>3083</v>
      </c>
      <c r="C1380">
        <v>10</v>
      </c>
      <c r="D1380" s="260">
        <v>46268</v>
      </c>
      <c r="E1380" s="260">
        <v>46281</v>
      </c>
      <c r="F1380">
        <v>72</v>
      </c>
      <c r="G1380" t="s">
        <v>350</v>
      </c>
    </row>
    <row r="1381" spans="1:7">
      <c r="A1381" t="s">
        <v>3084</v>
      </c>
      <c r="B1381" t="s">
        <v>3085</v>
      </c>
      <c r="C1381">
        <v>15</v>
      </c>
      <c r="D1381" s="260">
        <v>46199</v>
      </c>
      <c r="E1381" s="260">
        <v>46219</v>
      </c>
      <c r="F1381">
        <v>72</v>
      </c>
      <c r="G1381" t="s">
        <v>350</v>
      </c>
    </row>
    <row r="1382" spans="1:7">
      <c r="A1382" t="s">
        <v>3086</v>
      </c>
      <c r="B1382" t="s">
        <v>3087</v>
      </c>
      <c r="C1382">
        <v>10</v>
      </c>
      <c r="D1382" s="260">
        <v>46239</v>
      </c>
      <c r="E1382" s="260">
        <v>46253</v>
      </c>
      <c r="F1382">
        <v>72</v>
      </c>
      <c r="G1382" t="s">
        <v>350</v>
      </c>
    </row>
    <row r="1383" spans="1:7">
      <c r="A1383" t="s">
        <v>3088</v>
      </c>
      <c r="B1383" t="s">
        <v>3089</v>
      </c>
      <c r="C1383">
        <v>10</v>
      </c>
      <c r="D1383" s="260">
        <v>46268</v>
      </c>
      <c r="E1383" s="260">
        <v>46281</v>
      </c>
      <c r="F1383">
        <v>72</v>
      </c>
      <c r="G1383" t="s">
        <v>350</v>
      </c>
    </row>
    <row r="1384" spans="1:7">
      <c r="A1384" t="s">
        <v>3090</v>
      </c>
      <c r="B1384" t="s">
        <v>3091</v>
      </c>
      <c r="C1384">
        <v>15</v>
      </c>
      <c r="D1384" s="260">
        <v>46178</v>
      </c>
      <c r="E1384" s="260">
        <v>46198</v>
      </c>
      <c r="F1384">
        <v>87</v>
      </c>
      <c r="G1384" t="s">
        <v>350</v>
      </c>
    </row>
    <row r="1385" spans="1:7">
      <c r="A1385" t="s">
        <v>3092</v>
      </c>
      <c r="B1385" t="s">
        <v>3093</v>
      </c>
      <c r="C1385">
        <v>10</v>
      </c>
      <c r="D1385" s="260">
        <v>46213</v>
      </c>
      <c r="E1385" s="260">
        <v>46226</v>
      </c>
      <c r="F1385">
        <v>87</v>
      </c>
      <c r="G1385" t="s">
        <v>350</v>
      </c>
    </row>
    <row r="1386" spans="1:7">
      <c r="A1386" t="s">
        <v>3094</v>
      </c>
      <c r="B1386" t="s">
        <v>3095</v>
      </c>
      <c r="C1386">
        <v>10</v>
      </c>
      <c r="D1386" s="260">
        <v>46247</v>
      </c>
      <c r="E1386" s="260">
        <v>46260</v>
      </c>
      <c r="F1386">
        <v>87</v>
      </c>
      <c r="G1386" t="s">
        <v>350</v>
      </c>
    </row>
    <row r="1387" spans="1:7">
      <c r="A1387" t="s">
        <v>3096</v>
      </c>
      <c r="B1387" t="s">
        <v>3097</v>
      </c>
      <c r="C1387">
        <v>15</v>
      </c>
      <c r="D1387" s="260">
        <v>46178</v>
      </c>
      <c r="E1387" s="260">
        <v>46198</v>
      </c>
      <c r="F1387">
        <v>87</v>
      </c>
      <c r="G1387" t="s">
        <v>350</v>
      </c>
    </row>
    <row r="1388" spans="1:7">
      <c r="A1388" t="s">
        <v>3098</v>
      </c>
      <c r="B1388" t="s">
        <v>3099</v>
      </c>
      <c r="C1388">
        <v>10</v>
      </c>
      <c r="D1388" s="260">
        <v>46213</v>
      </c>
      <c r="E1388" s="260">
        <v>46226</v>
      </c>
      <c r="F1388">
        <v>87</v>
      </c>
      <c r="G1388" t="s">
        <v>350</v>
      </c>
    </row>
    <row r="1389" spans="1:7">
      <c r="A1389" t="s">
        <v>3100</v>
      </c>
      <c r="B1389" t="s">
        <v>3101</v>
      </c>
      <c r="C1389">
        <v>10</v>
      </c>
      <c r="D1389" s="260">
        <v>46247</v>
      </c>
      <c r="E1389" s="260">
        <v>46260</v>
      </c>
      <c r="F1389">
        <v>87</v>
      </c>
      <c r="G1389" t="s">
        <v>350</v>
      </c>
    </row>
    <row r="1390" spans="1:7">
      <c r="A1390" t="s">
        <v>3102</v>
      </c>
      <c r="B1390" t="s">
        <v>3103</v>
      </c>
      <c r="C1390">
        <v>15</v>
      </c>
      <c r="D1390" s="260">
        <v>46178</v>
      </c>
      <c r="E1390" s="260">
        <v>46198</v>
      </c>
      <c r="F1390">
        <v>87</v>
      </c>
      <c r="G1390" t="s">
        <v>350</v>
      </c>
    </row>
    <row r="1391" spans="1:7">
      <c r="A1391" t="s">
        <v>3104</v>
      </c>
      <c r="B1391" t="s">
        <v>3105</v>
      </c>
      <c r="C1391">
        <v>10</v>
      </c>
      <c r="D1391" s="260">
        <v>46213</v>
      </c>
      <c r="E1391" s="260">
        <v>46226</v>
      </c>
      <c r="F1391">
        <v>87</v>
      </c>
      <c r="G1391" t="s">
        <v>350</v>
      </c>
    </row>
    <row r="1392" spans="1:7">
      <c r="A1392" t="s">
        <v>3106</v>
      </c>
      <c r="B1392" t="s">
        <v>3107</v>
      </c>
      <c r="C1392">
        <v>10</v>
      </c>
      <c r="D1392" s="260">
        <v>46247</v>
      </c>
      <c r="E1392" s="260">
        <v>46260</v>
      </c>
      <c r="F1392">
        <v>87</v>
      </c>
      <c r="G1392" t="s">
        <v>350</v>
      </c>
    </row>
    <row r="1393" spans="1:7">
      <c r="A1393" t="s">
        <v>3108</v>
      </c>
      <c r="B1393" t="s">
        <v>3109</v>
      </c>
      <c r="C1393">
        <v>15</v>
      </c>
      <c r="D1393" s="260">
        <v>46199</v>
      </c>
      <c r="E1393" s="260">
        <v>46219</v>
      </c>
      <c r="F1393">
        <v>72</v>
      </c>
      <c r="G1393" t="s">
        <v>350</v>
      </c>
    </row>
    <row r="1394" spans="1:7">
      <c r="A1394" t="s">
        <v>3110</v>
      </c>
      <c r="B1394" t="s">
        <v>3111</v>
      </c>
      <c r="C1394">
        <v>10</v>
      </c>
      <c r="D1394" s="260">
        <v>46239</v>
      </c>
      <c r="E1394" s="260">
        <v>46253</v>
      </c>
      <c r="F1394">
        <v>72</v>
      </c>
      <c r="G1394" t="s">
        <v>350</v>
      </c>
    </row>
    <row r="1395" spans="1:7">
      <c r="A1395" t="s">
        <v>3112</v>
      </c>
      <c r="B1395" t="s">
        <v>3113</v>
      </c>
      <c r="C1395">
        <v>10</v>
      </c>
      <c r="D1395" s="260">
        <v>46268</v>
      </c>
      <c r="E1395" s="260">
        <v>46281</v>
      </c>
      <c r="F1395">
        <v>72</v>
      </c>
      <c r="G1395" t="s">
        <v>350</v>
      </c>
    </row>
    <row r="1396" spans="1:7">
      <c r="A1396" t="s">
        <v>3114</v>
      </c>
      <c r="B1396" t="s">
        <v>3115</v>
      </c>
      <c r="C1396">
        <v>15</v>
      </c>
      <c r="D1396" s="260">
        <v>46199</v>
      </c>
      <c r="E1396" s="260">
        <v>46219</v>
      </c>
      <c r="F1396">
        <v>72</v>
      </c>
      <c r="G1396" t="s">
        <v>350</v>
      </c>
    </row>
    <row r="1397" spans="1:7">
      <c r="A1397" t="s">
        <v>3116</v>
      </c>
      <c r="B1397" t="s">
        <v>3117</v>
      </c>
      <c r="C1397">
        <v>10</v>
      </c>
      <c r="D1397" s="260">
        <v>46239</v>
      </c>
      <c r="E1397" s="260">
        <v>46253</v>
      </c>
      <c r="F1397">
        <v>72</v>
      </c>
      <c r="G1397" t="s">
        <v>350</v>
      </c>
    </row>
    <row r="1398" spans="1:7">
      <c r="A1398" t="s">
        <v>3118</v>
      </c>
      <c r="B1398" t="s">
        <v>3119</v>
      </c>
      <c r="C1398">
        <v>10</v>
      </c>
      <c r="D1398" s="260">
        <v>46268</v>
      </c>
      <c r="E1398" s="260">
        <v>46281</v>
      </c>
      <c r="F1398">
        <v>72</v>
      </c>
      <c r="G1398" t="s">
        <v>350</v>
      </c>
    </row>
    <row r="1399" spans="1:7">
      <c r="A1399" t="s">
        <v>3120</v>
      </c>
      <c r="B1399" t="s">
        <v>3121</v>
      </c>
      <c r="C1399">
        <v>15</v>
      </c>
      <c r="D1399" s="260">
        <v>46199</v>
      </c>
      <c r="E1399" s="260">
        <v>46219</v>
      </c>
      <c r="F1399">
        <v>72</v>
      </c>
      <c r="G1399" t="s">
        <v>350</v>
      </c>
    </row>
    <row r="1400" spans="1:7">
      <c r="A1400" t="s">
        <v>3122</v>
      </c>
      <c r="B1400" t="s">
        <v>3123</v>
      </c>
      <c r="C1400">
        <v>10</v>
      </c>
      <c r="D1400" s="260">
        <v>46239</v>
      </c>
      <c r="E1400" s="260">
        <v>46253</v>
      </c>
      <c r="F1400">
        <v>72</v>
      </c>
      <c r="G1400" t="s">
        <v>350</v>
      </c>
    </row>
    <row r="1401" spans="1:7">
      <c r="A1401" t="s">
        <v>3124</v>
      </c>
      <c r="B1401" t="s">
        <v>3125</v>
      </c>
      <c r="C1401">
        <v>10</v>
      </c>
      <c r="D1401" s="260">
        <v>46268</v>
      </c>
      <c r="E1401" s="260">
        <v>46281</v>
      </c>
      <c r="F1401">
        <v>72</v>
      </c>
      <c r="G1401" t="s">
        <v>350</v>
      </c>
    </row>
    <row r="1402" spans="1:7">
      <c r="A1402" t="s">
        <v>3126</v>
      </c>
      <c r="C1402">
        <v>126</v>
      </c>
      <c r="D1402" s="260">
        <v>46112</v>
      </c>
      <c r="E1402" s="260">
        <v>46302</v>
      </c>
      <c r="F1402">
        <v>57</v>
      </c>
      <c r="G1402" t="s">
        <v>350</v>
      </c>
    </row>
    <row r="1403" spans="1:7">
      <c r="A1403" t="s">
        <v>3127</v>
      </c>
      <c r="B1403" t="s">
        <v>3128</v>
      </c>
      <c r="C1403">
        <v>15</v>
      </c>
      <c r="D1403" s="260">
        <v>46148</v>
      </c>
      <c r="E1403" s="260">
        <v>46168</v>
      </c>
      <c r="F1403">
        <v>36</v>
      </c>
      <c r="G1403" t="s">
        <v>350</v>
      </c>
    </row>
    <row r="1404" spans="1:7">
      <c r="A1404" t="s">
        <v>3129</v>
      </c>
      <c r="B1404" t="s">
        <v>3130</v>
      </c>
      <c r="C1404">
        <v>10</v>
      </c>
      <c r="D1404" s="260">
        <v>46185</v>
      </c>
      <c r="E1404" s="260">
        <v>46198</v>
      </c>
      <c r="F1404">
        <v>102</v>
      </c>
      <c r="G1404" t="s">
        <v>350</v>
      </c>
    </row>
    <row r="1405" spans="1:7">
      <c r="A1405" t="s">
        <v>3131</v>
      </c>
      <c r="B1405" t="s">
        <v>3132</v>
      </c>
      <c r="C1405">
        <v>10</v>
      </c>
      <c r="D1405" s="260">
        <v>46213</v>
      </c>
      <c r="E1405" s="260">
        <v>46226</v>
      </c>
      <c r="F1405">
        <v>102</v>
      </c>
      <c r="G1405" t="s">
        <v>350</v>
      </c>
    </row>
    <row r="1406" spans="1:7">
      <c r="A1406" t="s">
        <v>3133</v>
      </c>
      <c r="B1406" t="s">
        <v>3134</v>
      </c>
      <c r="C1406">
        <v>15</v>
      </c>
      <c r="D1406" s="260">
        <v>46112</v>
      </c>
      <c r="E1406" s="260">
        <v>46136</v>
      </c>
      <c r="F1406">
        <v>0</v>
      </c>
      <c r="G1406" t="s">
        <v>350</v>
      </c>
    </row>
    <row r="1407" spans="1:7">
      <c r="A1407" t="s">
        <v>3135</v>
      </c>
      <c r="B1407" t="s">
        <v>3136</v>
      </c>
      <c r="C1407">
        <v>10</v>
      </c>
      <c r="D1407" s="260">
        <v>46154</v>
      </c>
      <c r="E1407" s="260">
        <v>46167</v>
      </c>
      <c r="F1407">
        <v>34</v>
      </c>
      <c r="G1407" t="s">
        <v>350</v>
      </c>
    </row>
    <row r="1408" spans="1:7">
      <c r="A1408" t="s">
        <v>3137</v>
      </c>
      <c r="B1408" t="s">
        <v>3138</v>
      </c>
      <c r="C1408">
        <v>10</v>
      </c>
      <c r="D1408" s="260">
        <v>46185</v>
      </c>
      <c r="E1408" s="260">
        <v>46198</v>
      </c>
      <c r="F1408">
        <v>33</v>
      </c>
      <c r="G1408" t="s">
        <v>350</v>
      </c>
    </row>
    <row r="1409" spans="1:7">
      <c r="A1409" t="s">
        <v>3139</v>
      </c>
      <c r="B1409" t="s">
        <v>3140</v>
      </c>
      <c r="C1409">
        <v>15</v>
      </c>
      <c r="D1409" s="260">
        <v>46148</v>
      </c>
      <c r="E1409" s="260">
        <v>46168</v>
      </c>
      <c r="F1409">
        <v>36</v>
      </c>
      <c r="G1409" t="s">
        <v>350</v>
      </c>
    </row>
    <row r="1410" spans="1:7">
      <c r="A1410" t="s">
        <v>3141</v>
      </c>
      <c r="B1410" t="s">
        <v>3142</v>
      </c>
      <c r="C1410">
        <v>10</v>
      </c>
      <c r="D1410" s="260">
        <v>46185</v>
      </c>
      <c r="E1410" s="260">
        <v>46198</v>
      </c>
      <c r="F1410">
        <v>102</v>
      </c>
      <c r="G1410" t="s">
        <v>350</v>
      </c>
    </row>
    <row r="1411" spans="1:7">
      <c r="A1411" t="s">
        <v>3143</v>
      </c>
      <c r="B1411" t="s">
        <v>3144</v>
      </c>
      <c r="C1411">
        <v>10</v>
      </c>
      <c r="D1411" s="260">
        <v>46213</v>
      </c>
      <c r="E1411" s="260">
        <v>46226</v>
      </c>
      <c r="F1411">
        <v>102</v>
      </c>
      <c r="G1411" t="s">
        <v>350</v>
      </c>
    </row>
    <row r="1412" spans="1:7">
      <c r="A1412" t="s">
        <v>3145</v>
      </c>
      <c r="B1412" t="s">
        <v>3146</v>
      </c>
      <c r="C1412">
        <v>10</v>
      </c>
      <c r="D1412" s="260">
        <v>46132</v>
      </c>
      <c r="E1412" s="260">
        <v>46146</v>
      </c>
      <c r="F1412">
        <v>-45</v>
      </c>
      <c r="G1412" t="s">
        <v>350</v>
      </c>
    </row>
    <row r="1413" spans="1:7">
      <c r="A1413" t="s">
        <v>3147</v>
      </c>
      <c r="B1413" t="s">
        <v>3148</v>
      </c>
      <c r="C1413">
        <v>10</v>
      </c>
      <c r="D1413" s="260">
        <v>46161</v>
      </c>
      <c r="E1413" s="260">
        <v>46175</v>
      </c>
      <c r="F1413">
        <v>123</v>
      </c>
      <c r="G1413" t="s">
        <v>350</v>
      </c>
    </row>
    <row r="1414" spans="1:7">
      <c r="A1414" t="s">
        <v>3149</v>
      </c>
      <c r="B1414" t="s">
        <v>3150</v>
      </c>
      <c r="C1414">
        <v>5</v>
      </c>
      <c r="D1414" s="260">
        <v>46199</v>
      </c>
      <c r="E1414" s="260">
        <v>46205</v>
      </c>
      <c r="F1414">
        <v>117</v>
      </c>
      <c r="G1414" t="s">
        <v>350</v>
      </c>
    </row>
    <row r="1415" spans="1:7">
      <c r="A1415" t="s">
        <v>3151</v>
      </c>
      <c r="B1415" t="s">
        <v>3152</v>
      </c>
      <c r="C1415">
        <v>15</v>
      </c>
      <c r="D1415" s="260">
        <v>46199</v>
      </c>
      <c r="E1415" s="260">
        <v>46219</v>
      </c>
      <c r="F1415">
        <v>47</v>
      </c>
      <c r="G1415" t="s">
        <v>350</v>
      </c>
    </row>
    <row r="1416" spans="1:7">
      <c r="A1416" t="s">
        <v>3153</v>
      </c>
      <c r="B1416" t="s">
        <v>3154</v>
      </c>
      <c r="C1416">
        <v>10</v>
      </c>
      <c r="D1416" s="260">
        <v>46268</v>
      </c>
      <c r="E1416" s="260">
        <v>46281</v>
      </c>
      <c r="F1416">
        <v>67</v>
      </c>
      <c r="G1416" t="s">
        <v>350</v>
      </c>
    </row>
    <row r="1417" spans="1:7">
      <c r="A1417" t="s">
        <v>3155</v>
      </c>
      <c r="B1417" t="s">
        <v>3156</v>
      </c>
      <c r="C1417">
        <v>15</v>
      </c>
      <c r="D1417" s="260">
        <v>46220</v>
      </c>
      <c r="E1417" s="260">
        <v>46245</v>
      </c>
      <c r="F1417">
        <v>32</v>
      </c>
      <c r="G1417" t="s">
        <v>350</v>
      </c>
    </row>
    <row r="1418" spans="1:7">
      <c r="A1418" t="s">
        <v>3157</v>
      </c>
      <c r="B1418" t="s">
        <v>3158</v>
      </c>
      <c r="C1418">
        <v>10</v>
      </c>
      <c r="D1418" s="260">
        <v>46289</v>
      </c>
      <c r="E1418" s="260">
        <v>46302</v>
      </c>
      <c r="F1418">
        <v>52</v>
      </c>
      <c r="G1418" t="s">
        <v>350</v>
      </c>
    </row>
    <row r="1419" spans="1:7">
      <c r="A1419" t="s">
        <v>3159</v>
      </c>
      <c r="B1419" t="s">
        <v>3160</v>
      </c>
      <c r="C1419">
        <v>15</v>
      </c>
      <c r="D1419" s="260">
        <v>46199</v>
      </c>
      <c r="E1419" s="260">
        <v>46219</v>
      </c>
      <c r="F1419">
        <v>47</v>
      </c>
      <c r="G1419" t="s">
        <v>350</v>
      </c>
    </row>
    <row r="1420" spans="1:7">
      <c r="A1420" t="s">
        <v>3161</v>
      </c>
      <c r="B1420" t="s">
        <v>3162</v>
      </c>
      <c r="C1420">
        <v>10</v>
      </c>
      <c r="D1420" s="260">
        <v>46239</v>
      </c>
      <c r="E1420" s="260">
        <v>46253</v>
      </c>
      <c r="F1420">
        <v>67</v>
      </c>
      <c r="G1420" t="s">
        <v>350</v>
      </c>
    </row>
    <row r="1421" spans="1:7">
      <c r="A1421" t="s">
        <v>3163</v>
      </c>
      <c r="B1421" t="s">
        <v>3164</v>
      </c>
      <c r="C1421">
        <v>10</v>
      </c>
      <c r="D1421" s="260">
        <v>46268</v>
      </c>
      <c r="E1421" s="260">
        <v>46281</v>
      </c>
      <c r="F1421">
        <v>67</v>
      </c>
      <c r="G1421" t="s">
        <v>350</v>
      </c>
    </row>
    <row r="1422" spans="1:7">
      <c r="A1422" t="s">
        <v>3165</v>
      </c>
      <c r="B1422" t="s">
        <v>3166</v>
      </c>
      <c r="C1422">
        <v>15</v>
      </c>
      <c r="D1422" s="260">
        <v>46148</v>
      </c>
      <c r="E1422" s="260">
        <v>46168</v>
      </c>
      <c r="F1422">
        <v>63</v>
      </c>
      <c r="G1422" t="s">
        <v>350</v>
      </c>
    </row>
    <row r="1423" spans="1:7">
      <c r="A1423" t="s">
        <v>3167</v>
      </c>
      <c r="B1423" t="s">
        <v>3168</v>
      </c>
      <c r="C1423">
        <v>10</v>
      </c>
      <c r="D1423" s="260">
        <v>46185</v>
      </c>
      <c r="E1423" s="260">
        <v>46198</v>
      </c>
      <c r="F1423">
        <v>102</v>
      </c>
      <c r="G1423" t="s">
        <v>350</v>
      </c>
    </row>
    <row r="1424" spans="1:7">
      <c r="A1424" t="s">
        <v>3169</v>
      </c>
      <c r="B1424" t="s">
        <v>3170</v>
      </c>
      <c r="C1424">
        <v>10</v>
      </c>
      <c r="D1424" s="260">
        <v>46213</v>
      </c>
      <c r="E1424" s="260">
        <v>46226</v>
      </c>
      <c r="F1424">
        <v>102</v>
      </c>
      <c r="G1424" t="s">
        <v>350</v>
      </c>
    </row>
    <row r="1425" spans="1:7">
      <c r="A1425" t="s">
        <v>3171</v>
      </c>
      <c r="B1425" t="s">
        <v>3172</v>
      </c>
      <c r="C1425">
        <v>15</v>
      </c>
      <c r="D1425" s="260">
        <v>46112</v>
      </c>
      <c r="E1425" s="260">
        <v>46136</v>
      </c>
      <c r="F1425">
        <v>89</v>
      </c>
      <c r="G1425" t="s">
        <v>350</v>
      </c>
    </row>
    <row r="1426" spans="1:7">
      <c r="A1426" t="s">
        <v>3173</v>
      </c>
      <c r="B1426" t="s">
        <v>3174</v>
      </c>
      <c r="C1426">
        <v>10</v>
      </c>
      <c r="D1426" s="260">
        <v>46154</v>
      </c>
      <c r="E1426" s="260">
        <v>46167</v>
      </c>
      <c r="F1426">
        <v>123</v>
      </c>
      <c r="G1426" t="s">
        <v>350</v>
      </c>
    </row>
    <row r="1427" spans="1:7">
      <c r="A1427" t="s">
        <v>3175</v>
      </c>
      <c r="B1427" t="s">
        <v>3176</v>
      </c>
      <c r="C1427">
        <v>10</v>
      </c>
      <c r="D1427" s="260">
        <v>46184</v>
      </c>
      <c r="E1427" s="260">
        <v>46197</v>
      </c>
      <c r="F1427">
        <v>123</v>
      </c>
      <c r="G1427" t="s">
        <v>350</v>
      </c>
    </row>
    <row r="1428" spans="1:7">
      <c r="A1428" t="s">
        <v>3177</v>
      </c>
      <c r="B1428" t="s">
        <v>3178</v>
      </c>
      <c r="C1428">
        <v>15</v>
      </c>
      <c r="D1428" s="260">
        <v>46148</v>
      </c>
      <c r="E1428" s="260">
        <v>46168</v>
      </c>
      <c r="F1428">
        <v>36</v>
      </c>
      <c r="G1428" t="s">
        <v>350</v>
      </c>
    </row>
    <row r="1429" spans="1:7">
      <c r="A1429" t="s">
        <v>3179</v>
      </c>
      <c r="B1429" t="s">
        <v>3180</v>
      </c>
      <c r="C1429">
        <v>10</v>
      </c>
      <c r="D1429" s="260">
        <v>46185</v>
      </c>
      <c r="E1429" s="260">
        <v>46198</v>
      </c>
      <c r="F1429">
        <v>102</v>
      </c>
      <c r="G1429" t="s">
        <v>350</v>
      </c>
    </row>
    <row r="1430" spans="1:7">
      <c r="A1430" t="s">
        <v>3181</v>
      </c>
      <c r="B1430" t="s">
        <v>3182</v>
      </c>
      <c r="C1430">
        <v>10</v>
      </c>
      <c r="D1430" s="260">
        <v>46213</v>
      </c>
      <c r="E1430" s="260">
        <v>46226</v>
      </c>
      <c r="F1430">
        <v>102</v>
      </c>
      <c r="G1430" t="s">
        <v>350</v>
      </c>
    </row>
    <row r="1431" spans="1:7">
      <c r="A1431" t="s">
        <v>3183</v>
      </c>
      <c r="B1431" t="s">
        <v>3184</v>
      </c>
      <c r="C1431">
        <v>10</v>
      </c>
      <c r="D1431" s="260">
        <v>46132</v>
      </c>
      <c r="E1431" s="260">
        <v>46146</v>
      </c>
      <c r="F1431">
        <v>-45</v>
      </c>
      <c r="G1431" t="s">
        <v>350</v>
      </c>
    </row>
    <row r="1432" spans="1:7">
      <c r="A1432" t="s">
        <v>3185</v>
      </c>
      <c r="B1432" t="s">
        <v>3186</v>
      </c>
      <c r="C1432">
        <v>10</v>
      </c>
      <c r="D1432" s="260">
        <v>46161</v>
      </c>
      <c r="E1432" s="260">
        <v>46175</v>
      </c>
      <c r="F1432">
        <v>6</v>
      </c>
      <c r="G1432" t="s">
        <v>350</v>
      </c>
    </row>
    <row r="1433" spans="1:7">
      <c r="A1433" t="s">
        <v>3187</v>
      </c>
      <c r="B1433" t="s">
        <v>3188</v>
      </c>
      <c r="C1433">
        <v>10</v>
      </c>
      <c r="D1433" s="260">
        <v>46191</v>
      </c>
      <c r="E1433" s="260">
        <v>46204</v>
      </c>
      <c r="F1433">
        <v>6</v>
      </c>
      <c r="G1433" t="s">
        <v>350</v>
      </c>
    </row>
    <row r="1434" spans="1:7">
      <c r="A1434" t="s">
        <v>3189</v>
      </c>
      <c r="B1434" t="s">
        <v>3190</v>
      </c>
      <c r="C1434">
        <v>15</v>
      </c>
      <c r="D1434" s="260">
        <v>46199</v>
      </c>
      <c r="E1434" s="260">
        <v>46219</v>
      </c>
      <c r="F1434">
        <v>47</v>
      </c>
      <c r="G1434" t="s">
        <v>350</v>
      </c>
    </row>
    <row r="1435" spans="1:7">
      <c r="A1435" t="s">
        <v>3191</v>
      </c>
      <c r="B1435" t="s">
        <v>3192</v>
      </c>
      <c r="C1435">
        <v>10</v>
      </c>
      <c r="D1435" s="260">
        <v>46268</v>
      </c>
      <c r="E1435" s="260">
        <v>46281</v>
      </c>
      <c r="F1435">
        <v>67</v>
      </c>
      <c r="G1435" t="s">
        <v>350</v>
      </c>
    </row>
    <row r="1436" spans="1:7">
      <c r="A1436" t="s">
        <v>3193</v>
      </c>
      <c r="B1436" t="s">
        <v>3194</v>
      </c>
      <c r="C1436">
        <v>15</v>
      </c>
      <c r="D1436" s="260">
        <v>46220</v>
      </c>
      <c r="E1436" s="260">
        <v>46245</v>
      </c>
      <c r="F1436">
        <v>32</v>
      </c>
      <c r="G1436" t="s">
        <v>350</v>
      </c>
    </row>
    <row r="1437" spans="1:7">
      <c r="A1437" t="s">
        <v>3195</v>
      </c>
      <c r="B1437" t="s">
        <v>3196</v>
      </c>
      <c r="C1437">
        <v>10</v>
      </c>
      <c r="D1437" s="260">
        <v>46289</v>
      </c>
      <c r="E1437" s="260">
        <v>46302</v>
      </c>
      <c r="F1437">
        <v>52</v>
      </c>
      <c r="G1437" t="s">
        <v>350</v>
      </c>
    </row>
    <row r="1438" spans="1:7">
      <c r="A1438" t="s">
        <v>3197</v>
      </c>
      <c r="B1438" t="s">
        <v>3198</v>
      </c>
      <c r="C1438">
        <v>15</v>
      </c>
      <c r="D1438" s="260">
        <v>46220</v>
      </c>
      <c r="E1438" s="260">
        <v>46245</v>
      </c>
      <c r="F1438">
        <v>57</v>
      </c>
      <c r="G1438" t="s">
        <v>350</v>
      </c>
    </row>
    <row r="1439" spans="1:7">
      <c r="A1439" t="s">
        <v>3199</v>
      </c>
      <c r="B1439" t="s">
        <v>3200</v>
      </c>
      <c r="C1439">
        <v>10</v>
      </c>
      <c r="D1439" s="260">
        <v>46261</v>
      </c>
      <c r="E1439" s="260">
        <v>46274</v>
      </c>
      <c r="F1439">
        <v>57</v>
      </c>
      <c r="G1439" t="s">
        <v>350</v>
      </c>
    </row>
    <row r="1440" spans="1:7">
      <c r="A1440" t="s">
        <v>3201</v>
      </c>
      <c r="B1440" t="s">
        <v>3202</v>
      </c>
      <c r="C1440">
        <v>10</v>
      </c>
      <c r="D1440" s="260">
        <v>46289</v>
      </c>
      <c r="E1440" s="260">
        <v>46302</v>
      </c>
      <c r="F1440">
        <v>57</v>
      </c>
      <c r="G1440" t="s">
        <v>350</v>
      </c>
    </row>
    <row r="1441" spans="1:7">
      <c r="A1441" t="s">
        <v>3203</v>
      </c>
      <c r="B1441" t="s">
        <v>3204</v>
      </c>
      <c r="C1441">
        <v>15</v>
      </c>
      <c r="D1441" s="260">
        <v>46220</v>
      </c>
      <c r="E1441" s="260">
        <v>46245</v>
      </c>
      <c r="F1441">
        <v>37</v>
      </c>
      <c r="G1441" t="s">
        <v>350</v>
      </c>
    </row>
    <row r="1442" spans="1:7">
      <c r="A1442" t="s">
        <v>3205</v>
      </c>
      <c r="B1442" t="s">
        <v>3206</v>
      </c>
      <c r="C1442">
        <v>10</v>
      </c>
      <c r="D1442" s="260">
        <v>46261</v>
      </c>
      <c r="E1442" s="260">
        <v>46274</v>
      </c>
      <c r="F1442">
        <v>57</v>
      </c>
      <c r="G1442" t="s">
        <v>350</v>
      </c>
    </row>
    <row r="1443" spans="1:7">
      <c r="A1443" t="s">
        <v>3207</v>
      </c>
      <c r="B1443" t="s">
        <v>3208</v>
      </c>
      <c r="C1443">
        <v>10</v>
      </c>
      <c r="D1443" s="260">
        <v>46289</v>
      </c>
      <c r="E1443" s="260">
        <v>46302</v>
      </c>
      <c r="F1443">
        <v>57</v>
      </c>
      <c r="G1443" t="s">
        <v>350</v>
      </c>
    </row>
    <row r="1444" spans="1:7">
      <c r="A1444" t="s">
        <v>3209</v>
      </c>
      <c r="B1444" t="s">
        <v>3210</v>
      </c>
      <c r="C1444">
        <v>15</v>
      </c>
      <c r="D1444" s="260">
        <v>46220</v>
      </c>
      <c r="E1444" s="260">
        <v>46245</v>
      </c>
      <c r="F1444">
        <v>57</v>
      </c>
      <c r="G1444" t="s">
        <v>350</v>
      </c>
    </row>
    <row r="1445" spans="1:7">
      <c r="A1445" t="s">
        <v>3211</v>
      </c>
      <c r="B1445" t="s">
        <v>3212</v>
      </c>
      <c r="C1445">
        <v>10</v>
      </c>
      <c r="D1445" s="260">
        <v>46261</v>
      </c>
      <c r="E1445" s="260">
        <v>46274</v>
      </c>
      <c r="F1445">
        <v>57</v>
      </c>
      <c r="G1445" t="s">
        <v>350</v>
      </c>
    </row>
    <row r="1446" spans="1:7">
      <c r="A1446" t="s">
        <v>3213</v>
      </c>
      <c r="B1446" t="s">
        <v>3214</v>
      </c>
      <c r="C1446">
        <v>10</v>
      </c>
      <c r="D1446" s="260">
        <v>46289</v>
      </c>
      <c r="E1446" s="260">
        <v>46302</v>
      </c>
      <c r="F1446">
        <v>57</v>
      </c>
      <c r="G1446" t="s">
        <v>350</v>
      </c>
    </row>
    <row r="1447" spans="1:7">
      <c r="A1447" t="s">
        <v>3215</v>
      </c>
      <c r="B1447" t="s">
        <v>3216</v>
      </c>
      <c r="C1447">
        <v>15</v>
      </c>
      <c r="D1447" s="260">
        <v>46199</v>
      </c>
      <c r="E1447" s="260">
        <v>46219</v>
      </c>
      <c r="F1447">
        <v>47</v>
      </c>
      <c r="G1447" t="s">
        <v>350</v>
      </c>
    </row>
    <row r="1448" spans="1:7">
      <c r="A1448" t="s">
        <v>3217</v>
      </c>
      <c r="B1448" t="s">
        <v>3218</v>
      </c>
      <c r="C1448">
        <v>10</v>
      </c>
      <c r="D1448" s="260">
        <v>46239</v>
      </c>
      <c r="E1448" s="260">
        <v>46253</v>
      </c>
      <c r="F1448">
        <v>67</v>
      </c>
      <c r="G1448" t="s">
        <v>350</v>
      </c>
    </row>
    <row r="1449" spans="1:7">
      <c r="A1449" t="s">
        <v>3219</v>
      </c>
      <c r="B1449" t="s">
        <v>3220</v>
      </c>
      <c r="C1449">
        <v>10</v>
      </c>
      <c r="D1449" s="260">
        <v>46268</v>
      </c>
      <c r="E1449" s="260">
        <v>46281</v>
      </c>
      <c r="F1449">
        <v>67</v>
      </c>
      <c r="G1449" t="s">
        <v>350</v>
      </c>
    </row>
    <row r="1450" spans="1:7">
      <c r="A1450" t="s">
        <v>3221</v>
      </c>
      <c r="C1450">
        <v>133</v>
      </c>
      <c r="D1450" s="260">
        <v>46142</v>
      </c>
      <c r="E1450" s="260">
        <v>46339</v>
      </c>
      <c r="F1450">
        <v>32</v>
      </c>
      <c r="G1450" t="s">
        <v>350</v>
      </c>
    </row>
    <row r="1451" spans="1:7">
      <c r="A1451" t="s">
        <v>3222</v>
      </c>
      <c r="B1451" t="s">
        <v>3223</v>
      </c>
      <c r="C1451">
        <v>15</v>
      </c>
      <c r="D1451" s="260">
        <v>46181</v>
      </c>
      <c r="E1451" s="260">
        <v>46199</v>
      </c>
      <c r="F1451">
        <v>63</v>
      </c>
      <c r="G1451" t="s">
        <v>350</v>
      </c>
    </row>
    <row r="1452" spans="1:7">
      <c r="A1452" t="s">
        <v>3224</v>
      </c>
      <c r="B1452" t="s">
        <v>3225</v>
      </c>
      <c r="C1452">
        <v>5</v>
      </c>
      <c r="D1452" s="260">
        <v>46288</v>
      </c>
      <c r="E1452" s="260">
        <v>46294</v>
      </c>
      <c r="F1452">
        <v>63</v>
      </c>
      <c r="G1452" t="s">
        <v>350</v>
      </c>
    </row>
    <row r="1453" spans="1:7">
      <c r="A1453" t="s">
        <v>3226</v>
      </c>
      <c r="B1453" t="s">
        <v>3227</v>
      </c>
      <c r="C1453">
        <v>15</v>
      </c>
      <c r="D1453" s="260">
        <v>46142</v>
      </c>
      <c r="E1453" s="260">
        <v>46163</v>
      </c>
      <c r="F1453">
        <v>0</v>
      </c>
      <c r="G1453" t="s">
        <v>350</v>
      </c>
    </row>
    <row r="1454" spans="1:7">
      <c r="A1454" t="s">
        <v>3228</v>
      </c>
      <c r="B1454" t="s">
        <v>3229</v>
      </c>
      <c r="C1454">
        <v>5</v>
      </c>
      <c r="D1454" s="260">
        <v>46252</v>
      </c>
      <c r="E1454" s="260">
        <v>46258</v>
      </c>
      <c r="F1454">
        <v>0</v>
      </c>
      <c r="G1454" t="s">
        <v>350</v>
      </c>
    </row>
    <row r="1455" spans="1:7">
      <c r="A1455" t="s">
        <v>3230</v>
      </c>
      <c r="B1455" t="s">
        <v>3231</v>
      </c>
      <c r="C1455">
        <v>15</v>
      </c>
      <c r="D1455" s="260">
        <v>46213</v>
      </c>
      <c r="E1455" s="260">
        <v>46238</v>
      </c>
      <c r="F1455">
        <v>36</v>
      </c>
      <c r="G1455" t="s">
        <v>350</v>
      </c>
    </row>
    <row r="1456" spans="1:7">
      <c r="A1456" t="s">
        <v>3232</v>
      </c>
      <c r="B1456" t="s">
        <v>3233</v>
      </c>
      <c r="C1456">
        <v>5</v>
      </c>
      <c r="D1456" s="260">
        <v>46329</v>
      </c>
      <c r="E1456" s="260">
        <v>46335</v>
      </c>
      <c r="F1456">
        <v>36</v>
      </c>
      <c r="G1456" t="s">
        <v>350</v>
      </c>
    </row>
    <row r="1457" spans="1:7">
      <c r="A1457" t="s">
        <v>3234</v>
      </c>
      <c r="B1457" t="s">
        <v>3235</v>
      </c>
      <c r="C1457">
        <v>15</v>
      </c>
      <c r="D1457" s="260">
        <v>46168</v>
      </c>
      <c r="E1457" s="260">
        <v>46190</v>
      </c>
      <c r="F1457">
        <v>67</v>
      </c>
      <c r="G1457" t="s">
        <v>350</v>
      </c>
    </row>
    <row r="1458" spans="1:7">
      <c r="A1458" t="s">
        <v>3236</v>
      </c>
      <c r="B1458" t="s">
        <v>3237</v>
      </c>
      <c r="C1458">
        <v>5</v>
      </c>
      <c r="D1458" s="260">
        <v>46282</v>
      </c>
      <c r="E1458" s="260">
        <v>46288</v>
      </c>
      <c r="F1458">
        <v>67</v>
      </c>
      <c r="G1458" t="s">
        <v>350</v>
      </c>
    </row>
    <row r="1459" spans="1:7">
      <c r="A1459" t="s">
        <v>3238</v>
      </c>
      <c r="B1459" t="s">
        <v>3239</v>
      </c>
      <c r="C1459">
        <v>10</v>
      </c>
      <c r="D1459" s="260">
        <v>46220</v>
      </c>
      <c r="E1459" s="260">
        <v>46238</v>
      </c>
      <c r="F1459">
        <v>47</v>
      </c>
      <c r="G1459" t="s">
        <v>350</v>
      </c>
    </row>
    <row r="1460" spans="1:7">
      <c r="A1460" t="s">
        <v>3240</v>
      </c>
      <c r="B1460" t="s">
        <v>3241</v>
      </c>
      <c r="C1460">
        <v>5</v>
      </c>
      <c r="D1460" s="260">
        <v>46311</v>
      </c>
      <c r="E1460" s="260">
        <v>46317</v>
      </c>
      <c r="F1460">
        <v>47</v>
      </c>
      <c r="G1460" t="s">
        <v>350</v>
      </c>
    </row>
    <row r="1461" spans="1:7">
      <c r="A1461" t="s">
        <v>3242</v>
      </c>
      <c r="B1461" t="s">
        <v>3243</v>
      </c>
      <c r="C1461">
        <v>10</v>
      </c>
      <c r="D1461" s="260">
        <v>46247</v>
      </c>
      <c r="E1461" s="260">
        <v>46260</v>
      </c>
      <c r="F1461">
        <v>32</v>
      </c>
      <c r="G1461" t="s">
        <v>350</v>
      </c>
    </row>
    <row r="1462" spans="1:7">
      <c r="A1462" t="s">
        <v>3244</v>
      </c>
      <c r="B1462" t="s">
        <v>3245</v>
      </c>
      <c r="C1462">
        <v>5</v>
      </c>
      <c r="D1462" s="260">
        <v>46335</v>
      </c>
      <c r="E1462" s="260">
        <v>46339</v>
      </c>
      <c r="F1462">
        <v>32</v>
      </c>
      <c r="G1462" t="s">
        <v>350</v>
      </c>
    </row>
    <row r="1463" spans="1:7">
      <c r="A1463" t="s">
        <v>3246</v>
      </c>
      <c r="B1463" t="s">
        <v>3247</v>
      </c>
      <c r="C1463">
        <v>10</v>
      </c>
      <c r="D1463" s="260">
        <v>46220</v>
      </c>
      <c r="E1463" s="260">
        <v>46238</v>
      </c>
      <c r="F1463">
        <v>47</v>
      </c>
      <c r="G1463" t="s">
        <v>350</v>
      </c>
    </row>
    <row r="1464" spans="1:7">
      <c r="A1464" t="s">
        <v>3248</v>
      </c>
      <c r="B1464" t="s">
        <v>3249</v>
      </c>
      <c r="C1464">
        <v>5</v>
      </c>
      <c r="D1464" s="260">
        <v>46311</v>
      </c>
      <c r="E1464" s="260">
        <v>46317</v>
      </c>
      <c r="F1464">
        <v>47</v>
      </c>
      <c r="G1464" t="s">
        <v>350</v>
      </c>
    </row>
    <row r="1465" spans="1:7">
      <c r="A1465" t="s">
        <v>3250</v>
      </c>
      <c r="B1465" t="s">
        <v>3251</v>
      </c>
      <c r="C1465">
        <v>15</v>
      </c>
      <c r="D1465" s="260">
        <v>46181</v>
      </c>
      <c r="E1465" s="260">
        <v>46199</v>
      </c>
      <c r="F1465">
        <v>63</v>
      </c>
      <c r="G1465" t="s">
        <v>350</v>
      </c>
    </row>
    <row r="1466" spans="1:7">
      <c r="A1466" t="s">
        <v>3252</v>
      </c>
      <c r="B1466" t="s">
        <v>3253</v>
      </c>
      <c r="C1466">
        <v>5</v>
      </c>
      <c r="D1466" s="260">
        <v>46288</v>
      </c>
      <c r="E1466" s="260">
        <v>46294</v>
      </c>
      <c r="F1466">
        <v>63</v>
      </c>
      <c r="G1466" t="s">
        <v>350</v>
      </c>
    </row>
    <row r="1467" spans="1:7">
      <c r="A1467" t="s">
        <v>3254</v>
      </c>
      <c r="B1467" t="s">
        <v>3255</v>
      </c>
      <c r="C1467">
        <v>15</v>
      </c>
      <c r="D1467" s="260">
        <v>46142</v>
      </c>
      <c r="E1467" s="260">
        <v>46163</v>
      </c>
      <c r="F1467">
        <v>89</v>
      </c>
      <c r="G1467" t="s">
        <v>350</v>
      </c>
    </row>
    <row r="1468" spans="1:7">
      <c r="A1468" t="s">
        <v>3256</v>
      </c>
      <c r="B1468" t="s">
        <v>3257</v>
      </c>
      <c r="C1468">
        <v>5</v>
      </c>
      <c r="D1468" s="260">
        <v>46252</v>
      </c>
      <c r="E1468" s="260">
        <v>46258</v>
      </c>
      <c r="F1468">
        <v>89</v>
      </c>
      <c r="G1468" t="s">
        <v>350</v>
      </c>
    </row>
    <row r="1469" spans="1:7">
      <c r="A1469" t="s">
        <v>3258</v>
      </c>
      <c r="B1469" t="s">
        <v>3259</v>
      </c>
      <c r="C1469">
        <v>15</v>
      </c>
      <c r="D1469" s="260">
        <v>46213</v>
      </c>
      <c r="E1469" s="260">
        <v>46238</v>
      </c>
      <c r="F1469">
        <v>36</v>
      </c>
      <c r="G1469" t="s">
        <v>350</v>
      </c>
    </row>
    <row r="1470" spans="1:7">
      <c r="A1470" t="s">
        <v>3260</v>
      </c>
      <c r="B1470" t="s">
        <v>3261</v>
      </c>
      <c r="C1470">
        <v>5</v>
      </c>
      <c r="D1470" s="260">
        <v>46329</v>
      </c>
      <c r="E1470" s="260">
        <v>46335</v>
      </c>
      <c r="F1470">
        <v>36</v>
      </c>
      <c r="G1470" t="s">
        <v>350</v>
      </c>
    </row>
    <row r="1471" spans="1:7">
      <c r="A1471" t="s">
        <v>3262</v>
      </c>
      <c r="B1471" t="s">
        <v>3263</v>
      </c>
      <c r="C1471">
        <v>15</v>
      </c>
      <c r="D1471" s="260">
        <v>46168</v>
      </c>
      <c r="E1471" s="260">
        <v>46190</v>
      </c>
      <c r="F1471">
        <v>-45</v>
      </c>
      <c r="G1471" t="s">
        <v>350</v>
      </c>
    </row>
    <row r="1472" spans="1:7">
      <c r="A1472" t="s">
        <v>3264</v>
      </c>
      <c r="B1472" t="s">
        <v>3265</v>
      </c>
      <c r="C1472">
        <v>5</v>
      </c>
      <c r="D1472" s="260">
        <v>46282</v>
      </c>
      <c r="E1472" s="260">
        <v>46288</v>
      </c>
      <c r="F1472">
        <v>-45</v>
      </c>
      <c r="G1472" t="s">
        <v>350</v>
      </c>
    </row>
    <row r="1473" spans="1:7">
      <c r="A1473" t="s">
        <v>3266</v>
      </c>
      <c r="B1473" t="s">
        <v>3267</v>
      </c>
      <c r="C1473">
        <v>10</v>
      </c>
      <c r="D1473" s="260">
        <v>46220</v>
      </c>
      <c r="E1473" s="260">
        <v>46238</v>
      </c>
      <c r="F1473">
        <v>47</v>
      </c>
      <c r="G1473" t="s">
        <v>350</v>
      </c>
    </row>
    <row r="1474" spans="1:7">
      <c r="A1474" t="s">
        <v>3268</v>
      </c>
      <c r="B1474" t="s">
        <v>3269</v>
      </c>
      <c r="C1474">
        <v>5</v>
      </c>
      <c r="D1474" s="260">
        <v>46311</v>
      </c>
      <c r="E1474" s="260">
        <v>46317</v>
      </c>
      <c r="F1474">
        <v>47</v>
      </c>
      <c r="G1474" t="s">
        <v>350</v>
      </c>
    </row>
    <row r="1475" spans="1:7">
      <c r="A1475" t="s">
        <v>3270</v>
      </c>
      <c r="B1475" t="s">
        <v>3271</v>
      </c>
      <c r="C1475">
        <v>10</v>
      </c>
      <c r="D1475" s="260">
        <v>46247</v>
      </c>
      <c r="E1475" s="260">
        <v>46260</v>
      </c>
      <c r="F1475">
        <v>32</v>
      </c>
      <c r="G1475" t="s">
        <v>350</v>
      </c>
    </row>
    <row r="1476" spans="1:7">
      <c r="A1476" t="s">
        <v>3272</v>
      </c>
      <c r="B1476" t="s">
        <v>3273</v>
      </c>
      <c r="C1476">
        <v>5</v>
      </c>
      <c r="D1476" s="260">
        <v>46335</v>
      </c>
      <c r="E1476" s="260">
        <v>46339</v>
      </c>
      <c r="F1476">
        <v>32</v>
      </c>
      <c r="G1476" t="s">
        <v>350</v>
      </c>
    </row>
    <row r="1477" spans="1:7">
      <c r="A1477" t="s">
        <v>3274</v>
      </c>
      <c r="B1477" t="s">
        <v>3275</v>
      </c>
      <c r="C1477">
        <v>10</v>
      </c>
      <c r="D1477" s="260">
        <v>46220</v>
      </c>
      <c r="E1477" s="260">
        <v>46238</v>
      </c>
      <c r="F1477">
        <v>47</v>
      </c>
      <c r="G1477" t="s">
        <v>350</v>
      </c>
    </row>
    <row r="1478" spans="1:7">
      <c r="A1478" t="s">
        <v>3276</v>
      </c>
      <c r="B1478" t="s">
        <v>3277</v>
      </c>
      <c r="C1478">
        <v>5</v>
      </c>
      <c r="D1478" s="260">
        <v>46311</v>
      </c>
      <c r="E1478" s="260">
        <v>46317</v>
      </c>
      <c r="F1478">
        <v>47</v>
      </c>
      <c r="G1478" t="s">
        <v>350</v>
      </c>
    </row>
    <row r="1479" spans="1:7">
      <c r="A1479" t="s">
        <v>3278</v>
      </c>
      <c r="B1479" t="s">
        <v>3279</v>
      </c>
      <c r="C1479">
        <v>10</v>
      </c>
      <c r="D1479" s="260">
        <v>46227</v>
      </c>
      <c r="E1479" s="260">
        <v>46245</v>
      </c>
      <c r="F1479">
        <v>82</v>
      </c>
      <c r="G1479" t="s">
        <v>350</v>
      </c>
    </row>
    <row r="1480" spans="1:7">
      <c r="A1480" t="s">
        <v>3280</v>
      </c>
      <c r="B1480" t="s">
        <v>3281</v>
      </c>
      <c r="C1480">
        <v>5</v>
      </c>
      <c r="D1480" s="260">
        <v>46328</v>
      </c>
      <c r="E1480" s="260">
        <v>46332</v>
      </c>
      <c r="F1480">
        <v>37</v>
      </c>
      <c r="G1480" t="s">
        <v>350</v>
      </c>
    </row>
    <row r="1481" spans="1:7">
      <c r="A1481" t="s">
        <v>3282</v>
      </c>
      <c r="C1481">
        <v>92</v>
      </c>
      <c r="D1481" s="260">
        <v>46183</v>
      </c>
      <c r="E1481" s="260">
        <v>46317</v>
      </c>
      <c r="F1481">
        <v>32</v>
      </c>
      <c r="G1481" t="s">
        <v>350</v>
      </c>
    </row>
    <row r="1482" spans="1:7">
      <c r="A1482" t="s">
        <v>3283</v>
      </c>
      <c r="B1482" t="s">
        <v>3284</v>
      </c>
      <c r="C1482">
        <v>16</v>
      </c>
      <c r="D1482" s="260">
        <v>46225</v>
      </c>
      <c r="E1482" s="260">
        <v>46252</v>
      </c>
      <c r="F1482">
        <v>63</v>
      </c>
      <c r="G1482" t="s">
        <v>350</v>
      </c>
    </row>
    <row r="1483" spans="1:7">
      <c r="A1483" t="s">
        <v>3285</v>
      </c>
      <c r="B1483" t="s">
        <v>3286</v>
      </c>
      <c r="C1483">
        <v>5</v>
      </c>
      <c r="D1483" s="260">
        <v>46267</v>
      </c>
      <c r="E1483" s="260">
        <v>46273</v>
      </c>
      <c r="F1483">
        <v>63</v>
      </c>
      <c r="G1483" t="s">
        <v>350</v>
      </c>
    </row>
    <row r="1484" spans="1:7">
      <c r="A1484" t="s">
        <v>3287</v>
      </c>
      <c r="B1484" t="s">
        <v>3288</v>
      </c>
      <c r="C1484">
        <v>20</v>
      </c>
      <c r="D1484" s="260">
        <v>46183</v>
      </c>
      <c r="E1484" s="260">
        <v>46210</v>
      </c>
      <c r="F1484">
        <v>0</v>
      </c>
      <c r="G1484" t="s">
        <v>350</v>
      </c>
    </row>
    <row r="1485" spans="1:7">
      <c r="A1485" t="s">
        <v>3289</v>
      </c>
      <c r="B1485" t="s">
        <v>3290</v>
      </c>
      <c r="C1485">
        <v>5</v>
      </c>
      <c r="D1485" s="260">
        <v>46225</v>
      </c>
      <c r="E1485" s="260">
        <v>46234</v>
      </c>
      <c r="F1485">
        <v>0</v>
      </c>
      <c r="G1485" t="s">
        <v>350</v>
      </c>
    </row>
    <row r="1486" spans="1:7">
      <c r="A1486" t="s">
        <v>3291</v>
      </c>
      <c r="B1486" t="s">
        <v>3292</v>
      </c>
      <c r="C1486">
        <v>20</v>
      </c>
      <c r="D1486" s="260">
        <v>46262</v>
      </c>
      <c r="E1486" s="260">
        <v>46289</v>
      </c>
      <c r="F1486">
        <v>36</v>
      </c>
      <c r="G1486" t="s">
        <v>350</v>
      </c>
    </row>
    <row r="1487" spans="1:7">
      <c r="A1487" t="s">
        <v>3293</v>
      </c>
      <c r="B1487" t="s">
        <v>3294</v>
      </c>
      <c r="C1487">
        <v>5</v>
      </c>
      <c r="D1487" s="260">
        <v>46304</v>
      </c>
      <c r="E1487" s="260">
        <v>46311</v>
      </c>
      <c r="F1487">
        <v>36</v>
      </c>
      <c r="G1487" t="s">
        <v>350</v>
      </c>
    </row>
    <row r="1488" spans="1:7">
      <c r="A1488" t="s">
        <v>3295</v>
      </c>
      <c r="B1488" t="s">
        <v>3296</v>
      </c>
      <c r="C1488">
        <v>12</v>
      </c>
      <c r="D1488" s="260">
        <v>46225</v>
      </c>
      <c r="E1488" s="260">
        <v>46245</v>
      </c>
      <c r="F1488">
        <v>67</v>
      </c>
      <c r="G1488" t="s">
        <v>350</v>
      </c>
    </row>
    <row r="1489" spans="1:7">
      <c r="A1489" t="s">
        <v>3297</v>
      </c>
      <c r="B1489" t="s">
        <v>3298</v>
      </c>
      <c r="C1489">
        <v>5</v>
      </c>
      <c r="D1489" s="260">
        <v>46261</v>
      </c>
      <c r="E1489" s="260">
        <v>46267</v>
      </c>
      <c r="F1489">
        <v>67</v>
      </c>
      <c r="G1489" t="s">
        <v>350</v>
      </c>
    </row>
    <row r="1490" spans="1:7">
      <c r="A1490" t="s">
        <v>3299</v>
      </c>
      <c r="B1490" t="s">
        <v>3300</v>
      </c>
      <c r="C1490">
        <v>15</v>
      </c>
      <c r="D1490" s="260">
        <v>46254</v>
      </c>
      <c r="E1490" s="260">
        <v>46274</v>
      </c>
      <c r="F1490">
        <v>47</v>
      </c>
      <c r="G1490" t="s">
        <v>350</v>
      </c>
    </row>
    <row r="1491" spans="1:7">
      <c r="A1491" t="s">
        <v>3301</v>
      </c>
      <c r="B1491" t="s">
        <v>3302</v>
      </c>
      <c r="C1491">
        <v>5</v>
      </c>
      <c r="D1491" s="260">
        <v>46289</v>
      </c>
      <c r="E1491" s="260">
        <v>46295</v>
      </c>
      <c r="F1491">
        <v>47</v>
      </c>
      <c r="G1491" t="s">
        <v>350</v>
      </c>
    </row>
    <row r="1492" spans="1:7">
      <c r="A1492" t="s">
        <v>3303</v>
      </c>
      <c r="B1492" t="s">
        <v>3304</v>
      </c>
      <c r="C1492">
        <v>15</v>
      </c>
      <c r="D1492" s="260">
        <v>46275</v>
      </c>
      <c r="E1492" s="260">
        <v>46295</v>
      </c>
      <c r="F1492">
        <v>32</v>
      </c>
      <c r="G1492" t="s">
        <v>350</v>
      </c>
    </row>
    <row r="1493" spans="1:7">
      <c r="A1493" t="s">
        <v>3305</v>
      </c>
      <c r="B1493" t="s">
        <v>3306</v>
      </c>
      <c r="C1493">
        <v>5</v>
      </c>
      <c r="D1493" s="260">
        <v>46311</v>
      </c>
      <c r="E1493" s="260">
        <v>46317</v>
      </c>
      <c r="F1493">
        <v>32</v>
      </c>
      <c r="G1493" t="s">
        <v>350</v>
      </c>
    </row>
    <row r="1494" spans="1:7">
      <c r="A1494" t="s">
        <v>3307</v>
      </c>
      <c r="B1494" t="s">
        <v>3308</v>
      </c>
      <c r="C1494">
        <v>15</v>
      </c>
      <c r="D1494" s="260">
        <v>46254</v>
      </c>
      <c r="E1494" s="260">
        <v>46274</v>
      </c>
      <c r="F1494">
        <v>47</v>
      </c>
      <c r="G1494" t="s">
        <v>350</v>
      </c>
    </row>
    <row r="1495" spans="1:7">
      <c r="A1495" t="s">
        <v>3309</v>
      </c>
      <c r="B1495" t="s">
        <v>3310</v>
      </c>
      <c r="C1495">
        <v>5</v>
      </c>
      <c r="D1495" s="260">
        <v>46289</v>
      </c>
      <c r="E1495" s="260">
        <v>46295</v>
      </c>
      <c r="F1495">
        <v>47</v>
      </c>
      <c r="G1495" t="s">
        <v>350</v>
      </c>
    </row>
    <row r="1496" spans="1:7">
      <c r="A1496" t="s">
        <v>3311</v>
      </c>
      <c r="B1496" t="s">
        <v>3312</v>
      </c>
      <c r="C1496">
        <v>16</v>
      </c>
      <c r="D1496" s="260">
        <v>46225</v>
      </c>
      <c r="E1496" s="260">
        <v>46252</v>
      </c>
      <c r="F1496">
        <v>63</v>
      </c>
      <c r="G1496" t="s">
        <v>350</v>
      </c>
    </row>
    <row r="1497" spans="1:7">
      <c r="A1497" t="s">
        <v>3313</v>
      </c>
      <c r="B1497" t="s">
        <v>3314</v>
      </c>
      <c r="C1497">
        <v>5</v>
      </c>
      <c r="D1497" s="260">
        <v>46267</v>
      </c>
      <c r="E1497" s="260">
        <v>46273</v>
      </c>
      <c r="F1497">
        <v>63</v>
      </c>
      <c r="G1497" t="s">
        <v>350</v>
      </c>
    </row>
    <row r="1498" spans="1:7">
      <c r="A1498" t="s">
        <v>3315</v>
      </c>
      <c r="B1498" t="s">
        <v>3316</v>
      </c>
      <c r="C1498">
        <v>20</v>
      </c>
      <c r="D1498" s="260">
        <v>46183</v>
      </c>
      <c r="E1498" s="260">
        <v>46210</v>
      </c>
      <c r="F1498">
        <v>89</v>
      </c>
      <c r="G1498" t="s">
        <v>350</v>
      </c>
    </row>
    <row r="1499" spans="1:7">
      <c r="A1499" t="s">
        <v>3317</v>
      </c>
      <c r="B1499" t="s">
        <v>3318</v>
      </c>
      <c r="C1499">
        <v>5</v>
      </c>
      <c r="D1499" s="260">
        <v>46225</v>
      </c>
      <c r="E1499" s="260">
        <v>46234</v>
      </c>
      <c r="F1499">
        <v>89</v>
      </c>
      <c r="G1499" t="s">
        <v>350</v>
      </c>
    </row>
    <row r="1500" spans="1:7">
      <c r="A1500" t="s">
        <v>3319</v>
      </c>
      <c r="B1500" t="s">
        <v>3320</v>
      </c>
      <c r="C1500">
        <v>20</v>
      </c>
      <c r="D1500" s="260">
        <v>46262</v>
      </c>
      <c r="E1500" s="260">
        <v>46289</v>
      </c>
      <c r="F1500">
        <v>36</v>
      </c>
      <c r="G1500" t="s">
        <v>350</v>
      </c>
    </row>
    <row r="1501" spans="1:7">
      <c r="A1501" t="s">
        <v>3321</v>
      </c>
      <c r="B1501" t="s">
        <v>3322</v>
      </c>
      <c r="C1501">
        <v>5</v>
      </c>
      <c r="D1501" s="260">
        <v>46304</v>
      </c>
      <c r="E1501" s="260">
        <v>46311</v>
      </c>
      <c r="F1501">
        <v>36</v>
      </c>
      <c r="G1501" t="s">
        <v>350</v>
      </c>
    </row>
    <row r="1502" spans="1:7">
      <c r="A1502" t="s">
        <v>3323</v>
      </c>
      <c r="B1502" t="s">
        <v>3324</v>
      </c>
      <c r="C1502">
        <v>12</v>
      </c>
      <c r="D1502" s="260">
        <v>46225</v>
      </c>
      <c r="E1502" s="260">
        <v>46245</v>
      </c>
      <c r="F1502">
        <v>-45</v>
      </c>
      <c r="G1502" t="s">
        <v>350</v>
      </c>
    </row>
    <row r="1503" spans="1:7">
      <c r="A1503" t="s">
        <v>3325</v>
      </c>
      <c r="B1503" t="s">
        <v>3326</v>
      </c>
      <c r="C1503">
        <v>5</v>
      </c>
      <c r="D1503" s="260">
        <v>46261</v>
      </c>
      <c r="E1503" s="260">
        <v>46267</v>
      </c>
      <c r="F1503">
        <v>-45</v>
      </c>
      <c r="G1503" t="s">
        <v>350</v>
      </c>
    </row>
    <row r="1504" spans="1:7">
      <c r="A1504" t="s">
        <v>3327</v>
      </c>
      <c r="B1504" t="s">
        <v>3328</v>
      </c>
      <c r="C1504">
        <v>15</v>
      </c>
      <c r="D1504" s="260">
        <v>46254</v>
      </c>
      <c r="E1504" s="260">
        <v>46274</v>
      </c>
      <c r="F1504">
        <v>47</v>
      </c>
      <c r="G1504" t="s">
        <v>350</v>
      </c>
    </row>
    <row r="1505" spans="1:7">
      <c r="A1505" t="s">
        <v>3329</v>
      </c>
      <c r="B1505" t="s">
        <v>3330</v>
      </c>
      <c r="C1505">
        <v>5</v>
      </c>
      <c r="D1505" s="260">
        <v>46289</v>
      </c>
      <c r="E1505" s="260">
        <v>46295</v>
      </c>
      <c r="F1505">
        <v>47</v>
      </c>
      <c r="G1505" t="s">
        <v>350</v>
      </c>
    </row>
    <row r="1506" spans="1:7">
      <c r="A1506" t="s">
        <v>3331</v>
      </c>
      <c r="B1506" t="s">
        <v>3332</v>
      </c>
      <c r="C1506">
        <v>15</v>
      </c>
      <c r="D1506" s="260">
        <v>46275</v>
      </c>
      <c r="E1506" s="260">
        <v>46295</v>
      </c>
      <c r="F1506">
        <v>32</v>
      </c>
      <c r="G1506" t="s">
        <v>350</v>
      </c>
    </row>
    <row r="1507" spans="1:7">
      <c r="A1507" t="s">
        <v>3333</v>
      </c>
      <c r="B1507" t="s">
        <v>3334</v>
      </c>
      <c r="C1507">
        <v>5</v>
      </c>
      <c r="D1507" s="260">
        <v>46311</v>
      </c>
      <c r="E1507" s="260">
        <v>46317</v>
      </c>
      <c r="F1507">
        <v>32</v>
      </c>
      <c r="G1507" t="s">
        <v>350</v>
      </c>
    </row>
    <row r="1508" spans="1:7">
      <c r="A1508" t="s">
        <v>3335</v>
      </c>
      <c r="B1508" t="s">
        <v>3336</v>
      </c>
      <c r="C1508">
        <v>20</v>
      </c>
      <c r="D1508" s="260">
        <v>46261</v>
      </c>
      <c r="E1508" s="260">
        <v>46288</v>
      </c>
      <c r="F1508">
        <v>37</v>
      </c>
      <c r="G1508" t="s">
        <v>350</v>
      </c>
    </row>
    <row r="1509" spans="1:7">
      <c r="A1509" t="s">
        <v>3337</v>
      </c>
      <c r="B1509" t="s">
        <v>3338</v>
      </c>
      <c r="C1509">
        <v>5</v>
      </c>
      <c r="D1509" s="260">
        <v>46303</v>
      </c>
      <c r="E1509" s="260">
        <v>46310</v>
      </c>
      <c r="F1509">
        <v>37</v>
      </c>
      <c r="G1509" t="s">
        <v>350</v>
      </c>
    </row>
    <row r="1510" spans="1:7">
      <c r="A1510" t="s">
        <v>3339</v>
      </c>
      <c r="B1510" t="s">
        <v>3340</v>
      </c>
      <c r="C1510">
        <v>15</v>
      </c>
      <c r="D1510" s="260">
        <v>46254</v>
      </c>
      <c r="E1510" s="260">
        <v>46274</v>
      </c>
      <c r="F1510">
        <v>47</v>
      </c>
      <c r="G1510" t="s">
        <v>350</v>
      </c>
    </row>
    <row r="1511" spans="1:7">
      <c r="A1511" t="s">
        <v>3341</v>
      </c>
      <c r="B1511" t="s">
        <v>3342</v>
      </c>
      <c r="C1511">
        <v>5</v>
      </c>
      <c r="D1511" s="260">
        <v>46289</v>
      </c>
      <c r="E1511" s="260">
        <v>46295</v>
      </c>
      <c r="F1511">
        <v>47</v>
      </c>
      <c r="G1511" t="s">
        <v>350</v>
      </c>
    </row>
    <row r="1512" spans="1:7">
      <c r="A1512" t="s">
        <v>3343</v>
      </c>
      <c r="C1512">
        <v>198</v>
      </c>
      <c r="D1512" s="260">
        <v>46091</v>
      </c>
      <c r="E1512" s="260">
        <v>46392</v>
      </c>
      <c r="F1512">
        <v>0</v>
      </c>
      <c r="G1512" t="s">
        <v>350</v>
      </c>
    </row>
    <row r="1513" spans="1:7">
      <c r="A1513" t="s">
        <v>3344</v>
      </c>
      <c r="B1513" t="s">
        <v>3345</v>
      </c>
      <c r="C1513">
        <v>10</v>
      </c>
      <c r="D1513" s="260">
        <v>46091</v>
      </c>
      <c r="E1513" s="260">
        <v>46104</v>
      </c>
      <c r="F1513">
        <v>168</v>
      </c>
      <c r="G1513" t="s">
        <v>350</v>
      </c>
    </row>
    <row r="1514" spans="1:7">
      <c r="A1514" t="s">
        <v>3346</v>
      </c>
      <c r="B1514" t="s">
        <v>3347</v>
      </c>
      <c r="C1514">
        <v>10</v>
      </c>
      <c r="D1514" s="260">
        <v>46203</v>
      </c>
      <c r="E1514" s="260">
        <v>46216</v>
      </c>
      <c r="F1514">
        <v>115</v>
      </c>
      <c r="G1514" t="s">
        <v>350</v>
      </c>
    </row>
    <row r="1515" spans="1:7">
      <c r="A1515" t="s">
        <v>3348</v>
      </c>
      <c r="B1515" t="s">
        <v>3349</v>
      </c>
      <c r="C1515">
        <v>10</v>
      </c>
      <c r="D1515" s="260">
        <v>46097</v>
      </c>
      <c r="E1515" s="260">
        <v>46108</v>
      </c>
      <c r="F1515">
        <v>22</v>
      </c>
      <c r="G1515" t="s">
        <v>350</v>
      </c>
    </row>
    <row r="1516" spans="1:7">
      <c r="A1516" t="s">
        <v>3350</v>
      </c>
      <c r="B1516" t="s">
        <v>3351</v>
      </c>
      <c r="C1516">
        <v>10</v>
      </c>
      <c r="D1516" s="260">
        <v>46129</v>
      </c>
      <c r="E1516" s="260">
        <v>46142</v>
      </c>
      <c r="F1516">
        <v>144</v>
      </c>
      <c r="G1516" t="s">
        <v>350</v>
      </c>
    </row>
    <row r="1517" spans="1:7">
      <c r="A1517" t="s">
        <v>3352</v>
      </c>
      <c r="B1517" t="s">
        <v>3353</v>
      </c>
      <c r="C1517">
        <v>10</v>
      </c>
      <c r="D1517" s="260">
        <v>46203</v>
      </c>
      <c r="E1517" s="260">
        <v>46216</v>
      </c>
      <c r="F1517">
        <v>115</v>
      </c>
      <c r="G1517" t="s">
        <v>350</v>
      </c>
    </row>
    <row r="1518" spans="1:7">
      <c r="A1518" t="s">
        <v>3354</v>
      </c>
      <c r="B1518" t="s">
        <v>3355</v>
      </c>
      <c r="C1518">
        <v>10</v>
      </c>
      <c r="D1518" s="260">
        <v>46097</v>
      </c>
      <c r="E1518" s="260">
        <v>46108</v>
      </c>
      <c r="F1518">
        <v>22</v>
      </c>
      <c r="G1518" t="s">
        <v>350</v>
      </c>
    </row>
    <row r="1519" spans="1:7">
      <c r="A1519" t="s">
        <v>3356</v>
      </c>
      <c r="B1519" t="s">
        <v>3357</v>
      </c>
      <c r="C1519">
        <v>5</v>
      </c>
      <c r="D1519" s="260">
        <v>46146</v>
      </c>
      <c r="E1519" s="260">
        <v>46150</v>
      </c>
      <c r="F1519">
        <v>159</v>
      </c>
      <c r="G1519" t="s">
        <v>350</v>
      </c>
    </row>
    <row r="1520" spans="1:7">
      <c r="A1520" t="s">
        <v>3358</v>
      </c>
      <c r="B1520" t="s">
        <v>3359</v>
      </c>
      <c r="C1520">
        <v>10</v>
      </c>
      <c r="D1520" s="260">
        <v>46098</v>
      </c>
      <c r="E1520" s="260">
        <v>46111</v>
      </c>
      <c r="F1520">
        <v>22</v>
      </c>
      <c r="G1520" t="s">
        <v>350</v>
      </c>
    </row>
    <row r="1521" spans="1:7">
      <c r="A1521" t="s">
        <v>3360</v>
      </c>
      <c r="B1521" t="s">
        <v>3361</v>
      </c>
      <c r="C1521">
        <v>5</v>
      </c>
      <c r="D1521" s="260">
        <v>46147</v>
      </c>
      <c r="E1521" s="260">
        <v>46153</v>
      </c>
      <c r="F1521">
        <v>158</v>
      </c>
      <c r="G1521" t="s">
        <v>350</v>
      </c>
    </row>
    <row r="1522" spans="1:7">
      <c r="A1522" t="s">
        <v>3362</v>
      </c>
      <c r="B1522" t="s">
        <v>3363</v>
      </c>
      <c r="C1522">
        <v>10</v>
      </c>
      <c r="D1522" s="260">
        <v>46098</v>
      </c>
      <c r="E1522" s="260">
        <v>46111</v>
      </c>
      <c r="F1522">
        <v>22</v>
      </c>
      <c r="G1522" t="s">
        <v>350</v>
      </c>
    </row>
    <row r="1523" spans="1:7">
      <c r="A1523" t="s">
        <v>3364</v>
      </c>
      <c r="B1523" t="s">
        <v>3365</v>
      </c>
      <c r="C1523">
        <v>5</v>
      </c>
      <c r="D1523" s="260">
        <v>46147</v>
      </c>
      <c r="E1523" s="260">
        <v>46153</v>
      </c>
      <c r="F1523">
        <v>158</v>
      </c>
      <c r="G1523" t="s">
        <v>350</v>
      </c>
    </row>
    <row r="1524" spans="1:7">
      <c r="A1524" t="s">
        <v>3366</v>
      </c>
      <c r="B1524" t="s">
        <v>3367</v>
      </c>
      <c r="C1524">
        <v>10</v>
      </c>
      <c r="D1524" s="260">
        <v>46104</v>
      </c>
      <c r="E1524" s="260">
        <v>46115</v>
      </c>
      <c r="F1524">
        <v>22</v>
      </c>
      <c r="G1524" t="s">
        <v>350</v>
      </c>
    </row>
    <row r="1525" spans="1:7">
      <c r="A1525" t="s">
        <v>3368</v>
      </c>
      <c r="B1525" t="s">
        <v>3369</v>
      </c>
      <c r="C1525">
        <v>5</v>
      </c>
      <c r="D1525" s="260">
        <v>46153</v>
      </c>
      <c r="E1525" s="260">
        <v>46157</v>
      </c>
      <c r="F1525">
        <v>154</v>
      </c>
      <c r="G1525" t="s">
        <v>350</v>
      </c>
    </row>
    <row r="1526" spans="1:7">
      <c r="A1526" t="s">
        <v>3370</v>
      </c>
      <c r="B1526" t="s">
        <v>3371</v>
      </c>
      <c r="C1526">
        <v>10</v>
      </c>
      <c r="D1526" s="260">
        <v>46104</v>
      </c>
      <c r="E1526" s="260">
        <v>46115</v>
      </c>
      <c r="F1526">
        <v>22</v>
      </c>
      <c r="G1526" t="s">
        <v>350</v>
      </c>
    </row>
    <row r="1527" spans="1:7">
      <c r="A1527" t="s">
        <v>3372</v>
      </c>
      <c r="B1527" t="s">
        <v>3373</v>
      </c>
      <c r="C1527">
        <v>5</v>
      </c>
      <c r="D1527" s="260">
        <v>46153</v>
      </c>
      <c r="E1527" s="260">
        <v>46157</v>
      </c>
      <c r="F1527">
        <v>154</v>
      </c>
      <c r="G1527" t="s">
        <v>350</v>
      </c>
    </row>
    <row r="1528" spans="1:7">
      <c r="A1528" t="s">
        <v>3374</v>
      </c>
      <c r="B1528" t="s">
        <v>3375</v>
      </c>
      <c r="C1528">
        <v>10</v>
      </c>
      <c r="D1528" s="260">
        <v>46120</v>
      </c>
      <c r="E1528" s="260">
        <v>46136</v>
      </c>
      <c r="F1528">
        <v>22</v>
      </c>
      <c r="G1528" t="s">
        <v>350</v>
      </c>
    </row>
    <row r="1529" spans="1:7">
      <c r="A1529" t="s">
        <v>3376</v>
      </c>
      <c r="B1529" t="s">
        <v>3377</v>
      </c>
      <c r="C1529">
        <v>10</v>
      </c>
      <c r="D1529" s="260">
        <v>46154</v>
      </c>
      <c r="E1529" s="260">
        <v>46167</v>
      </c>
      <c r="F1529">
        <v>148</v>
      </c>
      <c r="G1529" t="s">
        <v>350</v>
      </c>
    </row>
    <row r="1530" spans="1:7">
      <c r="A1530" t="s">
        <v>3378</v>
      </c>
      <c r="B1530" t="s">
        <v>3379</v>
      </c>
      <c r="C1530">
        <v>10</v>
      </c>
      <c r="D1530" s="260">
        <v>46120</v>
      </c>
      <c r="E1530" s="260">
        <v>46136</v>
      </c>
      <c r="F1530">
        <v>22</v>
      </c>
      <c r="G1530" t="s">
        <v>350</v>
      </c>
    </row>
    <row r="1531" spans="1:7">
      <c r="A1531" t="s">
        <v>3380</v>
      </c>
      <c r="B1531" t="s">
        <v>3381</v>
      </c>
      <c r="C1531">
        <v>10</v>
      </c>
      <c r="D1531" s="260">
        <v>46154</v>
      </c>
      <c r="E1531" s="260">
        <v>46167</v>
      </c>
      <c r="F1531">
        <v>148</v>
      </c>
      <c r="G1531" t="s">
        <v>350</v>
      </c>
    </row>
    <row r="1532" spans="1:7">
      <c r="A1532" t="s">
        <v>3382</v>
      </c>
      <c r="B1532" t="s">
        <v>3383</v>
      </c>
      <c r="C1532">
        <v>10</v>
      </c>
      <c r="D1532" s="260">
        <v>46121</v>
      </c>
      <c r="E1532" s="260">
        <v>46139</v>
      </c>
      <c r="F1532">
        <v>22</v>
      </c>
      <c r="G1532" t="s">
        <v>350</v>
      </c>
    </row>
    <row r="1533" spans="1:7">
      <c r="A1533" t="s">
        <v>3384</v>
      </c>
      <c r="B1533" t="s">
        <v>3385</v>
      </c>
      <c r="C1533">
        <v>10</v>
      </c>
      <c r="D1533" s="260">
        <v>46155</v>
      </c>
      <c r="E1533" s="260">
        <v>46168</v>
      </c>
      <c r="F1533">
        <v>147</v>
      </c>
      <c r="G1533" t="s">
        <v>350</v>
      </c>
    </row>
    <row r="1534" spans="1:7">
      <c r="A1534" t="s">
        <v>3386</v>
      </c>
      <c r="B1534" t="s">
        <v>3387</v>
      </c>
      <c r="C1534">
        <v>10</v>
      </c>
      <c r="D1534" s="260">
        <v>46121</v>
      </c>
      <c r="E1534" s="260">
        <v>46139</v>
      </c>
      <c r="F1534">
        <v>22</v>
      </c>
      <c r="G1534" t="s">
        <v>350</v>
      </c>
    </row>
    <row r="1535" spans="1:7">
      <c r="A1535" t="s">
        <v>3388</v>
      </c>
      <c r="B1535" t="s">
        <v>3389</v>
      </c>
      <c r="C1535">
        <v>10</v>
      </c>
      <c r="D1535" s="260">
        <v>46155</v>
      </c>
      <c r="E1535" s="260">
        <v>46168</v>
      </c>
      <c r="F1535">
        <v>147</v>
      </c>
      <c r="G1535" t="s">
        <v>350</v>
      </c>
    </row>
    <row r="1536" spans="1:7">
      <c r="A1536" t="s">
        <v>3390</v>
      </c>
      <c r="B1536" t="s">
        <v>3391</v>
      </c>
      <c r="C1536">
        <v>10</v>
      </c>
      <c r="D1536" s="260">
        <v>46129</v>
      </c>
      <c r="E1536" s="260">
        <v>46142</v>
      </c>
      <c r="F1536">
        <v>22</v>
      </c>
      <c r="G1536" t="s">
        <v>350</v>
      </c>
    </row>
    <row r="1537" spans="1:7">
      <c r="A1537" t="s">
        <v>3392</v>
      </c>
      <c r="B1537" t="s">
        <v>3393</v>
      </c>
      <c r="C1537">
        <v>10</v>
      </c>
      <c r="D1537" s="260">
        <v>46160</v>
      </c>
      <c r="E1537" s="260">
        <v>46171</v>
      </c>
      <c r="F1537">
        <v>144</v>
      </c>
      <c r="G1537" t="s">
        <v>350</v>
      </c>
    </row>
    <row r="1538" spans="1:7">
      <c r="A1538" t="s">
        <v>3394</v>
      </c>
      <c r="B1538" t="s">
        <v>3395</v>
      </c>
      <c r="C1538">
        <v>10</v>
      </c>
      <c r="D1538" s="260">
        <v>46129</v>
      </c>
      <c r="E1538" s="260">
        <v>46142</v>
      </c>
      <c r="F1538">
        <v>22</v>
      </c>
      <c r="G1538" t="s">
        <v>350</v>
      </c>
    </row>
    <row r="1539" spans="1:7">
      <c r="A1539" t="s">
        <v>3396</v>
      </c>
      <c r="B1539" t="s">
        <v>3397</v>
      </c>
      <c r="C1539">
        <v>10</v>
      </c>
      <c r="D1539" s="260">
        <v>46160</v>
      </c>
      <c r="E1539" s="260">
        <v>46171</v>
      </c>
      <c r="F1539">
        <v>144</v>
      </c>
      <c r="G1539" t="s">
        <v>350</v>
      </c>
    </row>
    <row r="1540" spans="1:7">
      <c r="A1540" t="s">
        <v>3398</v>
      </c>
      <c r="B1540" t="s">
        <v>3399</v>
      </c>
      <c r="C1540">
        <v>10</v>
      </c>
      <c r="D1540" s="260">
        <v>46129</v>
      </c>
      <c r="E1540" s="260">
        <v>46142</v>
      </c>
      <c r="F1540">
        <v>22</v>
      </c>
      <c r="G1540" t="s">
        <v>350</v>
      </c>
    </row>
    <row r="1541" spans="1:7">
      <c r="A1541" t="s">
        <v>3400</v>
      </c>
      <c r="B1541" t="s">
        <v>3401</v>
      </c>
      <c r="C1541">
        <v>10</v>
      </c>
      <c r="D1541" s="260">
        <v>46160</v>
      </c>
      <c r="E1541" s="260">
        <v>46171</v>
      </c>
      <c r="F1541">
        <v>63</v>
      </c>
      <c r="G1541" t="s">
        <v>350</v>
      </c>
    </row>
    <row r="1542" spans="1:7">
      <c r="A1542" t="s">
        <v>3402</v>
      </c>
      <c r="B1542" t="s">
        <v>3403</v>
      </c>
      <c r="C1542">
        <v>10</v>
      </c>
      <c r="D1542" s="260">
        <v>46133</v>
      </c>
      <c r="E1542" s="260">
        <v>46147</v>
      </c>
      <c r="F1542">
        <v>22</v>
      </c>
      <c r="G1542" t="s">
        <v>350</v>
      </c>
    </row>
    <row r="1543" spans="1:7">
      <c r="A1543" t="s">
        <v>3404</v>
      </c>
      <c r="B1543" t="s">
        <v>3405</v>
      </c>
      <c r="C1543">
        <v>10</v>
      </c>
      <c r="D1543" s="260">
        <v>46162</v>
      </c>
      <c r="E1543" s="260">
        <v>46177</v>
      </c>
      <c r="F1543">
        <v>52</v>
      </c>
      <c r="G1543" t="s">
        <v>350</v>
      </c>
    </row>
    <row r="1544" spans="1:7">
      <c r="A1544" t="s">
        <v>3406</v>
      </c>
      <c r="B1544" t="s">
        <v>3407</v>
      </c>
      <c r="C1544">
        <v>10</v>
      </c>
      <c r="D1544" s="260">
        <v>46133</v>
      </c>
      <c r="E1544" s="260">
        <v>46147</v>
      </c>
      <c r="F1544">
        <v>22</v>
      </c>
      <c r="G1544" t="s">
        <v>350</v>
      </c>
    </row>
    <row r="1545" spans="1:7">
      <c r="A1545" t="s">
        <v>3408</v>
      </c>
      <c r="B1545" t="s">
        <v>3409</v>
      </c>
      <c r="C1545">
        <v>10</v>
      </c>
      <c r="D1545" s="260">
        <v>46162</v>
      </c>
      <c r="E1545" s="260">
        <v>46177</v>
      </c>
      <c r="F1545">
        <v>32</v>
      </c>
      <c r="G1545" t="s">
        <v>350</v>
      </c>
    </row>
    <row r="1546" spans="1:7">
      <c r="A1546" t="s">
        <v>3410</v>
      </c>
      <c r="B1546" t="s">
        <v>3411</v>
      </c>
      <c r="C1546">
        <v>10</v>
      </c>
      <c r="D1546" s="260">
        <v>46133</v>
      </c>
      <c r="E1546" s="260">
        <v>46147</v>
      </c>
      <c r="F1546">
        <v>22</v>
      </c>
      <c r="G1546" t="s">
        <v>350</v>
      </c>
    </row>
    <row r="1547" spans="1:7">
      <c r="A1547" t="s">
        <v>3412</v>
      </c>
      <c r="B1547" t="s">
        <v>3413</v>
      </c>
      <c r="C1547">
        <v>10</v>
      </c>
      <c r="D1547" s="260">
        <v>46162</v>
      </c>
      <c r="E1547" s="260">
        <v>46177</v>
      </c>
      <c r="F1547">
        <v>27</v>
      </c>
      <c r="G1547" t="s">
        <v>350</v>
      </c>
    </row>
    <row r="1548" spans="1:7">
      <c r="A1548" t="s">
        <v>3414</v>
      </c>
      <c r="B1548" t="s">
        <v>3415</v>
      </c>
      <c r="C1548">
        <v>15</v>
      </c>
      <c r="D1548" s="260">
        <v>46140</v>
      </c>
      <c r="E1548" s="260">
        <v>46161</v>
      </c>
      <c r="F1548">
        <v>22</v>
      </c>
      <c r="G1548" t="s">
        <v>350</v>
      </c>
    </row>
    <row r="1549" spans="1:7">
      <c r="A1549" t="s">
        <v>3416</v>
      </c>
      <c r="B1549" t="s">
        <v>3417</v>
      </c>
      <c r="C1549">
        <v>10</v>
      </c>
      <c r="D1549" s="260">
        <v>46178</v>
      </c>
      <c r="E1549" s="260">
        <v>46191</v>
      </c>
      <c r="F1549">
        <v>117</v>
      </c>
      <c r="G1549" t="s">
        <v>350</v>
      </c>
    </row>
    <row r="1550" spans="1:7">
      <c r="A1550" t="s">
        <v>3418</v>
      </c>
      <c r="B1550" t="s">
        <v>3419</v>
      </c>
      <c r="C1550">
        <v>5</v>
      </c>
      <c r="D1550" s="260">
        <v>46206</v>
      </c>
      <c r="E1550" s="260">
        <v>46212</v>
      </c>
      <c r="F1550">
        <v>117</v>
      </c>
      <c r="G1550" t="s">
        <v>350</v>
      </c>
    </row>
    <row r="1551" spans="1:7">
      <c r="A1551" t="s">
        <v>3420</v>
      </c>
      <c r="B1551" t="s">
        <v>3421</v>
      </c>
      <c r="C1551">
        <v>15</v>
      </c>
      <c r="D1551" s="260">
        <v>46140</v>
      </c>
      <c r="E1551" s="260">
        <v>46161</v>
      </c>
      <c r="F1551">
        <v>22</v>
      </c>
      <c r="G1551" t="s">
        <v>350</v>
      </c>
    </row>
    <row r="1552" spans="1:7">
      <c r="A1552" t="s">
        <v>3422</v>
      </c>
      <c r="B1552" t="s">
        <v>3423</v>
      </c>
      <c r="C1552">
        <v>10</v>
      </c>
      <c r="D1552" s="260">
        <v>46178</v>
      </c>
      <c r="E1552" s="260">
        <v>46191</v>
      </c>
      <c r="F1552">
        <v>112</v>
      </c>
      <c r="G1552" t="s">
        <v>350</v>
      </c>
    </row>
    <row r="1553" spans="1:7">
      <c r="A1553" t="s">
        <v>3424</v>
      </c>
      <c r="B1553" t="s">
        <v>3425</v>
      </c>
      <c r="C1553">
        <v>10</v>
      </c>
      <c r="D1553" s="260">
        <v>46206</v>
      </c>
      <c r="E1553" s="260">
        <v>46219</v>
      </c>
      <c r="F1553">
        <v>112</v>
      </c>
      <c r="G1553" t="s">
        <v>350</v>
      </c>
    </row>
    <row r="1554" spans="1:7">
      <c r="A1554" t="s">
        <v>3426</v>
      </c>
      <c r="B1554" t="s">
        <v>3427</v>
      </c>
      <c r="C1554">
        <v>15</v>
      </c>
      <c r="D1554" s="260">
        <v>46206</v>
      </c>
      <c r="E1554" s="260">
        <v>46226</v>
      </c>
      <c r="F1554">
        <v>37</v>
      </c>
      <c r="G1554" t="s">
        <v>350</v>
      </c>
    </row>
    <row r="1555" spans="1:7">
      <c r="A1555" t="s">
        <v>3428</v>
      </c>
      <c r="B1555" t="s">
        <v>3429</v>
      </c>
      <c r="C1555">
        <v>10</v>
      </c>
      <c r="D1555" s="260">
        <v>46336</v>
      </c>
      <c r="E1555" s="260">
        <v>46349</v>
      </c>
      <c r="F1555">
        <v>16</v>
      </c>
      <c r="G1555" t="s">
        <v>350</v>
      </c>
    </row>
    <row r="1556" spans="1:7">
      <c r="A1556" t="s">
        <v>3430</v>
      </c>
      <c r="B1556" t="s">
        <v>3431</v>
      </c>
      <c r="C1556">
        <v>15</v>
      </c>
      <c r="D1556" s="260">
        <v>46296</v>
      </c>
      <c r="E1556" s="260">
        <v>46317</v>
      </c>
      <c r="F1556">
        <v>12</v>
      </c>
      <c r="G1556" t="s">
        <v>350</v>
      </c>
    </row>
    <row r="1557" spans="1:7">
      <c r="A1557" t="s">
        <v>3432</v>
      </c>
      <c r="B1557" t="s">
        <v>3433</v>
      </c>
      <c r="C1557">
        <v>10</v>
      </c>
      <c r="D1557" s="260">
        <v>46351</v>
      </c>
      <c r="E1557" s="260">
        <v>46365</v>
      </c>
      <c r="F1557">
        <v>0</v>
      </c>
      <c r="G1557" t="s">
        <v>350</v>
      </c>
    </row>
    <row r="1558" spans="1:7">
      <c r="A1558" t="s">
        <v>3434</v>
      </c>
      <c r="B1558" t="s">
        <v>3435</v>
      </c>
      <c r="C1558">
        <v>5</v>
      </c>
      <c r="D1558" s="260">
        <v>46384</v>
      </c>
      <c r="E1558" s="260">
        <v>46392</v>
      </c>
      <c r="F1558">
        <v>0</v>
      </c>
      <c r="G1558" t="s">
        <v>350</v>
      </c>
    </row>
    <row r="1559" spans="1:7">
      <c r="A1559" t="s">
        <v>3436</v>
      </c>
      <c r="B1559" t="s">
        <v>3437</v>
      </c>
      <c r="C1559">
        <v>15</v>
      </c>
      <c r="D1559" s="260">
        <v>46140</v>
      </c>
      <c r="E1559" s="260">
        <v>46161</v>
      </c>
      <c r="F1559">
        <v>7</v>
      </c>
      <c r="G1559" t="s">
        <v>350</v>
      </c>
    </row>
    <row r="1560" spans="1:7">
      <c r="A1560" t="s">
        <v>3438</v>
      </c>
      <c r="B1560" t="s">
        <v>3439</v>
      </c>
      <c r="C1560">
        <v>10</v>
      </c>
      <c r="D1560" s="260">
        <v>46178</v>
      </c>
      <c r="E1560" s="260">
        <v>46191</v>
      </c>
      <c r="F1560">
        <v>47</v>
      </c>
      <c r="G1560" t="s">
        <v>350</v>
      </c>
    </row>
    <row r="1561" spans="1:7">
      <c r="A1561" t="s">
        <v>3440</v>
      </c>
      <c r="B1561" t="s">
        <v>3441</v>
      </c>
      <c r="C1561">
        <v>10</v>
      </c>
      <c r="D1561" s="260">
        <v>46206</v>
      </c>
      <c r="E1561" s="260">
        <v>46219</v>
      </c>
      <c r="F1561">
        <v>77</v>
      </c>
      <c r="G1561" t="s">
        <v>350</v>
      </c>
    </row>
    <row r="1562" spans="1:7">
      <c r="A1562" t="s">
        <v>3442</v>
      </c>
      <c r="B1562" t="s">
        <v>3443</v>
      </c>
      <c r="C1562">
        <v>15</v>
      </c>
      <c r="D1562" s="260">
        <v>46140</v>
      </c>
      <c r="E1562" s="260">
        <v>46161</v>
      </c>
      <c r="F1562">
        <v>22</v>
      </c>
      <c r="G1562" t="s">
        <v>350</v>
      </c>
    </row>
    <row r="1563" spans="1:7">
      <c r="A1563" t="s">
        <v>3444</v>
      </c>
      <c r="B1563" t="s">
        <v>3445</v>
      </c>
      <c r="C1563">
        <v>10</v>
      </c>
      <c r="D1563" s="260">
        <v>46178</v>
      </c>
      <c r="E1563" s="260">
        <v>46191</v>
      </c>
      <c r="F1563">
        <v>67</v>
      </c>
      <c r="G1563" t="s">
        <v>350</v>
      </c>
    </row>
    <row r="1564" spans="1:7">
      <c r="A1564" t="s">
        <v>3446</v>
      </c>
      <c r="B1564" t="s">
        <v>3447</v>
      </c>
      <c r="C1564">
        <v>10</v>
      </c>
      <c r="D1564" s="260">
        <v>46206</v>
      </c>
      <c r="E1564" s="260">
        <v>46219</v>
      </c>
      <c r="F1564">
        <v>87</v>
      </c>
      <c r="G1564" t="s">
        <v>350</v>
      </c>
    </row>
    <row r="1565" spans="1:7">
      <c r="A1565" t="s">
        <v>3448</v>
      </c>
      <c r="B1565" t="s">
        <v>3449</v>
      </c>
      <c r="C1565">
        <v>15</v>
      </c>
      <c r="D1565" s="260">
        <v>46162</v>
      </c>
      <c r="E1565" s="260">
        <v>46184</v>
      </c>
      <c r="F1565">
        <v>22</v>
      </c>
      <c r="G1565" t="s">
        <v>350</v>
      </c>
    </row>
    <row r="1566" spans="1:7">
      <c r="A1566" t="s">
        <v>3450</v>
      </c>
      <c r="B1566" t="s">
        <v>3451</v>
      </c>
      <c r="C1566">
        <v>10</v>
      </c>
      <c r="D1566" s="260">
        <v>46199</v>
      </c>
      <c r="E1566" s="260">
        <v>46212</v>
      </c>
      <c r="F1566">
        <v>62</v>
      </c>
      <c r="G1566" t="s">
        <v>350</v>
      </c>
    </row>
    <row r="1567" spans="1:7">
      <c r="A1567" t="s">
        <v>3452</v>
      </c>
      <c r="B1567" t="s">
        <v>3453</v>
      </c>
      <c r="C1567">
        <v>5</v>
      </c>
      <c r="D1567" s="260">
        <v>46227</v>
      </c>
      <c r="E1567" s="260">
        <v>46238</v>
      </c>
      <c r="F1567">
        <v>82</v>
      </c>
      <c r="G1567" t="s">
        <v>350</v>
      </c>
    </row>
    <row r="1568" spans="1:7">
      <c r="A1568" t="s">
        <v>3454</v>
      </c>
      <c r="B1568" t="s">
        <v>3455</v>
      </c>
      <c r="C1568">
        <v>15</v>
      </c>
      <c r="D1568" s="260">
        <v>46162</v>
      </c>
      <c r="E1568" s="260">
        <v>46184</v>
      </c>
      <c r="F1568">
        <v>22</v>
      </c>
      <c r="G1568" t="s">
        <v>350</v>
      </c>
    </row>
    <row r="1569" spans="1:7">
      <c r="A1569" t="s">
        <v>3456</v>
      </c>
      <c r="B1569" t="s">
        <v>3457</v>
      </c>
      <c r="C1569">
        <v>10</v>
      </c>
      <c r="D1569" s="260">
        <v>46199</v>
      </c>
      <c r="E1569" s="260">
        <v>46212</v>
      </c>
      <c r="F1569">
        <v>67</v>
      </c>
      <c r="G1569" t="s">
        <v>350</v>
      </c>
    </row>
    <row r="1570" spans="1:7">
      <c r="A1570" t="s">
        <v>3458</v>
      </c>
      <c r="B1570" t="s">
        <v>3459</v>
      </c>
      <c r="C1570">
        <v>5</v>
      </c>
      <c r="D1570" s="260">
        <v>46227</v>
      </c>
      <c r="E1570" s="260">
        <v>46238</v>
      </c>
      <c r="F1570">
        <v>72</v>
      </c>
      <c r="G1570" t="s">
        <v>350</v>
      </c>
    </row>
    <row r="1571" spans="1:7">
      <c r="A1571" t="s">
        <v>3460</v>
      </c>
      <c r="B1571" t="s">
        <v>3461</v>
      </c>
      <c r="C1571">
        <v>25</v>
      </c>
      <c r="D1571" s="260">
        <v>46206</v>
      </c>
      <c r="E1571" s="260">
        <v>46245</v>
      </c>
      <c r="F1571">
        <v>47</v>
      </c>
      <c r="G1571" t="s">
        <v>350</v>
      </c>
    </row>
    <row r="1572" spans="1:7">
      <c r="A1572" t="s">
        <v>3462</v>
      </c>
      <c r="B1572" t="s">
        <v>3463</v>
      </c>
      <c r="C1572">
        <v>20</v>
      </c>
      <c r="D1572" s="260">
        <v>46289</v>
      </c>
      <c r="E1572" s="260">
        <v>46317</v>
      </c>
      <c r="F1572">
        <v>42</v>
      </c>
      <c r="G1572" t="s">
        <v>350</v>
      </c>
    </row>
    <row r="1573" spans="1:7">
      <c r="A1573" t="s">
        <v>3464</v>
      </c>
      <c r="B1573" t="s">
        <v>3465</v>
      </c>
      <c r="C1573">
        <v>15</v>
      </c>
      <c r="D1573" s="260">
        <v>46185</v>
      </c>
      <c r="E1573" s="260">
        <v>46205</v>
      </c>
      <c r="F1573">
        <v>7</v>
      </c>
      <c r="G1573" t="s">
        <v>350</v>
      </c>
    </row>
    <row r="1574" spans="1:7">
      <c r="A1574" t="s">
        <v>3466</v>
      </c>
      <c r="B1574" t="s">
        <v>3467</v>
      </c>
      <c r="C1574">
        <v>10</v>
      </c>
      <c r="D1574" s="260">
        <v>46279</v>
      </c>
      <c r="E1574" s="260">
        <v>46290</v>
      </c>
      <c r="F1574">
        <v>0</v>
      </c>
      <c r="G1574" t="s">
        <v>350</v>
      </c>
    </row>
    <row r="1575" spans="1:7">
      <c r="A1575" t="s">
        <v>3468</v>
      </c>
      <c r="B1575" t="s">
        <v>3469</v>
      </c>
      <c r="C1575">
        <v>5</v>
      </c>
      <c r="D1575" s="260">
        <v>46329</v>
      </c>
      <c r="E1575" s="260">
        <v>46335</v>
      </c>
      <c r="F1575">
        <v>11</v>
      </c>
      <c r="G1575" t="s">
        <v>350</v>
      </c>
    </row>
    <row r="1576" spans="1:7">
      <c r="A1576" t="s">
        <v>3470</v>
      </c>
      <c r="B1576" t="s">
        <v>3471</v>
      </c>
      <c r="C1576">
        <v>15</v>
      </c>
      <c r="D1576" s="260">
        <v>46206</v>
      </c>
      <c r="E1576" s="260">
        <v>46226</v>
      </c>
      <c r="F1576">
        <v>7</v>
      </c>
      <c r="G1576" t="s">
        <v>350</v>
      </c>
    </row>
    <row r="1577" spans="1:7">
      <c r="A1577" t="s">
        <v>3472</v>
      </c>
      <c r="B1577" t="s">
        <v>3473</v>
      </c>
      <c r="C1577">
        <v>10</v>
      </c>
      <c r="D1577" s="260">
        <v>46293</v>
      </c>
      <c r="E1577" s="260">
        <v>46304</v>
      </c>
      <c r="F1577">
        <v>0</v>
      </c>
      <c r="G1577" t="s">
        <v>350</v>
      </c>
    </row>
    <row r="1578" spans="1:7">
      <c r="A1578" t="s">
        <v>3474</v>
      </c>
      <c r="B1578" t="s">
        <v>3475</v>
      </c>
      <c r="C1578">
        <v>5</v>
      </c>
      <c r="D1578" s="260">
        <v>46336</v>
      </c>
      <c r="E1578" s="260">
        <v>46342</v>
      </c>
      <c r="F1578">
        <v>11</v>
      </c>
      <c r="G1578" t="s">
        <v>350</v>
      </c>
    </row>
    <row r="1579" spans="1:7">
      <c r="A1579" t="s">
        <v>3476</v>
      </c>
      <c r="B1579" t="s">
        <v>3477</v>
      </c>
      <c r="C1579">
        <v>15</v>
      </c>
      <c r="D1579" s="260">
        <v>46227</v>
      </c>
      <c r="E1579" s="260">
        <v>46253</v>
      </c>
      <c r="F1579">
        <v>7</v>
      </c>
      <c r="G1579" t="s">
        <v>350</v>
      </c>
    </row>
    <row r="1580" spans="1:7">
      <c r="A1580" t="s">
        <v>3478</v>
      </c>
      <c r="B1580" t="s">
        <v>3479</v>
      </c>
      <c r="C1580">
        <v>10</v>
      </c>
      <c r="D1580" s="260">
        <v>46307</v>
      </c>
      <c r="E1580" s="260">
        <v>46322</v>
      </c>
      <c r="F1580">
        <v>0</v>
      </c>
      <c r="G1580" t="s">
        <v>350</v>
      </c>
    </row>
    <row r="1581" spans="1:7">
      <c r="A1581" t="s">
        <v>3480</v>
      </c>
      <c r="B1581" t="s">
        <v>3481</v>
      </c>
      <c r="C1581">
        <v>5</v>
      </c>
      <c r="D1581" s="260">
        <v>46343</v>
      </c>
      <c r="E1581" s="260">
        <v>46349</v>
      </c>
      <c r="F1581">
        <v>11</v>
      </c>
      <c r="G1581" t="s">
        <v>350</v>
      </c>
    </row>
    <row r="1582" spans="1:7">
      <c r="A1582" t="s">
        <v>3482</v>
      </c>
      <c r="B1582" t="s">
        <v>3483</v>
      </c>
      <c r="C1582">
        <v>15</v>
      </c>
      <c r="D1582" s="260">
        <v>46254</v>
      </c>
      <c r="E1582" s="260">
        <v>46274</v>
      </c>
      <c r="F1582">
        <v>7</v>
      </c>
      <c r="G1582" t="s">
        <v>350</v>
      </c>
    </row>
    <row r="1583" spans="1:7">
      <c r="A1583" t="s">
        <v>3484</v>
      </c>
      <c r="B1583" t="s">
        <v>3485</v>
      </c>
      <c r="C1583">
        <v>10</v>
      </c>
      <c r="D1583" s="260">
        <v>46323</v>
      </c>
      <c r="E1583" s="260">
        <v>46336</v>
      </c>
      <c r="F1583">
        <v>0</v>
      </c>
      <c r="G1583" t="s">
        <v>350</v>
      </c>
    </row>
    <row r="1584" spans="1:7">
      <c r="A1584" t="s">
        <v>3486</v>
      </c>
      <c r="B1584" t="s">
        <v>3487</v>
      </c>
      <c r="C1584">
        <v>5</v>
      </c>
      <c r="D1584" s="260">
        <v>46351</v>
      </c>
      <c r="E1584" s="260">
        <v>46357</v>
      </c>
      <c r="F1584">
        <v>10</v>
      </c>
      <c r="G1584" t="s">
        <v>350</v>
      </c>
    </row>
    <row r="1585" spans="1:7">
      <c r="A1585" t="s">
        <v>3488</v>
      </c>
      <c r="B1585" t="s">
        <v>3489</v>
      </c>
      <c r="C1585">
        <v>15</v>
      </c>
      <c r="D1585" s="260">
        <v>46162</v>
      </c>
      <c r="E1585" s="260">
        <v>46184</v>
      </c>
      <c r="F1585">
        <v>7</v>
      </c>
      <c r="G1585" t="s">
        <v>350</v>
      </c>
    </row>
    <row r="1586" spans="1:7">
      <c r="A1586" t="s">
        <v>3490</v>
      </c>
      <c r="B1586" t="s">
        <v>3491</v>
      </c>
      <c r="C1586">
        <v>10</v>
      </c>
      <c r="D1586" s="260">
        <v>46265</v>
      </c>
      <c r="E1586" s="260">
        <v>46276</v>
      </c>
      <c r="F1586">
        <v>0</v>
      </c>
      <c r="G1586" t="s">
        <v>350</v>
      </c>
    </row>
    <row r="1587" spans="1:7">
      <c r="A1587" t="s">
        <v>3492</v>
      </c>
      <c r="B1587" t="s">
        <v>3493</v>
      </c>
      <c r="C1587">
        <v>5</v>
      </c>
      <c r="D1587" s="260">
        <v>46322</v>
      </c>
      <c r="E1587" s="260">
        <v>46328</v>
      </c>
      <c r="F1587">
        <v>11</v>
      </c>
      <c r="G1587" t="s">
        <v>350</v>
      </c>
    </row>
    <row r="1588" spans="1:7">
      <c r="A1588" t="s">
        <v>3494</v>
      </c>
      <c r="B1588" t="s">
        <v>3495</v>
      </c>
      <c r="C1588">
        <v>15</v>
      </c>
      <c r="D1588" s="260">
        <v>46185</v>
      </c>
      <c r="E1588" s="260">
        <v>46205</v>
      </c>
      <c r="F1588">
        <v>52</v>
      </c>
      <c r="G1588" t="s">
        <v>350</v>
      </c>
    </row>
    <row r="1589" spans="1:7">
      <c r="A1589" t="s">
        <v>3496</v>
      </c>
      <c r="B1589" t="s">
        <v>3497</v>
      </c>
      <c r="C1589">
        <v>10</v>
      </c>
      <c r="D1589" s="260">
        <v>46279</v>
      </c>
      <c r="E1589" s="260">
        <v>46290</v>
      </c>
      <c r="F1589">
        <v>30</v>
      </c>
      <c r="G1589" t="s">
        <v>350</v>
      </c>
    </row>
    <row r="1590" spans="1:7">
      <c r="A1590" t="s">
        <v>3498</v>
      </c>
      <c r="B1590" t="s">
        <v>3499</v>
      </c>
      <c r="C1590">
        <v>5</v>
      </c>
      <c r="D1590" s="260">
        <v>46329</v>
      </c>
      <c r="E1590" s="260">
        <v>46335</v>
      </c>
      <c r="F1590">
        <v>26</v>
      </c>
      <c r="G1590" t="s">
        <v>350</v>
      </c>
    </row>
    <row r="1591" spans="1:7">
      <c r="A1591" t="s">
        <v>3500</v>
      </c>
      <c r="B1591" t="s">
        <v>3501</v>
      </c>
      <c r="C1591">
        <v>15</v>
      </c>
      <c r="D1591" s="260">
        <v>46206</v>
      </c>
      <c r="E1591" s="260">
        <v>46226</v>
      </c>
      <c r="F1591">
        <v>62</v>
      </c>
      <c r="G1591" t="s">
        <v>350</v>
      </c>
    </row>
    <row r="1592" spans="1:7">
      <c r="A1592" t="s">
        <v>3502</v>
      </c>
      <c r="B1592" t="s">
        <v>3503</v>
      </c>
      <c r="C1592">
        <v>10</v>
      </c>
      <c r="D1592" s="260">
        <v>46293</v>
      </c>
      <c r="E1592" s="260">
        <v>46304</v>
      </c>
      <c r="F1592">
        <v>30</v>
      </c>
      <c r="G1592" t="s">
        <v>350</v>
      </c>
    </row>
    <row r="1593" spans="1:7">
      <c r="A1593" t="s">
        <v>3504</v>
      </c>
      <c r="B1593" t="s">
        <v>3505</v>
      </c>
      <c r="C1593">
        <v>5</v>
      </c>
      <c r="D1593" s="260">
        <v>46336</v>
      </c>
      <c r="E1593" s="260">
        <v>46342</v>
      </c>
      <c r="F1593">
        <v>26</v>
      </c>
      <c r="G1593" t="s">
        <v>350</v>
      </c>
    </row>
    <row r="1594" spans="1:7">
      <c r="A1594" t="s">
        <v>3506</v>
      </c>
      <c r="B1594" t="s">
        <v>3507</v>
      </c>
      <c r="C1594">
        <v>15</v>
      </c>
      <c r="D1594" s="260">
        <v>46185</v>
      </c>
      <c r="E1594" s="260">
        <v>46205</v>
      </c>
      <c r="F1594">
        <v>37</v>
      </c>
      <c r="G1594" t="s">
        <v>350</v>
      </c>
    </row>
    <row r="1595" spans="1:7">
      <c r="A1595" t="s">
        <v>3508</v>
      </c>
      <c r="B1595" t="s">
        <v>3509</v>
      </c>
      <c r="C1595">
        <v>10</v>
      </c>
      <c r="D1595" s="260">
        <v>46279</v>
      </c>
      <c r="E1595" s="260">
        <v>46290</v>
      </c>
      <c r="F1595">
        <v>30</v>
      </c>
      <c r="G1595" t="s">
        <v>350</v>
      </c>
    </row>
    <row r="1596" spans="1:7">
      <c r="A1596" t="s">
        <v>3510</v>
      </c>
      <c r="B1596" t="s">
        <v>3511</v>
      </c>
      <c r="C1596">
        <v>5</v>
      </c>
      <c r="D1596" s="260">
        <v>46329</v>
      </c>
      <c r="E1596" s="260">
        <v>46335</v>
      </c>
      <c r="F1596">
        <v>16</v>
      </c>
      <c r="G1596" t="s">
        <v>350</v>
      </c>
    </row>
    <row r="1597" spans="1:7">
      <c r="A1597" t="s">
        <v>3512</v>
      </c>
      <c r="B1597" t="s">
        <v>3513</v>
      </c>
      <c r="C1597">
        <v>15</v>
      </c>
      <c r="D1597" s="260">
        <v>46185</v>
      </c>
      <c r="E1597" s="260">
        <v>46205</v>
      </c>
      <c r="F1597">
        <v>47</v>
      </c>
      <c r="G1597" t="s">
        <v>350</v>
      </c>
    </row>
    <row r="1598" spans="1:7">
      <c r="A1598" t="s">
        <v>3514</v>
      </c>
      <c r="B1598" t="s">
        <v>3515</v>
      </c>
      <c r="C1598">
        <v>10</v>
      </c>
      <c r="D1598" s="260">
        <v>46220</v>
      </c>
      <c r="E1598" s="260">
        <v>46238</v>
      </c>
      <c r="F1598">
        <v>62</v>
      </c>
      <c r="G1598" t="s">
        <v>350</v>
      </c>
    </row>
    <row r="1599" spans="1:7">
      <c r="A1599" t="s">
        <v>3516</v>
      </c>
      <c r="B1599" t="s">
        <v>3517</v>
      </c>
      <c r="C1599">
        <v>5</v>
      </c>
      <c r="D1599" s="260">
        <v>46254</v>
      </c>
      <c r="E1599" s="260">
        <v>46260</v>
      </c>
      <c r="F1599">
        <v>62</v>
      </c>
      <c r="G1599" t="s">
        <v>350</v>
      </c>
    </row>
    <row r="1600" spans="1:7">
      <c r="A1600" t="s">
        <v>3518</v>
      </c>
      <c r="B1600" t="s">
        <v>3519</v>
      </c>
      <c r="C1600">
        <v>15</v>
      </c>
      <c r="D1600" s="260">
        <v>46272</v>
      </c>
      <c r="E1600" s="260">
        <v>46290</v>
      </c>
      <c r="F1600">
        <v>20</v>
      </c>
      <c r="G1600" t="s">
        <v>350</v>
      </c>
    </row>
    <row r="1601" spans="1:7">
      <c r="A1601" t="s">
        <v>3520</v>
      </c>
      <c r="B1601" t="s">
        <v>3521</v>
      </c>
      <c r="C1601">
        <v>10</v>
      </c>
      <c r="D1601" s="260">
        <v>46307</v>
      </c>
      <c r="E1601" s="260">
        <v>46322</v>
      </c>
      <c r="F1601">
        <v>20</v>
      </c>
      <c r="G1601" t="s">
        <v>350</v>
      </c>
    </row>
    <row r="1602" spans="1:7">
      <c r="A1602" t="s">
        <v>3522</v>
      </c>
      <c r="B1602" t="s">
        <v>3523</v>
      </c>
      <c r="C1602">
        <v>5</v>
      </c>
      <c r="D1602" s="260">
        <v>46345</v>
      </c>
      <c r="E1602" s="260">
        <v>46351</v>
      </c>
      <c r="F1602">
        <v>19</v>
      </c>
      <c r="G1602" t="s">
        <v>350</v>
      </c>
    </row>
    <row r="1603" spans="1:7">
      <c r="A1603" t="s">
        <v>3524</v>
      </c>
      <c r="B1603" t="s">
        <v>3525</v>
      </c>
      <c r="C1603">
        <v>15</v>
      </c>
      <c r="D1603" s="260">
        <v>46213</v>
      </c>
      <c r="E1603" s="260">
        <v>46238</v>
      </c>
      <c r="F1603">
        <v>32</v>
      </c>
      <c r="G1603" t="s">
        <v>350</v>
      </c>
    </row>
    <row r="1604" spans="1:7">
      <c r="A1604" t="s">
        <v>3526</v>
      </c>
      <c r="B1604" t="s">
        <v>3527</v>
      </c>
      <c r="C1604">
        <v>10</v>
      </c>
      <c r="D1604" s="260">
        <v>46275</v>
      </c>
      <c r="E1604" s="260">
        <v>46288</v>
      </c>
      <c r="F1604">
        <v>62</v>
      </c>
      <c r="G1604" t="s">
        <v>350</v>
      </c>
    </row>
    <row r="1605" spans="1:7">
      <c r="A1605" t="s">
        <v>3528</v>
      </c>
      <c r="B1605" t="s">
        <v>3529</v>
      </c>
      <c r="C1605">
        <v>15</v>
      </c>
      <c r="D1605" s="260">
        <v>46275</v>
      </c>
      <c r="E1605" s="260">
        <v>46295</v>
      </c>
      <c r="F1605">
        <v>7</v>
      </c>
      <c r="G1605" t="s">
        <v>350</v>
      </c>
    </row>
    <row r="1606" spans="1:7">
      <c r="A1606" t="s">
        <v>3530</v>
      </c>
      <c r="B1606" t="s">
        <v>3531</v>
      </c>
      <c r="C1606">
        <v>10</v>
      </c>
      <c r="D1606" s="260">
        <v>46337</v>
      </c>
      <c r="E1606" s="260">
        <v>46350</v>
      </c>
      <c r="F1606">
        <v>0</v>
      </c>
      <c r="G1606" t="s">
        <v>350</v>
      </c>
    </row>
    <row r="1607" spans="1:7">
      <c r="A1607" t="s">
        <v>3532</v>
      </c>
      <c r="B1607" t="s">
        <v>3533</v>
      </c>
      <c r="C1607">
        <v>5</v>
      </c>
      <c r="D1607" s="260">
        <v>46367</v>
      </c>
      <c r="E1607" s="260">
        <v>46373</v>
      </c>
      <c r="F1607">
        <v>5</v>
      </c>
      <c r="G1607" t="s">
        <v>350</v>
      </c>
    </row>
    <row r="1608" spans="1:7">
      <c r="A1608" t="s">
        <v>3534</v>
      </c>
      <c r="B1608" t="s">
        <v>3535</v>
      </c>
      <c r="C1608">
        <v>15</v>
      </c>
      <c r="D1608" s="260">
        <v>46227</v>
      </c>
      <c r="E1608" s="260">
        <v>46253</v>
      </c>
      <c r="F1608">
        <v>42</v>
      </c>
      <c r="G1608" t="s">
        <v>350</v>
      </c>
    </row>
    <row r="1609" spans="1:7">
      <c r="A1609" t="s">
        <v>3536</v>
      </c>
      <c r="B1609" t="s">
        <v>3537</v>
      </c>
      <c r="C1609">
        <v>10</v>
      </c>
      <c r="D1609" s="260">
        <v>46268</v>
      </c>
      <c r="E1609" s="260">
        <v>46281</v>
      </c>
      <c r="F1609">
        <v>67</v>
      </c>
      <c r="G1609" t="s">
        <v>350</v>
      </c>
    </row>
    <row r="1610" spans="1:7">
      <c r="A1610" t="s">
        <v>3538</v>
      </c>
      <c r="B1610" t="s">
        <v>3539</v>
      </c>
      <c r="C1610">
        <v>15</v>
      </c>
      <c r="D1610" s="260">
        <v>46227</v>
      </c>
      <c r="E1610" s="260">
        <v>46253</v>
      </c>
      <c r="F1610">
        <v>42</v>
      </c>
      <c r="G1610" t="s">
        <v>350</v>
      </c>
    </row>
    <row r="1611" spans="1:7">
      <c r="A1611" t="s">
        <v>3540</v>
      </c>
      <c r="B1611" t="s">
        <v>3541</v>
      </c>
      <c r="C1611">
        <v>10</v>
      </c>
      <c r="D1611" s="260">
        <v>46268</v>
      </c>
      <c r="E1611" s="260">
        <v>46281</v>
      </c>
      <c r="F1611">
        <v>67</v>
      </c>
      <c r="G1611" t="s">
        <v>350</v>
      </c>
    </row>
    <row r="1612" spans="1:7">
      <c r="A1612" t="s">
        <v>3542</v>
      </c>
      <c r="B1612" t="s">
        <v>3543</v>
      </c>
      <c r="C1612">
        <v>15</v>
      </c>
      <c r="D1612" s="260">
        <v>46296</v>
      </c>
      <c r="E1612" s="260">
        <v>46317</v>
      </c>
      <c r="F1612">
        <v>22</v>
      </c>
      <c r="G1612" t="s">
        <v>350</v>
      </c>
    </row>
    <row r="1613" spans="1:7">
      <c r="A1613" t="s">
        <v>3544</v>
      </c>
      <c r="B1613" t="s">
        <v>3545</v>
      </c>
      <c r="C1613">
        <v>10</v>
      </c>
      <c r="D1613" s="260">
        <v>46351</v>
      </c>
      <c r="E1613" s="260">
        <v>46365</v>
      </c>
      <c r="F1613">
        <v>0</v>
      </c>
      <c r="G1613" t="s">
        <v>350</v>
      </c>
    </row>
    <row r="1614" spans="1:7">
      <c r="A1614" t="s">
        <v>3546</v>
      </c>
      <c r="B1614" t="s">
        <v>3547</v>
      </c>
      <c r="C1614">
        <v>5</v>
      </c>
      <c r="D1614" s="260">
        <v>46384</v>
      </c>
      <c r="E1614" s="260">
        <v>46392</v>
      </c>
      <c r="F1614">
        <v>0</v>
      </c>
      <c r="G1614" t="s">
        <v>350</v>
      </c>
    </row>
    <row r="1615" spans="1:7">
      <c r="A1615" t="s">
        <v>3548</v>
      </c>
      <c r="B1615" t="s">
        <v>3549</v>
      </c>
      <c r="C1615">
        <v>15</v>
      </c>
      <c r="D1615" s="260">
        <v>46140</v>
      </c>
      <c r="E1615" s="260">
        <v>46161</v>
      </c>
      <c r="F1615">
        <v>107</v>
      </c>
      <c r="G1615" t="s">
        <v>350</v>
      </c>
    </row>
    <row r="1616" spans="1:7">
      <c r="A1616" t="s">
        <v>3550</v>
      </c>
      <c r="B1616" t="s">
        <v>3551</v>
      </c>
      <c r="C1616">
        <v>10</v>
      </c>
      <c r="D1616" s="260">
        <v>46178</v>
      </c>
      <c r="E1616" s="260">
        <v>46191</v>
      </c>
      <c r="F1616">
        <v>107</v>
      </c>
      <c r="G1616" t="s">
        <v>350</v>
      </c>
    </row>
    <row r="1617" spans="1:7">
      <c r="A1617" t="s">
        <v>3552</v>
      </c>
      <c r="B1617" t="s">
        <v>3553</v>
      </c>
      <c r="C1617">
        <v>10</v>
      </c>
      <c r="D1617" s="260">
        <v>46206</v>
      </c>
      <c r="E1617" s="260">
        <v>46219</v>
      </c>
      <c r="F1617">
        <v>107</v>
      </c>
      <c r="G1617" t="s">
        <v>350</v>
      </c>
    </row>
    <row r="1618" spans="1:7">
      <c r="A1618" t="s">
        <v>3554</v>
      </c>
      <c r="B1618" t="s">
        <v>3555</v>
      </c>
      <c r="C1618">
        <v>15</v>
      </c>
      <c r="D1618" s="260">
        <v>46140</v>
      </c>
      <c r="E1618" s="260">
        <v>46161</v>
      </c>
      <c r="F1618">
        <v>67</v>
      </c>
      <c r="G1618" t="s">
        <v>350</v>
      </c>
    </row>
    <row r="1619" spans="1:7">
      <c r="A1619" t="s">
        <v>3556</v>
      </c>
      <c r="B1619" t="s">
        <v>3557</v>
      </c>
      <c r="C1619">
        <v>10</v>
      </c>
      <c r="D1619" s="260">
        <v>46178</v>
      </c>
      <c r="E1619" s="260">
        <v>46191</v>
      </c>
      <c r="F1619">
        <v>92</v>
      </c>
      <c r="G1619" t="s">
        <v>350</v>
      </c>
    </row>
    <row r="1620" spans="1:7">
      <c r="A1620" t="s">
        <v>3558</v>
      </c>
      <c r="B1620" t="s">
        <v>3559</v>
      </c>
      <c r="C1620">
        <v>10</v>
      </c>
      <c r="D1620" s="260">
        <v>46206</v>
      </c>
      <c r="E1620" s="260">
        <v>46219</v>
      </c>
      <c r="F1620">
        <v>92</v>
      </c>
      <c r="G1620" t="s">
        <v>350</v>
      </c>
    </row>
    <row r="1621" spans="1:7">
      <c r="A1621" t="s">
        <v>3560</v>
      </c>
      <c r="B1621" t="s">
        <v>3561</v>
      </c>
      <c r="C1621">
        <v>15</v>
      </c>
      <c r="D1621" s="260">
        <v>46162</v>
      </c>
      <c r="E1621" s="260">
        <v>46184</v>
      </c>
      <c r="F1621">
        <v>102</v>
      </c>
      <c r="G1621" t="s">
        <v>350</v>
      </c>
    </row>
    <row r="1622" spans="1:7">
      <c r="A1622" t="s">
        <v>3562</v>
      </c>
      <c r="B1622" t="s">
        <v>3563</v>
      </c>
      <c r="C1622">
        <v>10</v>
      </c>
      <c r="D1622" s="260">
        <v>46199</v>
      </c>
      <c r="E1622" s="260">
        <v>46212</v>
      </c>
      <c r="F1622">
        <v>102</v>
      </c>
      <c r="G1622" t="s">
        <v>350</v>
      </c>
    </row>
    <row r="1623" spans="1:7">
      <c r="A1623" t="s">
        <v>3564</v>
      </c>
      <c r="B1623" t="s">
        <v>3565</v>
      </c>
      <c r="C1623">
        <v>5</v>
      </c>
      <c r="D1623" s="260">
        <v>46227</v>
      </c>
      <c r="E1623" s="260">
        <v>46238</v>
      </c>
      <c r="F1623">
        <v>102</v>
      </c>
      <c r="G1623" t="s">
        <v>350</v>
      </c>
    </row>
    <row r="1624" spans="1:7">
      <c r="A1624" t="s">
        <v>3566</v>
      </c>
      <c r="B1624" t="s">
        <v>3567</v>
      </c>
      <c r="C1624">
        <v>15</v>
      </c>
      <c r="D1624" s="260">
        <v>46162</v>
      </c>
      <c r="E1624" s="260">
        <v>46184</v>
      </c>
      <c r="F1624">
        <v>102</v>
      </c>
      <c r="G1624" t="s">
        <v>350</v>
      </c>
    </row>
    <row r="1625" spans="1:7">
      <c r="A1625" t="s">
        <v>3568</v>
      </c>
      <c r="B1625" t="s">
        <v>3569</v>
      </c>
      <c r="C1625">
        <v>10</v>
      </c>
      <c r="D1625" s="260">
        <v>46199</v>
      </c>
      <c r="E1625" s="260">
        <v>46212</v>
      </c>
      <c r="F1625">
        <v>102</v>
      </c>
      <c r="G1625" t="s">
        <v>350</v>
      </c>
    </row>
    <row r="1626" spans="1:7">
      <c r="A1626" t="s">
        <v>3570</v>
      </c>
      <c r="B1626" t="s">
        <v>3571</v>
      </c>
      <c r="C1626">
        <v>5</v>
      </c>
      <c r="D1626" s="260">
        <v>46227</v>
      </c>
      <c r="E1626" s="260">
        <v>46238</v>
      </c>
      <c r="F1626">
        <v>102</v>
      </c>
      <c r="G1626" t="s">
        <v>350</v>
      </c>
    </row>
    <row r="1627" spans="1:7">
      <c r="A1627" t="s">
        <v>3572</v>
      </c>
      <c r="B1627" t="s">
        <v>3573</v>
      </c>
      <c r="C1627">
        <v>25</v>
      </c>
      <c r="D1627" s="260">
        <v>46206</v>
      </c>
      <c r="E1627" s="260">
        <v>46245</v>
      </c>
      <c r="F1627">
        <v>57</v>
      </c>
      <c r="G1627" t="s">
        <v>350</v>
      </c>
    </row>
    <row r="1628" spans="1:7">
      <c r="A1628" t="s">
        <v>3574</v>
      </c>
      <c r="B1628" t="s">
        <v>3575</v>
      </c>
      <c r="C1628">
        <v>20</v>
      </c>
      <c r="D1628" s="260">
        <v>46289</v>
      </c>
      <c r="E1628" s="260">
        <v>46317</v>
      </c>
      <c r="F1628">
        <v>42</v>
      </c>
      <c r="G1628" t="s">
        <v>350</v>
      </c>
    </row>
    <row r="1629" spans="1:7">
      <c r="A1629" t="s">
        <v>3576</v>
      </c>
      <c r="B1629" t="s">
        <v>3577</v>
      </c>
      <c r="C1629">
        <v>15</v>
      </c>
      <c r="D1629" s="260">
        <v>46185</v>
      </c>
      <c r="E1629" s="260">
        <v>46205</v>
      </c>
      <c r="F1629">
        <v>52</v>
      </c>
      <c r="G1629" t="s">
        <v>350</v>
      </c>
    </row>
    <row r="1630" spans="1:7">
      <c r="A1630" t="s">
        <v>3578</v>
      </c>
      <c r="B1630" t="s">
        <v>3579</v>
      </c>
      <c r="C1630">
        <v>15</v>
      </c>
      <c r="D1630" s="260">
        <v>46272</v>
      </c>
      <c r="E1630" s="260">
        <v>46290</v>
      </c>
      <c r="F1630">
        <v>65</v>
      </c>
      <c r="G1630" t="s">
        <v>350</v>
      </c>
    </row>
    <row r="1631" spans="1:7">
      <c r="A1631" t="s">
        <v>3580</v>
      </c>
      <c r="B1631" t="s">
        <v>3581</v>
      </c>
      <c r="C1631">
        <v>5</v>
      </c>
      <c r="D1631" s="260">
        <v>46329</v>
      </c>
      <c r="E1631" s="260">
        <v>46335</v>
      </c>
      <c r="F1631">
        <v>31</v>
      </c>
      <c r="G1631" t="s">
        <v>350</v>
      </c>
    </row>
    <row r="1632" spans="1:7">
      <c r="A1632" t="s">
        <v>3582</v>
      </c>
      <c r="B1632" t="s">
        <v>3583</v>
      </c>
      <c r="C1632">
        <v>15</v>
      </c>
      <c r="D1632" s="260">
        <v>46206</v>
      </c>
      <c r="E1632" s="260">
        <v>46226</v>
      </c>
      <c r="F1632">
        <v>32</v>
      </c>
      <c r="G1632" t="s">
        <v>350</v>
      </c>
    </row>
    <row r="1633" spans="1:7">
      <c r="A1633" t="s">
        <v>3584</v>
      </c>
      <c r="B1633" t="s">
        <v>3585</v>
      </c>
      <c r="C1633">
        <v>10</v>
      </c>
      <c r="D1633" s="260">
        <v>46293</v>
      </c>
      <c r="E1633" s="260">
        <v>46304</v>
      </c>
      <c r="F1633">
        <v>30</v>
      </c>
      <c r="G1633" t="s">
        <v>350</v>
      </c>
    </row>
    <row r="1634" spans="1:7">
      <c r="A1634" t="s">
        <v>3586</v>
      </c>
      <c r="B1634" t="s">
        <v>3587</v>
      </c>
      <c r="C1634">
        <v>5</v>
      </c>
      <c r="D1634" s="260">
        <v>46336</v>
      </c>
      <c r="E1634" s="260">
        <v>46342</v>
      </c>
      <c r="F1634">
        <v>26</v>
      </c>
      <c r="G1634" t="s">
        <v>350</v>
      </c>
    </row>
    <row r="1635" spans="1:7">
      <c r="A1635" t="s">
        <v>3588</v>
      </c>
      <c r="B1635" t="s">
        <v>3589</v>
      </c>
      <c r="C1635">
        <v>15</v>
      </c>
      <c r="D1635" s="260">
        <v>46227</v>
      </c>
      <c r="E1635" s="260">
        <v>46253</v>
      </c>
      <c r="F1635">
        <v>17</v>
      </c>
      <c r="G1635" t="s">
        <v>350</v>
      </c>
    </row>
    <row r="1636" spans="1:7">
      <c r="A1636" t="s">
        <v>3590</v>
      </c>
      <c r="B1636" t="s">
        <v>3591</v>
      </c>
      <c r="C1636">
        <v>10</v>
      </c>
      <c r="D1636" s="260">
        <v>46307</v>
      </c>
      <c r="E1636" s="260">
        <v>46322</v>
      </c>
      <c r="F1636">
        <v>20</v>
      </c>
      <c r="G1636" t="s">
        <v>350</v>
      </c>
    </row>
    <row r="1637" spans="1:7">
      <c r="A1637" t="s">
        <v>3592</v>
      </c>
      <c r="B1637" t="s">
        <v>3593</v>
      </c>
      <c r="C1637">
        <v>5</v>
      </c>
      <c r="D1637" s="260">
        <v>46343</v>
      </c>
      <c r="E1637" s="260">
        <v>46349</v>
      </c>
      <c r="F1637">
        <v>21</v>
      </c>
      <c r="G1637" t="s">
        <v>350</v>
      </c>
    </row>
    <row r="1638" spans="1:7">
      <c r="A1638" t="s">
        <v>3594</v>
      </c>
      <c r="B1638" t="s">
        <v>3595</v>
      </c>
      <c r="C1638">
        <v>15</v>
      </c>
      <c r="D1638" s="260">
        <v>46254</v>
      </c>
      <c r="E1638" s="260">
        <v>46274</v>
      </c>
      <c r="F1638">
        <v>7</v>
      </c>
      <c r="G1638" t="s">
        <v>350</v>
      </c>
    </row>
    <row r="1639" spans="1:7">
      <c r="A1639" t="s">
        <v>3596</v>
      </c>
      <c r="B1639" t="s">
        <v>3597</v>
      </c>
      <c r="C1639">
        <v>10</v>
      </c>
      <c r="D1639" s="260">
        <v>46323</v>
      </c>
      <c r="E1639" s="260">
        <v>46336</v>
      </c>
      <c r="F1639">
        <v>10</v>
      </c>
      <c r="G1639" t="s">
        <v>350</v>
      </c>
    </row>
    <row r="1640" spans="1:7">
      <c r="A1640" t="s">
        <v>3598</v>
      </c>
      <c r="B1640" t="s">
        <v>3599</v>
      </c>
      <c r="C1640">
        <v>5</v>
      </c>
      <c r="D1640" s="260">
        <v>46351</v>
      </c>
      <c r="E1640" s="260">
        <v>46357</v>
      </c>
      <c r="F1640">
        <v>15</v>
      </c>
      <c r="G1640" t="s">
        <v>350</v>
      </c>
    </row>
    <row r="1641" spans="1:7">
      <c r="A1641" t="s">
        <v>3600</v>
      </c>
      <c r="B1641" t="s">
        <v>3601</v>
      </c>
      <c r="C1641">
        <v>15</v>
      </c>
      <c r="D1641" s="260">
        <v>46162</v>
      </c>
      <c r="E1641" s="260">
        <v>46184</v>
      </c>
      <c r="F1641">
        <v>47</v>
      </c>
      <c r="G1641" t="s">
        <v>350</v>
      </c>
    </row>
    <row r="1642" spans="1:7">
      <c r="A1642" t="s">
        <v>3602</v>
      </c>
      <c r="B1642" t="s">
        <v>3603</v>
      </c>
      <c r="C1642">
        <v>10</v>
      </c>
      <c r="D1642" s="260">
        <v>46265</v>
      </c>
      <c r="E1642" s="260">
        <v>46276</v>
      </c>
      <c r="F1642">
        <v>50</v>
      </c>
      <c r="G1642" t="s">
        <v>350</v>
      </c>
    </row>
    <row r="1643" spans="1:7">
      <c r="A1643" t="s">
        <v>3604</v>
      </c>
      <c r="B1643" t="s">
        <v>3605</v>
      </c>
      <c r="C1643">
        <v>5</v>
      </c>
      <c r="D1643" s="260">
        <v>46322</v>
      </c>
      <c r="E1643" s="260">
        <v>46328</v>
      </c>
      <c r="F1643">
        <v>36</v>
      </c>
      <c r="G1643" t="s">
        <v>350</v>
      </c>
    </row>
    <row r="1644" spans="1:7">
      <c r="A1644" t="s">
        <v>3606</v>
      </c>
      <c r="B1644" t="s">
        <v>3607</v>
      </c>
      <c r="C1644">
        <v>15</v>
      </c>
      <c r="D1644" s="260">
        <v>46185</v>
      </c>
      <c r="E1644" s="260">
        <v>46205</v>
      </c>
      <c r="F1644">
        <v>52</v>
      </c>
      <c r="G1644" t="s">
        <v>350</v>
      </c>
    </row>
    <row r="1645" spans="1:7">
      <c r="A1645" t="s">
        <v>3608</v>
      </c>
      <c r="B1645" t="s">
        <v>3609</v>
      </c>
      <c r="C1645">
        <v>10</v>
      </c>
      <c r="D1645" s="260">
        <v>46279</v>
      </c>
      <c r="E1645" s="260">
        <v>46290</v>
      </c>
      <c r="F1645">
        <v>40</v>
      </c>
      <c r="G1645" t="s">
        <v>350</v>
      </c>
    </row>
    <row r="1646" spans="1:7">
      <c r="A1646" t="s">
        <v>3610</v>
      </c>
      <c r="B1646" t="s">
        <v>3611</v>
      </c>
      <c r="C1646">
        <v>5</v>
      </c>
      <c r="D1646" s="260">
        <v>46329</v>
      </c>
      <c r="E1646" s="260">
        <v>46335</v>
      </c>
      <c r="F1646">
        <v>31</v>
      </c>
      <c r="G1646" t="s">
        <v>350</v>
      </c>
    </row>
    <row r="1647" spans="1:7">
      <c r="A1647" t="s">
        <v>3612</v>
      </c>
      <c r="B1647" t="s">
        <v>3613</v>
      </c>
      <c r="C1647">
        <v>15</v>
      </c>
      <c r="D1647" s="260">
        <v>46206</v>
      </c>
      <c r="E1647" s="260">
        <v>46226</v>
      </c>
      <c r="F1647">
        <v>62</v>
      </c>
      <c r="G1647" t="s">
        <v>350</v>
      </c>
    </row>
    <row r="1648" spans="1:7">
      <c r="A1648" t="s">
        <v>3614</v>
      </c>
      <c r="B1648" t="s">
        <v>3615</v>
      </c>
      <c r="C1648">
        <v>10</v>
      </c>
      <c r="D1648" s="260">
        <v>46293</v>
      </c>
      <c r="E1648" s="260">
        <v>46304</v>
      </c>
      <c r="F1648">
        <v>30</v>
      </c>
      <c r="G1648" t="s">
        <v>350</v>
      </c>
    </row>
    <row r="1649" spans="1:7">
      <c r="A1649" t="s">
        <v>3616</v>
      </c>
      <c r="B1649" t="s">
        <v>3617</v>
      </c>
      <c r="C1649">
        <v>5</v>
      </c>
      <c r="D1649" s="260">
        <v>46336</v>
      </c>
      <c r="E1649" s="260">
        <v>46342</v>
      </c>
      <c r="F1649">
        <v>26</v>
      </c>
      <c r="G1649" t="s">
        <v>350</v>
      </c>
    </row>
    <row r="1650" spans="1:7">
      <c r="A1650" t="s">
        <v>3618</v>
      </c>
      <c r="B1650" t="s">
        <v>3619</v>
      </c>
      <c r="C1650">
        <v>15</v>
      </c>
      <c r="D1650" s="260">
        <v>46185</v>
      </c>
      <c r="E1650" s="260">
        <v>46205</v>
      </c>
      <c r="F1650">
        <v>37</v>
      </c>
      <c r="G1650" t="s">
        <v>350</v>
      </c>
    </row>
    <row r="1651" spans="1:7">
      <c r="A1651" t="s">
        <v>3620</v>
      </c>
      <c r="B1651" t="s">
        <v>3621</v>
      </c>
      <c r="C1651">
        <v>10</v>
      </c>
      <c r="D1651" s="260">
        <v>46279</v>
      </c>
      <c r="E1651" s="260">
        <v>46290</v>
      </c>
      <c r="F1651">
        <v>30</v>
      </c>
      <c r="G1651" t="s">
        <v>350</v>
      </c>
    </row>
    <row r="1652" spans="1:7">
      <c r="A1652" t="s">
        <v>3622</v>
      </c>
      <c r="B1652" t="s">
        <v>3623</v>
      </c>
      <c r="C1652">
        <v>5</v>
      </c>
      <c r="D1652" s="260">
        <v>46329</v>
      </c>
      <c r="E1652" s="260">
        <v>46335</v>
      </c>
      <c r="F1652">
        <v>16</v>
      </c>
      <c r="G1652" t="s">
        <v>350</v>
      </c>
    </row>
    <row r="1653" spans="1:7">
      <c r="A1653" t="s">
        <v>3624</v>
      </c>
      <c r="B1653" t="s">
        <v>3625</v>
      </c>
      <c r="C1653">
        <v>15</v>
      </c>
      <c r="D1653" s="260">
        <v>46185</v>
      </c>
      <c r="E1653" s="260">
        <v>46205</v>
      </c>
      <c r="F1653">
        <v>77</v>
      </c>
      <c r="G1653" t="s">
        <v>350</v>
      </c>
    </row>
    <row r="1654" spans="1:7">
      <c r="A1654" t="s">
        <v>3626</v>
      </c>
      <c r="B1654" t="s">
        <v>3627</v>
      </c>
      <c r="C1654">
        <v>10</v>
      </c>
      <c r="D1654" s="260">
        <v>46220</v>
      </c>
      <c r="E1654" s="260">
        <v>46238</v>
      </c>
      <c r="F1654">
        <v>77</v>
      </c>
      <c r="G1654" t="s">
        <v>350</v>
      </c>
    </row>
    <row r="1655" spans="1:7">
      <c r="A1655" t="s">
        <v>3628</v>
      </c>
      <c r="B1655" t="s">
        <v>3629</v>
      </c>
      <c r="C1655">
        <v>10</v>
      </c>
      <c r="D1655" s="260">
        <v>46254</v>
      </c>
      <c r="E1655" s="260">
        <v>46267</v>
      </c>
      <c r="F1655">
        <v>77</v>
      </c>
      <c r="G1655" t="s">
        <v>350</v>
      </c>
    </row>
    <row r="1656" spans="1:7">
      <c r="A1656" t="s">
        <v>3630</v>
      </c>
      <c r="B1656" t="s">
        <v>3631</v>
      </c>
      <c r="C1656">
        <v>15</v>
      </c>
      <c r="D1656" s="260">
        <v>46272</v>
      </c>
      <c r="E1656" s="260">
        <v>46290</v>
      </c>
      <c r="F1656">
        <v>20</v>
      </c>
      <c r="G1656" t="s">
        <v>350</v>
      </c>
    </row>
    <row r="1657" spans="1:7">
      <c r="A1657" t="s">
        <v>3632</v>
      </c>
      <c r="B1657" t="s">
        <v>3633</v>
      </c>
      <c r="C1657">
        <v>10</v>
      </c>
      <c r="D1657" s="260">
        <v>46307</v>
      </c>
      <c r="E1657" s="260">
        <v>46322</v>
      </c>
      <c r="F1657">
        <v>20</v>
      </c>
      <c r="G1657" t="s">
        <v>350</v>
      </c>
    </row>
    <row r="1658" spans="1:7">
      <c r="A1658" t="s">
        <v>3634</v>
      </c>
      <c r="B1658" t="s">
        <v>3635</v>
      </c>
      <c r="C1658">
        <v>10</v>
      </c>
      <c r="D1658" s="260">
        <v>46338</v>
      </c>
      <c r="E1658" s="260">
        <v>46351</v>
      </c>
      <c r="F1658">
        <v>19</v>
      </c>
      <c r="G1658" t="s">
        <v>350</v>
      </c>
    </row>
    <row r="1659" spans="1:7">
      <c r="A1659" t="s">
        <v>3636</v>
      </c>
      <c r="B1659" t="s">
        <v>3637</v>
      </c>
      <c r="C1659">
        <v>15</v>
      </c>
      <c r="D1659" s="260">
        <v>46213</v>
      </c>
      <c r="E1659" s="260">
        <v>46238</v>
      </c>
      <c r="F1659">
        <v>32</v>
      </c>
      <c r="G1659" t="s">
        <v>350</v>
      </c>
    </row>
    <row r="1660" spans="1:7">
      <c r="A1660" t="s">
        <v>3638</v>
      </c>
      <c r="B1660" t="s">
        <v>3639</v>
      </c>
      <c r="C1660">
        <v>10</v>
      </c>
      <c r="D1660" s="260">
        <v>46275</v>
      </c>
      <c r="E1660" s="260">
        <v>46288</v>
      </c>
      <c r="F1660">
        <v>62</v>
      </c>
      <c r="G1660" t="s">
        <v>350</v>
      </c>
    </row>
    <row r="1661" spans="1:7">
      <c r="A1661" t="s">
        <v>3640</v>
      </c>
      <c r="B1661" t="s">
        <v>3641</v>
      </c>
      <c r="C1661">
        <v>15</v>
      </c>
      <c r="D1661" s="260">
        <v>46275</v>
      </c>
      <c r="E1661" s="260">
        <v>46295</v>
      </c>
      <c r="F1661">
        <v>7</v>
      </c>
      <c r="G1661" t="s">
        <v>350</v>
      </c>
    </row>
    <row r="1662" spans="1:7">
      <c r="A1662" t="s">
        <v>3642</v>
      </c>
      <c r="B1662" t="s">
        <v>3643</v>
      </c>
      <c r="C1662">
        <v>10</v>
      </c>
      <c r="D1662" s="260">
        <v>46337</v>
      </c>
      <c r="E1662" s="260">
        <v>46350</v>
      </c>
      <c r="F1662">
        <v>0</v>
      </c>
      <c r="G1662" t="s">
        <v>350</v>
      </c>
    </row>
    <row r="1663" spans="1:7">
      <c r="A1663" t="s">
        <v>3644</v>
      </c>
      <c r="B1663" t="s">
        <v>3645</v>
      </c>
      <c r="C1663">
        <v>10</v>
      </c>
      <c r="D1663" s="260">
        <v>46367</v>
      </c>
      <c r="E1663" s="260">
        <v>46380</v>
      </c>
      <c r="F1663">
        <v>0</v>
      </c>
      <c r="G1663" t="s">
        <v>350</v>
      </c>
    </row>
    <row r="1664" spans="1:7">
      <c r="A1664" t="s">
        <v>3646</v>
      </c>
      <c r="B1664" t="s">
        <v>3647</v>
      </c>
      <c r="C1664">
        <v>15</v>
      </c>
      <c r="D1664" s="260">
        <v>46275</v>
      </c>
      <c r="E1664" s="260">
        <v>46295</v>
      </c>
      <c r="F1664">
        <v>22</v>
      </c>
      <c r="G1664" t="s">
        <v>350</v>
      </c>
    </row>
    <row r="1665" spans="1:7">
      <c r="A1665" t="s">
        <v>3648</v>
      </c>
      <c r="B1665" t="s">
        <v>3649</v>
      </c>
      <c r="C1665">
        <v>10</v>
      </c>
      <c r="D1665" s="260">
        <v>46311</v>
      </c>
      <c r="E1665" s="260">
        <v>46325</v>
      </c>
      <c r="F1665">
        <v>37</v>
      </c>
      <c r="G1665" t="s">
        <v>350</v>
      </c>
    </row>
    <row r="1666" spans="1:7">
      <c r="A1666" t="s">
        <v>3650</v>
      </c>
      <c r="B1666" t="s">
        <v>3651</v>
      </c>
      <c r="C1666">
        <v>15</v>
      </c>
      <c r="D1666" s="260">
        <v>46275</v>
      </c>
      <c r="E1666" s="260">
        <v>46295</v>
      </c>
      <c r="F1666">
        <v>22</v>
      </c>
      <c r="G1666" t="s">
        <v>350</v>
      </c>
    </row>
    <row r="1667" spans="1:7">
      <c r="A1667" t="s">
        <v>3652</v>
      </c>
      <c r="B1667" t="s">
        <v>3653</v>
      </c>
      <c r="C1667">
        <v>10</v>
      </c>
      <c r="D1667" s="260">
        <v>46311</v>
      </c>
      <c r="E1667" s="260">
        <v>46325</v>
      </c>
      <c r="F1667">
        <v>37</v>
      </c>
      <c r="G1667" t="s">
        <v>350</v>
      </c>
    </row>
    <row r="1668" spans="1:7">
      <c r="A1668" t="s">
        <v>3654</v>
      </c>
      <c r="C1668">
        <v>148</v>
      </c>
      <c r="D1668" s="260">
        <v>46121</v>
      </c>
      <c r="E1668" s="260">
        <v>46344</v>
      </c>
      <c r="F1668">
        <v>24</v>
      </c>
      <c r="G1668" t="s">
        <v>350</v>
      </c>
    </row>
    <row r="1669" spans="1:7">
      <c r="A1669" t="s">
        <v>3655</v>
      </c>
      <c r="B1669" t="s">
        <v>3656</v>
      </c>
      <c r="C1669">
        <v>15</v>
      </c>
      <c r="D1669" s="260">
        <v>46121</v>
      </c>
      <c r="E1669" s="260">
        <v>46147</v>
      </c>
      <c r="F1669">
        <v>22</v>
      </c>
      <c r="G1669" t="s">
        <v>350</v>
      </c>
    </row>
    <row r="1670" spans="1:7">
      <c r="A1670" t="s">
        <v>3657</v>
      </c>
      <c r="B1670" t="s">
        <v>3658</v>
      </c>
      <c r="C1670">
        <v>10</v>
      </c>
      <c r="D1670" s="260">
        <v>46162</v>
      </c>
      <c r="E1670" s="260">
        <v>46177</v>
      </c>
      <c r="F1670">
        <v>72</v>
      </c>
      <c r="G1670" t="s">
        <v>350</v>
      </c>
    </row>
    <row r="1671" spans="1:7">
      <c r="A1671" t="s">
        <v>3659</v>
      </c>
      <c r="B1671" t="s">
        <v>3660</v>
      </c>
      <c r="C1671">
        <v>5</v>
      </c>
      <c r="D1671" s="260">
        <v>46192</v>
      </c>
      <c r="E1671" s="260">
        <v>46198</v>
      </c>
      <c r="F1671">
        <v>72</v>
      </c>
      <c r="G1671" t="s">
        <v>350</v>
      </c>
    </row>
    <row r="1672" spans="1:7">
      <c r="A1672" t="s">
        <v>3661</v>
      </c>
      <c r="B1672" t="s">
        <v>3662</v>
      </c>
      <c r="C1672">
        <v>15</v>
      </c>
      <c r="D1672" s="260">
        <v>46141</v>
      </c>
      <c r="E1672" s="260">
        <v>46162</v>
      </c>
      <c r="F1672">
        <v>0</v>
      </c>
      <c r="G1672" t="s">
        <v>350</v>
      </c>
    </row>
    <row r="1673" spans="1:7">
      <c r="A1673" t="s">
        <v>3663</v>
      </c>
      <c r="B1673" t="s">
        <v>3664</v>
      </c>
      <c r="C1673">
        <v>10</v>
      </c>
      <c r="D1673" s="260">
        <v>46181</v>
      </c>
      <c r="E1673" s="260">
        <v>46192</v>
      </c>
      <c r="F1673">
        <v>96</v>
      </c>
      <c r="G1673" t="s">
        <v>350</v>
      </c>
    </row>
    <row r="1674" spans="1:7">
      <c r="A1674" t="s">
        <v>3665</v>
      </c>
      <c r="B1674" t="s">
        <v>3666</v>
      </c>
      <c r="C1674">
        <v>5</v>
      </c>
      <c r="D1674" s="260">
        <v>46211</v>
      </c>
      <c r="E1674" s="260">
        <v>46217</v>
      </c>
      <c r="F1674">
        <v>104</v>
      </c>
      <c r="G1674" t="s">
        <v>350</v>
      </c>
    </row>
    <row r="1675" spans="1:7">
      <c r="A1675" t="s">
        <v>3667</v>
      </c>
      <c r="B1675" t="s">
        <v>3668</v>
      </c>
      <c r="C1675">
        <v>15</v>
      </c>
      <c r="D1675" s="260">
        <v>46220</v>
      </c>
      <c r="E1675" s="260">
        <v>46245</v>
      </c>
      <c r="F1675">
        <v>4</v>
      </c>
      <c r="G1675" t="s">
        <v>350</v>
      </c>
    </row>
    <row r="1676" spans="1:7">
      <c r="A1676" t="s">
        <v>3669</v>
      </c>
      <c r="B1676" t="s">
        <v>3670</v>
      </c>
      <c r="C1676">
        <v>10</v>
      </c>
      <c r="D1676" s="260">
        <v>46261</v>
      </c>
      <c r="E1676" s="260">
        <v>46274</v>
      </c>
      <c r="F1676">
        <v>42</v>
      </c>
      <c r="G1676" t="s">
        <v>350</v>
      </c>
    </row>
    <row r="1677" spans="1:7">
      <c r="A1677" t="s">
        <v>3671</v>
      </c>
      <c r="B1677" t="s">
        <v>3672</v>
      </c>
      <c r="C1677">
        <v>5</v>
      </c>
      <c r="D1677" s="260">
        <v>46316</v>
      </c>
      <c r="E1677" s="260">
        <v>46323</v>
      </c>
      <c r="F1677">
        <v>34</v>
      </c>
      <c r="G1677" t="s">
        <v>350</v>
      </c>
    </row>
    <row r="1678" spans="1:7">
      <c r="A1678" t="s">
        <v>3673</v>
      </c>
      <c r="B1678" t="s">
        <v>3674</v>
      </c>
      <c r="C1678">
        <v>15</v>
      </c>
      <c r="D1678" s="260">
        <v>46230</v>
      </c>
      <c r="E1678" s="260">
        <v>46254</v>
      </c>
      <c r="F1678">
        <v>4</v>
      </c>
      <c r="G1678" t="s">
        <v>350</v>
      </c>
    </row>
    <row r="1679" spans="1:7">
      <c r="A1679" t="s">
        <v>3675</v>
      </c>
      <c r="B1679" t="s">
        <v>3676</v>
      </c>
      <c r="C1679">
        <v>10</v>
      </c>
      <c r="D1679" s="260">
        <v>46269</v>
      </c>
      <c r="E1679" s="260">
        <v>46282</v>
      </c>
      <c r="F1679">
        <v>36</v>
      </c>
      <c r="G1679" t="s">
        <v>350</v>
      </c>
    </row>
    <row r="1680" spans="1:7">
      <c r="A1680" t="s">
        <v>3677</v>
      </c>
      <c r="B1680" t="s">
        <v>3678</v>
      </c>
      <c r="C1680">
        <v>5</v>
      </c>
      <c r="D1680" s="260">
        <v>46322</v>
      </c>
      <c r="E1680" s="260">
        <v>46328</v>
      </c>
      <c r="F1680">
        <v>31</v>
      </c>
      <c r="G1680" t="s">
        <v>350</v>
      </c>
    </row>
    <row r="1681" spans="1:7">
      <c r="A1681" t="s">
        <v>3679</v>
      </c>
      <c r="B1681" t="s">
        <v>3680</v>
      </c>
      <c r="C1681">
        <v>15</v>
      </c>
      <c r="D1681" s="260">
        <v>46136</v>
      </c>
      <c r="E1681" s="260">
        <v>46157</v>
      </c>
      <c r="F1681">
        <v>57</v>
      </c>
      <c r="G1681" t="s">
        <v>350</v>
      </c>
    </row>
    <row r="1682" spans="1:7">
      <c r="A1682" t="s">
        <v>3681</v>
      </c>
      <c r="B1682" t="s">
        <v>3682</v>
      </c>
      <c r="C1682">
        <v>10</v>
      </c>
      <c r="D1682" s="260">
        <v>46175</v>
      </c>
      <c r="E1682" s="260">
        <v>46189</v>
      </c>
      <c r="F1682">
        <v>99</v>
      </c>
      <c r="G1682" t="s">
        <v>350</v>
      </c>
    </row>
    <row r="1683" spans="1:7">
      <c r="A1683" t="s">
        <v>3683</v>
      </c>
      <c r="B1683" t="s">
        <v>3684</v>
      </c>
      <c r="C1683">
        <v>5</v>
      </c>
      <c r="D1683" s="260">
        <v>46206</v>
      </c>
      <c r="E1683" s="260">
        <v>46212</v>
      </c>
      <c r="F1683">
        <v>107</v>
      </c>
      <c r="G1683" t="s">
        <v>350</v>
      </c>
    </row>
    <row r="1684" spans="1:7">
      <c r="A1684" t="s">
        <v>3685</v>
      </c>
      <c r="B1684" t="s">
        <v>3686</v>
      </c>
      <c r="C1684">
        <v>15</v>
      </c>
      <c r="D1684" s="260">
        <v>46171</v>
      </c>
      <c r="E1684" s="260">
        <v>46195</v>
      </c>
      <c r="F1684">
        <v>57</v>
      </c>
      <c r="G1684" t="s">
        <v>350</v>
      </c>
    </row>
    <row r="1685" spans="1:7">
      <c r="A1685" t="s">
        <v>3687</v>
      </c>
      <c r="B1685" t="s">
        <v>3688</v>
      </c>
      <c r="C1685">
        <v>10</v>
      </c>
      <c r="D1685" s="260">
        <v>46210</v>
      </c>
      <c r="E1685" s="260">
        <v>46223</v>
      </c>
      <c r="F1685">
        <v>75</v>
      </c>
      <c r="G1685" t="s">
        <v>350</v>
      </c>
    </row>
    <row r="1686" spans="1:7">
      <c r="A1686" t="s">
        <v>3689</v>
      </c>
      <c r="B1686" t="s">
        <v>3690</v>
      </c>
      <c r="C1686">
        <v>5</v>
      </c>
      <c r="D1686" s="260">
        <v>46261</v>
      </c>
      <c r="E1686" s="260">
        <v>46267</v>
      </c>
      <c r="F1686">
        <v>72</v>
      </c>
      <c r="G1686" t="s">
        <v>350</v>
      </c>
    </row>
    <row r="1687" spans="1:7">
      <c r="A1687" t="s">
        <v>3691</v>
      </c>
      <c r="B1687" t="s">
        <v>3692</v>
      </c>
      <c r="C1687">
        <v>15</v>
      </c>
      <c r="D1687" s="260">
        <v>46149</v>
      </c>
      <c r="E1687" s="260">
        <v>46169</v>
      </c>
      <c r="F1687">
        <v>0</v>
      </c>
      <c r="G1687" t="s">
        <v>350</v>
      </c>
    </row>
    <row r="1688" spans="1:7">
      <c r="A1688" t="s">
        <v>3693</v>
      </c>
      <c r="B1688" t="s">
        <v>3694</v>
      </c>
      <c r="C1688">
        <v>10</v>
      </c>
      <c r="D1688" s="260">
        <v>46188</v>
      </c>
      <c r="E1688" s="260">
        <v>46199</v>
      </c>
      <c r="F1688">
        <v>91</v>
      </c>
      <c r="G1688" t="s">
        <v>350</v>
      </c>
    </row>
    <row r="1689" spans="1:7">
      <c r="A1689" t="s">
        <v>3695</v>
      </c>
      <c r="B1689" t="s">
        <v>3696</v>
      </c>
      <c r="C1689">
        <v>5</v>
      </c>
      <c r="D1689" s="260">
        <v>46238</v>
      </c>
      <c r="E1689" s="260">
        <v>46244</v>
      </c>
      <c r="F1689">
        <v>88</v>
      </c>
      <c r="G1689" t="s">
        <v>350</v>
      </c>
    </row>
    <row r="1690" spans="1:7">
      <c r="A1690" t="s">
        <v>3697</v>
      </c>
      <c r="B1690" t="s">
        <v>3698</v>
      </c>
      <c r="C1690">
        <v>15</v>
      </c>
      <c r="D1690" s="260">
        <v>46251</v>
      </c>
      <c r="E1690" s="260">
        <v>46269</v>
      </c>
      <c r="F1690">
        <v>4</v>
      </c>
      <c r="G1690" t="s">
        <v>350</v>
      </c>
    </row>
    <row r="1691" spans="1:7">
      <c r="A1691" t="s">
        <v>3699</v>
      </c>
      <c r="B1691" t="s">
        <v>3700</v>
      </c>
      <c r="C1691">
        <v>10</v>
      </c>
      <c r="D1691" s="260">
        <v>46286</v>
      </c>
      <c r="E1691" s="260">
        <v>46297</v>
      </c>
      <c r="F1691">
        <v>25</v>
      </c>
      <c r="G1691" t="s">
        <v>350</v>
      </c>
    </row>
    <row r="1692" spans="1:7">
      <c r="A1692" t="s">
        <v>3701</v>
      </c>
      <c r="B1692" t="s">
        <v>3702</v>
      </c>
      <c r="C1692">
        <v>5</v>
      </c>
      <c r="D1692" s="260">
        <v>46315</v>
      </c>
      <c r="E1692" s="260">
        <v>46322</v>
      </c>
      <c r="F1692">
        <v>35</v>
      </c>
      <c r="G1692" t="s">
        <v>350</v>
      </c>
    </row>
    <row r="1693" spans="1:7">
      <c r="A1693" t="s">
        <v>3703</v>
      </c>
      <c r="B1693" t="s">
        <v>3704</v>
      </c>
      <c r="C1693">
        <v>15</v>
      </c>
      <c r="D1693" s="260">
        <v>46251</v>
      </c>
      <c r="E1693" s="260">
        <v>46269</v>
      </c>
      <c r="F1693">
        <v>14</v>
      </c>
      <c r="G1693" t="s">
        <v>350</v>
      </c>
    </row>
    <row r="1694" spans="1:7">
      <c r="A1694" t="s">
        <v>3705</v>
      </c>
      <c r="B1694" t="s">
        <v>3706</v>
      </c>
      <c r="C1694">
        <v>10</v>
      </c>
      <c r="D1694" s="260">
        <v>46286</v>
      </c>
      <c r="E1694" s="260">
        <v>46297</v>
      </c>
      <c r="F1694">
        <v>25</v>
      </c>
      <c r="G1694" t="s">
        <v>350</v>
      </c>
    </row>
    <row r="1695" spans="1:7">
      <c r="A1695" t="s">
        <v>3707</v>
      </c>
      <c r="B1695" t="s">
        <v>3708</v>
      </c>
      <c r="C1695">
        <v>5</v>
      </c>
      <c r="D1695" s="260">
        <v>46324</v>
      </c>
      <c r="E1695" s="260">
        <v>46330</v>
      </c>
      <c r="F1695">
        <v>29</v>
      </c>
      <c r="G1695" t="s">
        <v>350</v>
      </c>
    </row>
    <row r="1696" spans="1:7">
      <c r="A1696" t="s">
        <v>3709</v>
      </c>
      <c r="B1696" t="s">
        <v>3710</v>
      </c>
      <c r="C1696">
        <v>15</v>
      </c>
      <c r="D1696" s="260">
        <v>46251</v>
      </c>
      <c r="E1696" s="260">
        <v>46269</v>
      </c>
      <c r="F1696">
        <v>5</v>
      </c>
      <c r="G1696" t="s">
        <v>350</v>
      </c>
    </row>
    <row r="1697" spans="1:7">
      <c r="A1697" t="s">
        <v>3711</v>
      </c>
      <c r="B1697" t="s">
        <v>3712</v>
      </c>
      <c r="C1697">
        <v>10</v>
      </c>
      <c r="D1697" s="260">
        <v>46286</v>
      </c>
      <c r="E1697" s="260">
        <v>46297</v>
      </c>
      <c r="F1697">
        <v>25</v>
      </c>
      <c r="G1697" t="s">
        <v>350</v>
      </c>
    </row>
    <row r="1698" spans="1:7">
      <c r="A1698" t="s">
        <v>3713</v>
      </c>
      <c r="B1698" t="s">
        <v>3714</v>
      </c>
      <c r="C1698">
        <v>5</v>
      </c>
      <c r="D1698" s="260">
        <v>46337</v>
      </c>
      <c r="E1698" s="260">
        <v>46343</v>
      </c>
      <c r="F1698">
        <v>20</v>
      </c>
      <c r="G1698" t="s">
        <v>350</v>
      </c>
    </row>
    <row r="1699" spans="1:7">
      <c r="A1699" t="s">
        <v>3715</v>
      </c>
      <c r="B1699" t="s">
        <v>3716</v>
      </c>
      <c r="C1699">
        <v>15</v>
      </c>
      <c r="D1699" s="260">
        <v>46251</v>
      </c>
      <c r="E1699" s="260">
        <v>46269</v>
      </c>
      <c r="F1699">
        <v>5</v>
      </c>
      <c r="G1699" t="s">
        <v>350</v>
      </c>
    </row>
    <row r="1700" spans="1:7">
      <c r="A1700" t="s">
        <v>3717</v>
      </c>
      <c r="B1700" t="s">
        <v>3718</v>
      </c>
      <c r="C1700">
        <v>5</v>
      </c>
      <c r="D1700" s="260">
        <v>46337</v>
      </c>
      <c r="E1700" s="260">
        <v>46343</v>
      </c>
      <c r="F1700">
        <v>20</v>
      </c>
      <c r="G1700" t="s">
        <v>350</v>
      </c>
    </row>
    <row r="1701" spans="1:7">
      <c r="A1701" t="s">
        <v>3719</v>
      </c>
      <c r="B1701" t="s">
        <v>3720</v>
      </c>
      <c r="C1701">
        <v>15</v>
      </c>
      <c r="D1701" s="260">
        <v>46251</v>
      </c>
      <c r="E1701" s="260">
        <v>46269</v>
      </c>
      <c r="F1701">
        <v>5</v>
      </c>
      <c r="G1701" t="s">
        <v>350</v>
      </c>
    </row>
    <row r="1702" spans="1:7">
      <c r="A1702" t="s">
        <v>3721</v>
      </c>
      <c r="B1702" t="s">
        <v>3722</v>
      </c>
      <c r="C1702">
        <v>5</v>
      </c>
      <c r="D1702" s="260">
        <v>46337</v>
      </c>
      <c r="E1702" s="260">
        <v>46343</v>
      </c>
      <c r="F1702">
        <v>20</v>
      </c>
      <c r="G1702" t="s">
        <v>350</v>
      </c>
    </row>
    <row r="1703" spans="1:7">
      <c r="A1703" t="s">
        <v>3723</v>
      </c>
      <c r="B1703" t="s">
        <v>3724</v>
      </c>
      <c r="C1703">
        <v>15</v>
      </c>
      <c r="D1703" s="260">
        <v>46251</v>
      </c>
      <c r="E1703" s="260">
        <v>46269</v>
      </c>
      <c r="F1703">
        <v>5</v>
      </c>
      <c r="G1703" t="s">
        <v>350</v>
      </c>
    </row>
    <row r="1704" spans="1:7">
      <c r="A1704" t="s">
        <v>3725</v>
      </c>
      <c r="B1704" t="s">
        <v>3726</v>
      </c>
      <c r="C1704">
        <v>5</v>
      </c>
      <c r="D1704" s="260">
        <v>46337</v>
      </c>
      <c r="E1704" s="260">
        <v>46343</v>
      </c>
      <c r="F1704">
        <v>20</v>
      </c>
      <c r="G1704" t="s">
        <v>350</v>
      </c>
    </row>
    <row r="1705" spans="1:7">
      <c r="A1705" t="s">
        <v>3727</v>
      </c>
      <c r="B1705" t="s">
        <v>3728</v>
      </c>
      <c r="C1705">
        <v>15</v>
      </c>
      <c r="D1705" s="260">
        <v>46251</v>
      </c>
      <c r="E1705" s="260">
        <v>46269</v>
      </c>
      <c r="F1705">
        <v>5</v>
      </c>
      <c r="G1705" t="s">
        <v>350</v>
      </c>
    </row>
    <row r="1706" spans="1:7">
      <c r="A1706" t="s">
        <v>3729</v>
      </c>
      <c r="B1706" t="s">
        <v>3730</v>
      </c>
      <c r="C1706">
        <v>5</v>
      </c>
      <c r="D1706" s="260">
        <v>46337</v>
      </c>
      <c r="E1706" s="260">
        <v>46343</v>
      </c>
      <c r="F1706">
        <v>20</v>
      </c>
      <c r="G1706" t="s">
        <v>350</v>
      </c>
    </row>
    <row r="1707" spans="1:7">
      <c r="A1707" t="s">
        <v>3731</v>
      </c>
      <c r="B1707" t="s">
        <v>3732</v>
      </c>
      <c r="C1707">
        <v>15</v>
      </c>
      <c r="D1707" s="260">
        <v>46251</v>
      </c>
      <c r="E1707" s="260">
        <v>46269</v>
      </c>
      <c r="F1707">
        <v>5</v>
      </c>
      <c r="G1707" t="s">
        <v>350</v>
      </c>
    </row>
    <row r="1708" spans="1:7">
      <c r="A1708" t="s">
        <v>3733</v>
      </c>
      <c r="B1708" t="s">
        <v>3734</v>
      </c>
      <c r="C1708">
        <v>5</v>
      </c>
      <c r="D1708" s="260">
        <v>46337</v>
      </c>
      <c r="E1708" s="260">
        <v>46343</v>
      </c>
      <c r="F1708">
        <v>20</v>
      </c>
      <c r="G1708" t="s">
        <v>350</v>
      </c>
    </row>
    <row r="1709" spans="1:7">
      <c r="A1709" t="s">
        <v>3735</v>
      </c>
      <c r="B1709" t="s">
        <v>3736</v>
      </c>
      <c r="C1709">
        <v>15</v>
      </c>
      <c r="D1709" s="260">
        <v>46251</v>
      </c>
      <c r="E1709" s="260">
        <v>46269</v>
      </c>
      <c r="F1709">
        <v>5</v>
      </c>
      <c r="G1709" t="s">
        <v>350</v>
      </c>
    </row>
    <row r="1710" spans="1:7">
      <c r="A1710" t="s">
        <v>3737</v>
      </c>
      <c r="B1710" t="s">
        <v>3738</v>
      </c>
      <c r="C1710">
        <v>10</v>
      </c>
      <c r="D1710" s="260">
        <v>46286</v>
      </c>
      <c r="E1710" s="260">
        <v>46297</v>
      </c>
      <c r="F1710">
        <v>25</v>
      </c>
      <c r="G1710" t="s">
        <v>350</v>
      </c>
    </row>
    <row r="1711" spans="1:7">
      <c r="A1711" t="s">
        <v>3739</v>
      </c>
      <c r="B1711" t="s">
        <v>3740</v>
      </c>
      <c r="C1711">
        <v>5</v>
      </c>
      <c r="D1711" s="260">
        <v>46337</v>
      </c>
      <c r="E1711" s="260">
        <v>46343</v>
      </c>
      <c r="F1711">
        <v>20</v>
      </c>
      <c r="G1711" t="s">
        <v>350</v>
      </c>
    </row>
    <row r="1712" spans="1:7">
      <c r="A1712" t="s">
        <v>3741</v>
      </c>
      <c r="B1712" t="s">
        <v>3742</v>
      </c>
      <c r="C1712">
        <v>15</v>
      </c>
      <c r="D1712" s="260">
        <v>46251</v>
      </c>
      <c r="E1712" s="260">
        <v>46269</v>
      </c>
      <c r="F1712">
        <v>5</v>
      </c>
      <c r="G1712" t="s">
        <v>350</v>
      </c>
    </row>
    <row r="1713" spans="1:7">
      <c r="A1713" t="s">
        <v>3743</v>
      </c>
      <c r="B1713" t="s">
        <v>3744</v>
      </c>
      <c r="C1713">
        <v>10</v>
      </c>
      <c r="D1713" s="260">
        <v>46286</v>
      </c>
      <c r="E1713" s="260">
        <v>46297</v>
      </c>
      <c r="F1713">
        <v>25</v>
      </c>
      <c r="G1713" t="s">
        <v>350</v>
      </c>
    </row>
    <row r="1714" spans="1:7">
      <c r="A1714" t="s">
        <v>3745</v>
      </c>
      <c r="B1714" t="s">
        <v>3746</v>
      </c>
      <c r="C1714">
        <v>5</v>
      </c>
      <c r="D1714" s="260">
        <v>46337</v>
      </c>
      <c r="E1714" s="260">
        <v>46343</v>
      </c>
      <c r="F1714">
        <v>20</v>
      </c>
      <c r="G1714" t="s">
        <v>350</v>
      </c>
    </row>
    <row r="1715" spans="1:7">
      <c r="A1715" t="s">
        <v>3747</v>
      </c>
      <c r="B1715" t="s">
        <v>3748</v>
      </c>
      <c r="C1715">
        <v>15</v>
      </c>
      <c r="D1715" s="260">
        <v>46251</v>
      </c>
      <c r="E1715" s="260">
        <v>46269</v>
      </c>
      <c r="F1715">
        <v>5</v>
      </c>
      <c r="G1715" t="s">
        <v>350</v>
      </c>
    </row>
    <row r="1716" spans="1:7">
      <c r="A1716" t="s">
        <v>3749</v>
      </c>
      <c r="B1716" t="s">
        <v>3750</v>
      </c>
      <c r="C1716">
        <v>10</v>
      </c>
      <c r="D1716" s="260">
        <v>46286</v>
      </c>
      <c r="E1716" s="260">
        <v>46297</v>
      </c>
      <c r="F1716">
        <v>25</v>
      </c>
      <c r="G1716" t="s">
        <v>350</v>
      </c>
    </row>
    <row r="1717" spans="1:7">
      <c r="A1717" t="s">
        <v>3751</v>
      </c>
      <c r="B1717" t="s">
        <v>3752</v>
      </c>
      <c r="C1717">
        <v>5</v>
      </c>
      <c r="D1717" s="260">
        <v>46337</v>
      </c>
      <c r="E1717" s="260">
        <v>46343</v>
      </c>
      <c r="F1717">
        <v>20</v>
      </c>
      <c r="G1717" t="s">
        <v>350</v>
      </c>
    </row>
    <row r="1718" spans="1:7">
      <c r="A1718" t="s">
        <v>3753</v>
      </c>
      <c r="B1718" t="s">
        <v>3754</v>
      </c>
      <c r="C1718">
        <v>15</v>
      </c>
      <c r="D1718" s="260">
        <v>46209</v>
      </c>
      <c r="E1718" s="260">
        <v>46227</v>
      </c>
      <c r="F1718">
        <v>27</v>
      </c>
      <c r="G1718" t="s">
        <v>350</v>
      </c>
    </row>
    <row r="1719" spans="1:7">
      <c r="A1719" t="s">
        <v>3755</v>
      </c>
      <c r="B1719" t="s">
        <v>3756</v>
      </c>
      <c r="C1719">
        <v>5</v>
      </c>
      <c r="D1719" s="260">
        <v>46303</v>
      </c>
      <c r="E1719" s="260">
        <v>46310</v>
      </c>
      <c r="F1719">
        <v>42</v>
      </c>
      <c r="G1719" t="s">
        <v>350</v>
      </c>
    </row>
    <row r="1720" spans="1:7">
      <c r="A1720" t="s">
        <v>3757</v>
      </c>
      <c r="B1720" t="s">
        <v>3758</v>
      </c>
      <c r="C1720">
        <v>15</v>
      </c>
      <c r="D1720" s="260">
        <v>46251</v>
      </c>
      <c r="E1720" s="260">
        <v>46269</v>
      </c>
      <c r="F1720">
        <v>16</v>
      </c>
      <c r="G1720" t="s">
        <v>350</v>
      </c>
    </row>
    <row r="1721" spans="1:7">
      <c r="A1721" t="s">
        <v>3759</v>
      </c>
      <c r="B1721" t="s">
        <v>3760</v>
      </c>
      <c r="C1721">
        <v>5</v>
      </c>
      <c r="D1721" s="260">
        <v>46303</v>
      </c>
      <c r="E1721" s="260">
        <v>46310</v>
      </c>
      <c r="F1721">
        <v>42</v>
      </c>
      <c r="G1721" t="s">
        <v>350</v>
      </c>
    </row>
    <row r="1722" spans="1:7">
      <c r="A1722" t="s">
        <v>3761</v>
      </c>
      <c r="B1722" t="s">
        <v>3762</v>
      </c>
      <c r="C1722">
        <v>15</v>
      </c>
      <c r="D1722" s="260">
        <v>46251</v>
      </c>
      <c r="E1722" s="260">
        <v>46269</v>
      </c>
      <c r="F1722">
        <v>5</v>
      </c>
      <c r="G1722" t="s">
        <v>350</v>
      </c>
    </row>
    <row r="1723" spans="1:7">
      <c r="A1723" t="s">
        <v>3763</v>
      </c>
      <c r="B1723" t="s">
        <v>3764</v>
      </c>
      <c r="C1723">
        <v>10</v>
      </c>
      <c r="D1723" s="260">
        <v>46286</v>
      </c>
      <c r="E1723" s="260">
        <v>46297</v>
      </c>
      <c r="F1723">
        <v>25</v>
      </c>
      <c r="G1723" t="s">
        <v>350</v>
      </c>
    </row>
    <row r="1724" spans="1:7">
      <c r="A1724" t="s">
        <v>3765</v>
      </c>
      <c r="B1724" t="s">
        <v>3766</v>
      </c>
      <c r="C1724">
        <v>5</v>
      </c>
      <c r="D1724" s="260">
        <v>46337</v>
      </c>
      <c r="E1724" s="260">
        <v>46343</v>
      </c>
      <c r="F1724">
        <v>20</v>
      </c>
      <c r="G1724" t="s">
        <v>350</v>
      </c>
    </row>
    <row r="1725" spans="1:7">
      <c r="A1725" t="s">
        <v>3767</v>
      </c>
      <c r="B1725" t="s">
        <v>3768</v>
      </c>
      <c r="C1725">
        <v>15</v>
      </c>
      <c r="D1725" s="260">
        <v>46251</v>
      </c>
      <c r="E1725" s="260">
        <v>46269</v>
      </c>
      <c r="F1725">
        <v>5</v>
      </c>
      <c r="G1725" t="s">
        <v>350</v>
      </c>
    </row>
    <row r="1726" spans="1:7">
      <c r="A1726" t="s">
        <v>3769</v>
      </c>
      <c r="B1726" t="s">
        <v>3770</v>
      </c>
      <c r="C1726">
        <v>5</v>
      </c>
      <c r="D1726" s="260">
        <v>46286</v>
      </c>
      <c r="E1726" s="260">
        <v>46290</v>
      </c>
      <c r="F1726">
        <v>30</v>
      </c>
      <c r="G1726" t="s">
        <v>350</v>
      </c>
    </row>
    <row r="1727" spans="1:7">
      <c r="A1727" t="s">
        <v>3771</v>
      </c>
      <c r="B1727" t="s">
        <v>3772</v>
      </c>
      <c r="C1727">
        <v>5</v>
      </c>
      <c r="D1727" s="260">
        <v>46337</v>
      </c>
      <c r="E1727" s="260">
        <v>46343</v>
      </c>
      <c r="F1727">
        <v>20</v>
      </c>
      <c r="G1727" t="s">
        <v>350</v>
      </c>
    </row>
    <row r="1728" spans="1:7">
      <c r="A1728" t="s">
        <v>3773</v>
      </c>
      <c r="B1728" t="s">
        <v>3774</v>
      </c>
      <c r="C1728">
        <v>15</v>
      </c>
      <c r="D1728" s="260">
        <v>46251</v>
      </c>
      <c r="E1728" s="260">
        <v>46269</v>
      </c>
      <c r="F1728">
        <v>5</v>
      </c>
      <c r="G1728" t="s">
        <v>350</v>
      </c>
    </row>
    <row r="1729" spans="1:7">
      <c r="A1729" t="s">
        <v>3775</v>
      </c>
      <c r="B1729" t="s">
        <v>3776</v>
      </c>
      <c r="C1729">
        <v>5</v>
      </c>
      <c r="D1729" s="260">
        <v>46337</v>
      </c>
      <c r="E1729" s="260">
        <v>46343</v>
      </c>
      <c r="F1729">
        <v>25</v>
      </c>
      <c r="G1729" t="s">
        <v>350</v>
      </c>
    </row>
    <row r="1730" spans="1:7">
      <c r="A1730" t="s">
        <v>3777</v>
      </c>
      <c r="B1730" t="s">
        <v>3778</v>
      </c>
      <c r="C1730">
        <v>15</v>
      </c>
      <c r="D1730" s="260">
        <v>46141</v>
      </c>
      <c r="E1730" s="260">
        <v>46162</v>
      </c>
      <c r="F1730">
        <v>0</v>
      </c>
      <c r="G1730" t="s">
        <v>350</v>
      </c>
    </row>
    <row r="1731" spans="1:7">
      <c r="A1731" t="s">
        <v>3779</v>
      </c>
      <c r="B1731" t="s">
        <v>3780</v>
      </c>
      <c r="C1731">
        <v>10</v>
      </c>
      <c r="D1731" s="260">
        <v>46181</v>
      </c>
      <c r="E1731" s="260">
        <v>46192</v>
      </c>
      <c r="F1731">
        <v>22</v>
      </c>
      <c r="G1731" t="s">
        <v>350</v>
      </c>
    </row>
    <row r="1732" spans="1:7">
      <c r="A1732" t="s">
        <v>3781</v>
      </c>
      <c r="B1732" t="s">
        <v>3782</v>
      </c>
      <c r="C1732">
        <v>5</v>
      </c>
      <c r="D1732" s="260">
        <v>46211</v>
      </c>
      <c r="E1732" s="260">
        <v>46217</v>
      </c>
      <c r="F1732">
        <v>20</v>
      </c>
      <c r="G1732" t="s">
        <v>350</v>
      </c>
    </row>
    <row r="1733" spans="1:7">
      <c r="A1733" t="s">
        <v>3783</v>
      </c>
      <c r="B1733" t="s">
        <v>3784</v>
      </c>
      <c r="C1733">
        <v>15</v>
      </c>
      <c r="D1733" s="260">
        <v>46220</v>
      </c>
      <c r="E1733" s="260">
        <v>46245</v>
      </c>
      <c r="F1733">
        <v>19</v>
      </c>
      <c r="G1733" t="s">
        <v>350</v>
      </c>
    </row>
    <row r="1734" spans="1:7">
      <c r="A1734" t="s">
        <v>3785</v>
      </c>
      <c r="B1734" t="s">
        <v>3786</v>
      </c>
      <c r="C1734">
        <v>10</v>
      </c>
      <c r="D1734" s="260">
        <v>46261</v>
      </c>
      <c r="E1734" s="260">
        <v>46274</v>
      </c>
      <c r="F1734">
        <v>42</v>
      </c>
      <c r="G1734" t="s">
        <v>350</v>
      </c>
    </row>
    <row r="1735" spans="1:7">
      <c r="A1735" t="s">
        <v>3787</v>
      </c>
      <c r="B1735" t="s">
        <v>3788</v>
      </c>
      <c r="C1735">
        <v>5</v>
      </c>
      <c r="D1735" s="260">
        <v>46316</v>
      </c>
      <c r="E1735" s="260">
        <v>46323</v>
      </c>
      <c r="F1735">
        <v>34</v>
      </c>
      <c r="G1735" t="s">
        <v>350</v>
      </c>
    </row>
    <row r="1736" spans="1:7">
      <c r="A1736" t="s">
        <v>3789</v>
      </c>
      <c r="B1736" t="s">
        <v>3790</v>
      </c>
      <c r="C1736">
        <v>15</v>
      </c>
      <c r="D1736" s="260">
        <v>46230</v>
      </c>
      <c r="E1736" s="260">
        <v>46254</v>
      </c>
      <c r="F1736">
        <v>16</v>
      </c>
      <c r="G1736" t="s">
        <v>350</v>
      </c>
    </row>
    <row r="1737" spans="1:7">
      <c r="A1737" t="s">
        <v>3791</v>
      </c>
      <c r="B1737" t="s">
        <v>3792</v>
      </c>
      <c r="C1737">
        <v>10</v>
      </c>
      <c r="D1737" s="260">
        <v>46269</v>
      </c>
      <c r="E1737" s="260">
        <v>46282</v>
      </c>
      <c r="F1737">
        <v>36</v>
      </c>
      <c r="G1737" t="s">
        <v>350</v>
      </c>
    </row>
    <row r="1738" spans="1:7">
      <c r="A1738" t="s">
        <v>3793</v>
      </c>
      <c r="B1738" t="s">
        <v>3794</v>
      </c>
      <c r="C1738">
        <v>5</v>
      </c>
      <c r="D1738" s="260">
        <v>46322</v>
      </c>
      <c r="E1738" s="260">
        <v>46328</v>
      </c>
      <c r="F1738">
        <v>31</v>
      </c>
      <c r="G1738" t="s">
        <v>350</v>
      </c>
    </row>
    <row r="1739" spans="1:7">
      <c r="A1739" t="s">
        <v>3795</v>
      </c>
      <c r="B1739" t="s">
        <v>3796</v>
      </c>
      <c r="C1739">
        <v>15</v>
      </c>
      <c r="D1739" s="260">
        <v>46136</v>
      </c>
      <c r="E1739" s="260">
        <v>46157</v>
      </c>
      <c r="F1739">
        <v>93</v>
      </c>
      <c r="G1739" t="s">
        <v>350</v>
      </c>
    </row>
    <row r="1740" spans="1:7">
      <c r="A1740" t="s">
        <v>3797</v>
      </c>
      <c r="B1740" t="s">
        <v>3798</v>
      </c>
      <c r="C1740">
        <v>10</v>
      </c>
      <c r="D1740" s="260">
        <v>46175</v>
      </c>
      <c r="E1740" s="260">
        <v>46189</v>
      </c>
      <c r="F1740">
        <v>99</v>
      </c>
      <c r="G1740" t="s">
        <v>350</v>
      </c>
    </row>
    <row r="1741" spans="1:7">
      <c r="A1741" t="s">
        <v>3799</v>
      </c>
      <c r="B1741" t="s">
        <v>3800</v>
      </c>
      <c r="C1741">
        <v>5</v>
      </c>
      <c r="D1741" s="260">
        <v>46205</v>
      </c>
      <c r="E1741" s="260">
        <v>46211</v>
      </c>
      <c r="F1741">
        <v>108</v>
      </c>
      <c r="G1741" t="s">
        <v>350</v>
      </c>
    </row>
    <row r="1742" spans="1:7">
      <c r="A1742" t="s">
        <v>3801</v>
      </c>
      <c r="B1742" t="s">
        <v>3802</v>
      </c>
      <c r="C1742">
        <v>15</v>
      </c>
      <c r="D1742" s="260">
        <v>46171</v>
      </c>
      <c r="E1742" s="260">
        <v>46195</v>
      </c>
      <c r="F1742">
        <v>57</v>
      </c>
      <c r="G1742" t="s">
        <v>350</v>
      </c>
    </row>
    <row r="1743" spans="1:7">
      <c r="A1743" t="s">
        <v>3803</v>
      </c>
      <c r="B1743" t="s">
        <v>3804</v>
      </c>
      <c r="C1743">
        <v>10</v>
      </c>
      <c r="D1743" s="260">
        <v>46210</v>
      </c>
      <c r="E1743" s="260">
        <v>46223</v>
      </c>
      <c r="F1743">
        <v>75</v>
      </c>
      <c r="G1743" t="s">
        <v>350</v>
      </c>
    </row>
    <row r="1744" spans="1:7">
      <c r="A1744" t="s">
        <v>3805</v>
      </c>
      <c r="B1744" t="s">
        <v>3806</v>
      </c>
      <c r="C1744">
        <v>5</v>
      </c>
      <c r="D1744" s="260">
        <v>46261</v>
      </c>
      <c r="E1744" s="260">
        <v>46267</v>
      </c>
      <c r="F1744">
        <v>72</v>
      </c>
      <c r="G1744" t="s">
        <v>350</v>
      </c>
    </row>
    <row r="1745" spans="1:7">
      <c r="A1745" t="s">
        <v>3807</v>
      </c>
      <c r="B1745" t="s">
        <v>3808</v>
      </c>
      <c r="C1745">
        <v>15</v>
      </c>
      <c r="D1745" s="260">
        <v>46149</v>
      </c>
      <c r="E1745" s="260">
        <v>46169</v>
      </c>
      <c r="F1745">
        <v>0</v>
      </c>
      <c r="G1745" t="s">
        <v>350</v>
      </c>
    </row>
    <row r="1746" spans="1:7">
      <c r="A1746" t="s">
        <v>3809</v>
      </c>
      <c r="B1746" t="s">
        <v>3810</v>
      </c>
      <c r="C1746">
        <v>10</v>
      </c>
      <c r="D1746" s="260">
        <v>46188</v>
      </c>
      <c r="E1746" s="260">
        <v>46199</v>
      </c>
      <c r="F1746">
        <v>38</v>
      </c>
      <c r="G1746" t="s">
        <v>350</v>
      </c>
    </row>
    <row r="1747" spans="1:7">
      <c r="A1747" t="s">
        <v>3811</v>
      </c>
      <c r="B1747" t="s">
        <v>3812</v>
      </c>
      <c r="C1747">
        <v>5</v>
      </c>
      <c r="D1747" s="260">
        <v>46238</v>
      </c>
      <c r="E1747" s="260">
        <v>46244</v>
      </c>
      <c r="F1747">
        <v>25</v>
      </c>
      <c r="G1747" t="s">
        <v>350</v>
      </c>
    </row>
    <row r="1748" spans="1:7">
      <c r="A1748" t="s">
        <v>3813</v>
      </c>
      <c r="B1748" t="s">
        <v>3814</v>
      </c>
      <c r="C1748">
        <v>15</v>
      </c>
      <c r="D1748" s="260">
        <v>46251</v>
      </c>
      <c r="E1748" s="260">
        <v>46269</v>
      </c>
      <c r="F1748">
        <v>4</v>
      </c>
      <c r="G1748" t="s">
        <v>350</v>
      </c>
    </row>
    <row r="1749" spans="1:7">
      <c r="A1749" t="s">
        <v>3815</v>
      </c>
      <c r="B1749" t="s">
        <v>3816</v>
      </c>
      <c r="C1749">
        <v>10</v>
      </c>
      <c r="D1749" s="260">
        <v>46286</v>
      </c>
      <c r="E1749" s="260">
        <v>46297</v>
      </c>
      <c r="F1749">
        <v>25</v>
      </c>
      <c r="G1749" t="s">
        <v>350</v>
      </c>
    </row>
    <row r="1750" spans="1:7">
      <c r="A1750" t="s">
        <v>3817</v>
      </c>
      <c r="B1750" t="s">
        <v>3818</v>
      </c>
      <c r="C1750">
        <v>5</v>
      </c>
      <c r="D1750" s="260">
        <v>46338</v>
      </c>
      <c r="E1750" s="260">
        <v>46344</v>
      </c>
      <c r="F1750">
        <v>19</v>
      </c>
      <c r="G1750" t="s">
        <v>350</v>
      </c>
    </row>
    <row r="1751" spans="1:7">
      <c r="A1751" t="s">
        <v>3819</v>
      </c>
      <c r="B1751" t="s">
        <v>3820</v>
      </c>
      <c r="C1751">
        <v>15</v>
      </c>
      <c r="D1751" s="260">
        <v>46251</v>
      </c>
      <c r="E1751" s="260">
        <v>46269</v>
      </c>
      <c r="F1751">
        <v>14</v>
      </c>
      <c r="G1751" t="s">
        <v>350</v>
      </c>
    </row>
    <row r="1752" spans="1:7">
      <c r="A1752" t="s">
        <v>3821</v>
      </c>
      <c r="B1752" t="s">
        <v>3822</v>
      </c>
      <c r="C1752">
        <v>10</v>
      </c>
      <c r="D1752" s="260">
        <v>46286</v>
      </c>
      <c r="E1752" s="260">
        <v>46297</v>
      </c>
      <c r="F1752">
        <v>25</v>
      </c>
      <c r="G1752" t="s">
        <v>350</v>
      </c>
    </row>
    <row r="1753" spans="1:7">
      <c r="A1753" t="s">
        <v>3823</v>
      </c>
      <c r="B1753" t="s">
        <v>3824</v>
      </c>
      <c r="C1753">
        <v>5</v>
      </c>
      <c r="D1753" s="260">
        <v>46324</v>
      </c>
      <c r="E1753" s="260">
        <v>46330</v>
      </c>
      <c r="F1753">
        <v>29</v>
      </c>
      <c r="G1753" t="s">
        <v>350</v>
      </c>
    </row>
    <row r="1754" spans="1:7">
      <c r="A1754" t="s">
        <v>3825</v>
      </c>
      <c r="B1754" t="s">
        <v>3826</v>
      </c>
      <c r="C1754">
        <v>15</v>
      </c>
      <c r="D1754" s="260">
        <v>46251</v>
      </c>
      <c r="E1754" s="260">
        <v>46269</v>
      </c>
      <c r="F1754">
        <v>5</v>
      </c>
      <c r="G1754" t="s">
        <v>350</v>
      </c>
    </row>
    <row r="1755" spans="1:7">
      <c r="A1755" t="s">
        <v>3827</v>
      </c>
      <c r="B1755" t="s">
        <v>3828</v>
      </c>
      <c r="C1755">
        <v>10</v>
      </c>
      <c r="D1755" s="260">
        <v>46286</v>
      </c>
      <c r="E1755" s="260">
        <v>46297</v>
      </c>
      <c r="F1755">
        <v>25</v>
      </c>
      <c r="G1755" t="s">
        <v>350</v>
      </c>
    </row>
    <row r="1756" spans="1:7">
      <c r="A1756" t="s">
        <v>3829</v>
      </c>
      <c r="B1756" t="s">
        <v>3830</v>
      </c>
      <c r="C1756">
        <v>5</v>
      </c>
      <c r="D1756" s="260">
        <v>46337</v>
      </c>
      <c r="E1756" s="260">
        <v>46343</v>
      </c>
      <c r="F1756">
        <v>20</v>
      </c>
      <c r="G1756" t="s">
        <v>350</v>
      </c>
    </row>
    <row r="1757" spans="1:7">
      <c r="A1757" t="s">
        <v>3831</v>
      </c>
      <c r="B1757" t="s">
        <v>3832</v>
      </c>
      <c r="C1757">
        <v>15</v>
      </c>
      <c r="D1757" s="260">
        <v>46251</v>
      </c>
      <c r="E1757" s="260">
        <v>46269</v>
      </c>
      <c r="F1757">
        <v>5</v>
      </c>
      <c r="G1757" t="s">
        <v>350</v>
      </c>
    </row>
    <row r="1758" spans="1:7">
      <c r="A1758" t="s">
        <v>3833</v>
      </c>
      <c r="B1758" t="s">
        <v>3834</v>
      </c>
      <c r="C1758">
        <v>5</v>
      </c>
      <c r="D1758" s="260">
        <v>46337</v>
      </c>
      <c r="E1758" s="260">
        <v>46343</v>
      </c>
      <c r="F1758">
        <v>20</v>
      </c>
      <c r="G1758" t="s">
        <v>350</v>
      </c>
    </row>
    <row r="1759" spans="1:7">
      <c r="A1759" t="s">
        <v>3835</v>
      </c>
      <c r="B1759" t="s">
        <v>3836</v>
      </c>
      <c r="C1759">
        <v>15</v>
      </c>
      <c r="D1759" s="260">
        <v>46251</v>
      </c>
      <c r="E1759" s="260">
        <v>46269</v>
      </c>
      <c r="F1759">
        <v>5</v>
      </c>
      <c r="G1759" t="s">
        <v>350</v>
      </c>
    </row>
    <row r="1760" spans="1:7">
      <c r="A1760" t="s">
        <v>3837</v>
      </c>
      <c r="B1760" t="s">
        <v>3838</v>
      </c>
      <c r="C1760">
        <v>5</v>
      </c>
      <c r="D1760" s="260">
        <v>46337</v>
      </c>
      <c r="E1760" s="260">
        <v>46343</v>
      </c>
      <c r="F1760">
        <v>20</v>
      </c>
      <c r="G1760" t="s">
        <v>350</v>
      </c>
    </row>
    <row r="1761" spans="1:7">
      <c r="A1761" t="s">
        <v>3839</v>
      </c>
      <c r="B1761" t="s">
        <v>3840</v>
      </c>
      <c r="C1761">
        <v>15</v>
      </c>
      <c r="D1761" s="260">
        <v>46251</v>
      </c>
      <c r="E1761" s="260">
        <v>46269</v>
      </c>
      <c r="F1761">
        <v>5</v>
      </c>
      <c r="G1761" t="s">
        <v>350</v>
      </c>
    </row>
    <row r="1762" spans="1:7">
      <c r="A1762" t="s">
        <v>3841</v>
      </c>
      <c r="B1762" t="s">
        <v>3842</v>
      </c>
      <c r="C1762">
        <v>5</v>
      </c>
      <c r="D1762" s="260">
        <v>46337</v>
      </c>
      <c r="E1762" s="260">
        <v>46343</v>
      </c>
      <c r="F1762">
        <v>20</v>
      </c>
      <c r="G1762" t="s">
        <v>350</v>
      </c>
    </row>
    <row r="1763" spans="1:7">
      <c r="A1763" t="s">
        <v>3843</v>
      </c>
      <c r="B1763" t="s">
        <v>3844</v>
      </c>
      <c r="C1763">
        <v>15</v>
      </c>
      <c r="D1763" s="260">
        <v>46251</v>
      </c>
      <c r="E1763" s="260">
        <v>46269</v>
      </c>
      <c r="F1763">
        <v>5</v>
      </c>
      <c r="G1763" t="s">
        <v>350</v>
      </c>
    </row>
    <row r="1764" spans="1:7">
      <c r="A1764" t="s">
        <v>3845</v>
      </c>
      <c r="B1764" t="s">
        <v>3846</v>
      </c>
      <c r="C1764">
        <v>5</v>
      </c>
      <c r="D1764" s="260">
        <v>46337</v>
      </c>
      <c r="E1764" s="260">
        <v>46343</v>
      </c>
      <c r="F1764">
        <v>20</v>
      </c>
      <c r="G1764" t="s">
        <v>350</v>
      </c>
    </row>
    <row r="1765" spans="1:7">
      <c r="A1765" t="s">
        <v>3847</v>
      </c>
      <c r="B1765" t="s">
        <v>3848</v>
      </c>
      <c r="C1765">
        <v>15</v>
      </c>
      <c r="D1765" s="260">
        <v>46251</v>
      </c>
      <c r="E1765" s="260">
        <v>46269</v>
      </c>
      <c r="F1765">
        <v>5</v>
      </c>
      <c r="G1765" t="s">
        <v>350</v>
      </c>
    </row>
    <row r="1766" spans="1:7">
      <c r="A1766" t="s">
        <v>3849</v>
      </c>
      <c r="B1766" t="s">
        <v>3850</v>
      </c>
      <c r="C1766">
        <v>5</v>
      </c>
      <c r="D1766" s="260">
        <v>46337</v>
      </c>
      <c r="E1766" s="260">
        <v>46343</v>
      </c>
      <c r="F1766">
        <v>20</v>
      </c>
      <c r="G1766" t="s">
        <v>350</v>
      </c>
    </row>
    <row r="1767" spans="1:7">
      <c r="A1767" t="s">
        <v>3851</v>
      </c>
      <c r="B1767" t="s">
        <v>3852</v>
      </c>
      <c r="C1767">
        <v>15</v>
      </c>
      <c r="D1767" s="260">
        <v>46251</v>
      </c>
      <c r="E1767" s="260">
        <v>46269</v>
      </c>
      <c r="F1767">
        <v>5</v>
      </c>
      <c r="G1767" t="s">
        <v>350</v>
      </c>
    </row>
    <row r="1768" spans="1:7">
      <c r="A1768" t="s">
        <v>3853</v>
      </c>
      <c r="B1768" t="s">
        <v>3854</v>
      </c>
      <c r="C1768">
        <v>10</v>
      </c>
      <c r="D1768" s="260">
        <v>46286</v>
      </c>
      <c r="E1768" s="260">
        <v>46297</v>
      </c>
      <c r="F1768">
        <v>25</v>
      </c>
      <c r="G1768" t="s">
        <v>350</v>
      </c>
    </row>
    <row r="1769" spans="1:7">
      <c r="A1769" t="s">
        <v>3855</v>
      </c>
      <c r="B1769" t="s">
        <v>3856</v>
      </c>
      <c r="C1769">
        <v>5</v>
      </c>
      <c r="D1769" s="260">
        <v>46337</v>
      </c>
      <c r="E1769" s="260">
        <v>46343</v>
      </c>
      <c r="F1769">
        <v>20</v>
      </c>
      <c r="G1769" t="s">
        <v>350</v>
      </c>
    </row>
    <row r="1770" spans="1:7">
      <c r="A1770" t="s">
        <v>3857</v>
      </c>
      <c r="B1770" t="s">
        <v>3858</v>
      </c>
      <c r="C1770">
        <v>15</v>
      </c>
      <c r="D1770" s="260">
        <v>46251</v>
      </c>
      <c r="E1770" s="260">
        <v>46269</v>
      </c>
      <c r="F1770">
        <v>5</v>
      </c>
      <c r="G1770" t="s">
        <v>350</v>
      </c>
    </row>
    <row r="1771" spans="1:7">
      <c r="A1771" t="s">
        <v>3859</v>
      </c>
      <c r="B1771" t="s">
        <v>3860</v>
      </c>
      <c r="C1771">
        <v>10</v>
      </c>
      <c r="D1771" s="260">
        <v>46286</v>
      </c>
      <c r="E1771" s="260">
        <v>46297</v>
      </c>
      <c r="F1771">
        <v>25</v>
      </c>
      <c r="G1771" t="s">
        <v>350</v>
      </c>
    </row>
    <row r="1772" spans="1:7">
      <c r="A1772" t="s">
        <v>3861</v>
      </c>
      <c r="B1772" t="s">
        <v>3862</v>
      </c>
      <c r="C1772">
        <v>5</v>
      </c>
      <c r="D1772" s="260">
        <v>46337</v>
      </c>
      <c r="E1772" s="260">
        <v>46343</v>
      </c>
      <c r="F1772">
        <v>20</v>
      </c>
      <c r="G1772" t="s">
        <v>350</v>
      </c>
    </row>
    <row r="1773" spans="1:7">
      <c r="A1773" t="s">
        <v>3863</v>
      </c>
      <c r="B1773" t="s">
        <v>3864</v>
      </c>
      <c r="C1773">
        <v>15</v>
      </c>
      <c r="D1773" s="260">
        <v>46251</v>
      </c>
      <c r="E1773" s="260">
        <v>46269</v>
      </c>
      <c r="F1773">
        <v>5</v>
      </c>
      <c r="G1773" t="s">
        <v>350</v>
      </c>
    </row>
    <row r="1774" spans="1:7">
      <c r="A1774" t="s">
        <v>3865</v>
      </c>
      <c r="B1774" t="s">
        <v>3866</v>
      </c>
      <c r="C1774">
        <v>10</v>
      </c>
      <c r="D1774" s="260">
        <v>46286</v>
      </c>
      <c r="E1774" s="260">
        <v>46297</v>
      </c>
      <c r="F1774">
        <v>25</v>
      </c>
      <c r="G1774" t="s">
        <v>350</v>
      </c>
    </row>
    <row r="1775" spans="1:7">
      <c r="A1775" t="s">
        <v>3867</v>
      </c>
      <c r="B1775" t="s">
        <v>3868</v>
      </c>
      <c r="C1775">
        <v>5</v>
      </c>
      <c r="D1775" s="260">
        <v>46337</v>
      </c>
      <c r="E1775" s="260">
        <v>46343</v>
      </c>
      <c r="F1775">
        <v>20</v>
      </c>
      <c r="G1775" t="s">
        <v>350</v>
      </c>
    </row>
    <row r="1776" spans="1:7">
      <c r="A1776" t="s">
        <v>3869</v>
      </c>
      <c r="B1776" t="s">
        <v>3870</v>
      </c>
      <c r="C1776">
        <v>15</v>
      </c>
      <c r="D1776" s="260">
        <v>46209</v>
      </c>
      <c r="E1776" s="260">
        <v>46227</v>
      </c>
      <c r="F1776">
        <v>27</v>
      </c>
      <c r="G1776" t="s">
        <v>350</v>
      </c>
    </row>
    <row r="1777" spans="1:7">
      <c r="A1777" t="s">
        <v>3871</v>
      </c>
      <c r="B1777" t="s">
        <v>3872</v>
      </c>
      <c r="C1777">
        <v>10</v>
      </c>
      <c r="D1777" s="260">
        <v>46248</v>
      </c>
      <c r="E1777" s="260">
        <v>46261</v>
      </c>
      <c r="F1777">
        <v>51</v>
      </c>
      <c r="G1777" t="s">
        <v>350</v>
      </c>
    </row>
    <row r="1778" spans="1:7">
      <c r="A1778" t="s">
        <v>3873</v>
      </c>
      <c r="B1778" t="s">
        <v>3874</v>
      </c>
      <c r="C1778">
        <v>5</v>
      </c>
      <c r="D1778" s="260">
        <v>46303</v>
      </c>
      <c r="E1778" s="260">
        <v>46310</v>
      </c>
      <c r="F1778">
        <v>42</v>
      </c>
      <c r="G1778" t="s">
        <v>350</v>
      </c>
    </row>
    <row r="1779" spans="1:7">
      <c r="A1779" t="s">
        <v>3875</v>
      </c>
      <c r="B1779" t="s">
        <v>3876</v>
      </c>
      <c r="C1779">
        <v>15</v>
      </c>
      <c r="D1779" s="260">
        <v>46209</v>
      </c>
      <c r="E1779" s="260">
        <v>46227</v>
      </c>
      <c r="F1779">
        <v>27</v>
      </c>
      <c r="G1779" t="s">
        <v>350</v>
      </c>
    </row>
    <row r="1780" spans="1:7">
      <c r="A1780" t="s">
        <v>3877</v>
      </c>
      <c r="B1780" t="s">
        <v>3878</v>
      </c>
      <c r="C1780">
        <v>5</v>
      </c>
      <c r="D1780" s="260">
        <v>46303</v>
      </c>
      <c r="E1780" s="260">
        <v>46310</v>
      </c>
      <c r="F1780">
        <v>42</v>
      </c>
      <c r="G1780" t="s">
        <v>350</v>
      </c>
    </row>
    <row r="1781" spans="1:7">
      <c r="A1781" t="s">
        <v>3879</v>
      </c>
      <c r="B1781" t="s">
        <v>3880</v>
      </c>
      <c r="C1781">
        <v>15</v>
      </c>
      <c r="D1781" s="260">
        <v>46251</v>
      </c>
      <c r="E1781" s="260">
        <v>46269</v>
      </c>
      <c r="F1781">
        <v>16</v>
      </c>
      <c r="G1781" t="s">
        <v>350</v>
      </c>
    </row>
    <row r="1782" spans="1:7">
      <c r="A1782" t="s">
        <v>3881</v>
      </c>
      <c r="B1782" t="s">
        <v>3882</v>
      </c>
      <c r="C1782">
        <v>5</v>
      </c>
      <c r="D1782" s="260">
        <v>46331</v>
      </c>
      <c r="E1782" s="260">
        <v>46337</v>
      </c>
      <c r="F1782">
        <v>24</v>
      </c>
      <c r="G1782" t="s">
        <v>350</v>
      </c>
    </row>
    <row r="1783" spans="1:7">
      <c r="A1783" t="s">
        <v>3883</v>
      </c>
      <c r="B1783" t="s">
        <v>3884</v>
      </c>
      <c r="C1783">
        <v>15</v>
      </c>
      <c r="D1783" s="260">
        <v>46251</v>
      </c>
      <c r="E1783" s="260">
        <v>46269</v>
      </c>
      <c r="F1783">
        <v>5</v>
      </c>
      <c r="G1783" t="s">
        <v>350</v>
      </c>
    </row>
    <row r="1784" spans="1:7">
      <c r="A1784" t="s">
        <v>3885</v>
      </c>
      <c r="B1784" t="s">
        <v>3886</v>
      </c>
      <c r="C1784">
        <v>10</v>
      </c>
      <c r="D1784" s="260">
        <v>46286</v>
      </c>
      <c r="E1784" s="260">
        <v>46297</v>
      </c>
      <c r="F1784">
        <v>25</v>
      </c>
      <c r="G1784" t="s">
        <v>350</v>
      </c>
    </row>
    <row r="1785" spans="1:7">
      <c r="A1785" t="s">
        <v>3887</v>
      </c>
      <c r="B1785" t="s">
        <v>3888</v>
      </c>
      <c r="C1785">
        <v>5</v>
      </c>
      <c r="D1785" s="260">
        <v>46337</v>
      </c>
      <c r="E1785" s="260">
        <v>46343</v>
      </c>
      <c r="F1785">
        <v>20</v>
      </c>
      <c r="G1785" t="s">
        <v>350</v>
      </c>
    </row>
    <row r="1786" spans="1:7">
      <c r="A1786" t="s">
        <v>3889</v>
      </c>
      <c r="B1786" t="s">
        <v>3890</v>
      </c>
      <c r="C1786">
        <v>15</v>
      </c>
      <c r="D1786" s="260">
        <v>46251</v>
      </c>
      <c r="E1786" s="260">
        <v>46269</v>
      </c>
      <c r="F1786">
        <v>5</v>
      </c>
      <c r="G1786" t="s">
        <v>350</v>
      </c>
    </row>
    <row r="1787" spans="1:7">
      <c r="A1787" t="s">
        <v>3891</v>
      </c>
      <c r="B1787" t="s">
        <v>3892</v>
      </c>
      <c r="C1787">
        <v>10</v>
      </c>
      <c r="D1787" s="260">
        <v>46286</v>
      </c>
      <c r="E1787" s="260">
        <v>46297</v>
      </c>
      <c r="F1787">
        <v>25</v>
      </c>
      <c r="G1787" t="s">
        <v>350</v>
      </c>
    </row>
    <row r="1788" spans="1:7">
      <c r="A1788" t="s">
        <v>3893</v>
      </c>
      <c r="B1788" t="s">
        <v>3894</v>
      </c>
      <c r="C1788">
        <v>5</v>
      </c>
      <c r="D1788" s="260">
        <v>46337</v>
      </c>
      <c r="E1788" s="260">
        <v>46343</v>
      </c>
      <c r="F1788">
        <v>20</v>
      </c>
      <c r="G1788" t="s">
        <v>350</v>
      </c>
    </row>
    <row r="1789" spans="1:7">
      <c r="A1789" t="s">
        <v>3895</v>
      </c>
      <c r="B1789" t="s">
        <v>3896</v>
      </c>
      <c r="C1789">
        <v>15</v>
      </c>
      <c r="D1789" s="260">
        <v>46251</v>
      </c>
      <c r="E1789" s="260">
        <v>46269</v>
      </c>
      <c r="F1789">
        <v>5</v>
      </c>
      <c r="G1789" t="s">
        <v>350</v>
      </c>
    </row>
    <row r="1790" spans="1:7">
      <c r="A1790" t="s">
        <v>3897</v>
      </c>
      <c r="B1790" t="s">
        <v>3898</v>
      </c>
      <c r="C1790">
        <v>10</v>
      </c>
      <c r="D1790" s="260">
        <v>46286</v>
      </c>
      <c r="E1790" s="260">
        <v>46297</v>
      </c>
      <c r="F1790">
        <v>25</v>
      </c>
      <c r="G1790" t="s">
        <v>350</v>
      </c>
    </row>
    <row r="1791" spans="1:7">
      <c r="A1791" t="s">
        <v>3899</v>
      </c>
      <c r="B1791" t="s">
        <v>3900</v>
      </c>
      <c r="C1791">
        <v>5</v>
      </c>
      <c r="D1791" s="260">
        <v>46337</v>
      </c>
      <c r="E1791" s="260">
        <v>46343</v>
      </c>
      <c r="F1791">
        <v>20</v>
      </c>
      <c r="G1791" t="s">
        <v>350</v>
      </c>
    </row>
    <row r="1792" spans="1:7">
      <c r="A1792" t="s">
        <v>3901</v>
      </c>
      <c r="C1792">
        <v>160</v>
      </c>
      <c r="D1792" s="260">
        <v>46146</v>
      </c>
      <c r="E1792" s="260">
        <v>46384</v>
      </c>
      <c r="F1792">
        <v>4</v>
      </c>
      <c r="G1792" t="s">
        <v>350</v>
      </c>
    </row>
    <row r="1793" spans="1:7">
      <c r="A1793" t="s">
        <v>3902</v>
      </c>
      <c r="B1793" t="s">
        <v>3903</v>
      </c>
      <c r="C1793">
        <v>10</v>
      </c>
      <c r="D1793" s="260">
        <v>46149</v>
      </c>
      <c r="E1793" s="260">
        <v>46162</v>
      </c>
      <c r="F1793">
        <v>0</v>
      </c>
      <c r="G1793" t="s">
        <v>350</v>
      </c>
    </row>
    <row r="1794" spans="1:7">
      <c r="A1794" t="s">
        <v>3904</v>
      </c>
      <c r="B1794" t="s">
        <v>3905</v>
      </c>
      <c r="C1794">
        <v>5</v>
      </c>
      <c r="D1794" s="260">
        <v>46252</v>
      </c>
      <c r="E1794" s="260">
        <v>46258</v>
      </c>
      <c r="F1794">
        <v>0</v>
      </c>
      <c r="G1794" t="s">
        <v>350</v>
      </c>
    </row>
    <row r="1795" spans="1:7">
      <c r="A1795" t="s">
        <v>3906</v>
      </c>
      <c r="B1795" t="s">
        <v>3907</v>
      </c>
      <c r="C1795">
        <v>10</v>
      </c>
      <c r="D1795" s="260">
        <v>46148</v>
      </c>
      <c r="E1795" s="260">
        <v>46161</v>
      </c>
      <c r="F1795">
        <v>90</v>
      </c>
      <c r="G1795" t="s">
        <v>350</v>
      </c>
    </row>
    <row r="1796" spans="1:7">
      <c r="A1796" t="s">
        <v>3908</v>
      </c>
      <c r="B1796" t="s">
        <v>3909</v>
      </c>
      <c r="C1796">
        <v>5</v>
      </c>
      <c r="D1796" s="260">
        <v>46251</v>
      </c>
      <c r="E1796" s="260">
        <v>46255</v>
      </c>
      <c r="F1796">
        <v>90</v>
      </c>
      <c r="G1796" t="s">
        <v>350</v>
      </c>
    </row>
    <row r="1797" spans="1:7">
      <c r="A1797" t="s">
        <v>3910</v>
      </c>
      <c r="B1797" t="s">
        <v>3911</v>
      </c>
      <c r="C1797">
        <v>10</v>
      </c>
      <c r="D1797" s="260">
        <v>46148</v>
      </c>
      <c r="E1797" s="260">
        <v>46161</v>
      </c>
      <c r="F1797">
        <v>42</v>
      </c>
      <c r="G1797" t="s">
        <v>350</v>
      </c>
    </row>
    <row r="1798" spans="1:7">
      <c r="A1798" t="s">
        <v>3912</v>
      </c>
      <c r="B1798" t="s">
        <v>3913</v>
      </c>
      <c r="C1798">
        <v>5</v>
      </c>
      <c r="D1798" s="260">
        <v>46247</v>
      </c>
      <c r="E1798" s="260">
        <v>46253</v>
      </c>
      <c r="F1798">
        <v>42</v>
      </c>
      <c r="G1798" t="s">
        <v>350</v>
      </c>
    </row>
    <row r="1799" spans="1:7">
      <c r="A1799" t="s">
        <v>3914</v>
      </c>
      <c r="B1799" t="s">
        <v>3915</v>
      </c>
      <c r="C1799">
        <v>10</v>
      </c>
      <c r="D1799" s="260">
        <v>46252</v>
      </c>
      <c r="E1799" s="260">
        <v>46265</v>
      </c>
      <c r="F1799">
        <v>19</v>
      </c>
      <c r="G1799" t="s">
        <v>350</v>
      </c>
    </row>
    <row r="1800" spans="1:7">
      <c r="A1800" t="s">
        <v>3916</v>
      </c>
      <c r="B1800" t="s">
        <v>3917</v>
      </c>
      <c r="C1800">
        <v>5</v>
      </c>
      <c r="D1800" s="260">
        <v>46352</v>
      </c>
      <c r="E1800" s="260">
        <v>46358</v>
      </c>
      <c r="F1800">
        <v>19</v>
      </c>
      <c r="G1800" t="s">
        <v>350</v>
      </c>
    </row>
    <row r="1801" spans="1:7">
      <c r="A1801" t="s">
        <v>3918</v>
      </c>
      <c r="B1801" t="s">
        <v>3919</v>
      </c>
      <c r="C1801">
        <v>10</v>
      </c>
      <c r="D1801" s="260">
        <v>46255</v>
      </c>
      <c r="E1801" s="260">
        <v>46268</v>
      </c>
      <c r="F1801">
        <v>16</v>
      </c>
      <c r="G1801" t="s">
        <v>350</v>
      </c>
    </row>
    <row r="1802" spans="1:7">
      <c r="A1802" t="s">
        <v>3920</v>
      </c>
      <c r="B1802" t="s">
        <v>3921</v>
      </c>
      <c r="C1802">
        <v>5</v>
      </c>
      <c r="D1802" s="260">
        <v>46357</v>
      </c>
      <c r="E1802" s="260">
        <v>46364</v>
      </c>
      <c r="F1802">
        <v>16</v>
      </c>
      <c r="G1802" t="s">
        <v>350</v>
      </c>
    </row>
    <row r="1803" spans="1:7">
      <c r="A1803" t="s">
        <v>3922</v>
      </c>
      <c r="B1803" t="s">
        <v>3923</v>
      </c>
      <c r="C1803">
        <v>10</v>
      </c>
      <c r="D1803" s="260">
        <v>46146</v>
      </c>
      <c r="E1803" s="260">
        <v>46157</v>
      </c>
      <c r="F1803">
        <v>93</v>
      </c>
      <c r="G1803" t="s">
        <v>350</v>
      </c>
    </row>
    <row r="1804" spans="1:7">
      <c r="A1804" t="s">
        <v>3924</v>
      </c>
      <c r="B1804" t="s">
        <v>3925</v>
      </c>
      <c r="C1804">
        <v>5</v>
      </c>
      <c r="D1804" s="260">
        <v>46245</v>
      </c>
      <c r="E1804" s="260">
        <v>46252</v>
      </c>
      <c r="F1804">
        <v>93</v>
      </c>
      <c r="G1804" t="s">
        <v>350</v>
      </c>
    </row>
    <row r="1805" spans="1:7">
      <c r="A1805" t="s">
        <v>3926</v>
      </c>
      <c r="B1805" t="s">
        <v>3927</v>
      </c>
      <c r="C1805">
        <v>10</v>
      </c>
      <c r="D1805" s="260">
        <v>46196</v>
      </c>
      <c r="E1805" s="260">
        <v>46209</v>
      </c>
      <c r="F1805">
        <v>57</v>
      </c>
      <c r="G1805" t="s">
        <v>350</v>
      </c>
    </row>
    <row r="1806" spans="1:7">
      <c r="A1806" t="s">
        <v>3928</v>
      </c>
      <c r="B1806" t="s">
        <v>3929</v>
      </c>
      <c r="C1806">
        <v>5</v>
      </c>
      <c r="D1806" s="260">
        <v>46296</v>
      </c>
      <c r="E1806" s="260">
        <v>46302</v>
      </c>
      <c r="F1806">
        <v>57</v>
      </c>
      <c r="G1806" t="s">
        <v>350</v>
      </c>
    </row>
    <row r="1807" spans="1:7">
      <c r="A1807" t="s">
        <v>3930</v>
      </c>
      <c r="B1807" t="s">
        <v>3931</v>
      </c>
      <c r="C1807">
        <v>10</v>
      </c>
      <c r="D1807" s="260">
        <v>46169</v>
      </c>
      <c r="E1807" s="260">
        <v>46184</v>
      </c>
      <c r="F1807">
        <v>0</v>
      </c>
      <c r="G1807" t="s">
        <v>350</v>
      </c>
    </row>
    <row r="1808" spans="1:7">
      <c r="A1808" t="s">
        <v>3932</v>
      </c>
      <c r="B1808" t="s">
        <v>3933</v>
      </c>
      <c r="C1808">
        <v>5</v>
      </c>
      <c r="D1808" s="260">
        <v>46274</v>
      </c>
      <c r="E1808" s="260">
        <v>46280</v>
      </c>
      <c r="F1808">
        <v>0</v>
      </c>
      <c r="G1808" t="s">
        <v>350</v>
      </c>
    </row>
    <row r="1809" spans="1:7">
      <c r="A1809" t="s">
        <v>3934</v>
      </c>
      <c r="B1809" t="s">
        <v>3935</v>
      </c>
      <c r="C1809">
        <v>10</v>
      </c>
      <c r="D1809" s="260">
        <v>46273</v>
      </c>
      <c r="E1809" s="260">
        <v>46286</v>
      </c>
      <c r="F1809">
        <v>4</v>
      </c>
      <c r="G1809" t="s">
        <v>350</v>
      </c>
    </row>
    <row r="1810" spans="1:7">
      <c r="A1810" t="s">
        <v>3936</v>
      </c>
      <c r="B1810" t="s">
        <v>3937</v>
      </c>
      <c r="C1810">
        <v>5</v>
      </c>
      <c r="D1810" s="260">
        <v>46377</v>
      </c>
      <c r="E1810" s="260">
        <v>46384</v>
      </c>
      <c r="F1810">
        <v>4</v>
      </c>
      <c r="G1810" t="s">
        <v>350</v>
      </c>
    </row>
    <row r="1811" spans="1:7">
      <c r="A1811" t="s">
        <v>3938</v>
      </c>
      <c r="B1811" t="s">
        <v>3939</v>
      </c>
      <c r="C1811">
        <v>10</v>
      </c>
      <c r="D1811" s="260">
        <v>46259</v>
      </c>
      <c r="E1811" s="260">
        <v>46272</v>
      </c>
      <c r="F1811">
        <v>14</v>
      </c>
      <c r="G1811" t="s">
        <v>350</v>
      </c>
    </row>
    <row r="1812" spans="1:7">
      <c r="A1812" t="s">
        <v>3940</v>
      </c>
      <c r="B1812" t="s">
        <v>3941</v>
      </c>
      <c r="C1812">
        <v>5</v>
      </c>
      <c r="D1812" s="260">
        <v>46359</v>
      </c>
      <c r="E1812" s="260">
        <v>46367</v>
      </c>
      <c r="F1812">
        <v>14</v>
      </c>
      <c r="G1812" t="s">
        <v>350</v>
      </c>
    </row>
    <row r="1813" spans="1:7">
      <c r="A1813" t="s">
        <v>3942</v>
      </c>
      <c r="B1813" t="s">
        <v>3943</v>
      </c>
      <c r="C1813">
        <v>10</v>
      </c>
      <c r="D1813" s="260">
        <v>46272</v>
      </c>
      <c r="E1813" s="260">
        <v>46283</v>
      </c>
      <c r="F1813">
        <v>5</v>
      </c>
      <c r="G1813" t="s">
        <v>350</v>
      </c>
    </row>
    <row r="1814" spans="1:7">
      <c r="A1814" t="s">
        <v>3944</v>
      </c>
      <c r="B1814" t="s">
        <v>3945</v>
      </c>
      <c r="C1814">
        <v>5</v>
      </c>
      <c r="D1814" s="260">
        <v>46374</v>
      </c>
      <c r="E1814" s="260">
        <v>46380</v>
      </c>
      <c r="F1814">
        <v>5</v>
      </c>
      <c r="G1814" t="s">
        <v>350</v>
      </c>
    </row>
    <row r="1815" spans="1:7">
      <c r="A1815" t="s">
        <v>3946</v>
      </c>
      <c r="B1815" t="s">
        <v>3947</v>
      </c>
      <c r="C1815">
        <v>10</v>
      </c>
      <c r="D1815" s="260">
        <v>46272</v>
      </c>
      <c r="E1815" s="260">
        <v>46283</v>
      </c>
      <c r="F1815">
        <v>5</v>
      </c>
      <c r="G1815" t="s">
        <v>350</v>
      </c>
    </row>
    <row r="1816" spans="1:7">
      <c r="A1816" t="s">
        <v>3948</v>
      </c>
      <c r="B1816" t="s">
        <v>3949</v>
      </c>
      <c r="C1816">
        <v>5</v>
      </c>
      <c r="D1816" s="260">
        <v>46374</v>
      </c>
      <c r="E1816" s="260">
        <v>46380</v>
      </c>
      <c r="F1816">
        <v>5</v>
      </c>
      <c r="G1816" t="s">
        <v>350</v>
      </c>
    </row>
    <row r="1817" spans="1:7">
      <c r="A1817" t="s">
        <v>3950</v>
      </c>
      <c r="B1817" t="s">
        <v>3951</v>
      </c>
      <c r="C1817">
        <v>10</v>
      </c>
      <c r="D1817" s="260">
        <v>46272</v>
      </c>
      <c r="E1817" s="260">
        <v>46283</v>
      </c>
      <c r="F1817">
        <v>5</v>
      </c>
      <c r="G1817" t="s">
        <v>350</v>
      </c>
    </row>
    <row r="1818" spans="1:7">
      <c r="A1818" t="s">
        <v>3952</v>
      </c>
      <c r="B1818" t="s">
        <v>3953</v>
      </c>
      <c r="C1818">
        <v>5</v>
      </c>
      <c r="D1818" s="260">
        <v>46374</v>
      </c>
      <c r="E1818" s="260">
        <v>46380</v>
      </c>
      <c r="F1818">
        <v>5</v>
      </c>
      <c r="G1818" t="s">
        <v>350</v>
      </c>
    </row>
    <row r="1819" spans="1:7">
      <c r="A1819" t="s">
        <v>3954</v>
      </c>
      <c r="B1819" t="s">
        <v>3955</v>
      </c>
      <c r="C1819">
        <v>10</v>
      </c>
      <c r="D1819" s="260">
        <v>46272</v>
      </c>
      <c r="E1819" s="260">
        <v>46283</v>
      </c>
      <c r="F1819">
        <v>5</v>
      </c>
      <c r="G1819" t="s">
        <v>350</v>
      </c>
    </row>
    <row r="1820" spans="1:7">
      <c r="A1820" t="s">
        <v>3956</v>
      </c>
      <c r="B1820" t="s">
        <v>3957</v>
      </c>
      <c r="C1820">
        <v>5</v>
      </c>
      <c r="D1820" s="260">
        <v>46374</v>
      </c>
      <c r="E1820" s="260">
        <v>46380</v>
      </c>
      <c r="F1820">
        <v>5</v>
      </c>
      <c r="G1820" t="s">
        <v>350</v>
      </c>
    </row>
    <row r="1821" spans="1:7">
      <c r="A1821" t="s">
        <v>3958</v>
      </c>
      <c r="B1821" t="s">
        <v>3959</v>
      </c>
      <c r="C1821">
        <v>10</v>
      </c>
      <c r="D1821" s="260">
        <v>46272</v>
      </c>
      <c r="E1821" s="260">
        <v>46283</v>
      </c>
      <c r="F1821">
        <v>5</v>
      </c>
      <c r="G1821" t="s">
        <v>350</v>
      </c>
    </row>
    <row r="1822" spans="1:7">
      <c r="A1822" t="s">
        <v>3960</v>
      </c>
      <c r="B1822" t="s">
        <v>3961</v>
      </c>
      <c r="C1822">
        <v>5</v>
      </c>
      <c r="D1822" s="260">
        <v>46374</v>
      </c>
      <c r="E1822" s="260">
        <v>46380</v>
      </c>
      <c r="F1822">
        <v>5</v>
      </c>
      <c r="G1822" t="s">
        <v>350</v>
      </c>
    </row>
    <row r="1823" spans="1:7">
      <c r="A1823" t="s">
        <v>3962</v>
      </c>
      <c r="B1823" t="s">
        <v>3963</v>
      </c>
      <c r="C1823">
        <v>10</v>
      </c>
      <c r="D1823" s="260">
        <v>46272</v>
      </c>
      <c r="E1823" s="260">
        <v>46283</v>
      </c>
      <c r="F1823">
        <v>5</v>
      </c>
      <c r="G1823" t="s">
        <v>350</v>
      </c>
    </row>
    <row r="1824" spans="1:7">
      <c r="A1824" t="s">
        <v>3964</v>
      </c>
      <c r="B1824" t="s">
        <v>3965</v>
      </c>
      <c r="C1824">
        <v>5</v>
      </c>
      <c r="D1824" s="260">
        <v>46374</v>
      </c>
      <c r="E1824" s="260">
        <v>46380</v>
      </c>
      <c r="F1824">
        <v>5</v>
      </c>
      <c r="G1824" t="s">
        <v>350</v>
      </c>
    </row>
    <row r="1825" spans="1:7">
      <c r="A1825" t="s">
        <v>3966</v>
      </c>
      <c r="B1825" t="s">
        <v>3967</v>
      </c>
      <c r="C1825">
        <v>10</v>
      </c>
      <c r="D1825" s="260">
        <v>46272</v>
      </c>
      <c r="E1825" s="260">
        <v>46283</v>
      </c>
      <c r="F1825">
        <v>5</v>
      </c>
      <c r="G1825" t="s">
        <v>350</v>
      </c>
    </row>
    <row r="1826" spans="1:7">
      <c r="A1826" t="s">
        <v>3968</v>
      </c>
      <c r="B1826" t="s">
        <v>3969</v>
      </c>
      <c r="C1826">
        <v>5</v>
      </c>
      <c r="D1826" s="260">
        <v>46374</v>
      </c>
      <c r="E1826" s="260">
        <v>46380</v>
      </c>
      <c r="F1826">
        <v>5</v>
      </c>
      <c r="G1826" t="s">
        <v>350</v>
      </c>
    </row>
    <row r="1827" spans="1:7">
      <c r="A1827" t="s">
        <v>3970</v>
      </c>
      <c r="B1827" t="s">
        <v>3971</v>
      </c>
      <c r="C1827">
        <v>10</v>
      </c>
      <c r="D1827" s="260">
        <v>46272</v>
      </c>
      <c r="E1827" s="260">
        <v>46283</v>
      </c>
      <c r="F1827">
        <v>5</v>
      </c>
      <c r="G1827" t="s">
        <v>350</v>
      </c>
    </row>
    <row r="1828" spans="1:7">
      <c r="A1828" t="s">
        <v>3972</v>
      </c>
      <c r="B1828" t="s">
        <v>3973</v>
      </c>
      <c r="C1828">
        <v>5</v>
      </c>
      <c r="D1828" s="260">
        <v>46374</v>
      </c>
      <c r="E1828" s="260">
        <v>46380</v>
      </c>
      <c r="F1828">
        <v>5</v>
      </c>
      <c r="G1828" t="s">
        <v>350</v>
      </c>
    </row>
    <row r="1829" spans="1:7">
      <c r="A1829" t="s">
        <v>3974</v>
      </c>
      <c r="B1829" t="s">
        <v>3975</v>
      </c>
      <c r="C1829">
        <v>10</v>
      </c>
      <c r="D1829" s="260">
        <v>46272</v>
      </c>
      <c r="E1829" s="260">
        <v>46283</v>
      </c>
      <c r="F1829">
        <v>5</v>
      </c>
      <c r="G1829" t="s">
        <v>350</v>
      </c>
    </row>
    <row r="1830" spans="1:7">
      <c r="A1830" t="s">
        <v>3976</v>
      </c>
      <c r="B1830" t="s">
        <v>3977</v>
      </c>
      <c r="C1830">
        <v>5</v>
      </c>
      <c r="D1830" s="260">
        <v>46374</v>
      </c>
      <c r="E1830" s="260">
        <v>46380</v>
      </c>
      <c r="F1830">
        <v>5</v>
      </c>
      <c r="G1830" t="s">
        <v>350</v>
      </c>
    </row>
    <row r="1831" spans="1:7">
      <c r="A1831" t="s">
        <v>3978</v>
      </c>
      <c r="B1831" t="s">
        <v>3979</v>
      </c>
      <c r="C1831">
        <v>10</v>
      </c>
      <c r="D1831" s="260">
        <v>46230</v>
      </c>
      <c r="E1831" s="260">
        <v>46247</v>
      </c>
      <c r="F1831">
        <v>27</v>
      </c>
      <c r="G1831" t="s">
        <v>350</v>
      </c>
    </row>
    <row r="1832" spans="1:7">
      <c r="A1832" t="s">
        <v>3980</v>
      </c>
      <c r="B1832" t="s">
        <v>3981</v>
      </c>
      <c r="C1832">
        <v>5</v>
      </c>
      <c r="D1832" s="260">
        <v>46342</v>
      </c>
      <c r="E1832" s="260">
        <v>46346</v>
      </c>
      <c r="F1832">
        <v>27</v>
      </c>
      <c r="G1832" t="s">
        <v>350</v>
      </c>
    </row>
    <row r="1833" spans="1:7">
      <c r="A1833" t="s">
        <v>3982</v>
      </c>
      <c r="B1833" t="s">
        <v>3983</v>
      </c>
      <c r="C1833">
        <v>10</v>
      </c>
      <c r="D1833" s="260">
        <v>46230</v>
      </c>
      <c r="E1833" s="260">
        <v>46247</v>
      </c>
      <c r="F1833">
        <v>27</v>
      </c>
      <c r="G1833" t="s">
        <v>350</v>
      </c>
    </row>
    <row r="1834" spans="1:7">
      <c r="A1834" t="s">
        <v>3984</v>
      </c>
      <c r="B1834" t="s">
        <v>3985</v>
      </c>
      <c r="C1834">
        <v>5</v>
      </c>
      <c r="D1834" s="260">
        <v>46342</v>
      </c>
      <c r="E1834" s="260">
        <v>46346</v>
      </c>
      <c r="F1834">
        <v>27</v>
      </c>
      <c r="G1834" t="s">
        <v>350</v>
      </c>
    </row>
    <row r="1835" spans="1:7">
      <c r="A1835" t="s">
        <v>3986</v>
      </c>
      <c r="B1835" t="s">
        <v>3987</v>
      </c>
      <c r="C1835">
        <v>10</v>
      </c>
      <c r="D1835" s="260">
        <v>46273</v>
      </c>
      <c r="E1835" s="260">
        <v>46286</v>
      </c>
      <c r="F1835">
        <v>4</v>
      </c>
      <c r="G1835" t="s">
        <v>350</v>
      </c>
    </row>
    <row r="1836" spans="1:7">
      <c r="A1836" t="s">
        <v>3988</v>
      </c>
      <c r="B1836" t="s">
        <v>3989</v>
      </c>
      <c r="C1836">
        <v>5</v>
      </c>
      <c r="D1836" s="260">
        <v>46377</v>
      </c>
      <c r="E1836" s="260">
        <v>46384</v>
      </c>
      <c r="F1836">
        <v>4</v>
      </c>
      <c r="G1836" t="s">
        <v>350</v>
      </c>
    </row>
    <row r="1837" spans="1:7">
      <c r="A1837" t="s">
        <v>3990</v>
      </c>
      <c r="B1837" t="s">
        <v>3991</v>
      </c>
      <c r="C1837">
        <v>10</v>
      </c>
      <c r="D1837" s="260">
        <v>46272</v>
      </c>
      <c r="E1837" s="260">
        <v>46283</v>
      </c>
      <c r="F1837">
        <v>16</v>
      </c>
      <c r="G1837" t="s">
        <v>350</v>
      </c>
    </row>
    <row r="1838" spans="1:7">
      <c r="A1838" t="s">
        <v>3992</v>
      </c>
      <c r="B1838" t="s">
        <v>3993</v>
      </c>
      <c r="C1838">
        <v>5</v>
      </c>
      <c r="D1838" s="260">
        <v>46357</v>
      </c>
      <c r="E1838" s="260">
        <v>46364</v>
      </c>
      <c r="F1838">
        <v>16</v>
      </c>
      <c r="G1838" t="s">
        <v>350</v>
      </c>
    </row>
    <row r="1839" spans="1:7">
      <c r="A1839" t="s">
        <v>3994</v>
      </c>
      <c r="B1839" t="s">
        <v>3995</v>
      </c>
      <c r="C1839">
        <v>10</v>
      </c>
      <c r="D1839" s="260">
        <v>46272</v>
      </c>
      <c r="E1839" s="260">
        <v>46283</v>
      </c>
      <c r="F1839">
        <v>5</v>
      </c>
      <c r="G1839" t="s">
        <v>350</v>
      </c>
    </row>
    <row r="1840" spans="1:7">
      <c r="A1840" t="s">
        <v>3996</v>
      </c>
      <c r="B1840" t="s">
        <v>3997</v>
      </c>
      <c r="C1840">
        <v>5</v>
      </c>
      <c r="D1840" s="260">
        <v>46374</v>
      </c>
      <c r="E1840" s="260">
        <v>46380</v>
      </c>
      <c r="F1840">
        <v>5</v>
      </c>
      <c r="G1840" t="s">
        <v>350</v>
      </c>
    </row>
    <row r="1841" spans="1:7">
      <c r="A1841" t="s">
        <v>3998</v>
      </c>
      <c r="B1841" t="s">
        <v>3999</v>
      </c>
      <c r="C1841">
        <v>10</v>
      </c>
      <c r="D1841" s="260">
        <v>46272</v>
      </c>
      <c r="E1841" s="260">
        <v>46283</v>
      </c>
      <c r="F1841">
        <v>5</v>
      </c>
      <c r="G1841" t="s">
        <v>350</v>
      </c>
    </row>
    <row r="1842" spans="1:7">
      <c r="A1842" t="s">
        <v>4000</v>
      </c>
      <c r="B1842" t="s">
        <v>4001</v>
      </c>
      <c r="C1842">
        <v>5</v>
      </c>
      <c r="D1842" s="260">
        <v>46374</v>
      </c>
      <c r="E1842" s="260">
        <v>46380</v>
      </c>
      <c r="F1842">
        <v>5</v>
      </c>
      <c r="G1842" t="s">
        <v>350</v>
      </c>
    </row>
    <row r="1843" spans="1:7">
      <c r="A1843" t="s">
        <v>4002</v>
      </c>
      <c r="B1843" t="s">
        <v>4003</v>
      </c>
      <c r="C1843">
        <v>10</v>
      </c>
      <c r="D1843" s="260">
        <v>46272</v>
      </c>
      <c r="E1843" s="260">
        <v>46283</v>
      </c>
      <c r="F1843">
        <v>5</v>
      </c>
      <c r="G1843" t="s">
        <v>350</v>
      </c>
    </row>
    <row r="1844" spans="1:7">
      <c r="A1844" t="s">
        <v>4004</v>
      </c>
      <c r="B1844" t="s">
        <v>4005</v>
      </c>
      <c r="C1844">
        <v>5</v>
      </c>
      <c r="D1844" s="260">
        <v>46374</v>
      </c>
      <c r="E1844" s="260">
        <v>46380</v>
      </c>
      <c r="F1844">
        <v>5</v>
      </c>
      <c r="G1844" t="s">
        <v>350</v>
      </c>
    </row>
    <row r="1845" spans="1:7">
      <c r="A1845" t="s">
        <v>4006</v>
      </c>
      <c r="B1845" t="s">
        <v>4007</v>
      </c>
      <c r="C1845">
        <v>10</v>
      </c>
      <c r="D1845" s="260">
        <v>46272</v>
      </c>
      <c r="E1845" s="260">
        <v>46283</v>
      </c>
      <c r="F1845">
        <v>5</v>
      </c>
      <c r="G1845" t="s">
        <v>350</v>
      </c>
    </row>
    <row r="1846" spans="1:7">
      <c r="A1846" t="s">
        <v>4008</v>
      </c>
      <c r="B1846" t="s">
        <v>4009</v>
      </c>
      <c r="C1846">
        <v>5</v>
      </c>
      <c r="D1846" s="260">
        <v>46374</v>
      </c>
      <c r="E1846" s="260">
        <v>46380</v>
      </c>
      <c r="F1846">
        <v>5</v>
      </c>
      <c r="G1846" t="s">
        <v>350</v>
      </c>
    </row>
    <row r="1847" spans="1:7">
      <c r="A1847" t="s">
        <v>4010</v>
      </c>
      <c r="B1847" t="s">
        <v>4011</v>
      </c>
      <c r="C1847">
        <v>10</v>
      </c>
      <c r="D1847" s="260">
        <v>46282</v>
      </c>
      <c r="E1847" s="260">
        <v>46295</v>
      </c>
      <c r="F1847">
        <v>7</v>
      </c>
      <c r="G1847" t="s">
        <v>350</v>
      </c>
    </row>
    <row r="1848" spans="1:7">
      <c r="A1848" t="s">
        <v>4012</v>
      </c>
      <c r="B1848" t="s">
        <v>4013</v>
      </c>
      <c r="C1848">
        <v>5</v>
      </c>
      <c r="D1848" s="260">
        <v>46372</v>
      </c>
      <c r="E1848" s="260">
        <v>46378</v>
      </c>
      <c r="F1848">
        <v>7</v>
      </c>
      <c r="G1848" t="s">
        <v>350</v>
      </c>
    </row>
    <row r="1849" spans="1:7">
      <c r="A1849" t="s">
        <v>4014</v>
      </c>
      <c r="C1849">
        <v>124</v>
      </c>
      <c r="D1849" s="260">
        <v>46177</v>
      </c>
      <c r="E1849" s="260">
        <v>46358</v>
      </c>
      <c r="F1849">
        <v>4</v>
      </c>
      <c r="G1849" t="s">
        <v>350</v>
      </c>
    </row>
    <row r="1850" spans="1:7">
      <c r="A1850" t="s">
        <v>4015</v>
      </c>
      <c r="B1850" t="s">
        <v>4016</v>
      </c>
      <c r="C1850">
        <v>20</v>
      </c>
      <c r="D1850" s="260">
        <v>46182</v>
      </c>
      <c r="E1850" s="260">
        <v>46209</v>
      </c>
      <c r="F1850">
        <v>90</v>
      </c>
      <c r="G1850" t="s">
        <v>350</v>
      </c>
    </row>
    <row r="1851" spans="1:7">
      <c r="A1851" t="s">
        <v>4017</v>
      </c>
      <c r="B1851" t="s">
        <v>4018</v>
      </c>
      <c r="C1851">
        <v>5</v>
      </c>
      <c r="D1851" s="260">
        <v>46224</v>
      </c>
      <c r="E1851" s="260">
        <v>46230</v>
      </c>
      <c r="F1851">
        <v>90</v>
      </c>
      <c r="G1851" t="s">
        <v>350</v>
      </c>
    </row>
    <row r="1852" spans="1:7">
      <c r="A1852" t="s">
        <v>4019</v>
      </c>
      <c r="B1852" t="s">
        <v>4020</v>
      </c>
      <c r="C1852">
        <v>20</v>
      </c>
      <c r="D1852" s="260">
        <v>46183</v>
      </c>
      <c r="E1852" s="260">
        <v>46210</v>
      </c>
      <c r="F1852">
        <v>0</v>
      </c>
      <c r="G1852" t="s">
        <v>350</v>
      </c>
    </row>
    <row r="1853" spans="1:7">
      <c r="A1853" t="s">
        <v>4021</v>
      </c>
      <c r="B1853" t="s">
        <v>4022</v>
      </c>
      <c r="C1853">
        <v>5</v>
      </c>
      <c r="D1853" s="260">
        <v>46225</v>
      </c>
      <c r="E1853" s="260">
        <v>46234</v>
      </c>
      <c r="F1853">
        <v>0</v>
      </c>
      <c r="G1853" t="s">
        <v>350</v>
      </c>
    </row>
    <row r="1854" spans="1:7">
      <c r="A1854" t="s">
        <v>4023</v>
      </c>
      <c r="B1854" t="s">
        <v>4024</v>
      </c>
      <c r="C1854">
        <v>20</v>
      </c>
      <c r="D1854" s="260">
        <v>46178</v>
      </c>
      <c r="E1854" s="260">
        <v>46205</v>
      </c>
      <c r="F1854">
        <v>42</v>
      </c>
      <c r="G1854" t="s">
        <v>350</v>
      </c>
    </row>
    <row r="1855" spans="1:7">
      <c r="A1855" t="s">
        <v>4025</v>
      </c>
      <c r="B1855" t="s">
        <v>4026</v>
      </c>
      <c r="C1855">
        <v>5</v>
      </c>
      <c r="D1855" s="260">
        <v>46220</v>
      </c>
      <c r="E1855" s="260">
        <v>46226</v>
      </c>
      <c r="F1855">
        <v>42</v>
      </c>
      <c r="G1855" t="s">
        <v>350</v>
      </c>
    </row>
    <row r="1856" spans="1:7">
      <c r="A1856" t="s">
        <v>4027</v>
      </c>
      <c r="B1856" t="s">
        <v>4028</v>
      </c>
      <c r="C1856">
        <v>18</v>
      </c>
      <c r="D1856" s="260">
        <v>46289</v>
      </c>
      <c r="E1856" s="260">
        <v>46315</v>
      </c>
      <c r="F1856">
        <v>19</v>
      </c>
      <c r="G1856" t="s">
        <v>350</v>
      </c>
    </row>
    <row r="1857" spans="1:7">
      <c r="A1857" t="s">
        <v>4029</v>
      </c>
      <c r="B1857" t="s">
        <v>4030</v>
      </c>
      <c r="C1857">
        <v>5</v>
      </c>
      <c r="D1857" s="260">
        <v>46331</v>
      </c>
      <c r="E1857" s="260">
        <v>46337</v>
      </c>
      <c r="F1857">
        <v>19</v>
      </c>
      <c r="G1857" t="s">
        <v>350</v>
      </c>
    </row>
    <row r="1858" spans="1:7">
      <c r="A1858" t="s">
        <v>4031</v>
      </c>
      <c r="B1858" t="s">
        <v>4032</v>
      </c>
      <c r="C1858">
        <v>18</v>
      </c>
      <c r="D1858" s="260">
        <v>46294</v>
      </c>
      <c r="E1858" s="260">
        <v>46321</v>
      </c>
      <c r="F1858">
        <v>16</v>
      </c>
      <c r="G1858" t="s">
        <v>350</v>
      </c>
    </row>
    <row r="1859" spans="1:7">
      <c r="A1859" t="s">
        <v>4033</v>
      </c>
      <c r="B1859" t="s">
        <v>4034</v>
      </c>
      <c r="C1859">
        <v>5</v>
      </c>
      <c r="D1859" s="260">
        <v>46336</v>
      </c>
      <c r="E1859" s="260">
        <v>46342</v>
      </c>
      <c r="F1859">
        <v>16</v>
      </c>
      <c r="G1859" t="s">
        <v>350</v>
      </c>
    </row>
    <row r="1860" spans="1:7">
      <c r="A1860" t="s">
        <v>4035</v>
      </c>
      <c r="B1860" t="s">
        <v>4036</v>
      </c>
      <c r="C1860">
        <v>20</v>
      </c>
      <c r="D1860" s="260">
        <v>46177</v>
      </c>
      <c r="E1860" s="260">
        <v>46204</v>
      </c>
      <c r="F1860">
        <v>93</v>
      </c>
      <c r="G1860" t="s">
        <v>350</v>
      </c>
    </row>
    <row r="1861" spans="1:7">
      <c r="A1861" t="s">
        <v>4037</v>
      </c>
      <c r="B1861" t="s">
        <v>4038</v>
      </c>
      <c r="C1861">
        <v>5</v>
      </c>
      <c r="D1861" s="260">
        <v>46219</v>
      </c>
      <c r="E1861" s="260">
        <v>46225</v>
      </c>
      <c r="F1861">
        <v>93</v>
      </c>
      <c r="G1861" t="s">
        <v>350</v>
      </c>
    </row>
    <row r="1862" spans="1:7">
      <c r="A1862" t="s">
        <v>4039</v>
      </c>
      <c r="B1862" t="s">
        <v>4040</v>
      </c>
      <c r="C1862">
        <v>19</v>
      </c>
      <c r="D1862" s="260">
        <v>46230</v>
      </c>
      <c r="E1862" s="260">
        <v>46260</v>
      </c>
      <c r="F1862">
        <v>57</v>
      </c>
      <c r="G1862" t="s">
        <v>350</v>
      </c>
    </row>
    <row r="1863" spans="1:7">
      <c r="A1863" t="s">
        <v>4041</v>
      </c>
      <c r="B1863" t="s">
        <v>4042</v>
      </c>
      <c r="C1863">
        <v>5</v>
      </c>
      <c r="D1863" s="260">
        <v>46275</v>
      </c>
      <c r="E1863" s="260">
        <v>46281</v>
      </c>
      <c r="F1863">
        <v>57</v>
      </c>
      <c r="G1863" t="s">
        <v>350</v>
      </c>
    </row>
    <row r="1864" spans="1:7">
      <c r="A1864" t="s">
        <v>4043</v>
      </c>
      <c r="B1864" t="s">
        <v>4044</v>
      </c>
      <c r="C1864">
        <v>17</v>
      </c>
      <c r="D1864" s="260">
        <v>46210</v>
      </c>
      <c r="E1864" s="260">
        <v>46237</v>
      </c>
      <c r="F1864">
        <v>0</v>
      </c>
      <c r="G1864" t="s">
        <v>350</v>
      </c>
    </row>
    <row r="1865" spans="1:7">
      <c r="A1865" t="s">
        <v>4045</v>
      </c>
      <c r="B1865" t="s">
        <v>4046</v>
      </c>
      <c r="C1865">
        <v>5</v>
      </c>
      <c r="D1865" s="260">
        <v>46253</v>
      </c>
      <c r="E1865" s="260">
        <v>46259</v>
      </c>
      <c r="F1865">
        <v>0</v>
      </c>
      <c r="G1865" t="s">
        <v>350</v>
      </c>
    </row>
    <row r="1866" spans="1:7">
      <c r="A1866" t="s">
        <v>4047</v>
      </c>
      <c r="B1866" t="s">
        <v>4048</v>
      </c>
      <c r="C1866">
        <v>19</v>
      </c>
      <c r="D1866" s="260">
        <v>46310</v>
      </c>
      <c r="E1866" s="260">
        <v>46337</v>
      </c>
      <c r="F1866">
        <v>4</v>
      </c>
      <c r="G1866" t="s">
        <v>350</v>
      </c>
    </row>
    <row r="1867" spans="1:7">
      <c r="A1867" t="s">
        <v>4049</v>
      </c>
      <c r="B1867" t="s">
        <v>4050</v>
      </c>
      <c r="C1867">
        <v>5</v>
      </c>
      <c r="D1867" s="260">
        <v>46352</v>
      </c>
      <c r="E1867" s="260">
        <v>46358</v>
      </c>
      <c r="F1867">
        <v>4</v>
      </c>
      <c r="G1867" t="s">
        <v>350</v>
      </c>
    </row>
    <row r="1868" spans="1:7">
      <c r="A1868" t="s">
        <v>4051</v>
      </c>
      <c r="B1868" t="s">
        <v>4052</v>
      </c>
      <c r="C1868">
        <v>19</v>
      </c>
      <c r="D1868" s="260">
        <v>46295</v>
      </c>
      <c r="E1868" s="260">
        <v>46323</v>
      </c>
      <c r="F1868">
        <v>14</v>
      </c>
      <c r="G1868" t="s">
        <v>350</v>
      </c>
    </row>
    <row r="1869" spans="1:7">
      <c r="A1869" t="s">
        <v>4053</v>
      </c>
      <c r="B1869" t="s">
        <v>4054</v>
      </c>
      <c r="C1869">
        <v>5</v>
      </c>
      <c r="D1869" s="260">
        <v>46338</v>
      </c>
      <c r="E1869" s="260">
        <v>46344</v>
      </c>
      <c r="F1869">
        <v>14</v>
      </c>
      <c r="G1869" t="s">
        <v>350</v>
      </c>
    </row>
    <row r="1870" spans="1:7">
      <c r="A1870" t="s">
        <v>4055</v>
      </c>
      <c r="B1870" t="s">
        <v>4056</v>
      </c>
      <c r="C1870">
        <v>19</v>
      </c>
      <c r="D1870" s="260">
        <v>46309</v>
      </c>
      <c r="E1870" s="260">
        <v>46336</v>
      </c>
      <c r="F1870">
        <v>5</v>
      </c>
      <c r="G1870" t="s">
        <v>350</v>
      </c>
    </row>
    <row r="1871" spans="1:7">
      <c r="A1871" t="s">
        <v>4057</v>
      </c>
      <c r="B1871" t="s">
        <v>4058</v>
      </c>
      <c r="C1871">
        <v>5</v>
      </c>
      <c r="D1871" s="260">
        <v>46351</v>
      </c>
      <c r="E1871" s="260">
        <v>46357</v>
      </c>
      <c r="F1871">
        <v>5</v>
      </c>
      <c r="G1871" t="s">
        <v>350</v>
      </c>
    </row>
    <row r="1872" spans="1:7">
      <c r="A1872" t="s">
        <v>4059</v>
      </c>
      <c r="B1872" t="s">
        <v>4060</v>
      </c>
      <c r="C1872">
        <v>19</v>
      </c>
      <c r="D1872" s="260">
        <v>46309</v>
      </c>
      <c r="E1872" s="260">
        <v>46336</v>
      </c>
      <c r="F1872">
        <v>5</v>
      </c>
      <c r="G1872" t="s">
        <v>350</v>
      </c>
    </row>
    <row r="1873" spans="1:7">
      <c r="A1873" t="s">
        <v>4061</v>
      </c>
      <c r="B1873" t="s">
        <v>4062</v>
      </c>
      <c r="C1873">
        <v>5</v>
      </c>
      <c r="D1873" s="260">
        <v>46351</v>
      </c>
      <c r="E1873" s="260">
        <v>46357</v>
      </c>
      <c r="F1873">
        <v>5</v>
      </c>
      <c r="G1873" t="s">
        <v>350</v>
      </c>
    </row>
    <row r="1874" spans="1:7">
      <c r="A1874" t="s">
        <v>4063</v>
      </c>
      <c r="B1874" t="s">
        <v>4064</v>
      </c>
      <c r="C1874">
        <v>19</v>
      </c>
      <c r="D1874" s="260">
        <v>46309</v>
      </c>
      <c r="E1874" s="260">
        <v>46336</v>
      </c>
      <c r="F1874">
        <v>5</v>
      </c>
      <c r="G1874" t="s">
        <v>350</v>
      </c>
    </row>
    <row r="1875" spans="1:7">
      <c r="A1875" t="s">
        <v>4065</v>
      </c>
      <c r="B1875" t="s">
        <v>4066</v>
      </c>
      <c r="C1875">
        <v>5</v>
      </c>
      <c r="D1875" s="260">
        <v>46351</v>
      </c>
      <c r="E1875" s="260">
        <v>46357</v>
      </c>
      <c r="F1875">
        <v>5</v>
      </c>
      <c r="G1875" t="s">
        <v>350</v>
      </c>
    </row>
    <row r="1876" spans="1:7">
      <c r="A1876" t="s">
        <v>4067</v>
      </c>
      <c r="B1876" t="s">
        <v>4068</v>
      </c>
      <c r="C1876">
        <v>19</v>
      </c>
      <c r="D1876" s="260">
        <v>46309</v>
      </c>
      <c r="E1876" s="260">
        <v>46336</v>
      </c>
      <c r="F1876">
        <v>5</v>
      </c>
      <c r="G1876" t="s">
        <v>350</v>
      </c>
    </row>
    <row r="1877" spans="1:7">
      <c r="A1877" t="s">
        <v>4069</v>
      </c>
      <c r="B1877" t="s">
        <v>4070</v>
      </c>
      <c r="C1877">
        <v>5</v>
      </c>
      <c r="D1877" s="260">
        <v>46351</v>
      </c>
      <c r="E1877" s="260">
        <v>46357</v>
      </c>
      <c r="F1877">
        <v>5</v>
      </c>
      <c r="G1877" t="s">
        <v>350</v>
      </c>
    </row>
    <row r="1878" spans="1:7">
      <c r="A1878" t="s">
        <v>4071</v>
      </c>
      <c r="B1878" t="s">
        <v>4072</v>
      </c>
      <c r="C1878">
        <v>19</v>
      </c>
      <c r="D1878" s="260">
        <v>46309</v>
      </c>
      <c r="E1878" s="260">
        <v>46336</v>
      </c>
      <c r="F1878">
        <v>5</v>
      </c>
      <c r="G1878" t="s">
        <v>350</v>
      </c>
    </row>
    <row r="1879" spans="1:7">
      <c r="A1879" t="s">
        <v>4073</v>
      </c>
      <c r="B1879" t="s">
        <v>4074</v>
      </c>
      <c r="C1879">
        <v>5</v>
      </c>
      <c r="D1879" s="260">
        <v>46351</v>
      </c>
      <c r="E1879" s="260">
        <v>46357</v>
      </c>
      <c r="F1879">
        <v>5</v>
      </c>
      <c r="G1879" t="s">
        <v>350</v>
      </c>
    </row>
    <row r="1880" spans="1:7">
      <c r="A1880" t="s">
        <v>4075</v>
      </c>
      <c r="B1880" t="s">
        <v>4076</v>
      </c>
      <c r="C1880">
        <v>19</v>
      </c>
      <c r="D1880" s="260">
        <v>46309</v>
      </c>
      <c r="E1880" s="260">
        <v>46336</v>
      </c>
      <c r="F1880">
        <v>5</v>
      </c>
      <c r="G1880" t="s">
        <v>350</v>
      </c>
    </row>
    <row r="1881" spans="1:7">
      <c r="A1881" t="s">
        <v>4077</v>
      </c>
      <c r="B1881" t="s">
        <v>4078</v>
      </c>
      <c r="C1881">
        <v>5</v>
      </c>
      <c r="D1881" s="260">
        <v>46351</v>
      </c>
      <c r="E1881" s="260">
        <v>46357</v>
      </c>
      <c r="F1881">
        <v>5</v>
      </c>
      <c r="G1881" t="s">
        <v>350</v>
      </c>
    </row>
    <row r="1882" spans="1:7">
      <c r="A1882" t="s">
        <v>4079</v>
      </c>
      <c r="B1882" t="s">
        <v>4080</v>
      </c>
      <c r="C1882">
        <v>19</v>
      </c>
      <c r="D1882" s="260">
        <v>46309</v>
      </c>
      <c r="E1882" s="260">
        <v>46336</v>
      </c>
      <c r="F1882">
        <v>5</v>
      </c>
      <c r="G1882" t="s">
        <v>350</v>
      </c>
    </row>
    <row r="1883" spans="1:7">
      <c r="A1883" t="s">
        <v>4081</v>
      </c>
      <c r="B1883" t="s">
        <v>4082</v>
      </c>
      <c r="C1883">
        <v>5</v>
      </c>
      <c r="D1883" s="260">
        <v>46351</v>
      </c>
      <c r="E1883" s="260">
        <v>46357</v>
      </c>
      <c r="F1883">
        <v>5</v>
      </c>
      <c r="G1883" t="s">
        <v>350</v>
      </c>
    </row>
    <row r="1884" spans="1:7">
      <c r="A1884" t="s">
        <v>4083</v>
      </c>
      <c r="B1884" t="s">
        <v>4084</v>
      </c>
      <c r="C1884">
        <v>19</v>
      </c>
      <c r="D1884" s="260">
        <v>46309</v>
      </c>
      <c r="E1884" s="260">
        <v>46336</v>
      </c>
      <c r="F1884">
        <v>5</v>
      </c>
      <c r="G1884" t="s">
        <v>350</v>
      </c>
    </row>
    <row r="1885" spans="1:7">
      <c r="A1885" t="s">
        <v>4085</v>
      </c>
      <c r="B1885" t="s">
        <v>4086</v>
      </c>
      <c r="C1885">
        <v>5</v>
      </c>
      <c r="D1885" s="260">
        <v>46351</v>
      </c>
      <c r="E1885" s="260">
        <v>46357</v>
      </c>
      <c r="F1885">
        <v>5</v>
      </c>
      <c r="G1885" t="s">
        <v>350</v>
      </c>
    </row>
    <row r="1886" spans="1:7">
      <c r="A1886" t="s">
        <v>4087</v>
      </c>
      <c r="B1886" t="s">
        <v>4088</v>
      </c>
      <c r="C1886">
        <v>19</v>
      </c>
      <c r="D1886" s="260">
        <v>46309</v>
      </c>
      <c r="E1886" s="260">
        <v>46336</v>
      </c>
      <c r="F1886">
        <v>5</v>
      </c>
      <c r="G1886" t="s">
        <v>350</v>
      </c>
    </row>
    <row r="1887" spans="1:7">
      <c r="A1887" t="s">
        <v>4089</v>
      </c>
      <c r="B1887" t="s">
        <v>4090</v>
      </c>
      <c r="C1887">
        <v>5</v>
      </c>
      <c r="D1887" s="260">
        <v>46351</v>
      </c>
      <c r="E1887" s="260">
        <v>46357</v>
      </c>
      <c r="F1887">
        <v>5</v>
      </c>
      <c r="G1887" t="s">
        <v>350</v>
      </c>
    </row>
    <row r="1888" spans="1:7">
      <c r="A1888" t="s">
        <v>4091</v>
      </c>
      <c r="B1888" t="s">
        <v>4092</v>
      </c>
      <c r="C1888">
        <v>20</v>
      </c>
      <c r="D1888" s="260">
        <v>46275</v>
      </c>
      <c r="E1888" s="260">
        <v>46302</v>
      </c>
      <c r="F1888">
        <v>27</v>
      </c>
      <c r="G1888" t="s">
        <v>350</v>
      </c>
    </row>
    <row r="1889" spans="1:7">
      <c r="A1889" t="s">
        <v>4093</v>
      </c>
      <c r="B1889" t="s">
        <v>4094</v>
      </c>
      <c r="C1889">
        <v>5</v>
      </c>
      <c r="D1889" s="260">
        <v>46321</v>
      </c>
      <c r="E1889" s="260">
        <v>46325</v>
      </c>
      <c r="F1889">
        <v>27</v>
      </c>
      <c r="G1889" t="s">
        <v>350</v>
      </c>
    </row>
    <row r="1890" spans="1:7">
      <c r="A1890" t="s">
        <v>4095</v>
      </c>
      <c r="B1890" t="s">
        <v>4096</v>
      </c>
      <c r="C1890">
        <v>20</v>
      </c>
      <c r="D1890" s="260">
        <v>46275</v>
      </c>
      <c r="E1890" s="260">
        <v>46302</v>
      </c>
      <c r="F1890">
        <v>27</v>
      </c>
      <c r="G1890" t="s">
        <v>350</v>
      </c>
    </row>
    <row r="1891" spans="1:7">
      <c r="A1891" t="s">
        <v>4097</v>
      </c>
      <c r="B1891" t="s">
        <v>4098</v>
      </c>
      <c r="C1891">
        <v>5</v>
      </c>
      <c r="D1891" s="260">
        <v>46321</v>
      </c>
      <c r="E1891" s="260">
        <v>46325</v>
      </c>
      <c r="F1891">
        <v>27</v>
      </c>
      <c r="G1891" t="s">
        <v>350</v>
      </c>
    </row>
    <row r="1892" spans="1:7">
      <c r="A1892" t="s">
        <v>4099</v>
      </c>
      <c r="B1892" t="s">
        <v>4100</v>
      </c>
      <c r="C1892">
        <v>19</v>
      </c>
      <c r="D1892" s="260">
        <v>46310</v>
      </c>
      <c r="E1892" s="260">
        <v>46337</v>
      </c>
      <c r="F1892">
        <v>4</v>
      </c>
      <c r="G1892" t="s">
        <v>350</v>
      </c>
    </row>
    <row r="1893" spans="1:7">
      <c r="A1893" t="s">
        <v>4101</v>
      </c>
      <c r="B1893" t="s">
        <v>4102</v>
      </c>
      <c r="C1893">
        <v>5</v>
      </c>
      <c r="D1893" s="260">
        <v>46352</v>
      </c>
      <c r="E1893" s="260">
        <v>46358</v>
      </c>
      <c r="F1893">
        <v>4</v>
      </c>
      <c r="G1893" t="s">
        <v>350</v>
      </c>
    </row>
    <row r="1894" spans="1:7">
      <c r="A1894" t="s">
        <v>4103</v>
      </c>
      <c r="B1894" t="s">
        <v>4104</v>
      </c>
      <c r="C1894">
        <v>20</v>
      </c>
      <c r="D1894" s="260">
        <v>46301</v>
      </c>
      <c r="E1894" s="260">
        <v>46330</v>
      </c>
      <c r="F1894">
        <v>16</v>
      </c>
      <c r="G1894" t="s">
        <v>350</v>
      </c>
    </row>
    <row r="1895" spans="1:7">
      <c r="A1895" t="s">
        <v>4105</v>
      </c>
      <c r="B1895" t="s">
        <v>4106</v>
      </c>
      <c r="C1895">
        <v>3</v>
      </c>
      <c r="D1895" s="260">
        <v>46338</v>
      </c>
      <c r="E1895" s="260">
        <v>46342</v>
      </c>
      <c r="F1895">
        <v>16</v>
      </c>
      <c r="G1895" t="s">
        <v>350</v>
      </c>
    </row>
    <row r="1896" spans="1:7">
      <c r="A1896" t="s">
        <v>4107</v>
      </c>
      <c r="B1896" t="s">
        <v>4108</v>
      </c>
      <c r="C1896">
        <v>19</v>
      </c>
      <c r="D1896" s="260">
        <v>46309</v>
      </c>
      <c r="E1896" s="260">
        <v>46336</v>
      </c>
      <c r="F1896">
        <v>5</v>
      </c>
      <c r="G1896" t="s">
        <v>350</v>
      </c>
    </row>
    <row r="1897" spans="1:7">
      <c r="A1897" t="s">
        <v>4109</v>
      </c>
      <c r="B1897" t="s">
        <v>4110</v>
      </c>
      <c r="C1897">
        <v>5</v>
      </c>
      <c r="D1897" s="260">
        <v>46351</v>
      </c>
      <c r="E1897" s="260">
        <v>46357</v>
      </c>
      <c r="F1897">
        <v>5</v>
      </c>
      <c r="G1897" t="s">
        <v>350</v>
      </c>
    </row>
    <row r="1898" spans="1:7">
      <c r="A1898" t="s">
        <v>4111</v>
      </c>
      <c r="B1898" t="s">
        <v>4112</v>
      </c>
      <c r="C1898">
        <v>19</v>
      </c>
      <c r="D1898" s="260">
        <v>46309</v>
      </c>
      <c r="E1898" s="260">
        <v>46336</v>
      </c>
      <c r="F1898">
        <v>5</v>
      </c>
      <c r="G1898" t="s">
        <v>350</v>
      </c>
    </row>
    <row r="1899" spans="1:7">
      <c r="A1899" t="s">
        <v>4113</v>
      </c>
      <c r="B1899" t="s">
        <v>4114</v>
      </c>
      <c r="C1899">
        <v>5</v>
      </c>
      <c r="D1899" s="260">
        <v>46351</v>
      </c>
      <c r="E1899" s="260">
        <v>46357</v>
      </c>
      <c r="F1899">
        <v>5</v>
      </c>
      <c r="G1899" t="s">
        <v>350</v>
      </c>
    </row>
    <row r="1900" spans="1:7">
      <c r="A1900" t="s">
        <v>4115</v>
      </c>
      <c r="B1900" t="s">
        <v>4116</v>
      </c>
      <c r="C1900">
        <v>19</v>
      </c>
      <c r="D1900" s="260">
        <v>46309</v>
      </c>
      <c r="E1900" s="260">
        <v>46336</v>
      </c>
      <c r="F1900">
        <v>5</v>
      </c>
      <c r="G1900" t="s">
        <v>350</v>
      </c>
    </row>
    <row r="1901" spans="1:7">
      <c r="A1901" t="s">
        <v>4117</v>
      </c>
      <c r="B1901" t="s">
        <v>4118</v>
      </c>
      <c r="C1901">
        <v>5</v>
      </c>
      <c r="D1901" s="260">
        <v>46351</v>
      </c>
      <c r="E1901" s="260">
        <v>46357</v>
      </c>
      <c r="F1901">
        <v>5</v>
      </c>
      <c r="G1901" t="s">
        <v>350</v>
      </c>
    </row>
    <row r="1902" spans="1:7">
      <c r="A1902" t="s">
        <v>4119</v>
      </c>
      <c r="B1902" t="s">
        <v>4120</v>
      </c>
      <c r="C1902">
        <v>19</v>
      </c>
      <c r="D1902" s="260">
        <v>46309</v>
      </c>
      <c r="E1902" s="260">
        <v>46336</v>
      </c>
      <c r="F1902">
        <v>5</v>
      </c>
      <c r="G1902" t="s">
        <v>350</v>
      </c>
    </row>
    <row r="1903" spans="1:7">
      <c r="A1903" t="s">
        <v>4121</v>
      </c>
      <c r="B1903" t="s">
        <v>4122</v>
      </c>
      <c r="C1903">
        <v>5</v>
      </c>
      <c r="D1903" s="260">
        <v>46351</v>
      </c>
      <c r="E1903" s="260">
        <v>46357</v>
      </c>
      <c r="F1903">
        <v>5</v>
      </c>
      <c r="G1903" t="s">
        <v>350</v>
      </c>
    </row>
    <row r="1904" spans="1:7">
      <c r="A1904" t="s">
        <v>4123</v>
      </c>
      <c r="B1904" t="s">
        <v>4124</v>
      </c>
      <c r="C1904">
        <v>15</v>
      </c>
      <c r="D1904" s="260">
        <v>46311</v>
      </c>
      <c r="E1904" s="260">
        <v>46332</v>
      </c>
      <c r="F1904">
        <v>7</v>
      </c>
      <c r="G1904" t="s">
        <v>350</v>
      </c>
    </row>
    <row r="1905" spans="1:7">
      <c r="A1905" t="s">
        <v>4125</v>
      </c>
      <c r="B1905" t="s">
        <v>4126</v>
      </c>
      <c r="C1905">
        <v>5</v>
      </c>
      <c r="D1905" s="260">
        <v>46349</v>
      </c>
      <c r="E1905" s="260">
        <v>46353</v>
      </c>
      <c r="F1905">
        <v>7</v>
      </c>
      <c r="G1905" t="s">
        <v>350</v>
      </c>
    </row>
    <row r="1906" spans="1:7">
      <c r="A1906" t="s">
        <v>4127</v>
      </c>
      <c r="C1906">
        <v>180</v>
      </c>
      <c r="D1906" s="260">
        <v>46106</v>
      </c>
      <c r="E1906" s="260">
        <v>46378</v>
      </c>
      <c r="F1906">
        <v>7</v>
      </c>
      <c r="G1906" t="s">
        <v>350</v>
      </c>
    </row>
    <row r="1907" spans="1:7">
      <c r="A1907" t="s">
        <v>4128</v>
      </c>
      <c r="B1907" t="s">
        <v>4129</v>
      </c>
      <c r="C1907">
        <v>10</v>
      </c>
      <c r="D1907" s="260">
        <v>46106</v>
      </c>
      <c r="E1907" s="260">
        <v>46120</v>
      </c>
      <c r="F1907">
        <v>-10</v>
      </c>
      <c r="G1907" t="s">
        <v>350</v>
      </c>
    </row>
    <row r="1908" spans="1:7">
      <c r="A1908" t="s">
        <v>4130</v>
      </c>
      <c r="B1908" t="s">
        <v>4131</v>
      </c>
      <c r="C1908">
        <v>10</v>
      </c>
      <c r="D1908" s="260">
        <v>46140</v>
      </c>
      <c r="E1908" s="260">
        <v>46154</v>
      </c>
      <c r="F1908">
        <v>142</v>
      </c>
      <c r="G1908" t="s">
        <v>350</v>
      </c>
    </row>
    <row r="1909" spans="1:7">
      <c r="A1909" t="s">
        <v>4132</v>
      </c>
      <c r="B1909" t="s">
        <v>4133</v>
      </c>
      <c r="C1909">
        <v>5</v>
      </c>
      <c r="D1909" s="260">
        <v>46169</v>
      </c>
      <c r="E1909" s="260">
        <v>46177</v>
      </c>
      <c r="F1909">
        <v>142</v>
      </c>
      <c r="G1909" t="s">
        <v>350</v>
      </c>
    </row>
    <row r="1910" spans="1:7">
      <c r="A1910" t="s">
        <v>4134</v>
      </c>
      <c r="B1910" t="s">
        <v>4135</v>
      </c>
      <c r="C1910">
        <v>10</v>
      </c>
      <c r="D1910" s="260">
        <v>46106</v>
      </c>
      <c r="E1910" s="260">
        <v>46120</v>
      </c>
      <c r="F1910">
        <v>-10</v>
      </c>
      <c r="G1910" t="s">
        <v>350</v>
      </c>
    </row>
    <row r="1911" spans="1:7">
      <c r="A1911" t="s">
        <v>4136</v>
      </c>
      <c r="B1911" t="s">
        <v>4137</v>
      </c>
      <c r="C1911">
        <v>5</v>
      </c>
      <c r="D1911" s="260">
        <v>46140</v>
      </c>
      <c r="E1911" s="260">
        <v>46147</v>
      </c>
      <c r="F1911">
        <v>28</v>
      </c>
      <c r="G1911" t="s">
        <v>350</v>
      </c>
    </row>
    <row r="1912" spans="1:7">
      <c r="A1912" t="s">
        <v>4138</v>
      </c>
      <c r="B1912" t="s">
        <v>4139</v>
      </c>
      <c r="C1912">
        <v>5</v>
      </c>
      <c r="D1912" s="260">
        <v>46162</v>
      </c>
      <c r="E1912" s="260">
        <v>46168</v>
      </c>
      <c r="F1912">
        <v>28</v>
      </c>
      <c r="G1912" t="s">
        <v>350</v>
      </c>
    </row>
    <row r="1913" spans="1:7">
      <c r="A1913" t="s">
        <v>4140</v>
      </c>
      <c r="B1913" t="s">
        <v>4141</v>
      </c>
      <c r="C1913">
        <v>15</v>
      </c>
      <c r="D1913" s="260">
        <v>46121</v>
      </c>
      <c r="E1913" s="260">
        <v>46147</v>
      </c>
      <c r="F1913">
        <v>-10</v>
      </c>
      <c r="G1913" t="s">
        <v>350</v>
      </c>
    </row>
    <row r="1914" spans="1:7">
      <c r="A1914" t="s">
        <v>4142</v>
      </c>
      <c r="B1914" t="s">
        <v>4143</v>
      </c>
      <c r="C1914">
        <v>5</v>
      </c>
      <c r="D1914" s="260">
        <v>46169</v>
      </c>
      <c r="E1914" s="260">
        <v>46177</v>
      </c>
      <c r="F1914">
        <v>28</v>
      </c>
      <c r="G1914" t="s">
        <v>350</v>
      </c>
    </row>
    <row r="1915" spans="1:7">
      <c r="A1915" t="s">
        <v>4144</v>
      </c>
      <c r="B1915" t="s">
        <v>4145</v>
      </c>
      <c r="C1915">
        <v>15</v>
      </c>
      <c r="D1915" s="260">
        <v>46121</v>
      </c>
      <c r="E1915" s="260">
        <v>46147</v>
      </c>
      <c r="F1915">
        <v>7</v>
      </c>
      <c r="G1915" t="s">
        <v>350</v>
      </c>
    </row>
    <row r="1916" spans="1:7">
      <c r="A1916" t="s">
        <v>4146</v>
      </c>
      <c r="B1916" t="s">
        <v>4147</v>
      </c>
      <c r="C1916">
        <v>5</v>
      </c>
      <c r="D1916" s="260">
        <v>46169</v>
      </c>
      <c r="E1916" s="260">
        <v>46177</v>
      </c>
      <c r="F1916">
        <v>87</v>
      </c>
      <c r="G1916" t="s">
        <v>350</v>
      </c>
    </row>
    <row r="1917" spans="1:7">
      <c r="A1917" t="s">
        <v>4148</v>
      </c>
      <c r="B1917" t="s">
        <v>4149</v>
      </c>
      <c r="C1917">
        <v>20</v>
      </c>
      <c r="D1917" s="260">
        <v>46148</v>
      </c>
      <c r="E1917" s="260">
        <v>46177</v>
      </c>
      <c r="F1917">
        <v>7</v>
      </c>
      <c r="G1917" t="s">
        <v>350</v>
      </c>
    </row>
    <row r="1918" spans="1:7">
      <c r="A1918" t="s">
        <v>4150</v>
      </c>
      <c r="B1918" t="s">
        <v>4151</v>
      </c>
      <c r="C1918">
        <v>10</v>
      </c>
      <c r="D1918" s="260">
        <v>46192</v>
      </c>
      <c r="E1918" s="260">
        <v>46205</v>
      </c>
      <c r="F1918">
        <v>42</v>
      </c>
      <c r="G1918" t="s">
        <v>350</v>
      </c>
    </row>
    <row r="1919" spans="1:7">
      <c r="A1919" t="s">
        <v>4152</v>
      </c>
      <c r="B1919" t="s">
        <v>4153</v>
      </c>
      <c r="C1919">
        <v>5</v>
      </c>
      <c r="D1919" s="260">
        <v>46220</v>
      </c>
      <c r="E1919" s="260">
        <v>46226</v>
      </c>
      <c r="F1919">
        <v>57</v>
      </c>
      <c r="G1919" t="s">
        <v>350</v>
      </c>
    </row>
    <row r="1920" spans="1:7">
      <c r="A1920" t="s">
        <v>4154</v>
      </c>
      <c r="B1920" t="s">
        <v>4155</v>
      </c>
      <c r="C1920">
        <v>20</v>
      </c>
      <c r="D1920" s="260">
        <v>46148</v>
      </c>
      <c r="E1920" s="260">
        <v>46177</v>
      </c>
      <c r="F1920">
        <v>7</v>
      </c>
      <c r="G1920" t="s">
        <v>350</v>
      </c>
    </row>
    <row r="1921" spans="1:7">
      <c r="A1921" t="s">
        <v>4156</v>
      </c>
      <c r="B1921" t="s">
        <v>4157</v>
      </c>
      <c r="C1921">
        <v>10</v>
      </c>
      <c r="D1921" s="260">
        <v>46192</v>
      </c>
      <c r="E1921" s="260">
        <v>46205</v>
      </c>
      <c r="F1921">
        <v>42</v>
      </c>
      <c r="G1921" t="s">
        <v>350</v>
      </c>
    </row>
    <row r="1922" spans="1:7">
      <c r="A1922" t="s">
        <v>4158</v>
      </c>
      <c r="B1922" t="s">
        <v>4159</v>
      </c>
      <c r="C1922">
        <v>5</v>
      </c>
      <c r="D1922" s="260">
        <v>46220</v>
      </c>
      <c r="E1922" s="260">
        <v>46226</v>
      </c>
      <c r="F1922">
        <v>57</v>
      </c>
      <c r="G1922" t="s">
        <v>350</v>
      </c>
    </row>
    <row r="1923" spans="1:7">
      <c r="A1923" t="s">
        <v>4160</v>
      </c>
      <c r="B1923" t="s">
        <v>4161</v>
      </c>
      <c r="C1923">
        <v>20</v>
      </c>
      <c r="D1923" s="260">
        <v>46162</v>
      </c>
      <c r="E1923" s="260">
        <v>46191</v>
      </c>
      <c r="F1923">
        <v>7</v>
      </c>
      <c r="G1923" t="s">
        <v>350</v>
      </c>
    </row>
    <row r="1924" spans="1:7">
      <c r="A1924" t="s">
        <v>4162</v>
      </c>
      <c r="B1924" t="s">
        <v>4163</v>
      </c>
      <c r="C1924">
        <v>10</v>
      </c>
      <c r="D1924" s="260">
        <v>46206</v>
      </c>
      <c r="E1924" s="260">
        <v>46219</v>
      </c>
      <c r="F1924">
        <v>32</v>
      </c>
      <c r="G1924" t="s">
        <v>350</v>
      </c>
    </row>
    <row r="1925" spans="1:7">
      <c r="A1925" t="s">
        <v>4164</v>
      </c>
      <c r="B1925" t="s">
        <v>4165</v>
      </c>
      <c r="C1925">
        <v>5</v>
      </c>
      <c r="D1925" s="260">
        <v>46239</v>
      </c>
      <c r="E1925" s="260">
        <v>46245</v>
      </c>
      <c r="F1925">
        <v>47</v>
      </c>
      <c r="G1925" t="s">
        <v>350</v>
      </c>
    </row>
    <row r="1926" spans="1:7">
      <c r="A1926" t="s">
        <v>4166</v>
      </c>
      <c r="B1926" t="s">
        <v>4167</v>
      </c>
      <c r="C1926">
        <v>20</v>
      </c>
      <c r="D1926" s="260">
        <v>46162</v>
      </c>
      <c r="E1926" s="260">
        <v>46191</v>
      </c>
      <c r="F1926">
        <v>7</v>
      </c>
      <c r="G1926" t="s">
        <v>350</v>
      </c>
    </row>
    <row r="1927" spans="1:7">
      <c r="A1927" t="s">
        <v>4168</v>
      </c>
      <c r="B1927" t="s">
        <v>4169</v>
      </c>
      <c r="C1927">
        <v>10</v>
      </c>
      <c r="D1927" s="260">
        <v>46206</v>
      </c>
      <c r="E1927" s="260">
        <v>46219</v>
      </c>
      <c r="F1927">
        <v>32</v>
      </c>
      <c r="G1927" t="s">
        <v>350</v>
      </c>
    </row>
    <row r="1928" spans="1:7">
      <c r="A1928" t="s">
        <v>4170</v>
      </c>
      <c r="B1928" t="s">
        <v>4171</v>
      </c>
      <c r="C1928">
        <v>5</v>
      </c>
      <c r="D1928" s="260">
        <v>46239</v>
      </c>
      <c r="E1928" s="260">
        <v>46245</v>
      </c>
      <c r="F1928">
        <v>47</v>
      </c>
      <c r="G1928" t="s">
        <v>350</v>
      </c>
    </row>
    <row r="1929" spans="1:7">
      <c r="A1929" t="s">
        <v>4172</v>
      </c>
      <c r="B1929" t="s">
        <v>4173</v>
      </c>
      <c r="C1929">
        <v>15</v>
      </c>
      <c r="D1929" s="260">
        <v>46192</v>
      </c>
      <c r="E1929" s="260">
        <v>46212</v>
      </c>
      <c r="F1929">
        <v>7</v>
      </c>
      <c r="G1929" t="s">
        <v>350</v>
      </c>
    </row>
    <row r="1930" spans="1:7">
      <c r="A1930" t="s">
        <v>4174</v>
      </c>
      <c r="B1930" t="s">
        <v>4175</v>
      </c>
      <c r="C1930">
        <v>10</v>
      </c>
      <c r="D1930" s="260">
        <v>46227</v>
      </c>
      <c r="E1930" s="260">
        <v>46245</v>
      </c>
      <c r="F1930">
        <v>27</v>
      </c>
      <c r="G1930" t="s">
        <v>350</v>
      </c>
    </row>
    <row r="1931" spans="1:7">
      <c r="A1931" t="s">
        <v>4176</v>
      </c>
      <c r="B1931" t="s">
        <v>4177</v>
      </c>
      <c r="C1931">
        <v>5</v>
      </c>
      <c r="D1931" s="260">
        <v>46261</v>
      </c>
      <c r="E1931" s="260">
        <v>46267</v>
      </c>
      <c r="F1931">
        <v>37</v>
      </c>
      <c r="G1931" t="s">
        <v>350</v>
      </c>
    </row>
    <row r="1932" spans="1:7">
      <c r="A1932" t="s">
        <v>4178</v>
      </c>
      <c r="B1932" t="s">
        <v>4179</v>
      </c>
      <c r="C1932">
        <v>15</v>
      </c>
      <c r="D1932" s="260">
        <v>46192</v>
      </c>
      <c r="E1932" s="260">
        <v>46212</v>
      </c>
      <c r="F1932">
        <v>62</v>
      </c>
      <c r="G1932" t="s">
        <v>350</v>
      </c>
    </row>
    <row r="1933" spans="1:7">
      <c r="A1933" t="s">
        <v>4180</v>
      </c>
      <c r="B1933" t="s">
        <v>4181</v>
      </c>
      <c r="C1933">
        <v>10</v>
      </c>
      <c r="D1933" s="260">
        <v>46227</v>
      </c>
      <c r="E1933" s="260">
        <v>46245</v>
      </c>
      <c r="F1933">
        <v>67</v>
      </c>
      <c r="G1933" t="s">
        <v>350</v>
      </c>
    </row>
    <row r="1934" spans="1:7">
      <c r="A1934" t="s">
        <v>4182</v>
      </c>
      <c r="B1934" t="s">
        <v>4183</v>
      </c>
      <c r="C1934">
        <v>10</v>
      </c>
      <c r="D1934" s="260">
        <v>46261</v>
      </c>
      <c r="E1934" s="260">
        <v>46274</v>
      </c>
      <c r="F1934">
        <v>67</v>
      </c>
      <c r="G1934" t="s">
        <v>350</v>
      </c>
    </row>
    <row r="1935" spans="1:7">
      <c r="A1935" t="s">
        <v>4184</v>
      </c>
      <c r="B1935" t="s">
        <v>4185</v>
      </c>
      <c r="C1935">
        <v>15</v>
      </c>
      <c r="D1935" s="260">
        <v>46192</v>
      </c>
      <c r="E1935" s="260">
        <v>46212</v>
      </c>
      <c r="F1935">
        <v>7</v>
      </c>
      <c r="G1935" t="s">
        <v>350</v>
      </c>
    </row>
    <row r="1936" spans="1:7">
      <c r="A1936" t="s">
        <v>4186</v>
      </c>
      <c r="B1936" t="s">
        <v>4187</v>
      </c>
      <c r="C1936">
        <v>10</v>
      </c>
      <c r="D1936" s="260">
        <v>46227</v>
      </c>
      <c r="E1936" s="260">
        <v>46245</v>
      </c>
      <c r="F1936">
        <v>27</v>
      </c>
      <c r="G1936" t="s">
        <v>350</v>
      </c>
    </row>
    <row r="1937" spans="1:7">
      <c r="A1937" t="s">
        <v>4188</v>
      </c>
      <c r="B1937" t="s">
        <v>4189</v>
      </c>
      <c r="C1937">
        <v>10</v>
      </c>
      <c r="D1937" s="260">
        <v>46261</v>
      </c>
      <c r="E1937" s="260">
        <v>46274</v>
      </c>
      <c r="F1937">
        <v>32</v>
      </c>
      <c r="G1937" t="s">
        <v>350</v>
      </c>
    </row>
    <row r="1938" spans="1:7">
      <c r="A1938" t="s">
        <v>4190</v>
      </c>
      <c r="B1938" t="s">
        <v>4191</v>
      </c>
      <c r="C1938">
        <v>15</v>
      </c>
      <c r="D1938" s="260">
        <v>46199</v>
      </c>
      <c r="E1938" s="260">
        <v>46219</v>
      </c>
      <c r="F1938">
        <v>7</v>
      </c>
      <c r="G1938" t="s">
        <v>350</v>
      </c>
    </row>
    <row r="1939" spans="1:7">
      <c r="A1939" t="s">
        <v>4192</v>
      </c>
      <c r="B1939" t="s">
        <v>4193</v>
      </c>
      <c r="C1939">
        <v>10</v>
      </c>
      <c r="D1939" s="260">
        <v>46247</v>
      </c>
      <c r="E1939" s="260">
        <v>46260</v>
      </c>
      <c r="F1939">
        <v>27</v>
      </c>
      <c r="G1939" t="s">
        <v>350</v>
      </c>
    </row>
    <row r="1940" spans="1:7">
      <c r="A1940" t="s">
        <v>4194</v>
      </c>
      <c r="B1940" t="s">
        <v>4195</v>
      </c>
      <c r="C1940">
        <v>10</v>
      </c>
      <c r="D1940" s="260">
        <v>46275</v>
      </c>
      <c r="E1940" s="260">
        <v>46288</v>
      </c>
      <c r="F1940">
        <v>32</v>
      </c>
      <c r="G1940" t="s">
        <v>350</v>
      </c>
    </row>
    <row r="1941" spans="1:7">
      <c r="A1941" t="s">
        <v>4196</v>
      </c>
      <c r="B1941" t="s">
        <v>4197</v>
      </c>
      <c r="C1941">
        <v>15</v>
      </c>
      <c r="D1941" s="260">
        <v>46199</v>
      </c>
      <c r="E1941" s="260">
        <v>46219</v>
      </c>
      <c r="F1941">
        <v>7</v>
      </c>
      <c r="G1941" t="s">
        <v>350</v>
      </c>
    </row>
    <row r="1942" spans="1:7">
      <c r="A1942" t="s">
        <v>4198</v>
      </c>
      <c r="B1942" t="s">
        <v>4199</v>
      </c>
      <c r="C1942">
        <v>10</v>
      </c>
      <c r="D1942" s="260">
        <v>46261</v>
      </c>
      <c r="E1942" s="260">
        <v>46274</v>
      </c>
      <c r="F1942">
        <v>27</v>
      </c>
      <c r="G1942" t="s">
        <v>350</v>
      </c>
    </row>
    <row r="1943" spans="1:7">
      <c r="A1943" t="s">
        <v>4200</v>
      </c>
      <c r="B1943" t="s">
        <v>4201</v>
      </c>
      <c r="C1943">
        <v>10</v>
      </c>
      <c r="D1943" s="260">
        <v>46289</v>
      </c>
      <c r="E1943" s="260">
        <v>46302</v>
      </c>
      <c r="F1943">
        <v>32</v>
      </c>
      <c r="G1943" t="s">
        <v>350</v>
      </c>
    </row>
    <row r="1944" spans="1:7">
      <c r="A1944" t="s">
        <v>4202</v>
      </c>
      <c r="B1944" t="s">
        <v>4203</v>
      </c>
      <c r="C1944">
        <v>20</v>
      </c>
      <c r="D1944" s="260">
        <v>46220</v>
      </c>
      <c r="E1944" s="260">
        <v>46253</v>
      </c>
      <c r="F1944">
        <v>7</v>
      </c>
      <c r="G1944" t="s">
        <v>350</v>
      </c>
    </row>
    <row r="1945" spans="1:7">
      <c r="A1945" t="s">
        <v>4204</v>
      </c>
      <c r="B1945" t="s">
        <v>4205</v>
      </c>
      <c r="C1945">
        <v>15</v>
      </c>
      <c r="D1945" s="260">
        <v>46268</v>
      </c>
      <c r="E1945" s="260">
        <v>46288</v>
      </c>
      <c r="F1945">
        <v>22</v>
      </c>
      <c r="G1945" t="s">
        <v>350</v>
      </c>
    </row>
    <row r="1946" spans="1:7">
      <c r="A1946" t="s">
        <v>4206</v>
      </c>
      <c r="B1946" t="s">
        <v>4207</v>
      </c>
      <c r="C1946">
        <v>15</v>
      </c>
      <c r="D1946" s="260">
        <v>46303</v>
      </c>
      <c r="E1946" s="260">
        <v>46325</v>
      </c>
      <c r="F1946">
        <v>22</v>
      </c>
      <c r="G1946" t="s">
        <v>350</v>
      </c>
    </row>
    <row r="1947" spans="1:7">
      <c r="A1947" t="s">
        <v>4208</v>
      </c>
      <c r="B1947" t="s">
        <v>4209</v>
      </c>
      <c r="C1947">
        <v>15</v>
      </c>
      <c r="D1947" s="260">
        <v>46254</v>
      </c>
      <c r="E1947" s="260">
        <v>46274</v>
      </c>
      <c r="F1947">
        <v>7</v>
      </c>
      <c r="G1947" t="s">
        <v>350</v>
      </c>
    </row>
    <row r="1948" spans="1:7">
      <c r="A1948" t="s">
        <v>4210</v>
      </c>
      <c r="B1948" t="s">
        <v>4211</v>
      </c>
      <c r="C1948">
        <v>10</v>
      </c>
      <c r="D1948" s="260">
        <v>46289</v>
      </c>
      <c r="E1948" s="260">
        <v>46302</v>
      </c>
      <c r="F1948">
        <v>22</v>
      </c>
      <c r="G1948" t="s">
        <v>350</v>
      </c>
    </row>
    <row r="1949" spans="1:7">
      <c r="A1949" t="s">
        <v>4212</v>
      </c>
      <c r="B1949" t="s">
        <v>4213</v>
      </c>
      <c r="C1949">
        <v>10</v>
      </c>
      <c r="D1949" s="260">
        <v>46321</v>
      </c>
      <c r="E1949" s="260">
        <v>46332</v>
      </c>
      <c r="F1949">
        <v>22</v>
      </c>
      <c r="G1949" t="s">
        <v>350</v>
      </c>
    </row>
    <row r="1950" spans="1:7">
      <c r="A1950" t="s">
        <v>4214</v>
      </c>
      <c r="B1950" t="s">
        <v>4215</v>
      </c>
      <c r="C1950">
        <v>15</v>
      </c>
      <c r="D1950" s="260">
        <v>46192</v>
      </c>
      <c r="E1950" s="260">
        <v>46212</v>
      </c>
      <c r="F1950">
        <v>77</v>
      </c>
      <c r="G1950" t="s">
        <v>350</v>
      </c>
    </row>
    <row r="1951" spans="1:7">
      <c r="A1951" t="s">
        <v>4216</v>
      </c>
      <c r="B1951" t="s">
        <v>4217</v>
      </c>
      <c r="C1951">
        <v>10</v>
      </c>
      <c r="D1951" s="260">
        <v>46227</v>
      </c>
      <c r="E1951" s="260">
        <v>46245</v>
      </c>
      <c r="F1951">
        <v>77</v>
      </c>
      <c r="G1951" t="s">
        <v>350</v>
      </c>
    </row>
    <row r="1952" spans="1:7">
      <c r="A1952" t="s">
        <v>4218</v>
      </c>
      <c r="B1952" t="s">
        <v>4219</v>
      </c>
      <c r="C1952">
        <v>10</v>
      </c>
      <c r="D1952" s="260">
        <v>46261</v>
      </c>
      <c r="E1952" s="260">
        <v>46274</v>
      </c>
      <c r="F1952">
        <v>77</v>
      </c>
      <c r="G1952" t="s">
        <v>350</v>
      </c>
    </row>
    <row r="1953" spans="1:7">
      <c r="A1953" t="s">
        <v>4220</v>
      </c>
      <c r="B1953" t="s">
        <v>4221</v>
      </c>
      <c r="C1953">
        <v>15</v>
      </c>
      <c r="D1953" s="260">
        <v>46199</v>
      </c>
      <c r="E1953" s="260">
        <v>46219</v>
      </c>
      <c r="F1953">
        <v>72</v>
      </c>
      <c r="G1953" t="s">
        <v>350</v>
      </c>
    </row>
    <row r="1954" spans="1:7">
      <c r="A1954" t="s">
        <v>4222</v>
      </c>
      <c r="B1954" t="s">
        <v>4223</v>
      </c>
      <c r="C1954">
        <v>10</v>
      </c>
      <c r="D1954" s="260">
        <v>46239</v>
      </c>
      <c r="E1954" s="260">
        <v>46253</v>
      </c>
      <c r="F1954">
        <v>72</v>
      </c>
      <c r="G1954" t="s">
        <v>350</v>
      </c>
    </row>
    <row r="1955" spans="1:7">
      <c r="A1955" t="s">
        <v>4224</v>
      </c>
      <c r="B1955" t="s">
        <v>4225</v>
      </c>
      <c r="C1955">
        <v>10</v>
      </c>
      <c r="D1955" s="260">
        <v>46268</v>
      </c>
      <c r="E1955" s="260">
        <v>46281</v>
      </c>
      <c r="F1955">
        <v>72</v>
      </c>
      <c r="G1955" t="s">
        <v>350</v>
      </c>
    </row>
    <row r="1956" spans="1:7">
      <c r="A1956" t="s">
        <v>4226</v>
      </c>
      <c r="B1956" t="s">
        <v>4227</v>
      </c>
      <c r="C1956">
        <v>15</v>
      </c>
      <c r="D1956" s="260">
        <v>46199</v>
      </c>
      <c r="E1956" s="260">
        <v>46219</v>
      </c>
      <c r="F1956">
        <v>72</v>
      </c>
      <c r="G1956" t="s">
        <v>350</v>
      </c>
    </row>
    <row r="1957" spans="1:7">
      <c r="A1957" t="s">
        <v>4228</v>
      </c>
      <c r="B1957" t="s">
        <v>4229</v>
      </c>
      <c r="C1957">
        <v>10</v>
      </c>
      <c r="D1957" s="260">
        <v>46239</v>
      </c>
      <c r="E1957" s="260">
        <v>46253</v>
      </c>
      <c r="F1957">
        <v>72</v>
      </c>
      <c r="G1957" t="s">
        <v>350</v>
      </c>
    </row>
    <row r="1958" spans="1:7">
      <c r="A1958" t="s">
        <v>4230</v>
      </c>
      <c r="B1958" t="s">
        <v>4231</v>
      </c>
      <c r="C1958">
        <v>10</v>
      </c>
      <c r="D1958" s="260">
        <v>46268</v>
      </c>
      <c r="E1958" s="260">
        <v>46281</v>
      </c>
      <c r="F1958">
        <v>72</v>
      </c>
      <c r="G1958" t="s">
        <v>350</v>
      </c>
    </row>
    <row r="1959" spans="1:7">
      <c r="A1959" t="s">
        <v>4232</v>
      </c>
      <c r="B1959" t="s">
        <v>4233</v>
      </c>
      <c r="C1959">
        <v>20</v>
      </c>
      <c r="D1959" s="260">
        <v>46220</v>
      </c>
      <c r="E1959" s="260">
        <v>46253</v>
      </c>
      <c r="F1959">
        <v>22</v>
      </c>
      <c r="G1959" t="s">
        <v>350</v>
      </c>
    </row>
    <row r="1960" spans="1:7">
      <c r="A1960" t="s">
        <v>4234</v>
      </c>
      <c r="B1960" t="s">
        <v>4235</v>
      </c>
      <c r="C1960">
        <v>15</v>
      </c>
      <c r="D1960" s="260">
        <v>46268</v>
      </c>
      <c r="E1960" s="260">
        <v>46288</v>
      </c>
      <c r="F1960">
        <v>22</v>
      </c>
      <c r="G1960" t="s">
        <v>350</v>
      </c>
    </row>
    <row r="1961" spans="1:7">
      <c r="A1961" t="s">
        <v>4236</v>
      </c>
      <c r="B1961" t="s">
        <v>4237</v>
      </c>
      <c r="C1961">
        <v>15</v>
      </c>
      <c r="D1961" s="260">
        <v>46303</v>
      </c>
      <c r="E1961" s="260">
        <v>46325</v>
      </c>
      <c r="F1961">
        <v>22</v>
      </c>
      <c r="G1961" t="s">
        <v>350</v>
      </c>
    </row>
    <row r="1962" spans="1:7">
      <c r="A1962" t="s">
        <v>4238</v>
      </c>
      <c r="B1962" t="s">
        <v>4239</v>
      </c>
      <c r="C1962">
        <v>15</v>
      </c>
      <c r="D1962" s="260">
        <v>46254</v>
      </c>
      <c r="E1962" s="260">
        <v>46274</v>
      </c>
      <c r="F1962">
        <v>7</v>
      </c>
      <c r="G1962" t="s">
        <v>350</v>
      </c>
    </row>
    <row r="1963" spans="1:7">
      <c r="A1963" t="s">
        <v>4240</v>
      </c>
      <c r="B1963" t="s">
        <v>4241</v>
      </c>
      <c r="C1963">
        <v>10</v>
      </c>
      <c r="D1963" s="260">
        <v>46289</v>
      </c>
      <c r="E1963" s="260">
        <v>46302</v>
      </c>
      <c r="F1963">
        <v>22</v>
      </c>
      <c r="G1963" t="s">
        <v>350</v>
      </c>
    </row>
    <row r="1964" spans="1:7">
      <c r="A1964" t="s">
        <v>4242</v>
      </c>
      <c r="B1964" t="s">
        <v>4243</v>
      </c>
      <c r="C1964">
        <v>10</v>
      </c>
      <c r="D1964" s="260">
        <v>46321</v>
      </c>
      <c r="E1964" s="260">
        <v>46332</v>
      </c>
      <c r="F1964">
        <v>22</v>
      </c>
      <c r="G1964" t="s">
        <v>350</v>
      </c>
    </row>
    <row r="1965" spans="1:7">
      <c r="A1965" t="s">
        <v>4244</v>
      </c>
      <c r="B1965" t="s">
        <v>4245</v>
      </c>
      <c r="C1965">
        <v>15</v>
      </c>
      <c r="D1965" s="260">
        <v>46192</v>
      </c>
      <c r="E1965" s="260">
        <v>46212</v>
      </c>
      <c r="F1965">
        <v>77</v>
      </c>
      <c r="G1965" t="s">
        <v>350</v>
      </c>
    </row>
    <row r="1966" spans="1:7">
      <c r="A1966" t="s">
        <v>4246</v>
      </c>
      <c r="B1966" t="s">
        <v>4247</v>
      </c>
      <c r="C1966">
        <v>10</v>
      </c>
      <c r="D1966" s="260">
        <v>46227</v>
      </c>
      <c r="E1966" s="260">
        <v>46245</v>
      </c>
      <c r="F1966">
        <v>77</v>
      </c>
      <c r="G1966" t="s">
        <v>350</v>
      </c>
    </row>
    <row r="1967" spans="1:7">
      <c r="A1967" t="s">
        <v>4248</v>
      </c>
      <c r="B1967" t="s">
        <v>4249</v>
      </c>
      <c r="C1967">
        <v>10</v>
      </c>
      <c r="D1967" s="260">
        <v>46261</v>
      </c>
      <c r="E1967" s="260">
        <v>46274</v>
      </c>
      <c r="F1967">
        <v>77</v>
      </c>
      <c r="G1967" t="s">
        <v>350</v>
      </c>
    </row>
    <row r="1968" spans="1:7">
      <c r="A1968" t="s">
        <v>4250</v>
      </c>
      <c r="B1968" t="s">
        <v>4251</v>
      </c>
      <c r="C1968">
        <v>15</v>
      </c>
      <c r="D1968" s="260">
        <v>46213</v>
      </c>
      <c r="E1968" s="260">
        <v>46238</v>
      </c>
      <c r="F1968">
        <v>62</v>
      </c>
      <c r="G1968" t="s">
        <v>350</v>
      </c>
    </row>
    <row r="1969" spans="1:7">
      <c r="A1969" t="s">
        <v>4252</v>
      </c>
      <c r="B1969" t="s">
        <v>4253</v>
      </c>
      <c r="C1969">
        <v>10</v>
      </c>
      <c r="D1969" s="260">
        <v>46254</v>
      </c>
      <c r="E1969" s="260">
        <v>46267</v>
      </c>
      <c r="F1969">
        <v>62</v>
      </c>
      <c r="G1969" t="s">
        <v>350</v>
      </c>
    </row>
    <row r="1970" spans="1:7">
      <c r="A1970" t="s">
        <v>4254</v>
      </c>
      <c r="B1970" t="s">
        <v>4255</v>
      </c>
      <c r="C1970">
        <v>10</v>
      </c>
      <c r="D1970" s="260">
        <v>46275</v>
      </c>
      <c r="E1970" s="260">
        <v>46288</v>
      </c>
      <c r="F1970">
        <v>67</v>
      </c>
      <c r="G1970" t="s">
        <v>350</v>
      </c>
    </row>
    <row r="1971" spans="1:7">
      <c r="A1971" t="s">
        <v>4256</v>
      </c>
      <c r="B1971" t="s">
        <v>4257</v>
      </c>
      <c r="C1971">
        <v>15</v>
      </c>
      <c r="D1971" s="260">
        <v>46220</v>
      </c>
      <c r="E1971" s="260">
        <v>46245</v>
      </c>
      <c r="F1971">
        <v>37</v>
      </c>
      <c r="G1971" t="s">
        <v>350</v>
      </c>
    </row>
    <row r="1972" spans="1:7">
      <c r="A1972" t="s">
        <v>4258</v>
      </c>
      <c r="B1972" t="s">
        <v>4259</v>
      </c>
      <c r="C1972">
        <v>10</v>
      </c>
      <c r="D1972" s="260">
        <v>46261</v>
      </c>
      <c r="E1972" s="260">
        <v>46274</v>
      </c>
      <c r="F1972">
        <v>37</v>
      </c>
      <c r="G1972" t="s">
        <v>350</v>
      </c>
    </row>
    <row r="1973" spans="1:7">
      <c r="A1973" t="s">
        <v>4260</v>
      </c>
      <c r="B1973" t="s">
        <v>4261</v>
      </c>
      <c r="C1973">
        <v>10</v>
      </c>
      <c r="D1973" s="260">
        <v>46289</v>
      </c>
      <c r="E1973" s="260">
        <v>46302</v>
      </c>
      <c r="F1973">
        <v>37</v>
      </c>
      <c r="G1973" t="s">
        <v>350</v>
      </c>
    </row>
    <row r="1974" spans="1:7">
      <c r="A1974" t="s">
        <v>4262</v>
      </c>
      <c r="B1974" t="s">
        <v>4263</v>
      </c>
      <c r="C1974">
        <v>15</v>
      </c>
      <c r="D1974" s="260">
        <v>46239</v>
      </c>
      <c r="E1974" s="260">
        <v>46260</v>
      </c>
      <c r="F1974">
        <v>37</v>
      </c>
      <c r="G1974" t="s">
        <v>350</v>
      </c>
    </row>
    <row r="1975" spans="1:7">
      <c r="A1975" t="s">
        <v>4264</v>
      </c>
      <c r="B1975" t="s">
        <v>4265</v>
      </c>
      <c r="C1975">
        <v>10</v>
      </c>
      <c r="D1975" s="260">
        <v>46275</v>
      </c>
      <c r="E1975" s="260">
        <v>46288</v>
      </c>
      <c r="F1975">
        <v>37</v>
      </c>
      <c r="G1975" t="s">
        <v>350</v>
      </c>
    </row>
    <row r="1976" spans="1:7">
      <c r="A1976" t="s">
        <v>4266</v>
      </c>
      <c r="B1976" t="s">
        <v>4267</v>
      </c>
      <c r="C1976">
        <v>10</v>
      </c>
      <c r="D1976" s="260">
        <v>46303</v>
      </c>
      <c r="E1976" s="260">
        <v>46317</v>
      </c>
      <c r="F1976">
        <v>37</v>
      </c>
      <c r="G1976" t="s">
        <v>350</v>
      </c>
    </row>
    <row r="1977" spans="1:7">
      <c r="A1977" t="s">
        <v>4268</v>
      </c>
      <c r="B1977" t="s">
        <v>4269</v>
      </c>
      <c r="C1977">
        <v>15</v>
      </c>
      <c r="D1977" s="260">
        <v>46239</v>
      </c>
      <c r="E1977" s="260">
        <v>46260</v>
      </c>
      <c r="F1977">
        <v>37</v>
      </c>
      <c r="G1977" t="s">
        <v>350</v>
      </c>
    </row>
    <row r="1978" spans="1:7">
      <c r="A1978" t="s">
        <v>4270</v>
      </c>
      <c r="B1978" t="s">
        <v>4271</v>
      </c>
      <c r="C1978">
        <v>10</v>
      </c>
      <c r="D1978" s="260">
        <v>46289</v>
      </c>
      <c r="E1978" s="260">
        <v>46302</v>
      </c>
      <c r="F1978">
        <v>37</v>
      </c>
      <c r="G1978" t="s">
        <v>350</v>
      </c>
    </row>
    <row r="1979" spans="1:7">
      <c r="A1979" t="s">
        <v>4272</v>
      </c>
      <c r="B1979" t="s">
        <v>4273</v>
      </c>
      <c r="C1979">
        <v>10</v>
      </c>
      <c r="D1979" s="260">
        <v>46321</v>
      </c>
      <c r="E1979" s="260">
        <v>46332</v>
      </c>
      <c r="F1979">
        <v>37</v>
      </c>
      <c r="G1979" t="s">
        <v>350</v>
      </c>
    </row>
    <row r="1980" spans="1:7">
      <c r="A1980" t="s">
        <v>4274</v>
      </c>
      <c r="B1980" t="s">
        <v>4275</v>
      </c>
      <c r="C1980">
        <v>15</v>
      </c>
      <c r="D1980" s="260">
        <v>46254</v>
      </c>
      <c r="E1980" s="260">
        <v>46274</v>
      </c>
      <c r="F1980">
        <v>37</v>
      </c>
      <c r="G1980" t="s">
        <v>350</v>
      </c>
    </row>
    <row r="1981" spans="1:7">
      <c r="A1981" t="s">
        <v>4276</v>
      </c>
      <c r="B1981" t="s">
        <v>4277</v>
      </c>
      <c r="C1981">
        <v>10</v>
      </c>
      <c r="D1981" s="260">
        <v>46289</v>
      </c>
      <c r="E1981" s="260">
        <v>46302</v>
      </c>
      <c r="F1981">
        <v>37</v>
      </c>
      <c r="G1981" t="s">
        <v>350</v>
      </c>
    </row>
    <row r="1982" spans="1:7">
      <c r="A1982" t="s">
        <v>4278</v>
      </c>
      <c r="B1982" t="s">
        <v>4279</v>
      </c>
      <c r="C1982">
        <v>10</v>
      </c>
      <c r="D1982" s="260">
        <v>46321</v>
      </c>
      <c r="E1982" s="260">
        <v>46332</v>
      </c>
      <c r="F1982">
        <v>37</v>
      </c>
      <c r="G1982" t="s">
        <v>350</v>
      </c>
    </row>
    <row r="1983" spans="1:7">
      <c r="A1983" t="s">
        <v>4280</v>
      </c>
      <c r="B1983" t="s">
        <v>4281</v>
      </c>
      <c r="C1983">
        <v>15</v>
      </c>
      <c r="D1983" s="260">
        <v>46254</v>
      </c>
      <c r="E1983" s="260">
        <v>46274</v>
      </c>
      <c r="F1983">
        <v>37</v>
      </c>
      <c r="G1983" t="s">
        <v>350</v>
      </c>
    </row>
    <row r="1984" spans="1:7">
      <c r="A1984" t="s">
        <v>4282</v>
      </c>
      <c r="B1984" t="s">
        <v>4283</v>
      </c>
      <c r="C1984">
        <v>10</v>
      </c>
      <c r="D1984" s="260">
        <v>46289</v>
      </c>
      <c r="E1984" s="260">
        <v>46302</v>
      </c>
      <c r="F1984">
        <v>37</v>
      </c>
      <c r="G1984" t="s">
        <v>350</v>
      </c>
    </row>
    <row r="1985" spans="1:7">
      <c r="A1985" t="s">
        <v>4284</v>
      </c>
      <c r="B1985" t="s">
        <v>4285</v>
      </c>
      <c r="C1985">
        <v>10</v>
      </c>
      <c r="D1985" s="260">
        <v>46321</v>
      </c>
      <c r="E1985" s="260">
        <v>46332</v>
      </c>
      <c r="F1985">
        <v>37</v>
      </c>
      <c r="G1985" t="s">
        <v>350</v>
      </c>
    </row>
    <row r="1986" spans="1:7">
      <c r="A1986" t="s">
        <v>4286</v>
      </c>
      <c r="B1986" t="s">
        <v>4287</v>
      </c>
      <c r="C1986">
        <v>15</v>
      </c>
      <c r="D1986" s="260">
        <v>46192</v>
      </c>
      <c r="E1986" s="260">
        <v>46212</v>
      </c>
      <c r="F1986">
        <v>77</v>
      </c>
      <c r="G1986" t="s">
        <v>350</v>
      </c>
    </row>
    <row r="1987" spans="1:7">
      <c r="A1987" t="s">
        <v>4288</v>
      </c>
      <c r="B1987" t="s">
        <v>4289</v>
      </c>
      <c r="C1987">
        <v>10</v>
      </c>
      <c r="D1987" s="260">
        <v>46227</v>
      </c>
      <c r="E1987" s="260">
        <v>46245</v>
      </c>
      <c r="F1987">
        <v>77</v>
      </c>
      <c r="G1987" t="s">
        <v>350</v>
      </c>
    </row>
    <row r="1988" spans="1:7">
      <c r="A1988" t="s">
        <v>4290</v>
      </c>
      <c r="B1988" t="s">
        <v>4291</v>
      </c>
      <c r="C1988">
        <v>10</v>
      </c>
      <c r="D1988" s="260">
        <v>46261</v>
      </c>
      <c r="E1988" s="260">
        <v>46274</v>
      </c>
      <c r="F1988">
        <v>77</v>
      </c>
      <c r="G1988" t="s">
        <v>350</v>
      </c>
    </row>
    <row r="1989" spans="1:7">
      <c r="A1989" t="s">
        <v>4292</v>
      </c>
      <c r="B1989" t="s">
        <v>4293</v>
      </c>
      <c r="C1989">
        <v>15</v>
      </c>
      <c r="D1989" s="260">
        <v>46213</v>
      </c>
      <c r="E1989" s="260">
        <v>46238</v>
      </c>
      <c r="F1989">
        <v>62</v>
      </c>
      <c r="G1989" t="s">
        <v>350</v>
      </c>
    </row>
    <row r="1990" spans="1:7">
      <c r="A1990" t="s">
        <v>4294</v>
      </c>
      <c r="B1990" t="s">
        <v>4295</v>
      </c>
      <c r="C1990">
        <v>10</v>
      </c>
      <c r="D1990" s="260">
        <v>46254</v>
      </c>
      <c r="E1990" s="260">
        <v>46267</v>
      </c>
      <c r="F1990">
        <v>62</v>
      </c>
      <c r="G1990" t="s">
        <v>350</v>
      </c>
    </row>
    <row r="1991" spans="1:7">
      <c r="A1991" t="s">
        <v>4296</v>
      </c>
      <c r="B1991" t="s">
        <v>4297</v>
      </c>
      <c r="C1991">
        <v>10</v>
      </c>
      <c r="D1991" s="260">
        <v>46282</v>
      </c>
      <c r="E1991" s="260">
        <v>46295</v>
      </c>
      <c r="F1991">
        <v>62</v>
      </c>
      <c r="G1991" t="s">
        <v>350</v>
      </c>
    </row>
    <row r="1992" spans="1:7">
      <c r="A1992" t="s">
        <v>4298</v>
      </c>
      <c r="B1992" t="s">
        <v>4299</v>
      </c>
      <c r="C1992">
        <v>15</v>
      </c>
      <c r="D1992" s="260">
        <v>46220</v>
      </c>
      <c r="E1992" s="260">
        <v>46245</v>
      </c>
      <c r="F1992">
        <v>57</v>
      </c>
      <c r="G1992" t="s">
        <v>350</v>
      </c>
    </row>
    <row r="1993" spans="1:7">
      <c r="A1993" t="s">
        <v>4300</v>
      </c>
      <c r="B1993" t="s">
        <v>4301</v>
      </c>
      <c r="C1993">
        <v>10</v>
      </c>
      <c r="D1993" s="260">
        <v>46261</v>
      </c>
      <c r="E1993" s="260">
        <v>46274</v>
      </c>
      <c r="F1993">
        <v>57</v>
      </c>
      <c r="G1993" t="s">
        <v>350</v>
      </c>
    </row>
    <row r="1994" spans="1:7">
      <c r="A1994" t="s">
        <v>4302</v>
      </c>
      <c r="B1994" t="s">
        <v>4303</v>
      </c>
      <c r="C1994">
        <v>10</v>
      </c>
      <c r="D1994" s="260">
        <v>46289</v>
      </c>
      <c r="E1994" s="260">
        <v>46302</v>
      </c>
      <c r="F1994">
        <v>57</v>
      </c>
      <c r="G1994" t="s">
        <v>350</v>
      </c>
    </row>
    <row r="1995" spans="1:7">
      <c r="A1995" t="s">
        <v>4304</v>
      </c>
      <c r="B1995" t="s">
        <v>4305</v>
      </c>
      <c r="C1995">
        <v>15</v>
      </c>
      <c r="D1995" s="260">
        <v>46239</v>
      </c>
      <c r="E1995" s="260">
        <v>46260</v>
      </c>
      <c r="F1995">
        <v>47</v>
      </c>
      <c r="G1995" t="s">
        <v>350</v>
      </c>
    </row>
    <row r="1996" spans="1:7">
      <c r="A1996" t="s">
        <v>4306</v>
      </c>
      <c r="B1996" t="s">
        <v>4307</v>
      </c>
      <c r="C1996">
        <v>10</v>
      </c>
      <c r="D1996" s="260">
        <v>46275</v>
      </c>
      <c r="E1996" s="260">
        <v>46288</v>
      </c>
      <c r="F1996">
        <v>47</v>
      </c>
      <c r="G1996" t="s">
        <v>350</v>
      </c>
    </row>
    <row r="1997" spans="1:7">
      <c r="A1997" t="s">
        <v>4308</v>
      </c>
      <c r="B1997" t="s">
        <v>4309</v>
      </c>
      <c r="C1997">
        <v>10</v>
      </c>
      <c r="D1997" s="260">
        <v>46303</v>
      </c>
      <c r="E1997" s="260">
        <v>46317</v>
      </c>
      <c r="F1997">
        <v>47</v>
      </c>
      <c r="G1997" t="s">
        <v>350</v>
      </c>
    </row>
    <row r="1998" spans="1:7">
      <c r="A1998" t="s">
        <v>4310</v>
      </c>
      <c r="B1998" t="s">
        <v>4311</v>
      </c>
      <c r="C1998">
        <v>15</v>
      </c>
      <c r="D1998" s="260">
        <v>46239</v>
      </c>
      <c r="E1998" s="260">
        <v>46260</v>
      </c>
      <c r="F1998">
        <v>47</v>
      </c>
      <c r="G1998" t="s">
        <v>350</v>
      </c>
    </row>
    <row r="1999" spans="1:7">
      <c r="A1999" t="s">
        <v>4312</v>
      </c>
      <c r="B1999" t="s">
        <v>4313</v>
      </c>
      <c r="C1999">
        <v>10</v>
      </c>
      <c r="D1999" s="260">
        <v>46289</v>
      </c>
      <c r="E1999" s="260">
        <v>46302</v>
      </c>
      <c r="F1999">
        <v>37</v>
      </c>
      <c r="G1999" t="s">
        <v>350</v>
      </c>
    </row>
    <row r="2000" spans="1:7">
      <c r="A2000" t="s">
        <v>4314</v>
      </c>
      <c r="B2000" t="s">
        <v>4315</v>
      </c>
      <c r="C2000">
        <v>10</v>
      </c>
      <c r="D2000" s="260">
        <v>46321</v>
      </c>
      <c r="E2000" s="260">
        <v>46332</v>
      </c>
      <c r="F2000">
        <v>37</v>
      </c>
      <c r="G2000" t="s">
        <v>350</v>
      </c>
    </row>
    <row r="2001" spans="1:7">
      <c r="A2001" t="s">
        <v>4316</v>
      </c>
      <c r="B2001" t="s">
        <v>4317</v>
      </c>
      <c r="C2001">
        <v>15</v>
      </c>
      <c r="D2001" s="260">
        <v>46254</v>
      </c>
      <c r="E2001" s="260">
        <v>46274</v>
      </c>
      <c r="F2001">
        <v>37</v>
      </c>
      <c r="G2001" t="s">
        <v>350</v>
      </c>
    </row>
    <row r="2002" spans="1:7">
      <c r="A2002" t="s">
        <v>4318</v>
      </c>
      <c r="B2002" t="s">
        <v>4319</v>
      </c>
      <c r="C2002">
        <v>10</v>
      </c>
      <c r="D2002" s="260">
        <v>46289</v>
      </c>
      <c r="E2002" s="260">
        <v>46302</v>
      </c>
      <c r="F2002">
        <v>37</v>
      </c>
      <c r="G2002" t="s">
        <v>350</v>
      </c>
    </row>
    <row r="2003" spans="1:7">
      <c r="A2003" t="s">
        <v>4320</v>
      </c>
      <c r="B2003" t="s">
        <v>4321</v>
      </c>
      <c r="C2003">
        <v>10</v>
      </c>
      <c r="D2003" s="260">
        <v>46321</v>
      </c>
      <c r="E2003" s="260">
        <v>46332</v>
      </c>
      <c r="F2003">
        <v>37</v>
      </c>
      <c r="G2003" t="s">
        <v>350</v>
      </c>
    </row>
    <row r="2004" spans="1:7">
      <c r="A2004" t="s">
        <v>4322</v>
      </c>
      <c r="B2004" t="s">
        <v>4323</v>
      </c>
      <c r="C2004">
        <v>15</v>
      </c>
      <c r="D2004" s="260">
        <v>46254</v>
      </c>
      <c r="E2004" s="260">
        <v>46274</v>
      </c>
      <c r="F2004">
        <v>37</v>
      </c>
      <c r="G2004" t="s">
        <v>350</v>
      </c>
    </row>
    <row r="2005" spans="1:7">
      <c r="A2005" t="s">
        <v>4324</v>
      </c>
      <c r="B2005" t="s">
        <v>4325</v>
      </c>
      <c r="C2005">
        <v>10</v>
      </c>
      <c r="D2005" s="260">
        <v>46289</v>
      </c>
      <c r="E2005" s="260">
        <v>46302</v>
      </c>
      <c r="F2005">
        <v>37</v>
      </c>
      <c r="G2005" t="s">
        <v>350</v>
      </c>
    </row>
    <row r="2006" spans="1:7">
      <c r="A2006" t="s">
        <v>4326</v>
      </c>
      <c r="B2006" t="s">
        <v>4327</v>
      </c>
      <c r="C2006">
        <v>10</v>
      </c>
      <c r="D2006" s="260">
        <v>46321</v>
      </c>
      <c r="E2006" s="260">
        <v>46332</v>
      </c>
      <c r="F2006">
        <v>37</v>
      </c>
      <c r="G2006" t="s">
        <v>350</v>
      </c>
    </row>
    <row r="2007" spans="1:7">
      <c r="A2007" t="s">
        <v>4328</v>
      </c>
      <c r="B2007" t="s">
        <v>4329</v>
      </c>
      <c r="C2007">
        <v>15</v>
      </c>
      <c r="D2007" s="260">
        <v>46275</v>
      </c>
      <c r="E2007" s="260">
        <v>46295</v>
      </c>
      <c r="F2007">
        <v>42</v>
      </c>
      <c r="G2007" t="s">
        <v>350</v>
      </c>
    </row>
    <row r="2008" spans="1:7">
      <c r="A2008" t="s">
        <v>4330</v>
      </c>
      <c r="B2008" t="s">
        <v>4331</v>
      </c>
      <c r="C2008">
        <v>10</v>
      </c>
      <c r="D2008" s="260">
        <v>46321</v>
      </c>
      <c r="E2008" s="260">
        <v>46332</v>
      </c>
      <c r="F2008">
        <v>37</v>
      </c>
      <c r="G2008" t="s">
        <v>350</v>
      </c>
    </row>
    <row r="2009" spans="1:7">
      <c r="A2009" t="s">
        <v>4332</v>
      </c>
      <c r="B2009" t="s">
        <v>4333</v>
      </c>
      <c r="C2009">
        <v>15</v>
      </c>
      <c r="D2009" s="260">
        <v>46275</v>
      </c>
      <c r="E2009" s="260">
        <v>46295</v>
      </c>
      <c r="F2009">
        <v>42</v>
      </c>
      <c r="G2009" t="s">
        <v>350</v>
      </c>
    </row>
    <row r="2010" spans="1:7">
      <c r="A2010" t="s">
        <v>4334</v>
      </c>
      <c r="B2010" t="s">
        <v>4335</v>
      </c>
      <c r="C2010">
        <v>10</v>
      </c>
      <c r="D2010" s="260">
        <v>46321</v>
      </c>
      <c r="E2010" s="260">
        <v>46332</v>
      </c>
      <c r="F2010">
        <v>37</v>
      </c>
      <c r="G2010" t="s">
        <v>350</v>
      </c>
    </row>
    <row r="2011" spans="1:7">
      <c r="A2011" t="s">
        <v>4336</v>
      </c>
      <c r="C2011">
        <v>135</v>
      </c>
      <c r="D2011" s="260">
        <v>46148</v>
      </c>
      <c r="E2011" s="260">
        <v>46346</v>
      </c>
      <c r="F2011">
        <v>27</v>
      </c>
      <c r="G2011" t="s">
        <v>350</v>
      </c>
    </row>
    <row r="2012" spans="1:7">
      <c r="A2012" t="s">
        <v>4337</v>
      </c>
      <c r="B2012" t="s">
        <v>4338</v>
      </c>
      <c r="C2012">
        <v>15</v>
      </c>
      <c r="D2012" s="260">
        <v>46239</v>
      </c>
      <c r="E2012" s="260">
        <v>46260</v>
      </c>
      <c r="F2012">
        <v>7</v>
      </c>
      <c r="G2012" t="s">
        <v>350</v>
      </c>
    </row>
    <row r="2013" spans="1:7">
      <c r="A2013" t="s">
        <v>4339</v>
      </c>
      <c r="B2013" t="s">
        <v>4340</v>
      </c>
      <c r="C2013">
        <v>10</v>
      </c>
      <c r="D2013" s="260">
        <v>46275</v>
      </c>
      <c r="E2013" s="260">
        <v>46288</v>
      </c>
      <c r="F2013">
        <v>42</v>
      </c>
      <c r="G2013" t="s">
        <v>350</v>
      </c>
    </row>
    <row r="2014" spans="1:7">
      <c r="A2014" t="s">
        <v>4341</v>
      </c>
      <c r="B2014" t="s">
        <v>4342</v>
      </c>
      <c r="C2014">
        <v>10</v>
      </c>
      <c r="D2014" s="260">
        <v>46335</v>
      </c>
      <c r="E2014" s="260">
        <v>46346</v>
      </c>
      <c r="F2014">
        <v>22</v>
      </c>
      <c r="G2014" t="s">
        <v>350</v>
      </c>
    </row>
    <row r="2015" spans="1:7">
      <c r="A2015" t="s">
        <v>4343</v>
      </c>
      <c r="B2015" t="s">
        <v>4344</v>
      </c>
      <c r="C2015">
        <v>15</v>
      </c>
      <c r="D2015" s="260">
        <v>46239</v>
      </c>
      <c r="E2015" s="260">
        <v>46260</v>
      </c>
      <c r="F2015">
        <v>7</v>
      </c>
      <c r="G2015" t="s">
        <v>350</v>
      </c>
    </row>
    <row r="2016" spans="1:7">
      <c r="A2016" t="s">
        <v>4345</v>
      </c>
      <c r="B2016" t="s">
        <v>4346</v>
      </c>
      <c r="C2016">
        <v>10</v>
      </c>
      <c r="D2016" s="260">
        <v>46275</v>
      </c>
      <c r="E2016" s="260">
        <v>46288</v>
      </c>
      <c r="F2016">
        <v>42</v>
      </c>
      <c r="G2016" t="s">
        <v>350</v>
      </c>
    </row>
    <row r="2017" spans="1:7">
      <c r="A2017" t="s">
        <v>4347</v>
      </c>
      <c r="B2017" t="s">
        <v>4348</v>
      </c>
      <c r="C2017">
        <v>10</v>
      </c>
      <c r="D2017" s="260">
        <v>46335</v>
      </c>
      <c r="E2017" s="260">
        <v>46346</v>
      </c>
      <c r="F2017">
        <v>22</v>
      </c>
      <c r="G2017" t="s">
        <v>350</v>
      </c>
    </row>
    <row r="2018" spans="1:7">
      <c r="A2018" t="s">
        <v>4349</v>
      </c>
      <c r="B2018" t="s">
        <v>4350</v>
      </c>
      <c r="C2018">
        <v>15</v>
      </c>
      <c r="D2018" s="260">
        <v>46239</v>
      </c>
      <c r="E2018" s="260">
        <v>46260</v>
      </c>
      <c r="F2018">
        <v>7</v>
      </c>
      <c r="G2018" t="s">
        <v>350</v>
      </c>
    </row>
    <row r="2019" spans="1:7">
      <c r="A2019" t="s">
        <v>4351</v>
      </c>
      <c r="B2019" t="s">
        <v>4352</v>
      </c>
      <c r="C2019">
        <v>10</v>
      </c>
      <c r="D2019" s="260">
        <v>46275</v>
      </c>
      <c r="E2019" s="260">
        <v>46288</v>
      </c>
      <c r="F2019">
        <v>42</v>
      </c>
      <c r="G2019" t="s">
        <v>350</v>
      </c>
    </row>
    <row r="2020" spans="1:7">
      <c r="A2020" t="s">
        <v>4353</v>
      </c>
      <c r="B2020" t="s">
        <v>4354</v>
      </c>
      <c r="C2020">
        <v>10</v>
      </c>
      <c r="D2020" s="260">
        <v>46335</v>
      </c>
      <c r="E2020" s="260">
        <v>46346</v>
      </c>
      <c r="F2020">
        <v>22</v>
      </c>
      <c r="G2020" t="s">
        <v>350</v>
      </c>
    </row>
    <row r="2021" spans="1:7">
      <c r="A2021" t="s">
        <v>4355</v>
      </c>
      <c r="B2021" t="s">
        <v>4356</v>
      </c>
      <c r="C2021">
        <v>15</v>
      </c>
      <c r="D2021" s="260">
        <v>46239</v>
      </c>
      <c r="E2021" s="260">
        <v>46260</v>
      </c>
      <c r="F2021">
        <v>7</v>
      </c>
      <c r="G2021" t="s">
        <v>350</v>
      </c>
    </row>
    <row r="2022" spans="1:7">
      <c r="A2022" t="s">
        <v>4357</v>
      </c>
      <c r="B2022" t="s">
        <v>4358</v>
      </c>
      <c r="C2022">
        <v>10</v>
      </c>
      <c r="D2022" s="260">
        <v>46275</v>
      </c>
      <c r="E2022" s="260">
        <v>46288</v>
      </c>
      <c r="F2022">
        <v>42</v>
      </c>
      <c r="G2022" t="s">
        <v>350</v>
      </c>
    </row>
    <row r="2023" spans="1:7">
      <c r="A2023" t="s">
        <v>4359</v>
      </c>
      <c r="B2023" t="s">
        <v>4360</v>
      </c>
      <c r="C2023">
        <v>10</v>
      </c>
      <c r="D2023" s="260">
        <v>46335</v>
      </c>
      <c r="E2023" s="260">
        <v>46346</v>
      </c>
      <c r="F2023">
        <v>22</v>
      </c>
      <c r="G2023" t="s">
        <v>350</v>
      </c>
    </row>
    <row r="2024" spans="1:7">
      <c r="A2024" t="s">
        <v>4361</v>
      </c>
      <c r="B2024" t="s">
        <v>4362</v>
      </c>
      <c r="C2024">
        <v>15</v>
      </c>
      <c r="D2024" s="260">
        <v>46239</v>
      </c>
      <c r="E2024" s="260">
        <v>46260</v>
      </c>
      <c r="F2024">
        <v>7</v>
      </c>
      <c r="G2024" t="s">
        <v>350</v>
      </c>
    </row>
    <row r="2025" spans="1:7">
      <c r="A2025" t="s">
        <v>4363</v>
      </c>
      <c r="B2025" t="s">
        <v>4364</v>
      </c>
      <c r="C2025">
        <v>10</v>
      </c>
      <c r="D2025" s="260">
        <v>46275</v>
      </c>
      <c r="E2025" s="260">
        <v>46288</v>
      </c>
      <c r="F2025">
        <v>42</v>
      </c>
      <c r="G2025" t="s">
        <v>350</v>
      </c>
    </row>
    <row r="2026" spans="1:7">
      <c r="A2026" t="s">
        <v>4365</v>
      </c>
      <c r="B2026" t="s">
        <v>4366</v>
      </c>
      <c r="C2026">
        <v>10</v>
      </c>
      <c r="D2026" s="260">
        <v>46335</v>
      </c>
      <c r="E2026" s="260">
        <v>46346</v>
      </c>
      <c r="F2026">
        <v>22</v>
      </c>
      <c r="G2026" t="s">
        <v>350</v>
      </c>
    </row>
    <row r="2027" spans="1:7">
      <c r="A2027" t="s">
        <v>4367</v>
      </c>
      <c r="B2027" t="s">
        <v>4368</v>
      </c>
      <c r="C2027">
        <v>10</v>
      </c>
      <c r="D2027" s="260">
        <v>46148</v>
      </c>
      <c r="E2027" s="260">
        <v>46161</v>
      </c>
      <c r="F2027">
        <v>-10</v>
      </c>
      <c r="G2027" t="s">
        <v>350</v>
      </c>
    </row>
    <row r="2028" spans="1:7">
      <c r="A2028" t="s">
        <v>4369</v>
      </c>
      <c r="B2028" t="s">
        <v>4370</v>
      </c>
      <c r="C2028">
        <v>10</v>
      </c>
      <c r="D2028" s="260">
        <v>46178</v>
      </c>
      <c r="E2028" s="260">
        <v>46191</v>
      </c>
      <c r="F2028">
        <v>5</v>
      </c>
      <c r="G2028" t="s">
        <v>350</v>
      </c>
    </row>
    <row r="2029" spans="1:7">
      <c r="A2029" t="s">
        <v>4371</v>
      </c>
      <c r="B2029" t="s">
        <v>4372</v>
      </c>
      <c r="C2029">
        <v>10</v>
      </c>
      <c r="D2029" s="260">
        <v>46219</v>
      </c>
      <c r="E2029" s="260">
        <v>46237</v>
      </c>
      <c r="F2029">
        <v>-1</v>
      </c>
      <c r="G2029" t="s">
        <v>350</v>
      </c>
    </row>
    <row r="2030" spans="1:7">
      <c r="A2030" t="s">
        <v>4373</v>
      </c>
      <c r="B2030" t="s">
        <v>4374</v>
      </c>
      <c r="C2030">
        <v>10</v>
      </c>
      <c r="D2030" s="260">
        <v>46275</v>
      </c>
      <c r="E2030" s="260">
        <v>46288</v>
      </c>
      <c r="F2030">
        <v>7</v>
      </c>
      <c r="G2030" t="s">
        <v>350</v>
      </c>
    </row>
    <row r="2031" spans="1:7">
      <c r="A2031" t="s">
        <v>4375</v>
      </c>
      <c r="B2031" t="s">
        <v>4376</v>
      </c>
      <c r="C2031">
        <v>10</v>
      </c>
      <c r="D2031" s="260">
        <v>46303</v>
      </c>
      <c r="E2031" s="260">
        <v>46317</v>
      </c>
      <c r="F2031">
        <v>22</v>
      </c>
      <c r="G2031" t="s">
        <v>350</v>
      </c>
    </row>
    <row r="2032" spans="1:7">
      <c r="A2032" t="s">
        <v>4377</v>
      </c>
      <c r="B2032" t="s">
        <v>4378</v>
      </c>
      <c r="C2032">
        <v>10</v>
      </c>
      <c r="D2032" s="260">
        <v>46335</v>
      </c>
      <c r="E2032" s="260">
        <v>46346</v>
      </c>
      <c r="F2032">
        <v>22</v>
      </c>
      <c r="G2032" t="s">
        <v>350</v>
      </c>
    </row>
    <row r="2033" spans="1:7">
      <c r="A2033" t="s">
        <v>4379</v>
      </c>
      <c r="B2033" t="s">
        <v>4380</v>
      </c>
      <c r="C2033">
        <v>15</v>
      </c>
      <c r="D2033" s="260">
        <v>46239</v>
      </c>
      <c r="E2033" s="260">
        <v>46260</v>
      </c>
      <c r="F2033">
        <v>47</v>
      </c>
      <c r="G2033" t="s">
        <v>350</v>
      </c>
    </row>
    <row r="2034" spans="1:7">
      <c r="A2034" t="s">
        <v>4381</v>
      </c>
      <c r="B2034" t="s">
        <v>4382</v>
      </c>
      <c r="C2034">
        <v>10</v>
      </c>
      <c r="D2034" s="260">
        <v>46275</v>
      </c>
      <c r="E2034" s="260">
        <v>46288</v>
      </c>
      <c r="F2034">
        <v>47</v>
      </c>
      <c r="G2034" t="s">
        <v>350</v>
      </c>
    </row>
    <row r="2035" spans="1:7">
      <c r="A2035" t="s">
        <v>4383</v>
      </c>
      <c r="B2035" t="s">
        <v>4384</v>
      </c>
      <c r="C2035">
        <v>10</v>
      </c>
      <c r="D2035" s="260">
        <v>46335</v>
      </c>
      <c r="E2035" s="260">
        <v>46346</v>
      </c>
      <c r="F2035">
        <v>27</v>
      </c>
      <c r="G2035" t="s">
        <v>350</v>
      </c>
    </row>
    <row r="2036" spans="1:7">
      <c r="A2036" t="s">
        <v>4385</v>
      </c>
      <c r="B2036" t="s">
        <v>4386</v>
      </c>
      <c r="C2036">
        <v>15</v>
      </c>
      <c r="D2036" s="260">
        <v>46239</v>
      </c>
      <c r="E2036" s="260">
        <v>46260</v>
      </c>
      <c r="F2036">
        <v>47</v>
      </c>
      <c r="G2036" t="s">
        <v>350</v>
      </c>
    </row>
    <row r="2037" spans="1:7">
      <c r="A2037" t="s">
        <v>4387</v>
      </c>
      <c r="B2037" t="s">
        <v>4388</v>
      </c>
      <c r="C2037">
        <v>10</v>
      </c>
      <c r="D2037" s="260">
        <v>46275</v>
      </c>
      <c r="E2037" s="260">
        <v>46288</v>
      </c>
      <c r="F2037">
        <v>47</v>
      </c>
      <c r="G2037" t="s">
        <v>350</v>
      </c>
    </row>
    <row r="2038" spans="1:7">
      <c r="A2038" t="s">
        <v>4389</v>
      </c>
      <c r="B2038" t="s">
        <v>4390</v>
      </c>
      <c r="C2038">
        <v>10</v>
      </c>
      <c r="D2038" s="260">
        <v>46335</v>
      </c>
      <c r="E2038" s="260">
        <v>46346</v>
      </c>
      <c r="F2038">
        <v>27</v>
      </c>
      <c r="G2038" t="s">
        <v>350</v>
      </c>
    </row>
    <row r="2039" spans="1:7">
      <c r="A2039" t="s">
        <v>4391</v>
      </c>
      <c r="B2039" t="s">
        <v>4392</v>
      </c>
      <c r="C2039">
        <v>15</v>
      </c>
      <c r="D2039" s="260">
        <v>46239</v>
      </c>
      <c r="E2039" s="260">
        <v>46260</v>
      </c>
      <c r="F2039">
        <v>47</v>
      </c>
      <c r="G2039" t="s">
        <v>350</v>
      </c>
    </row>
    <row r="2040" spans="1:7">
      <c r="A2040" t="s">
        <v>4393</v>
      </c>
      <c r="B2040" t="s">
        <v>4394</v>
      </c>
      <c r="C2040">
        <v>10</v>
      </c>
      <c r="D2040" s="260">
        <v>46275</v>
      </c>
      <c r="E2040" s="260">
        <v>46288</v>
      </c>
      <c r="F2040">
        <v>47</v>
      </c>
      <c r="G2040" t="s">
        <v>350</v>
      </c>
    </row>
    <row r="2041" spans="1:7">
      <c r="A2041" t="s">
        <v>4395</v>
      </c>
      <c r="B2041" t="s">
        <v>4396</v>
      </c>
      <c r="C2041">
        <v>10</v>
      </c>
      <c r="D2041" s="260">
        <v>46335</v>
      </c>
      <c r="E2041" s="260">
        <v>46346</v>
      </c>
      <c r="F2041">
        <v>27</v>
      </c>
      <c r="G2041" t="s">
        <v>350</v>
      </c>
    </row>
    <row r="2042" spans="1:7">
      <c r="A2042" t="s">
        <v>4397</v>
      </c>
      <c r="B2042" t="s">
        <v>4398</v>
      </c>
      <c r="C2042">
        <v>15</v>
      </c>
      <c r="D2042" s="260">
        <v>46239</v>
      </c>
      <c r="E2042" s="260">
        <v>46260</v>
      </c>
      <c r="F2042">
        <v>47</v>
      </c>
      <c r="G2042" t="s">
        <v>350</v>
      </c>
    </row>
    <row r="2043" spans="1:7">
      <c r="A2043" t="s">
        <v>4399</v>
      </c>
      <c r="B2043" t="s">
        <v>4400</v>
      </c>
      <c r="C2043">
        <v>10</v>
      </c>
      <c r="D2043" s="260">
        <v>46275</v>
      </c>
      <c r="E2043" s="260">
        <v>46288</v>
      </c>
      <c r="F2043">
        <v>47</v>
      </c>
      <c r="G2043" t="s">
        <v>350</v>
      </c>
    </row>
    <row r="2044" spans="1:7">
      <c r="A2044" t="s">
        <v>4401</v>
      </c>
      <c r="B2044" t="s">
        <v>4402</v>
      </c>
      <c r="C2044">
        <v>10</v>
      </c>
      <c r="D2044" s="260">
        <v>46335</v>
      </c>
      <c r="E2044" s="260">
        <v>46346</v>
      </c>
      <c r="F2044">
        <v>27</v>
      </c>
      <c r="G2044" t="s">
        <v>350</v>
      </c>
    </row>
    <row r="2045" spans="1:7">
      <c r="A2045" t="s">
        <v>4403</v>
      </c>
      <c r="B2045" t="s">
        <v>4404</v>
      </c>
      <c r="C2045">
        <v>15</v>
      </c>
      <c r="D2045" s="260">
        <v>46239</v>
      </c>
      <c r="E2045" s="260">
        <v>46260</v>
      </c>
      <c r="F2045">
        <v>47</v>
      </c>
      <c r="G2045" t="s">
        <v>350</v>
      </c>
    </row>
    <row r="2046" spans="1:7">
      <c r="A2046" t="s">
        <v>4405</v>
      </c>
      <c r="B2046" t="s">
        <v>4406</v>
      </c>
      <c r="C2046">
        <v>10</v>
      </c>
      <c r="D2046" s="260">
        <v>46275</v>
      </c>
      <c r="E2046" s="260">
        <v>46288</v>
      </c>
      <c r="F2046">
        <v>47</v>
      </c>
      <c r="G2046" t="s">
        <v>350</v>
      </c>
    </row>
    <row r="2047" spans="1:7">
      <c r="A2047" t="s">
        <v>4407</v>
      </c>
      <c r="B2047" t="s">
        <v>4408</v>
      </c>
      <c r="C2047">
        <v>10</v>
      </c>
      <c r="D2047" s="260">
        <v>46335</v>
      </c>
      <c r="E2047" s="260">
        <v>46346</v>
      </c>
      <c r="F2047">
        <v>27</v>
      </c>
      <c r="G2047" t="s">
        <v>350</v>
      </c>
    </row>
    <row r="2048" spans="1:7">
      <c r="A2048" t="s">
        <v>4409</v>
      </c>
      <c r="B2048" t="s">
        <v>4410</v>
      </c>
      <c r="C2048">
        <v>10</v>
      </c>
      <c r="D2048" s="260">
        <v>46148</v>
      </c>
      <c r="E2048" s="260">
        <v>46161</v>
      </c>
      <c r="F2048">
        <v>-10</v>
      </c>
      <c r="G2048" t="s">
        <v>350</v>
      </c>
    </row>
    <row r="2049" spans="1:7">
      <c r="A2049" t="s">
        <v>4411</v>
      </c>
      <c r="B2049" t="s">
        <v>4412</v>
      </c>
      <c r="C2049">
        <v>10</v>
      </c>
      <c r="D2049" s="260">
        <v>46178</v>
      </c>
      <c r="E2049" s="260">
        <v>46191</v>
      </c>
      <c r="F2049">
        <v>5</v>
      </c>
      <c r="G2049" t="s">
        <v>350</v>
      </c>
    </row>
    <row r="2050" spans="1:7">
      <c r="A2050" t="s">
        <v>4413</v>
      </c>
      <c r="B2050" t="s">
        <v>4414</v>
      </c>
      <c r="C2050">
        <v>10</v>
      </c>
      <c r="D2050" s="260">
        <v>46219</v>
      </c>
      <c r="E2050" s="260">
        <v>46237</v>
      </c>
      <c r="F2050">
        <v>-1</v>
      </c>
      <c r="G2050" t="s">
        <v>350</v>
      </c>
    </row>
    <row r="2051" spans="1:7">
      <c r="A2051" t="s">
        <v>4415</v>
      </c>
      <c r="B2051" t="s">
        <v>4416</v>
      </c>
      <c r="C2051">
        <v>10</v>
      </c>
      <c r="D2051" s="260">
        <v>46275</v>
      </c>
      <c r="E2051" s="260">
        <v>46288</v>
      </c>
      <c r="F2051">
        <v>7</v>
      </c>
      <c r="G2051" t="s">
        <v>350</v>
      </c>
    </row>
    <row r="2052" spans="1:7">
      <c r="A2052" t="s">
        <v>4417</v>
      </c>
      <c r="B2052" t="s">
        <v>4418</v>
      </c>
      <c r="C2052">
        <v>10</v>
      </c>
      <c r="D2052" s="260">
        <v>46303</v>
      </c>
      <c r="E2052" s="260">
        <v>46317</v>
      </c>
      <c r="F2052">
        <v>22</v>
      </c>
      <c r="G2052" t="s">
        <v>350</v>
      </c>
    </row>
    <row r="2053" spans="1:7">
      <c r="A2053" t="s">
        <v>4419</v>
      </c>
      <c r="B2053" t="s">
        <v>4420</v>
      </c>
      <c r="C2053">
        <v>10</v>
      </c>
      <c r="D2053" s="260">
        <v>46335</v>
      </c>
      <c r="E2053" s="260">
        <v>46346</v>
      </c>
      <c r="F2053">
        <v>22</v>
      </c>
      <c r="G2053" t="s">
        <v>350</v>
      </c>
    </row>
    <row r="2054" spans="1:7">
      <c r="A2054" t="s">
        <v>4421</v>
      </c>
      <c r="C2054">
        <v>153</v>
      </c>
      <c r="D2054" s="260">
        <v>46150</v>
      </c>
      <c r="E2054" s="260">
        <v>46378</v>
      </c>
      <c r="F2054">
        <v>7</v>
      </c>
      <c r="G2054" t="s">
        <v>350</v>
      </c>
    </row>
    <row r="2055" spans="1:7">
      <c r="A2055" t="s">
        <v>4422</v>
      </c>
      <c r="B2055" t="s">
        <v>4423</v>
      </c>
      <c r="C2055">
        <v>10</v>
      </c>
      <c r="D2055" s="260">
        <v>46150</v>
      </c>
      <c r="E2055" s="260">
        <v>46163</v>
      </c>
      <c r="F2055">
        <v>-10</v>
      </c>
      <c r="G2055" t="s">
        <v>350</v>
      </c>
    </row>
    <row r="2056" spans="1:7">
      <c r="A2056" t="s">
        <v>4424</v>
      </c>
      <c r="B2056" t="s">
        <v>4425</v>
      </c>
      <c r="C2056">
        <v>10</v>
      </c>
      <c r="D2056" s="260">
        <v>46192</v>
      </c>
      <c r="E2056" s="260">
        <v>46205</v>
      </c>
      <c r="F2056">
        <v>5</v>
      </c>
      <c r="G2056" t="s">
        <v>350</v>
      </c>
    </row>
    <row r="2057" spans="1:7">
      <c r="A2057" t="s">
        <v>4426</v>
      </c>
      <c r="B2057" t="s">
        <v>4427</v>
      </c>
      <c r="C2057">
        <v>5</v>
      </c>
      <c r="D2057" s="260">
        <v>46245</v>
      </c>
      <c r="E2057" s="260">
        <v>46252</v>
      </c>
      <c r="F2057">
        <v>-10</v>
      </c>
      <c r="G2057" t="s">
        <v>350</v>
      </c>
    </row>
    <row r="2058" spans="1:7">
      <c r="A2058" t="s">
        <v>4428</v>
      </c>
      <c r="B2058" t="s">
        <v>4429</v>
      </c>
      <c r="C2058">
        <v>15</v>
      </c>
      <c r="D2058" s="260">
        <v>46261</v>
      </c>
      <c r="E2058" s="260">
        <v>46281</v>
      </c>
      <c r="F2058">
        <v>7</v>
      </c>
      <c r="G2058" t="s">
        <v>350</v>
      </c>
    </row>
    <row r="2059" spans="1:7">
      <c r="A2059" t="s">
        <v>4430</v>
      </c>
      <c r="B2059" t="s">
        <v>4431</v>
      </c>
      <c r="C2059">
        <v>5</v>
      </c>
      <c r="D2059" s="260">
        <v>46372</v>
      </c>
      <c r="E2059" s="260">
        <v>46378</v>
      </c>
      <c r="F2059">
        <v>7</v>
      </c>
      <c r="G2059" t="s">
        <v>350</v>
      </c>
    </row>
    <row r="2060" spans="1:7">
      <c r="A2060" t="s">
        <v>4432</v>
      </c>
      <c r="B2060" t="s">
        <v>4433</v>
      </c>
      <c r="C2060">
        <v>10</v>
      </c>
      <c r="D2060" s="260">
        <v>46275</v>
      </c>
      <c r="E2060" s="260">
        <v>46288</v>
      </c>
      <c r="F2060">
        <v>7</v>
      </c>
      <c r="G2060" t="s">
        <v>350</v>
      </c>
    </row>
    <row r="2061" spans="1:7">
      <c r="A2061" t="s">
        <v>4434</v>
      </c>
      <c r="B2061" t="s">
        <v>4435</v>
      </c>
      <c r="C2061">
        <v>5</v>
      </c>
      <c r="D2061" s="260">
        <v>46372</v>
      </c>
      <c r="E2061" s="260">
        <v>46378</v>
      </c>
      <c r="F2061">
        <v>7</v>
      </c>
      <c r="G2061" t="s">
        <v>350</v>
      </c>
    </row>
    <row r="2062" spans="1:7">
      <c r="A2062" t="s">
        <v>4436</v>
      </c>
      <c r="C2062">
        <v>111</v>
      </c>
      <c r="D2062" s="260">
        <v>46191</v>
      </c>
      <c r="E2062" s="260">
        <v>46353</v>
      </c>
      <c r="F2062">
        <v>7</v>
      </c>
      <c r="G2062" t="s">
        <v>350</v>
      </c>
    </row>
    <row r="2063" spans="1:7">
      <c r="A2063" t="s">
        <v>4437</v>
      </c>
      <c r="B2063" t="s">
        <v>4438</v>
      </c>
      <c r="C2063">
        <v>20</v>
      </c>
      <c r="D2063" s="260">
        <v>46191</v>
      </c>
      <c r="E2063" s="260">
        <v>46218</v>
      </c>
      <c r="F2063">
        <v>-10</v>
      </c>
      <c r="G2063" t="s">
        <v>350</v>
      </c>
    </row>
    <row r="2064" spans="1:7">
      <c r="A2064" t="s">
        <v>4439</v>
      </c>
      <c r="B2064" t="s">
        <v>4440</v>
      </c>
      <c r="C2064">
        <v>5</v>
      </c>
      <c r="D2064" s="260">
        <v>46238</v>
      </c>
      <c r="E2064" s="260">
        <v>46244</v>
      </c>
      <c r="F2064">
        <v>-10</v>
      </c>
      <c r="G2064" t="s">
        <v>350</v>
      </c>
    </row>
    <row r="2065" spans="1:7">
      <c r="A2065" t="s">
        <v>4441</v>
      </c>
      <c r="B2065" t="s">
        <v>4442</v>
      </c>
      <c r="C2065">
        <v>20</v>
      </c>
      <c r="D2065" s="260">
        <v>46303</v>
      </c>
      <c r="E2065" s="260">
        <v>46332</v>
      </c>
      <c r="F2065">
        <v>7</v>
      </c>
      <c r="G2065" t="s">
        <v>350</v>
      </c>
    </row>
    <row r="2066" spans="1:7">
      <c r="A2066" t="s">
        <v>4443</v>
      </c>
      <c r="B2066" t="s">
        <v>4444</v>
      </c>
      <c r="C2066">
        <v>5</v>
      </c>
      <c r="D2066" s="260">
        <v>46349</v>
      </c>
      <c r="E2066" s="260">
        <v>46353</v>
      </c>
      <c r="F2066">
        <v>7</v>
      </c>
      <c r="G2066" t="s">
        <v>350</v>
      </c>
    </row>
    <row r="2067" spans="1:7">
      <c r="A2067" t="s">
        <v>4445</v>
      </c>
      <c r="B2067" t="s">
        <v>4446</v>
      </c>
      <c r="C2067">
        <v>20</v>
      </c>
      <c r="D2067" s="260">
        <v>46303</v>
      </c>
      <c r="E2067" s="260">
        <v>46332</v>
      </c>
      <c r="F2067">
        <v>7</v>
      </c>
      <c r="G2067" t="s">
        <v>350</v>
      </c>
    </row>
    <row r="2068" spans="1:7">
      <c r="A2068" t="s">
        <v>4447</v>
      </c>
      <c r="B2068" t="s">
        <v>4448</v>
      </c>
      <c r="C2068">
        <v>5</v>
      </c>
      <c r="D2068" s="260">
        <v>46349</v>
      </c>
      <c r="E2068" s="260">
        <v>46353</v>
      </c>
      <c r="F2068">
        <v>7</v>
      </c>
      <c r="G2068" t="s">
        <v>350</v>
      </c>
    </row>
    <row r="2069" spans="1:7">
      <c r="A2069" t="s">
        <v>4449</v>
      </c>
      <c r="C2069">
        <v>180</v>
      </c>
      <c r="D2069" s="260">
        <v>46085</v>
      </c>
      <c r="E2069" s="260">
        <v>46353</v>
      </c>
      <c r="F2069">
        <v>22</v>
      </c>
      <c r="G2069" t="s">
        <v>350</v>
      </c>
    </row>
    <row r="2070" spans="1:7">
      <c r="A2070" t="s">
        <v>4450</v>
      </c>
      <c r="B2070" t="s">
        <v>4451</v>
      </c>
      <c r="C2070">
        <v>20</v>
      </c>
      <c r="D2070" s="260">
        <v>46085</v>
      </c>
      <c r="E2070" s="260">
        <v>46112</v>
      </c>
      <c r="F2070">
        <v>52</v>
      </c>
      <c r="G2070" t="s">
        <v>350</v>
      </c>
    </row>
    <row r="2071" spans="1:7">
      <c r="A2071" t="s">
        <v>4452</v>
      </c>
      <c r="B2071" t="s">
        <v>4453</v>
      </c>
      <c r="C2071">
        <v>10</v>
      </c>
      <c r="D2071" s="260">
        <v>46133</v>
      </c>
      <c r="E2071" s="260">
        <v>46147</v>
      </c>
      <c r="F2071">
        <v>142</v>
      </c>
      <c r="G2071" t="s">
        <v>350</v>
      </c>
    </row>
    <row r="2072" spans="1:7">
      <c r="A2072" t="s">
        <v>4454</v>
      </c>
      <c r="B2072" t="s">
        <v>4455</v>
      </c>
      <c r="C2072">
        <v>10</v>
      </c>
      <c r="D2072" s="260">
        <v>46162</v>
      </c>
      <c r="E2072" s="260">
        <v>46177</v>
      </c>
      <c r="F2072">
        <v>142</v>
      </c>
      <c r="G2072" t="s">
        <v>350</v>
      </c>
    </row>
    <row r="2073" spans="1:7">
      <c r="A2073" t="s">
        <v>4456</v>
      </c>
      <c r="B2073" t="s">
        <v>4457</v>
      </c>
      <c r="C2073">
        <v>20</v>
      </c>
      <c r="D2073" s="260">
        <v>46112</v>
      </c>
      <c r="E2073" s="260">
        <v>46146</v>
      </c>
      <c r="F2073">
        <v>143</v>
      </c>
      <c r="G2073" t="s">
        <v>350</v>
      </c>
    </row>
    <row r="2074" spans="1:7">
      <c r="A2074" t="s">
        <v>4458</v>
      </c>
      <c r="B2074" t="s">
        <v>4459</v>
      </c>
      <c r="C2074">
        <v>10</v>
      </c>
      <c r="D2074" s="260">
        <v>46161</v>
      </c>
      <c r="E2074" s="260">
        <v>46175</v>
      </c>
      <c r="F2074">
        <v>143</v>
      </c>
      <c r="G2074" t="s">
        <v>350</v>
      </c>
    </row>
    <row r="2075" spans="1:7">
      <c r="A2075" t="s">
        <v>4460</v>
      </c>
      <c r="B2075" t="s">
        <v>4461</v>
      </c>
      <c r="C2075">
        <v>20</v>
      </c>
      <c r="D2075" s="260">
        <v>46111</v>
      </c>
      <c r="E2075" s="260">
        <v>46142</v>
      </c>
      <c r="F2075">
        <v>101</v>
      </c>
      <c r="G2075" t="s">
        <v>350</v>
      </c>
    </row>
    <row r="2076" spans="1:7">
      <c r="A2076" t="s">
        <v>4462</v>
      </c>
      <c r="B2076" t="s">
        <v>4463</v>
      </c>
      <c r="C2076">
        <v>10</v>
      </c>
      <c r="D2076" s="260">
        <v>46160</v>
      </c>
      <c r="E2076" s="260">
        <v>46171</v>
      </c>
      <c r="F2076">
        <v>144</v>
      </c>
      <c r="G2076" t="s">
        <v>350</v>
      </c>
    </row>
    <row r="2077" spans="1:7">
      <c r="A2077" t="s">
        <v>4464</v>
      </c>
      <c r="B2077" t="s">
        <v>4465</v>
      </c>
      <c r="C2077">
        <v>30</v>
      </c>
      <c r="D2077" s="260">
        <v>46163</v>
      </c>
      <c r="E2077" s="260">
        <v>46206</v>
      </c>
      <c r="F2077">
        <v>101</v>
      </c>
      <c r="G2077" t="s">
        <v>350</v>
      </c>
    </row>
    <row r="2078" spans="1:7">
      <c r="A2078" t="s">
        <v>4466</v>
      </c>
      <c r="B2078" t="s">
        <v>4467</v>
      </c>
      <c r="C2078">
        <v>10</v>
      </c>
      <c r="D2078" s="260">
        <v>46223</v>
      </c>
      <c r="E2078" s="260">
        <v>46239</v>
      </c>
      <c r="F2078">
        <v>101</v>
      </c>
      <c r="G2078" t="s">
        <v>350</v>
      </c>
    </row>
    <row r="2079" spans="1:7">
      <c r="A2079" t="s">
        <v>4468</v>
      </c>
      <c r="B2079" t="s">
        <v>4469</v>
      </c>
      <c r="C2079">
        <v>10</v>
      </c>
      <c r="D2079" s="260">
        <v>46121</v>
      </c>
      <c r="E2079" s="260">
        <v>46139</v>
      </c>
      <c r="F2079">
        <v>152</v>
      </c>
      <c r="G2079" t="s">
        <v>350</v>
      </c>
    </row>
    <row r="2080" spans="1:7">
      <c r="A2080" t="s">
        <v>4470</v>
      </c>
      <c r="B2080" t="s">
        <v>4471</v>
      </c>
      <c r="C2080">
        <v>5</v>
      </c>
      <c r="D2080" s="260">
        <v>46155</v>
      </c>
      <c r="E2080" s="260">
        <v>46161</v>
      </c>
      <c r="F2080">
        <v>152</v>
      </c>
      <c r="G2080" t="s">
        <v>350</v>
      </c>
    </row>
    <row r="2081" spans="1:7">
      <c r="A2081" t="s">
        <v>4472</v>
      </c>
      <c r="B2081" t="s">
        <v>4473</v>
      </c>
      <c r="C2081">
        <v>10</v>
      </c>
      <c r="D2081" s="260">
        <v>46164</v>
      </c>
      <c r="E2081" s="260">
        <v>46181</v>
      </c>
      <c r="F2081">
        <v>105</v>
      </c>
      <c r="G2081" t="s">
        <v>350</v>
      </c>
    </row>
    <row r="2082" spans="1:7">
      <c r="A2082" t="s">
        <v>4474</v>
      </c>
      <c r="B2082" t="s">
        <v>4475</v>
      </c>
      <c r="C2082">
        <v>5</v>
      </c>
      <c r="D2082" s="260">
        <v>46196</v>
      </c>
      <c r="E2082" s="260">
        <v>46202</v>
      </c>
      <c r="F2082">
        <v>105</v>
      </c>
      <c r="G2082" t="s">
        <v>350</v>
      </c>
    </row>
    <row r="2083" spans="1:7">
      <c r="A2083" t="s">
        <v>4476</v>
      </c>
      <c r="B2083" t="s">
        <v>4477</v>
      </c>
      <c r="C2083">
        <v>5</v>
      </c>
      <c r="D2083" s="260">
        <v>46203</v>
      </c>
      <c r="E2083" s="260">
        <v>46209</v>
      </c>
      <c r="F2083">
        <v>105</v>
      </c>
      <c r="G2083" t="s">
        <v>350</v>
      </c>
    </row>
    <row r="2084" spans="1:7">
      <c r="A2084" t="s">
        <v>4478</v>
      </c>
      <c r="B2084" t="s">
        <v>4479</v>
      </c>
      <c r="C2084">
        <v>10</v>
      </c>
      <c r="D2084" s="260">
        <v>46121</v>
      </c>
      <c r="E2084" s="260">
        <v>46139</v>
      </c>
      <c r="F2084">
        <v>152</v>
      </c>
      <c r="G2084" t="s">
        <v>350</v>
      </c>
    </row>
    <row r="2085" spans="1:7">
      <c r="A2085" t="s">
        <v>4480</v>
      </c>
      <c r="B2085" t="s">
        <v>4481</v>
      </c>
      <c r="C2085">
        <v>5</v>
      </c>
      <c r="D2085" s="260">
        <v>46155</v>
      </c>
      <c r="E2085" s="260">
        <v>46161</v>
      </c>
      <c r="F2085">
        <v>152</v>
      </c>
      <c r="G2085" t="s">
        <v>350</v>
      </c>
    </row>
    <row r="2086" spans="1:7">
      <c r="A2086" t="s">
        <v>4482</v>
      </c>
      <c r="B2086" t="s">
        <v>4483</v>
      </c>
      <c r="C2086">
        <v>15</v>
      </c>
      <c r="D2086" s="260">
        <v>46185</v>
      </c>
      <c r="E2086" s="260">
        <v>46205</v>
      </c>
      <c r="F2086">
        <v>97</v>
      </c>
      <c r="G2086" t="s">
        <v>350</v>
      </c>
    </row>
    <row r="2087" spans="1:7">
      <c r="A2087" t="s">
        <v>4484</v>
      </c>
      <c r="B2087" t="s">
        <v>4485</v>
      </c>
      <c r="C2087">
        <v>10</v>
      </c>
      <c r="D2087" s="260">
        <v>46220</v>
      </c>
      <c r="E2087" s="260">
        <v>46238</v>
      </c>
      <c r="F2087">
        <v>97</v>
      </c>
      <c r="G2087" t="s">
        <v>350</v>
      </c>
    </row>
    <row r="2088" spans="1:7">
      <c r="A2088" t="s">
        <v>4486</v>
      </c>
      <c r="B2088" t="s">
        <v>4487</v>
      </c>
      <c r="C2088">
        <v>5</v>
      </c>
      <c r="D2088" s="260">
        <v>46239</v>
      </c>
      <c r="E2088" s="260">
        <v>46245</v>
      </c>
      <c r="F2088">
        <v>97</v>
      </c>
      <c r="G2088" t="s">
        <v>350</v>
      </c>
    </row>
    <row r="2089" spans="1:7">
      <c r="A2089" t="s">
        <v>4488</v>
      </c>
      <c r="B2089" t="s">
        <v>4489</v>
      </c>
      <c r="C2089">
        <v>10</v>
      </c>
      <c r="D2089" s="260">
        <v>46148</v>
      </c>
      <c r="E2089" s="260">
        <v>46161</v>
      </c>
      <c r="F2089">
        <v>67</v>
      </c>
      <c r="G2089" t="s">
        <v>350</v>
      </c>
    </row>
    <row r="2090" spans="1:7">
      <c r="A2090" t="s">
        <v>4490</v>
      </c>
      <c r="B2090" t="s">
        <v>4491</v>
      </c>
      <c r="C2090">
        <v>5</v>
      </c>
      <c r="D2090" s="260">
        <v>46178</v>
      </c>
      <c r="E2090" s="260">
        <v>46184</v>
      </c>
      <c r="F2090">
        <v>132</v>
      </c>
      <c r="G2090" t="s">
        <v>350</v>
      </c>
    </row>
    <row r="2091" spans="1:7">
      <c r="A2091" t="s">
        <v>4492</v>
      </c>
      <c r="B2091" t="s">
        <v>4493</v>
      </c>
      <c r="C2091">
        <v>10</v>
      </c>
      <c r="D2091" s="260">
        <v>46196</v>
      </c>
      <c r="E2091" s="260">
        <v>46209</v>
      </c>
      <c r="F2091">
        <v>75</v>
      </c>
      <c r="G2091" t="s">
        <v>350</v>
      </c>
    </row>
    <row r="2092" spans="1:7">
      <c r="A2092" t="s">
        <v>4494</v>
      </c>
      <c r="B2092" t="s">
        <v>4495</v>
      </c>
      <c r="C2092">
        <v>10</v>
      </c>
      <c r="D2092" s="260">
        <v>46224</v>
      </c>
      <c r="E2092" s="260">
        <v>46240</v>
      </c>
      <c r="F2092">
        <v>90</v>
      </c>
      <c r="G2092" t="s">
        <v>350</v>
      </c>
    </row>
    <row r="2093" spans="1:7">
      <c r="A2093" t="s">
        <v>4496</v>
      </c>
      <c r="B2093" t="s">
        <v>4497</v>
      </c>
      <c r="C2093">
        <v>10</v>
      </c>
      <c r="D2093" s="260">
        <v>46210</v>
      </c>
      <c r="E2093" s="260">
        <v>46223</v>
      </c>
      <c r="F2093">
        <v>75</v>
      </c>
      <c r="G2093" t="s">
        <v>350</v>
      </c>
    </row>
    <row r="2094" spans="1:7">
      <c r="A2094" t="s">
        <v>4498</v>
      </c>
      <c r="B2094" t="s">
        <v>4499</v>
      </c>
      <c r="C2094">
        <v>5</v>
      </c>
      <c r="D2094" s="260">
        <v>46241</v>
      </c>
      <c r="E2094" s="260">
        <v>46248</v>
      </c>
      <c r="F2094">
        <v>75</v>
      </c>
      <c r="G2094" t="s">
        <v>350</v>
      </c>
    </row>
    <row r="2095" spans="1:7">
      <c r="A2095" t="s">
        <v>4500</v>
      </c>
      <c r="B2095" t="s">
        <v>4501</v>
      </c>
      <c r="C2095">
        <v>5</v>
      </c>
      <c r="D2095" s="260">
        <v>46265</v>
      </c>
      <c r="E2095" s="260">
        <v>46269</v>
      </c>
      <c r="F2095">
        <v>75</v>
      </c>
      <c r="G2095" t="s">
        <v>350</v>
      </c>
    </row>
    <row r="2096" spans="1:7">
      <c r="A2096" t="s">
        <v>4502</v>
      </c>
      <c r="B2096" t="s">
        <v>4503</v>
      </c>
      <c r="C2096">
        <v>5</v>
      </c>
      <c r="D2096" s="260">
        <v>46272</v>
      </c>
      <c r="E2096" s="260">
        <v>46276</v>
      </c>
      <c r="F2096">
        <v>75</v>
      </c>
      <c r="G2096" t="s">
        <v>350</v>
      </c>
    </row>
    <row r="2097" spans="1:7">
      <c r="A2097" t="s">
        <v>4504</v>
      </c>
      <c r="B2097" t="s">
        <v>4505</v>
      </c>
      <c r="C2097">
        <v>10</v>
      </c>
      <c r="D2097" s="260">
        <v>46185</v>
      </c>
      <c r="E2097" s="260">
        <v>46198</v>
      </c>
      <c r="F2097">
        <v>52</v>
      </c>
      <c r="G2097" t="s">
        <v>350</v>
      </c>
    </row>
    <row r="2098" spans="1:7">
      <c r="A2098" t="s">
        <v>4506</v>
      </c>
      <c r="B2098" t="s">
        <v>4507</v>
      </c>
      <c r="C2098">
        <v>5</v>
      </c>
      <c r="D2098" s="260">
        <v>46213</v>
      </c>
      <c r="E2098" s="260">
        <v>46219</v>
      </c>
      <c r="F2098">
        <v>112</v>
      </c>
      <c r="G2098" t="s">
        <v>350</v>
      </c>
    </row>
    <row r="2099" spans="1:7">
      <c r="A2099" t="s">
        <v>4508</v>
      </c>
      <c r="B2099" t="s">
        <v>4509</v>
      </c>
      <c r="C2099">
        <v>15</v>
      </c>
      <c r="D2099" s="260">
        <v>46261</v>
      </c>
      <c r="E2099" s="260">
        <v>46281</v>
      </c>
      <c r="F2099">
        <v>52</v>
      </c>
      <c r="G2099" t="s">
        <v>350</v>
      </c>
    </row>
    <row r="2100" spans="1:7">
      <c r="A2100" t="s">
        <v>4510</v>
      </c>
      <c r="B2100" t="s">
        <v>4511</v>
      </c>
      <c r="C2100">
        <v>10</v>
      </c>
      <c r="D2100" s="260">
        <v>46296</v>
      </c>
      <c r="E2100" s="260">
        <v>46310</v>
      </c>
      <c r="F2100">
        <v>52</v>
      </c>
      <c r="G2100" t="s">
        <v>350</v>
      </c>
    </row>
    <row r="2101" spans="1:7">
      <c r="A2101" t="s">
        <v>4512</v>
      </c>
      <c r="B2101" t="s">
        <v>4513</v>
      </c>
      <c r="C2101">
        <v>15</v>
      </c>
      <c r="D2101" s="260">
        <v>46185</v>
      </c>
      <c r="E2101" s="260">
        <v>46205</v>
      </c>
      <c r="F2101">
        <v>82</v>
      </c>
      <c r="G2101" t="s">
        <v>350</v>
      </c>
    </row>
    <row r="2102" spans="1:7">
      <c r="A2102" t="s">
        <v>4514</v>
      </c>
      <c r="B2102" t="s">
        <v>4515</v>
      </c>
      <c r="C2102">
        <v>10</v>
      </c>
      <c r="D2102" s="260">
        <v>46220</v>
      </c>
      <c r="E2102" s="260">
        <v>46238</v>
      </c>
      <c r="F2102">
        <v>82</v>
      </c>
      <c r="G2102" t="s">
        <v>350</v>
      </c>
    </row>
    <row r="2103" spans="1:7">
      <c r="A2103" t="s">
        <v>4516</v>
      </c>
      <c r="B2103" t="s">
        <v>4517</v>
      </c>
      <c r="C2103">
        <v>10</v>
      </c>
      <c r="D2103" s="260">
        <v>46254</v>
      </c>
      <c r="E2103" s="260">
        <v>46267</v>
      </c>
      <c r="F2103">
        <v>82</v>
      </c>
      <c r="G2103" t="s">
        <v>350</v>
      </c>
    </row>
    <row r="2104" spans="1:7">
      <c r="A2104" t="s">
        <v>4518</v>
      </c>
      <c r="B2104" t="s">
        <v>4519</v>
      </c>
      <c r="C2104">
        <v>30</v>
      </c>
      <c r="D2104" s="260">
        <v>46160</v>
      </c>
      <c r="E2104" s="260">
        <v>46203</v>
      </c>
      <c r="F2104">
        <v>84</v>
      </c>
      <c r="G2104" t="s">
        <v>350</v>
      </c>
    </row>
    <row r="2105" spans="1:7">
      <c r="A2105" t="s">
        <v>4520</v>
      </c>
      <c r="B2105" t="s">
        <v>4521</v>
      </c>
      <c r="C2105">
        <v>10</v>
      </c>
      <c r="D2105" s="260">
        <v>46218</v>
      </c>
      <c r="E2105" s="260">
        <v>46234</v>
      </c>
      <c r="F2105">
        <v>84</v>
      </c>
      <c r="G2105" t="s">
        <v>350</v>
      </c>
    </row>
    <row r="2106" spans="1:7">
      <c r="A2106" t="s">
        <v>4522</v>
      </c>
      <c r="B2106" t="s">
        <v>4523</v>
      </c>
      <c r="C2106">
        <v>10</v>
      </c>
      <c r="D2106" s="260">
        <v>46275</v>
      </c>
      <c r="E2106" s="260">
        <v>46288</v>
      </c>
      <c r="F2106">
        <v>67</v>
      </c>
      <c r="G2106" t="s">
        <v>350</v>
      </c>
    </row>
    <row r="2107" spans="1:7">
      <c r="A2107" t="s">
        <v>4524</v>
      </c>
      <c r="B2107" t="s">
        <v>4525</v>
      </c>
      <c r="C2107">
        <v>40</v>
      </c>
      <c r="D2107" s="260">
        <v>46153</v>
      </c>
      <c r="E2107" s="260">
        <v>46210</v>
      </c>
      <c r="F2107">
        <v>79</v>
      </c>
      <c r="G2107" t="s">
        <v>350</v>
      </c>
    </row>
    <row r="2108" spans="1:7">
      <c r="A2108" t="s">
        <v>4526</v>
      </c>
      <c r="B2108" t="s">
        <v>4527</v>
      </c>
      <c r="C2108">
        <v>10</v>
      </c>
      <c r="D2108" s="260">
        <v>46225</v>
      </c>
      <c r="E2108" s="260">
        <v>46241</v>
      </c>
      <c r="F2108">
        <v>79</v>
      </c>
      <c r="G2108" t="s">
        <v>350</v>
      </c>
    </row>
    <row r="2109" spans="1:7">
      <c r="A2109" t="s">
        <v>4528</v>
      </c>
      <c r="B2109" t="s">
        <v>4529</v>
      </c>
      <c r="C2109">
        <v>10</v>
      </c>
      <c r="D2109" s="260">
        <v>46259</v>
      </c>
      <c r="E2109" s="260">
        <v>46272</v>
      </c>
      <c r="F2109">
        <v>79</v>
      </c>
      <c r="G2109" t="s">
        <v>350</v>
      </c>
    </row>
    <row r="2110" spans="1:7">
      <c r="A2110" t="s">
        <v>4530</v>
      </c>
      <c r="B2110" t="s">
        <v>4531</v>
      </c>
      <c r="C2110">
        <v>30</v>
      </c>
      <c r="D2110" s="260">
        <v>46218</v>
      </c>
      <c r="E2110" s="260">
        <v>46265</v>
      </c>
      <c r="F2110">
        <v>44</v>
      </c>
      <c r="G2110" t="s">
        <v>350</v>
      </c>
    </row>
    <row r="2111" spans="1:7">
      <c r="A2111" t="s">
        <v>4532</v>
      </c>
      <c r="B2111" t="s">
        <v>4533</v>
      </c>
      <c r="C2111">
        <v>10</v>
      </c>
      <c r="D2111" s="260">
        <v>46280</v>
      </c>
      <c r="E2111" s="260">
        <v>46293</v>
      </c>
      <c r="F2111">
        <v>44</v>
      </c>
      <c r="G2111" t="s">
        <v>350</v>
      </c>
    </row>
    <row r="2112" spans="1:7">
      <c r="A2112" t="s">
        <v>4534</v>
      </c>
      <c r="B2112" t="s">
        <v>4535</v>
      </c>
      <c r="C2112">
        <v>10</v>
      </c>
      <c r="D2112" s="260">
        <v>46309</v>
      </c>
      <c r="E2112" s="260">
        <v>46323</v>
      </c>
      <c r="F2112">
        <v>44</v>
      </c>
      <c r="G2112" t="s">
        <v>350</v>
      </c>
    </row>
    <row r="2113" spans="1:7">
      <c r="A2113" t="s">
        <v>4536</v>
      </c>
      <c r="B2113" t="s">
        <v>4537</v>
      </c>
      <c r="C2113">
        <v>30</v>
      </c>
      <c r="D2113" s="260">
        <v>46218</v>
      </c>
      <c r="E2113" s="260">
        <v>46265</v>
      </c>
      <c r="F2113">
        <v>44</v>
      </c>
      <c r="G2113" t="s">
        <v>350</v>
      </c>
    </row>
    <row r="2114" spans="1:7">
      <c r="A2114" t="s">
        <v>4538</v>
      </c>
      <c r="B2114" t="s">
        <v>4539</v>
      </c>
      <c r="C2114">
        <v>10</v>
      </c>
      <c r="D2114" s="260">
        <v>46280</v>
      </c>
      <c r="E2114" s="260">
        <v>46293</v>
      </c>
      <c r="F2114">
        <v>44</v>
      </c>
      <c r="G2114" t="s">
        <v>350</v>
      </c>
    </row>
    <row r="2115" spans="1:7">
      <c r="A2115" t="s">
        <v>4540</v>
      </c>
      <c r="B2115" t="s">
        <v>4541</v>
      </c>
      <c r="C2115">
        <v>10</v>
      </c>
      <c r="D2115" s="260">
        <v>46309</v>
      </c>
      <c r="E2115" s="260">
        <v>46323</v>
      </c>
      <c r="F2115">
        <v>44</v>
      </c>
      <c r="G2115" t="s">
        <v>350</v>
      </c>
    </row>
    <row r="2116" spans="1:7">
      <c r="A2116" t="s">
        <v>4542</v>
      </c>
      <c r="B2116" t="s">
        <v>4543</v>
      </c>
      <c r="C2116">
        <v>40</v>
      </c>
      <c r="D2116" s="260">
        <v>46182</v>
      </c>
      <c r="E2116" s="260">
        <v>46240</v>
      </c>
      <c r="F2116">
        <v>60</v>
      </c>
      <c r="G2116" t="s">
        <v>350</v>
      </c>
    </row>
    <row r="2117" spans="1:7">
      <c r="A2117" t="s">
        <v>4544</v>
      </c>
      <c r="B2117" t="s">
        <v>4545</v>
      </c>
      <c r="C2117">
        <v>10</v>
      </c>
      <c r="D2117" s="260">
        <v>46258</v>
      </c>
      <c r="E2117" s="260">
        <v>46269</v>
      </c>
      <c r="F2117">
        <v>60</v>
      </c>
      <c r="G2117" t="s">
        <v>350</v>
      </c>
    </row>
    <row r="2118" spans="1:7">
      <c r="A2118" t="s">
        <v>4546</v>
      </c>
      <c r="B2118" t="s">
        <v>4547</v>
      </c>
      <c r="C2118">
        <v>10</v>
      </c>
      <c r="D2118" s="260">
        <v>46286</v>
      </c>
      <c r="E2118" s="260">
        <v>46297</v>
      </c>
      <c r="F2118">
        <v>60</v>
      </c>
      <c r="G2118" t="s">
        <v>350</v>
      </c>
    </row>
    <row r="2119" spans="1:7">
      <c r="A2119" t="s">
        <v>4548</v>
      </c>
      <c r="B2119" t="s">
        <v>4549</v>
      </c>
      <c r="C2119">
        <v>15</v>
      </c>
      <c r="D2119" s="260">
        <v>46185</v>
      </c>
      <c r="E2119" s="260">
        <v>46205</v>
      </c>
      <c r="F2119">
        <v>82</v>
      </c>
      <c r="G2119" t="s">
        <v>350</v>
      </c>
    </row>
    <row r="2120" spans="1:7">
      <c r="A2120" t="s">
        <v>4550</v>
      </c>
      <c r="B2120" t="s">
        <v>4551</v>
      </c>
      <c r="C2120">
        <v>10</v>
      </c>
      <c r="D2120" s="260">
        <v>46220</v>
      </c>
      <c r="E2120" s="260">
        <v>46238</v>
      </c>
      <c r="F2120">
        <v>82</v>
      </c>
      <c r="G2120" t="s">
        <v>350</v>
      </c>
    </row>
    <row r="2121" spans="1:7">
      <c r="A2121" t="s">
        <v>4552</v>
      </c>
      <c r="B2121" t="s">
        <v>4553</v>
      </c>
      <c r="C2121">
        <v>10</v>
      </c>
      <c r="D2121" s="260">
        <v>46254</v>
      </c>
      <c r="E2121" s="260">
        <v>46267</v>
      </c>
      <c r="F2121">
        <v>82</v>
      </c>
      <c r="G2121" t="s">
        <v>350</v>
      </c>
    </row>
    <row r="2122" spans="1:7">
      <c r="A2122" t="s">
        <v>4554</v>
      </c>
      <c r="B2122" t="s">
        <v>4555</v>
      </c>
      <c r="C2122">
        <v>20</v>
      </c>
      <c r="D2122" s="260">
        <v>46182</v>
      </c>
      <c r="E2122" s="260">
        <v>46209</v>
      </c>
      <c r="F2122">
        <v>80</v>
      </c>
      <c r="G2122" t="s">
        <v>350</v>
      </c>
    </row>
    <row r="2123" spans="1:7">
      <c r="A2123" t="s">
        <v>4556</v>
      </c>
      <c r="B2123" t="s">
        <v>4557</v>
      </c>
      <c r="C2123">
        <v>10</v>
      </c>
      <c r="D2123" s="260">
        <v>46224</v>
      </c>
      <c r="E2123" s="260">
        <v>46240</v>
      </c>
      <c r="F2123">
        <v>80</v>
      </c>
      <c r="G2123" t="s">
        <v>350</v>
      </c>
    </row>
    <row r="2124" spans="1:7">
      <c r="A2124" t="s">
        <v>4558</v>
      </c>
      <c r="B2124" t="s">
        <v>4559</v>
      </c>
      <c r="C2124">
        <v>10</v>
      </c>
      <c r="D2124" s="260">
        <v>46258</v>
      </c>
      <c r="E2124" s="260">
        <v>46269</v>
      </c>
      <c r="F2124">
        <v>80</v>
      </c>
      <c r="G2124" t="s">
        <v>350</v>
      </c>
    </row>
    <row r="2125" spans="1:7">
      <c r="A2125" t="s">
        <v>4560</v>
      </c>
      <c r="B2125" t="s">
        <v>4561</v>
      </c>
      <c r="C2125">
        <v>30</v>
      </c>
      <c r="D2125" s="260">
        <v>46282</v>
      </c>
      <c r="E2125" s="260">
        <v>46325</v>
      </c>
      <c r="F2125">
        <v>22</v>
      </c>
      <c r="G2125" t="s">
        <v>350</v>
      </c>
    </row>
    <row r="2126" spans="1:7">
      <c r="A2126" t="s">
        <v>4562</v>
      </c>
      <c r="B2126" t="s">
        <v>4563</v>
      </c>
      <c r="C2126">
        <v>10</v>
      </c>
      <c r="D2126" s="260">
        <v>46342</v>
      </c>
      <c r="E2126" s="260">
        <v>46353</v>
      </c>
      <c r="F2126">
        <v>22</v>
      </c>
      <c r="G2126" t="s">
        <v>350</v>
      </c>
    </row>
    <row r="2127" spans="1:7">
      <c r="A2127" t="s">
        <v>4564</v>
      </c>
      <c r="B2127" t="s">
        <v>4565</v>
      </c>
      <c r="C2127">
        <v>15</v>
      </c>
      <c r="D2127" s="260">
        <v>46185</v>
      </c>
      <c r="E2127" s="260">
        <v>46205</v>
      </c>
      <c r="F2127">
        <v>102</v>
      </c>
      <c r="G2127" t="s">
        <v>350</v>
      </c>
    </row>
    <row r="2128" spans="1:7">
      <c r="A2128" t="s">
        <v>4566</v>
      </c>
      <c r="B2128" t="s">
        <v>4567</v>
      </c>
      <c r="C2128">
        <v>10</v>
      </c>
      <c r="D2128" s="260">
        <v>46220</v>
      </c>
      <c r="E2128" s="260">
        <v>46238</v>
      </c>
      <c r="F2128">
        <v>102</v>
      </c>
      <c r="G2128" t="s">
        <v>350</v>
      </c>
    </row>
    <row r="2129" spans="1:7">
      <c r="A2129" t="s">
        <v>4568</v>
      </c>
      <c r="B2129" t="s">
        <v>4569</v>
      </c>
      <c r="C2129">
        <v>20</v>
      </c>
      <c r="D2129" s="260">
        <v>46113</v>
      </c>
      <c r="E2129" s="260">
        <v>46147</v>
      </c>
      <c r="F2129">
        <v>52</v>
      </c>
      <c r="G2129" t="s">
        <v>350</v>
      </c>
    </row>
    <row r="2130" spans="1:7">
      <c r="A2130" t="s">
        <v>4570</v>
      </c>
      <c r="B2130" t="s">
        <v>4571</v>
      </c>
      <c r="C2130">
        <v>10</v>
      </c>
      <c r="D2130" s="260">
        <v>46162</v>
      </c>
      <c r="E2130" s="260">
        <v>46177</v>
      </c>
      <c r="F2130">
        <v>117</v>
      </c>
      <c r="G2130" t="s">
        <v>350</v>
      </c>
    </row>
    <row r="2131" spans="1:7">
      <c r="A2131" t="s">
        <v>4572</v>
      </c>
      <c r="B2131" t="s">
        <v>4573</v>
      </c>
      <c r="C2131">
        <v>5</v>
      </c>
      <c r="D2131" s="260">
        <v>46192</v>
      </c>
      <c r="E2131" s="260">
        <v>46198</v>
      </c>
      <c r="F2131">
        <v>117</v>
      </c>
      <c r="G2131" t="s">
        <v>350</v>
      </c>
    </row>
    <row r="2132" spans="1:7">
      <c r="A2132" t="s">
        <v>4574</v>
      </c>
      <c r="B2132" t="s">
        <v>4575</v>
      </c>
      <c r="C2132">
        <v>20</v>
      </c>
      <c r="D2132" s="260">
        <v>46113</v>
      </c>
      <c r="E2132" s="260">
        <v>46147</v>
      </c>
      <c r="F2132">
        <v>52</v>
      </c>
      <c r="G2132" t="s">
        <v>350</v>
      </c>
    </row>
    <row r="2133" spans="1:7">
      <c r="A2133" t="s">
        <v>4576</v>
      </c>
      <c r="B2133" t="s">
        <v>4577</v>
      </c>
      <c r="C2133">
        <v>10</v>
      </c>
      <c r="D2133" s="260">
        <v>46162</v>
      </c>
      <c r="E2133" s="260">
        <v>46177</v>
      </c>
      <c r="F2133">
        <v>132</v>
      </c>
      <c r="G2133" t="s">
        <v>350</v>
      </c>
    </row>
    <row r="2134" spans="1:7">
      <c r="A2134" t="s">
        <v>4578</v>
      </c>
      <c r="B2134" t="s">
        <v>4579</v>
      </c>
      <c r="C2134">
        <v>20</v>
      </c>
      <c r="D2134" s="260">
        <v>46113</v>
      </c>
      <c r="E2134" s="260">
        <v>46147</v>
      </c>
      <c r="F2134">
        <v>52</v>
      </c>
      <c r="G2134" t="s">
        <v>350</v>
      </c>
    </row>
    <row r="2135" spans="1:7">
      <c r="A2135" t="s">
        <v>4580</v>
      </c>
      <c r="B2135" t="s">
        <v>4581</v>
      </c>
      <c r="C2135">
        <v>10</v>
      </c>
      <c r="D2135" s="260">
        <v>46162</v>
      </c>
      <c r="E2135" s="260">
        <v>46177</v>
      </c>
      <c r="F2135">
        <v>132</v>
      </c>
      <c r="G2135" t="s">
        <v>350</v>
      </c>
    </row>
    <row r="2136" spans="1:7">
      <c r="A2136" t="s">
        <v>4582</v>
      </c>
      <c r="B2136" t="s">
        <v>4583</v>
      </c>
      <c r="C2136">
        <v>15</v>
      </c>
      <c r="D2136" s="260">
        <v>46162</v>
      </c>
      <c r="E2136" s="260">
        <v>46184</v>
      </c>
      <c r="F2136">
        <v>27</v>
      </c>
      <c r="G2136" t="s">
        <v>350</v>
      </c>
    </row>
    <row r="2137" spans="1:7">
      <c r="A2137" t="s">
        <v>4584</v>
      </c>
      <c r="B2137" t="s">
        <v>4585</v>
      </c>
      <c r="C2137">
        <v>10</v>
      </c>
      <c r="D2137" s="260">
        <v>46199</v>
      </c>
      <c r="E2137" s="260">
        <v>46212</v>
      </c>
      <c r="F2137">
        <v>97</v>
      </c>
      <c r="G2137" t="s">
        <v>350</v>
      </c>
    </row>
    <row r="2138" spans="1:7">
      <c r="A2138" t="s">
        <v>4586</v>
      </c>
      <c r="B2138" t="s">
        <v>4587</v>
      </c>
      <c r="C2138">
        <v>10</v>
      </c>
      <c r="D2138" s="260">
        <v>46227</v>
      </c>
      <c r="E2138" s="260">
        <v>46245</v>
      </c>
      <c r="F2138">
        <v>97</v>
      </c>
      <c r="G2138" t="s">
        <v>350</v>
      </c>
    </row>
    <row r="2139" spans="1:7">
      <c r="A2139" t="s">
        <v>4588</v>
      </c>
      <c r="B2139" t="s">
        <v>4589</v>
      </c>
      <c r="C2139">
        <v>10</v>
      </c>
      <c r="D2139" s="260">
        <v>46140</v>
      </c>
      <c r="E2139" s="260">
        <v>46154</v>
      </c>
      <c r="F2139">
        <v>102</v>
      </c>
      <c r="G2139" t="s">
        <v>350</v>
      </c>
    </row>
    <row r="2140" spans="1:7">
      <c r="A2140" t="s">
        <v>4590</v>
      </c>
      <c r="B2140" t="s">
        <v>4591</v>
      </c>
      <c r="C2140">
        <v>10</v>
      </c>
      <c r="D2140" s="260">
        <v>46171</v>
      </c>
      <c r="E2140" s="260">
        <v>46188</v>
      </c>
      <c r="F2140">
        <v>105</v>
      </c>
      <c r="G2140" t="s">
        <v>350</v>
      </c>
    </row>
    <row r="2141" spans="1:7">
      <c r="A2141" t="s">
        <v>4592</v>
      </c>
      <c r="B2141" t="s">
        <v>4593</v>
      </c>
      <c r="C2141">
        <v>5</v>
      </c>
      <c r="D2141" s="260">
        <v>46203</v>
      </c>
      <c r="E2141" s="260">
        <v>46209</v>
      </c>
      <c r="F2141">
        <v>110</v>
      </c>
      <c r="G2141" t="s">
        <v>350</v>
      </c>
    </row>
    <row r="2142" spans="1:7">
      <c r="A2142" t="s">
        <v>4594</v>
      </c>
      <c r="B2142" t="s">
        <v>4595</v>
      </c>
      <c r="C2142">
        <v>15</v>
      </c>
      <c r="D2142" s="260">
        <v>46155</v>
      </c>
      <c r="E2142" s="260">
        <v>46177</v>
      </c>
      <c r="F2142">
        <v>102</v>
      </c>
      <c r="G2142" t="s">
        <v>350</v>
      </c>
    </row>
    <row r="2143" spans="1:7">
      <c r="A2143" t="s">
        <v>4596</v>
      </c>
      <c r="B2143" t="s">
        <v>4597</v>
      </c>
      <c r="C2143">
        <v>10</v>
      </c>
      <c r="D2143" s="260">
        <v>46192</v>
      </c>
      <c r="E2143" s="260">
        <v>46205</v>
      </c>
      <c r="F2143">
        <v>102</v>
      </c>
      <c r="G2143" t="s">
        <v>350</v>
      </c>
    </row>
    <row r="2144" spans="1:7">
      <c r="A2144" t="s">
        <v>4598</v>
      </c>
      <c r="B2144" t="s">
        <v>4599</v>
      </c>
      <c r="C2144">
        <v>10</v>
      </c>
      <c r="D2144" s="260">
        <v>46220</v>
      </c>
      <c r="E2144" s="260">
        <v>46238</v>
      </c>
      <c r="F2144">
        <v>102</v>
      </c>
      <c r="G2144" t="s">
        <v>350</v>
      </c>
    </row>
    <row r="2145" spans="1:7">
      <c r="A2145" t="s">
        <v>4600</v>
      </c>
      <c r="B2145" t="s">
        <v>4601</v>
      </c>
      <c r="C2145">
        <v>15</v>
      </c>
      <c r="D2145" s="260">
        <v>46155</v>
      </c>
      <c r="E2145" s="260">
        <v>46177</v>
      </c>
      <c r="F2145">
        <v>102</v>
      </c>
      <c r="G2145" t="s">
        <v>350</v>
      </c>
    </row>
    <row r="2146" spans="1:7">
      <c r="A2146" t="s">
        <v>4602</v>
      </c>
      <c r="B2146" t="s">
        <v>4603</v>
      </c>
      <c r="C2146">
        <v>10</v>
      </c>
      <c r="D2146" s="260">
        <v>46192</v>
      </c>
      <c r="E2146" s="260">
        <v>46205</v>
      </c>
      <c r="F2146">
        <v>102</v>
      </c>
      <c r="G2146" t="s">
        <v>350</v>
      </c>
    </row>
    <row r="2147" spans="1:7">
      <c r="A2147" t="s">
        <v>4604</v>
      </c>
      <c r="B2147" t="s">
        <v>4605</v>
      </c>
      <c r="C2147">
        <v>10</v>
      </c>
      <c r="D2147" s="260">
        <v>46220</v>
      </c>
      <c r="E2147" s="260">
        <v>46238</v>
      </c>
      <c r="F2147">
        <v>102</v>
      </c>
      <c r="G2147" t="s">
        <v>350</v>
      </c>
    </row>
    <row r="2148" spans="1:7">
      <c r="A2148" t="s">
        <v>4606</v>
      </c>
      <c r="B2148" t="s">
        <v>4607</v>
      </c>
      <c r="C2148">
        <v>15</v>
      </c>
      <c r="D2148" s="260">
        <v>46155</v>
      </c>
      <c r="E2148" s="260">
        <v>46177</v>
      </c>
      <c r="F2148">
        <v>102</v>
      </c>
      <c r="G2148" t="s">
        <v>350</v>
      </c>
    </row>
    <row r="2149" spans="1:7">
      <c r="A2149" t="s">
        <v>4608</v>
      </c>
      <c r="B2149" t="s">
        <v>4609</v>
      </c>
      <c r="C2149">
        <v>10</v>
      </c>
      <c r="D2149" s="260">
        <v>46192</v>
      </c>
      <c r="E2149" s="260">
        <v>46205</v>
      </c>
      <c r="F2149">
        <v>102</v>
      </c>
      <c r="G2149" t="s">
        <v>350</v>
      </c>
    </row>
    <row r="2150" spans="1:7">
      <c r="A2150" t="s">
        <v>4610</v>
      </c>
      <c r="B2150" t="s">
        <v>4611</v>
      </c>
      <c r="C2150">
        <v>10</v>
      </c>
      <c r="D2150" s="260">
        <v>46220</v>
      </c>
      <c r="E2150" s="260">
        <v>46238</v>
      </c>
      <c r="F2150">
        <v>102</v>
      </c>
      <c r="G2150" t="s">
        <v>350</v>
      </c>
    </row>
    <row r="2151" spans="1:7">
      <c r="A2151" t="s">
        <v>4612</v>
      </c>
      <c r="B2151" t="s">
        <v>4613</v>
      </c>
      <c r="C2151">
        <v>15</v>
      </c>
      <c r="D2151" s="260">
        <v>46155</v>
      </c>
      <c r="E2151" s="260">
        <v>46177</v>
      </c>
      <c r="F2151">
        <v>102</v>
      </c>
      <c r="G2151" t="s">
        <v>350</v>
      </c>
    </row>
    <row r="2152" spans="1:7">
      <c r="A2152" t="s">
        <v>4614</v>
      </c>
      <c r="B2152" t="s">
        <v>4615</v>
      </c>
      <c r="C2152">
        <v>10</v>
      </c>
      <c r="D2152" s="260">
        <v>46192</v>
      </c>
      <c r="E2152" s="260">
        <v>46205</v>
      </c>
      <c r="F2152">
        <v>102</v>
      </c>
      <c r="G2152" t="s">
        <v>350</v>
      </c>
    </row>
    <row r="2153" spans="1:7">
      <c r="A2153" t="s">
        <v>4616</v>
      </c>
      <c r="B2153" t="s">
        <v>4617</v>
      </c>
      <c r="C2153">
        <v>10</v>
      </c>
      <c r="D2153" s="260">
        <v>46220</v>
      </c>
      <c r="E2153" s="260">
        <v>46238</v>
      </c>
      <c r="F2153">
        <v>102</v>
      </c>
      <c r="G2153" t="s">
        <v>350</v>
      </c>
    </row>
    <row r="2154" spans="1:7">
      <c r="A2154" t="s">
        <v>4618</v>
      </c>
      <c r="B2154" t="s">
        <v>4619</v>
      </c>
      <c r="C2154">
        <v>15</v>
      </c>
      <c r="D2154" s="260">
        <v>46169</v>
      </c>
      <c r="E2154" s="260">
        <v>46191</v>
      </c>
      <c r="F2154">
        <v>92</v>
      </c>
      <c r="G2154" t="s">
        <v>350</v>
      </c>
    </row>
    <row r="2155" spans="1:7">
      <c r="A2155" t="s">
        <v>4620</v>
      </c>
      <c r="B2155" t="s">
        <v>4621</v>
      </c>
      <c r="C2155">
        <v>10</v>
      </c>
      <c r="D2155" s="260">
        <v>46213</v>
      </c>
      <c r="E2155" s="260">
        <v>46226</v>
      </c>
      <c r="F2155">
        <v>87</v>
      </c>
      <c r="G2155" t="s">
        <v>350</v>
      </c>
    </row>
    <row r="2156" spans="1:7">
      <c r="A2156" t="s">
        <v>4622</v>
      </c>
      <c r="B2156" t="s">
        <v>4623</v>
      </c>
      <c r="C2156">
        <v>10</v>
      </c>
      <c r="D2156" s="260">
        <v>46275</v>
      </c>
      <c r="E2156" s="260">
        <v>46288</v>
      </c>
      <c r="F2156">
        <v>67</v>
      </c>
      <c r="G2156" t="s">
        <v>350</v>
      </c>
    </row>
    <row r="2157" spans="1:7">
      <c r="A2157" t="s">
        <v>4624</v>
      </c>
      <c r="B2157" t="s">
        <v>4625</v>
      </c>
      <c r="C2157">
        <v>15</v>
      </c>
      <c r="D2157" s="260">
        <v>46169</v>
      </c>
      <c r="E2157" s="260">
        <v>46191</v>
      </c>
      <c r="F2157">
        <v>92</v>
      </c>
      <c r="G2157" t="s">
        <v>350</v>
      </c>
    </row>
    <row r="2158" spans="1:7">
      <c r="A2158" t="s">
        <v>4626</v>
      </c>
      <c r="B2158" t="s">
        <v>4627</v>
      </c>
      <c r="C2158">
        <v>10</v>
      </c>
      <c r="D2158" s="260">
        <v>46213</v>
      </c>
      <c r="E2158" s="260">
        <v>46226</v>
      </c>
      <c r="F2158">
        <v>87</v>
      </c>
      <c r="G2158" t="s">
        <v>350</v>
      </c>
    </row>
    <row r="2159" spans="1:7">
      <c r="A2159" t="s">
        <v>4628</v>
      </c>
      <c r="B2159" t="s">
        <v>4629</v>
      </c>
      <c r="C2159">
        <v>10</v>
      </c>
      <c r="D2159" s="260">
        <v>46275</v>
      </c>
      <c r="E2159" s="260">
        <v>46288</v>
      </c>
      <c r="F2159">
        <v>67</v>
      </c>
      <c r="G2159" t="s">
        <v>350</v>
      </c>
    </row>
    <row r="2160" spans="1:7">
      <c r="A2160" t="s">
        <v>4630</v>
      </c>
      <c r="B2160" t="s">
        <v>4631</v>
      </c>
      <c r="C2160">
        <v>15</v>
      </c>
      <c r="D2160" s="260">
        <v>46169</v>
      </c>
      <c r="E2160" s="260">
        <v>46191</v>
      </c>
      <c r="F2160">
        <v>32</v>
      </c>
      <c r="G2160" t="s">
        <v>350</v>
      </c>
    </row>
    <row r="2161" spans="1:7">
      <c r="A2161" t="s">
        <v>4632</v>
      </c>
      <c r="B2161" t="s">
        <v>4633</v>
      </c>
      <c r="C2161">
        <v>10</v>
      </c>
      <c r="D2161" s="260">
        <v>46213</v>
      </c>
      <c r="E2161" s="260">
        <v>46226</v>
      </c>
      <c r="F2161">
        <v>77</v>
      </c>
      <c r="G2161" t="s">
        <v>350</v>
      </c>
    </row>
    <row r="2162" spans="1:7">
      <c r="A2162" t="s">
        <v>4634</v>
      </c>
      <c r="B2162" t="s">
        <v>4635</v>
      </c>
      <c r="C2162">
        <v>10</v>
      </c>
      <c r="D2162" s="260">
        <v>46275</v>
      </c>
      <c r="E2162" s="260">
        <v>46288</v>
      </c>
      <c r="F2162">
        <v>67</v>
      </c>
      <c r="G2162" t="s">
        <v>350</v>
      </c>
    </row>
    <row r="2163" spans="1:7">
      <c r="A2163" t="s">
        <v>4636</v>
      </c>
      <c r="B2163" t="s">
        <v>4637</v>
      </c>
      <c r="C2163">
        <v>15</v>
      </c>
      <c r="D2163" s="260">
        <v>46169</v>
      </c>
      <c r="E2163" s="260">
        <v>46191</v>
      </c>
      <c r="F2163">
        <v>77</v>
      </c>
      <c r="G2163" t="s">
        <v>350</v>
      </c>
    </row>
    <row r="2164" spans="1:7">
      <c r="A2164" t="s">
        <v>4638</v>
      </c>
      <c r="B2164" t="s">
        <v>4639</v>
      </c>
      <c r="C2164">
        <v>10</v>
      </c>
      <c r="D2164" s="260">
        <v>46213</v>
      </c>
      <c r="E2164" s="260">
        <v>46226</v>
      </c>
      <c r="F2164">
        <v>77</v>
      </c>
      <c r="G2164" t="s">
        <v>350</v>
      </c>
    </row>
    <row r="2165" spans="1:7">
      <c r="A2165" t="s">
        <v>4640</v>
      </c>
      <c r="B2165" t="s">
        <v>4641</v>
      </c>
      <c r="C2165">
        <v>10</v>
      </c>
      <c r="D2165" s="260">
        <v>46275</v>
      </c>
      <c r="E2165" s="260">
        <v>46288</v>
      </c>
      <c r="F2165">
        <v>67</v>
      </c>
      <c r="G2165" t="s">
        <v>350</v>
      </c>
    </row>
    <row r="2166" spans="1:7">
      <c r="A2166" t="s">
        <v>4642</v>
      </c>
      <c r="B2166" t="s">
        <v>4643</v>
      </c>
      <c r="C2166">
        <v>15</v>
      </c>
      <c r="D2166" s="260">
        <v>46192</v>
      </c>
      <c r="E2166" s="260">
        <v>46212</v>
      </c>
      <c r="F2166">
        <v>32</v>
      </c>
      <c r="G2166" t="s">
        <v>350</v>
      </c>
    </row>
    <row r="2167" spans="1:7">
      <c r="A2167" t="s">
        <v>4644</v>
      </c>
      <c r="B2167" t="s">
        <v>4645</v>
      </c>
      <c r="C2167">
        <v>10</v>
      </c>
      <c r="D2167" s="260">
        <v>46227</v>
      </c>
      <c r="E2167" s="260">
        <v>46245</v>
      </c>
      <c r="F2167">
        <v>77</v>
      </c>
      <c r="G2167" t="s">
        <v>350</v>
      </c>
    </row>
    <row r="2168" spans="1:7">
      <c r="A2168" t="s">
        <v>4646</v>
      </c>
      <c r="B2168" t="s">
        <v>4647</v>
      </c>
      <c r="C2168">
        <v>10</v>
      </c>
      <c r="D2168" s="260">
        <v>46261</v>
      </c>
      <c r="E2168" s="260">
        <v>46274</v>
      </c>
      <c r="F2168">
        <v>77</v>
      </c>
      <c r="G2168" t="s">
        <v>350</v>
      </c>
    </row>
    <row r="2169" spans="1:7">
      <c r="A2169" t="s">
        <v>4648</v>
      </c>
      <c r="B2169" t="s">
        <v>4649</v>
      </c>
      <c r="C2169">
        <v>15</v>
      </c>
      <c r="D2169" s="260">
        <v>46192</v>
      </c>
      <c r="E2169" s="260">
        <v>46212</v>
      </c>
      <c r="F2169">
        <v>77</v>
      </c>
      <c r="G2169" t="s">
        <v>350</v>
      </c>
    </row>
    <row r="2170" spans="1:7">
      <c r="A2170" t="s">
        <v>4650</v>
      </c>
      <c r="B2170" t="s">
        <v>4651</v>
      </c>
      <c r="C2170">
        <v>10</v>
      </c>
      <c r="D2170" s="260">
        <v>46227</v>
      </c>
      <c r="E2170" s="260">
        <v>46245</v>
      </c>
      <c r="F2170">
        <v>77</v>
      </c>
      <c r="G2170" t="s">
        <v>350</v>
      </c>
    </row>
    <row r="2171" spans="1:7">
      <c r="A2171" t="s">
        <v>4652</v>
      </c>
      <c r="B2171" t="s">
        <v>4653</v>
      </c>
      <c r="C2171">
        <v>10</v>
      </c>
      <c r="D2171" s="260">
        <v>46261</v>
      </c>
      <c r="E2171" s="260">
        <v>46274</v>
      </c>
      <c r="F2171">
        <v>77</v>
      </c>
      <c r="G2171" t="s">
        <v>350</v>
      </c>
    </row>
    <row r="2172" spans="1:7">
      <c r="A2172" t="s">
        <v>4654</v>
      </c>
      <c r="B2172" t="s">
        <v>4655</v>
      </c>
      <c r="C2172">
        <v>15</v>
      </c>
      <c r="D2172" s="260">
        <v>46192</v>
      </c>
      <c r="E2172" s="260">
        <v>46212</v>
      </c>
      <c r="F2172">
        <v>32</v>
      </c>
      <c r="G2172" t="s">
        <v>350</v>
      </c>
    </row>
    <row r="2173" spans="1:7">
      <c r="A2173" t="s">
        <v>4656</v>
      </c>
      <c r="B2173" t="s">
        <v>4657</v>
      </c>
      <c r="C2173">
        <v>10</v>
      </c>
      <c r="D2173" s="260">
        <v>46227</v>
      </c>
      <c r="E2173" s="260">
        <v>46245</v>
      </c>
      <c r="F2173">
        <v>62</v>
      </c>
      <c r="G2173" t="s">
        <v>350</v>
      </c>
    </row>
    <row r="2174" spans="1:7">
      <c r="A2174" t="s">
        <v>4658</v>
      </c>
      <c r="B2174" t="s">
        <v>4659</v>
      </c>
      <c r="C2174">
        <v>10</v>
      </c>
      <c r="D2174" s="260">
        <v>46261</v>
      </c>
      <c r="E2174" s="260">
        <v>46274</v>
      </c>
      <c r="F2174">
        <v>62</v>
      </c>
      <c r="G2174" t="s">
        <v>350</v>
      </c>
    </row>
    <row r="2175" spans="1:7">
      <c r="A2175" t="s">
        <v>4660</v>
      </c>
      <c r="B2175" t="s">
        <v>4661</v>
      </c>
      <c r="C2175">
        <v>15</v>
      </c>
      <c r="D2175" s="260">
        <v>46192</v>
      </c>
      <c r="E2175" s="260">
        <v>46212</v>
      </c>
      <c r="F2175">
        <v>32</v>
      </c>
      <c r="G2175" t="s">
        <v>350</v>
      </c>
    </row>
    <row r="2176" spans="1:7">
      <c r="A2176" t="s">
        <v>4662</v>
      </c>
      <c r="B2176" t="s">
        <v>4663</v>
      </c>
      <c r="C2176">
        <v>10</v>
      </c>
      <c r="D2176" s="260">
        <v>46227</v>
      </c>
      <c r="E2176" s="260">
        <v>46245</v>
      </c>
      <c r="F2176">
        <v>62</v>
      </c>
      <c r="G2176" t="s">
        <v>350</v>
      </c>
    </row>
    <row r="2177" spans="1:7">
      <c r="A2177" t="s">
        <v>4664</v>
      </c>
      <c r="B2177" t="s">
        <v>4665</v>
      </c>
      <c r="C2177">
        <v>10</v>
      </c>
      <c r="D2177" s="260">
        <v>46261</v>
      </c>
      <c r="E2177" s="260">
        <v>46274</v>
      </c>
      <c r="F2177">
        <v>62</v>
      </c>
      <c r="G2177" t="s">
        <v>350</v>
      </c>
    </row>
    <row r="2178" spans="1:7">
      <c r="A2178" t="s">
        <v>4666</v>
      </c>
      <c r="C2178">
        <v>85</v>
      </c>
      <c r="D2178" s="260">
        <v>46185</v>
      </c>
      <c r="E2178" s="260">
        <v>46310</v>
      </c>
      <c r="F2178">
        <v>52</v>
      </c>
      <c r="G2178" t="s">
        <v>350</v>
      </c>
    </row>
    <row r="2179" spans="1:7">
      <c r="A2179" t="s">
        <v>4667</v>
      </c>
      <c r="B2179" t="s">
        <v>4668</v>
      </c>
      <c r="C2179">
        <v>15</v>
      </c>
      <c r="D2179" s="260">
        <v>46185</v>
      </c>
      <c r="E2179" s="260">
        <v>46205</v>
      </c>
      <c r="F2179">
        <v>27</v>
      </c>
      <c r="G2179" t="s">
        <v>350</v>
      </c>
    </row>
    <row r="2180" spans="1:7">
      <c r="A2180" t="s">
        <v>4669</v>
      </c>
      <c r="B2180" t="s">
        <v>4670</v>
      </c>
      <c r="C2180">
        <v>10</v>
      </c>
      <c r="D2180" s="260">
        <v>46296</v>
      </c>
      <c r="E2180" s="260">
        <v>46310</v>
      </c>
      <c r="F2180">
        <v>52</v>
      </c>
      <c r="G2180" t="s">
        <v>350</v>
      </c>
    </row>
    <row r="2181" spans="1:7">
      <c r="A2181" t="s">
        <v>4671</v>
      </c>
      <c r="B2181" t="s">
        <v>4672</v>
      </c>
      <c r="C2181">
        <v>15</v>
      </c>
      <c r="D2181" s="260">
        <v>46185</v>
      </c>
      <c r="E2181" s="260">
        <v>46205</v>
      </c>
      <c r="F2181">
        <v>27</v>
      </c>
      <c r="G2181" t="s">
        <v>350</v>
      </c>
    </row>
    <row r="2182" spans="1:7">
      <c r="A2182" t="s">
        <v>4673</v>
      </c>
      <c r="B2182" t="s">
        <v>4674</v>
      </c>
      <c r="C2182">
        <v>10</v>
      </c>
      <c r="D2182" s="260">
        <v>46296</v>
      </c>
      <c r="E2182" s="260">
        <v>46310</v>
      </c>
      <c r="F2182">
        <v>52</v>
      </c>
      <c r="G2182" t="s">
        <v>350</v>
      </c>
    </row>
    <row r="2183" spans="1:7">
      <c r="A2183" t="s">
        <v>4675</v>
      </c>
      <c r="B2183" t="s">
        <v>4676</v>
      </c>
      <c r="C2183">
        <v>15</v>
      </c>
      <c r="D2183" s="260">
        <v>46185</v>
      </c>
      <c r="E2183" s="260">
        <v>46205</v>
      </c>
      <c r="F2183">
        <v>27</v>
      </c>
      <c r="G2183" t="s">
        <v>350</v>
      </c>
    </row>
    <row r="2184" spans="1:7">
      <c r="A2184" t="s">
        <v>4677</v>
      </c>
      <c r="B2184" t="s">
        <v>4678</v>
      </c>
      <c r="C2184">
        <v>10</v>
      </c>
      <c r="D2184" s="260">
        <v>46296</v>
      </c>
      <c r="E2184" s="260">
        <v>46310</v>
      </c>
      <c r="F2184">
        <v>52</v>
      </c>
      <c r="G2184" t="s">
        <v>350</v>
      </c>
    </row>
    <row r="2185" spans="1:7">
      <c r="A2185" t="s">
        <v>4679</v>
      </c>
      <c r="C2185">
        <v>95</v>
      </c>
      <c r="D2185" s="260">
        <v>46206</v>
      </c>
      <c r="E2185" s="260">
        <v>46346</v>
      </c>
      <c r="F2185">
        <v>27</v>
      </c>
      <c r="G2185" t="s">
        <v>350</v>
      </c>
    </row>
    <row r="2186" spans="1:7">
      <c r="A2186" t="s">
        <v>4680</v>
      </c>
      <c r="B2186" t="s">
        <v>4681</v>
      </c>
      <c r="C2186">
        <v>10</v>
      </c>
      <c r="D2186" s="260">
        <v>46206</v>
      </c>
      <c r="E2186" s="260">
        <v>46219</v>
      </c>
      <c r="F2186">
        <v>27</v>
      </c>
      <c r="G2186" t="s">
        <v>350</v>
      </c>
    </row>
    <row r="2187" spans="1:7">
      <c r="A2187" t="s">
        <v>4682</v>
      </c>
      <c r="B2187" t="s">
        <v>4683</v>
      </c>
      <c r="C2187">
        <v>5</v>
      </c>
      <c r="D2187" s="260">
        <v>46342</v>
      </c>
      <c r="E2187" s="260">
        <v>46346</v>
      </c>
      <c r="F2187">
        <v>27</v>
      </c>
      <c r="G2187" t="s">
        <v>350</v>
      </c>
    </row>
    <row r="2188" spans="1:7">
      <c r="A2188" t="s">
        <v>4684</v>
      </c>
      <c r="B2188" t="s">
        <v>4685</v>
      </c>
      <c r="C2188">
        <v>10</v>
      </c>
      <c r="D2188" s="260">
        <v>46206</v>
      </c>
      <c r="E2188" s="260">
        <v>46219</v>
      </c>
      <c r="F2188">
        <v>27</v>
      </c>
      <c r="G2188" t="s">
        <v>350</v>
      </c>
    </row>
    <row r="2189" spans="1:7">
      <c r="A2189" t="s">
        <v>4686</v>
      </c>
      <c r="B2189" t="s">
        <v>4687</v>
      </c>
      <c r="C2189">
        <v>5</v>
      </c>
      <c r="D2189" s="260">
        <v>46342</v>
      </c>
      <c r="E2189" s="260">
        <v>46346</v>
      </c>
      <c r="F2189">
        <v>27</v>
      </c>
      <c r="G2189" t="s">
        <v>350</v>
      </c>
    </row>
    <row r="2190" spans="1:7">
      <c r="A2190" t="s">
        <v>4688</v>
      </c>
      <c r="B2190" t="s">
        <v>4689</v>
      </c>
      <c r="C2190">
        <v>10</v>
      </c>
      <c r="D2190" s="260">
        <v>46206</v>
      </c>
      <c r="E2190" s="260">
        <v>46219</v>
      </c>
      <c r="F2190">
        <v>27</v>
      </c>
      <c r="G2190" t="s">
        <v>350</v>
      </c>
    </row>
    <row r="2191" spans="1:7">
      <c r="A2191" t="s">
        <v>4690</v>
      </c>
      <c r="B2191" t="s">
        <v>4691</v>
      </c>
      <c r="C2191">
        <v>5</v>
      </c>
      <c r="D2191" s="260">
        <v>46342</v>
      </c>
      <c r="E2191" s="260">
        <v>46346</v>
      </c>
      <c r="F2191">
        <v>27</v>
      </c>
      <c r="G2191" t="s">
        <v>350</v>
      </c>
    </row>
    <row r="2192" spans="1:7">
      <c r="A2192" t="s">
        <v>4692</v>
      </c>
      <c r="C2192">
        <v>60</v>
      </c>
      <c r="D2192" s="260">
        <v>46254</v>
      </c>
      <c r="E2192" s="260">
        <v>46339</v>
      </c>
      <c r="F2192">
        <v>27</v>
      </c>
      <c r="G2192" t="s">
        <v>350</v>
      </c>
    </row>
    <row r="2193" spans="1:7">
      <c r="A2193" t="s">
        <v>4693</v>
      </c>
      <c r="B2193" t="s">
        <v>4694</v>
      </c>
      <c r="C2193">
        <v>20</v>
      </c>
      <c r="D2193" s="260">
        <v>46254</v>
      </c>
      <c r="E2193" s="260">
        <v>46281</v>
      </c>
      <c r="F2193">
        <v>27</v>
      </c>
      <c r="G2193" t="s">
        <v>350</v>
      </c>
    </row>
    <row r="2194" spans="1:7">
      <c r="A2194" t="s">
        <v>4695</v>
      </c>
      <c r="B2194" t="s">
        <v>4696</v>
      </c>
      <c r="C2194">
        <v>10</v>
      </c>
      <c r="D2194" s="260">
        <v>46296</v>
      </c>
      <c r="E2194" s="260">
        <v>46310</v>
      </c>
      <c r="F2194">
        <v>27</v>
      </c>
      <c r="G2194" t="s">
        <v>350</v>
      </c>
    </row>
    <row r="2195" spans="1:7">
      <c r="A2195" t="s">
        <v>4697</v>
      </c>
      <c r="B2195" t="s">
        <v>4698</v>
      </c>
      <c r="C2195">
        <v>10</v>
      </c>
      <c r="D2195" s="260">
        <v>46328</v>
      </c>
      <c r="E2195" s="260">
        <v>46339</v>
      </c>
      <c r="F2195">
        <v>27</v>
      </c>
      <c r="G2195" t="s">
        <v>350</v>
      </c>
    </row>
    <row r="2196" spans="1:7">
      <c r="A2196" t="s">
        <v>4699</v>
      </c>
      <c r="B2196" t="s">
        <v>4700</v>
      </c>
      <c r="C2196">
        <v>20</v>
      </c>
      <c r="D2196" s="260">
        <v>46254</v>
      </c>
      <c r="E2196" s="260">
        <v>46281</v>
      </c>
      <c r="F2196">
        <v>27</v>
      </c>
      <c r="G2196" t="s">
        <v>350</v>
      </c>
    </row>
    <row r="2197" spans="1:7">
      <c r="A2197" t="s">
        <v>4701</v>
      </c>
      <c r="B2197" t="s">
        <v>4702</v>
      </c>
      <c r="C2197">
        <v>10</v>
      </c>
      <c r="D2197" s="260">
        <v>46296</v>
      </c>
      <c r="E2197" s="260">
        <v>46310</v>
      </c>
      <c r="F2197">
        <v>27</v>
      </c>
      <c r="G2197" t="s">
        <v>350</v>
      </c>
    </row>
    <row r="2198" spans="1:7">
      <c r="A2198" t="s">
        <v>4703</v>
      </c>
      <c r="B2198" t="s">
        <v>4704</v>
      </c>
      <c r="C2198">
        <v>10</v>
      </c>
      <c r="D2198" s="260">
        <v>46328</v>
      </c>
      <c r="E2198" s="260">
        <v>46339</v>
      </c>
      <c r="F2198">
        <v>27</v>
      </c>
      <c r="G2198" t="s">
        <v>350</v>
      </c>
    </row>
    <row r="2199" spans="1:7">
      <c r="A2199" t="s">
        <v>4705</v>
      </c>
      <c r="B2199" t="s">
        <v>4706</v>
      </c>
      <c r="C2199">
        <v>20</v>
      </c>
      <c r="D2199" s="260">
        <v>46254</v>
      </c>
      <c r="E2199" s="260">
        <v>46281</v>
      </c>
      <c r="F2199">
        <v>27</v>
      </c>
      <c r="G2199" t="s">
        <v>350</v>
      </c>
    </row>
    <row r="2200" spans="1:7">
      <c r="A2200" t="s">
        <v>4707</v>
      </c>
      <c r="B2200" t="s">
        <v>4708</v>
      </c>
      <c r="C2200">
        <v>10</v>
      </c>
      <c r="D2200" s="260">
        <v>46296</v>
      </c>
      <c r="E2200" s="260">
        <v>46310</v>
      </c>
      <c r="F2200">
        <v>27</v>
      </c>
      <c r="G2200" t="s">
        <v>350</v>
      </c>
    </row>
    <row r="2201" spans="1:7">
      <c r="A2201" t="s">
        <v>4709</v>
      </c>
      <c r="B2201" t="s">
        <v>4710</v>
      </c>
      <c r="C2201">
        <v>10</v>
      </c>
      <c r="D2201" s="260">
        <v>46328</v>
      </c>
      <c r="E2201" s="260">
        <v>46339</v>
      </c>
      <c r="F2201">
        <v>27</v>
      </c>
      <c r="G2201" t="s">
        <v>350</v>
      </c>
    </row>
    <row r="2202" spans="1:7">
      <c r="A2202" t="s">
        <v>674</v>
      </c>
      <c r="C2202">
        <v>10</v>
      </c>
      <c r="D2202" s="260">
        <v>46167</v>
      </c>
      <c r="E2202" s="260">
        <v>46182</v>
      </c>
      <c r="F2202">
        <v>99</v>
      </c>
      <c r="G2202" t="s">
        <v>350</v>
      </c>
    </row>
    <row r="2203" spans="1:7">
      <c r="A2203" t="s">
        <v>4711</v>
      </c>
      <c r="B2203" t="s">
        <v>4712</v>
      </c>
      <c r="C2203">
        <v>10</v>
      </c>
      <c r="D2203" s="260">
        <v>46167</v>
      </c>
      <c r="E2203" s="260">
        <v>46182</v>
      </c>
      <c r="F2203">
        <v>99</v>
      </c>
      <c r="G2203" t="s">
        <v>350</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3046875" defaultRowHeight="18"/>
  <cols>
    <col min="1" max="1" width="3.86328125" style="170" customWidth="1"/>
    <col min="2" max="2" width="11.1328125" style="170" customWidth="1"/>
    <col min="3" max="3" width="10.73046875" style="24" customWidth="1"/>
    <col min="4" max="4" width="19.86328125" style="24" customWidth="1"/>
    <col min="5" max="5" width="17.86328125" style="24" customWidth="1"/>
    <col min="6" max="6" width="11.86328125" style="24" customWidth="1"/>
    <col min="7" max="7" width="10.86328125" style="171" customWidth="1"/>
    <col min="8" max="9" width="10.3984375" style="172" customWidth="1"/>
    <col min="10" max="10" width="8.39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3984375" style="173" customWidth="1"/>
    <col min="23" max="23" width="10.3984375" style="176" customWidth="1"/>
    <col min="24" max="25" width="10.3984375" style="173" customWidth="1"/>
    <col min="26" max="27" width="10.3984375" style="177" customWidth="1"/>
    <col min="28" max="28" width="10.3984375" style="178" customWidth="1"/>
    <col min="29" max="39" width="10.73046875" style="172" customWidth="1"/>
    <col min="40" max="40" width="10.73046875" style="172"/>
    <col min="41" max="41" width="10.73046875" style="172" customWidth="1"/>
    <col min="42" max="44" width="11" style="173" customWidth="1"/>
    <col min="45" max="45" width="10.3984375" style="179" customWidth="1"/>
    <col min="46" max="47" width="10.73046875" style="172" customWidth="1"/>
    <col min="48" max="48" width="10.73046875" style="172"/>
    <col min="49" max="49" width="10.73046875" style="180" customWidth="1"/>
    <col min="50" max="16384" width="10.73046875" style="172"/>
  </cols>
  <sheetData>
    <row r="1" spans="1:49" ht="53.1" customHeight="1">
      <c r="A1" s="35" t="s">
        <v>4713</v>
      </c>
      <c r="B1" s="35"/>
      <c r="G1" s="25"/>
      <c r="H1" s="25"/>
      <c r="I1" s="25" t="s">
        <v>4714</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4715</v>
      </c>
      <c r="C16" s="202" t="s">
        <v>13</v>
      </c>
      <c r="D16" s="202" t="s">
        <v>14</v>
      </c>
      <c r="E16" s="202" t="s">
        <v>4716</v>
      </c>
      <c r="F16" s="202" t="s">
        <v>20</v>
      </c>
      <c r="G16" s="202" t="s">
        <v>21</v>
      </c>
      <c r="H16" s="201" t="s">
        <v>22</v>
      </c>
      <c r="I16" s="201" t="s">
        <v>23</v>
      </c>
      <c r="J16" s="201"/>
      <c r="K16" s="202" t="s">
        <v>24</v>
      </c>
      <c r="L16" s="203" t="s">
        <v>4717</v>
      </c>
      <c r="M16" s="203" t="s">
        <v>26</v>
      </c>
      <c r="N16" s="203" t="s">
        <v>27</v>
      </c>
      <c r="O16" s="203" t="s">
        <v>28</v>
      </c>
      <c r="P16" s="204" t="s">
        <v>4718</v>
      </c>
      <c r="Q16" s="205" t="s">
        <v>29</v>
      </c>
      <c r="R16" s="203" t="s">
        <v>30</v>
      </c>
      <c r="S16" s="203" t="s">
        <v>31</v>
      </c>
      <c r="T16" s="203" t="s">
        <v>32</v>
      </c>
      <c r="U16" s="203" t="s">
        <v>34</v>
      </c>
      <c r="V16" s="203" t="s">
        <v>35</v>
      </c>
      <c r="W16" s="206" t="s">
        <v>16</v>
      </c>
      <c r="X16" s="203" t="s">
        <v>4719</v>
      </c>
      <c r="Y16" s="207" t="s">
        <v>4720</v>
      </c>
      <c r="Z16" s="207" t="s">
        <v>49</v>
      </c>
      <c r="AA16" s="207" t="s">
        <v>4721</v>
      </c>
      <c r="AB16" s="207" t="s">
        <v>4722</v>
      </c>
      <c r="AC16" s="208">
        <v>40329</v>
      </c>
      <c r="AD16" s="209">
        <v>40359</v>
      </c>
      <c r="AE16" s="209">
        <v>40390</v>
      </c>
      <c r="AF16" s="209">
        <v>40421</v>
      </c>
      <c r="AG16" s="209">
        <v>40451</v>
      </c>
      <c r="AH16" s="209">
        <v>40482</v>
      </c>
      <c r="AI16" s="209">
        <v>40512</v>
      </c>
      <c r="AJ16" s="209">
        <v>40543</v>
      </c>
      <c r="AK16" s="209">
        <v>40574</v>
      </c>
      <c r="AL16" s="209">
        <v>40602</v>
      </c>
      <c r="AM16" s="209">
        <f ca="1">TODAY()</f>
        <v>46230</v>
      </c>
      <c r="AP16" s="207" t="s">
        <v>4723</v>
      </c>
      <c r="AQ16" s="207" t="s">
        <v>4724</v>
      </c>
      <c r="AR16" s="207" t="s">
        <v>4725</v>
      </c>
      <c r="AS16" s="210" t="s">
        <v>4726</v>
      </c>
      <c r="AW16" s="211"/>
    </row>
    <row r="17" spans="1:49" s="166" customFormat="1" ht="18" customHeight="1">
      <c r="A17" s="444">
        <v>1</v>
      </c>
      <c r="B17" s="446"/>
      <c r="C17" s="449" t="s">
        <v>4727</v>
      </c>
      <c r="D17" s="449" t="s">
        <v>4728</v>
      </c>
      <c r="E17" s="454"/>
      <c r="F17" s="458" t="s">
        <v>60</v>
      </c>
      <c r="G17" s="449" t="str">
        <f>IF(_xlfn.XLOOKUP(C17,'[35]Before Award'!D:D,'[35]Before Award'!AV:AV,"N/A")="N/A","N","Y")</f>
        <v>N</v>
      </c>
      <c r="H17" s="454"/>
      <c r="I17" s="212" t="s">
        <v>6</v>
      </c>
      <c r="J17" s="214" t="s">
        <v>4729</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476">
        <v>350</v>
      </c>
      <c r="Z17" s="480">
        <v>46567</v>
      </c>
      <c r="AA17" s="481">
        <v>46567</v>
      </c>
      <c r="AB17" s="485">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486">
        <v>14</v>
      </c>
      <c r="AW17" s="223" t="e" cm="1">
        <f t="array" ref="AW17:AW95">'[35]Equipment List and MR List (3)'!$A$2:$A$80</f>
        <v>#REF!</v>
      </c>
    </row>
    <row r="18" spans="1:49" s="166" customFormat="1" ht="18" customHeight="1">
      <c r="A18" s="444"/>
      <c r="B18" s="447"/>
      <c r="C18" s="449" t="str">
        <f>C17</f>
        <v>RFQ-001</v>
      </c>
      <c r="D18" s="449" t="str">
        <f>D17</f>
        <v>Pedestal Crane</v>
      </c>
      <c r="E18" s="455"/>
      <c r="F18" s="459"/>
      <c r="G18" s="449"/>
      <c r="H18" s="455"/>
      <c r="I18" s="212" t="str">
        <f>I17</f>
        <v>LA</v>
      </c>
      <c r="J18" s="214" t="s">
        <v>65</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476"/>
      <c r="Z18" s="480"/>
      <c r="AA18" s="481"/>
      <c r="AB18" s="485"/>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486"/>
      <c r="AW18" s="223" t="e">
        <v>#REF!</v>
      </c>
    </row>
    <row r="19" spans="1:49" s="166" customFormat="1" ht="18" customHeight="1">
      <c r="A19" s="444"/>
      <c r="B19" s="448"/>
      <c r="C19" s="449" t="str">
        <f>C17</f>
        <v>RFQ-001</v>
      </c>
      <c r="D19" s="449" t="str">
        <f>D17</f>
        <v>Pedestal Crane</v>
      </c>
      <c r="E19" s="456"/>
      <c r="F19" s="460"/>
      <c r="G19" s="449"/>
      <c r="H19" s="456"/>
      <c r="I19" s="212" t="str">
        <f>I17</f>
        <v>LA</v>
      </c>
      <c r="J19" s="214" t="s">
        <v>67</v>
      </c>
      <c r="K19" s="212"/>
      <c r="L19" s="212"/>
      <c r="M19" s="212"/>
      <c r="N19" s="212"/>
      <c r="O19" s="212"/>
      <c r="P19" s="226"/>
      <c r="Q19" s="227"/>
      <c r="R19" s="212"/>
      <c r="S19" s="212"/>
      <c r="T19" s="212"/>
      <c r="U19" s="212"/>
      <c r="V19" s="212"/>
      <c r="W19" s="228"/>
      <c r="X19" s="212"/>
      <c r="Y19" s="476"/>
      <c r="Z19" s="480"/>
      <c r="AA19" s="481"/>
      <c r="AB19" s="485"/>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486"/>
      <c r="AW19" s="223" t="e">
        <v>#REF!</v>
      </c>
    </row>
    <row r="20" spans="1:49" s="167" customFormat="1" ht="18" customHeight="1">
      <c r="A20" s="445">
        <f>A17+1</f>
        <v>2</v>
      </c>
      <c r="B20" s="446"/>
      <c r="C20" s="450" t="s">
        <v>4730</v>
      </c>
      <c r="D20" s="450" t="s">
        <v>70</v>
      </c>
      <c r="E20" s="454"/>
      <c r="F20" s="461" t="s">
        <v>60</v>
      </c>
      <c r="G20" s="450" t="s">
        <v>72</v>
      </c>
      <c r="H20" s="473"/>
      <c r="I20" s="45" t="s">
        <v>8</v>
      </c>
      <c r="J20" s="233" t="s">
        <v>4729</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476">
        <v>175</v>
      </c>
      <c r="Z20" s="480">
        <v>46568</v>
      </c>
      <c r="AA20" s="481">
        <v>46568</v>
      </c>
      <c r="AB20" s="485">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486">
        <v>14</v>
      </c>
      <c r="AW20" s="236" t="e">
        <v>#REF!</v>
      </c>
    </row>
    <row r="21" spans="1:49" s="167" customFormat="1" ht="18" customHeight="1">
      <c r="A21" s="445"/>
      <c r="B21" s="447"/>
      <c r="C21" s="450" t="str">
        <f>C20</f>
        <v>RFQ-002</v>
      </c>
      <c r="D21" s="450" t="str">
        <f>D20</f>
        <v>Material Handling Equipment</v>
      </c>
      <c r="E21" s="455"/>
      <c r="F21" s="462"/>
      <c r="G21" s="450" t="str">
        <f>G20</f>
        <v>N</v>
      </c>
      <c r="H21" s="474"/>
      <c r="I21" s="231" t="str">
        <f>I20</f>
        <v>LC</v>
      </c>
      <c r="J21" s="233" t="s">
        <v>65</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476"/>
      <c r="Z21" s="480"/>
      <c r="AA21" s="481"/>
      <c r="AB21" s="485"/>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486"/>
      <c r="AW21" s="236" t="e">
        <v>#REF!</v>
      </c>
    </row>
    <row r="22" spans="1:49" s="167" customFormat="1" ht="18" customHeight="1">
      <c r="A22" s="445"/>
      <c r="B22" s="448"/>
      <c r="C22" s="450" t="str">
        <f>C20</f>
        <v>RFQ-002</v>
      </c>
      <c r="D22" s="450" t="str">
        <f>D20</f>
        <v>Material Handling Equipment</v>
      </c>
      <c r="E22" s="456"/>
      <c r="F22" s="463"/>
      <c r="G22" s="450" t="str">
        <f>G20</f>
        <v>N</v>
      </c>
      <c r="H22" s="475"/>
      <c r="I22" s="231" t="str">
        <f>I20</f>
        <v>LC</v>
      </c>
      <c r="J22" s="233" t="s">
        <v>67</v>
      </c>
      <c r="K22" s="212"/>
      <c r="L22" s="212"/>
      <c r="M22" s="212"/>
      <c r="N22" s="212"/>
      <c r="O22" s="212"/>
      <c r="P22" s="226"/>
      <c r="Q22" s="227"/>
      <c r="R22" s="212"/>
      <c r="S22" s="212"/>
      <c r="T22" s="212"/>
      <c r="U22" s="212"/>
      <c r="V22" s="212"/>
      <c r="W22" s="228"/>
      <c r="X22" s="212"/>
      <c r="Y22" s="476"/>
      <c r="Z22" s="480"/>
      <c r="AA22" s="481"/>
      <c r="AB22" s="485"/>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486"/>
      <c r="AW22" s="236" t="e">
        <v>#REF!</v>
      </c>
    </row>
    <row r="23" spans="1:49" s="167" customFormat="1" ht="18" customHeight="1">
      <c r="A23" s="445">
        <f>A20+1</f>
        <v>3</v>
      </c>
      <c r="B23" s="446"/>
      <c r="C23" s="451" t="s">
        <v>4731</v>
      </c>
      <c r="D23" s="451" t="s">
        <v>75</v>
      </c>
      <c r="E23" s="454"/>
      <c r="F23" s="464" t="s">
        <v>60</v>
      </c>
      <c r="G23" s="450" t="s">
        <v>64</v>
      </c>
      <c r="H23" s="473"/>
      <c r="I23" s="231" t="s">
        <v>6</v>
      </c>
      <c r="J23" s="233" t="s">
        <v>4729</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476">
        <v>180</v>
      </c>
      <c r="Z23" s="481">
        <v>46466</v>
      </c>
      <c r="AA23" s="481">
        <v>46466</v>
      </c>
      <c r="AB23" s="485">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486">
        <v>7</v>
      </c>
      <c r="AW23" s="236" t="e">
        <v>#REF!</v>
      </c>
    </row>
    <row r="24" spans="1:49" s="167" customFormat="1" ht="18" customHeight="1">
      <c r="A24" s="445"/>
      <c r="B24" s="447"/>
      <c r="C24" s="451" t="str">
        <f>C23</f>
        <v>RFQ-003</v>
      </c>
      <c r="D24" s="451" t="str">
        <f>D23</f>
        <v>Instrument Gas Filter Coalescer</v>
      </c>
      <c r="E24" s="455"/>
      <c r="F24" s="465"/>
      <c r="G24" s="450" t="str">
        <f>G23</f>
        <v>Y</v>
      </c>
      <c r="H24" s="474"/>
      <c r="I24" s="231" t="str">
        <f>I23</f>
        <v>LA</v>
      </c>
      <c r="J24" s="233" t="s">
        <v>65</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476"/>
      <c r="Z24" s="481"/>
      <c r="AA24" s="481"/>
      <c r="AB24" s="485"/>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486"/>
      <c r="AW24" s="236" t="e">
        <v>#REF!</v>
      </c>
    </row>
    <row r="25" spans="1:49" s="167" customFormat="1" ht="18" customHeight="1">
      <c r="A25" s="445"/>
      <c r="B25" s="448"/>
      <c r="C25" s="451" t="str">
        <f>C23</f>
        <v>RFQ-003</v>
      </c>
      <c r="D25" s="451" t="str">
        <f>D23</f>
        <v>Instrument Gas Filter Coalescer</v>
      </c>
      <c r="E25" s="456"/>
      <c r="F25" s="466"/>
      <c r="G25" s="450" t="str">
        <f>G23</f>
        <v>Y</v>
      </c>
      <c r="H25" s="475"/>
      <c r="I25" s="231" t="str">
        <f>I23</f>
        <v>LA</v>
      </c>
      <c r="J25" s="233" t="s">
        <v>67</v>
      </c>
      <c r="K25" s="212"/>
      <c r="L25" s="212"/>
      <c r="M25" s="212"/>
      <c r="N25" s="212"/>
      <c r="O25" s="212"/>
      <c r="P25" s="226"/>
      <c r="Q25" s="227"/>
      <c r="R25" s="212"/>
      <c r="S25" s="212"/>
      <c r="T25" s="212"/>
      <c r="U25" s="212"/>
      <c r="V25" s="212"/>
      <c r="W25" s="228"/>
      <c r="X25" s="212"/>
      <c r="Y25" s="476"/>
      <c r="Z25" s="481"/>
      <c r="AA25" s="481"/>
      <c r="AB25" s="485"/>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486"/>
      <c r="AW25" s="236" t="e">
        <v>#REF!</v>
      </c>
    </row>
    <row r="26" spans="1:49" s="168" customFormat="1" ht="16.5" customHeight="1">
      <c r="A26" s="445">
        <f>A23+1</f>
        <v>4</v>
      </c>
      <c r="B26" s="446"/>
      <c r="C26" s="452" t="s">
        <v>4732</v>
      </c>
      <c r="D26" s="452" t="s">
        <v>4733</v>
      </c>
      <c r="E26" s="454"/>
      <c r="F26" s="452" t="s">
        <v>60</v>
      </c>
      <c r="G26" s="449" t="str">
        <f>IF(_xlfn.XLOOKUP(C26,'[35]Before Award'!D:D,'[35]Before Award'!AV:AV,"N/A")="N/A","N","Y")</f>
        <v>N</v>
      </c>
      <c r="H26" s="454"/>
      <c r="I26" s="212" t="s">
        <v>6</v>
      </c>
      <c r="J26" s="214" t="s">
        <v>4729</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476">
        <f>W26*7</f>
        <v>182</v>
      </c>
      <c r="Z26" s="481">
        <v>46466</v>
      </c>
      <c r="AA26" s="482">
        <v>46466</v>
      </c>
      <c r="AB26" s="485">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486">
        <v>14</v>
      </c>
      <c r="AW26" s="244" t="e">
        <v>#REF!</v>
      </c>
    </row>
    <row r="27" spans="1:49" s="168" customFormat="1" ht="16.5" customHeight="1">
      <c r="A27" s="445"/>
      <c r="B27" s="447"/>
      <c r="C27" s="452" t="str">
        <f>C26</f>
        <v>RFQ-004</v>
      </c>
      <c r="D27" s="452" t="str">
        <f>D26</f>
        <v>Production &amp; Test Seperator</v>
      </c>
      <c r="E27" s="455"/>
      <c r="F27" s="452"/>
      <c r="G27" s="449" t="str">
        <f>G26</f>
        <v>N</v>
      </c>
      <c r="H27" s="455"/>
      <c r="I27" s="212" t="str">
        <f>I26</f>
        <v>LA</v>
      </c>
      <c r="J27" s="214" t="s">
        <v>65</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476"/>
      <c r="Z27" s="481"/>
      <c r="AA27" s="483"/>
      <c r="AB27" s="485"/>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486"/>
      <c r="AW27" s="244" t="e">
        <v>#REF!</v>
      </c>
    </row>
    <row r="28" spans="1:49" s="168" customFormat="1" ht="16.5" customHeight="1">
      <c r="A28" s="445"/>
      <c r="B28" s="448"/>
      <c r="C28" s="453" t="str">
        <f>C26</f>
        <v>RFQ-004</v>
      </c>
      <c r="D28" s="453" t="str">
        <f>D26</f>
        <v>Production &amp; Test Seperator</v>
      </c>
      <c r="E28" s="456"/>
      <c r="F28" s="453"/>
      <c r="G28" s="449" t="str">
        <f>G26</f>
        <v>N</v>
      </c>
      <c r="H28" s="456"/>
      <c r="I28" s="212" t="str">
        <f>I26</f>
        <v>LA</v>
      </c>
      <c r="J28" s="214" t="s">
        <v>67</v>
      </c>
      <c r="K28" s="212"/>
      <c r="L28" s="212"/>
      <c r="M28" s="212"/>
      <c r="N28" s="212"/>
      <c r="O28" s="212"/>
      <c r="P28" s="226"/>
      <c r="Q28" s="227"/>
      <c r="R28" s="212"/>
      <c r="S28" s="212"/>
      <c r="T28" s="212"/>
      <c r="U28" s="219"/>
      <c r="V28" s="212"/>
      <c r="W28" s="228"/>
      <c r="X28" s="212"/>
      <c r="Y28" s="476"/>
      <c r="Z28" s="481"/>
      <c r="AA28" s="484"/>
      <c r="AB28" s="485"/>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486"/>
      <c r="AW28" s="244" t="e">
        <v>#REF!</v>
      </c>
    </row>
    <row r="29" spans="1:49" s="168" customFormat="1" ht="16.5" customHeight="1">
      <c r="A29" s="445">
        <f>A26+1</f>
        <v>5</v>
      </c>
      <c r="B29" s="446"/>
      <c r="C29" s="452" t="s">
        <v>4734</v>
      </c>
      <c r="D29" s="452" t="s">
        <v>4735</v>
      </c>
      <c r="E29" s="454"/>
      <c r="F29" s="452" t="s">
        <v>83</v>
      </c>
      <c r="G29" s="449" t="s">
        <v>64</v>
      </c>
      <c r="H29" s="454"/>
      <c r="I29" s="212" t="s">
        <v>6</v>
      </c>
      <c r="J29" s="214" t="s">
        <v>4729</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476">
        <f>W29*7</f>
        <v>224</v>
      </c>
      <c r="Z29" s="481">
        <v>46472</v>
      </c>
      <c r="AA29" s="481">
        <v>46472</v>
      </c>
      <c r="AB29" s="485">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486">
        <v>14</v>
      </c>
      <c r="AW29" s="244" t="e">
        <v>#REF!</v>
      </c>
    </row>
    <row r="30" spans="1:49" s="168" customFormat="1" ht="16.5" customHeight="1">
      <c r="A30" s="445"/>
      <c r="B30" s="447"/>
      <c r="C30" s="452" t="str">
        <f>C29</f>
        <v>RFQ-005</v>
      </c>
      <c r="D30" s="452" t="str">
        <f>D29</f>
        <v>Pig Launcher and Receiver</v>
      </c>
      <c r="E30" s="455"/>
      <c r="F30" s="452" t="str">
        <f>F29</f>
        <v>Piping</v>
      </c>
      <c r="G30" s="449" t="str">
        <f>G29</f>
        <v>Y</v>
      </c>
      <c r="H30" s="455"/>
      <c r="I30" s="212" t="str">
        <f>I29</f>
        <v>LA</v>
      </c>
      <c r="J30" s="214" t="s">
        <v>65</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476"/>
      <c r="Z30" s="481"/>
      <c r="AA30" s="481"/>
      <c r="AB30" s="485"/>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486"/>
      <c r="AW30" s="244" t="e">
        <v>#REF!</v>
      </c>
    </row>
    <row r="31" spans="1:49" s="168" customFormat="1" ht="16.5" customHeight="1">
      <c r="A31" s="445"/>
      <c r="B31" s="448"/>
      <c r="C31" s="453" t="str">
        <f>C29</f>
        <v>RFQ-005</v>
      </c>
      <c r="D31" s="453" t="str">
        <f>D29</f>
        <v>Pig Launcher and Receiver</v>
      </c>
      <c r="E31" s="456"/>
      <c r="F31" s="453" t="str">
        <f>F29</f>
        <v>Piping</v>
      </c>
      <c r="G31" s="449" t="str">
        <f>G29</f>
        <v>Y</v>
      </c>
      <c r="H31" s="456"/>
      <c r="I31" s="212" t="str">
        <f>I29</f>
        <v>LA</v>
      </c>
      <c r="J31" s="214" t="s">
        <v>67</v>
      </c>
      <c r="K31" s="212"/>
      <c r="L31" s="212"/>
      <c r="M31" s="212"/>
      <c r="N31" s="212"/>
      <c r="O31" s="212"/>
      <c r="P31" s="226"/>
      <c r="Q31" s="227"/>
      <c r="R31" s="212"/>
      <c r="S31" s="212"/>
      <c r="T31" s="212"/>
      <c r="U31" s="212"/>
      <c r="V31" s="212"/>
      <c r="W31" s="228"/>
      <c r="X31" s="212"/>
      <c r="Y31" s="476"/>
      <c r="Z31" s="481"/>
      <c r="AA31" s="481"/>
      <c r="AB31" s="485"/>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486"/>
      <c r="AW31" s="244" t="e">
        <v>#REF!</v>
      </c>
    </row>
    <row r="32" spans="1:49" s="166" customFormat="1" ht="18" customHeight="1">
      <c r="A32" s="444">
        <f>A29+1</f>
        <v>6</v>
      </c>
      <c r="B32" s="446"/>
      <c r="C32" s="454" t="s">
        <v>4736</v>
      </c>
      <c r="D32" s="454" t="s">
        <v>4737</v>
      </c>
      <c r="E32" s="213"/>
      <c r="F32" s="458" t="s">
        <v>60</v>
      </c>
      <c r="G32" s="449" t="s">
        <v>72</v>
      </c>
      <c r="H32" s="454"/>
      <c r="I32" s="212" t="s">
        <v>6</v>
      </c>
      <c r="J32" s="214" t="s">
        <v>4729</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477">
        <f>32*7</f>
        <v>224</v>
      </c>
      <c r="Z32" s="481">
        <v>46444</v>
      </c>
      <c r="AA32" s="481">
        <v>46444</v>
      </c>
      <c r="AB32" s="485">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486">
        <v>14</v>
      </c>
      <c r="AW32" s="223" t="e">
        <v>#REF!</v>
      </c>
    </row>
    <row r="33" spans="1:49" s="166" customFormat="1" ht="18" customHeight="1">
      <c r="A33" s="444"/>
      <c r="B33" s="447"/>
      <c r="C33" s="455" t="str">
        <f>C32</f>
        <v>RFQ-006</v>
      </c>
      <c r="D33" s="455"/>
      <c r="E33" s="224"/>
      <c r="F33" s="459"/>
      <c r="G33" s="449" t="str">
        <f>G32</f>
        <v>N</v>
      </c>
      <c r="H33" s="455"/>
      <c r="I33" s="212" t="str">
        <f>I32</f>
        <v>LA</v>
      </c>
      <c r="J33" s="214" t="s">
        <v>65</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478"/>
      <c r="Z33" s="481"/>
      <c r="AA33" s="481"/>
      <c r="AB33" s="485"/>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486"/>
      <c r="AW33" s="223" t="e">
        <v>#REF!</v>
      </c>
    </row>
    <row r="34" spans="1:49" s="166" customFormat="1" ht="18" customHeight="1">
      <c r="A34" s="444"/>
      <c r="B34" s="448"/>
      <c r="C34" s="456" t="str">
        <f>C32</f>
        <v>RFQ-006</v>
      </c>
      <c r="D34" s="456"/>
      <c r="E34" s="225"/>
      <c r="F34" s="460"/>
      <c r="G34" s="449" t="str">
        <f>G32</f>
        <v>N</v>
      </c>
      <c r="H34" s="456"/>
      <c r="I34" s="212" t="str">
        <f>I32</f>
        <v>LA</v>
      </c>
      <c r="J34" s="214" t="s">
        <v>67</v>
      </c>
      <c r="K34" s="212"/>
      <c r="L34" s="212"/>
      <c r="M34" s="212"/>
      <c r="N34" s="212"/>
      <c r="O34" s="212"/>
      <c r="P34" s="226"/>
      <c r="Q34" s="227"/>
      <c r="R34" s="212"/>
      <c r="S34" s="212"/>
      <c r="T34" s="212"/>
      <c r="U34" s="212"/>
      <c r="V34" s="212"/>
      <c r="W34" s="228"/>
      <c r="X34" s="212"/>
      <c r="Y34" s="479"/>
      <c r="Z34" s="481"/>
      <c r="AA34" s="481"/>
      <c r="AB34" s="485"/>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486"/>
      <c r="AW34" s="223" t="e">
        <v>#REF!</v>
      </c>
    </row>
    <row r="35" spans="1:49" s="167" customFormat="1" ht="18" customHeight="1">
      <c r="A35" s="445">
        <f>A32+1</f>
        <v>7</v>
      </c>
      <c r="B35" s="446"/>
      <c r="C35" s="450" t="s">
        <v>4738</v>
      </c>
      <c r="D35" s="450" t="s">
        <v>4739</v>
      </c>
      <c r="E35" s="454"/>
      <c r="F35" s="461" t="s">
        <v>60</v>
      </c>
      <c r="G35" s="449" t="s">
        <v>72</v>
      </c>
      <c r="H35" s="454"/>
      <c r="I35" s="212" t="s">
        <v>6</v>
      </c>
      <c r="J35" s="214" t="s">
        <v>4729</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476">
        <f>32*7</f>
        <v>224</v>
      </c>
      <c r="Z35" s="481">
        <v>46477</v>
      </c>
      <c r="AA35" s="481">
        <v>46477</v>
      </c>
      <c r="AB35" s="485">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486">
        <v>14</v>
      </c>
      <c r="AW35" s="236" t="e">
        <v>#REF!</v>
      </c>
    </row>
    <row r="36" spans="1:49" s="167" customFormat="1" ht="18" customHeight="1">
      <c r="A36" s="445"/>
      <c r="B36" s="447"/>
      <c r="C36" s="450" t="str">
        <f>C35</f>
        <v>RFQ-007</v>
      </c>
      <c r="D36" s="450" t="str">
        <f>D35</f>
        <v>Demulsifier/Water Clarifier Injection Pump</v>
      </c>
      <c r="E36" s="455"/>
      <c r="F36" s="462"/>
      <c r="G36" s="449" t="str">
        <f>G35</f>
        <v>N</v>
      </c>
      <c r="H36" s="455"/>
      <c r="I36" s="212" t="str">
        <f>I35</f>
        <v>LA</v>
      </c>
      <c r="J36" s="214" t="s">
        <v>65</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476"/>
      <c r="Z36" s="481"/>
      <c r="AA36" s="481"/>
      <c r="AB36" s="485"/>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486"/>
      <c r="AW36" s="236" t="e">
        <v>#REF!</v>
      </c>
    </row>
    <row r="37" spans="1:49" s="167" customFormat="1" ht="18" customHeight="1">
      <c r="A37" s="445"/>
      <c r="B37" s="448"/>
      <c r="C37" s="450" t="str">
        <f>C35</f>
        <v>RFQ-007</v>
      </c>
      <c r="D37" s="450" t="str">
        <f>D35</f>
        <v>Demulsifier/Water Clarifier Injection Pump</v>
      </c>
      <c r="E37" s="456"/>
      <c r="F37" s="463"/>
      <c r="G37" s="449" t="str">
        <f>G35</f>
        <v>N</v>
      </c>
      <c r="H37" s="456"/>
      <c r="I37" s="212" t="str">
        <f>I35</f>
        <v>LA</v>
      </c>
      <c r="J37" s="214" t="s">
        <v>67</v>
      </c>
      <c r="K37" s="212"/>
      <c r="L37" s="212"/>
      <c r="M37" s="212"/>
      <c r="N37" s="212"/>
      <c r="O37" s="212"/>
      <c r="P37" s="226"/>
      <c r="Q37" s="227"/>
      <c r="R37" s="212"/>
      <c r="S37" s="212"/>
      <c r="T37" s="212"/>
      <c r="U37" s="212"/>
      <c r="V37" s="212"/>
      <c r="W37" s="228"/>
      <c r="X37" s="212"/>
      <c r="Y37" s="476"/>
      <c r="Z37" s="481"/>
      <c r="AA37" s="481"/>
      <c r="AB37" s="485"/>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486"/>
      <c r="AW37" s="236" t="e">
        <v>#REF!</v>
      </c>
    </row>
    <row r="38" spans="1:49" s="168" customFormat="1" ht="18" customHeight="1">
      <c r="A38" s="445">
        <f>A35+1</f>
        <v>8</v>
      </c>
      <c r="B38" s="446"/>
      <c r="C38" s="452" t="s">
        <v>4740</v>
      </c>
      <c r="D38" s="452" t="s">
        <v>4741</v>
      </c>
      <c r="E38" s="454"/>
      <c r="F38" s="452" t="s">
        <v>60</v>
      </c>
      <c r="G38" s="449" t="str">
        <f>IF(_xlfn.XLOOKUP(C38,'[35]Before Award'!D:D,'[35]Before Award'!AV:AV,"N/A")="N/A","N","Y")</f>
        <v>N</v>
      </c>
      <c r="H38" s="454"/>
      <c r="I38" s="212" t="s">
        <v>4742</v>
      </c>
      <c r="J38" s="214" t="s">
        <v>4729</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476">
        <f>W38*7</f>
        <v>182</v>
      </c>
      <c r="Z38" s="481">
        <v>46416</v>
      </c>
      <c r="AA38" s="481">
        <v>46416</v>
      </c>
      <c r="AB38" s="485">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486">
        <v>14</v>
      </c>
      <c r="AW38" s="244" t="e">
        <v>#REF!</v>
      </c>
    </row>
    <row r="39" spans="1:49" s="168" customFormat="1" ht="18" customHeight="1">
      <c r="A39" s="445"/>
      <c r="B39" s="447"/>
      <c r="C39" s="452" t="str">
        <f>C38</f>
        <v>RFQ-008</v>
      </c>
      <c r="D39" s="452" t="str">
        <f>D38</f>
        <v>De-Oiler Hydrocyclone</v>
      </c>
      <c r="E39" s="455"/>
      <c r="F39" s="452"/>
      <c r="G39" s="449" t="str">
        <f>G38</f>
        <v>N</v>
      </c>
      <c r="H39" s="455"/>
      <c r="I39" s="212" t="str">
        <f>I38</f>
        <v/>
      </c>
      <c r="J39" s="214" t="s">
        <v>65</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476"/>
      <c r="Z39" s="481"/>
      <c r="AA39" s="481"/>
      <c r="AB39" s="485"/>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486"/>
      <c r="AW39" s="244" t="e">
        <v>#REF!</v>
      </c>
    </row>
    <row r="40" spans="1:49" s="168" customFormat="1" ht="18" customHeight="1">
      <c r="A40" s="445"/>
      <c r="B40" s="448"/>
      <c r="C40" s="453" t="str">
        <f>C38</f>
        <v>RFQ-008</v>
      </c>
      <c r="D40" s="453" t="str">
        <f>D38</f>
        <v>De-Oiler Hydrocyclone</v>
      </c>
      <c r="E40" s="456"/>
      <c r="F40" s="453"/>
      <c r="G40" s="449" t="str">
        <f>G38</f>
        <v>N</v>
      </c>
      <c r="H40" s="456"/>
      <c r="I40" s="212" t="str">
        <f>I38</f>
        <v/>
      </c>
      <c r="J40" s="214" t="s">
        <v>67</v>
      </c>
      <c r="K40" s="212"/>
      <c r="L40" s="212"/>
      <c r="M40" s="212"/>
      <c r="N40" s="212"/>
      <c r="O40" s="212"/>
      <c r="P40" s="226"/>
      <c r="Q40" s="227"/>
      <c r="R40" s="212"/>
      <c r="S40" s="212"/>
      <c r="T40" s="212"/>
      <c r="U40" s="212"/>
      <c r="V40" s="212"/>
      <c r="W40" s="228"/>
      <c r="X40" s="212"/>
      <c r="Y40" s="476"/>
      <c r="Z40" s="481"/>
      <c r="AA40" s="481"/>
      <c r="AB40" s="485"/>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486"/>
      <c r="AW40" s="244" t="e">
        <v>#REF!</v>
      </c>
    </row>
    <row r="41" spans="1:49" s="168" customFormat="1" ht="18" customHeight="1">
      <c r="A41" s="445">
        <f>A38+1</f>
        <v>9</v>
      </c>
      <c r="B41" s="446"/>
      <c r="C41" s="452" t="s">
        <v>4743</v>
      </c>
      <c r="D41" s="452" t="s">
        <v>4744</v>
      </c>
      <c r="E41" s="454"/>
      <c r="F41" s="452" t="s">
        <v>60</v>
      </c>
      <c r="G41" s="449" t="str">
        <f>IF(_xlfn.XLOOKUP(C41,'[35]Before Award'!D:D,'[35]Before Award'!AV:AV,"N/A")="N/A","N","Y")</f>
        <v>N</v>
      </c>
      <c r="H41" s="454"/>
      <c r="I41" s="212" t="s">
        <v>6</v>
      </c>
      <c r="J41" s="214" t="s">
        <v>4729</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476">
        <f>W41*7</f>
        <v>182</v>
      </c>
      <c r="Z41" s="481">
        <v>46416</v>
      </c>
      <c r="AA41" s="481">
        <v>46416</v>
      </c>
      <c r="AB41" s="485">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486">
        <v>14</v>
      </c>
      <c r="AW41" s="244" t="e">
        <v>#REF!</v>
      </c>
    </row>
    <row r="42" spans="1:49" s="168" customFormat="1" ht="18" customHeight="1">
      <c r="A42" s="445"/>
      <c r="B42" s="447"/>
      <c r="C42" s="452" t="str">
        <f>C41</f>
        <v>RFQ-009</v>
      </c>
      <c r="D42" s="452" t="str">
        <f>D41</f>
        <v>Degasser</v>
      </c>
      <c r="E42" s="455"/>
      <c r="F42" s="452"/>
      <c r="G42" s="449" t="str">
        <f>G41</f>
        <v>N</v>
      </c>
      <c r="H42" s="455"/>
      <c r="I42" s="212" t="str">
        <f>I41</f>
        <v>LA</v>
      </c>
      <c r="J42" s="214" t="s">
        <v>65</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476"/>
      <c r="Z42" s="481"/>
      <c r="AA42" s="481"/>
      <c r="AB42" s="485"/>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486"/>
      <c r="AW42" s="244" t="e">
        <v>#REF!</v>
      </c>
    </row>
    <row r="43" spans="1:49" s="168" customFormat="1" ht="18" customHeight="1">
      <c r="A43" s="445"/>
      <c r="B43" s="448"/>
      <c r="C43" s="453" t="str">
        <f>C41</f>
        <v>RFQ-009</v>
      </c>
      <c r="D43" s="453" t="str">
        <f>D41</f>
        <v>Degasser</v>
      </c>
      <c r="E43" s="456"/>
      <c r="F43" s="453"/>
      <c r="G43" s="449" t="str">
        <f>G41</f>
        <v>N</v>
      </c>
      <c r="H43" s="456"/>
      <c r="I43" s="212" t="str">
        <f>I41</f>
        <v>LA</v>
      </c>
      <c r="J43" s="214" t="s">
        <v>67</v>
      </c>
      <c r="K43" s="212"/>
      <c r="L43" s="212"/>
      <c r="M43" s="212"/>
      <c r="N43" s="212"/>
      <c r="O43" s="212"/>
      <c r="P43" s="226"/>
      <c r="Q43" s="227"/>
      <c r="R43" s="212"/>
      <c r="S43" s="212"/>
      <c r="T43" s="212"/>
      <c r="U43" s="212"/>
      <c r="V43" s="212"/>
      <c r="W43" s="228"/>
      <c r="X43" s="212"/>
      <c r="Y43" s="476"/>
      <c r="Z43" s="481"/>
      <c r="AA43" s="481"/>
      <c r="AB43" s="485"/>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486"/>
      <c r="AW43" s="244" t="e">
        <v>#REF!</v>
      </c>
    </row>
    <row r="44" spans="1:49" s="168" customFormat="1" ht="18.600000000000001" customHeight="1">
      <c r="A44" s="445">
        <f>A41+1</f>
        <v>10</v>
      </c>
      <c r="B44" s="446"/>
      <c r="C44" s="452" t="s">
        <v>4745</v>
      </c>
      <c r="D44" s="452" t="s">
        <v>98</v>
      </c>
      <c r="E44" s="454"/>
      <c r="F44" s="452" t="s">
        <v>60</v>
      </c>
      <c r="G44" s="449" t="str">
        <f>IF(_xlfn.XLOOKUP(C44,'[35]Before Award'!D:D,'[35]Before Award'!AV:AV,"N/A")="N/A","N","Y")</f>
        <v>N</v>
      </c>
      <c r="H44" s="454"/>
      <c r="I44" s="212" t="s">
        <v>6</v>
      </c>
      <c r="J44" s="214" t="s">
        <v>4729</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476">
        <f>W44*7</f>
        <v>182</v>
      </c>
      <c r="Z44" s="481">
        <v>46416</v>
      </c>
      <c r="AA44" s="481">
        <v>46416</v>
      </c>
      <c r="AB44" s="485">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486">
        <v>14</v>
      </c>
      <c r="AW44" s="244" t="e">
        <v>#REF!</v>
      </c>
    </row>
    <row r="45" spans="1:49" s="168" customFormat="1" ht="18.600000000000001" customHeight="1">
      <c r="A45" s="445"/>
      <c r="B45" s="447"/>
      <c r="C45" s="452" t="str">
        <f>C44</f>
        <v>RFQ-010</v>
      </c>
      <c r="D45" s="452" t="str">
        <f>D44</f>
        <v>Skim Tank Vessel</v>
      </c>
      <c r="E45" s="455"/>
      <c r="F45" s="452"/>
      <c r="G45" s="449" t="str">
        <f>G44</f>
        <v>N</v>
      </c>
      <c r="H45" s="455"/>
      <c r="I45" s="212" t="str">
        <f>I44</f>
        <v>LA</v>
      </c>
      <c r="J45" s="214" t="s">
        <v>65</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476"/>
      <c r="Z45" s="481"/>
      <c r="AA45" s="481"/>
      <c r="AB45" s="485"/>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486"/>
      <c r="AW45" s="244" t="e">
        <v>#REF!</v>
      </c>
    </row>
    <row r="46" spans="1:49" s="168" customFormat="1" ht="18.600000000000001" customHeight="1">
      <c r="A46" s="445"/>
      <c r="B46" s="448"/>
      <c r="C46" s="453" t="str">
        <f>C44</f>
        <v>RFQ-010</v>
      </c>
      <c r="D46" s="453" t="str">
        <f>D44</f>
        <v>Skim Tank Vessel</v>
      </c>
      <c r="E46" s="456"/>
      <c r="F46" s="453"/>
      <c r="G46" s="449" t="str">
        <f>G44</f>
        <v>N</v>
      </c>
      <c r="H46" s="456"/>
      <c r="I46" s="212" t="str">
        <f>I44</f>
        <v>LA</v>
      </c>
      <c r="J46" s="214" t="s">
        <v>67</v>
      </c>
      <c r="K46" s="212"/>
      <c r="L46" s="212"/>
      <c r="M46" s="212"/>
      <c r="N46" s="212"/>
      <c r="O46" s="212"/>
      <c r="P46" s="226"/>
      <c r="Q46" s="227"/>
      <c r="R46" s="212"/>
      <c r="S46" s="212"/>
      <c r="T46" s="212"/>
      <c r="U46" s="212"/>
      <c r="V46" s="212"/>
      <c r="W46" s="228"/>
      <c r="X46" s="212"/>
      <c r="Y46" s="476"/>
      <c r="Z46" s="481"/>
      <c r="AA46" s="481"/>
      <c r="AB46" s="485"/>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486"/>
      <c r="AW46" s="244" t="e">
        <v>#REF!</v>
      </c>
    </row>
    <row r="47" spans="1:49" s="168" customFormat="1" ht="18.600000000000001" customHeight="1">
      <c r="A47" s="445">
        <f>A44+1</f>
        <v>11</v>
      </c>
      <c r="B47" s="446"/>
      <c r="C47" s="452" t="s">
        <v>4746</v>
      </c>
      <c r="D47" s="452" t="s">
        <v>101</v>
      </c>
      <c r="E47" s="454"/>
      <c r="F47" s="452" t="s">
        <v>60</v>
      </c>
      <c r="G47" s="449" t="s">
        <v>64</v>
      </c>
      <c r="H47" s="454"/>
      <c r="I47" s="212" t="s">
        <v>6</v>
      </c>
      <c r="J47" s="214" t="s">
        <v>4729</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476">
        <f>W47*7</f>
        <v>182</v>
      </c>
      <c r="Z47" s="481">
        <v>46437</v>
      </c>
      <c r="AA47" s="481">
        <v>46386</v>
      </c>
      <c r="AB47" s="485">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486">
        <v>14</v>
      </c>
      <c r="AW47" s="244" t="e">
        <v>#REF!</v>
      </c>
    </row>
    <row r="48" spans="1:49" s="168" customFormat="1" ht="18.600000000000001" customHeight="1">
      <c r="A48" s="445"/>
      <c r="B48" s="447"/>
      <c r="C48" s="452" t="str">
        <f>C47</f>
        <v>RFQ-011</v>
      </c>
      <c r="D48" s="452" t="str">
        <f>D47</f>
        <v>Closed Drain Sump Vessel</v>
      </c>
      <c r="E48" s="455"/>
      <c r="F48" s="452"/>
      <c r="G48" s="449" t="str">
        <f>G47</f>
        <v>Y</v>
      </c>
      <c r="H48" s="455"/>
      <c r="I48" s="212" t="str">
        <f>I47</f>
        <v>LA</v>
      </c>
      <c r="J48" s="214" t="s">
        <v>65</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476"/>
      <c r="Z48" s="481"/>
      <c r="AA48" s="481"/>
      <c r="AB48" s="485"/>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486"/>
      <c r="AW48" s="244" t="e">
        <v>#REF!</v>
      </c>
    </row>
    <row r="49" spans="1:49" s="168" customFormat="1" ht="18.600000000000001" customHeight="1">
      <c r="A49" s="445"/>
      <c r="B49" s="448"/>
      <c r="C49" s="453" t="str">
        <f>C47</f>
        <v>RFQ-011</v>
      </c>
      <c r="D49" s="453" t="str">
        <f>D47</f>
        <v>Closed Drain Sump Vessel</v>
      </c>
      <c r="E49" s="456"/>
      <c r="F49" s="453"/>
      <c r="G49" s="449" t="str">
        <f>G47</f>
        <v>Y</v>
      </c>
      <c r="H49" s="456"/>
      <c r="I49" s="212" t="str">
        <f>I47</f>
        <v>LA</v>
      </c>
      <c r="J49" s="214" t="s">
        <v>67</v>
      </c>
      <c r="K49" s="212"/>
      <c r="L49" s="212"/>
      <c r="M49" s="212"/>
      <c r="N49" s="212"/>
      <c r="O49" s="212"/>
      <c r="P49" s="226"/>
      <c r="Q49" s="227"/>
      <c r="R49" s="212"/>
      <c r="S49" s="212"/>
      <c r="T49" s="212"/>
      <c r="U49" s="212"/>
      <c r="V49" s="212"/>
      <c r="W49" s="228"/>
      <c r="X49" s="212"/>
      <c r="Y49" s="476"/>
      <c r="Z49" s="481"/>
      <c r="AA49" s="481"/>
      <c r="AB49" s="485"/>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486"/>
      <c r="AW49" s="244" t="e">
        <v>#REF!</v>
      </c>
    </row>
    <row r="50" spans="1:49" s="168" customFormat="1" ht="18.600000000000001" customHeight="1">
      <c r="A50" s="445">
        <f>A47+1</f>
        <v>12</v>
      </c>
      <c r="B50" s="446"/>
      <c r="C50" s="452" t="s">
        <v>4747</v>
      </c>
      <c r="D50" s="452" t="s">
        <v>4748</v>
      </c>
      <c r="E50" s="241"/>
      <c r="F50" s="452" t="s">
        <v>60</v>
      </c>
      <c r="G50" s="449" t="str">
        <f>IF(_xlfn.XLOOKUP(C50,'[35]Before Award'!D:D,'[35]Before Award'!AV:AV,"N/A")="N/A","N","Y")</f>
        <v>N</v>
      </c>
      <c r="H50" s="454"/>
      <c r="I50" s="212" t="s">
        <v>6</v>
      </c>
      <c r="J50" s="214" t="s">
        <v>4729</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476">
        <f>W50*7</f>
        <v>140</v>
      </c>
      <c r="Z50" s="481">
        <v>46416</v>
      </c>
      <c r="AA50" s="481">
        <v>46416</v>
      </c>
      <c r="AB50" s="485">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486">
        <v>14</v>
      </c>
      <c r="AW50" s="244" t="e">
        <v>#REF!</v>
      </c>
    </row>
    <row r="51" spans="1:49" s="168" customFormat="1" ht="18.600000000000001" customHeight="1">
      <c r="A51" s="445"/>
      <c r="B51" s="447"/>
      <c r="C51" s="452" t="str">
        <f>C50</f>
        <v>RFQ-012</v>
      </c>
      <c r="D51" s="452" t="str">
        <f>D50</f>
        <v>Storage Tote Tank</v>
      </c>
      <c r="E51" s="241"/>
      <c r="F51" s="452"/>
      <c r="G51" s="449" t="str">
        <f>G50</f>
        <v>N</v>
      </c>
      <c r="H51" s="455"/>
      <c r="I51" s="212" t="str">
        <f>I50</f>
        <v>LA</v>
      </c>
      <c r="J51" s="214" t="s">
        <v>65</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476"/>
      <c r="Z51" s="481"/>
      <c r="AA51" s="481"/>
      <c r="AB51" s="485"/>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486"/>
      <c r="AW51" s="244" t="e">
        <v>#REF!</v>
      </c>
    </row>
    <row r="52" spans="1:49" s="168" customFormat="1" ht="18.600000000000001" customHeight="1">
      <c r="A52" s="445"/>
      <c r="B52" s="448"/>
      <c r="C52" s="453" t="str">
        <f>C50</f>
        <v>RFQ-012</v>
      </c>
      <c r="D52" s="453" t="str">
        <f>D50</f>
        <v>Storage Tote Tank</v>
      </c>
      <c r="E52" s="245"/>
      <c r="F52" s="453"/>
      <c r="G52" s="449" t="str">
        <f>G50</f>
        <v>N</v>
      </c>
      <c r="H52" s="456"/>
      <c r="I52" s="212" t="str">
        <f>I50</f>
        <v>LA</v>
      </c>
      <c r="J52" s="214" t="s">
        <v>67</v>
      </c>
      <c r="K52" s="212"/>
      <c r="L52" s="212"/>
      <c r="M52" s="212"/>
      <c r="N52" s="212"/>
      <c r="O52" s="212"/>
      <c r="P52" s="226"/>
      <c r="Q52" s="227"/>
      <c r="R52" s="212"/>
      <c r="S52" s="212"/>
      <c r="T52" s="212"/>
      <c r="U52" s="212"/>
      <c r="V52" s="212"/>
      <c r="W52" s="228"/>
      <c r="X52" s="212"/>
      <c r="Y52" s="476"/>
      <c r="Z52" s="481"/>
      <c r="AA52" s="481"/>
      <c r="AB52" s="485"/>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486"/>
      <c r="AW52" s="244" t="e">
        <v>#REF!</v>
      </c>
    </row>
    <row r="53" spans="1:49" s="168" customFormat="1" ht="18.600000000000001" customHeight="1">
      <c r="A53" s="445">
        <f>A50+1</f>
        <v>13</v>
      </c>
      <c r="B53" s="446"/>
      <c r="C53" s="452" t="s">
        <v>4749</v>
      </c>
      <c r="D53" s="452" t="s">
        <v>105</v>
      </c>
      <c r="E53" s="241"/>
      <c r="F53" s="452" t="s">
        <v>60</v>
      </c>
      <c r="G53" s="449" t="str">
        <f>IF(_xlfn.XLOOKUP(C53,'[35]Before Award'!D:D,'[35]Before Award'!AV:AV,"N/A")="N/A","N","Y")</f>
        <v>N</v>
      </c>
      <c r="H53" s="454"/>
      <c r="I53" s="212" t="s">
        <v>6</v>
      </c>
      <c r="J53" s="214" t="s">
        <v>4729</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476">
        <f>W53*7</f>
        <v>140</v>
      </c>
      <c r="Z53" s="481">
        <v>46454</v>
      </c>
      <c r="AA53" s="481">
        <v>46416</v>
      </c>
      <c r="AB53" s="485">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486">
        <v>14</v>
      </c>
      <c r="AW53" s="244" t="e">
        <v>#REF!</v>
      </c>
    </row>
    <row r="54" spans="1:49" s="168" customFormat="1" ht="18.600000000000001" customHeight="1">
      <c r="A54" s="445"/>
      <c r="B54" s="447"/>
      <c r="C54" s="452" t="str">
        <f>C53</f>
        <v>RFQ-013</v>
      </c>
      <c r="D54" s="452" t="str">
        <f>D53</f>
        <v>Storage Tank</v>
      </c>
      <c r="E54" s="241"/>
      <c r="F54" s="452"/>
      <c r="G54" s="449" t="str">
        <f>G53</f>
        <v>N</v>
      </c>
      <c r="H54" s="455"/>
      <c r="I54" s="212" t="str">
        <f>I53</f>
        <v>LA</v>
      </c>
      <c r="J54" s="214" t="s">
        <v>65</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476"/>
      <c r="Z54" s="481"/>
      <c r="AA54" s="481"/>
      <c r="AB54" s="485"/>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486"/>
      <c r="AW54" s="244" t="e">
        <v>#REF!</v>
      </c>
    </row>
    <row r="55" spans="1:49" s="168" customFormat="1" ht="18.600000000000001" customHeight="1">
      <c r="A55" s="445"/>
      <c r="B55" s="448"/>
      <c r="C55" s="453" t="str">
        <f>C53</f>
        <v>RFQ-013</v>
      </c>
      <c r="D55" s="453" t="str">
        <f>D53</f>
        <v>Storage Tank</v>
      </c>
      <c r="E55" s="245"/>
      <c r="F55" s="453"/>
      <c r="G55" s="449" t="str">
        <f>G53</f>
        <v>N</v>
      </c>
      <c r="H55" s="456"/>
      <c r="I55" s="212" t="str">
        <f>I53</f>
        <v>LA</v>
      </c>
      <c r="J55" s="214" t="s">
        <v>67</v>
      </c>
      <c r="K55" s="212"/>
      <c r="L55" s="212"/>
      <c r="M55" s="212"/>
      <c r="N55" s="212"/>
      <c r="O55" s="212"/>
      <c r="P55" s="226"/>
      <c r="Q55" s="227"/>
      <c r="R55" s="212"/>
      <c r="S55" s="212"/>
      <c r="T55" s="212"/>
      <c r="U55" s="248"/>
      <c r="V55" s="248"/>
      <c r="W55" s="228"/>
      <c r="X55" s="248"/>
      <c r="Y55" s="476"/>
      <c r="Z55" s="481"/>
      <c r="AA55" s="481"/>
      <c r="AB55" s="485"/>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486"/>
      <c r="AW55" s="244" t="e">
        <v>#REF!</v>
      </c>
    </row>
    <row r="56" spans="1:49" s="166" customFormat="1" ht="18" customHeight="1">
      <c r="A56" s="444">
        <f>A53+1</f>
        <v>14</v>
      </c>
      <c r="B56" s="446"/>
      <c r="C56" s="449" t="s">
        <v>4750</v>
      </c>
      <c r="D56" s="449" t="s">
        <v>4751</v>
      </c>
      <c r="E56" s="213"/>
      <c r="F56" s="458" t="s">
        <v>60</v>
      </c>
      <c r="G56" s="449" t="str">
        <f>IF(_xlfn.XLOOKUP(C56,'[35]Before Award'!D:D,'[35]Before Award'!AV:AV,"N/A")="N/A","N","Y")</f>
        <v>N</v>
      </c>
      <c r="H56" s="454"/>
      <c r="I56" s="212" t="s">
        <v>6</v>
      </c>
      <c r="J56" s="214" t="s">
        <v>4729</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476">
        <f>32*7</f>
        <v>224</v>
      </c>
      <c r="Z56" s="481">
        <v>46434</v>
      </c>
      <c r="AA56" s="481">
        <v>46386</v>
      </c>
      <c r="AB56" s="485">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486">
        <v>14</v>
      </c>
      <c r="AW56" s="223" t="e">
        <v>#REF!</v>
      </c>
    </row>
    <row r="57" spans="1:49" s="166" customFormat="1" ht="18" customHeight="1">
      <c r="A57" s="444"/>
      <c r="B57" s="447"/>
      <c r="C57" s="449" t="str">
        <f>C56</f>
        <v>RFQ-014</v>
      </c>
      <c r="D57" s="449" t="str">
        <f>D56</f>
        <v>Closed Drain Sump Pump</v>
      </c>
      <c r="E57" s="224"/>
      <c r="F57" s="459"/>
      <c r="G57" s="449" t="str">
        <f>G56</f>
        <v>N</v>
      </c>
      <c r="H57" s="455"/>
      <c r="I57" s="212" t="str">
        <f>I56</f>
        <v>LA</v>
      </c>
      <c r="J57" s="214" t="s">
        <v>65</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476"/>
      <c r="Z57" s="481"/>
      <c r="AA57" s="481"/>
      <c r="AB57" s="485"/>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486"/>
      <c r="AW57" s="223" t="e">
        <v>#REF!</v>
      </c>
    </row>
    <row r="58" spans="1:49" s="166" customFormat="1" ht="18" customHeight="1">
      <c r="A58" s="444"/>
      <c r="B58" s="448"/>
      <c r="C58" s="449" t="str">
        <f>C56</f>
        <v>RFQ-014</v>
      </c>
      <c r="D58" s="449" t="str">
        <f>D56</f>
        <v>Closed Drain Sump Pump</v>
      </c>
      <c r="E58" s="225"/>
      <c r="F58" s="460"/>
      <c r="G58" s="449" t="str">
        <f>G56</f>
        <v>N</v>
      </c>
      <c r="H58" s="456"/>
      <c r="I58" s="212" t="str">
        <f>I56</f>
        <v>LA</v>
      </c>
      <c r="J58" s="214" t="s">
        <v>67</v>
      </c>
      <c r="K58" s="212"/>
      <c r="L58" s="212"/>
      <c r="M58" s="212"/>
      <c r="N58" s="212"/>
      <c r="O58" s="212"/>
      <c r="P58" s="226"/>
      <c r="Q58" s="227"/>
      <c r="R58" s="212"/>
      <c r="S58" s="212"/>
      <c r="T58" s="212"/>
      <c r="U58" s="212"/>
      <c r="V58" s="212"/>
      <c r="W58" s="228"/>
      <c r="X58" s="212"/>
      <c r="Y58" s="476"/>
      <c r="Z58" s="481"/>
      <c r="AA58" s="481"/>
      <c r="AB58" s="485"/>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486"/>
      <c r="AW58" s="223" t="e">
        <v>#REF!</v>
      </c>
    </row>
    <row r="59" spans="1:49" s="166" customFormat="1" ht="18" customHeight="1">
      <c r="A59" s="444">
        <f>A56+1</f>
        <v>15</v>
      </c>
      <c r="B59" s="446"/>
      <c r="C59" s="449" t="s">
        <v>4752</v>
      </c>
      <c r="D59" s="449" t="s">
        <v>4753</v>
      </c>
      <c r="E59" s="213"/>
      <c r="F59" s="458" t="s">
        <v>60</v>
      </c>
      <c r="G59" s="449" t="s">
        <v>72</v>
      </c>
      <c r="H59" s="454"/>
      <c r="I59" s="212" t="s">
        <v>6</v>
      </c>
      <c r="J59" s="214" t="s">
        <v>4729</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476">
        <f>32*7</f>
        <v>224</v>
      </c>
      <c r="Z59" s="481">
        <v>46521</v>
      </c>
      <c r="AA59" s="481">
        <v>46521</v>
      </c>
      <c r="AB59" s="485">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486">
        <v>14</v>
      </c>
      <c r="AW59" s="223" t="e">
        <v>#REF!</v>
      </c>
    </row>
    <row r="60" spans="1:49" s="166" customFormat="1" ht="18" customHeight="1">
      <c r="A60" s="444"/>
      <c r="B60" s="447"/>
      <c r="C60" s="449" t="str">
        <f>C59</f>
        <v>RFQ-015</v>
      </c>
      <c r="D60" s="449" t="str">
        <f>D59</f>
        <v>Diesel Transfer Pump</v>
      </c>
      <c r="E60" s="224"/>
      <c r="F60" s="459"/>
      <c r="G60" s="449" t="str">
        <f>G59</f>
        <v>N</v>
      </c>
      <c r="H60" s="455"/>
      <c r="I60" s="212" t="str">
        <f>I59</f>
        <v>LA</v>
      </c>
      <c r="J60" s="214" t="s">
        <v>65</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476"/>
      <c r="Z60" s="481"/>
      <c r="AA60" s="481"/>
      <c r="AB60" s="485"/>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486"/>
      <c r="AW60" s="223" t="e">
        <v>#REF!</v>
      </c>
    </row>
    <row r="61" spans="1:49" s="166" customFormat="1" ht="18" customHeight="1">
      <c r="A61" s="444"/>
      <c r="B61" s="448"/>
      <c r="C61" s="449" t="str">
        <f>C59</f>
        <v>RFQ-015</v>
      </c>
      <c r="D61" s="449" t="str">
        <f>D59</f>
        <v>Diesel Transfer Pump</v>
      </c>
      <c r="E61" s="225"/>
      <c r="F61" s="460"/>
      <c r="G61" s="449" t="str">
        <f>G59</f>
        <v>N</v>
      </c>
      <c r="H61" s="456"/>
      <c r="I61" s="212" t="str">
        <f>I59</f>
        <v>LA</v>
      </c>
      <c r="J61" s="214" t="s">
        <v>67</v>
      </c>
      <c r="K61" s="212"/>
      <c r="L61" s="212"/>
      <c r="M61" s="212"/>
      <c r="N61" s="212"/>
      <c r="O61" s="212"/>
      <c r="P61" s="226"/>
      <c r="Q61" s="227"/>
      <c r="R61" s="212"/>
      <c r="S61" s="212"/>
      <c r="T61" s="212"/>
      <c r="U61" s="212"/>
      <c r="V61" s="212"/>
      <c r="W61" s="228"/>
      <c r="X61" s="212"/>
      <c r="Y61" s="476"/>
      <c r="Z61" s="481"/>
      <c r="AA61" s="481"/>
      <c r="AB61" s="485"/>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486"/>
      <c r="AW61" s="223" t="e">
        <v>#REF!</v>
      </c>
    </row>
    <row r="62" spans="1:49" s="166" customFormat="1" ht="18" customHeight="1">
      <c r="A62" s="444">
        <f>A59+1</f>
        <v>16</v>
      </c>
      <c r="B62" s="446"/>
      <c r="C62" s="449" t="s">
        <v>4754</v>
      </c>
      <c r="D62" s="449" t="s">
        <v>4755</v>
      </c>
      <c r="E62" s="213"/>
      <c r="F62" s="458" t="s">
        <v>60</v>
      </c>
      <c r="G62" s="449" t="s">
        <v>72</v>
      </c>
      <c r="H62" s="454"/>
      <c r="I62" s="212" t="s">
        <v>6</v>
      </c>
      <c r="J62" s="214" t="s">
        <v>4729</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476">
        <f>32*7</f>
        <v>224</v>
      </c>
      <c r="Z62" s="481">
        <v>46477</v>
      </c>
      <c r="AA62" s="481">
        <v>46477</v>
      </c>
      <c r="AB62" s="485">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486">
        <v>14</v>
      </c>
      <c r="AW62" s="223" t="e">
        <v>#REF!</v>
      </c>
    </row>
    <row r="63" spans="1:49" s="166" customFormat="1" ht="18" customHeight="1">
      <c r="A63" s="444"/>
      <c r="B63" s="447"/>
      <c r="C63" s="449" t="str">
        <f>C62</f>
        <v>RFQ-016</v>
      </c>
      <c r="D63" s="449" t="str">
        <f>D62</f>
        <v>Open Drain Caisson Pump</v>
      </c>
      <c r="E63" s="224"/>
      <c r="F63" s="459"/>
      <c r="G63" s="449" t="str">
        <f>G62</f>
        <v>N</v>
      </c>
      <c r="H63" s="455"/>
      <c r="I63" s="212" t="str">
        <f>I62</f>
        <v>LA</v>
      </c>
      <c r="J63" s="214" t="s">
        <v>65</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476"/>
      <c r="Z63" s="481"/>
      <c r="AA63" s="481"/>
      <c r="AB63" s="485"/>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486"/>
      <c r="AW63" s="223" t="e">
        <v>#REF!</v>
      </c>
    </row>
    <row r="64" spans="1:49" s="166" customFormat="1" ht="18" customHeight="1">
      <c r="A64" s="444"/>
      <c r="B64" s="448"/>
      <c r="C64" s="449" t="str">
        <f>C62</f>
        <v>RFQ-016</v>
      </c>
      <c r="D64" s="449" t="str">
        <f>D62</f>
        <v>Open Drain Caisson Pump</v>
      </c>
      <c r="E64" s="225"/>
      <c r="F64" s="460"/>
      <c r="G64" s="449" t="str">
        <f>G62</f>
        <v>N</v>
      </c>
      <c r="H64" s="456"/>
      <c r="I64" s="212" t="str">
        <f>I62</f>
        <v>LA</v>
      </c>
      <c r="J64" s="214" t="s">
        <v>67</v>
      </c>
      <c r="K64" s="212"/>
      <c r="L64" s="212"/>
      <c r="M64" s="212"/>
      <c r="N64" s="212"/>
      <c r="O64" s="212"/>
      <c r="P64" s="226"/>
      <c r="Q64" s="227"/>
      <c r="R64" s="212"/>
      <c r="S64" s="212"/>
      <c r="T64" s="212"/>
      <c r="U64" s="212"/>
      <c r="V64" s="212"/>
      <c r="W64" s="228"/>
      <c r="X64" s="212"/>
      <c r="Y64" s="476"/>
      <c r="Z64" s="481"/>
      <c r="AA64" s="481"/>
      <c r="AB64" s="485"/>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486"/>
      <c r="AW64" s="223" t="e">
        <v>#REF!</v>
      </c>
    </row>
    <row r="65" spans="1:49" s="166" customFormat="1" ht="20.25" customHeight="1">
      <c r="A65" s="444">
        <f>A62+1</f>
        <v>17</v>
      </c>
      <c r="B65" s="446"/>
      <c r="C65" s="449" t="s">
        <v>4756</v>
      </c>
      <c r="D65" s="449" t="s">
        <v>4757</v>
      </c>
      <c r="E65" s="213"/>
      <c r="F65" s="458" t="s">
        <v>119</v>
      </c>
      <c r="G65" s="449" t="s">
        <v>72</v>
      </c>
      <c r="H65" s="454"/>
      <c r="I65" s="212" t="s">
        <v>7</v>
      </c>
      <c r="J65" s="214" t="s">
        <v>4729</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476">
        <f>34*7</f>
        <v>238</v>
      </c>
      <c r="Z65" s="481">
        <v>46505</v>
      </c>
      <c r="AA65" s="481">
        <v>46505</v>
      </c>
      <c r="AB65" s="485">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486">
        <v>14</v>
      </c>
      <c r="AW65" s="223" t="e">
        <v>#REF!</v>
      </c>
    </row>
    <row r="66" spans="1:49" s="166" customFormat="1" ht="20.25" customHeight="1">
      <c r="A66" s="444"/>
      <c r="B66" s="447"/>
      <c r="C66" s="449" t="str">
        <f>C65</f>
        <v>RFQ-017</v>
      </c>
      <c r="D66" s="449" t="str">
        <f>D65</f>
        <v>DC Distribution Board</v>
      </c>
      <c r="E66" s="224"/>
      <c r="F66" s="459"/>
      <c r="G66" s="449" t="str">
        <f>G65</f>
        <v>N</v>
      </c>
      <c r="H66" s="455"/>
      <c r="I66" s="212" t="str">
        <f>I65</f>
        <v>LB</v>
      </c>
      <c r="J66" s="214" t="s">
        <v>65</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476"/>
      <c r="Z66" s="481"/>
      <c r="AA66" s="481"/>
      <c r="AB66" s="485"/>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486"/>
      <c r="AW66" s="223" t="e">
        <v>#REF!</v>
      </c>
    </row>
    <row r="67" spans="1:49" s="166" customFormat="1" ht="20.25" customHeight="1">
      <c r="A67" s="444"/>
      <c r="B67" s="448"/>
      <c r="C67" s="449" t="str">
        <f>C65</f>
        <v>RFQ-017</v>
      </c>
      <c r="D67" s="449" t="str">
        <f>D65</f>
        <v>DC Distribution Board</v>
      </c>
      <c r="E67" s="225"/>
      <c r="F67" s="460"/>
      <c r="G67" s="449" t="str">
        <f>G65</f>
        <v>N</v>
      </c>
      <c r="H67" s="456"/>
      <c r="I67" s="212" t="str">
        <f>I65</f>
        <v>LB</v>
      </c>
      <c r="J67" s="214" t="s">
        <v>67</v>
      </c>
      <c r="K67" s="212"/>
      <c r="L67" s="212"/>
      <c r="M67" s="212"/>
      <c r="N67" s="212"/>
      <c r="O67" s="212"/>
      <c r="P67" s="226"/>
      <c r="Q67" s="227"/>
      <c r="R67" s="212"/>
      <c r="S67" s="212"/>
      <c r="T67" s="212"/>
      <c r="U67" s="212"/>
      <c r="V67" s="212"/>
      <c r="W67" s="228"/>
      <c r="X67" s="212"/>
      <c r="Y67" s="476"/>
      <c r="Z67" s="481"/>
      <c r="AA67" s="481"/>
      <c r="AB67" s="485"/>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486"/>
      <c r="AW67" s="223" t="e">
        <v>#REF!</v>
      </c>
    </row>
    <row r="68" spans="1:49" s="166" customFormat="1" ht="22.5" customHeight="1">
      <c r="A68" s="444">
        <f>A65+1</f>
        <v>18</v>
      </c>
      <c r="B68" s="446"/>
      <c r="C68" s="449" t="s">
        <v>4758</v>
      </c>
      <c r="D68" s="449" t="s">
        <v>123</v>
      </c>
      <c r="E68" s="213"/>
      <c r="F68" s="458" t="s">
        <v>119</v>
      </c>
      <c r="G68" s="449" t="str">
        <f>IF(_xlfn.XLOOKUP(C68,'[35]Before Award'!D:D,'[35]Before Award'!AV:AV,"N/A")="N/A","N","Y")</f>
        <v>N</v>
      </c>
      <c r="H68" s="454"/>
      <c r="I68" s="212" t="s">
        <v>6</v>
      </c>
      <c r="J68" s="214" t="s">
        <v>4729</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476">
        <f>36*7</f>
        <v>252</v>
      </c>
      <c r="Z68" s="481">
        <v>46477</v>
      </c>
      <c r="AA68" s="481">
        <v>46477</v>
      </c>
      <c r="AB68" s="485">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486">
        <v>14</v>
      </c>
      <c r="AW68" s="223" t="e">
        <v>#REF!</v>
      </c>
    </row>
    <row r="69" spans="1:49" s="166" customFormat="1" ht="22.5" customHeight="1">
      <c r="A69" s="444"/>
      <c r="B69" s="447"/>
      <c r="C69" s="449" t="str">
        <f>C68</f>
        <v>RFQ-018</v>
      </c>
      <c r="D69" s="449" t="str">
        <f>D68</f>
        <v>Solar Power System</v>
      </c>
      <c r="E69" s="224"/>
      <c r="F69" s="459"/>
      <c r="G69" s="449" t="str">
        <f>G68</f>
        <v>N</v>
      </c>
      <c r="H69" s="455"/>
      <c r="I69" s="212" t="str">
        <f>I68</f>
        <v>LA</v>
      </c>
      <c r="J69" s="214" t="s">
        <v>65</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476"/>
      <c r="Z69" s="481"/>
      <c r="AA69" s="481"/>
      <c r="AB69" s="485"/>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486"/>
      <c r="AW69" s="223" t="e">
        <v>#REF!</v>
      </c>
    </row>
    <row r="70" spans="1:49" s="166" customFormat="1" ht="15" customHeight="1">
      <c r="A70" s="444"/>
      <c r="B70" s="448"/>
      <c r="C70" s="449" t="str">
        <f>C68</f>
        <v>RFQ-018</v>
      </c>
      <c r="D70" s="449" t="str">
        <f>D68</f>
        <v>Solar Power System</v>
      </c>
      <c r="E70" s="225"/>
      <c r="F70" s="460"/>
      <c r="G70" s="449" t="str">
        <f>G68</f>
        <v>N</v>
      </c>
      <c r="H70" s="456"/>
      <c r="I70" s="212" t="str">
        <f>I68</f>
        <v>LA</v>
      </c>
      <c r="J70" s="214" t="s">
        <v>67</v>
      </c>
      <c r="K70" s="212"/>
      <c r="L70" s="212"/>
      <c r="M70" s="212"/>
      <c r="N70" s="212"/>
      <c r="O70" s="212"/>
      <c r="P70" s="226"/>
      <c r="Q70" s="227"/>
      <c r="R70" s="212"/>
      <c r="S70" s="212"/>
      <c r="T70" s="212"/>
      <c r="U70" s="212"/>
      <c r="V70" s="212"/>
      <c r="W70" s="228"/>
      <c r="X70" s="212"/>
      <c r="Y70" s="476"/>
      <c r="Z70" s="481"/>
      <c r="AA70" s="481"/>
      <c r="AB70" s="485"/>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486"/>
      <c r="AW70" s="223" t="e">
        <v>#REF!</v>
      </c>
    </row>
    <row r="71" spans="1:49" s="166" customFormat="1" ht="18" customHeight="1">
      <c r="A71" s="444">
        <f>A68+1</f>
        <v>19</v>
      </c>
      <c r="B71" s="446"/>
      <c r="C71" s="449" t="s">
        <v>4759</v>
      </c>
      <c r="D71" s="449" t="s">
        <v>126</v>
      </c>
      <c r="E71" s="213"/>
      <c r="F71" s="458" t="s">
        <v>119</v>
      </c>
      <c r="G71" s="450" t="s">
        <v>64</v>
      </c>
      <c r="H71" s="454"/>
      <c r="I71" s="212" t="s">
        <v>7</v>
      </c>
      <c r="J71" s="214" t="s">
        <v>4729</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476">
        <v>294</v>
      </c>
      <c r="Z71" s="480">
        <v>46568</v>
      </c>
      <c r="AA71" s="481">
        <v>46598</v>
      </c>
      <c r="AB71" s="485">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486">
        <v>14</v>
      </c>
      <c r="AW71" s="223" t="e">
        <v>#REF!</v>
      </c>
    </row>
    <row r="72" spans="1:49" s="166" customFormat="1" ht="18" customHeight="1">
      <c r="A72" s="444"/>
      <c r="B72" s="447"/>
      <c r="C72" s="449" t="str">
        <f>C71</f>
        <v>RFQ-019</v>
      </c>
      <c r="D72" s="449" t="str">
        <f>D71</f>
        <v>Navigation Aid System</v>
      </c>
      <c r="E72" s="224"/>
      <c r="F72" s="459"/>
      <c r="G72" s="450" t="str">
        <f>G71</f>
        <v>Y</v>
      </c>
      <c r="H72" s="455"/>
      <c r="I72" s="212" t="str">
        <f>I71</f>
        <v>LB</v>
      </c>
      <c r="J72" s="214" t="s">
        <v>65</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476"/>
      <c r="Z72" s="480"/>
      <c r="AA72" s="481"/>
      <c r="AB72" s="485"/>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486"/>
      <c r="AW72" s="223" t="e">
        <v>#REF!</v>
      </c>
    </row>
    <row r="73" spans="1:49" s="166" customFormat="1" ht="18" customHeight="1">
      <c r="A73" s="444"/>
      <c r="B73" s="448"/>
      <c r="C73" s="449" t="str">
        <f>C71</f>
        <v>RFQ-019</v>
      </c>
      <c r="D73" s="449" t="str">
        <f>D71</f>
        <v>Navigation Aid System</v>
      </c>
      <c r="E73" s="225"/>
      <c r="F73" s="460"/>
      <c r="G73" s="450" t="str">
        <f>G71</f>
        <v>Y</v>
      </c>
      <c r="H73" s="456"/>
      <c r="I73" s="212" t="str">
        <f>I71</f>
        <v>LB</v>
      </c>
      <c r="J73" s="214" t="s">
        <v>67</v>
      </c>
      <c r="K73" s="212"/>
      <c r="L73" s="212"/>
      <c r="M73" s="212"/>
      <c r="N73" s="212"/>
      <c r="O73" s="212"/>
      <c r="P73" s="226"/>
      <c r="Q73" s="227"/>
      <c r="R73" s="212"/>
      <c r="S73" s="212"/>
      <c r="T73" s="212"/>
      <c r="U73" s="212"/>
      <c r="V73" s="212"/>
      <c r="W73" s="228"/>
      <c r="X73" s="212"/>
      <c r="Y73" s="476"/>
      <c r="Z73" s="480"/>
      <c r="AA73" s="481"/>
      <c r="AB73" s="485"/>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486"/>
      <c r="AW73" s="223" t="e">
        <v>#REF!</v>
      </c>
    </row>
    <row r="74" spans="1:49" s="166" customFormat="1" ht="18" customHeight="1">
      <c r="A74" s="445">
        <f>A71+1</f>
        <v>20</v>
      </c>
      <c r="B74" s="446"/>
      <c r="C74" s="450" t="s">
        <v>4760</v>
      </c>
      <c r="D74" s="450" t="s">
        <v>129</v>
      </c>
      <c r="E74" s="232"/>
      <c r="F74" s="461" t="s">
        <v>119</v>
      </c>
      <c r="G74" s="450" t="s">
        <v>64</v>
      </c>
      <c r="H74" s="473"/>
      <c r="I74" s="212" t="s">
        <v>8</v>
      </c>
      <c r="J74" s="214" t="s">
        <v>4729</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476">
        <f>36*7</f>
        <v>252</v>
      </c>
      <c r="Z74" s="481">
        <v>46521</v>
      </c>
      <c r="AA74" s="481">
        <v>46521</v>
      </c>
      <c r="AB74" s="485">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486">
        <v>14</v>
      </c>
      <c r="AW74" s="223" t="e">
        <v>#REF!</v>
      </c>
    </row>
    <row r="75" spans="1:49" s="166" customFormat="1" ht="18" customHeight="1">
      <c r="A75" s="445"/>
      <c r="B75" s="447"/>
      <c r="C75" s="450" t="str">
        <f>C74</f>
        <v>RFQ-020</v>
      </c>
      <c r="D75" s="450" t="str">
        <f>D74</f>
        <v>External Battery Charger</v>
      </c>
      <c r="E75" s="237"/>
      <c r="F75" s="462"/>
      <c r="G75" s="450" t="str">
        <f>G74</f>
        <v>Y</v>
      </c>
      <c r="H75" s="474"/>
      <c r="I75" s="212" t="str">
        <f>I74</f>
        <v>LC</v>
      </c>
      <c r="J75" s="214" t="s">
        <v>65</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476"/>
      <c r="Z75" s="481"/>
      <c r="AA75" s="481"/>
      <c r="AB75" s="485"/>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486"/>
      <c r="AW75" s="223" t="e">
        <v>#REF!</v>
      </c>
    </row>
    <row r="76" spans="1:49" s="167" customFormat="1" ht="18" customHeight="1">
      <c r="A76" s="445"/>
      <c r="B76" s="448"/>
      <c r="C76" s="450" t="str">
        <f>C74</f>
        <v>RFQ-020</v>
      </c>
      <c r="D76" s="450" t="str">
        <f>D74</f>
        <v>External Battery Charger</v>
      </c>
      <c r="E76" s="238"/>
      <c r="F76" s="463"/>
      <c r="G76" s="450" t="str">
        <f>G74</f>
        <v>Y</v>
      </c>
      <c r="H76" s="475"/>
      <c r="I76" s="231" t="str">
        <f>I74</f>
        <v>LC</v>
      </c>
      <c r="J76" s="233" t="s">
        <v>67</v>
      </c>
      <c r="K76" s="212"/>
      <c r="L76" s="212"/>
      <c r="M76" s="212"/>
      <c r="N76" s="212"/>
      <c r="O76" s="212"/>
      <c r="P76" s="226"/>
      <c r="Q76" s="227"/>
      <c r="R76" s="212"/>
      <c r="S76" s="212"/>
      <c r="T76" s="212"/>
      <c r="U76" s="212"/>
      <c r="V76" s="212"/>
      <c r="W76" s="228"/>
      <c r="X76" s="212"/>
      <c r="Y76" s="476"/>
      <c r="Z76" s="481"/>
      <c r="AA76" s="481"/>
      <c r="AB76" s="485"/>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486"/>
      <c r="AW76" s="236" t="e">
        <v>#REF!</v>
      </c>
    </row>
    <row r="77" spans="1:49" s="167" customFormat="1" ht="18" customHeight="1">
      <c r="A77" s="445">
        <f>A74+1</f>
        <v>21</v>
      </c>
      <c r="B77" s="446"/>
      <c r="C77" s="450" t="s">
        <v>4761</v>
      </c>
      <c r="D77" s="450" t="s">
        <v>131</v>
      </c>
      <c r="E77" s="232"/>
      <c r="F77" s="461" t="s">
        <v>132</v>
      </c>
      <c r="G77" s="450" t="s">
        <v>72</v>
      </c>
      <c r="H77" s="473"/>
      <c r="I77" s="231" t="s">
        <v>7</v>
      </c>
      <c r="J77" s="233" t="s">
        <v>4729</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476">
        <v>200</v>
      </c>
      <c r="Z77" s="481">
        <v>46535</v>
      </c>
      <c r="AA77" s="481">
        <v>46535</v>
      </c>
      <c r="AB77" s="485">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486">
        <v>7</v>
      </c>
      <c r="AW77" s="236" t="e">
        <v>#REF!</v>
      </c>
    </row>
    <row r="78" spans="1:49" s="167" customFormat="1" ht="18" customHeight="1">
      <c r="A78" s="445"/>
      <c r="B78" s="447"/>
      <c r="C78" s="450" t="str">
        <f>C77</f>
        <v>RFQ-021</v>
      </c>
      <c r="D78" s="450" t="str">
        <f>D77</f>
        <v>Control Valve</v>
      </c>
      <c r="E78" s="237"/>
      <c r="F78" s="462" t="str">
        <f>F77</f>
        <v>Instrument</v>
      </c>
      <c r="G78" s="450" t="str">
        <f>G77</f>
        <v>N</v>
      </c>
      <c r="H78" s="474"/>
      <c r="I78" s="231" t="str">
        <f>I77</f>
        <v>LB</v>
      </c>
      <c r="J78" s="233" t="s">
        <v>65</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476"/>
      <c r="Z78" s="481"/>
      <c r="AA78" s="481"/>
      <c r="AB78" s="485"/>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486"/>
      <c r="AW78" s="236" t="e">
        <v>#REF!</v>
      </c>
    </row>
    <row r="79" spans="1:49" s="167" customFormat="1" ht="18" customHeight="1">
      <c r="A79" s="445"/>
      <c r="B79" s="448"/>
      <c r="C79" s="450" t="str">
        <f>C77</f>
        <v>RFQ-021</v>
      </c>
      <c r="D79" s="450" t="str">
        <f>D77</f>
        <v>Control Valve</v>
      </c>
      <c r="E79" s="238"/>
      <c r="F79" s="463" t="str">
        <f>F77</f>
        <v>Instrument</v>
      </c>
      <c r="G79" s="450" t="str">
        <f>G77</f>
        <v>N</v>
      </c>
      <c r="H79" s="475"/>
      <c r="I79" s="231" t="str">
        <f>I77</f>
        <v>LB</v>
      </c>
      <c r="J79" s="233" t="s">
        <v>67</v>
      </c>
      <c r="K79" s="212"/>
      <c r="L79" s="212"/>
      <c r="M79" s="212"/>
      <c r="N79" s="212"/>
      <c r="O79" s="212"/>
      <c r="P79" s="226"/>
      <c r="Q79" s="227"/>
      <c r="R79" s="212"/>
      <c r="S79" s="212"/>
      <c r="T79" s="212"/>
      <c r="U79" s="212"/>
      <c r="V79" s="212"/>
      <c r="W79" s="228"/>
      <c r="X79" s="212"/>
      <c r="Y79" s="476"/>
      <c r="Z79" s="481"/>
      <c r="AA79" s="481"/>
      <c r="AB79" s="485"/>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486"/>
      <c r="AW79" s="236" t="e">
        <v>#REF!</v>
      </c>
    </row>
    <row r="80" spans="1:49" s="166" customFormat="1" ht="18" customHeight="1">
      <c r="A80" s="444">
        <f>A77+1</f>
        <v>22</v>
      </c>
      <c r="B80" s="446"/>
      <c r="C80" s="449" t="s">
        <v>4762</v>
      </c>
      <c r="D80" s="449" t="s">
        <v>136</v>
      </c>
      <c r="E80" s="213"/>
      <c r="F80" s="467" t="s">
        <v>132</v>
      </c>
      <c r="G80" s="449" t="s">
        <v>72</v>
      </c>
      <c r="H80" s="454"/>
      <c r="I80" s="212" t="s">
        <v>7</v>
      </c>
      <c r="J80" s="249" t="s">
        <v>4729</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476">
        <v>200</v>
      </c>
      <c r="Z80" s="481">
        <v>46538</v>
      </c>
      <c r="AA80" s="481">
        <v>46538</v>
      </c>
      <c r="AB80" s="485">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486">
        <v>7</v>
      </c>
      <c r="AW80" s="223" t="e">
        <v>#REF!</v>
      </c>
    </row>
    <row r="81" spans="1:49" s="166" customFormat="1" ht="18" customHeight="1">
      <c r="A81" s="444"/>
      <c r="B81" s="447"/>
      <c r="C81" s="449" t="str">
        <f>C80</f>
        <v>RFQ-022</v>
      </c>
      <c r="D81" s="449" t="str">
        <f>D80</f>
        <v>Self Regulator Valve</v>
      </c>
      <c r="E81" s="224"/>
      <c r="F81" s="468" t="str">
        <f>F80</f>
        <v>Instrument</v>
      </c>
      <c r="G81" s="449" t="str">
        <f>G80</f>
        <v>N</v>
      </c>
      <c r="H81" s="455"/>
      <c r="I81" s="212" t="str">
        <f>I80</f>
        <v>LB</v>
      </c>
      <c r="J81" s="249" t="s">
        <v>65</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476"/>
      <c r="Z81" s="481"/>
      <c r="AA81" s="481"/>
      <c r="AB81" s="485"/>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486"/>
      <c r="AW81" s="223" t="e">
        <v>#REF!</v>
      </c>
    </row>
    <row r="82" spans="1:49" s="166" customFormat="1" ht="22.35" customHeight="1">
      <c r="A82" s="444"/>
      <c r="B82" s="448"/>
      <c r="C82" s="449" t="str">
        <f>C80</f>
        <v>RFQ-022</v>
      </c>
      <c r="D82" s="449" t="str">
        <f>D80</f>
        <v>Self Regulator Valve</v>
      </c>
      <c r="E82" s="225"/>
      <c r="F82" s="469" t="str">
        <f>F80</f>
        <v>Instrument</v>
      </c>
      <c r="G82" s="449" t="str">
        <f>G80</f>
        <v>N</v>
      </c>
      <c r="H82" s="456"/>
      <c r="I82" s="212" t="str">
        <f>I80</f>
        <v>LB</v>
      </c>
      <c r="J82" s="249" t="s">
        <v>67</v>
      </c>
      <c r="K82" s="212"/>
      <c r="L82" s="212"/>
      <c r="M82" s="212"/>
      <c r="N82" s="212"/>
      <c r="O82" s="212"/>
      <c r="P82" s="226"/>
      <c r="Q82" s="227"/>
      <c r="R82" s="212"/>
      <c r="S82" s="212"/>
      <c r="T82" s="212"/>
      <c r="U82" s="212"/>
      <c r="V82" s="212"/>
      <c r="W82" s="228"/>
      <c r="X82" s="212"/>
      <c r="Y82" s="476"/>
      <c r="Z82" s="481"/>
      <c r="AA82" s="481"/>
      <c r="AB82" s="485"/>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486"/>
      <c r="AW82" s="223" t="e">
        <v>#REF!</v>
      </c>
    </row>
    <row r="83" spans="1:49" s="169" customFormat="1" ht="22.5" customHeight="1">
      <c r="A83" s="444">
        <f>A80+1</f>
        <v>23</v>
      </c>
      <c r="B83" s="446"/>
      <c r="C83" s="449" t="s">
        <v>4763</v>
      </c>
      <c r="D83" s="449" t="s">
        <v>139</v>
      </c>
      <c r="E83" s="213"/>
      <c r="F83" s="458" t="s">
        <v>132</v>
      </c>
      <c r="G83" s="449" t="s">
        <v>72</v>
      </c>
      <c r="H83" s="454"/>
      <c r="I83" s="190" t="s">
        <v>6</v>
      </c>
      <c r="J83" s="249" t="s">
        <v>4729</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476">
        <f>44*7</f>
        <v>308</v>
      </c>
      <c r="Z83" s="481">
        <v>46538</v>
      </c>
      <c r="AA83" s="481">
        <v>46538</v>
      </c>
      <c r="AB83" s="485">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486">
        <v>7</v>
      </c>
      <c r="AW83" s="252" t="e">
        <v>#REF!</v>
      </c>
    </row>
    <row r="84" spans="1:49" s="169" customFormat="1" ht="22.5" customHeight="1">
      <c r="A84" s="444"/>
      <c r="B84" s="447"/>
      <c r="C84" s="449" t="str">
        <f>C83</f>
        <v>RFQ-023</v>
      </c>
      <c r="D84" s="449" t="str">
        <f>D83</f>
        <v>Actuated Choke Valve</v>
      </c>
      <c r="E84" s="224"/>
      <c r="F84" s="459" t="str">
        <f>F83</f>
        <v>Instrument</v>
      </c>
      <c r="G84" s="449" t="str">
        <f>G83</f>
        <v>N</v>
      </c>
      <c r="H84" s="455"/>
      <c r="I84" s="212" t="str">
        <f>I83</f>
        <v>LA</v>
      </c>
      <c r="J84" s="253" t="s">
        <v>65</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476"/>
      <c r="Z84" s="481"/>
      <c r="AA84" s="481"/>
      <c r="AB84" s="485"/>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486"/>
      <c r="AW84" s="252" t="e">
        <v>#REF!</v>
      </c>
    </row>
    <row r="85" spans="1:49" s="169" customFormat="1" ht="15" customHeight="1">
      <c r="A85" s="444"/>
      <c r="B85" s="448"/>
      <c r="C85" s="449" t="str">
        <f>C83</f>
        <v>RFQ-023</v>
      </c>
      <c r="D85" s="449" t="str">
        <f>D83</f>
        <v>Actuated Choke Valve</v>
      </c>
      <c r="E85" s="225"/>
      <c r="F85" s="460" t="str">
        <f>F83</f>
        <v>Instrument</v>
      </c>
      <c r="G85" s="449" t="str">
        <f>G83</f>
        <v>N</v>
      </c>
      <c r="H85" s="456"/>
      <c r="I85" s="212" t="str">
        <f>I83</f>
        <v>LA</v>
      </c>
      <c r="J85" s="249" t="s">
        <v>67</v>
      </c>
      <c r="K85" s="212"/>
      <c r="L85" s="212"/>
      <c r="M85" s="212"/>
      <c r="N85" s="212"/>
      <c r="O85" s="212"/>
      <c r="P85" s="226"/>
      <c r="Q85" s="227"/>
      <c r="R85" s="212"/>
      <c r="S85" s="212"/>
      <c r="T85" s="212"/>
      <c r="U85" s="212"/>
      <c r="V85" s="212"/>
      <c r="W85" s="228"/>
      <c r="X85" s="212"/>
      <c r="Y85" s="476"/>
      <c r="Z85" s="481"/>
      <c r="AA85" s="481"/>
      <c r="AB85" s="485"/>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486"/>
      <c r="AW85" s="252" t="e">
        <v>#REF!</v>
      </c>
    </row>
    <row r="86" spans="1:49" s="166" customFormat="1" ht="18" customHeight="1">
      <c r="A86" s="444">
        <f>A83+1</f>
        <v>24</v>
      </c>
      <c r="B86" s="446"/>
      <c r="C86" s="449" t="s">
        <v>4764</v>
      </c>
      <c r="D86" s="449" t="s">
        <v>142</v>
      </c>
      <c r="E86" s="213"/>
      <c r="F86" s="467" t="s">
        <v>132</v>
      </c>
      <c r="G86" s="449" t="s">
        <v>72</v>
      </c>
      <c r="H86" s="454"/>
      <c r="I86" s="212" t="s">
        <v>7</v>
      </c>
      <c r="J86" s="249" t="s">
        <v>4729</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476">
        <f>36*7</f>
        <v>252</v>
      </c>
      <c r="Z86" s="481">
        <v>46538</v>
      </c>
      <c r="AA86" s="481">
        <v>46538</v>
      </c>
      <c r="AB86" s="485">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486">
        <v>7</v>
      </c>
      <c r="AW86" s="223" t="e">
        <v>#REF!</v>
      </c>
    </row>
    <row r="87" spans="1:49" s="166" customFormat="1" ht="18" customHeight="1">
      <c r="A87" s="444"/>
      <c r="B87" s="447"/>
      <c r="C87" s="449" t="str">
        <f>C86</f>
        <v>RFQ-024</v>
      </c>
      <c r="D87" s="449" t="str">
        <f>D86</f>
        <v>Actuated Ball Valve</v>
      </c>
      <c r="E87" s="224"/>
      <c r="F87" s="468" t="str">
        <f>F86</f>
        <v>Instrument</v>
      </c>
      <c r="G87" s="449" t="str">
        <f>G86</f>
        <v>N</v>
      </c>
      <c r="H87" s="455"/>
      <c r="I87" s="212" t="str">
        <f>I86</f>
        <v>LB</v>
      </c>
      <c r="J87" s="249" t="s">
        <v>65</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476"/>
      <c r="Z87" s="481"/>
      <c r="AA87" s="481"/>
      <c r="AB87" s="485"/>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486"/>
      <c r="AW87" s="223" t="e">
        <v>#REF!</v>
      </c>
    </row>
    <row r="88" spans="1:49" s="166" customFormat="1" ht="18" customHeight="1">
      <c r="A88" s="444"/>
      <c r="B88" s="448"/>
      <c r="C88" s="449" t="str">
        <f>C86</f>
        <v>RFQ-024</v>
      </c>
      <c r="D88" s="449" t="str">
        <f>D86</f>
        <v>Actuated Ball Valve</v>
      </c>
      <c r="E88" s="225"/>
      <c r="F88" s="469" t="str">
        <f>F86</f>
        <v>Instrument</v>
      </c>
      <c r="G88" s="449" t="str">
        <f>G86</f>
        <v>N</v>
      </c>
      <c r="H88" s="456"/>
      <c r="I88" s="212" t="str">
        <f>I86</f>
        <v>LB</v>
      </c>
      <c r="J88" s="249" t="s">
        <v>67</v>
      </c>
      <c r="K88" s="212"/>
      <c r="L88" s="212"/>
      <c r="M88" s="212"/>
      <c r="N88" s="212"/>
      <c r="O88" s="212"/>
      <c r="P88" s="226"/>
      <c r="Q88" s="227"/>
      <c r="R88" s="212"/>
      <c r="S88" s="212"/>
      <c r="T88" s="212"/>
      <c r="U88" s="212"/>
      <c r="V88" s="212"/>
      <c r="W88" s="228"/>
      <c r="X88" s="212"/>
      <c r="Y88" s="476"/>
      <c r="Z88" s="481"/>
      <c r="AA88" s="481"/>
      <c r="AB88" s="485"/>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486"/>
      <c r="AW88" s="223" t="e">
        <v>#REF!</v>
      </c>
    </row>
    <row r="89" spans="1:49" s="166" customFormat="1" ht="18" customHeight="1">
      <c r="A89" s="444">
        <f>A86+1</f>
        <v>25</v>
      </c>
      <c r="B89" s="446"/>
      <c r="C89" s="449" t="s">
        <v>4765</v>
      </c>
      <c r="D89" s="449" t="s">
        <v>145</v>
      </c>
      <c r="E89" s="213"/>
      <c r="F89" s="467" t="s">
        <v>132</v>
      </c>
      <c r="G89" s="449" t="str">
        <f>IF(_xlfn.XLOOKUP(C89,'[35]Before Award'!D:D,'[35]Before Award'!AV:AV,"N/A")="N/A","N","Y")</f>
        <v>N</v>
      </c>
      <c r="H89" s="454"/>
      <c r="I89" s="212" t="s">
        <v>7</v>
      </c>
      <c r="J89" s="249" t="s">
        <v>4729</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476">
        <v>280</v>
      </c>
      <c r="Z89" s="481">
        <v>46538</v>
      </c>
      <c r="AA89" s="481">
        <v>46538</v>
      </c>
      <c r="AB89" s="485">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486">
        <v>7</v>
      </c>
      <c r="AW89" s="223" t="e">
        <v>#REF!</v>
      </c>
    </row>
    <row r="90" spans="1:49" s="166" customFormat="1" ht="18" customHeight="1">
      <c r="A90" s="444"/>
      <c r="B90" s="447"/>
      <c r="C90" s="449" t="str">
        <f>C89</f>
        <v>RFQ-025</v>
      </c>
      <c r="D90" s="449" t="str">
        <f>D89</f>
        <v>Actuated Compact Ball Valve</v>
      </c>
      <c r="E90" s="224"/>
      <c r="F90" s="468" t="str">
        <f>F89</f>
        <v>Instrument</v>
      </c>
      <c r="G90" s="449" t="str">
        <f>G89</f>
        <v>N</v>
      </c>
      <c r="H90" s="455"/>
      <c r="I90" s="212" t="str">
        <f>I89</f>
        <v>LB</v>
      </c>
      <c r="J90" s="249" t="s">
        <v>65</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476"/>
      <c r="Z90" s="481"/>
      <c r="AA90" s="481"/>
      <c r="AB90" s="485"/>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486"/>
      <c r="AW90" s="223" t="e">
        <v>#REF!</v>
      </c>
    </row>
    <row r="91" spans="1:49" s="166" customFormat="1" ht="18" customHeight="1">
      <c r="A91" s="444"/>
      <c r="B91" s="448"/>
      <c r="C91" s="449" t="str">
        <f>C89</f>
        <v>RFQ-025</v>
      </c>
      <c r="D91" s="449" t="str">
        <f>D89</f>
        <v>Actuated Compact Ball Valve</v>
      </c>
      <c r="E91" s="225"/>
      <c r="F91" s="469" t="str">
        <f>F89</f>
        <v>Instrument</v>
      </c>
      <c r="G91" s="449" t="str">
        <f>G89</f>
        <v>N</v>
      </c>
      <c r="H91" s="456"/>
      <c r="I91" s="212" t="str">
        <f>I89</f>
        <v>LB</v>
      </c>
      <c r="J91" s="249" t="s">
        <v>67</v>
      </c>
      <c r="K91" s="212"/>
      <c r="L91" s="212"/>
      <c r="M91" s="212"/>
      <c r="N91" s="212"/>
      <c r="O91" s="212"/>
      <c r="P91" s="226"/>
      <c r="Q91" s="227"/>
      <c r="R91" s="212"/>
      <c r="S91" s="212"/>
      <c r="T91" s="212"/>
      <c r="U91" s="212"/>
      <c r="V91" s="212"/>
      <c r="W91" s="228"/>
      <c r="X91" s="212"/>
      <c r="Y91" s="476"/>
      <c r="Z91" s="481"/>
      <c r="AA91" s="481"/>
      <c r="AB91" s="485"/>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486"/>
      <c r="AW91" s="223" t="e">
        <v>#REF!</v>
      </c>
    </row>
    <row r="92" spans="1:49" s="166" customFormat="1" ht="18" customHeight="1">
      <c r="A92" s="444">
        <f>A89+1</f>
        <v>26</v>
      </c>
      <c r="B92" s="446"/>
      <c r="C92" s="449" t="s">
        <v>4766</v>
      </c>
      <c r="D92" s="449" t="s">
        <v>147</v>
      </c>
      <c r="E92" s="213"/>
      <c r="F92" s="467" t="s">
        <v>132</v>
      </c>
      <c r="G92" s="449" t="s">
        <v>72</v>
      </c>
      <c r="H92" s="454"/>
      <c r="I92" s="212" t="s">
        <v>7</v>
      </c>
      <c r="J92" s="249" t="s">
        <v>4729</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476">
        <v>184</v>
      </c>
      <c r="Z92" s="481">
        <v>46538</v>
      </c>
      <c r="AA92" s="481">
        <v>46538</v>
      </c>
      <c r="AB92" s="485">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486">
        <v>7</v>
      </c>
      <c r="AW92" s="223" t="e">
        <v>#REF!</v>
      </c>
    </row>
    <row r="93" spans="1:49" s="166" customFormat="1" ht="18" customHeight="1">
      <c r="A93" s="444"/>
      <c r="B93" s="447"/>
      <c r="C93" s="449" t="str">
        <f>C92</f>
        <v>RFQ-026</v>
      </c>
      <c r="D93" s="449" t="str">
        <f>D92</f>
        <v>Safety Relief Valves</v>
      </c>
      <c r="E93" s="224"/>
      <c r="F93" s="468" t="str">
        <f>F92</f>
        <v>Instrument</v>
      </c>
      <c r="G93" s="449" t="str">
        <f>G92</f>
        <v>N</v>
      </c>
      <c r="H93" s="455"/>
      <c r="I93" s="212" t="str">
        <f>I92</f>
        <v>LB</v>
      </c>
      <c r="J93" s="249" t="s">
        <v>65</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476"/>
      <c r="Z93" s="481"/>
      <c r="AA93" s="481"/>
      <c r="AB93" s="485"/>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486"/>
      <c r="AW93" s="223" t="e">
        <v>#REF!</v>
      </c>
    </row>
    <row r="94" spans="1:49" s="166" customFormat="1" ht="18" customHeight="1">
      <c r="A94" s="444"/>
      <c r="B94" s="448"/>
      <c r="C94" s="449" t="str">
        <f>C92</f>
        <v>RFQ-026</v>
      </c>
      <c r="D94" s="449" t="str">
        <f>D92</f>
        <v>Safety Relief Valves</v>
      </c>
      <c r="E94" s="225"/>
      <c r="F94" s="469" t="str">
        <f>F92</f>
        <v>Instrument</v>
      </c>
      <c r="G94" s="449" t="str">
        <f>G92</f>
        <v>N</v>
      </c>
      <c r="H94" s="456"/>
      <c r="I94" s="212" t="str">
        <f>I92</f>
        <v>LB</v>
      </c>
      <c r="J94" s="249" t="s">
        <v>67</v>
      </c>
      <c r="K94" s="212"/>
      <c r="L94" s="212"/>
      <c r="M94" s="212"/>
      <c r="N94" s="212"/>
      <c r="O94" s="212"/>
      <c r="P94" s="226"/>
      <c r="Q94" s="227"/>
      <c r="R94" s="212"/>
      <c r="S94" s="212"/>
      <c r="T94" s="212"/>
      <c r="U94" s="212"/>
      <c r="V94" s="212"/>
      <c r="W94" s="228"/>
      <c r="X94" s="212"/>
      <c r="Y94" s="476"/>
      <c r="Z94" s="481"/>
      <c r="AA94" s="481"/>
      <c r="AB94" s="485"/>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486"/>
      <c r="AW94" s="223" t="e">
        <v>#REF!</v>
      </c>
    </row>
    <row r="95" spans="1:49" s="166" customFormat="1" ht="18" customHeight="1">
      <c r="A95" s="444">
        <f>A92+1</f>
        <v>27</v>
      </c>
      <c r="B95" s="446"/>
      <c r="C95" s="449" t="s">
        <v>4767</v>
      </c>
      <c r="D95" s="449" t="s">
        <v>150</v>
      </c>
      <c r="E95" s="213"/>
      <c r="F95" s="467" t="s">
        <v>132</v>
      </c>
      <c r="G95" s="449" t="s">
        <v>72</v>
      </c>
      <c r="H95" s="454"/>
      <c r="I95" s="212" t="s">
        <v>8</v>
      </c>
      <c r="J95" s="249" t="s">
        <v>4729</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476">
        <v>145</v>
      </c>
      <c r="Z95" s="481">
        <v>46538</v>
      </c>
      <c r="AA95" s="481">
        <v>46538</v>
      </c>
      <c r="AB95" s="485">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486">
        <v>7</v>
      </c>
      <c r="AW95" s="223" t="e">
        <v>#REF!</v>
      </c>
    </row>
    <row r="96" spans="1:49" s="166" customFormat="1" ht="18" customHeight="1">
      <c r="A96" s="444"/>
      <c r="B96" s="447"/>
      <c r="C96" s="449" t="str">
        <f>C95</f>
        <v>RFQ-027</v>
      </c>
      <c r="D96" s="449" t="str">
        <f>D95</f>
        <v>Coriolis Flow Meters</v>
      </c>
      <c r="E96" s="224"/>
      <c r="F96" s="468" t="str">
        <f>F95</f>
        <v>Instrument</v>
      </c>
      <c r="G96" s="449" t="str">
        <f>G95</f>
        <v>N</v>
      </c>
      <c r="H96" s="455"/>
      <c r="I96" s="212" t="str">
        <f>I95</f>
        <v>LC</v>
      </c>
      <c r="J96" s="249" t="s">
        <v>65</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476"/>
      <c r="Z96" s="481"/>
      <c r="AA96" s="481"/>
      <c r="AB96" s="485"/>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486"/>
      <c r="AW96" s="223" t="e" cm="1">
        <f t="array" ref="AW96:AW174">'[35]Procurement progress '!$A$2:$A$80</f>
        <v>#REF!</v>
      </c>
    </row>
    <row r="97" spans="1:49" s="166" customFormat="1" ht="18" customHeight="1">
      <c r="A97" s="444"/>
      <c r="B97" s="448"/>
      <c r="C97" s="449" t="str">
        <f>C95</f>
        <v>RFQ-027</v>
      </c>
      <c r="D97" s="449" t="str">
        <f>D95</f>
        <v>Coriolis Flow Meters</v>
      </c>
      <c r="E97" s="225"/>
      <c r="F97" s="469" t="str">
        <f>F95</f>
        <v>Instrument</v>
      </c>
      <c r="G97" s="449" t="str">
        <f>G95</f>
        <v>N</v>
      </c>
      <c r="H97" s="456"/>
      <c r="I97" s="212" t="str">
        <f>I95</f>
        <v>LC</v>
      </c>
      <c r="J97" s="249" t="s">
        <v>67</v>
      </c>
      <c r="K97" s="212"/>
      <c r="L97" s="212"/>
      <c r="M97" s="212"/>
      <c r="N97" s="212"/>
      <c r="O97" s="212"/>
      <c r="P97" s="226"/>
      <c r="Q97" s="227"/>
      <c r="R97" s="212"/>
      <c r="S97" s="212"/>
      <c r="T97" s="212"/>
      <c r="U97" s="212"/>
      <c r="V97" s="212"/>
      <c r="W97" s="228"/>
      <c r="X97" s="212"/>
      <c r="Y97" s="476"/>
      <c r="Z97" s="481"/>
      <c r="AA97" s="481"/>
      <c r="AB97" s="485"/>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486"/>
      <c r="AW97" s="223" t="e">
        <v>#REF!</v>
      </c>
    </row>
    <row r="98" spans="1:49" s="169" customFormat="1" ht="22.5" customHeight="1">
      <c r="A98" s="444">
        <f>A95+1</f>
        <v>28</v>
      </c>
      <c r="B98" s="446"/>
      <c r="C98" s="449" t="s">
        <v>4768</v>
      </c>
      <c r="D98" s="449" t="s">
        <v>4769</v>
      </c>
      <c r="E98" s="213"/>
      <c r="F98" s="458" t="s">
        <v>132</v>
      </c>
      <c r="G98" s="449" t="s">
        <v>64</v>
      </c>
      <c r="H98" s="454"/>
      <c r="I98" s="212" t="s">
        <v>6</v>
      </c>
      <c r="J98" s="214" t="s">
        <v>4729</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476">
        <v>252</v>
      </c>
      <c r="Z98" s="481">
        <v>46476</v>
      </c>
      <c r="AA98" s="481">
        <v>46416</v>
      </c>
      <c r="AB98" s="485">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486">
        <v>7</v>
      </c>
      <c r="AW98" s="252" t="e">
        <v>#REF!</v>
      </c>
    </row>
    <row r="99" spans="1:49" s="169" customFormat="1" ht="22.5" customHeight="1">
      <c r="A99" s="444"/>
      <c r="B99" s="447"/>
      <c r="C99" s="449" t="str">
        <f>C98</f>
        <v>RFQ-028</v>
      </c>
      <c r="D99" s="449" t="str">
        <f>D98</f>
        <v>Wellhead Control Panel (WHCP)</v>
      </c>
      <c r="E99" s="224"/>
      <c r="F99" s="459" t="str">
        <f>F98</f>
        <v>Instrument</v>
      </c>
      <c r="G99" s="449" t="str">
        <f>G98</f>
        <v>Y</v>
      </c>
      <c r="H99" s="455"/>
      <c r="I99" s="212" t="str">
        <f>I98</f>
        <v>LA</v>
      </c>
      <c r="J99" s="214" t="s">
        <v>65</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476"/>
      <c r="Z99" s="481"/>
      <c r="AA99" s="481"/>
      <c r="AB99" s="485"/>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486"/>
      <c r="AW99" s="252" t="e">
        <v>#REF!</v>
      </c>
    </row>
    <row r="100" spans="1:49" s="169" customFormat="1" ht="15" customHeight="1">
      <c r="A100" s="444"/>
      <c r="B100" s="448"/>
      <c r="C100" s="449" t="str">
        <f>C98</f>
        <v>RFQ-028</v>
      </c>
      <c r="D100" s="449" t="str">
        <f>D98</f>
        <v>Wellhead Control Panel (WHCP)</v>
      </c>
      <c r="E100" s="225"/>
      <c r="F100" s="460" t="str">
        <f>F98</f>
        <v>Instrument</v>
      </c>
      <c r="G100" s="449" t="str">
        <f>G98</f>
        <v>Y</v>
      </c>
      <c r="H100" s="456"/>
      <c r="I100" s="212" t="str">
        <f>I98</f>
        <v>LA</v>
      </c>
      <c r="J100" s="214" t="s">
        <v>67</v>
      </c>
      <c r="K100" s="212"/>
      <c r="L100" s="212"/>
      <c r="M100" s="212"/>
      <c r="N100" s="212"/>
      <c r="O100" s="212"/>
      <c r="P100" s="226"/>
      <c r="Q100" s="227"/>
      <c r="R100" s="212"/>
      <c r="S100" s="212"/>
      <c r="T100" s="212"/>
      <c r="U100" s="212"/>
      <c r="V100" s="212"/>
      <c r="W100" s="228"/>
      <c r="X100" s="212"/>
      <c r="Y100" s="476"/>
      <c r="Z100" s="481"/>
      <c r="AA100" s="481"/>
      <c r="AB100" s="485"/>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486"/>
      <c r="AW100" s="252" t="e">
        <v>#REF!</v>
      </c>
    </row>
    <row r="101" spans="1:49" s="166" customFormat="1" ht="18" customHeight="1">
      <c r="A101" s="444">
        <f>A98+1</f>
        <v>29</v>
      </c>
      <c r="B101" s="446"/>
      <c r="C101" s="449" t="s">
        <v>4770</v>
      </c>
      <c r="D101" s="449" t="s">
        <v>156</v>
      </c>
      <c r="E101" s="213"/>
      <c r="F101" s="467" t="s">
        <v>132</v>
      </c>
      <c r="G101" s="449" t="s">
        <v>72</v>
      </c>
      <c r="H101" s="454"/>
      <c r="I101" s="212" t="s">
        <v>8</v>
      </c>
      <c r="J101" s="249" t="s">
        <v>4729</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476">
        <f>18*7</f>
        <v>126</v>
      </c>
      <c r="Z101" s="481">
        <v>46538</v>
      </c>
      <c r="AA101" s="481">
        <v>46538</v>
      </c>
      <c r="AB101" s="485">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486">
        <v>7</v>
      </c>
      <c r="AW101" s="223" t="e">
        <v>#REF!</v>
      </c>
    </row>
    <row r="102" spans="1:49" s="166" customFormat="1" ht="18" customHeight="1">
      <c r="A102" s="444"/>
      <c r="B102" s="447"/>
      <c r="C102" s="449" t="str">
        <f>C101</f>
        <v>RFQ-029</v>
      </c>
      <c r="D102" s="449" t="str">
        <f>D101</f>
        <v>Pressure Gauge</v>
      </c>
      <c r="E102" s="224"/>
      <c r="F102" s="468" t="str">
        <f>F101</f>
        <v>Instrument</v>
      </c>
      <c r="G102" s="449" t="str">
        <f>G101</f>
        <v>N</v>
      </c>
      <c r="H102" s="455"/>
      <c r="I102" s="212" t="str">
        <f>I101</f>
        <v>LC</v>
      </c>
      <c r="J102" s="249" t="s">
        <v>65</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476"/>
      <c r="Z102" s="481"/>
      <c r="AA102" s="481"/>
      <c r="AB102" s="485"/>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486"/>
      <c r="AW102" s="223" t="e">
        <v>#REF!</v>
      </c>
    </row>
    <row r="103" spans="1:49" s="166" customFormat="1" ht="18" customHeight="1">
      <c r="A103" s="444"/>
      <c r="B103" s="448"/>
      <c r="C103" s="449" t="str">
        <f>C101</f>
        <v>RFQ-029</v>
      </c>
      <c r="D103" s="449" t="str">
        <f>D101</f>
        <v>Pressure Gauge</v>
      </c>
      <c r="E103" s="225"/>
      <c r="F103" s="469" t="str">
        <f>F101</f>
        <v>Instrument</v>
      </c>
      <c r="G103" s="449" t="str">
        <f>G101</f>
        <v>N</v>
      </c>
      <c r="H103" s="456"/>
      <c r="I103" s="212" t="str">
        <f>I101</f>
        <v>LC</v>
      </c>
      <c r="J103" s="249" t="s">
        <v>67</v>
      </c>
      <c r="K103" s="212"/>
      <c r="L103" s="212"/>
      <c r="M103" s="212"/>
      <c r="N103" s="212"/>
      <c r="O103" s="212"/>
      <c r="P103" s="226"/>
      <c r="Q103" s="227"/>
      <c r="R103" s="212"/>
      <c r="S103" s="212"/>
      <c r="T103" s="212"/>
      <c r="U103" s="212"/>
      <c r="V103" s="212"/>
      <c r="W103" s="228"/>
      <c r="X103" s="212"/>
      <c r="Y103" s="476"/>
      <c r="Z103" s="481"/>
      <c r="AA103" s="481"/>
      <c r="AB103" s="485"/>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486"/>
      <c r="AW103" s="223" t="e">
        <v>#REF!</v>
      </c>
    </row>
    <row r="104" spans="1:49" s="166" customFormat="1" ht="18" customHeight="1">
      <c r="A104" s="444">
        <f>A101+1</f>
        <v>30</v>
      </c>
      <c r="B104" s="446"/>
      <c r="C104" s="449" t="s">
        <v>4771</v>
      </c>
      <c r="D104" s="449" t="s">
        <v>159</v>
      </c>
      <c r="E104" s="213"/>
      <c r="F104" s="467" t="s">
        <v>132</v>
      </c>
      <c r="G104" s="449" t="s">
        <v>72</v>
      </c>
      <c r="H104" s="454"/>
      <c r="I104" s="212" t="s">
        <v>8</v>
      </c>
      <c r="J104" s="249" t="s">
        <v>4729</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476">
        <f>18*7</f>
        <v>126</v>
      </c>
      <c r="Z104" s="481">
        <v>46538</v>
      </c>
      <c r="AA104" s="481">
        <v>46538</v>
      </c>
      <c r="AB104" s="485">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486">
        <v>7</v>
      </c>
      <c r="AW104" s="223" t="e">
        <v>#REF!</v>
      </c>
    </row>
    <row r="105" spans="1:49" s="166" customFormat="1" ht="18" customHeight="1">
      <c r="A105" s="444"/>
      <c r="B105" s="447"/>
      <c r="C105" s="449" t="str">
        <f>C104</f>
        <v>RFQ-030</v>
      </c>
      <c r="D105" s="449" t="str">
        <f>D104</f>
        <v>Pressure Transmitter</v>
      </c>
      <c r="E105" s="224"/>
      <c r="F105" s="468" t="str">
        <f>F104</f>
        <v>Instrument</v>
      </c>
      <c r="G105" s="449" t="str">
        <f>G104</f>
        <v>N</v>
      </c>
      <c r="H105" s="455"/>
      <c r="I105" s="212" t="str">
        <f>I104</f>
        <v>LC</v>
      </c>
      <c r="J105" s="249" t="s">
        <v>65</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476"/>
      <c r="Z105" s="481"/>
      <c r="AA105" s="481"/>
      <c r="AB105" s="485"/>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486"/>
      <c r="AW105" s="223" t="e">
        <v>#REF!</v>
      </c>
    </row>
    <row r="106" spans="1:49" s="166" customFormat="1" ht="18" customHeight="1">
      <c r="A106" s="444"/>
      <c r="B106" s="448"/>
      <c r="C106" s="449" t="str">
        <f>C104</f>
        <v>RFQ-030</v>
      </c>
      <c r="D106" s="449" t="str">
        <f>D104</f>
        <v>Pressure Transmitter</v>
      </c>
      <c r="E106" s="225"/>
      <c r="F106" s="469" t="str">
        <f>F104</f>
        <v>Instrument</v>
      </c>
      <c r="G106" s="449" t="str">
        <f>G104</f>
        <v>N</v>
      </c>
      <c r="H106" s="456"/>
      <c r="I106" s="212" t="str">
        <f>I104</f>
        <v>LC</v>
      </c>
      <c r="J106" s="249" t="s">
        <v>67</v>
      </c>
      <c r="K106" s="212"/>
      <c r="L106" s="212"/>
      <c r="M106" s="212"/>
      <c r="N106" s="212"/>
      <c r="O106" s="212"/>
      <c r="P106" s="226"/>
      <c r="Q106" s="227"/>
      <c r="R106" s="212"/>
      <c r="S106" s="212"/>
      <c r="T106" s="212"/>
      <c r="U106" s="212"/>
      <c r="V106" s="212"/>
      <c r="W106" s="228"/>
      <c r="X106" s="212"/>
      <c r="Y106" s="476"/>
      <c r="Z106" s="481"/>
      <c r="AA106" s="481"/>
      <c r="AB106" s="485"/>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486"/>
      <c r="AW106" s="223" t="e">
        <v>#REF!</v>
      </c>
    </row>
    <row r="107" spans="1:49" s="166" customFormat="1" ht="18" customHeight="1">
      <c r="A107" s="444">
        <f>A104+1</f>
        <v>31</v>
      </c>
      <c r="B107" s="446"/>
      <c r="C107" s="449" t="s">
        <v>4772</v>
      </c>
      <c r="D107" s="449" t="s">
        <v>161</v>
      </c>
      <c r="E107" s="213"/>
      <c r="F107" s="467" t="s">
        <v>132</v>
      </c>
      <c r="G107" s="449" t="s">
        <v>72</v>
      </c>
      <c r="H107" s="454"/>
      <c r="I107" s="212" t="s">
        <v>8</v>
      </c>
      <c r="J107" s="249" t="s">
        <v>4729</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476">
        <f>18*7</f>
        <v>126</v>
      </c>
      <c r="Z107" s="481">
        <v>46538</v>
      </c>
      <c r="AA107" s="481">
        <v>46538</v>
      </c>
      <c r="AB107" s="485">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486">
        <v>7</v>
      </c>
      <c r="AW107" s="223" t="e">
        <v>#REF!</v>
      </c>
    </row>
    <row r="108" spans="1:49" s="166" customFormat="1" ht="18" customHeight="1">
      <c r="A108" s="444"/>
      <c r="B108" s="447"/>
      <c r="C108" s="449" t="str">
        <f>C107</f>
        <v>RFQ-031</v>
      </c>
      <c r="D108" s="449" t="str">
        <f>D107</f>
        <v>Temperature Gauge</v>
      </c>
      <c r="E108" s="224"/>
      <c r="F108" s="468" t="str">
        <f>F107</f>
        <v>Instrument</v>
      </c>
      <c r="G108" s="449" t="str">
        <f>G107</f>
        <v>N</v>
      </c>
      <c r="H108" s="455"/>
      <c r="I108" s="212" t="str">
        <f>I107</f>
        <v>LC</v>
      </c>
      <c r="J108" s="249" t="s">
        <v>65</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476"/>
      <c r="Z108" s="481"/>
      <c r="AA108" s="481"/>
      <c r="AB108" s="485"/>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486"/>
      <c r="AW108" s="223" t="e">
        <v>#REF!</v>
      </c>
    </row>
    <row r="109" spans="1:49" s="166" customFormat="1" ht="18" customHeight="1">
      <c r="A109" s="444"/>
      <c r="B109" s="448"/>
      <c r="C109" s="449" t="str">
        <f>C107</f>
        <v>RFQ-031</v>
      </c>
      <c r="D109" s="449" t="str">
        <f>D107</f>
        <v>Temperature Gauge</v>
      </c>
      <c r="E109" s="225"/>
      <c r="F109" s="469" t="str">
        <f>F107</f>
        <v>Instrument</v>
      </c>
      <c r="G109" s="449" t="str">
        <f>G107</f>
        <v>N</v>
      </c>
      <c r="H109" s="456"/>
      <c r="I109" s="212" t="str">
        <f>I107</f>
        <v>LC</v>
      </c>
      <c r="J109" s="249" t="s">
        <v>67</v>
      </c>
      <c r="K109" s="212"/>
      <c r="L109" s="212"/>
      <c r="M109" s="212"/>
      <c r="N109" s="212"/>
      <c r="O109" s="212"/>
      <c r="P109" s="226"/>
      <c r="Q109" s="227"/>
      <c r="R109" s="212"/>
      <c r="S109" s="212"/>
      <c r="T109" s="212"/>
      <c r="U109" s="212"/>
      <c r="V109" s="212"/>
      <c r="W109" s="228"/>
      <c r="X109" s="212"/>
      <c r="Y109" s="476"/>
      <c r="Z109" s="481"/>
      <c r="AA109" s="481"/>
      <c r="AB109" s="485"/>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486"/>
      <c r="AW109" s="223" t="e">
        <v>#REF!</v>
      </c>
    </row>
    <row r="110" spans="1:49" s="166" customFormat="1" ht="18" customHeight="1">
      <c r="A110" s="444">
        <f>A107+1</f>
        <v>32</v>
      </c>
      <c r="B110" s="446"/>
      <c r="C110" s="449" t="s">
        <v>4773</v>
      </c>
      <c r="D110" s="449" t="s">
        <v>163</v>
      </c>
      <c r="E110" s="213"/>
      <c r="F110" s="467" t="s">
        <v>132</v>
      </c>
      <c r="G110" s="449" t="s">
        <v>72</v>
      </c>
      <c r="H110" s="454"/>
      <c r="I110" s="212" t="s">
        <v>8</v>
      </c>
      <c r="J110" s="249" t="s">
        <v>4729</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476">
        <f>18*7</f>
        <v>126</v>
      </c>
      <c r="Z110" s="481">
        <v>46538</v>
      </c>
      <c r="AA110" s="481">
        <v>46538</v>
      </c>
      <c r="AB110" s="485">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486">
        <v>7</v>
      </c>
      <c r="AW110" s="223" t="e">
        <v>#REF!</v>
      </c>
    </row>
    <row r="111" spans="1:49" s="166" customFormat="1" ht="18" customHeight="1">
      <c r="A111" s="444"/>
      <c r="B111" s="447"/>
      <c r="C111" s="449" t="str">
        <f>C110</f>
        <v>RFQ-032</v>
      </c>
      <c r="D111" s="449" t="str">
        <f>D110</f>
        <v>Temperature Transmitter</v>
      </c>
      <c r="E111" s="224"/>
      <c r="F111" s="468" t="str">
        <f>F110</f>
        <v>Instrument</v>
      </c>
      <c r="G111" s="449" t="str">
        <f>G110</f>
        <v>N</v>
      </c>
      <c r="H111" s="455"/>
      <c r="I111" s="212" t="str">
        <f>I110</f>
        <v>LC</v>
      </c>
      <c r="J111" s="249" t="s">
        <v>65</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476"/>
      <c r="Z111" s="481"/>
      <c r="AA111" s="481"/>
      <c r="AB111" s="485"/>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486"/>
      <c r="AW111" s="223" t="e">
        <v>#REF!</v>
      </c>
    </row>
    <row r="112" spans="1:49" s="166" customFormat="1" ht="18" customHeight="1">
      <c r="A112" s="444"/>
      <c r="B112" s="448"/>
      <c r="C112" s="449" t="str">
        <f>C110</f>
        <v>RFQ-032</v>
      </c>
      <c r="D112" s="449" t="str">
        <f>D110</f>
        <v>Temperature Transmitter</v>
      </c>
      <c r="E112" s="225"/>
      <c r="F112" s="469" t="str">
        <f>F110</f>
        <v>Instrument</v>
      </c>
      <c r="G112" s="449" t="str">
        <f>G110</f>
        <v>N</v>
      </c>
      <c r="H112" s="456"/>
      <c r="I112" s="212" t="str">
        <f>I110</f>
        <v>LC</v>
      </c>
      <c r="J112" s="249" t="s">
        <v>67</v>
      </c>
      <c r="K112" s="212"/>
      <c r="L112" s="212"/>
      <c r="M112" s="212"/>
      <c r="N112" s="212"/>
      <c r="O112" s="212"/>
      <c r="P112" s="226"/>
      <c r="Q112" s="227"/>
      <c r="R112" s="212"/>
      <c r="S112" s="212"/>
      <c r="T112" s="212"/>
      <c r="U112" s="212"/>
      <c r="V112" s="212"/>
      <c r="W112" s="228"/>
      <c r="X112" s="212"/>
      <c r="Y112" s="476"/>
      <c r="Z112" s="481"/>
      <c r="AA112" s="481"/>
      <c r="AB112" s="485"/>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486"/>
      <c r="AW112" s="223" t="e">
        <v>#REF!</v>
      </c>
    </row>
    <row r="113" spans="1:49" s="166" customFormat="1" ht="18" customHeight="1">
      <c r="A113" s="444">
        <f>A110+1</f>
        <v>33</v>
      </c>
      <c r="B113" s="446"/>
      <c r="C113" s="449" t="s">
        <v>4774</v>
      </c>
      <c r="D113" s="449" t="s">
        <v>165</v>
      </c>
      <c r="E113" s="213"/>
      <c r="F113" s="467" t="s">
        <v>132</v>
      </c>
      <c r="G113" s="449" t="s">
        <v>72</v>
      </c>
      <c r="H113" s="454"/>
      <c r="I113" s="212" t="s">
        <v>8</v>
      </c>
      <c r="J113" s="249" t="s">
        <v>4729</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476">
        <f t="shared" ref="Y113" si="1">18*7</f>
        <v>126</v>
      </c>
      <c r="Z113" s="481">
        <v>46538</v>
      </c>
      <c r="AA113" s="481">
        <v>46538</v>
      </c>
      <c r="AB113" s="485">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486">
        <v>7</v>
      </c>
      <c r="AW113" s="223" t="e">
        <v>#REF!</v>
      </c>
    </row>
    <row r="114" spans="1:49" s="166" customFormat="1" ht="18" customHeight="1">
      <c r="A114" s="444"/>
      <c r="B114" s="447"/>
      <c r="C114" s="449" t="str">
        <f>C113</f>
        <v>RFQ-033</v>
      </c>
      <c r="D114" s="449" t="str">
        <f>D113</f>
        <v>Vortex Flow Meter</v>
      </c>
      <c r="E114" s="224"/>
      <c r="F114" s="468" t="str">
        <f>F113</f>
        <v>Instrument</v>
      </c>
      <c r="G114" s="449" t="str">
        <f>G113</f>
        <v>N</v>
      </c>
      <c r="H114" s="455"/>
      <c r="I114" s="212" t="str">
        <f>I113</f>
        <v>LC</v>
      </c>
      <c r="J114" s="249" t="s">
        <v>65</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476"/>
      <c r="Z114" s="481"/>
      <c r="AA114" s="481"/>
      <c r="AB114" s="485"/>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486"/>
      <c r="AW114" s="223" t="e">
        <v>#REF!</v>
      </c>
    </row>
    <row r="115" spans="1:49" s="166" customFormat="1" ht="18" customHeight="1">
      <c r="A115" s="444"/>
      <c r="B115" s="448"/>
      <c r="C115" s="449" t="str">
        <f>C113</f>
        <v>RFQ-033</v>
      </c>
      <c r="D115" s="449" t="str">
        <f>D113</f>
        <v>Vortex Flow Meter</v>
      </c>
      <c r="E115" s="225"/>
      <c r="F115" s="469" t="str">
        <f>F113</f>
        <v>Instrument</v>
      </c>
      <c r="G115" s="449" t="str">
        <f>G113</f>
        <v>N</v>
      </c>
      <c r="H115" s="456"/>
      <c r="I115" s="212" t="str">
        <f>I113</f>
        <v>LC</v>
      </c>
      <c r="J115" s="249" t="s">
        <v>67</v>
      </c>
      <c r="K115" s="212"/>
      <c r="L115" s="212"/>
      <c r="M115" s="212"/>
      <c r="N115" s="212"/>
      <c r="O115" s="212"/>
      <c r="P115" s="226"/>
      <c r="Q115" s="227"/>
      <c r="R115" s="212"/>
      <c r="S115" s="212"/>
      <c r="T115" s="212"/>
      <c r="U115" s="212"/>
      <c r="V115" s="212"/>
      <c r="W115" s="228"/>
      <c r="X115" s="212"/>
      <c r="Y115" s="476"/>
      <c r="Z115" s="481"/>
      <c r="AA115" s="481"/>
      <c r="AB115" s="485"/>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486"/>
      <c r="AW115" s="223" t="e">
        <v>#REF!</v>
      </c>
    </row>
    <row r="116" spans="1:49" s="166" customFormat="1" ht="18" customHeight="1">
      <c r="A116" s="444">
        <f>A113+1</f>
        <v>34</v>
      </c>
      <c r="B116" s="446"/>
      <c r="C116" s="449" t="s">
        <v>4775</v>
      </c>
      <c r="D116" s="449" t="s">
        <v>4776</v>
      </c>
      <c r="E116" s="213"/>
      <c r="F116" s="467" t="s">
        <v>132</v>
      </c>
      <c r="G116" s="449" t="s">
        <v>72</v>
      </c>
      <c r="H116" s="454"/>
      <c r="I116" s="212" t="s">
        <v>8</v>
      </c>
      <c r="J116" s="249" t="s">
        <v>4729</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476">
        <f t="shared" ref="Y116" si="2">18*7</f>
        <v>126</v>
      </c>
      <c r="Z116" s="481">
        <v>46538</v>
      </c>
      <c r="AA116" s="481">
        <v>46538</v>
      </c>
      <c r="AB116" s="485">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486">
        <v>7</v>
      </c>
      <c r="AW116" s="223" t="e">
        <v>#REF!</v>
      </c>
    </row>
    <row r="117" spans="1:49" s="166" customFormat="1" ht="18" customHeight="1">
      <c r="A117" s="444"/>
      <c r="B117" s="447"/>
      <c r="C117" s="449" t="str">
        <f>C116</f>
        <v>RFQ-034</v>
      </c>
      <c r="D117" s="449" t="str">
        <f>D116</f>
        <v>Level Transmitter and Gauge</v>
      </c>
      <c r="E117" s="224"/>
      <c r="F117" s="468" t="str">
        <f>F116</f>
        <v>Instrument</v>
      </c>
      <c r="G117" s="449" t="str">
        <f>G116</f>
        <v>N</v>
      </c>
      <c r="H117" s="455"/>
      <c r="I117" s="212" t="str">
        <f>I116</f>
        <v>LC</v>
      </c>
      <c r="J117" s="249" t="s">
        <v>65</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476"/>
      <c r="Z117" s="481"/>
      <c r="AA117" s="481"/>
      <c r="AB117" s="485"/>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486"/>
      <c r="AW117" s="223" t="e">
        <v>#REF!</v>
      </c>
    </row>
    <row r="118" spans="1:49" s="166" customFormat="1" ht="18" customHeight="1">
      <c r="A118" s="444"/>
      <c r="B118" s="448"/>
      <c r="C118" s="449" t="str">
        <f>C116</f>
        <v>RFQ-034</v>
      </c>
      <c r="D118" s="449" t="str">
        <f>D116</f>
        <v>Level Transmitter and Gauge</v>
      </c>
      <c r="E118" s="225"/>
      <c r="F118" s="469" t="str">
        <f>F116</f>
        <v>Instrument</v>
      </c>
      <c r="G118" s="449" t="str">
        <f>G116</f>
        <v>N</v>
      </c>
      <c r="H118" s="456"/>
      <c r="I118" s="212" t="str">
        <f>I116</f>
        <v>LC</v>
      </c>
      <c r="J118" s="249" t="s">
        <v>67</v>
      </c>
      <c r="K118" s="212"/>
      <c r="L118" s="212"/>
      <c r="M118" s="212"/>
      <c r="N118" s="212"/>
      <c r="O118" s="212"/>
      <c r="P118" s="226"/>
      <c r="Q118" s="227"/>
      <c r="R118" s="212"/>
      <c r="S118" s="212"/>
      <c r="T118" s="212"/>
      <c r="U118" s="212"/>
      <c r="V118" s="212"/>
      <c r="W118" s="228"/>
      <c r="X118" s="212"/>
      <c r="Y118" s="476"/>
      <c r="Z118" s="481"/>
      <c r="AA118" s="481"/>
      <c r="AB118" s="485"/>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486"/>
      <c r="AW118" s="223" t="e">
        <v>#REF!</v>
      </c>
    </row>
    <row r="119" spans="1:49" s="166" customFormat="1" ht="18" customHeight="1">
      <c r="A119" s="444">
        <f>A116+1</f>
        <v>35</v>
      </c>
      <c r="B119" s="446"/>
      <c r="C119" s="449" t="s">
        <v>4777</v>
      </c>
      <c r="D119" s="449" t="s">
        <v>170</v>
      </c>
      <c r="E119" s="213"/>
      <c r="F119" s="467" t="s">
        <v>132</v>
      </c>
      <c r="G119" s="449" t="s">
        <v>72</v>
      </c>
      <c r="H119" s="454"/>
      <c r="I119" s="212" t="s">
        <v>8</v>
      </c>
      <c r="J119" s="249" t="s">
        <v>4729</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476">
        <f>18*7</f>
        <v>126</v>
      </c>
      <c r="Z119" s="481">
        <v>46538</v>
      </c>
      <c r="AA119" s="481">
        <v>46538</v>
      </c>
      <c r="AB119" s="485">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486">
        <v>7</v>
      </c>
      <c r="AW119" s="223" t="e">
        <v>#REF!</v>
      </c>
    </row>
    <row r="120" spans="1:49" s="166" customFormat="1" ht="18" customHeight="1">
      <c r="A120" s="444"/>
      <c r="B120" s="447"/>
      <c r="C120" s="449" t="str">
        <f>C119</f>
        <v>RFQ-035</v>
      </c>
      <c r="D120" s="449" t="str">
        <f>D119</f>
        <v>Pig Signaller</v>
      </c>
      <c r="E120" s="224"/>
      <c r="F120" s="468" t="str">
        <f>F119</f>
        <v>Instrument</v>
      </c>
      <c r="G120" s="449" t="str">
        <f>G119</f>
        <v>N</v>
      </c>
      <c r="H120" s="455"/>
      <c r="I120" s="212" t="str">
        <f>I119</f>
        <v>LC</v>
      </c>
      <c r="J120" s="249" t="s">
        <v>65</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476"/>
      <c r="Z120" s="481"/>
      <c r="AA120" s="481"/>
      <c r="AB120" s="485"/>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486"/>
      <c r="AW120" s="223" t="e">
        <v>#REF!</v>
      </c>
    </row>
    <row r="121" spans="1:49" s="166" customFormat="1" ht="18" customHeight="1">
      <c r="A121" s="444"/>
      <c r="B121" s="448"/>
      <c r="C121" s="449" t="str">
        <f>C119</f>
        <v>RFQ-035</v>
      </c>
      <c r="D121" s="449" t="str">
        <f>D119</f>
        <v>Pig Signaller</v>
      </c>
      <c r="E121" s="225"/>
      <c r="F121" s="469" t="str">
        <f>F119</f>
        <v>Instrument</v>
      </c>
      <c r="G121" s="449" t="str">
        <f>G119</f>
        <v>N</v>
      </c>
      <c r="H121" s="456"/>
      <c r="I121" s="212" t="str">
        <f>I119</f>
        <v>LC</v>
      </c>
      <c r="J121" s="249" t="s">
        <v>67</v>
      </c>
      <c r="K121" s="212"/>
      <c r="L121" s="212"/>
      <c r="M121" s="212"/>
      <c r="N121" s="212"/>
      <c r="O121" s="212"/>
      <c r="P121" s="226"/>
      <c r="Q121" s="227"/>
      <c r="R121" s="212"/>
      <c r="S121" s="212"/>
      <c r="T121" s="212"/>
      <c r="U121" s="212"/>
      <c r="V121" s="212"/>
      <c r="W121" s="228"/>
      <c r="X121" s="212"/>
      <c r="Y121" s="476"/>
      <c r="Z121" s="481"/>
      <c r="AA121" s="481"/>
      <c r="AB121" s="485"/>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486"/>
      <c r="AW121" s="223" t="e">
        <v>#REF!</v>
      </c>
    </row>
    <row r="122" spans="1:49" s="166" customFormat="1" ht="18" customHeight="1">
      <c r="A122" s="444">
        <f>A119+1</f>
        <v>36</v>
      </c>
      <c r="B122" s="446"/>
      <c r="C122" s="449" t="s">
        <v>4778</v>
      </c>
      <c r="D122" s="449" t="s">
        <v>173</v>
      </c>
      <c r="E122" s="213"/>
      <c r="F122" s="467" t="s">
        <v>132</v>
      </c>
      <c r="G122" s="449" t="s">
        <v>72</v>
      </c>
      <c r="H122" s="454"/>
      <c r="I122" s="212" t="s">
        <v>8</v>
      </c>
      <c r="J122" s="249" t="s">
        <v>4729</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476">
        <v>154</v>
      </c>
      <c r="Z122" s="481">
        <v>46538</v>
      </c>
      <c r="AA122" s="481">
        <v>46538</v>
      </c>
      <c r="AB122" s="485">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486">
        <v>7</v>
      </c>
      <c r="AW122" s="223" t="e">
        <v>#REF!</v>
      </c>
    </row>
    <row r="123" spans="1:49" s="166" customFormat="1" ht="18" customHeight="1">
      <c r="A123" s="444"/>
      <c r="B123" s="447"/>
      <c r="C123" s="449" t="str">
        <f>C122</f>
        <v>RFQ-036</v>
      </c>
      <c r="D123" s="449" t="str">
        <f>D122</f>
        <v>Rrestriction Orifice</v>
      </c>
      <c r="E123" s="224"/>
      <c r="F123" s="468" t="str">
        <f>F122</f>
        <v>Instrument</v>
      </c>
      <c r="G123" s="449" t="str">
        <f>G122</f>
        <v>N</v>
      </c>
      <c r="H123" s="455"/>
      <c r="I123" s="212" t="str">
        <f>I122</f>
        <v>LC</v>
      </c>
      <c r="J123" s="249" t="s">
        <v>65</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476"/>
      <c r="Z123" s="481"/>
      <c r="AA123" s="481"/>
      <c r="AB123" s="485"/>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486"/>
      <c r="AW123" s="223" t="e">
        <v>#REF!</v>
      </c>
    </row>
    <row r="124" spans="1:49" s="166" customFormat="1" ht="18" customHeight="1">
      <c r="A124" s="444"/>
      <c r="B124" s="448"/>
      <c r="C124" s="449" t="str">
        <f>C122</f>
        <v>RFQ-036</v>
      </c>
      <c r="D124" s="449" t="str">
        <f>D122</f>
        <v>Rrestriction Orifice</v>
      </c>
      <c r="E124" s="225"/>
      <c r="F124" s="469" t="str">
        <f>F122</f>
        <v>Instrument</v>
      </c>
      <c r="G124" s="449" t="str">
        <f>G122</f>
        <v>N</v>
      </c>
      <c r="H124" s="456"/>
      <c r="I124" s="212" t="str">
        <f>I122</f>
        <v>LC</v>
      </c>
      <c r="J124" s="249" t="s">
        <v>67</v>
      </c>
      <c r="K124" s="212"/>
      <c r="L124" s="212"/>
      <c r="M124" s="212"/>
      <c r="N124" s="212"/>
      <c r="O124" s="212"/>
      <c r="P124" s="226"/>
      <c r="Q124" s="227"/>
      <c r="R124" s="212"/>
      <c r="S124" s="212"/>
      <c r="T124" s="212"/>
      <c r="U124" s="212"/>
      <c r="V124" s="212"/>
      <c r="W124" s="228"/>
      <c r="X124" s="212"/>
      <c r="Y124" s="476"/>
      <c r="Z124" s="481"/>
      <c r="AA124" s="481"/>
      <c r="AB124" s="485"/>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486"/>
      <c r="AW124" s="223" t="e">
        <v>#REF!</v>
      </c>
    </row>
    <row r="125" spans="1:49" s="166" customFormat="1" ht="18" customHeight="1">
      <c r="A125" s="444">
        <f>A122+1</f>
        <v>37</v>
      </c>
      <c r="B125" s="446"/>
      <c r="C125" s="449" t="s">
        <v>4779</v>
      </c>
      <c r="D125" s="449" t="s">
        <v>175</v>
      </c>
      <c r="E125" s="213"/>
      <c r="F125" s="467" t="s">
        <v>132</v>
      </c>
      <c r="G125" s="449" t="s">
        <v>72</v>
      </c>
      <c r="H125" s="454"/>
      <c r="I125" s="212" t="s">
        <v>7</v>
      </c>
      <c r="J125" s="249" t="s">
        <v>4729</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476">
        <f>36*7</f>
        <v>252</v>
      </c>
      <c r="Z125" s="481">
        <v>46538</v>
      </c>
      <c r="AA125" s="481">
        <v>46538</v>
      </c>
      <c r="AB125" s="485">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486">
        <v>7</v>
      </c>
      <c r="AW125" s="223" t="e">
        <v>#REF!</v>
      </c>
    </row>
    <row r="126" spans="1:49" s="166" customFormat="1" ht="18" customHeight="1">
      <c r="A126" s="444"/>
      <c r="B126" s="447"/>
      <c r="C126" s="449" t="str">
        <f>C125</f>
        <v>RFQ-037</v>
      </c>
      <c r="D126" s="449" t="str">
        <f>D125</f>
        <v>PLC System</v>
      </c>
      <c r="E126" s="224"/>
      <c r="F126" s="468" t="str">
        <f>F125</f>
        <v>Instrument</v>
      </c>
      <c r="G126" s="449" t="str">
        <f>G125</f>
        <v>N</v>
      </c>
      <c r="H126" s="455"/>
      <c r="I126" s="212" t="str">
        <f>I125</f>
        <v>LB</v>
      </c>
      <c r="J126" s="249" t="s">
        <v>65</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476"/>
      <c r="Z126" s="481"/>
      <c r="AA126" s="481"/>
      <c r="AB126" s="485"/>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486"/>
      <c r="AW126" s="223" t="e">
        <v>#REF!</v>
      </c>
    </row>
    <row r="127" spans="1:49" s="166" customFormat="1" ht="18" customHeight="1">
      <c r="A127" s="444"/>
      <c r="B127" s="448"/>
      <c r="C127" s="449" t="str">
        <f>C125</f>
        <v>RFQ-037</v>
      </c>
      <c r="D127" s="449" t="str">
        <f>D125</f>
        <v>PLC System</v>
      </c>
      <c r="E127" s="225"/>
      <c r="F127" s="469" t="str">
        <f>F125</f>
        <v>Instrument</v>
      </c>
      <c r="G127" s="449" t="str">
        <f>G125</f>
        <v>N</v>
      </c>
      <c r="H127" s="456"/>
      <c r="I127" s="212" t="str">
        <f>I125</f>
        <v>LB</v>
      </c>
      <c r="J127" s="249" t="s">
        <v>67</v>
      </c>
      <c r="K127" s="212"/>
      <c r="L127" s="212"/>
      <c r="M127" s="212"/>
      <c r="N127" s="212"/>
      <c r="O127" s="212"/>
      <c r="P127" s="226"/>
      <c r="Q127" s="227"/>
      <c r="R127" s="212"/>
      <c r="S127" s="212"/>
      <c r="T127" s="212"/>
      <c r="U127" s="212"/>
      <c r="V127" s="212"/>
      <c r="W127" s="228"/>
      <c r="X127" s="212"/>
      <c r="Y127" s="476"/>
      <c r="Z127" s="481"/>
      <c r="AA127" s="481"/>
      <c r="AB127" s="485"/>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486"/>
      <c r="AW127" s="223" t="e">
        <v>#REF!</v>
      </c>
    </row>
    <row r="128" spans="1:49" s="166" customFormat="1" ht="18" customHeight="1">
      <c r="A128" s="444">
        <f>A125+1</f>
        <v>38</v>
      </c>
      <c r="B128" s="446"/>
      <c r="C128" s="449" t="s">
        <v>4780</v>
      </c>
      <c r="D128" s="449" t="s">
        <v>178</v>
      </c>
      <c r="E128" s="213"/>
      <c r="F128" s="467" t="s">
        <v>132</v>
      </c>
      <c r="G128" s="449" t="s">
        <v>72</v>
      </c>
      <c r="H128" s="454"/>
      <c r="I128" s="212" t="s">
        <v>8</v>
      </c>
      <c r="J128" s="249" t="s">
        <v>4729</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476">
        <v>131</v>
      </c>
      <c r="Z128" s="481">
        <v>46538</v>
      </c>
      <c r="AA128" s="481">
        <v>46538</v>
      </c>
      <c r="AB128" s="485">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486">
        <v>7</v>
      </c>
      <c r="AW128" s="223" t="e">
        <v>#REF!</v>
      </c>
    </row>
    <row r="129" spans="1:49" s="166" customFormat="1" ht="18" customHeight="1">
      <c r="A129" s="444"/>
      <c r="B129" s="447"/>
      <c r="C129" s="449" t="str">
        <f>C128</f>
        <v>RFQ-038</v>
      </c>
      <c r="D129" s="449" t="str">
        <f>D128</f>
        <v>Fire and Gas Detector</v>
      </c>
      <c r="E129" s="224"/>
      <c r="F129" s="468" t="str">
        <f>F128</f>
        <v>Instrument</v>
      </c>
      <c r="G129" s="449" t="str">
        <f>G128</f>
        <v>N</v>
      </c>
      <c r="H129" s="455"/>
      <c r="I129" s="212" t="str">
        <f>I128</f>
        <v>LC</v>
      </c>
      <c r="J129" s="249" t="s">
        <v>65</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476"/>
      <c r="Z129" s="481"/>
      <c r="AA129" s="481"/>
      <c r="AB129" s="485"/>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486"/>
      <c r="AW129" s="223" t="e">
        <v>#REF!</v>
      </c>
    </row>
    <row r="130" spans="1:49" s="166" customFormat="1" ht="18" customHeight="1">
      <c r="A130" s="444"/>
      <c r="B130" s="448"/>
      <c r="C130" s="449" t="str">
        <f>C128</f>
        <v>RFQ-038</v>
      </c>
      <c r="D130" s="449" t="str">
        <f>D128</f>
        <v>Fire and Gas Detector</v>
      </c>
      <c r="E130" s="225"/>
      <c r="F130" s="469" t="str">
        <f>F128</f>
        <v>Instrument</v>
      </c>
      <c r="G130" s="449" t="str">
        <f>G128</f>
        <v>N</v>
      </c>
      <c r="H130" s="456"/>
      <c r="I130" s="212" t="str">
        <f>I128</f>
        <v>LC</v>
      </c>
      <c r="J130" s="249" t="s">
        <v>67</v>
      </c>
      <c r="K130" s="212"/>
      <c r="L130" s="212"/>
      <c r="M130" s="212"/>
      <c r="N130" s="212"/>
      <c r="O130" s="212"/>
      <c r="P130" s="226"/>
      <c r="Q130" s="227"/>
      <c r="R130" s="212"/>
      <c r="S130" s="212"/>
      <c r="T130" s="212"/>
      <c r="U130" s="212"/>
      <c r="V130" s="212"/>
      <c r="W130" s="228"/>
      <c r="X130" s="212"/>
      <c r="Y130" s="476"/>
      <c r="Z130" s="481"/>
      <c r="AA130" s="481"/>
      <c r="AB130" s="485"/>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486"/>
      <c r="AW130" s="223" t="e">
        <v>#REF!</v>
      </c>
    </row>
    <row r="131" spans="1:49" s="166" customFormat="1" ht="18" customHeight="1">
      <c r="A131" s="444">
        <f>A128+1</f>
        <v>39</v>
      </c>
      <c r="B131" s="446"/>
      <c r="C131" s="449" t="s">
        <v>4781</v>
      </c>
      <c r="D131" s="449" t="s">
        <v>181</v>
      </c>
      <c r="E131" s="213"/>
      <c r="F131" s="467" t="s">
        <v>132</v>
      </c>
      <c r="G131" s="449" t="s">
        <v>72</v>
      </c>
      <c r="H131" s="454"/>
      <c r="I131" s="212" t="s">
        <v>8</v>
      </c>
      <c r="J131" s="249" t="s">
        <v>4729</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476">
        <f>18*7</f>
        <v>126</v>
      </c>
      <c r="Z131" s="481">
        <v>46538</v>
      </c>
      <c r="AA131" s="481">
        <v>46538</v>
      </c>
      <c r="AB131" s="485">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486">
        <v>7</v>
      </c>
      <c r="AW131" s="223" t="e">
        <v>#REF!</v>
      </c>
    </row>
    <row r="132" spans="1:49" s="166" customFormat="1" ht="18" customHeight="1">
      <c r="A132" s="444"/>
      <c r="B132" s="447"/>
      <c r="C132" s="449" t="str">
        <f>C131</f>
        <v>RFQ-039</v>
      </c>
      <c r="D132" s="449" t="str">
        <f>D131</f>
        <v>Dip Tape Level Indicator</v>
      </c>
      <c r="E132" s="224"/>
      <c r="F132" s="468" t="str">
        <f>F131</f>
        <v>Instrument</v>
      </c>
      <c r="G132" s="449" t="str">
        <f>G131</f>
        <v>N</v>
      </c>
      <c r="H132" s="455"/>
      <c r="I132" s="212" t="str">
        <f>I131</f>
        <v>LC</v>
      </c>
      <c r="J132" s="249" t="s">
        <v>65</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476"/>
      <c r="Z132" s="481"/>
      <c r="AA132" s="481"/>
      <c r="AB132" s="485"/>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486"/>
      <c r="AW132" s="223" t="e">
        <v>#REF!</v>
      </c>
    </row>
    <row r="133" spans="1:49" s="166" customFormat="1" ht="18" customHeight="1">
      <c r="A133" s="444"/>
      <c r="B133" s="448"/>
      <c r="C133" s="449" t="str">
        <f>C131</f>
        <v>RFQ-039</v>
      </c>
      <c r="D133" s="449" t="str">
        <f>D131</f>
        <v>Dip Tape Level Indicator</v>
      </c>
      <c r="E133" s="225"/>
      <c r="F133" s="469" t="str">
        <f>F131</f>
        <v>Instrument</v>
      </c>
      <c r="G133" s="449" t="str">
        <f>G131</f>
        <v>N</v>
      </c>
      <c r="H133" s="456"/>
      <c r="I133" s="212" t="str">
        <f>I131</f>
        <v>LC</v>
      </c>
      <c r="J133" s="249" t="s">
        <v>67</v>
      </c>
      <c r="K133" s="212"/>
      <c r="L133" s="212"/>
      <c r="M133" s="212"/>
      <c r="N133" s="212"/>
      <c r="O133" s="212"/>
      <c r="P133" s="226"/>
      <c r="Q133" s="227"/>
      <c r="R133" s="212"/>
      <c r="S133" s="212"/>
      <c r="T133" s="212"/>
      <c r="U133" s="212"/>
      <c r="V133" s="212"/>
      <c r="W133" s="228"/>
      <c r="X133" s="212"/>
      <c r="Y133" s="476"/>
      <c r="Z133" s="481"/>
      <c r="AA133" s="481"/>
      <c r="AB133" s="485"/>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486"/>
      <c r="AW133" s="223" t="e">
        <v>#REF!</v>
      </c>
    </row>
    <row r="134" spans="1:49" s="166" customFormat="1" ht="18" customHeight="1">
      <c r="A134" s="444">
        <f>A131+1</f>
        <v>40</v>
      </c>
      <c r="B134" s="446"/>
      <c r="C134" s="449" t="s">
        <v>4782</v>
      </c>
      <c r="D134" s="449" t="s">
        <v>184</v>
      </c>
      <c r="E134" s="213"/>
      <c r="F134" s="467" t="s">
        <v>132</v>
      </c>
      <c r="G134" s="449" t="s">
        <v>72</v>
      </c>
      <c r="H134" s="454"/>
      <c r="I134" s="212" t="s">
        <v>8</v>
      </c>
      <c r="J134" s="249" t="s">
        <v>4729</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476">
        <f>18*7</f>
        <v>126</v>
      </c>
      <c r="Z134" s="481">
        <v>46538</v>
      </c>
      <c r="AA134" s="481">
        <v>46538</v>
      </c>
      <c r="AB134" s="485">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486">
        <v>7</v>
      </c>
      <c r="AW134" s="223" t="e">
        <v>#REF!</v>
      </c>
    </row>
    <row r="135" spans="1:49" s="166" customFormat="1" ht="18" customHeight="1">
      <c r="A135" s="444"/>
      <c r="B135" s="447"/>
      <c r="C135" s="449" t="str">
        <f>C134</f>
        <v>RFQ-040</v>
      </c>
      <c r="D135" s="449" t="str">
        <f>D134</f>
        <v>Position Limit Switches</v>
      </c>
      <c r="E135" s="224"/>
      <c r="F135" s="468" t="str">
        <f>F134</f>
        <v>Instrument</v>
      </c>
      <c r="G135" s="449" t="str">
        <f>G134</f>
        <v>N</v>
      </c>
      <c r="H135" s="455"/>
      <c r="I135" s="212" t="str">
        <f>I134</f>
        <v>LC</v>
      </c>
      <c r="J135" s="249" t="s">
        <v>65</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476"/>
      <c r="Z135" s="481"/>
      <c r="AA135" s="481"/>
      <c r="AB135" s="485"/>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486"/>
      <c r="AW135" s="223" t="e">
        <v>#REF!</v>
      </c>
    </row>
    <row r="136" spans="1:49" s="166" customFormat="1" ht="18" customHeight="1">
      <c r="A136" s="444"/>
      <c r="B136" s="448"/>
      <c r="C136" s="449" t="str">
        <f>C134</f>
        <v>RFQ-040</v>
      </c>
      <c r="D136" s="449" t="str">
        <f>D134</f>
        <v>Position Limit Switches</v>
      </c>
      <c r="E136" s="225"/>
      <c r="F136" s="469" t="str">
        <f>F134</f>
        <v>Instrument</v>
      </c>
      <c r="G136" s="449" t="str">
        <f>G134</f>
        <v>N</v>
      </c>
      <c r="H136" s="456"/>
      <c r="I136" s="212" t="str">
        <f>I134</f>
        <v>LC</v>
      </c>
      <c r="J136" s="249" t="s">
        <v>67</v>
      </c>
      <c r="K136" s="212"/>
      <c r="L136" s="212"/>
      <c r="M136" s="212"/>
      <c r="N136" s="212"/>
      <c r="O136" s="212"/>
      <c r="P136" s="226"/>
      <c r="Q136" s="227"/>
      <c r="R136" s="212"/>
      <c r="S136" s="212"/>
      <c r="T136" s="212"/>
      <c r="U136" s="212"/>
      <c r="V136" s="212"/>
      <c r="W136" s="228"/>
      <c r="X136" s="212"/>
      <c r="Y136" s="476"/>
      <c r="Z136" s="481"/>
      <c r="AA136" s="481"/>
      <c r="AB136" s="485"/>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486"/>
      <c r="AW136" s="223" t="e">
        <v>#REF!</v>
      </c>
    </row>
    <row r="137" spans="1:49" s="166" customFormat="1" ht="18" customHeight="1">
      <c r="A137" s="444">
        <f>A134+1</f>
        <v>41</v>
      </c>
      <c r="B137" s="446"/>
      <c r="C137" s="449" t="s">
        <v>4783</v>
      </c>
      <c r="D137" s="449" t="s">
        <v>187</v>
      </c>
      <c r="E137" s="213"/>
      <c r="F137" s="467" t="s">
        <v>132</v>
      </c>
      <c r="G137" s="449" t="s">
        <v>72</v>
      </c>
      <c r="H137" s="454"/>
      <c r="I137" s="212" t="s">
        <v>8</v>
      </c>
      <c r="J137" s="249" t="s">
        <v>4729</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476">
        <f>30*7</f>
        <v>210</v>
      </c>
      <c r="Z137" s="481">
        <v>46538</v>
      </c>
      <c r="AA137" s="481">
        <v>46538</v>
      </c>
      <c r="AB137" s="485">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486">
        <v>7</v>
      </c>
      <c r="AW137" s="223" t="e">
        <v>#REF!</v>
      </c>
    </row>
    <row r="138" spans="1:49" s="166" customFormat="1" ht="18" customHeight="1">
      <c r="A138" s="444"/>
      <c r="B138" s="447"/>
      <c r="C138" s="449" t="str">
        <f>C137</f>
        <v>RFQ-041</v>
      </c>
      <c r="D138" s="449" t="str">
        <f>D137</f>
        <v>Guided Wave Radar Level Transmitter</v>
      </c>
      <c r="E138" s="224"/>
      <c r="F138" s="468" t="str">
        <f>F137</f>
        <v>Instrument</v>
      </c>
      <c r="G138" s="449" t="str">
        <f>G137</f>
        <v>N</v>
      </c>
      <c r="H138" s="455"/>
      <c r="I138" s="212" t="str">
        <f>I137</f>
        <v>LC</v>
      </c>
      <c r="J138" s="249" t="s">
        <v>65</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476"/>
      <c r="Z138" s="481"/>
      <c r="AA138" s="481"/>
      <c r="AB138" s="485"/>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486"/>
      <c r="AW138" s="223" t="e">
        <v>#REF!</v>
      </c>
    </row>
    <row r="139" spans="1:49" s="166" customFormat="1" ht="18" customHeight="1">
      <c r="A139" s="444"/>
      <c r="B139" s="448"/>
      <c r="C139" s="449" t="str">
        <f>C137</f>
        <v>RFQ-041</v>
      </c>
      <c r="D139" s="449" t="str">
        <f>D137</f>
        <v>Guided Wave Radar Level Transmitter</v>
      </c>
      <c r="E139" s="225"/>
      <c r="F139" s="469" t="str">
        <f>F137</f>
        <v>Instrument</v>
      </c>
      <c r="G139" s="449" t="str">
        <f>G137</f>
        <v>N</v>
      </c>
      <c r="H139" s="456"/>
      <c r="I139" s="212" t="str">
        <f>I137</f>
        <v>LC</v>
      </c>
      <c r="J139" s="249" t="s">
        <v>67</v>
      </c>
      <c r="K139" s="212"/>
      <c r="L139" s="212"/>
      <c r="M139" s="212"/>
      <c r="N139" s="212"/>
      <c r="O139" s="212"/>
      <c r="P139" s="226"/>
      <c r="Q139" s="227"/>
      <c r="R139" s="212"/>
      <c r="S139" s="212"/>
      <c r="T139" s="212"/>
      <c r="U139" s="212"/>
      <c r="V139" s="212"/>
      <c r="W139" s="228"/>
      <c r="X139" s="212"/>
      <c r="Y139" s="476"/>
      <c r="Z139" s="481"/>
      <c r="AA139" s="481"/>
      <c r="AB139" s="485"/>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486"/>
      <c r="AW139" s="223" t="e">
        <v>#REF!</v>
      </c>
    </row>
    <row r="140" spans="1:49" s="166" customFormat="1" ht="18" customHeight="1">
      <c r="A140" s="444">
        <f>A137+1</f>
        <v>42</v>
      </c>
      <c r="B140" s="446"/>
      <c r="C140" s="449" t="s">
        <v>4784</v>
      </c>
      <c r="D140" s="449" t="s">
        <v>4785</v>
      </c>
      <c r="E140" s="213"/>
      <c r="F140" s="467" t="s">
        <v>132</v>
      </c>
      <c r="G140" s="449" t="s">
        <v>72</v>
      </c>
      <c r="H140" s="454"/>
      <c r="I140" s="212" t="s">
        <v>8</v>
      </c>
      <c r="J140" s="249" t="s">
        <v>4729</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476">
        <f>24*7</f>
        <v>168</v>
      </c>
      <c r="Z140" s="481">
        <v>46538</v>
      </c>
      <c r="AA140" s="481">
        <v>46538</v>
      </c>
      <c r="AB140" s="485">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486">
        <v>7</v>
      </c>
      <c r="AW140" s="223" t="e">
        <v>#REF!</v>
      </c>
    </row>
    <row r="141" spans="1:49" s="166" customFormat="1" ht="18" customHeight="1">
      <c r="A141" s="444"/>
      <c r="B141" s="447"/>
      <c r="C141" s="449" t="str">
        <f>C140</f>
        <v>RFQ-042</v>
      </c>
      <c r="D141" s="449" t="str">
        <f>D140</f>
        <v>Oil in Water Analyzer</v>
      </c>
      <c r="E141" s="224"/>
      <c r="F141" s="468" t="str">
        <f>F140</f>
        <v>Instrument</v>
      </c>
      <c r="G141" s="449" t="str">
        <f>G140</f>
        <v>N</v>
      </c>
      <c r="H141" s="455"/>
      <c r="I141" s="212" t="str">
        <f>I140</f>
        <v>LC</v>
      </c>
      <c r="J141" s="249" t="s">
        <v>65</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476"/>
      <c r="Z141" s="481"/>
      <c r="AA141" s="481"/>
      <c r="AB141" s="485"/>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486"/>
      <c r="AW141" s="223" t="e">
        <v>#REF!</v>
      </c>
    </row>
    <row r="142" spans="1:49" s="166" customFormat="1" ht="18" customHeight="1">
      <c r="A142" s="444"/>
      <c r="B142" s="448"/>
      <c r="C142" s="449" t="str">
        <f>C140</f>
        <v>RFQ-042</v>
      </c>
      <c r="D142" s="449" t="str">
        <f>D140</f>
        <v>Oil in Water Analyzer</v>
      </c>
      <c r="E142" s="225"/>
      <c r="F142" s="469" t="str">
        <f>F140</f>
        <v>Instrument</v>
      </c>
      <c r="G142" s="449" t="str">
        <f>G140</f>
        <v>N</v>
      </c>
      <c r="H142" s="456"/>
      <c r="I142" s="212" t="str">
        <f>I140</f>
        <v>LC</v>
      </c>
      <c r="J142" s="249" t="s">
        <v>67</v>
      </c>
      <c r="K142" s="212"/>
      <c r="L142" s="212"/>
      <c r="M142" s="212"/>
      <c r="N142" s="212"/>
      <c r="O142" s="212"/>
      <c r="P142" s="226"/>
      <c r="Q142" s="227"/>
      <c r="R142" s="212"/>
      <c r="S142" s="212"/>
      <c r="T142" s="212"/>
      <c r="U142" s="212"/>
      <c r="V142" s="212"/>
      <c r="W142" s="228"/>
      <c r="X142" s="212"/>
      <c r="Y142" s="476"/>
      <c r="Z142" s="481"/>
      <c r="AA142" s="481"/>
      <c r="AB142" s="485"/>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486"/>
      <c r="AW142" s="223" t="e">
        <v>#REF!</v>
      </c>
    </row>
    <row r="143" spans="1:49" s="166" customFormat="1" ht="18" customHeight="1">
      <c r="A143" s="444">
        <f>A140+1</f>
        <v>43</v>
      </c>
      <c r="B143" s="446"/>
      <c r="C143" s="449" t="s">
        <v>4786</v>
      </c>
      <c r="D143" s="449" t="s">
        <v>192</v>
      </c>
      <c r="E143" s="213"/>
      <c r="F143" s="467" t="s">
        <v>132</v>
      </c>
      <c r="G143" s="449" t="s">
        <v>72</v>
      </c>
      <c r="H143" s="454"/>
      <c r="I143" s="212" t="s">
        <v>8</v>
      </c>
      <c r="J143" s="249" t="s">
        <v>4729</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476">
        <v>60</v>
      </c>
      <c r="Z143" s="481">
        <v>46538</v>
      </c>
      <c r="AA143" s="481">
        <v>46538</v>
      </c>
      <c r="AB143" s="485">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486">
        <v>7</v>
      </c>
      <c r="AW143" s="223" t="e">
        <v>#REF!</v>
      </c>
    </row>
    <row r="144" spans="1:49" s="166" customFormat="1" ht="18" customHeight="1">
      <c r="A144" s="444"/>
      <c r="B144" s="447"/>
      <c r="C144" s="449" t="str">
        <f>C143</f>
        <v>RFQ-043</v>
      </c>
      <c r="D144" s="449" t="str">
        <f>D143</f>
        <v>Level Switch</v>
      </c>
      <c r="E144" s="224"/>
      <c r="F144" s="468" t="str">
        <f>F143</f>
        <v>Instrument</v>
      </c>
      <c r="G144" s="449" t="str">
        <f>G143</f>
        <v>N</v>
      </c>
      <c r="H144" s="455"/>
      <c r="I144" s="212" t="str">
        <f>I143</f>
        <v>LC</v>
      </c>
      <c r="J144" s="249" t="s">
        <v>65</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476"/>
      <c r="Z144" s="481"/>
      <c r="AA144" s="481"/>
      <c r="AB144" s="485"/>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486"/>
      <c r="AW144" s="223" t="e">
        <v>#REF!</v>
      </c>
    </row>
    <row r="145" spans="1:49" s="166" customFormat="1" ht="18" customHeight="1">
      <c r="A145" s="444"/>
      <c r="B145" s="448"/>
      <c r="C145" s="449" t="str">
        <f>C143</f>
        <v>RFQ-043</v>
      </c>
      <c r="D145" s="449" t="str">
        <f>D143</f>
        <v>Level Switch</v>
      </c>
      <c r="E145" s="225"/>
      <c r="F145" s="469" t="str">
        <f>F143</f>
        <v>Instrument</v>
      </c>
      <c r="G145" s="449" t="str">
        <f>G143</f>
        <v>N</v>
      </c>
      <c r="H145" s="456"/>
      <c r="I145" s="212" t="str">
        <f>I143</f>
        <v>LC</v>
      </c>
      <c r="J145" s="249" t="s">
        <v>67</v>
      </c>
      <c r="K145" s="212"/>
      <c r="L145" s="212"/>
      <c r="M145" s="212"/>
      <c r="N145" s="212"/>
      <c r="O145" s="212"/>
      <c r="P145" s="226"/>
      <c r="Q145" s="227"/>
      <c r="R145" s="212"/>
      <c r="S145" s="212"/>
      <c r="T145" s="212"/>
      <c r="U145" s="212"/>
      <c r="V145" s="212"/>
      <c r="W145" s="228"/>
      <c r="X145" s="212"/>
      <c r="Y145" s="476"/>
      <c r="Z145" s="481"/>
      <c r="AA145" s="481"/>
      <c r="AB145" s="485"/>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486"/>
      <c r="AW145" s="223" t="e">
        <v>#REF!</v>
      </c>
    </row>
    <row r="146" spans="1:49" s="166" customFormat="1" ht="18" customHeight="1">
      <c r="A146" s="444">
        <f>A143+1</f>
        <v>44</v>
      </c>
      <c r="B146" s="446"/>
      <c r="C146" s="449" t="s">
        <v>4787</v>
      </c>
      <c r="D146" s="449" t="s">
        <v>195</v>
      </c>
      <c r="E146" s="213"/>
      <c r="F146" s="467" t="s">
        <v>132</v>
      </c>
      <c r="G146" s="449" t="s">
        <v>72</v>
      </c>
      <c r="H146" s="454"/>
      <c r="I146" s="212" t="s">
        <v>8</v>
      </c>
      <c r="J146" s="249" t="s">
        <v>4729</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476">
        <v>60</v>
      </c>
      <c r="Z146" s="481">
        <v>46538</v>
      </c>
      <c r="AA146" s="481">
        <v>46538</v>
      </c>
      <c r="AB146" s="485">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486">
        <v>7</v>
      </c>
      <c r="AW146" s="223" t="e">
        <v>#REF!</v>
      </c>
    </row>
    <row r="147" spans="1:49" s="166" customFormat="1" ht="18" customHeight="1">
      <c r="A147" s="444"/>
      <c r="B147" s="447"/>
      <c r="C147" s="449" t="str">
        <f>C146</f>
        <v>RFQ-044</v>
      </c>
      <c r="D147" s="449" t="str">
        <f>D146</f>
        <v>Flow Switch</v>
      </c>
      <c r="E147" s="224"/>
      <c r="F147" s="468" t="str">
        <f>F146</f>
        <v>Instrument</v>
      </c>
      <c r="G147" s="449" t="str">
        <f>G146</f>
        <v>N</v>
      </c>
      <c r="H147" s="455"/>
      <c r="I147" s="212" t="str">
        <f>I146</f>
        <v>LC</v>
      </c>
      <c r="J147" s="249" t="s">
        <v>65</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476"/>
      <c r="Z147" s="481"/>
      <c r="AA147" s="481"/>
      <c r="AB147" s="485"/>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486"/>
      <c r="AW147" s="223" t="e">
        <v>#REF!</v>
      </c>
    </row>
    <row r="148" spans="1:49" s="166" customFormat="1" ht="18" customHeight="1">
      <c r="A148" s="444"/>
      <c r="B148" s="448"/>
      <c r="C148" s="449" t="str">
        <f>C146</f>
        <v>RFQ-044</v>
      </c>
      <c r="D148" s="449" t="str">
        <f>D146</f>
        <v>Flow Switch</v>
      </c>
      <c r="E148" s="225"/>
      <c r="F148" s="469" t="str">
        <f>F146</f>
        <v>Instrument</v>
      </c>
      <c r="G148" s="449" t="str">
        <f>G146</f>
        <v>N</v>
      </c>
      <c r="H148" s="456"/>
      <c r="I148" s="212" t="str">
        <f>I146</f>
        <v>LC</v>
      </c>
      <c r="J148" s="249" t="s">
        <v>67</v>
      </c>
      <c r="K148" s="212"/>
      <c r="L148" s="212"/>
      <c r="M148" s="212"/>
      <c r="N148" s="212"/>
      <c r="O148" s="212"/>
      <c r="P148" s="226"/>
      <c r="Q148" s="227"/>
      <c r="R148" s="212"/>
      <c r="S148" s="212"/>
      <c r="T148" s="212"/>
      <c r="U148" s="212"/>
      <c r="V148" s="212"/>
      <c r="W148" s="228"/>
      <c r="X148" s="212"/>
      <c r="Y148" s="476"/>
      <c r="Z148" s="481"/>
      <c r="AA148" s="481"/>
      <c r="AB148" s="485"/>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486"/>
      <c r="AW148" s="223" t="e">
        <v>#REF!</v>
      </c>
    </row>
    <row r="149" spans="1:49" s="166" customFormat="1" ht="18" customHeight="1">
      <c r="A149" s="444">
        <f>A146+1</f>
        <v>45</v>
      </c>
      <c r="B149" s="446"/>
      <c r="C149" s="449" t="s">
        <v>4788</v>
      </c>
      <c r="D149" s="449" t="s">
        <v>197</v>
      </c>
      <c r="E149" s="213"/>
      <c r="F149" s="467" t="s">
        <v>119</v>
      </c>
      <c r="G149" s="449" t="s">
        <v>72</v>
      </c>
      <c r="H149" s="454"/>
      <c r="I149" s="212" t="s">
        <v>7</v>
      </c>
      <c r="J149" s="249" t="s">
        <v>4729</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476">
        <f>36*7</f>
        <v>252</v>
      </c>
      <c r="Z149" s="481">
        <v>46538</v>
      </c>
      <c r="AA149" s="481">
        <v>46538</v>
      </c>
      <c r="AB149" s="485">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486">
        <v>7</v>
      </c>
      <c r="AW149" s="223" t="e">
        <v>#REF!</v>
      </c>
    </row>
    <row r="150" spans="1:49" s="166" customFormat="1" ht="18" customHeight="1">
      <c r="A150" s="444"/>
      <c r="B150" s="447"/>
      <c r="C150" s="449" t="str">
        <f>C149</f>
        <v>RFQ-045</v>
      </c>
      <c r="D150" s="449" t="str">
        <f>D149</f>
        <v>SCADA System</v>
      </c>
      <c r="E150" s="224"/>
      <c r="F150" s="468" t="str">
        <f>F149</f>
        <v>Electrical</v>
      </c>
      <c r="G150" s="449" t="str">
        <f>G149</f>
        <v>N</v>
      </c>
      <c r="H150" s="455"/>
      <c r="I150" s="212" t="str">
        <f>I149</f>
        <v>LB</v>
      </c>
      <c r="J150" s="249" t="s">
        <v>65</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476"/>
      <c r="Z150" s="481"/>
      <c r="AA150" s="481"/>
      <c r="AB150" s="485"/>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486"/>
      <c r="AW150" s="223" t="e">
        <v>#REF!</v>
      </c>
    </row>
    <row r="151" spans="1:49" s="166" customFormat="1" ht="18" customHeight="1">
      <c r="A151" s="444"/>
      <c r="B151" s="448"/>
      <c r="C151" s="449" t="str">
        <f>C149</f>
        <v>RFQ-045</v>
      </c>
      <c r="D151" s="449" t="str">
        <f>D149</f>
        <v>SCADA System</v>
      </c>
      <c r="E151" s="225"/>
      <c r="F151" s="469" t="str">
        <f>F149</f>
        <v>Electrical</v>
      </c>
      <c r="G151" s="449" t="str">
        <f>G149</f>
        <v>N</v>
      </c>
      <c r="H151" s="456"/>
      <c r="I151" s="212" t="str">
        <f>I149</f>
        <v>LB</v>
      </c>
      <c r="J151" s="249" t="s">
        <v>67</v>
      </c>
      <c r="K151" s="212"/>
      <c r="L151" s="212"/>
      <c r="M151" s="212"/>
      <c r="N151" s="212"/>
      <c r="O151" s="212"/>
      <c r="P151" s="226"/>
      <c r="Q151" s="227"/>
      <c r="R151" s="212"/>
      <c r="S151" s="212"/>
      <c r="T151" s="212"/>
      <c r="U151" s="212"/>
      <c r="V151" s="212"/>
      <c r="W151" s="228"/>
      <c r="X151" s="212"/>
      <c r="Y151" s="476"/>
      <c r="Z151" s="481"/>
      <c r="AA151" s="481"/>
      <c r="AB151" s="485"/>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486"/>
      <c r="AW151" s="223" t="e">
        <v>#REF!</v>
      </c>
    </row>
    <row r="152" spans="1:49" s="166" customFormat="1" ht="18" customHeight="1">
      <c r="A152" s="444">
        <f>A149+1</f>
        <v>46</v>
      </c>
      <c r="B152" s="446"/>
      <c r="C152" s="449" t="s">
        <v>4789</v>
      </c>
      <c r="D152" s="449" t="s">
        <v>4790</v>
      </c>
      <c r="E152" s="213"/>
      <c r="F152" s="467" t="s">
        <v>201</v>
      </c>
      <c r="G152" s="449" t="s">
        <v>64</v>
      </c>
      <c r="H152" s="454"/>
      <c r="I152" s="212" t="s">
        <v>8</v>
      </c>
      <c r="J152" s="249" t="s">
        <v>4729</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476">
        <v>294</v>
      </c>
      <c r="Z152" s="481">
        <v>46538</v>
      </c>
      <c r="AA152" s="481">
        <v>46538</v>
      </c>
      <c r="AB152" s="485">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486">
        <v>7</v>
      </c>
      <c r="AW152" s="223" t="e">
        <v>#REF!</v>
      </c>
    </row>
    <row r="153" spans="1:49" s="166" customFormat="1" ht="18" customHeight="1">
      <c r="A153" s="444"/>
      <c r="B153" s="447"/>
      <c r="C153" s="449" t="str">
        <f>C152</f>
        <v>RFQ-046</v>
      </c>
      <c r="D153" s="449" t="str">
        <f>D152</f>
        <v>Telecommunication System (WiMAX, Telephone, Marine Radio)</v>
      </c>
      <c r="E153" s="224"/>
      <c r="F153" s="468" t="str">
        <f>F152</f>
        <v>Telecommunication</v>
      </c>
      <c r="G153" s="449" t="str">
        <f>G152</f>
        <v>Y</v>
      </c>
      <c r="H153" s="455"/>
      <c r="I153" s="212" t="str">
        <f>I152</f>
        <v>LC</v>
      </c>
      <c r="J153" s="249" t="s">
        <v>65</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476"/>
      <c r="Z153" s="481"/>
      <c r="AA153" s="481"/>
      <c r="AB153" s="485"/>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486"/>
      <c r="AW153" s="223" t="e">
        <v>#REF!</v>
      </c>
    </row>
    <row r="154" spans="1:49" s="166" customFormat="1" ht="18" customHeight="1">
      <c r="A154" s="444"/>
      <c r="B154" s="448"/>
      <c r="C154" s="449" t="str">
        <f>C152</f>
        <v>RFQ-046</v>
      </c>
      <c r="D154" s="449" t="str">
        <f>D152</f>
        <v>Telecommunication System (WiMAX, Telephone, Marine Radio)</v>
      </c>
      <c r="E154" s="225"/>
      <c r="F154" s="469" t="str">
        <f>F152</f>
        <v>Telecommunication</v>
      </c>
      <c r="G154" s="449" t="str">
        <f>G152</f>
        <v>Y</v>
      </c>
      <c r="H154" s="456"/>
      <c r="I154" s="212" t="str">
        <f>I152</f>
        <v>LC</v>
      </c>
      <c r="J154" s="249" t="s">
        <v>67</v>
      </c>
      <c r="K154" s="212"/>
      <c r="L154" s="212"/>
      <c r="M154" s="212"/>
      <c r="N154" s="212"/>
      <c r="O154" s="212"/>
      <c r="P154" s="226"/>
      <c r="Q154" s="227"/>
      <c r="R154" s="212"/>
      <c r="S154" s="212"/>
      <c r="T154" s="212"/>
      <c r="U154" s="212"/>
      <c r="V154" s="212"/>
      <c r="W154" s="228"/>
      <c r="X154" s="212"/>
      <c r="Y154" s="476"/>
      <c r="Z154" s="481"/>
      <c r="AA154" s="481"/>
      <c r="AB154" s="485"/>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486"/>
      <c r="AW154" s="223" t="e">
        <v>#REF!</v>
      </c>
    </row>
    <row r="155" spans="1:49" s="166" customFormat="1" ht="18" customHeight="1">
      <c r="A155" s="444">
        <f>A152+1</f>
        <v>47</v>
      </c>
      <c r="B155" s="446"/>
      <c r="C155" s="449" t="s">
        <v>4791</v>
      </c>
      <c r="D155" s="449" t="s">
        <v>4792</v>
      </c>
      <c r="E155" s="213"/>
      <c r="F155" s="467" t="s">
        <v>201</v>
      </c>
      <c r="G155" s="449" t="s">
        <v>72</v>
      </c>
      <c r="H155" s="454"/>
      <c r="I155" s="212" t="s">
        <v>8</v>
      </c>
      <c r="J155" s="249" t="s">
        <v>4729</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476">
        <f>16*7</f>
        <v>112</v>
      </c>
      <c r="Z155" s="481">
        <v>46477</v>
      </c>
      <c r="AA155" s="481">
        <v>46477</v>
      </c>
      <c r="AB155" s="485">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486">
        <v>7</v>
      </c>
      <c r="AW155" s="223" t="e">
        <v>#REF!</v>
      </c>
    </row>
    <row r="156" spans="1:49" s="166" customFormat="1" ht="18" customHeight="1">
      <c r="A156" s="444"/>
      <c r="B156" s="447"/>
      <c r="C156" s="449" t="str">
        <f>C155</f>
        <v>RFQ-047</v>
      </c>
      <c r="D156" s="449" t="s">
        <v>4792</v>
      </c>
      <c r="E156" s="224"/>
      <c r="F156" s="468" t="str">
        <f>F155</f>
        <v>Telecommunication</v>
      </c>
      <c r="G156" s="449" t="str">
        <f>G155</f>
        <v>N</v>
      </c>
      <c r="H156" s="455"/>
      <c r="I156" s="212" t="str">
        <f>I155</f>
        <v>LC</v>
      </c>
      <c r="J156" s="249" t="s">
        <v>65</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476"/>
      <c r="Z156" s="481"/>
      <c r="AA156" s="481"/>
      <c r="AB156" s="485"/>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486"/>
      <c r="AW156" s="223" t="e">
        <v>#REF!</v>
      </c>
    </row>
    <row r="157" spans="1:49" s="166" customFormat="1" ht="18" customHeight="1">
      <c r="A157" s="444"/>
      <c r="B157" s="448"/>
      <c r="C157" s="449" t="str">
        <f>C155</f>
        <v>RFQ-047</v>
      </c>
      <c r="D157" s="449" t="str">
        <f>D155</f>
        <v>Marine Racon</v>
      </c>
      <c r="E157" s="225"/>
      <c r="F157" s="469" t="str">
        <f>F155</f>
        <v>Telecommunication</v>
      </c>
      <c r="G157" s="449" t="str">
        <f>G155</f>
        <v>N</v>
      </c>
      <c r="H157" s="456"/>
      <c r="I157" s="212" t="str">
        <f>I155</f>
        <v>LC</v>
      </c>
      <c r="J157" s="249" t="s">
        <v>67</v>
      </c>
      <c r="K157" s="212"/>
      <c r="L157" s="212"/>
      <c r="M157" s="212"/>
      <c r="N157" s="212"/>
      <c r="O157" s="212"/>
      <c r="P157" s="226"/>
      <c r="Q157" s="227"/>
      <c r="R157" s="212"/>
      <c r="S157" s="212"/>
      <c r="T157" s="212"/>
      <c r="U157" s="212"/>
      <c r="V157" s="212"/>
      <c r="W157" s="228"/>
      <c r="X157" s="212"/>
      <c r="Y157" s="476"/>
      <c r="Z157" s="481"/>
      <c r="AA157" s="481"/>
      <c r="AB157" s="485"/>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486"/>
      <c r="AW157" s="223" t="e">
        <v>#REF!</v>
      </c>
    </row>
    <row r="158" spans="1:49" s="166" customFormat="1" ht="18" customHeight="1">
      <c r="A158" s="444">
        <f>A155+1</f>
        <v>48</v>
      </c>
      <c r="B158" s="446"/>
      <c r="C158" s="449" t="s">
        <v>4793</v>
      </c>
      <c r="D158" s="449" t="s">
        <v>207</v>
      </c>
      <c r="E158" s="212"/>
      <c r="F158" s="449" t="s">
        <v>83</v>
      </c>
      <c r="G158" s="449" t="s">
        <v>72</v>
      </c>
      <c r="H158" s="454"/>
      <c r="I158" s="212" t="s">
        <v>8</v>
      </c>
      <c r="J158" s="249" t="s">
        <v>4729</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476">
        <v>183</v>
      </c>
      <c r="Z158" s="481">
        <v>46447</v>
      </c>
      <c r="AA158" s="481">
        <v>46538</v>
      </c>
      <c r="AB158" s="485">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486">
        <v>7</v>
      </c>
      <c r="AW158" s="223" t="e">
        <v>#REF!</v>
      </c>
    </row>
    <row r="159" spans="1:49" s="166" customFormat="1" ht="18" customHeight="1">
      <c r="A159" s="444"/>
      <c r="B159" s="447"/>
      <c r="C159" s="449" t="str">
        <f>C158</f>
        <v>RFQ-048</v>
      </c>
      <c r="D159" s="449" t="str">
        <f>D158</f>
        <v>BALL VALVE (FLANGE END)</v>
      </c>
      <c r="E159" s="212"/>
      <c r="F159" s="449" t="str">
        <f>F158</f>
        <v>Piping</v>
      </c>
      <c r="G159" s="449" t="str">
        <f>G158</f>
        <v>N</v>
      </c>
      <c r="H159" s="455"/>
      <c r="I159" s="212" t="str">
        <f>I158</f>
        <v>LC</v>
      </c>
      <c r="J159" s="249" t="s">
        <v>65</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476"/>
      <c r="Z159" s="481"/>
      <c r="AA159" s="481"/>
      <c r="AB159" s="485"/>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486"/>
      <c r="AW159" s="223" t="e">
        <v>#REF!</v>
      </c>
    </row>
    <row r="160" spans="1:49" s="166" customFormat="1" ht="18" customHeight="1">
      <c r="A160" s="444"/>
      <c r="B160" s="448"/>
      <c r="C160" s="449" t="str">
        <f>C158</f>
        <v>RFQ-048</v>
      </c>
      <c r="D160" s="449" t="str">
        <f>D158</f>
        <v>BALL VALVE (FLANGE END)</v>
      </c>
      <c r="E160" s="212"/>
      <c r="F160" s="449" t="str">
        <f>F158</f>
        <v>Piping</v>
      </c>
      <c r="G160" s="449" t="str">
        <f>G158</f>
        <v>N</v>
      </c>
      <c r="H160" s="456"/>
      <c r="I160" s="212" t="str">
        <f>I158</f>
        <v>LC</v>
      </c>
      <c r="J160" s="249" t="s">
        <v>67</v>
      </c>
      <c r="K160" s="212"/>
      <c r="L160" s="212"/>
      <c r="M160" s="212"/>
      <c r="N160" s="212"/>
      <c r="O160" s="212"/>
      <c r="P160" s="226"/>
      <c r="Q160" s="227"/>
      <c r="R160" s="212"/>
      <c r="S160" s="212"/>
      <c r="T160" s="212"/>
      <c r="U160" s="212"/>
      <c r="V160" s="212"/>
      <c r="W160" s="228"/>
      <c r="X160" s="212"/>
      <c r="Y160" s="476"/>
      <c r="Z160" s="481"/>
      <c r="AA160" s="481"/>
      <c r="AB160" s="485"/>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486"/>
      <c r="AW160" s="223" t="e">
        <v>#REF!</v>
      </c>
    </row>
    <row r="161" spans="1:49" s="166" customFormat="1" ht="18" customHeight="1">
      <c r="A161" s="444">
        <f>A158+1</f>
        <v>49</v>
      </c>
      <c r="B161" s="446"/>
      <c r="C161" s="449" t="s">
        <v>4794</v>
      </c>
      <c r="D161" s="449" t="s">
        <v>214</v>
      </c>
      <c r="E161" s="212"/>
      <c r="F161" s="449" t="s">
        <v>83</v>
      </c>
      <c r="G161" s="449" t="s">
        <v>72</v>
      </c>
      <c r="H161" s="454"/>
      <c r="I161" s="212" t="s">
        <v>7</v>
      </c>
      <c r="J161" s="249" t="s">
        <v>4729</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476">
        <v>183</v>
      </c>
      <c r="Z161" s="481">
        <v>46447</v>
      </c>
      <c r="AA161" s="481">
        <v>46538</v>
      </c>
      <c r="AB161" s="485">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486">
        <v>7</v>
      </c>
      <c r="AW161" s="223" t="e">
        <v>#REF!</v>
      </c>
    </row>
    <row r="162" spans="1:49" s="166" customFormat="1" ht="18" customHeight="1">
      <c r="A162" s="444"/>
      <c r="B162" s="447"/>
      <c r="C162" s="449" t="str">
        <f>C161</f>
        <v>RFQ-049</v>
      </c>
      <c r="D162" s="449" t="str">
        <f>D161</f>
        <v>GLOBE VALVE (FLANGE END)</v>
      </c>
      <c r="E162" s="212"/>
      <c r="F162" s="449" t="str">
        <f>F161</f>
        <v>Piping</v>
      </c>
      <c r="G162" s="449" t="str">
        <f>G161</f>
        <v>N</v>
      </c>
      <c r="H162" s="455"/>
      <c r="I162" s="212" t="str">
        <f>I161</f>
        <v>LB</v>
      </c>
      <c r="J162" s="249" t="s">
        <v>65</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476"/>
      <c r="Z162" s="481"/>
      <c r="AA162" s="481"/>
      <c r="AB162" s="485"/>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486"/>
      <c r="AW162" s="223" t="e">
        <v>#REF!</v>
      </c>
    </row>
    <row r="163" spans="1:49" s="166" customFormat="1" ht="18" customHeight="1">
      <c r="A163" s="444"/>
      <c r="B163" s="448"/>
      <c r="C163" s="449" t="str">
        <f>C161</f>
        <v>RFQ-049</v>
      </c>
      <c r="D163" s="449" t="str">
        <f>D161</f>
        <v>GLOBE VALVE (FLANGE END)</v>
      </c>
      <c r="E163" s="212"/>
      <c r="F163" s="449" t="str">
        <f>F161</f>
        <v>Piping</v>
      </c>
      <c r="G163" s="449" t="str">
        <f>G161</f>
        <v>N</v>
      </c>
      <c r="H163" s="456"/>
      <c r="I163" s="212" t="str">
        <f>I161</f>
        <v>LB</v>
      </c>
      <c r="J163" s="249" t="s">
        <v>67</v>
      </c>
      <c r="K163" s="212"/>
      <c r="L163" s="212"/>
      <c r="M163" s="212"/>
      <c r="N163" s="212"/>
      <c r="O163" s="212"/>
      <c r="P163" s="226"/>
      <c r="Q163" s="227"/>
      <c r="R163" s="212"/>
      <c r="S163" s="212"/>
      <c r="T163" s="212"/>
      <c r="U163" s="212"/>
      <c r="V163" s="212"/>
      <c r="W163" s="228"/>
      <c r="X163" s="212"/>
      <c r="Y163" s="476"/>
      <c r="Z163" s="481"/>
      <c r="AA163" s="481"/>
      <c r="AB163" s="485"/>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486"/>
      <c r="AW163" s="223" t="e">
        <v>#REF!</v>
      </c>
    </row>
    <row r="164" spans="1:49" s="166" customFormat="1" ht="18" customHeight="1">
      <c r="A164" s="444">
        <f>A161+1</f>
        <v>50</v>
      </c>
      <c r="B164" s="446"/>
      <c r="C164" s="449" t="s">
        <v>4795</v>
      </c>
      <c r="D164" s="449" t="s">
        <v>216</v>
      </c>
      <c r="E164" s="212"/>
      <c r="F164" s="449" t="s">
        <v>83</v>
      </c>
      <c r="G164" s="449" t="s">
        <v>72</v>
      </c>
      <c r="H164" s="454"/>
      <c r="I164" s="212" t="s">
        <v>7</v>
      </c>
      <c r="J164" s="249" t="s">
        <v>4729</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476">
        <v>183</v>
      </c>
      <c r="Z164" s="481">
        <v>46447</v>
      </c>
      <c r="AA164" s="481">
        <v>46538</v>
      </c>
      <c r="AB164" s="485">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486">
        <v>7</v>
      </c>
      <c r="AW164" s="223" t="e">
        <v>#REF!</v>
      </c>
    </row>
    <row r="165" spans="1:49" s="166" customFormat="1" ht="18" customHeight="1">
      <c r="A165" s="444"/>
      <c r="B165" s="447"/>
      <c r="C165" s="449" t="str">
        <f>C164</f>
        <v>RFQ-050</v>
      </c>
      <c r="D165" s="449" t="str">
        <f>D164</f>
        <v>GLOBE VALVE (WELDED END)</v>
      </c>
      <c r="E165" s="212"/>
      <c r="F165" s="449" t="str">
        <f>F164</f>
        <v>Piping</v>
      </c>
      <c r="G165" s="449" t="str">
        <f>G164</f>
        <v>N</v>
      </c>
      <c r="H165" s="455"/>
      <c r="I165" s="212" t="str">
        <f>I164</f>
        <v>LB</v>
      </c>
      <c r="J165" s="249" t="s">
        <v>65</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476"/>
      <c r="Z165" s="481"/>
      <c r="AA165" s="481"/>
      <c r="AB165" s="485"/>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486"/>
      <c r="AW165" s="223" t="e">
        <v>#REF!</v>
      </c>
    </row>
    <row r="166" spans="1:49" s="166" customFormat="1" ht="18" customHeight="1">
      <c r="A166" s="444"/>
      <c r="B166" s="448"/>
      <c r="C166" s="449" t="str">
        <f>C164</f>
        <v>RFQ-050</v>
      </c>
      <c r="D166" s="449" t="str">
        <f>D164</f>
        <v>GLOBE VALVE (WELDED END)</v>
      </c>
      <c r="E166" s="212"/>
      <c r="F166" s="449" t="str">
        <f>F164</f>
        <v>Piping</v>
      </c>
      <c r="G166" s="449" t="str">
        <f>G164</f>
        <v>N</v>
      </c>
      <c r="H166" s="456"/>
      <c r="I166" s="212" t="str">
        <f>I164</f>
        <v>LB</v>
      </c>
      <c r="J166" s="249" t="s">
        <v>67</v>
      </c>
      <c r="K166" s="212"/>
      <c r="L166" s="212"/>
      <c r="M166" s="212"/>
      <c r="N166" s="212"/>
      <c r="O166" s="212"/>
      <c r="P166" s="226"/>
      <c r="Q166" s="227"/>
      <c r="R166" s="212"/>
      <c r="S166" s="212"/>
      <c r="T166" s="212"/>
      <c r="U166" s="212"/>
      <c r="V166" s="212"/>
      <c r="W166" s="228"/>
      <c r="X166" s="212"/>
      <c r="Y166" s="476"/>
      <c r="Z166" s="481"/>
      <c r="AA166" s="481"/>
      <c r="AB166" s="485"/>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486"/>
      <c r="AW166" s="223" t="e">
        <v>#REF!</v>
      </c>
    </row>
    <row r="167" spans="1:49" s="166" customFormat="1" ht="18" customHeight="1">
      <c r="A167" s="444">
        <f>A164+1</f>
        <v>51</v>
      </c>
      <c r="B167" s="446"/>
      <c r="C167" s="449" t="s">
        <v>4796</v>
      </c>
      <c r="D167" s="449" t="s">
        <v>218</v>
      </c>
      <c r="E167" s="212"/>
      <c r="F167" s="449" t="s">
        <v>83</v>
      </c>
      <c r="G167" s="449" t="s">
        <v>72</v>
      </c>
      <c r="H167" s="454"/>
      <c r="I167" s="212" t="s">
        <v>7</v>
      </c>
      <c r="J167" s="249" t="s">
        <v>4729</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476">
        <v>183</v>
      </c>
      <c r="Z167" s="481">
        <v>46447</v>
      </c>
      <c r="AA167" s="481">
        <v>46538</v>
      </c>
      <c r="AB167" s="485">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486">
        <v>7</v>
      </c>
      <c r="AW167" s="223" t="e">
        <v>#REF!</v>
      </c>
    </row>
    <row r="168" spans="1:49" s="166" customFormat="1" ht="18" customHeight="1">
      <c r="A168" s="444"/>
      <c r="B168" s="447"/>
      <c r="C168" s="449" t="str">
        <f>C167</f>
        <v>RFQ-051</v>
      </c>
      <c r="D168" s="449" t="str">
        <f>D167</f>
        <v>CHECK VALVE (FLANGE END)</v>
      </c>
      <c r="E168" s="212"/>
      <c r="F168" s="449" t="str">
        <f>F167</f>
        <v>Piping</v>
      </c>
      <c r="G168" s="449" t="str">
        <f>G167</f>
        <v>N</v>
      </c>
      <c r="H168" s="455"/>
      <c r="I168" s="212" t="str">
        <f>I167</f>
        <v>LB</v>
      </c>
      <c r="J168" s="249" t="s">
        <v>65</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476"/>
      <c r="Z168" s="481"/>
      <c r="AA168" s="481"/>
      <c r="AB168" s="485"/>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486"/>
      <c r="AW168" s="223" t="e">
        <v>#REF!</v>
      </c>
    </row>
    <row r="169" spans="1:49" s="166" customFormat="1" ht="18" customHeight="1">
      <c r="A169" s="444"/>
      <c r="B169" s="448"/>
      <c r="C169" s="449" t="str">
        <f>C167</f>
        <v>RFQ-051</v>
      </c>
      <c r="D169" s="449" t="str">
        <f>D167</f>
        <v>CHECK VALVE (FLANGE END)</v>
      </c>
      <c r="E169" s="212"/>
      <c r="F169" s="449" t="str">
        <f>F167</f>
        <v>Piping</v>
      </c>
      <c r="G169" s="449" t="str">
        <f>G167</f>
        <v>N</v>
      </c>
      <c r="H169" s="456"/>
      <c r="I169" s="212" t="str">
        <f>I167</f>
        <v>LB</v>
      </c>
      <c r="J169" s="249" t="s">
        <v>67</v>
      </c>
      <c r="K169" s="212"/>
      <c r="L169" s="212"/>
      <c r="M169" s="212"/>
      <c r="N169" s="212"/>
      <c r="O169" s="212"/>
      <c r="P169" s="226"/>
      <c r="Q169" s="227"/>
      <c r="R169" s="212"/>
      <c r="S169" s="212"/>
      <c r="T169" s="212"/>
      <c r="U169" s="212"/>
      <c r="V169" s="212"/>
      <c r="W169" s="228"/>
      <c r="X169" s="212"/>
      <c r="Y169" s="476"/>
      <c r="Z169" s="481"/>
      <c r="AA169" s="481"/>
      <c r="AB169" s="485"/>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486"/>
      <c r="AW169" s="223" t="e">
        <v>#REF!</v>
      </c>
    </row>
    <row r="170" spans="1:49" s="166" customFormat="1" ht="18" customHeight="1">
      <c r="A170" s="444">
        <f>A167+1</f>
        <v>52</v>
      </c>
      <c r="B170" s="446"/>
      <c r="C170" s="449" t="s">
        <v>4797</v>
      </c>
      <c r="D170" s="449" t="s">
        <v>220</v>
      </c>
      <c r="E170" s="212"/>
      <c r="F170" s="449" t="s">
        <v>83</v>
      </c>
      <c r="G170" s="449" t="s">
        <v>72</v>
      </c>
      <c r="H170" s="454"/>
      <c r="I170" s="212" t="s">
        <v>7</v>
      </c>
      <c r="J170" s="249" t="s">
        <v>4729</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476">
        <v>183</v>
      </c>
      <c r="Z170" s="481">
        <v>46447</v>
      </c>
      <c r="AA170" s="481">
        <v>46538</v>
      </c>
      <c r="AB170" s="485">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486">
        <v>7</v>
      </c>
      <c r="AW170" s="223" t="e">
        <v>#REF!</v>
      </c>
    </row>
    <row r="171" spans="1:49" s="166" customFormat="1" ht="18" customHeight="1">
      <c r="A171" s="444"/>
      <c r="B171" s="447"/>
      <c r="C171" s="449" t="str">
        <f>C170</f>
        <v>RFQ-052</v>
      </c>
      <c r="D171" s="449" t="str">
        <f>D170</f>
        <v>CHECK VALVE (WELDED END)</v>
      </c>
      <c r="E171" s="212"/>
      <c r="F171" s="449" t="str">
        <f>F170</f>
        <v>Piping</v>
      </c>
      <c r="G171" s="449" t="str">
        <f>G170</f>
        <v>N</v>
      </c>
      <c r="H171" s="455"/>
      <c r="I171" s="212" t="str">
        <f>I170</f>
        <v>LB</v>
      </c>
      <c r="J171" s="249" t="s">
        <v>65</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476"/>
      <c r="Z171" s="481"/>
      <c r="AA171" s="481"/>
      <c r="AB171" s="485"/>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486"/>
      <c r="AW171" s="223" t="e">
        <v>#REF!</v>
      </c>
    </row>
    <row r="172" spans="1:49" s="166" customFormat="1" ht="18" customHeight="1">
      <c r="A172" s="444"/>
      <c r="B172" s="448"/>
      <c r="C172" s="449" t="str">
        <f>C170</f>
        <v>RFQ-052</v>
      </c>
      <c r="D172" s="449" t="str">
        <f>D170</f>
        <v>CHECK VALVE (WELDED END)</v>
      </c>
      <c r="E172" s="212"/>
      <c r="F172" s="449" t="str">
        <f>F170</f>
        <v>Piping</v>
      </c>
      <c r="G172" s="449" t="str">
        <f>G170</f>
        <v>N</v>
      </c>
      <c r="H172" s="456"/>
      <c r="I172" s="212" t="str">
        <f>I170</f>
        <v>LB</v>
      </c>
      <c r="J172" s="249" t="s">
        <v>67</v>
      </c>
      <c r="K172" s="212"/>
      <c r="L172" s="212"/>
      <c r="M172" s="212"/>
      <c r="N172" s="212"/>
      <c r="O172" s="212"/>
      <c r="P172" s="226"/>
      <c r="Q172" s="227"/>
      <c r="R172" s="212"/>
      <c r="S172" s="212"/>
      <c r="T172" s="212"/>
      <c r="U172" s="212"/>
      <c r="V172" s="212"/>
      <c r="W172" s="228"/>
      <c r="X172" s="212"/>
      <c r="Y172" s="476"/>
      <c r="Z172" s="481"/>
      <c r="AA172" s="481"/>
      <c r="AB172" s="485"/>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486"/>
      <c r="AW172" s="223" t="e">
        <v>#REF!</v>
      </c>
    </row>
    <row r="173" spans="1:49" s="166" customFormat="1" ht="18" customHeight="1">
      <c r="A173" s="444">
        <f>A170+1</f>
        <v>53</v>
      </c>
      <c r="B173" s="446"/>
      <c r="C173" s="449" t="s">
        <v>4798</v>
      </c>
      <c r="D173" s="449" t="s">
        <v>222</v>
      </c>
      <c r="E173" s="212"/>
      <c r="F173" s="449" t="s">
        <v>83</v>
      </c>
      <c r="G173" s="449" t="s">
        <v>72</v>
      </c>
      <c r="H173" s="454"/>
      <c r="I173" s="212" t="s">
        <v>7</v>
      </c>
      <c r="J173" s="249" t="s">
        <v>4729</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476">
        <v>210</v>
      </c>
      <c r="Z173" s="481">
        <v>46447</v>
      </c>
      <c r="AA173" s="481">
        <v>46538</v>
      </c>
      <c r="AB173" s="485">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486">
        <v>7</v>
      </c>
      <c r="AW173" s="223" t="e">
        <v>#REF!</v>
      </c>
    </row>
    <row r="174" spans="1:49" s="166" customFormat="1" ht="18" customHeight="1">
      <c r="A174" s="444"/>
      <c r="B174" s="447"/>
      <c r="C174" s="449" t="str">
        <f>C173</f>
        <v>RFQ-053</v>
      </c>
      <c r="D174" s="449" t="str">
        <f>D173</f>
        <v>COMPACT CHECK VALVE (WELDED END)</v>
      </c>
      <c r="E174" s="212"/>
      <c r="F174" s="449" t="str">
        <f>F173</f>
        <v>Piping</v>
      </c>
      <c r="G174" s="449" t="str">
        <f>G173</f>
        <v>N</v>
      </c>
      <c r="H174" s="455"/>
      <c r="I174" s="212" t="str">
        <f>I173</f>
        <v>LB</v>
      </c>
      <c r="J174" s="249" t="s">
        <v>65</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476"/>
      <c r="Z174" s="481"/>
      <c r="AA174" s="481"/>
      <c r="AB174" s="485"/>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486"/>
      <c r="AW174" s="223" t="e">
        <v>#REF!</v>
      </c>
    </row>
    <row r="175" spans="1:49" s="166" customFormat="1" ht="18" customHeight="1">
      <c r="A175" s="444"/>
      <c r="B175" s="448"/>
      <c r="C175" s="449" t="str">
        <f>C173</f>
        <v>RFQ-053</v>
      </c>
      <c r="D175" s="449" t="str">
        <f>D173</f>
        <v>COMPACT CHECK VALVE (WELDED END)</v>
      </c>
      <c r="E175" s="212"/>
      <c r="F175" s="449" t="str">
        <f>F173</f>
        <v>Piping</v>
      </c>
      <c r="G175" s="449" t="str">
        <f>G173</f>
        <v>N</v>
      </c>
      <c r="H175" s="456"/>
      <c r="I175" s="212" t="str">
        <f>I173</f>
        <v>LB</v>
      </c>
      <c r="J175" s="249" t="s">
        <v>67</v>
      </c>
      <c r="K175" s="212"/>
      <c r="L175" s="212"/>
      <c r="M175" s="212"/>
      <c r="N175" s="212"/>
      <c r="O175" s="212"/>
      <c r="P175" s="226"/>
      <c r="Q175" s="227"/>
      <c r="R175" s="212"/>
      <c r="S175" s="212"/>
      <c r="T175" s="212"/>
      <c r="U175" s="212"/>
      <c r="V175" s="212"/>
      <c r="W175" s="228"/>
      <c r="X175" s="212"/>
      <c r="Y175" s="476"/>
      <c r="Z175" s="481"/>
      <c r="AA175" s="481"/>
      <c r="AB175" s="485"/>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486"/>
      <c r="AW175" s="223"/>
    </row>
    <row r="176" spans="1:49" s="168" customFormat="1" ht="18.600000000000001" customHeight="1">
      <c r="A176" s="444"/>
      <c r="B176" s="446"/>
      <c r="C176" s="449"/>
      <c r="D176" s="457" t="s">
        <v>224</v>
      </c>
      <c r="E176" s="256"/>
      <c r="F176" s="470" t="s">
        <v>225</v>
      </c>
      <c r="G176" s="449" t="str">
        <f>IF(_xlfn.XLOOKUP(C176,'[35]Before Award'!D:D,'[35]Before Award'!AV:AV,"N/A")="N/A","N","Y")</f>
        <v>Y</v>
      </c>
      <c r="H176" s="454"/>
      <c r="I176" s="212" t="s">
        <v>6</v>
      </c>
      <c r="J176" s="249" t="s">
        <v>4729</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476">
        <v>120</v>
      </c>
      <c r="Z176" s="481">
        <v>46244</v>
      </c>
      <c r="AA176" s="481">
        <v>46244</v>
      </c>
      <c r="AB176" s="485">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486">
        <v>7</v>
      </c>
      <c r="AW176" s="244"/>
    </row>
    <row r="177" spans="1:49" s="168" customFormat="1" ht="18.600000000000001" customHeight="1">
      <c r="A177" s="444"/>
      <c r="B177" s="447"/>
      <c r="C177" s="449"/>
      <c r="D177" s="457" t="s">
        <v>4799</v>
      </c>
      <c r="E177" s="257"/>
      <c r="F177" s="471"/>
      <c r="G177" s="449" t="str">
        <f>G176</f>
        <v>Y</v>
      </c>
      <c r="H177" s="455"/>
      <c r="I177" s="212" t="str">
        <f>I176</f>
        <v>LA</v>
      </c>
      <c r="J177" s="249" t="s">
        <v>65</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476"/>
      <c r="Z177" s="481"/>
      <c r="AA177" s="481"/>
      <c r="AB177" s="485"/>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486"/>
      <c r="AW177" s="244"/>
    </row>
    <row r="178" spans="1:49" s="168" customFormat="1" ht="18.600000000000001" customHeight="1">
      <c r="A178" s="444"/>
      <c r="B178" s="448"/>
      <c r="C178" s="449"/>
      <c r="D178" s="457" t="s">
        <v>4799</v>
      </c>
      <c r="E178" s="258"/>
      <c r="F178" s="472"/>
      <c r="G178" s="449" t="str">
        <f>G176</f>
        <v>Y</v>
      </c>
      <c r="H178" s="456"/>
      <c r="I178" s="212" t="str">
        <f>I176</f>
        <v>LA</v>
      </c>
      <c r="J178" s="249" t="s">
        <v>67</v>
      </c>
      <c r="K178" s="212"/>
      <c r="L178" s="212"/>
      <c r="M178" s="212"/>
      <c r="N178" s="212"/>
      <c r="O178" s="212"/>
      <c r="P178" s="226"/>
      <c r="Q178" s="227"/>
      <c r="R178" s="212"/>
      <c r="S178" s="212"/>
      <c r="T178" s="212"/>
      <c r="U178" s="212"/>
      <c r="V178" s="212"/>
      <c r="W178" s="228"/>
      <c r="X178" s="212"/>
      <c r="Y178" s="476"/>
      <c r="Z178" s="481"/>
      <c r="AA178" s="481"/>
      <c r="AB178" s="485"/>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486"/>
      <c r="AW178" s="244"/>
    </row>
    <row r="179" spans="1:49" s="168" customFormat="1" ht="18.600000000000001" customHeight="1">
      <c r="A179" s="444"/>
      <c r="B179" s="446"/>
      <c r="C179" s="449"/>
      <c r="D179" s="457" t="s">
        <v>4800</v>
      </c>
      <c r="E179" s="256"/>
      <c r="F179" s="470" t="s">
        <v>225</v>
      </c>
      <c r="G179" s="449" t="str">
        <f>IF(_xlfn.XLOOKUP(C179,'[35]Before Award'!D:D,'[35]Before Award'!AV:AV,"N/A")="N/A","N","Y")</f>
        <v>Y</v>
      </c>
      <c r="H179" s="454"/>
      <c r="I179" s="212" t="s">
        <v>6</v>
      </c>
      <c r="J179" s="249" t="s">
        <v>4729</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476">
        <v>120</v>
      </c>
      <c r="Z179" s="482">
        <v>46244</v>
      </c>
      <c r="AA179" s="481">
        <v>46244</v>
      </c>
      <c r="AB179" s="485">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486">
        <v>7</v>
      </c>
      <c r="AW179" s="244"/>
    </row>
    <row r="180" spans="1:49" s="168" customFormat="1" ht="18.600000000000001" customHeight="1">
      <c r="A180" s="444"/>
      <c r="B180" s="447"/>
      <c r="C180" s="449"/>
      <c r="D180" s="457"/>
      <c r="E180" s="257"/>
      <c r="F180" s="471"/>
      <c r="G180" s="449" t="str">
        <f>G179</f>
        <v>Y</v>
      </c>
      <c r="H180" s="455"/>
      <c r="I180" s="212" t="str">
        <f>I179</f>
        <v>LA</v>
      </c>
      <c r="J180" s="249" t="s">
        <v>65</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476"/>
      <c r="Z180" s="483"/>
      <c r="AA180" s="481"/>
      <c r="AB180" s="485"/>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486"/>
      <c r="AW180" s="244"/>
    </row>
    <row r="181" spans="1:49" s="168" customFormat="1" ht="18.600000000000001" customHeight="1">
      <c r="A181" s="444"/>
      <c r="B181" s="448"/>
      <c r="C181" s="449"/>
      <c r="D181" s="457"/>
      <c r="E181" s="258"/>
      <c r="F181" s="472"/>
      <c r="G181" s="449" t="str">
        <f>G179</f>
        <v>Y</v>
      </c>
      <c r="H181" s="456"/>
      <c r="I181" s="212" t="str">
        <f>I179</f>
        <v>LA</v>
      </c>
      <c r="J181" s="249" t="s">
        <v>67</v>
      </c>
      <c r="K181" s="212"/>
      <c r="L181" s="212"/>
      <c r="M181" s="212"/>
      <c r="N181" s="212"/>
      <c r="O181" s="212"/>
      <c r="P181" s="226"/>
      <c r="Q181" s="227"/>
      <c r="R181" s="212"/>
      <c r="S181" s="212"/>
      <c r="T181" s="212"/>
      <c r="U181" s="212"/>
      <c r="V181" s="212"/>
      <c r="W181" s="228"/>
      <c r="X181" s="212"/>
      <c r="Y181" s="476"/>
      <c r="Z181" s="484"/>
      <c r="AA181" s="481"/>
      <c r="AB181" s="485"/>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486"/>
      <c r="AW181" s="244"/>
    </row>
    <row r="182" spans="1:49" s="168" customFormat="1" ht="18.600000000000001" customHeight="1">
      <c r="A182" s="444"/>
      <c r="B182" s="446"/>
      <c r="C182" s="449"/>
      <c r="D182" s="457" t="s">
        <v>4801</v>
      </c>
      <c r="E182" s="256"/>
      <c r="F182" s="470" t="s">
        <v>225</v>
      </c>
      <c r="G182" s="449" t="str">
        <f>IF(_xlfn.XLOOKUP(C182,'[35]Before Award'!D:D,'[35]Before Award'!AV:AV,"N/A")="N/A","N","Y")</f>
        <v>Y</v>
      </c>
      <c r="H182" s="454"/>
      <c r="I182" s="212" t="s">
        <v>6</v>
      </c>
      <c r="J182" s="249" t="s">
        <v>4729</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476">
        <f>19*7</f>
        <v>133</v>
      </c>
      <c r="Z182" s="480">
        <v>46275</v>
      </c>
      <c r="AA182" s="481">
        <v>46244</v>
      </c>
      <c r="AB182" s="485">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486">
        <v>7</v>
      </c>
      <c r="AW182" s="244"/>
    </row>
    <row r="183" spans="1:49" s="168" customFormat="1" ht="18.600000000000001" customHeight="1">
      <c r="A183" s="444"/>
      <c r="B183" s="447"/>
      <c r="C183" s="449"/>
      <c r="D183" s="457" t="s">
        <v>4802</v>
      </c>
      <c r="E183" s="257"/>
      <c r="F183" s="471"/>
      <c r="G183" s="449" t="str">
        <f>G182</f>
        <v>Y</v>
      </c>
      <c r="H183" s="455"/>
      <c r="I183" s="212" t="str">
        <f>I182</f>
        <v>LA</v>
      </c>
      <c r="J183" s="249" t="s">
        <v>65</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476"/>
      <c r="Z183" s="480"/>
      <c r="AA183" s="481"/>
      <c r="AB183" s="485"/>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486"/>
      <c r="AW183" s="244"/>
    </row>
    <row r="184" spans="1:49" s="168" customFormat="1" ht="18.600000000000001" customHeight="1">
      <c r="A184" s="444"/>
      <c r="B184" s="448"/>
      <c r="C184" s="449"/>
      <c r="D184" s="457" t="s">
        <v>4802</v>
      </c>
      <c r="E184" s="258"/>
      <c r="F184" s="472"/>
      <c r="G184" s="449" t="str">
        <f>G182</f>
        <v>Y</v>
      </c>
      <c r="H184" s="456"/>
      <c r="I184" s="212" t="str">
        <f t="shared" ref="I184:I196" si="3">I182</f>
        <v>LA</v>
      </c>
      <c r="J184" s="249" t="s">
        <v>67</v>
      </c>
      <c r="K184" s="212"/>
      <c r="L184" s="212"/>
      <c r="M184" s="212"/>
      <c r="N184" s="212"/>
      <c r="O184" s="212"/>
      <c r="P184" s="226"/>
      <c r="Q184" s="227"/>
      <c r="R184" s="212"/>
      <c r="S184" s="212"/>
      <c r="T184" s="212"/>
      <c r="U184" s="212"/>
      <c r="V184" s="212"/>
      <c r="W184" s="228"/>
      <c r="X184" s="212"/>
      <c r="Y184" s="476"/>
      <c r="Z184" s="480"/>
      <c r="AA184" s="481"/>
      <c r="AB184" s="485"/>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486"/>
      <c r="AW184" s="244"/>
    </row>
    <row r="185" spans="1:49" s="168" customFormat="1" ht="18.600000000000001" customHeight="1">
      <c r="A185" s="444"/>
      <c r="B185" s="446"/>
      <c r="C185" s="449"/>
      <c r="D185" s="457" t="s">
        <v>4803</v>
      </c>
      <c r="E185" s="256"/>
      <c r="F185" s="470" t="s">
        <v>225</v>
      </c>
      <c r="G185" s="449" t="str">
        <f>IF(_xlfn.XLOOKUP(C185,'[35]Before Award'!D:D,'[35]Before Award'!AV:AV,"N/A")="N/A","N","Y")</f>
        <v>Y</v>
      </c>
      <c r="H185" s="224"/>
      <c r="I185" s="212" t="str">
        <f t="shared" si="3"/>
        <v>LA</v>
      </c>
      <c r="J185" s="249" t="s">
        <v>4729</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476">
        <v>120</v>
      </c>
      <c r="Z185" s="480">
        <v>46244</v>
      </c>
      <c r="AA185" s="219"/>
      <c r="AB185" s="485">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444"/>
      <c r="B186" s="447"/>
      <c r="C186" s="449"/>
      <c r="D186" s="457" t="s">
        <v>4802</v>
      </c>
      <c r="E186" s="257"/>
      <c r="F186" s="471"/>
      <c r="G186" s="449" t="str">
        <f>G185</f>
        <v>Y</v>
      </c>
      <c r="H186" s="224"/>
      <c r="I186" s="212" t="str">
        <f t="shared" si="3"/>
        <v>LA</v>
      </c>
      <c r="J186" s="249" t="s">
        <v>65</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476"/>
      <c r="Z186" s="480"/>
      <c r="AA186" s="219"/>
      <c r="AB186" s="485"/>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444"/>
      <c r="B187" s="448"/>
      <c r="C187" s="449"/>
      <c r="D187" s="457" t="s">
        <v>4802</v>
      </c>
      <c r="E187" s="258"/>
      <c r="F187" s="472"/>
      <c r="G187" s="449" t="str">
        <f>G185</f>
        <v>Y</v>
      </c>
      <c r="H187" s="224"/>
      <c r="I187" s="212" t="str">
        <f t="shared" si="3"/>
        <v>LA</v>
      </c>
      <c r="J187" s="249" t="s">
        <v>67</v>
      </c>
      <c r="K187" s="212"/>
      <c r="L187" s="212"/>
      <c r="M187" s="212"/>
      <c r="N187" s="212"/>
      <c r="O187" s="212"/>
      <c r="P187" s="226"/>
      <c r="Q187" s="227"/>
      <c r="R187" s="212"/>
      <c r="S187" s="212"/>
      <c r="T187" s="212"/>
      <c r="U187" s="212"/>
      <c r="V187" s="212"/>
      <c r="W187" s="228"/>
      <c r="X187" s="212"/>
      <c r="Y187" s="476"/>
      <c r="Z187" s="480"/>
      <c r="AA187" s="219"/>
      <c r="AB187" s="485"/>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444"/>
      <c r="B188" s="446"/>
      <c r="C188" s="449"/>
      <c r="D188" s="457" t="s">
        <v>4804</v>
      </c>
      <c r="E188" s="256"/>
      <c r="F188" s="470" t="s">
        <v>225</v>
      </c>
      <c r="G188" s="449" t="str">
        <f>IF(_xlfn.XLOOKUP(C188,'[35]Before Award'!D:D,'[35]Before Award'!AV:AV,"N/A")="N/A","N","Y")</f>
        <v>Y</v>
      </c>
      <c r="H188" s="224"/>
      <c r="I188" s="212" t="str">
        <f t="shared" si="3"/>
        <v>LA</v>
      </c>
      <c r="J188" s="249" t="s">
        <v>4729</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476">
        <v>90</v>
      </c>
      <c r="Z188" s="480">
        <v>46275</v>
      </c>
      <c r="AA188" s="219"/>
      <c r="AB188" s="485">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444"/>
      <c r="B189" s="447"/>
      <c r="C189" s="449"/>
      <c r="D189" s="457" t="s">
        <v>4805</v>
      </c>
      <c r="E189" s="257"/>
      <c r="F189" s="471"/>
      <c r="G189" s="449" t="str">
        <f>G188</f>
        <v>Y</v>
      </c>
      <c r="H189" s="224"/>
      <c r="I189" s="212" t="str">
        <f t="shared" si="3"/>
        <v>LA</v>
      </c>
      <c r="J189" s="249" t="s">
        <v>65</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476"/>
      <c r="Z189" s="480"/>
      <c r="AA189" s="219"/>
      <c r="AB189" s="485"/>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444"/>
      <c r="B190" s="448"/>
      <c r="C190" s="449"/>
      <c r="D190" s="457" t="s">
        <v>4805</v>
      </c>
      <c r="E190" s="258"/>
      <c r="F190" s="472"/>
      <c r="G190" s="449" t="str">
        <f>G188</f>
        <v>Y</v>
      </c>
      <c r="H190" s="224"/>
      <c r="I190" s="212" t="str">
        <f t="shared" si="3"/>
        <v>LA</v>
      </c>
      <c r="J190" s="249" t="s">
        <v>67</v>
      </c>
      <c r="K190" s="212"/>
      <c r="L190" s="212"/>
      <c r="M190" s="212"/>
      <c r="N190" s="212"/>
      <c r="O190" s="212"/>
      <c r="P190" s="226"/>
      <c r="Q190" s="227"/>
      <c r="R190" s="212"/>
      <c r="S190" s="212"/>
      <c r="T190" s="212"/>
      <c r="U190" s="212"/>
      <c r="V190" s="212"/>
      <c r="W190" s="228"/>
      <c r="X190" s="212"/>
      <c r="Y190" s="476"/>
      <c r="Z190" s="480"/>
      <c r="AA190" s="219"/>
      <c r="AB190" s="485"/>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444"/>
      <c r="B191" s="446"/>
      <c r="C191" s="449"/>
      <c r="D191" s="457" t="s">
        <v>239</v>
      </c>
      <c r="E191" s="256"/>
      <c r="F191" s="470" t="s">
        <v>225</v>
      </c>
      <c r="G191" s="449" t="str">
        <f>IF(_xlfn.XLOOKUP(C191,'[35]Before Award'!D:D,'[35]Before Award'!AV:AV,"N/A")="N/A","N","Y")</f>
        <v>Y</v>
      </c>
      <c r="H191" s="224"/>
      <c r="I191" s="212" t="str">
        <f t="shared" si="3"/>
        <v>LA</v>
      </c>
      <c r="J191" s="249" t="s">
        <v>4729</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476">
        <f>120+40</f>
        <v>160</v>
      </c>
      <c r="Z191" s="482">
        <v>46295</v>
      </c>
      <c r="AA191" s="219"/>
      <c r="AB191" s="485">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444"/>
      <c r="B192" s="447"/>
      <c r="C192" s="449"/>
      <c r="D192" s="457"/>
      <c r="E192" s="257"/>
      <c r="F192" s="471"/>
      <c r="G192" s="449" t="str">
        <f>G191</f>
        <v>Y</v>
      </c>
      <c r="H192" s="224"/>
      <c r="I192" s="212" t="str">
        <f t="shared" si="3"/>
        <v>LA</v>
      </c>
      <c r="J192" s="249" t="s">
        <v>65</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476"/>
      <c r="Z192" s="483"/>
      <c r="AA192" s="219"/>
      <c r="AB192" s="485"/>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444"/>
      <c r="B193" s="448"/>
      <c r="C193" s="449"/>
      <c r="D193" s="457"/>
      <c r="E193" s="258"/>
      <c r="F193" s="472"/>
      <c r="G193" s="449" t="str">
        <f>G191</f>
        <v>Y</v>
      </c>
      <c r="H193" s="224"/>
      <c r="I193" s="212" t="str">
        <f t="shared" si="3"/>
        <v>LA</v>
      </c>
      <c r="J193" s="249" t="s">
        <v>67</v>
      </c>
      <c r="K193" s="212"/>
      <c r="L193" s="212"/>
      <c r="M193" s="212"/>
      <c r="N193" s="212"/>
      <c r="O193" s="212"/>
      <c r="P193" s="226"/>
      <c r="Q193" s="227"/>
      <c r="R193" s="212"/>
      <c r="S193" s="212"/>
      <c r="T193" s="212"/>
      <c r="U193" s="212"/>
      <c r="V193" s="212"/>
      <c r="W193" s="228"/>
      <c r="X193" s="212"/>
      <c r="Y193" s="476"/>
      <c r="Z193" s="484"/>
      <c r="AA193" s="219"/>
      <c r="AB193" s="485"/>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444"/>
      <c r="B194" s="446"/>
      <c r="C194" s="449"/>
      <c r="D194" s="449" t="s">
        <v>242</v>
      </c>
      <c r="E194" s="213"/>
      <c r="F194" s="458" t="s">
        <v>225</v>
      </c>
      <c r="G194" s="449" t="str">
        <f>IF(_xlfn.XLOOKUP(C194,'[35]Before Award'!D:D,'[35]Before Award'!AV:AV,"N/A")="N/A","N","Y")</f>
        <v>Y</v>
      </c>
      <c r="H194" s="224"/>
      <c r="I194" s="212" t="str">
        <f t="shared" si="3"/>
        <v>LA</v>
      </c>
      <c r="J194" s="249" t="s">
        <v>4729</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476">
        <v>120</v>
      </c>
      <c r="Z194" s="482">
        <v>46268</v>
      </c>
      <c r="AA194" s="219"/>
      <c r="AB194" s="485">
        <f>Z194-X195</f>
        <v>0</v>
      </c>
      <c r="AC194" s="246"/>
      <c r="AD194" s="247"/>
      <c r="AE194" s="247"/>
      <c r="AF194" s="247"/>
      <c r="AG194" s="247"/>
      <c r="AH194" s="247"/>
      <c r="AI194" s="247"/>
      <c r="AJ194" s="247"/>
      <c r="AK194" s="247"/>
      <c r="AL194" s="247"/>
      <c r="AM194" s="247"/>
      <c r="AP194" s="212"/>
      <c r="AQ194" s="212"/>
      <c r="AR194" s="212"/>
      <c r="AS194" s="222"/>
      <c r="AU194" s="487">
        <f>AT195+40</f>
        <v>46322</v>
      </c>
      <c r="AW194" s="244"/>
    </row>
    <row r="195" spans="1:49" s="168" customFormat="1" ht="18.600000000000001" customHeight="1">
      <c r="A195" s="444"/>
      <c r="B195" s="447"/>
      <c r="C195" s="449"/>
      <c r="D195" s="449" t="s">
        <v>4799</v>
      </c>
      <c r="E195" s="224"/>
      <c r="F195" s="459"/>
      <c r="G195" s="449" t="str">
        <f>G194</f>
        <v>Y</v>
      </c>
      <c r="H195" s="224"/>
      <c r="I195" s="212" t="str">
        <f t="shared" si="3"/>
        <v>LA</v>
      </c>
      <c r="J195" s="249" t="s">
        <v>65</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476"/>
      <c r="Z195" s="483"/>
      <c r="AA195" s="219"/>
      <c r="AB195" s="485"/>
      <c r="AC195" s="246"/>
      <c r="AD195" s="247"/>
      <c r="AE195" s="247"/>
      <c r="AF195" s="247"/>
      <c r="AG195" s="247"/>
      <c r="AH195" s="247"/>
      <c r="AI195" s="247"/>
      <c r="AJ195" s="247"/>
      <c r="AK195" s="247"/>
      <c r="AL195" s="247"/>
      <c r="AM195" s="247"/>
      <c r="AP195" s="212"/>
      <c r="AQ195" s="212"/>
      <c r="AR195" s="212"/>
      <c r="AS195" s="222"/>
      <c r="AT195" s="259">
        <v>46282</v>
      </c>
      <c r="AU195" s="487"/>
      <c r="AW195" s="244"/>
    </row>
    <row r="196" spans="1:49" s="168" customFormat="1" ht="18.600000000000001" customHeight="1">
      <c r="A196" s="444"/>
      <c r="B196" s="448"/>
      <c r="C196" s="449"/>
      <c r="D196" s="449" t="s">
        <v>4799</v>
      </c>
      <c r="E196" s="225"/>
      <c r="F196" s="460"/>
      <c r="G196" s="449" t="str">
        <f>G194</f>
        <v>Y</v>
      </c>
      <c r="H196" s="224"/>
      <c r="I196" s="212" t="str">
        <f t="shared" si="3"/>
        <v>LA</v>
      </c>
      <c r="J196" s="249" t="s">
        <v>67</v>
      </c>
      <c r="K196" s="212"/>
      <c r="L196" s="212"/>
      <c r="M196" s="212"/>
      <c r="N196" s="212"/>
      <c r="O196" s="212"/>
      <c r="P196" s="226"/>
      <c r="Q196" s="227"/>
      <c r="R196" s="212"/>
      <c r="S196" s="212"/>
      <c r="T196" s="212"/>
      <c r="U196" s="212"/>
      <c r="V196" s="212"/>
      <c r="W196" s="228"/>
      <c r="X196" s="212"/>
      <c r="Y196" s="476"/>
      <c r="Z196" s="484"/>
      <c r="AA196" s="219"/>
      <c r="AB196" s="485"/>
      <c r="AC196" s="246"/>
      <c r="AD196" s="247"/>
      <c r="AE196" s="247"/>
      <c r="AF196" s="247"/>
      <c r="AG196" s="247"/>
      <c r="AH196" s="247"/>
      <c r="AI196" s="247"/>
      <c r="AJ196" s="247"/>
      <c r="AK196" s="247"/>
      <c r="AL196" s="247"/>
      <c r="AM196" s="247"/>
      <c r="AP196" s="212"/>
      <c r="AQ196" s="212"/>
      <c r="AR196" s="212"/>
      <c r="AS196" s="222"/>
      <c r="AU196" s="487"/>
      <c r="AW196" s="244"/>
    </row>
    <row r="197" spans="1:49" s="168" customFormat="1" ht="18.600000000000001" customHeight="1">
      <c r="A197" s="444"/>
      <c r="B197" s="446"/>
      <c r="C197" s="449"/>
      <c r="D197" s="449" t="s">
        <v>4806</v>
      </c>
      <c r="E197" s="213"/>
      <c r="F197" s="458" t="s">
        <v>225</v>
      </c>
      <c r="G197" s="449" t="str">
        <f>IF(_xlfn.XLOOKUP(C197,'[35]Before Award'!D:D,'[35]Before Award'!AV:AV,"N/A")="N/A","N","Y")</f>
        <v>Y</v>
      </c>
      <c r="H197" s="224"/>
      <c r="I197" s="212" t="str">
        <f>I192</f>
        <v>LA</v>
      </c>
      <c r="J197" s="249" t="s">
        <v>4729</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476">
        <f>19*7</f>
        <v>133</v>
      </c>
      <c r="Z197" s="481">
        <v>46312</v>
      </c>
      <c r="AA197" s="219"/>
      <c r="AB197" s="485">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444"/>
      <c r="B198" s="447"/>
      <c r="C198" s="449"/>
      <c r="D198" s="449"/>
      <c r="E198" s="224"/>
      <c r="F198" s="459"/>
      <c r="G198" s="449" t="str">
        <f>G197</f>
        <v>Y</v>
      </c>
      <c r="H198" s="224"/>
      <c r="I198" s="212" t="str">
        <f>I193</f>
        <v>LA</v>
      </c>
      <c r="J198" s="249" t="s">
        <v>65</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476"/>
      <c r="Z198" s="481"/>
      <c r="AA198" s="219"/>
      <c r="AB198" s="485"/>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444"/>
      <c r="B199" s="448"/>
      <c r="C199" s="449"/>
      <c r="D199" s="449"/>
      <c r="E199" s="225"/>
      <c r="F199" s="460"/>
      <c r="G199" s="449" t="str">
        <f>G197</f>
        <v>Y</v>
      </c>
      <c r="H199" s="224"/>
      <c r="I199" s="212" t="str">
        <f>I197</f>
        <v>LA</v>
      </c>
      <c r="J199" s="249" t="s">
        <v>67</v>
      </c>
      <c r="K199" s="212"/>
      <c r="L199" s="212"/>
      <c r="M199" s="212"/>
      <c r="N199" s="212"/>
      <c r="O199" s="212"/>
      <c r="P199" s="226"/>
      <c r="Q199" s="227"/>
      <c r="R199" s="212"/>
      <c r="S199" s="212"/>
      <c r="T199" s="212"/>
      <c r="U199" s="212"/>
      <c r="V199" s="212"/>
      <c r="W199" s="228"/>
      <c r="X199" s="212"/>
      <c r="Y199" s="476"/>
      <c r="Z199" s="481"/>
      <c r="AA199" s="219"/>
      <c r="AB199" s="485"/>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444"/>
      <c r="B200" s="446"/>
      <c r="C200" s="449"/>
      <c r="D200" s="449" t="s">
        <v>4807</v>
      </c>
      <c r="E200" s="213"/>
      <c r="F200" s="458" t="s">
        <v>225</v>
      </c>
      <c r="G200" s="449" t="str">
        <f>IF(_xlfn.XLOOKUP(C200,'[35]Before Award'!D:D,'[35]Before Award'!AV:AV,"N/A")="N/A","N","Y")</f>
        <v>Y</v>
      </c>
      <c r="H200" s="224"/>
      <c r="I200" s="212" t="str">
        <f>I195</f>
        <v>LA</v>
      </c>
      <c r="J200" s="249" t="s">
        <v>4729</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476">
        <f>120+40</f>
        <v>160</v>
      </c>
      <c r="Z200" s="481">
        <v>46322</v>
      </c>
      <c r="AA200" s="219"/>
      <c r="AB200" s="485">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444"/>
      <c r="B201" s="447"/>
      <c r="C201" s="449"/>
      <c r="D201" s="449"/>
      <c r="E201" s="224"/>
      <c r="F201" s="459"/>
      <c r="G201" s="449" t="str">
        <f>G200</f>
        <v>Y</v>
      </c>
      <c r="H201" s="224"/>
      <c r="I201" s="212" t="str">
        <f>I196</f>
        <v>LA</v>
      </c>
      <c r="J201" s="249" t="s">
        <v>65</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476"/>
      <c r="Z201" s="481"/>
      <c r="AA201" s="219"/>
      <c r="AB201" s="485"/>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444"/>
      <c r="B202" s="448"/>
      <c r="C202" s="449"/>
      <c r="D202" s="449"/>
      <c r="E202" s="225"/>
      <c r="F202" s="460"/>
      <c r="G202" s="449" t="str">
        <f>G200</f>
        <v>Y</v>
      </c>
      <c r="H202" s="224"/>
      <c r="I202" s="212" t="str">
        <f t="shared" ref="I202:I211" si="4">I200</f>
        <v>LA</v>
      </c>
      <c r="J202" s="249" t="s">
        <v>67</v>
      </c>
      <c r="K202" s="212"/>
      <c r="L202" s="212"/>
      <c r="M202" s="212"/>
      <c r="N202" s="212"/>
      <c r="O202" s="212"/>
      <c r="P202" s="226"/>
      <c r="Q202" s="227"/>
      <c r="R202" s="212"/>
      <c r="S202" s="212"/>
      <c r="T202" s="212"/>
      <c r="U202" s="212"/>
      <c r="V202" s="212"/>
      <c r="W202" s="228"/>
      <c r="X202" s="212"/>
      <c r="Y202" s="476"/>
      <c r="Z202" s="481"/>
      <c r="AA202" s="219"/>
      <c r="AB202" s="485"/>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444"/>
      <c r="B203" s="446"/>
      <c r="C203" s="449"/>
      <c r="D203" s="449" t="s">
        <v>4808</v>
      </c>
      <c r="E203" s="213"/>
      <c r="F203" s="458" t="s">
        <v>225</v>
      </c>
      <c r="G203" s="449" t="str">
        <f>IF(_xlfn.XLOOKUP(C203,'[35]Before Award'!D:D,'[35]Before Award'!AV:AV,"N/A")="N/A","N","Y")</f>
        <v>Y</v>
      </c>
      <c r="H203" s="224"/>
      <c r="I203" s="212" t="str">
        <f t="shared" si="4"/>
        <v>LA</v>
      </c>
      <c r="J203" s="249" t="s">
        <v>4729</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476">
        <f>120+40</f>
        <v>160</v>
      </c>
      <c r="Z203" s="481">
        <v>46322</v>
      </c>
      <c r="AA203" s="219"/>
      <c r="AB203" s="485">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444"/>
      <c r="B204" s="447"/>
      <c r="C204" s="449"/>
      <c r="D204" s="449"/>
      <c r="E204" s="224"/>
      <c r="F204" s="459"/>
      <c r="G204" s="449" t="str">
        <f>G203</f>
        <v>Y</v>
      </c>
      <c r="H204" s="224"/>
      <c r="I204" s="212" t="str">
        <f t="shared" si="4"/>
        <v>LA</v>
      </c>
      <c r="J204" s="249" t="s">
        <v>65</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476"/>
      <c r="Z204" s="481"/>
      <c r="AA204" s="219"/>
      <c r="AB204" s="485"/>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444"/>
      <c r="B205" s="448"/>
      <c r="C205" s="449"/>
      <c r="D205" s="449"/>
      <c r="E205" s="225"/>
      <c r="F205" s="460"/>
      <c r="G205" s="449" t="str">
        <f>G203</f>
        <v>Y</v>
      </c>
      <c r="H205" s="224"/>
      <c r="I205" s="212" t="str">
        <f t="shared" si="4"/>
        <v>LA</v>
      </c>
      <c r="J205" s="249" t="s">
        <v>67</v>
      </c>
      <c r="K205" s="212"/>
      <c r="L205" s="212"/>
      <c r="M205" s="212"/>
      <c r="N205" s="212"/>
      <c r="O205" s="212"/>
      <c r="P205" s="226"/>
      <c r="Q205" s="227"/>
      <c r="R205" s="212"/>
      <c r="S205" s="212"/>
      <c r="T205" s="212"/>
      <c r="U205" s="212"/>
      <c r="V205" s="212"/>
      <c r="W205" s="228"/>
      <c r="X205" s="212"/>
      <c r="Y205" s="476"/>
      <c r="Z205" s="481"/>
      <c r="AA205" s="219"/>
      <c r="AB205" s="485"/>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444"/>
      <c r="B206" s="446"/>
      <c r="C206" s="449"/>
      <c r="D206" s="449" t="s">
        <v>249</v>
      </c>
      <c r="E206" s="213"/>
      <c r="F206" s="458" t="s">
        <v>225</v>
      </c>
      <c r="G206" s="449" t="str">
        <f>IF(_xlfn.XLOOKUP(C206,'[35]Before Award'!D:D,'[35]Before Award'!AV:AV,"N/A")="N/A","N","Y")</f>
        <v>Y</v>
      </c>
      <c r="H206" s="224"/>
      <c r="I206" s="212" t="str">
        <f t="shared" si="4"/>
        <v>LA</v>
      </c>
      <c r="J206" s="249" t="s">
        <v>4729</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476">
        <v>120</v>
      </c>
      <c r="Z206" s="482">
        <v>46427</v>
      </c>
      <c r="AA206" s="219"/>
      <c r="AB206" s="485">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444"/>
      <c r="B207" s="447"/>
      <c r="C207" s="449"/>
      <c r="D207" s="449" t="s">
        <v>4799</v>
      </c>
      <c r="E207" s="224"/>
      <c r="F207" s="459"/>
      <c r="G207" s="449" t="str">
        <f>G206</f>
        <v>Y</v>
      </c>
      <c r="H207" s="224"/>
      <c r="I207" s="212" t="str">
        <f t="shared" si="4"/>
        <v>LA</v>
      </c>
      <c r="J207" s="249" t="s">
        <v>65</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476"/>
      <c r="Z207" s="483"/>
      <c r="AA207" s="219"/>
      <c r="AB207" s="485"/>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444"/>
      <c r="B208" s="448"/>
      <c r="C208" s="449"/>
      <c r="D208" s="449" t="s">
        <v>4799</v>
      </c>
      <c r="E208" s="225"/>
      <c r="F208" s="460"/>
      <c r="G208" s="449" t="str">
        <f>G206</f>
        <v>Y</v>
      </c>
      <c r="H208" s="224"/>
      <c r="I208" s="212" t="str">
        <f t="shared" si="4"/>
        <v>LA</v>
      </c>
      <c r="J208" s="249" t="s">
        <v>67</v>
      </c>
      <c r="K208" s="212"/>
      <c r="L208" s="212"/>
      <c r="M208" s="212"/>
      <c r="N208" s="212"/>
      <c r="O208" s="212"/>
      <c r="P208" s="226"/>
      <c r="Q208" s="227"/>
      <c r="R208" s="212"/>
      <c r="S208" s="212"/>
      <c r="T208" s="212"/>
      <c r="U208" s="212"/>
      <c r="V208" s="212"/>
      <c r="W208" s="228"/>
      <c r="X208" s="212"/>
      <c r="Y208" s="476"/>
      <c r="Z208" s="484"/>
      <c r="AA208" s="219"/>
      <c r="AB208" s="485"/>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444"/>
      <c r="B209" s="446"/>
      <c r="C209" s="449"/>
      <c r="D209" s="449" t="s">
        <v>252</v>
      </c>
      <c r="E209" s="213"/>
      <c r="F209" s="458" t="s">
        <v>225</v>
      </c>
      <c r="G209" s="449" t="str">
        <f>IF(_xlfn.XLOOKUP(C209,'[35]Before Award'!D:D,'[35]Before Award'!AV:AV,"N/A")="N/A","N","Y")</f>
        <v>Y</v>
      </c>
      <c r="H209" s="224"/>
      <c r="I209" s="212" t="str">
        <f t="shared" si="4"/>
        <v>LA</v>
      </c>
      <c r="J209" s="249" t="s">
        <v>4729</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476">
        <f>120+40</f>
        <v>160</v>
      </c>
      <c r="Z209" s="482">
        <v>46483</v>
      </c>
      <c r="AA209" s="219"/>
      <c r="AB209" s="485">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444"/>
      <c r="B210" s="447"/>
      <c r="C210" s="449"/>
      <c r="D210" s="449"/>
      <c r="E210" s="224"/>
      <c r="F210" s="459"/>
      <c r="G210" s="449" t="str">
        <f>G209</f>
        <v>Y</v>
      </c>
      <c r="H210" s="224"/>
      <c r="I210" s="212" t="str">
        <f t="shared" si="4"/>
        <v>LA</v>
      </c>
      <c r="J210" s="249" t="s">
        <v>65</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476"/>
      <c r="Z210" s="483"/>
      <c r="AA210" s="219"/>
      <c r="AB210" s="485"/>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444"/>
      <c r="B211" s="448"/>
      <c r="C211" s="449"/>
      <c r="D211" s="449"/>
      <c r="E211" s="225"/>
      <c r="F211" s="460"/>
      <c r="G211" s="449" t="str">
        <f>G209</f>
        <v>Y</v>
      </c>
      <c r="H211" s="224"/>
      <c r="I211" s="212" t="str">
        <f t="shared" si="4"/>
        <v>LA</v>
      </c>
      <c r="J211" s="249" t="s">
        <v>67</v>
      </c>
      <c r="K211" s="212"/>
      <c r="L211" s="212"/>
      <c r="M211" s="212"/>
      <c r="N211" s="212"/>
      <c r="O211" s="212"/>
      <c r="P211" s="226"/>
      <c r="Q211" s="227"/>
      <c r="R211" s="212"/>
      <c r="S211" s="212"/>
      <c r="T211" s="212"/>
      <c r="U211" s="212"/>
      <c r="V211" s="212"/>
      <c r="W211" s="228"/>
      <c r="X211" s="212"/>
      <c r="Y211" s="476"/>
      <c r="Z211" s="484"/>
      <c r="AA211" s="219"/>
      <c r="AB211" s="485"/>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444"/>
      <c r="B212" s="446"/>
      <c r="C212" s="449"/>
      <c r="D212" s="449" t="s">
        <v>4809</v>
      </c>
      <c r="E212" s="212"/>
      <c r="F212" s="449" t="s">
        <v>83</v>
      </c>
      <c r="G212" s="449" t="s">
        <v>72</v>
      </c>
      <c r="H212" s="454"/>
      <c r="I212" s="212" t="s">
        <v>6</v>
      </c>
      <c r="J212" s="249" t="s">
        <v>4729</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476">
        <v>168</v>
      </c>
      <c r="Z212" s="481">
        <v>46275</v>
      </c>
      <c r="AA212" s="481">
        <v>46538</v>
      </c>
      <c r="AB212" s="485">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486">
        <v>7</v>
      </c>
      <c r="AW212" s="223"/>
    </row>
    <row r="213" spans="1:49" s="166" customFormat="1" ht="18" customHeight="1">
      <c r="A213" s="444"/>
      <c r="B213" s="447"/>
      <c r="C213" s="449"/>
      <c r="D213" s="449"/>
      <c r="E213" s="212"/>
      <c r="F213" s="449" t="str">
        <f>F212</f>
        <v>Piping</v>
      </c>
      <c r="G213" s="449" t="str">
        <f>G212</f>
        <v>N</v>
      </c>
      <c r="H213" s="455"/>
      <c r="I213" s="212" t="str">
        <f>I212</f>
        <v>LA</v>
      </c>
      <c r="J213" s="249" t="s">
        <v>65</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476"/>
      <c r="Z213" s="481"/>
      <c r="AA213" s="481"/>
      <c r="AB213" s="485"/>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486"/>
      <c r="AW213" s="223"/>
    </row>
    <row r="214" spans="1:49" s="166" customFormat="1" ht="18" customHeight="1">
      <c r="A214" s="444"/>
      <c r="B214" s="448"/>
      <c r="C214" s="449"/>
      <c r="D214" s="449"/>
      <c r="E214" s="212"/>
      <c r="F214" s="449" t="str">
        <f>F212</f>
        <v>Piping</v>
      </c>
      <c r="G214" s="449" t="str">
        <f>G212</f>
        <v>N</v>
      </c>
      <c r="H214" s="456"/>
      <c r="I214" s="212" t="str">
        <f>I212</f>
        <v>LA</v>
      </c>
      <c r="J214" s="249" t="s">
        <v>67</v>
      </c>
      <c r="K214" s="212"/>
      <c r="L214" s="212"/>
      <c r="M214" s="212"/>
      <c r="N214" s="212"/>
      <c r="O214" s="212"/>
      <c r="P214" s="226"/>
      <c r="Q214" s="227"/>
      <c r="R214" s="212"/>
      <c r="S214" s="212"/>
      <c r="T214" s="212"/>
      <c r="U214" s="212"/>
      <c r="V214" s="212"/>
      <c r="W214" s="228"/>
      <c r="X214" s="212"/>
      <c r="Y214" s="476"/>
      <c r="Z214" s="481"/>
      <c r="AA214" s="481"/>
      <c r="AB214" s="485"/>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486"/>
      <c r="AW214" s="223"/>
    </row>
    <row r="215" spans="1:49" s="166" customFormat="1" ht="18" customHeight="1">
      <c r="A215" s="444"/>
      <c r="B215" s="446"/>
      <c r="C215" s="449"/>
      <c r="D215" s="449" t="s">
        <v>4810</v>
      </c>
      <c r="E215" s="212"/>
      <c r="F215" s="449" t="s">
        <v>83</v>
      </c>
      <c r="G215" s="449" t="s">
        <v>72</v>
      </c>
      <c r="H215" s="454"/>
      <c r="I215" s="212" t="s">
        <v>6</v>
      </c>
      <c r="J215" s="249" t="s">
        <v>4729</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476">
        <v>168</v>
      </c>
      <c r="Z215" s="481">
        <v>46382</v>
      </c>
      <c r="AA215" s="481">
        <v>46538</v>
      </c>
      <c r="AB215" s="485">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486">
        <v>7</v>
      </c>
      <c r="AW215" s="223"/>
    </row>
    <row r="216" spans="1:49" s="166" customFormat="1" ht="18" customHeight="1">
      <c r="A216" s="444"/>
      <c r="B216" s="447"/>
      <c r="C216" s="449"/>
      <c r="D216" s="449" t="s">
        <v>4810</v>
      </c>
      <c r="E216" s="212"/>
      <c r="F216" s="449" t="str">
        <f>F215</f>
        <v>Piping</v>
      </c>
      <c r="G216" s="449" t="str">
        <f>G215</f>
        <v>N</v>
      </c>
      <c r="H216" s="455"/>
      <c r="I216" s="212" t="str">
        <f>I215</f>
        <v>LA</v>
      </c>
      <c r="J216" s="249" t="s">
        <v>65</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476"/>
      <c r="Z216" s="481"/>
      <c r="AA216" s="481"/>
      <c r="AB216" s="485"/>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486"/>
      <c r="AW216" s="223"/>
    </row>
    <row r="217" spans="1:49" s="166" customFormat="1" ht="18" customHeight="1">
      <c r="A217" s="444"/>
      <c r="B217" s="448"/>
      <c r="C217" s="449"/>
      <c r="D217" s="449" t="s">
        <v>4810</v>
      </c>
      <c r="E217" s="212"/>
      <c r="F217" s="449" t="str">
        <f>F215</f>
        <v>Piping</v>
      </c>
      <c r="G217" s="449" t="str">
        <f>G215</f>
        <v>N</v>
      </c>
      <c r="H217" s="456"/>
      <c r="I217" s="212" t="str">
        <f>I215</f>
        <v>LA</v>
      </c>
      <c r="J217" s="249" t="s">
        <v>67</v>
      </c>
      <c r="K217" s="212"/>
      <c r="L217" s="212"/>
      <c r="M217" s="212"/>
      <c r="N217" s="212"/>
      <c r="O217" s="212"/>
      <c r="P217" s="226"/>
      <c r="Q217" s="227"/>
      <c r="R217" s="212"/>
      <c r="S217" s="212"/>
      <c r="T217" s="212"/>
      <c r="U217" s="212"/>
      <c r="V217" s="212"/>
      <c r="W217" s="228"/>
      <c r="X217" s="212"/>
      <c r="Y217" s="476"/>
      <c r="Z217" s="481"/>
      <c r="AA217" s="481"/>
      <c r="AB217" s="485"/>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486"/>
      <c r="AW217" s="223"/>
    </row>
    <row r="218" spans="1:49" s="166" customFormat="1" ht="18" customHeight="1">
      <c r="A218" s="444"/>
      <c r="B218" s="446"/>
      <c r="C218" s="449"/>
      <c r="D218" s="449" t="s">
        <v>254</v>
      </c>
      <c r="E218" s="212"/>
      <c r="F218" s="449" t="s">
        <v>83</v>
      </c>
      <c r="G218" s="449" t="s">
        <v>72</v>
      </c>
      <c r="H218" s="454"/>
      <c r="I218" s="212" t="s">
        <v>9</v>
      </c>
      <c r="J218" s="249" t="s">
        <v>4729</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476">
        <v>90</v>
      </c>
      <c r="Z218" s="481">
        <v>46382</v>
      </c>
      <c r="AA218" s="481">
        <v>46538</v>
      </c>
      <c r="AB218" s="485">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486">
        <v>7</v>
      </c>
      <c r="AW218" s="223"/>
    </row>
    <row r="219" spans="1:49" s="166" customFormat="1" ht="18" customHeight="1">
      <c r="A219" s="444"/>
      <c r="B219" s="447"/>
      <c r="C219" s="449"/>
      <c r="D219" s="449" t="s">
        <v>254</v>
      </c>
      <c r="E219" s="212"/>
      <c r="F219" s="449" t="str">
        <f>F218</f>
        <v>Piping</v>
      </c>
      <c r="G219" s="449" t="str">
        <f>G218</f>
        <v>N</v>
      </c>
      <c r="H219" s="455"/>
      <c r="I219" s="212" t="str">
        <f>I218</f>
        <v>LD</v>
      </c>
      <c r="J219" s="249" t="s">
        <v>65</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476"/>
      <c r="Z219" s="481"/>
      <c r="AA219" s="481"/>
      <c r="AB219" s="485"/>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486"/>
      <c r="AW219" s="223"/>
    </row>
    <row r="220" spans="1:49" s="166" customFormat="1" ht="18" customHeight="1">
      <c r="A220" s="444"/>
      <c r="B220" s="448"/>
      <c r="C220" s="449"/>
      <c r="D220" s="449" t="s">
        <v>254</v>
      </c>
      <c r="E220" s="212"/>
      <c r="F220" s="449" t="str">
        <f>F218</f>
        <v>Piping</v>
      </c>
      <c r="G220" s="449" t="str">
        <f>G218</f>
        <v>N</v>
      </c>
      <c r="H220" s="456"/>
      <c r="I220" s="212" t="str">
        <f>I218</f>
        <v>LD</v>
      </c>
      <c r="J220" s="249" t="s">
        <v>67</v>
      </c>
      <c r="K220" s="212"/>
      <c r="L220" s="212"/>
      <c r="M220" s="212"/>
      <c r="N220" s="212"/>
      <c r="O220" s="212"/>
      <c r="P220" s="226"/>
      <c r="Q220" s="227"/>
      <c r="R220" s="212"/>
      <c r="S220" s="212"/>
      <c r="T220" s="212"/>
      <c r="U220" s="212"/>
      <c r="V220" s="212"/>
      <c r="W220" s="228"/>
      <c r="X220" s="212"/>
      <c r="Y220" s="476"/>
      <c r="Z220" s="481"/>
      <c r="AA220" s="481"/>
      <c r="AB220" s="485"/>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486"/>
      <c r="AW220" s="223"/>
    </row>
    <row r="221" spans="1:49" s="166" customFormat="1" ht="18" customHeight="1">
      <c r="A221" s="444"/>
      <c r="B221" s="446"/>
      <c r="C221" s="449"/>
      <c r="D221" s="449" t="s">
        <v>4811</v>
      </c>
      <c r="E221" s="212"/>
      <c r="F221" s="449" t="s">
        <v>83</v>
      </c>
      <c r="G221" s="449" t="s">
        <v>72</v>
      </c>
      <c r="H221" s="454"/>
      <c r="I221" s="212" t="s">
        <v>9</v>
      </c>
      <c r="J221" s="249" t="s">
        <v>4729</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476">
        <v>90</v>
      </c>
      <c r="Z221" s="481">
        <v>46382</v>
      </c>
      <c r="AA221" s="481">
        <v>46538</v>
      </c>
      <c r="AB221" s="485">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486">
        <v>7</v>
      </c>
      <c r="AW221" s="223"/>
    </row>
    <row r="222" spans="1:49" s="166" customFormat="1" ht="18" customHeight="1">
      <c r="A222" s="444"/>
      <c r="B222" s="447"/>
      <c r="C222" s="449"/>
      <c r="D222" s="449" t="s">
        <v>4811</v>
      </c>
      <c r="E222" s="212"/>
      <c r="F222" s="449" t="str">
        <f>F221</f>
        <v>Piping</v>
      </c>
      <c r="G222" s="449" t="str">
        <f>G221</f>
        <v>N</v>
      </c>
      <c r="H222" s="455"/>
      <c r="I222" s="212" t="str">
        <f>I221</f>
        <v>LD</v>
      </c>
      <c r="J222" s="249" t="s">
        <v>65</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476"/>
      <c r="Z222" s="481"/>
      <c r="AA222" s="481"/>
      <c r="AB222" s="485"/>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486"/>
      <c r="AW222" s="223"/>
    </row>
    <row r="223" spans="1:49" s="166" customFormat="1" ht="18" customHeight="1">
      <c r="A223" s="444"/>
      <c r="B223" s="448"/>
      <c r="C223" s="449"/>
      <c r="D223" s="449" t="s">
        <v>4811</v>
      </c>
      <c r="E223" s="212"/>
      <c r="F223" s="449" t="str">
        <f>F221</f>
        <v>Piping</v>
      </c>
      <c r="G223" s="449" t="str">
        <f>G221</f>
        <v>N</v>
      </c>
      <c r="H223" s="456"/>
      <c r="I223" s="212" t="str">
        <f>I221</f>
        <v>LD</v>
      </c>
      <c r="J223" s="249" t="s">
        <v>67</v>
      </c>
      <c r="K223" s="212"/>
      <c r="L223" s="212"/>
      <c r="M223" s="212"/>
      <c r="N223" s="212"/>
      <c r="O223" s="212"/>
      <c r="P223" s="226"/>
      <c r="Q223" s="227"/>
      <c r="R223" s="212"/>
      <c r="S223" s="212"/>
      <c r="T223" s="212"/>
      <c r="U223" s="212"/>
      <c r="V223" s="212"/>
      <c r="W223" s="228"/>
      <c r="X223" s="212"/>
      <c r="Y223" s="476"/>
      <c r="Z223" s="481"/>
      <c r="AA223" s="481"/>
      <c r="AB223" s="485"/>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486"/>
      <c r="AW223" s="223"/>
    </row>
    <row r="224" spans="1:49" s="166" customFormat="1" ht="18" customHeight="1">
      <c r="A224" s="444"/>
      <c r="B224" s="446"/>
      <c r="C224" s="449"/>
      <c r="D224" s="449" t="s">
        <v>261</v>
      </c>
      <c r="E224" s="212"/>
      <c r="F224" s="449" t="s">
        <v>83</v>
      </c>
      <c r="G224" s="449" t="s">
        <v>72</v>
      </c>
      <c r="H224" s="454"/>
      <c r="I224" s="212" t="s">
        <v>9</v>
      </c>
      <c r="J224" s="249" t="s">
        <v>4729</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476">
        <v>170</v>
      </c>
      <c r="Z224" s="481">
        <v>46382</v>
      </c>
      <c r="AA224" s="481">
        <v>46538</v>
      </c>
      <c r="AB224" s="485">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486">
        <v>7</v>
      </c>
      <c r="AW224" s="223"/>
    </row>
    <row r="225" spans="1:49" s="166" customFormat="1" ht="18" customHeight="1">
      <c r="A225" s="444"/>
      <c r="B225" s="447"/>
      <c r="C225" s="449"/>
      <c r="D225" s="449" t="s">
        <v>261</v>
      </c>
      <c r="E225" s="212"/>
      <c r="F225" s="449" t="str">
        <f>F224</f>
        <v>Piping</v>
      </c>
      <c r="G225" s="449" t="str">
        <f>G224</f>
        <v>N</v>
      </c>
      <c r="H225" s="455"/>
      <c r="I225" s="212" t="str">
        <f>I224</f>
        <v>LD</v>
      </c>
      <c r="J225" s="249" t="s">
        <v>65</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476"/>
      <c r="Z225" s="481"/>
      <c r="AA225" s="481"/>
      <c r="AB225" s="485"/>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486"/>
      <c r="AW225" s="223"/>
    </row>
    <row r="226" spans="1:49" s="166" customFormat="1" ht="18" customHeight="1">
      <c r="A226" s="444"/>
      <c r="B226" s="448"/>
      <c r="C226" s="449"/>
      <c r="D226" s="449" t="s">
        <v>261</v>
      </c>
      <c r="E226" s="212"/>
      <c r="F226" s="449" t="str">
        <f>F224</f>
        <v>Piping</v>
      </c>
      <c r="G226" s="449" t="str">
        <f>G224</f>
        <v>N</v>
      </c>
      <c r="H226" s="456"/>
      <c r="I226" s="212" t="str">
        <f>I224</f>
        <v>LD</v>
      </c>
      <c r="J226" s="249" t="s">
        <v>67</v>
      </c>
      <c r="K226" s="212"/>
      <c r="L226" s="212"/>
      <c r="M226" s="212"/>
      <c r="N226" s="212"/>
      <c r="O226" s="212"/>
      <c r="P226" s="226"/>
      <c r="Q226" s="227"/>
      <c r="R226" s="212"/>
      <c r="S226" s="212"/>
      <c r="T226" s="212"/>
      <c r="U226" s="212"/>
      <c r="V226" s="212"/>
      <c r="W226" s="228"/>
      <c r="X226" s="212"/>
      <c r="Y226" s="476"/>
      <c r="Z226" s="481"/>
      <c r="AA226" s="481"/>
      <c r="AB226" s="485"/>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486"/>
      <c r="AW226" s="223"/>
    </row>
    <row r="227" spans="1:49" s="166" customFormat="1" ht="18" customHeight="1">
      <c r="A227" s="444"/>
      <c r="B227" s="446"/>
      <c r="C227" s="449"/>
      <c r="D227" s="449" t="s">
        <v>4812</v>
      </c>
      <c r="E227" s="212"/>
      <c r="F227" s="449" t="s">
        <v>83</v>
      </c>
      <c r="G227" s="449" t="s">
        <v>72</v>
      </c>
      <c r="H227" s="454"/>
      <c r="I227" s="212" t="s">
        <v>9</v>
      </c>
      <c r="J227" s="249" t="s">
        <v>4729</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476">
        <v>170</v>
      </c>
      <c r="Z227" s="481">
        <v>46382</v>
      </c>
      <c r="AA227" s="481">
        <v>46538</v>
      </c>
      <c r="AB227" s="485">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486">
        <v>7</v>
      </c>
      <c r="AW227" s="223"/>
    </row>
    <row r="228" spans="1:49" s="166" customFormat="1" ht="18" customHeight="1">
      <c r="A228" s="444"/>
      <c r="B228" s="447"/>
      <c r="C228" s="449"/>
      <c r="D228" s="449" t="s">
        <v>4812</v>
      </c>
      <c r="E228" s="212"/>
      <c r="F228" s="449" t="str">
        <f>F227</f>
        <v>Piping</v>
      </c>
      <c r="G228" s="449" t="str">
        <f>G227</f>
        <v>N</v>
      </c>
      <c r="H228" s="455"/>
      <c r="I228" s="212" t="str">
        <f>I227</f>
        <v>LD</v>
      </c>
      <c r="J228" s="249" t="s">
        <v>65</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476"/>
      <c r="Z228" s="481"/>
      <c r="AA228" s="481"/>
      <c r="AB228" s="485"/>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486"/>
      <c r="AW228" s="223"/>
    </row>
    <row r="229" spans="1:49" s="166" customFormat="1" ht="18" customHeight="1">
      <c r="A229" s="444"/>
      <c r="B229" s="448"/>
      <c r="C229" s="449"/>
      <c r="D229" s="449" t="s">
        <v>4812</v>
      </c>
      <c r="E229" s="212"/>
      <c r="F229" s="449" t="str">
        <f>F227</f>
        <v>Piping</v>
      </c>
      <c r="G229" s="449" t="str">
        <f>G227</f>
        <v>N</v>
      </c>
      <c r="H229" s="456"/>
      <c r="I229" s="212" t="str">
        <f>I227</f>
        <v>LD</v>
      </c>
      <c r="J229" s="249" t="s">
        <v>67</v>
      </c>
      <c r="K229" s="212"/>
      <c r="L229" s="212"/>
      <c r="M229" s="212"/>
      <c r="N229" s="212"/>
      <c r="O229" s="212"/>
      <c r="P229" s="226"/>
      <c r="Q229" s="227"/>
      <c r="R229" s="212"/>
      <c r="S229" s="212"/>
      <c r="T229" s="212"/>
      <c r="U229" s="212"/>
      <c r="V229" s="212"/>
      <c r="W229" s="228"/>
      <c r="X229" s="212"/>
      <c r="Y229" s="476"/>
      <c r="Z229" s="481"/>
      <c r="AA229" s="481"/>
      <c r="AB229" s="485"/>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486"/>
      <c r="AW229" s="223"/>
    </row>
    <row r="230" spans="1:49" s="166" customFormat="1" ht="18" customHeight="1">
      <c r="A230" s="444"/>
      <c r="B230" s="446"/>
      <c r="C230" s="449"/>
      <c r="D230" s="449" t="s">
        <v>4813</v>
      </c>
      <c r="E230" s="212"/>
      <c r="F230" s="449" t="s">
        <v>83</v>
      </c>
      <c r="G230" s="449" t="s">
        <v>72</v>
      </c>
      <c r="H230" s="454"/>
      <c r="I230" s="212" t="s">
        <v>9</v>
      </c>
      <c r="J230" s="249" t="s">
        <v>4729</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476">
        <v>90</v>
      </c>
      <c r="Z230" s="481">
        <v>46382</v>
      </c>
      <c r="AA230" s="481">
        <v>46538</v>
      </c>
      <c r="AB230" s="485">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486">
        <v>7</v>
      </c>
      <c r="AW230" s="223"/>
    </row>
    <row r="231" spans="1:49" s="166" customFormat="1" ht="18" customHeight="1">
      <c r="A231" s="444"/>
      <c r="B231" s="447"/>
      <c r="C231" s="449"/>
      <c r="D231" s="449" t="s">
        <v>4813</v>
      </c>
      <c r="E231" s="212"/>
      <c r="F231" s="449" t="str">
        <f>F230</f>
        <v>Piping</v>
      </c>
      <c r="G231" s="449" t="str">
        <f>G230</f>
        <v>N</v>
      </c>
      <c r="H231" s="455"/>
      <c r="I231" s="212" t="str">
        <f>I230</f>
        <v>LD</v>
      </c>
      <c r="J231" s="249" t="s">
        <v>65</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476"/>
      <c r="Z231" s="481"/>
      <c r="AA231" s="481"/>
      <c r="AB231" s="485"/>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486"/>
      <c r="AW231" s="223"/>
    </row>
    <row r="232" spans="1:49" s="166" customFormat="1" ht="18" customHeight="1">
      <c r="A232" s="444"/>
      <c r="B232" s="448"/>
      <c r="C232" s="449"/>
      <c r="D232" s="449" t="s">
        <v>4813</v>
      </c>
      <c r="E232" s="212"/>
      <c r="F232" s="449" t="str">
        <f>F230</f>
        <v>Piping</v>
      </c>
      <c r="G232" s="449" t="str">
        <f>G230</f>
        <v>N</v>
      </c>
      <c r="H232" s="456"/>
      <c r="I232" s="212" t="str">
        <f>I230</f>
        <v>LD</v>
      </c>
      <c r="J232" s="249" t="s">
        <v>67</v>
      </c>
      <c r="K232" s="212"/>
      <c r="L232" s="212"/>
      <c r="M232" s="212"/>
      <c r="N232" s="212"/>
      <c r="O232" s="212"/>
      <c r="P232" s="226"/>
      <c r="Q232" s="227"/>
      <c r="R232" s="212"/>
      <c r="S232" s="212"/>
      <c r="T232" s="212"/>
      <c r="U232" s="212"/>
      <c r="V232" s="212"/>
      <c r="W232" s="228"/>
      <c r="X232" s="212"/>
      <c r="Y232" s="476"/>
      <c r="Z232" s="481"/>
      <c r="AA232" s="481"/>
      <c r="AB232" s="485"/>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486"/>
      <c r="AW232" s="223"/>
    </row>
    <row r="233" spans="1:49" s="166" customFormat="1" ht="18" customHeight="1">
      <c r="A233" s="444"/>
      <c r="B233" s="446"/>
      <c r="C233" s="449"/>
      <c r="D233" s="449" t="s">
        <v>267</v>
      </c>
      <c r="E233" s="212"/>
      <c r="F233" s="449" t="s">
        <v>83</v>
      </c>
      <c r="G233" s="449" t="s">
        <v>72</v>
      </c>
      <c r="H233" s="454"/>
      <c r="I233" s="212" t="s">
        <v>9</v>
      </c>
      <c r="J233" s="249" t="s">
        <v>4729</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476">
        <v>90</v>
      </c>
      <c r="Z233" s="481">
        <v>46382</v>
      </c>
      <c r="AA233" s="481">
        <v>46538</v>
      </c>
      <c r="AB233" s="485">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486">
        <v>7</v>
      </c>
      <c r="AW233" s="223"/>
    </row>
    <row r="234" spans="1:49" s="166" customFormat="1" ht="18" customHeight="1">
      <c r="A234" s="444"/>
      <c r="B234" s="447"/>
      <c r="C234" s="449"/>
      <c r="D234" s="449" t="s">
        <v>267</v>
      </c>
      <c r="E234" s="212"/>
      <c r="F234" s="449" t="str">
        <f>F233</f>
        <v>Piping</v>
      </c>
      <c r="G234" s="449" t="str">
        <f>G233</f>
        <v>N</v>
      </c>
      <c r="H234" s="455"/>
      <c r="I234" s="212" t="str">
        <f>I233</f>
        <v>LD</v>
      </c>
      <c r="J234" s="249" t="s">
        <v>65</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476"/>
      <c r="Z234" s="481"/>
      <c r="AA234" s="481"/>
      <c r="AB234" s="485"/>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486"/>
      <c r="AW234" s="223"/>
    </row>
    <row r="235" spans="1:49" s="166" customFormat="1" ht="18" customHeight="1">
      <c r="A235" s="444"/>
      <c r="B235" s="448"/>
      <c r="C235" s="449"/>
      <c r="D235" s="449" t="s">
        <v>267</v>
      </c>
      <c r="E235" s="212"/>
      <c r="F235" s="449" t="str">
        <f>F233</f>
        <v>Piping</v>
      </c>
      <c r="G235" s="449" t="str">
        <f>G233</f>
        <v>N</v>
      </c>
      <c r="H235" s="456"/>
      <c r="I235" s="212" t="str">
        <f>I233</f>
        <v>LD</v>
      </c>
      <c r="J235" s="249" t="s">
        <v>67</v>
      </c>
      <c r="K235" s="212"/>
      <c r="L235" s="212"/>
      <c r="M235" s="212"/>
      <c r="N235" s="212"/>
      <c r="O235" s="212"/>
      <c r="P235" s="226"/>
      <c r="Q235" s="227"/>
      <c r="R235" s="212"/>
      <c r="S235" s="212"/>
      <c r="T235" s="212"/>
      <c r="U235" s="212"/>
      <c r="V235" s="212"/>
      <c r="W235" s="228"/>
      <c r="X235" s="212"/>
      <c r="Y235" s="476"/>
      <c r="Z235" s="481"/>
      <c r="AA235" s="481"/>
      <c r="AB235" s="485"/>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486"/>
      <c r="AW235" s="223"/>
    </row>
    <row r="236" spans="1:49" s="166" customFormat="1" ht="18" customHeight="1">
      <c r="A236" s="444"/>
      <c r="B236" s="446"/>
      <c r="C236" s="449"/>
      <c r="D236" s="449" t="s">
        <v>4814</v>
      </c>
      <c r="E236" s="212"/>
      <c r="F236" s="449" t="s">
        <v>83</v>
      </c>
      <c r="G236" s="449" t="s">
        <v>72</v>
      </c>
      <c r="H236" s="454"/>
      <c r="I236" s="212" t="s">
        <v>9</v>
      </c>
      <c r="J236" s="249" t="s">
        <v>4729</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476">
        <v>90</v>
      </c>
      <c r="Z236" s="481">
        <v>46382</v>
      </c>
      <c r="AA236" s="481">
        <v>46538</v>
      </c>
      <c r="AB236" s="485">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486">
        <v>7</v>
      </c>
      <c r="AW236" s="223"/>
    </row>
    <row r="237" spans="1:49" s="166" customFormat="1" ht="18" customHeight="1">
      <c r="A237" s="444"/>
      <c r="B237" s="447"/>
      <c r="C237" s="449"/>
      <c r="D237" s="449" t="s">
        <v>4814</v>
      </c>
      <c r="E237" s="212"/>
      <c r="F237" s="449" t="str">
        <f>F236</f>
        <v>Piping</v>
      </c>
      <c r="G237" s="449" t="str">
        <f>G236</f>
        <v>N</v>
      </c>
      <c r="H237" s="455"/>
      <c r="I237" s="212" t="str">
        <f>I236</f>
        <v>LD</v>
      </c>
      <c r="J237" s="249" t="s">
        <v>65</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476"/>
      <c r="Z237" s="481"/>
      <c r="AA237" s="481"/>
      <c r="AB237" s="485"/>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486"/>
      <c r="AW237" s="223"/>
    </row>
    <row r="238" spans="1:49" s="166" customFormat="1" ht="18" customHeight="1">
      <c r="A238" s="444"/>
      <c r="B238" s="448"/>
      <c r="C238" s="449"/>
      <c r="D238" s="449" t="s">
        <v>4814</v>
      </c>
      <c r="E238" s="212"/>
      <c r="F238" s="449" t="str">
        <f>F236</f>
        <v>Piping</v>
      </c>
      <c r="G238" s="449" t="str">
        <f>G236</f>
        <v>N</v>
      </c>
      <c r="H238" s="456"/>
      <c r="I238" s="212" t="str">
        <f>I236</f>
        <v>LD</v>
      </c>
      <c r="J238" s="249" t="s">
        <v>67</v>
      </c>
      <c r="K238" s="212"/>
      <c r="L238" s="212"/>
      <c r="M238" s="212"/>
      <c r="N238" s="212"/>
      <c r="O238" s="212"/>
      <c r="P238" s="226"/>
      <c r="Q238" s="227"/>
      <c r="R238" s="212"/>
      <c r="S238" s="212"/>
      <c r="T238" s="212"/>
      <c r="U238" s="212"/>
      <c r="V238" s="212"/>
      <c r="W238" s="228"/>
      <c r="X238" s="212"/>
      <c r="Y238" s="476"/>
      <c r="Z238" s="481"/>
      <c r="AA238" s="481"/>
      <c r="AB238" s="485"/>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486"/>
      <c r="AW238" s="223"/>
    </row>
    <row r="239" spans="1:49" s="166" customFormat="1" ht="18" customHeight="1">
      <c r="A239" s="444"/>
      <c r="B239" s="446"/>
      <c r="C239" s="449"/>
      <c r="D239" s="449" t="s">
        <v>4815</v>
      </c>
      <c r="E239" s="212"/>
      <c r="F239" s="449" t="s">
        <v>83</v>
      </c>
      <c r="G239" s="449" t="s">
        <v>72</v>
      </c>
      <c r="H239" s="454"/>
      <c r="I239" s="212" t="s">
        <v>9</v>
      </c>
      <c r="J239" s="249" t="s">
        <v>4729</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476">
        <v>90</v>
      </c>
      <c r="Z239" s="481">
        <v>46382</v>
      </c>
      <c r="AA239" s="481">
        <v>46538</v>
      </c>
      <c r="AB239" s="485">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486">
        <v>7</v>
      </c>
      <c r="AW239" s="223"/>
    </row>
    <row r="240" spans="1:49" s="166" customFormat="1" ht="18" customHeight="1">
      <c r="A240" s="444"/>
      <c r="B240" s="447"/>
      <c r="C240" s="449"/>
      <c r="D240" s="449" t="s">
        <v>4815</v>
      </c>
      <c r="E240" s="212"/>
      <c r="F240" s="449" t="str">
        <f>F239</f>
        <v>Piping</v>
      </c>
      <c r="G240" s="449" t="str">
        <f>G239</f>
        <v>N</v>
      </c>
      <c r="H240" s="455"/>
      <c r="I240" s="212" t="str">
        <f>I239</f>
        <v>LD</v>
      </c>
      <c r="J240" s="249" t="s">
        <v>65</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476"/>
      <c r="Z240" s="481"/>
      <c r="AA240" s="481"/>
      <c r="AB240" s="485"/>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486"/>
      <c r="AW240" s="223"/>
    </row>
    <row r="241" spans="1:49" s="166" customFormat="1" ht="18" customHeight="1">
      <c r="A241" s="444"/>
      <c r="B241" s="448"/>
      <c r="C241" s="449"/>
      <c r="D241" s="449" t="s">
        <v>4815</v>
      </c>
      <c r="E241" s="212"/>
      <c r="F241" s="449" t="str">
        <f>F239</f>
        <v>Piping</v>
      </c>
      <c r="G241" s="449" t="str">
        <f>G239</f>
        <v>N</v>
      </c>
      <c r="H241" s="456"/>
      <c r="I241" s="212" t="str">
        <f>I239</f>
        <v>LD</v>
      </c>
      <c r="J241" s="249" t="s">
        <v>67</v>
      </c>
      <c r="K241" s="212"/>
      <c r="L241" s="212"/>
      <c r="M241" s="212"/>
      <c r="N241" s="212"/>
      <c r="O241" s="212"/>
      <c r="P241" s="226"/>
      <c r="Q241" s="227"/>
      <c r="R241" s="212"/>
      <c r="S241" s="212"/>
      <c r="T241" s="212"/>
      <c r="U241" s="212"/>
      <c r="V241" s="212"/>
      <c r="W241" s="228"/>
      <c r="X241" s="212"/>
      <c r="Y241" s="476"/>
      <c r="Z241" s="481"/>
      <c r="AA241" s="481"/>
      <c r="AB241" s="485"/>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486"/>
      <c r="AW241" s="223"/>
    </row>
    <row r="242" spans="1:49" s="166" customFormat="1" ht="18" customHeight="1">
      <c r="A242" s="444"/>
      <c r="B242" s="446"/>
      <c r="C242" s="449"/>
      <c r="D242" s="449" t="s">
        <v>4816</v>
      </c>
      <c r="E242" s="212"/>
      <c r="F242" s="449" t="s">
        <v>83</v>
      </c>
      <c r="G242" s="449" t="s">
        <v>72</v>
      </c>
      <c r="H242" s="454"/>
      <c r="I242" s="212" t="s">
        <v>9</v>
      </c>
      <c r="J242" s="249" t="s">
        <v>4729</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476">
        <v>120</v>
      </c>
      <c r="Z242" s="481">
        <v>46382</v>
      </c>
      <c r="AA242" s="481">
        <v>46538</v>
      </c>
      <c r="AB242" s="485">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486">
        <v>7</v>
      </c>
      <c r="AW242" s="223"/>
    </row>
    <row r="243" spans="1:49" s="166" customFormat="1" ht="18" customHeight="1">
      <c r="A243" s="444"/>
      <c r="B243" s="447"/>
      <c r="C243" s="449"/>
      <c r="D243" s="449" t="s">
        <v>4816</v>
      </c>
      <c r="E243" s="212"/>
      <c r="F243" s="449" t="str">
        <f>F242</f>
        <v>Piping</v>
      </c>
      <c r="G243" s="449" t="str">
        <f>G242</f>
        <v>N</v>
      </c>
      <c r="H243" s="455"/>
      <c r="I243" s="212" t="str">
        <f>I242</f>
        <v>LD</v>
      </c>
      <c r="J243" s="249" t="s">
        <v>65</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476"/>
      <c r="Z243" s="481"/>
      <c r="AA243" s="481"/>
      <c r="AB243" s="485"/>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486"/>
      <c r="AW243" s="223"/>
    </row>
    <row r="244" spans="1:49" s="166" customFormat="1" ht="18" customHeight="1">
      <c r="A244" s="444"/>
      <c r="B244" s="448"/>
      <c r="C244" s="449"/>
      <c r="D244" s="449" t="s">
        <v>4816</v>
      </c>
      <c r="E244" s="212"/>
      <c r="F244" s="449" t="str">
        <f>F242</f>
        <v>Piping</v>
      </c>
      <c r="G244" s="449" t="str">
        <f>G242</f>
        <v>N</v>
      </c>
      <c r="H244" s="456"/>
      <c r="I244" s="212" t="str">
        <f>I242</f>
        <v>LD</v>
      </c>
      <c r="J244" s="249" t="s">
        <v>67</v>
      </c>
      <c r="K244" s="212"/>
      <c r="L244" s="212"/>
      <c r="M244" s="212"/>
      <c r="N244" s="212"/>
      <c r="O244" s="212"/>
      <c r="P244" s="226"/>
      <c r="Q244" s="227"/>
      <c r="R244" s="212"/>
      <c r="S244" s="212"/>
      <c r="T244" s="212"/>
      <c r="U244" s="212"/>
      <c r="V244" s="212"/>
      <c r="W244" s="228"/>
      <c r="X244" s="212"/>
      <c r="Y244" s="476"/>
      <c r="Z244" s="481"/>
      <c r="AA244" s="481"/>
      <c r="AB244" s="485"/>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486"/>
      <c r="AW244" s="223"/>
    </row>
    <row r="245" spans="1:49" s="166" customFormat="1" ht="18" customHeight="1">
      <c r="A245" s="444"/>
      <c r="B245" s="446"/>
      <c r="C245" s="449"/>
      <c r="D245" s="449" t="s">
        <v>273</v>
      </c>
      <c r="E245" s="212"/>
      <c r="F245" s="449" t="s">
        <v>83</v>
      </c>
      <c r="G245" s="449" t="s">
        <v>72</v>
      </c>
      <c r="H245" s="454"/>
      <c r="I245" s="212" t="s">
        <v>9</v>
      </c>
      <c r="J245" s="249" t="s">
        <v>4729</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476">
        <v>120</v>
      </c>
      <c r="Z245" s="481">
        <v>46382</v>
      </c>
      <c r="AA245" s="481">
        <v>46538</v>
      </c>
      <c r="AB245" s="485">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486">
        <v>7</v>
      </c>
      <c r="AW245" s="223"/>
    </row>
    <row r="246" spans="1:49" s="166" customFormat="1" ht="18" customHeight="1">
      <c r="A246" s="444"/>
      <c r="B246" s="447"/>
      <c r="C246" s="449"/>
      <c r="D246" s="449" t="s">
        <v>273</v>
      </c>
      <c r="E246" s="212"/>
      <c r="F246" s="449" t="str">
        <f>F245</f>
        <v>Piping</v>
      </c>
      <c r="G246" s="449" t="str">
        <f>G245</f>
        <v>N</v>
      </c>
      <c r="H246" s="455"/>
      <c r="I246" s="212" t="str">
        <f>I245</f>
        <v>LD</v>
      </c>
      <c r="J246" s="249" t="s">
        <v>65</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476"/>
      <c r="Z246" s="481"/>
      <c r="AA246" s="481"/>
      <c r="AB246" s="485"/>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486"/>
      <c r="AW246" s="223"/>
    </row>
    <row r="247" spans="1:49" s="166" customFormat="1" ht="18" customHeight="1">
      <c r="A247" s="444"/>
      <c r="B247" s="448"/>
      <c r="C247" s="449"/>
      <c r="D247" s="449" t="s">
        <v>273</v>
      </c>
      <c r="E247" s="212"/>
      <c r="F247" s="449" t="str">
        <f>F245</f>
        <v>Piping</v>
      </c>
      <c r="G247" s="449" t="str">
        <f>G245</f>
        <v>N</v>
      </c>
      <c r="H247" s="456"/>
      <c r="I247" s="212" t="str">
        <f>I245</f>
        <v>LD</v>
      </c>
      <c r="J247" s="249" t="s">
        <v>67</v>
      </c>
      <c r="K247" s="212"/>
      <c r="L247" s="212"/>
      <c r="M247" s="212"/>
      <c r="N247" s="212"/>
      <c r="O247" s="212"/>
      <c r="P247" s="226"/>
      <c r="Q247" s="227"/>
      <c r="R247" s="212"/>
      <c r="S247" s="212"/>
      <c r="T247" s="212"/>
      <c r="U247" s="212"/>
      <c r="V247" s="212"/>
      <c r="W247" s="228"/>
      <c r="X247" s="212"/>
      <c r="Y247" s="476"/>
      <c r="Z247" s="481"/>
      <c r="AA247" s="481"/>
      <c r="AB247" s="485"/>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486"/>
      <c r="AW247" s="223"/>
    </row>
  </sheetData>
  <autoFilter ref="A16:BK247" xr:uid="{00000000-0009-0000-0000-000003000000}"/>
  <mergeCells count="908">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 ref="AS155:AS157"/>
    <mergeCell ref="AS158:AS160"/>
    <mergeCell ref="AS161:AS163"/>
    <mergeCell ref="AS164:AS166"/>
    <mergeCell ref="AS167:AS169"/>
    <mergeCell ref="AS170:AS172"/>
    <mergeCell ref="AS173:AS175"/>
    <mergeCell ref="AS176:AS178"/>
    <mergeCell ref="AS179:AS181"/>
    <mergeCell ref="AS128:AS130"/>
    <mergeCell ref="AS131:AS133"/>
    <mergeCell ref="AS134:AS136"/>
    <mergeCell ref="AS137:AS139"/>
    <mergeCell ref="AS140:AS142"/>
    <mergeCell ref="AS143:AS145"/>
    <mergeCell ref="AS146:AS148"/>
    <mergeCell ref="AS149:AS151"/>
    <mergeCell ref="AS152:AS154"/>
    <mergeCell ref="AS101:AS103"/>
    <mergeCell ref="AS104:AS106"/>
    <mergeCell ref="AS107:AS109"/>
    <mergeCell ref="AS110:AS112"/>
    <mergeCell ref="AS113:AS115"/>
    <mergeCell ref="AS116:AS118"/>
    <mergeCell ref="AS119:AS121"/>
    <mergeCell ref="AS122:AS124"/>
    <mergeCell ref="AS125:AS127"/>
    <mergeCell ref="AS74:AS76"/>
    <mergeCell ref="AS77:AS79"/>
    <mergeCell ref="AS80:AS82"/>
    <mergeCell ref="AS83:AS85"/>
    <mergeCell ref="AS86:AS88"/>
    <mergeCell ref="AS89:AS91"/>
    <mergeCell ref="AS92:AS94"/>
    <mergeCell ref="AS95:AS97"/>
    <mergeCell ref="AS98:AS100"/>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B206:AB208"/>
    <mergeCell ref="AB209:AB211"/>
    <mergeCell ref="AB212:AB214"/>
    <mergeCell ref="AB215:AB217"/>
    <mergeCell ref="AB218:AB220"/>
    <mergeCell ref="AB221:AB223"/>
    <mergeCell ref="AB224:AB226"/>
    <mergeCell ref="AB227:AB229"/>
    <mergeCell ref="AB230:AB232"/>
    <mergeCell ref="AB179:AB181"/>
    <mergeCell ref="AB182:AB184"/>
    <mergeCell ref="AB185:AB187"/>
    <mergeCell ref="AB188:AB190"/>
    <mergeCell ref="AB191:AB193"/>
    <mergeCell ref="AB194:AB196"/>
    <mergeCell ref="AB197:AB199"/>
    <mergeCell ref="AB200:AB202"/>
    <mergeCell ref="AB203:AB205"/>
    <mergeCell ref="AB152:AB154"/>
    <mergeCell ref="AB155:AB157"/>
    <mergeCell ref="AB158:AB160"/>
    <mergeCell ref="AB161:AB163"/>
    <mergeCell ref="AB164:AB166"/>
    <mergeCell ref="AB167:AB169"/>
    <mergeCell ref="AB170:AB172"/>
    <mergeCell ref="AB173:AB175"/>
    <mergeCell ref="AB176:AB178"/>
    <mergeCell ref="AB125:AB127"/>
    <mergeCell ref="AB128:AB130"/>
    <mergeCell ref="AB131:AB133"/>
    <mergeCell ref="AB134:AB136"/>
    <mergeCell ref="AB137:AB139"/>
    <mergeCell ref="AB140:AB142"/>
    <mergeCell ref="AB143:AB145"/>
    <mergeCell ref="AB146:AB148"/>
    <mergeCell ref="AB149:AB151"/>
    <mergeCell ref="AB98:AB100"/>
    <mergeCell ref="AB101:AB103"/>
    <mergeCell ref="AB104:AB106"/>
    <mergeCell ref="AB107:AB109"/>
    <mergeCell ref="AB110:AB112"/>
    <mergeCell ref="AB113:AB115"/>
    <mergeCell ref="AB116:AB118"/>
    <mergeCell ref="AB119:AB121"/>
    <mergeCell ref="AB122:AB124"/>
    <mergeCell ref="AB71:AB73"/>
    <mergeCell ref="AB74:AB76"/>
    <mergeCell ref="AB77:AB79"/>
    <mergeCell ref="AB80:AB82"/>
    <mergeCell ref="AB83:AB85"/>
    <mergeCell ref="AB86:AB88"/>
    <mergeCell ref="AB89:AB91"/>
    <mergeCell ref="AB92:AB94"/>
    <mergeCell ref="AB95:AB97"/>
    <mergeCell ref="AB44:AB46"/>
    <mergeCell ref="AB47:AB49"/>
    <mergeCell ref="AB50:AB52"/>
    <mergeCell ref="AB53:AB55"/>
    <mergeCell ref="AB56:AB58"/>
    <mergeCell ref="AB59:AB61"/>
    <mergeCell ref="AB62:AB64"/>
    <mergeCell ref="AB65:AB67"/>
    <mergeCell ref="AB68:AB70"/>
    <mergeCell ref="AB17:AB19"/>
    <mergeCell ref="AB20:AB22"/>
    <mergeCell ref="AB23:AB25"/>
    <mergeCell ref="AB26:AB28"/>
    <mergeCell ref="AB29:AB31"/>
    <mergeCell ref="AB32:AB34"/>
    <mergeCell ref="AB35:AB37"/>
    <mergeCell ref="AB38:AB40"/>
    <mergeCell ref="AB41:AB43"/>
    <mergeCell ref="AA221:AA223"/>
    <mergeCell ref="AA224:AA226"/>
    <mergeCell ref="AA227:AA229"/>
    <mergeCell ref="AA230:AA232"/>
    <mergeCell ref="AA233:AA235"/>
    <mergeCell ref="AA236:AA238"/>
    <mergeCell ref="AA239:AA241"/>
    <mergeCell ref="AA242:AA244"/>
    <mergeCell ref="AA245:AA247"/>
    <mergeCell ref="AA167:AA169"/>
    <mergeCell ref="AA170:AA172"/>
    <mergeCell ref="AA173:AA175"/>
    <mergeCell ref="AA176:AA178"/>
    <mergeCell ref="AA179:AA181"/>
    <mergeCell ref="AA182:AA184"/>
    <mergeCell ref="AA212:AA214"/>
    <mergeCell ref="AA215:AA217"/>
    <mergeCell ref="AA218:AA220"/>
    <mergeCell ref="AA140:AA142"/>
    <mergeCell ref="AA143:AA145"/>
    <mergeCell ref="AA146:AA148"/>
    <mergeCell ref="AA149:AA151"/>
    <mergeCell ref="AA152:AA154"/>
    <mergeCell ref="AA155:AA157"/>
    <mergeCell ref="AA158:AA160"/>
    <mergeCell ref="AA161:AA163"/>
    <mergeCell ref="AA164:AA166"/>
    <mergeCell ref="AA113:AA115"/>
    <mergeCell ref="AA116:AA118"/>
    <mergeCell ref="AA119:AA121"/>
    <mergeCell ref="AA122:AA124"/>
    <mergeCell ref="AA125:AA127"/>
    <mergeCell ref="AA128:AA130"/>
    <mergeCell ref="AA131:AA133"/>
    <mergeCell ref="AA134:AA136"/>
    <mergeCell ref="AA137:AA139"/>
    <mergeCell ref="AA86:AA88"/>
    <mergeCell ref="AA89:AA91"/>
    <mergeCell ref="AA92:AA94"/>
    <mergeCell ref="AA95:AA97"/>
    <mergeCell ref="AA98:AA100"/>
    <mergeCell ref="AA101:AA103"/>
    <mergeCell ref="AA104:AA106"/>
    <mergeCell ref="AA107:AA109"/>
    <mergeCell ref="AA110:AA112"/>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Z218:Z220"/>
    <mergeCell ref="Z221:Z223"/>
    <mergeCell ref="Z224:Z226"/>
    <mergeCell ref="Z227:Z229"/>
    <mergeCell ref="Z230:Z232"/>
    <mergeCell ref="Z233:Z235"/>
    <mergeCell ref="Z236:Z238"/>
    <mergeCell ref="Z239:Z241"/>
    <mergeCell ref="Z242:Z244"/>
    <mergeCell ref="Z191:Z193"/>
    <mergeCell ref="Z194:Z196"/>
    <mergeCell ref="Z197:Z199"/>
    <mergeCell ref="Z200:Z202"/>
    <mergeCell ref="Z203:Z205"/>
    <mergeCell ref="Z206:Z208"/>
    <mergeCell ref="Z209:Z211"/>
    <mergeCell ref="Z212:Z214"/>
    <mergeCell ref="Z215:Z217"/>
    <mergeCell ref="Z164:Z166"/>
    <mergeCell ref="Z167:Z169"/>
    <mergeCell ref="Z170:Z172"/>
    <mergeCell ref="Z173:Z175"/>
    <mergeCell ref="Z176:Z178"/>
    <mergeCell ref="Z179:Z181"/>
    <mergeCell ref="Z182:Z184"/>
    <mergeCell ref="Z185:Z187"/>
    <mergeCell ref="Z188:Z190"/>
    <mergeCell ref="Z137:Z139"/>
    <mergeCell ref="Z140:Z142"/>
    <mergeCell ref="Z143:Z145"/>
    <mergeCell ref="Z146:Z148"/>
    <mergeCell ref="Z149:Z151"/>
    <mergeCell ref="Z152:Z154"/>
    <mergeCell ref="Z155:Z157"/>
    <mergeCell ref="Z158:Z160"/>
    <mergeCell ref="Z161:Z163"/>
    <mergeCell ref="Z110:Z112"/>
    <mergeCell ref="Z113:Z115"/>
    <mergeCell ref="Z116:Z118"/>
    <mergeCell ref="Z119:Z121"/>
    <mergeCell ref="Z122:Z124"/>
    <mergeCell ref="Z125:Z127"/>
    <mergeCell ref="Z128:Z130"/>
    <mergeCell ref="Z131:Z133"/>
    <mergeCell ref="Z134:Z136"/>
    <mergeCell ref="Z83:Z85"/>
    <mergeCell ref="Z86:Z88"/>
    <mergeCell ref="Z89:Z91"/>
    <mergeCell ref="Z92:Z94"/>
    <mergeCell ref="Z95:Z97"/>
    <mergeCell ref="Z98:Z100"/>
    <mergeCell ref="Z101:Z103"/>
    <mergeCell ref="Z104:Z106"/>
    <mergeCell ref="Z107:Z109"/>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Y215:Y217"/>
    <mergeCell ref="Y218:Y220"/>
    <mergeCell ref="Y221:Y223"/>
    <mergeCell ref="Y224:Y226"/>
    <mergeCell ref="Y227:Y229"/>
    <mergeCell ref="Y230:Y232"/>
    <mergeCell ref="Y233:Y235"/>
    <mergeCell ref="Y236:Y238"/>
    <mergeCell ref="Y239:Y241"/>
    <mergeCell ref="Y188:Y190"/>
    <mergeCell ref="Y191:Y193"/>
    <mergeCell ref="Y194:Y196"/>
    <mergeCell ref="Y197:Y199"/>
    <mergeCell ref="Y200:Y202"/>
    <mergeCell ref="Y203:Y205"/>
    <mergeCell ref="Y206:Y208"/>
    <mergeCell ref="Y209:Y211"/>
    <mergeCell ref="Y212:Y214"/>
    <mergeCell ref="Y161:Y163"/>
    <mergeCell ref="Y164:Y166"/>
    <mergeCell ref="Y167:Y169"/>
    <mergeCell ref="Y170:Y172"/>
    <mergeCell ref="Y173:Y175"/>
    <mergeCell ref="Y176:Y178"/>
    <mergeCell ref="Y179:Y181"/>
    <mergeCell ref="Y182:Y184"/>
    <mergeCell ref="Y185:Y187"/>
    <mergeCell ref="Y134:Y136"/>
    <mergeCell ref="Y137:Y139"/>
    <mergeCell ref="Y140:Y142"/>
    <mergeCell ref="Y143:Y145"/>
    <mergeCell ref="Y146:Y148"/>
    <mergeCell ref="Y149:Y151"/>
    <mergeCell ref="Y152:Y154"/>
    <mergeCell ref="Y155:Y157"/>
    <mergeCell ref="Y158:Y160"/>
    <mergeCell ref="Y107:Y109"/>
    <mergeCell ref="Y110:Y112"/>
    <mergeCell ref="Y113:Y115"/>
    <mergeCell ref="Y116:Y118"/>
    <mergeCell ref="Y119:Y121"/>
    <mergeCell ref="Y122:Y124"/>
    <mergeCell ref="Y125:Y127"/>
    <mergeCell ref="Y128:Y130"/>
    <mergeCell ref="Y131:Y133"/>
    <mergeCell ref="Y80:Y82"/>
    <mergeCell ref="Y83:Y85"/>
    <mergeCell ref="Y86:Y88"/>
    <mergeCell ref="Y89:Y91"/>
    <mergeCell ref="Y92:Y94"/>
    <mergeCell ref="Y95:Y97"/>
    <mergeCell ref="Y98:Y100"/>
    <mergeCell ref="Y101:Y103"/>
    <mergeCell ref="Y104:Y106"/>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H212:H214"/>
    <mergeCell ref="H215:H217"/>
    <mergeCell ref="H218:H220"/>
    <mergeCell ref="H221:H223"/>
    <mergeCell ref="H224:H226"/>
    <mergeCell ref="H227:H229"/>
    <mergeCell ref="H230:H232"/>
    <mergeCell ref="H233:H235"/>
    <mergeCell ref="H236:H238"/>
    <mergeCell ref="H158:H160"/>
    <mergeCell ref="H161:H163"/>
    <mergeCell ref="H164:H166"/>
    <mergeCell ref="H167:H169"/>
    <mergeCell ref="H170:H172"/>
    <mergeCell ref="H173:H175"/>
    <mergeCell ref="H176:H178"/>
    <mergeCell ref="H179:H181"/>
    <mergeCell ref="H182:H184"/>
    <mergeCell ref="H131:H133"/>
    <mergeCell ref="H134:H136"/>
    <mergeCell ref="H137:H139"/>
    <mergeCell ref="H140:H142"/>
    <mergeCell ref="H143:H145"/>
    <mergeCell ref="H146:H148"/>
    <mergeCell ref="H149:H151"/>
    <mergeCell ref="H152:H154"/>
    <mergeCell ref="H155:H157"/>
    <mergeCell ref="H104:H106"/>
    <mergeCell ref="H107:H109"/>
    <mergeCell ref="H110:H112"/>
    <mergeCell ref="H113:H115"/>
    <mergeCell ref="H116:H118"/>
    <mergeCell ref="H119:H121"/>
    <mergeCell ref="H122:H124"/>
    <mergeCell ref="H125:H127"/>
    <mergeCell ref="H128:H130"/>
    <mergeCell ref="H77:H79"/>
    <mergeCell ref="H80:H82"/>
    <mergeCell ref="H83:H85"/>
    <mergeCell ref="H86:H88"/>
    <mergeCell ref="H89:H91"/>
    <mergeCell ref="H92:H94"/>
    <mergeCell ref="H95:H97"/>
    <mergeCell ref="H98:H100"/>
    <mergeCell ref="H101:H103"/>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G209:G211"/>
    <mergeCell ref="G212:G214"/>
    <mergeCell ref="G215:G217"/>
    <mergeCell ref="G218:G220"/>
    <mergeCell ref="G221:G223"/>
    <mergeCell ref="G224:G226"/>
    <mergeCell ref="G227:G229"/>
    <mergeCell ref="G230:G232"/>
    <mergeCell ref="G233:G235"/>
    <mergeCell ref="G182:G184"/>
    <mergeCell ref="G185:G187"/>
    <mergeCell ref="G188:G190"/>
    <mergeCell ref="G191:G193"/>
    <mergeCell ref="G194:G196"/>
    <mergeCell ref="G197:G199"/>
    <mergeCell ref="G200:G202"/>
    <mergeCell ref="G203:G205"/>
    <mergeCell ref="G206:G208"/>
    <mergeCell ref="G155:G157"/>
    <mergeCell ref="G158:G160"/>
    <mergeCell ref="G161:G163"/>
    <mergeCell ref="G164:G166"/>
    <mergeCell ref="G167:G169"/>
    <mergeCell ref="G170:G172"/>
    <mergeCell ref="G173:G175"/>
    <mergeCell ref="G176:G178"/>
    <mergeCell ref="G179:G181"/>
    <mergeCell ref="G128:G130"/>
    <mergeCell ref="G131:G133"/>
    <mergeCell ref="G134:G136"/>
    <mergeCell ref="G137:G139"/>
    <mergeCell ref="G140:G142"/>
    <mergeCell ref="G143:G145"/>
    <mergeCell ref="G146:G148"/>
    <mergeCell ref="G149:G151"/>
    <mergeCell ref="G152:G154"/>
    <mergeCell ref="G101:G103"/>
    <mergeCell ref="G104:G106"/>
    <mergeCell ref="G107:G109"/>
    <mergeCell ref="G110:G112"/>
    <mergeCell ref="G113:G115"/>
    <mergeCell ref="G116:G118"/>
    <mergeCell ref="G119:G121"/>
    <mergeCell ref="G122:G124"/>
    <mergeCell ref="G125:G127"/>
    <mergeCell ref="G74:G76"/>
    <mergeCell ref="G77:G79"/>
    <mergeCell ref="G80:G82"/>
    <mergeCell ref="G83:G85"/>
    <mergeCell ref="G86:G88"/>
    <mergeCell ref="G89:G91"/>
    <mergeCell ref="G92:G94"/>
    <mergeCell ref="G95:G97"/>
    <mergeCell ref="G98:G100"/>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F206:F208"/>
    <mergeCell ref="F209:F211"/>
    <mergeCell ref="F212:F214"/>
    <mergeCell ref="F215:F217"/>
    <mergeCell ref="F218:F220"/>
    <mergeCell ref="F221:F223"/>
    <mergeCell ref="F224:F226"/>
    <mergeCell ref="F227:F229"/>
    <mergeCell ref="F230:F232"/>
    <mergeCell ref="F179:F181"/>
    <mergeCell ref="F182:F184"/>
    <mergeCell ref="F185:F187"/>
    <mergeCell ref="F188:F190"/>
    <mergeCell ref="F191:F193"/>
    <mergeCell ref="F194:F196"/>
    <mergeCell ref="F197:F199"/>
    <mergeCell ref="F200:F202"/>
    <mergeCell ref="F203:F205"/>
    <mergeCell ref="F152:F154"/>
    <mergeCell ref="F155:F157"/>
    <mergeCell ref="F158:F160"/>
    <mergeCell ref="F161:F163"/>
    <mergeCell ref="F164:F166"/>
    <mergeCell ref="F167:F169"/>
    <mergeCell ref="F170:F172"/>
    <mergeCell ref="F173:F175"/>
    <mergeCell ref="F176:F178"/>
    <mergeCell ref="F125:F127"/>
    <mergeCell ref="F128:F130"/>
    <mergeCell ref="F131:F133"/>
    <mergeCell ref="F134:F136"/>
    <mergeCell ref="F137:F139"/>
    <mergeCell ref="F140:F142"/>
    <mergeCell ref="F143:F145"/>
    <mergeCell ref="F146:F148"/>
    <mergeCell ref="F149:F151"/>
    <mergeCell ref="F98:F100"/>
    <mergeCell ref="F101:F103"/>
    <mergeCell ref="F104:F106"/>
    <mergeCell ref="F107:F109"/>
    <mergeCell ref="F110:F112"/>
    <mergeCell ref="F113:F115"/>
    <mergeCell ref="F116:F118"/>
    <mergeCell ref="F119:F121"/>
    <mergeCell ref="F122:F124"/>
    <mergeCell ref="F71:F73"/>
    <mergeCell ref="F74:F76"/>
    <mergeCell ref="F77:F79"/>
    <mergeCell ref="F80:F82"/>
    <mergeCell ref="F83:F85"/>
    <mergeCell ref="F86:F88"/>
    <mergeCell ref="F89:F91"/>
    <mergeCell ref="F92:F94"/>
    <mergeCell ref="F95:F97"/>
    <mergeCell ref="F44:F46"/>
    <mergeCell ref="F47:F49"/>
    <mergeCell ref="F50:F52"/>
    <mergeCell ref="F53:F55"/>
    <mergeCell ref="F56:F58"/>
    <mergeCell ref="F59:F61"/>
    <mergeCell ref="F62:F64"/>
    <mergeCell ref="F65:F67"/>
    <mergeCell ref="F68:F70"/>
    <mergeCell ref="F17:F19"/>
    <mergeCell ref="F20:F22"/>
    <mergeCell ref="F23:F25"/>
    <mergeCell ref="F26:F28"/>
    <mergeCell ref="F29:F31"/>
    <mergeCell ref="F32:F34"/>
    <mergeCell ref="F35:F37"/>
    <mergeCell ref="F38:F40"/>
    <mergeCell ref="F41:F43"/>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134:D136"/>
    <mergeCell ref="D137:D139"/>
    <mergeCell ref="D140:D142"/>
    <mergeCell ref="D143:D145"/>
    <mergeCell ref="D146:D148"/>
    <mergeCell ref="D149:D151"/>
    <mergeCell ref="D152:D154"/>
    <mergeCell ref="D155:D157"/>
    <mergeCell ref="D158:D160"/>
    <mergeCell ref="D107:D109"/>
    <mergeCell ref="D110:D112"/>
    <mergeCell ref="D113:D115"/>
    <mergeCell ref="D116:D118"/>
    <mergeCell ref="D119:D121"/>
    <mergeCell ref="D122:D124"/>
    <mergeCell ref="D125:D127"/>
    <mergeCell ref="D128:D130"/>
    <mergeCell ref="D131:D133"/>
    <mergeCell ref="D80:D82"/>
    <mergeCell ref="D83:D85"/>
    <mergeCell ref="D86:D88"/>
    <mergeCell ref="D89:D91"/>
    <mergeCell ref="D92:D94"/>
    <mergeCell ref="D95:D97"/>
    <mergeCell ref="D98:D100"/>
    <mergeCell ref="D101:D103"/>
    <mergeCell ref="D104:D106"/>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C212:C214"/>
    <mergeCell ref="C215:C217"/>
    <mergeCell ref="C218:C220"/>
    <mergeCell ref="C221:C223"/>
    <mergeCell ref="C224:C226"/>
    <mergeCell ref="C227:C229"/>
    <mergeCell ref="C230:C232"/>
    <mergeCell ref="C233:C235"/>
    <mergeCell ref="C236:C238"/>
    <mergeCell ref="C185:C187"/>
    <mergeCell ref="C188:C190"/>
    <mergeCell ref="C191:C193"/>
    <mergeCell ref="C194:C196"/>
    <mergeCell ref="C197:C199"/>
    <mergeCell ref="C200:C202"/>
    <mergeCell ref="C203:C205"/>
    <mergeCell ref="C206:C208"/>
    <mergeCell ref="C209:C211"/>
    <mergeCell ref="C158:C160"/>
    <mergeCell ref="C161:C163"/>
    <mergeCell ref="C164:C166"/>
    <mergeCell ref="C167:C169"/>
    <mergeCell ref="C170:C172"/>
    <mergeCell ref="C173:C175"/>
    <mergeCell ref="C176:C178"/>
    <mergeCell ref="C179:C181"/>
    <mergeCell ref="C182:C184"/>
    <mergeCell ref="C131:C133"/>
    <mergeCell ref="C134:C136"/>
    <mergeCell ref="C137:C139"/>
    <mergeCell ref="C140:C142"/>
    <mergeCell ref="C143:C145"/>
    <mergeCell ref="C146:C148"/>
    <mergeCell ref="C149:C151"/>
    <mergeCell ref="C152:C154"/>
    <mergeCell ref="C155:C157"/>
    <mergeCell ref="C104:C106"/>
    <mergeCell ref="C107:C109"/>
    <mergeCell ref="C110:C112"/>
    <mergeCell ref="C113:C115"/>
    <mergeCell ref="C116:C118"/>
    <mergeCell ref="C119:C121"/>
    <mergeCell ref="C122:C124"/>
    <mergeCell ref="C125:C127"/>
    <mergeCell ref="C128:C130"/>
    <mergeCell ref="C77:C79"/>
    <mergeCell ref="C80:C82"/>
    <mergeCell ref="C83:C85"/>
    <mergeCell ref="C86:C88"/>
    <mergeCell ref="C89:C91"/>
    <mergeCell ref="C92:C94"/>
    <mergeCell ref="C95:C97"/>
    <mergeCell ref="C98:C100"/>
    <mergeCell ref="C101:C103"/>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B209:B211"/>
    <mergeCell ref="B212:B214"/>
    <mergeCell ref="B215:B217"/>
    <mergeCell ref="B218:B220"/>
    <mergeCell ref="B221:B223"/>
    <mergeCell ref="B224:B226"/>
    <mergeCell ref="B227:B229"/>
    <mergeCell ref="B230:B232"/>
    <mergeCell ref="B233:B235"/>
    <mergeCell ref="B182:B184"/>
    <mergeCell ref="B185:B187"/>
    <mergeCell ref="B188:B190"/>
    <mergeCell ref="B191:B193"/>
    <mergeCell ref="B194:B196"/>
    <mergeCell ref="B197:B199"/>
    <mergeCell ref="B200:B202"/>
    <mergeCell ref="B203:B205"/>
    <mergeCell ref="B206:B208"/>
    <mergeCell ref="B155:B157"/>
    <mergeCell ref="B158:B160"/>
    <mergeCell ref="B161:B163"/>
    <mergeCell ref="B164:B166"/>
    <mergeCell ref="B167:B169"/>
    <mergeCell ref="B170:B172"/>
    <mergeCell ref="B173:B175"/>
    <mergeCell ref="B176:B178"/>
    <mergeCell ref="B179:B181"/>
    <mergeCell ref="B128:B130"/>
    <mergeCell ref="B131:B133"/>
    <mergeCell ref="B134:B136"/>
    <mergeCell ref="B137:B139"/>
    <mergeCell ref="B140:B142"/>
    <mergeCell ref="B143:B145"/>
    <mergeCell ref="B146:B148"/>
    <mergeCell ref="B149:B151"/>
    <mergeCell ref="B152:B154"/>
    <mergeCell ref="B101:B103"/>
    <mergeCell ref="B104:B106"/>
    <mergeCell ref="B107:B109"/>
    <mergeCell ref="B110:B112"/>
    <mergeCell ref="B113:B115"/>
    <mergeCell ref="B116:B118"/>
    <mergeCell ref="B119:B121"/>
    <mergeCell ref="B122:B124"/>
    <mergeCell ref="B125:B127"/>
    <mergeCell ref="B74:B76"/>
    <mergeCell ref="B77:B79"/>
    <mergeCell ref="B80:B82"/>
    <mergeCell ref="B83:B85"/>
    <mergeCell ref="B86:B88"/>
    <mergeCell ref="B89:B91"/>
    <mergeCell ref="B92:B94"/>
    <mergeCell ref="B95:B97"/>
    <mergeCell ref="B98:B100"/>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A206:A208"/>
    <mergeCell ref="A209:A211"/>
    <mergeCell ref="A212:A214"/>
    <mergeCell ref="A215:A217"/>
    <mergeCell ref="A218:A220"/>
    <mergeCell ref="A221:A223"/>
    <mergeCell ref="A224:A226"/>
    <mergeCell ref="A227:A229"/>
    <mergeCell ref="A230:A232"/>
    <mergeCell ref="A179:A181"/>
    <mergeCell ref="A182:A184"/>
    <mergeCell ref="A185:A187"/>
    <mergeCell ref="A188:A190"/>
    <mergeCell ref="A191:A193"/>
    <mergeCell ref="A194:A196"/>
    <mergeCell ref="A197:A199"/>
    <mergeCell ref="A200:A202"/>
    <mergeCell ref="A203:A205"/>
    <mergeCell ref="A152:A154"/>
    <mergeCell ref="A155:A157"/>
    <mergeCell ref="A158:A160"/>
    <mergeCell ref="A161:A163"/>
    <mergeCell ref="A164:A166"/>
    <mergeCell ref="A167:A169"/>
    <mergeCell ref="A170:A172"/>
    <mergeCell ref="A173:A175"/>
    <mergeCell ref="A176:A178"/>
    <mergeCell ref="A125:A127"/>
    <mergeCell ref="A128:A130"/>
    <mergeCell ref="A131:A133"/>
    <mergeCell ref="A134:A136"/>
    <mergeCell ref="A137:A139"/>
    <mergeCell ref="A140:A142"/>
    <mergeCell ref="A143:A145"/>
    <mergeCell ref="A146:A148"/>
    <mergeCell ref="A149:A151"/>
    <mergeCell ref="A98:A100"/>
    <mergeCell ref="A101:A103"/>
    <mergeCell ref="A104:A106"/>
    <mergeCell ref="A107:A109"/>
    <mergeCell ref="A110:A112"/>
    <mergeCell ref="A113:A115"/>
    <mergeCell ref="A116:A118"/>
    <mergeCell ref="A119:A121"/>
    <mergeCell ref="A122:A124"/>
    <mergeCell ref="A71:A73"/>
    <mergeCell ref="A74:A76"/>
    <mergeCell ref="A77:A79"/>
    <mergeCell ref="A80:A82"/>
    <mergeCell ref="A83:A85"/>
    <mergeCell ref="A86:A88"/>
    <mergeCell ref="A89:A91"/>
    <mergeCell ref="A92:A94"/>
    <mergeCell ref="A95:A97"/>
    <mergeCell ref="A44:A46"/>
    <mergeCell ref="A47:A49"/>
    <mergeCell ref="A50:A52"/>
    <mergeCell ref="A53:A55"/>
    <mergeCell ref="A56:A58"/>
    <mergeCell ref="A59:A61"/>
    <mergeCell ref="A62:A64"/>
    <mergeCell ref="A65:A67"/>
    <mergeCell ref="A68:A70"/>
    <mergeCell ref="A17:A19"/>
    <mergeCell ref="A20:A22"/>
    <mergeCell ref="A23:A25"/>
    <mergeCell ref="A26:A28"/>
    <mergeCell ref="A29:A31"/>
    <mergeCell ref="A32:A34"/>
    <mergeCell ref="A35:A37"/>
    <mergeCell ref="A38:A40"/>
    <mergeCell ref="A41:A43"/>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3046875" defaultRowHeight="18"/>
  <cols>
    <col min="1" max="1" width="3.86328125" style="22" customWidth="1"/>
    <col min="2" max="2" width="30" style="22" customWidth="1"/>
    <col min="3" max="3" width="8.265625" style="23" customWidth="1"/>
    <col min="4" max="4" width="6.1328125" style="24" customWidth="1"/>
    <col min="5" max="5" width="10.265625" style="25" customWidth="1"/>
    <col min="6" max="6" width="4.3984375" style="26" customWidth="1"/>
    <col min="7" max="7" width="18.86328125" style="27" customWidth="1"/>
    <col min="8" max="8" width="56.1328125" style="28" customWidth="1"/>
    <col min="9" max="9" width="8.73046875" style="29" customWidth="1"/>
    <col min="10" max="10" width="10.86328125" style="29" customWidth="1"/>
    <col min="11" max="13" width="7.73046875" style="29" customWidth="1"/>
    <col min="14" max="16" width="6.86328125" style="29" customWidth="1"/>
    <col min="17" max="18" width="10.3984375" style="29" customWidth="1"/>
    <col min="19" max="27" width="10.3984375" style="30" customWidth="1"/>
    <col min="28" max="29" width="10.3984375" style="31" customWidth="1"/>
    <col min="30" max="30" width="9.265625" style="31" customWidth="1"/>
    <col min="31" max="33" width="10.3984375" style="31" customWidth="1"/>
    <col min="34" max="34" width="10.3984375" style="32" customWidth="1"/>
    <col min="35" max="35" width="10.3984375" style="33" customWidth="1"/>
    <col min="36" max="37" width="10.3984375" style="31" customWidth="1"/>
    <col min="38" max="38" width="26" style="31" customWidth="1"/>
    <col min="39" max="49" width="10.73046875" style="29" hidden="1" customWidth="1"/>
    <col min="50" max="53" width="10.73046875" style="29"/>
    <col min="54" max="54" width="10.73046875" style="34" hidden="1" customWidth="1"/>
    <col min="55" max="16384" width="10.73046875" style="29"/>
  </cols>
  <sheetData>
    <row r="1" spans="1:54" ht="19.5" customHeight="1">
      <c r="A1" s="35" t="s">
        <v>4817</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4818</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4819</v>
      </c>
      <c r="B3" s="46" t="s">
        <v>4820</v>
      </c>
      <c r="C3" s="44"/>
      <c r="F3" s="25"/>
      <c r="G3" s="36"/>
      <c r="H3" s="49"/>
      <c r="I3" s="45" t="s">
        <v>7</v>
      </c>
      <c r="J3" s="46" t="s">
        <v>4821</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4819</v>
      </c>
      <c r="B4" s="46" t="s">
        <v>4822</v>
      </c>
      <c r="C4" s="44"/>
      <c r="F4" s="25"/>
      <c r="G4" s="36"/>
      <c r="H4" s="49"/>
      <c r="I4" s="45" t="s">
        <v>8</v>
      </c>
      <c r="J4" s="46" t="s">
        <v>4823</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4819</v>
      </c>
      <c r="B5" s="46" t="s">
        <v>4824</v>
      </c>
      <c r="C5" s="44"/>
      <c r="D5" s="24"/>
      <c r="E5" s="25"/>
      <c r="F5" s="25"/>
      <c r="G5" s="36"/>
      <c r="H5" s="37"/>
      <c r="I5" s="45" t="s">
        <v>9</v>
      </c>
      <c r="J5" s="46" t="s">
        <v>4825</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488" t="s">
        <v>12</v>
      </c>
      <c r="B6" s="488" t="s">
        <v>52</v>
      </c>
      <c r="C6" s="488" t="s">
        <v>4826</v>
      </c>
      <c r="D6" s="488" t="s">
        <v>4827</v>
      </c>
      <c r="E6" s="488" t="s">
        <v>13</v>
      </c>
      <c r="F6" s="60" t="s">
        <v>4828</v>
      </c>
      <c r="G6" s="488" t="s">
        <v>4829</v>
      </c>
      <c r="H6" s="488" t="s">
        <v>4830</v>
      </c>
      <c r="I6" s="488" t="s">
        <v>22</v>
      </c>
      <c r="J6" s="488" t="s">
        <v>4831</v>
      </c>
      <c r="K6" s="60" t="s">
        <v>4832</v>
      </c>
      <c r="L6" s="60" t="s">
        <v>4832</v>
      </c>
      <c r="M6" s="60" t="s">
        <v>4832</v>
      </c>
      <c r="N6" s="60" t="s">
        <v>4832</v>
      </c>
      <c r="O6" s="60" t="s">
        <v>4832</v>
      </c>
      <c r="P6" s="60" t="s">
        <v>4832</v>
      </c>
      <c r="Q6" s="488" t="s">
        <v>4833</v>
      </c>
      <c r="R6" s="488" t="s">
        <v>36</v>
      </c>
      <c r="S6" s="488" t="s">
        <v>4834</v>
      </c>
      <c r="T6" s="488" t="s">
        <v>38</v>
      </c>
      <c r="U6" s="488" t="s">
        <v>39</v>
      </c>
      <c r="V6" s="488" t="s">
        <v>41</v>
      </c>
      <c r="W6" s="488" t="s">
        <v>42</v>
      </c>
      <c r="X6" s="488" t="s">
        <v>43</v>
      </c>
      <c r="Y6" s="488" t="s">
        <v>44</v>
      </c>
      <c r="Z6" s="488" t="s">
        <v>45</v>
      </c>
      <c r="AA6" s="488" t="s">
        <v>4835</v>
      </c>
      <c r="AB6" s="488" t="s">
        <v>4719</v>
      </c>
      <c r="AC6" s="488" t="s">
        <v>4836</v>
      </c>
      <c r="AD6" s="488" t="s">
        <v>4726</v>
      </c>
      <c r="AE6" s="488" t="s">
        <v>47</v>
      </c>
      <c r="AF6" s="488" t="s">
        <v>4837</v>
      </c>
      <c r="AG6" s="488" t="s">
        <v>49</v>
      </c>
      <c r="AH6" s="488" t="s">
        <v>4838</v>
      </c>
      <c r="AI6" s="488" t="s">
        <v>4839</v>
      </c>
      <c r="AJ6" s="488" t="s">
        <v>18</v>
      </c>
      <c r="AK6" s="488" t="s">
        <v>4840</v>
      </c>
      <c r="AL6" s="488" t="s">
        <v>4841</v>
      </c>
      <c r="AM6" s="61">
        <v>40329</v>
      </c>
      <c r="AN6" s="62">
        <v>40359</v>
      </c>
      <c r="AO6" s="62">
        <v>40390</v>
      </c>
      <c r="AP6" s="62">
        <v>40421</v>
      </c>
      <c r="AQ6" s="62">
        <v>40451</v>
      </c>
      <c r="AR6" s="62">
        <v>40482</v>
      </c>
      <c r="AS6" s="62">
        <v>40512</v>
      </c>
      <c r="AT6" s="62">
        <v>40543</v>
      </c>
      <c r="AU6" s="62">
        <v>40574</v>
      </c>
      <c r="AV6" s="62">
        <v>40602</v>
      </c>
      <c r="AW6" s="62">
        <f ca="1">TODAY()</f>
        <v>46230</v>
      </c>
      <c r="BB6" s="63"/>
    </row>
    <row r="7" spans="1:54" s="18" customFormat="1" ht="24.95" customHeight="1">
      <c r="A7" s="489"/>
      <c r="B7" s="489"/>
      <c r="C7" s="489"/>
      <c r="D7" s="489"/>
      <c r="E7" s="489"/>
      <c r="F7" s="60" t="s">
        <v>4842</v>
      </c>
      <c r="G7" s="489"/>
      <c r="H7" s="489"/>
      <c r="I7" s="489"/>
      <c r="J7" s="489"/>
      <c r="K7" s="60"/>
      <c r="L7" s="60"/>
      <c r="M7" s="60"/>
      <c r="N7" s="60"/>
      <c r="O7" s="60"/>
      <c r="P7" s="60"/>
      <c r="Q7" s="489"/>
      <c r="R7" s="489"/>
      <c r="S7" s="489"/>
      <c r="T7" s="489"/>
      <c r="U7" s="489"/>
      <c r="V7" s="489"/>
      <c r="W7" s="489"/>
      <c r="X7" s="489"/>
      <c r="Y7" s="489"/>
      <c r="Z7" s="489"/>
      <c r="AA7" s="489"/>
      <c r="AB7" s="489"/>
      <c r="AC7" s="489"/>
      <c r="AD7" s="489"/>
      <c r="AE7" s="489"/>
      <c r="AF7" s="489"/>
      <c r="AG7" s="489"/>
      <c r="AH7" s="489"/>
      <c r="AI7" s="489"/>
      <c r="AJ7" s="489"/>
      <c r="AK7" s="489"/>
      <c r="AL7" s="489"/>
      <c r="BB7" s="63"/>
    </row>
    <row r="8" spans="1:54" s="19" customFormat="1" ht="11.25" customHeight="1">
      <c r="A8" s="64"/>
      <c r="B8" s="64"/>
      <c r="C8" s="64"/>
      <c r="D8" s="65"/>
      <c r="E8" s="65"/>
      <c r="F8" s="65"/>
      <c r="G8" s="66"/>
      <c r="H8" s="65"/>
      <c r="I8" s="65"/>
      <c r="J8" s="65"/>
      <c r="K8" s="65"/>
      <c r="L8" s="65"/>
      <c r="M8" s="65"/>
      <c r="N8" s="65"/>
      <c r="O8" s="65"/>
      <c r="P8" s="65"/>
      <c r="Q8" s="65" t="s">
        <v>53</v>
      </c>
      <c r="R8" s="65" t="s">
        <v>4843</v>
      </c>
      <c r="S8" s="65" t="s">
        <v>4844</v>
      </c>
      <c r="T8" s="65" t="s">
        <v>4844</v>
      </c>
      <c r="U8" s="65" t="s">
        <v>4845</v>
      </c>
      <c r="V8" s="65" t="s">
        <v>4846</v>
      </c>
      <c r="W8" s="65" t="s">
        <v>4847</v>
      </c>
      <c r="X8" s="65" t="s">
        <v>4844</v>
      </c>
      <c r="Y8" s="65" t="s">
        <v>4846</v>
      </c>
      <c r="Z8" s="65" t="s">
        <v>4845</v>
      </c>
      <c r="AA8" s="65" t="s">
        <v>4844</v>
      </c>
      <c r="AB8" s="65" t="s">
        <v>4848</v>
      </c>
      <c r="AC8" s="67"/>
      <c r="AD8" s="65"/>
      <c r="AE8" s="68"/>
      <c r="AF8" s="69" t="s">
        <v>4849</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4850</v>
      </c>
      <c r="R9" s="73"/>
      <c r="S9" s="73"/>
      <c r="T9" s="73"/>
      <c r="U9" s="73"/>
      <c r="V9" s="73"/>
      <c r="W9" s="73"/>
      <c r="X9" s="73"/>
      <c r="Y9" s="73"/>
      <c r="Z9" s="73" t="s">
        <v>4849</v>
      </c>
      <c r="AA9" s="73"/>
      <c r="AB9" s="73">
        <v>0.95</v>
      </c>
      <c r="AC9" s="74"/>
      <c r="AD9" s="73"/>
      <c r="AE9" s="75"/>
      <c r="AF9" s="76"/>
      <c r="AG9" s="73"/>
      <c r="AH9" s="77"/>
      <c r="AI9" s="78"/>
      <c r="AJ9" s="73"/>
      <c r="AK9" s="73"/>
      <c r="AL9" s="73"/>
      <c r="BB9" s="72"/>
    </row>
    <row r="10" spans="1:54" s="20" customFormat="1" ht="18" customHeight="1">
      <c r="A10" s="490">
        <v>1</v>
      </c>
      <c r="B10" s="493" t="s">
        <v>4851</v>
      </c>
      <c r="C10" s="499" t="s">
        <v>4852</v>
      </c>
      <c r="D10" s="80" t="s">
        <v>4853</v>
      </c>
      <c r="E10" s="81" t="s">
        <v>4727</v>
      </c>
      <c r="F10" s="82" t="str">
        <f>IF(_xlfn.XLOOKUP(E10,'[35]Before Award'!D:D,'[35]Before Award'!AV:AV,"N/A")="N/A","N","Y")</f>
        <v>N</v>
      </c>
      <c r="G10" s="502" t="s">
        <v>4854</v>
      </c>
      <c r="H10" s="83" t="s">
        <v>4728</v>
      </c>
      <c r="I10" s="81" t="s">
        <v>6</v>
      </c>
      <c r="J10" s="82"/>
      <c r="K10" s="84">
        <f>M12</f>
        <v>0.02</v>
      </c>
      <c r="L10" s="84"/>
      <c r="M10" s="84"/>
      <c r="N10" s="81"/>
      <c r="O10" s="81"/>
      <c r="P10" s="81"/>
      <c r="Q10" s="85" t="s">
        <v>4855</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505" t="s">
        <v>4856</v>
      </c>
      <c r="AD10" s="87">
        <v>14</v>
      </c>
      <c r="AE10" s="508">
        <v>350</v>
      </c>
      <c r="AF10" s="514" t="e">
        <f>AB11</f>
        <v>#REF!</v>
      </c>
      <c r="AG10" s="517">
        <f>WORKDAY(AH10+1+AI10,-1,$BA$10:$BA$141)</f>
        <v>46567</v>
      </c>
      <c r="AH10" s="88">
        <v>46507</v>
      </c>
      <c r="AI10" s="89">
        <v>60</v>
      </c>
      <c r="AJ10" s="520"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491"/>
      <c r="B11" s="494"/>
      <c r="C11" s="500"/>
      <c r="D11" s="96" t="str">
        <f>D10</f>
        <v>MEC</v>
      </c>
      <c r="E11" s="97" t="str">
        <f>E10</f>
        <v>RFQ-001</v>
      </c>
      <c r="F11" s="98" t="str">
        <f>F10</f>
        <v>N</v>
      </c>
      <c r="G11" s="503"/>
      <c r="H11" s="99" t="str">
        <f>H10</f>
        <v>Pedestal Crane</v>
      </c>
      <c r="I11" s="97" t="str">
        <f>I10</f>
        <v>LA</v>
      </c>
      <c r="J11" s="98"/>
      <c r="K11" s="100"/>
      <c r="L11" s="100">
        <f>M12</f>
        <v>0.02</v>
      </c>
      <c r="M11" s="100"/>
      <c r="N11" s="97"/>
      <c r="O11" s="97"/>
      <c r="P11" s="97"/>
      <c r="Q11" s="101" t="s">
        <v>4857</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506"/>
      <c r="AD11" s="105"/>
      <c r="AE11" s="508"/>
      <c r="AF11" s="515"/>
      <c r="AG11" s="518"/>
      <c r="AH11" s="106"/>
      <c r="AI11" s="107"/>
      <c r="AJ11" s="521"/>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492"/>
      <c r="B12" s="495"/>
      <c r="C12" s="501"/>
      <c r="D12" s="111" t="str">
        <f>D10</f>
        <v>MEC</v>
      </c>
      <c r="E12" s="112" t="str">
        <f>E10</f>
        <v>RFQ-001</v>
      </c>
      <c r="F12" s="113" t="str">
        <f>F10</f>
        <v>N</v>
      </c>
      <c r="G12" s="504"/>
      <c r="H12" s="99" t="str">
        <f>H10</f>
        <v>Pedestal Crane</v>
      </c>
      <c r="I12" s="112" t="str">
        <f>I10</f>
        <v>LA</v>
      </c>
      <c r="J12" s="113"/>
      <c r="K12" s="114"/>
      <c r="L12" s="114"/>
      <c r="M12" s="114">
        <v>0.02</v>
      </c>
      <c r="N12" s="112"/>
      <c r="O12" s="112"/>
      <c r="P12" s="112"/>
      <c r="Q12" s="115" t="s">
        <v>4858</v>
      </c>
      <c r="R12" s="115"/>
      <c r="S12" s="115"/>
      <c r="T12" s="115"/>
      <c r="U12" s="115"/>
      <c r="V12" s="115"/>
      <c r="W12" s="115"/>
      <c r="X12" s="115"/>
      <c r="Y12" s="115"/>
      <c r="Z12" s="115"/>
      <c r="AA12" s="115"/>
      <c r="AB12" s="115"/>
      <c r="AC12" s="507"/>
      <c r="AD12" s="116"/>
      <c r="AE12" s="508"/>
      <c r="AF12" s="516"/>
      <c r="AG12" s="519"/>
      <c r="AH12" s="117"/>
      <c r="AI12" s="118"/>
      <c r="AJ12" s="522"/>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490">
        <f>A10+1</f>
        <v>2</v>
      </c>
      <c r="B13" s="79"/>
      <c r="C13" s="499" t="s">
        <v>4852</v>
      </c>
      <c r="D13" s="80" t="s">
        <v>4853</v>
      </c>
      <c r="E13" s="81" t="s">
        <v>4730</v>
      </c>
      <c r="F13" s="82" t="s">
        <v>72</v>
      </c>
      <c r="G13" s="502" t="s">
        <v>4859</v>
      </c>
      <c r="H13" s="82" t="s">
        <v>70</v>
      </c>
      <c r="I13" s="81" t="s">
        <v>6</v>
      </c>
      <c r="J13" s="82"/>
      <c r="K13" s="84">
        <f>M15</f>
        <v>7.0000000000000007E-2</v>
      </c>
      <c r="L13" s="84"/>
      <c r="M13" s="84"/>
      <c r="N13" s="81"/>
      <c r="O13" s="81"/>
      <c r="P13" s="81"/>
      <c r="Q13" s="85" t="s">
        <v>4855</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505" t="s">
        <v>4856</v>
      </c>
      <c r="AD13" s="87">
        <v>14</v>
      </c>
      <c r="AE13" s="509">
        <v>175</v>
      </c>
      <c r="AF13" s="514" t="e">
        <f>AB14</f>
        <v>#REF!</v>
      </c>
      <c r="AG13" s="517">
        <f>WORKDAY(AH13+1,-1,$BA$10:$BA$141)</f>
        <v>46568</v>
      </c>
      <c r="AH13" s="88">
        <v>46568</v>
      </c>
      <c r="AI13" s="89"/>
      <c r="AJ13" s="520"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491"/>
      <c r="B14" s="95"/>
      <c r="C14" s="500"/>
      <c r="D14" s="96" t="str">
        <f>D13</f>
        <v>MEC</v>
      </c>
      <c r="E14" s="97" t="str">
        <f>E13</f>
        <v>RFQ-002</v>
      </c>
      <c r="F14" s="98" t="str">
        <f>F13</f>
        <v>N</v>
      </c>
      <c r="G14" s="503"/>
      <c r="H14" s="98" t="str">
        <f>H13</f>
        <v>Material Handling Equipment</v>
      </c>
      <c r="I14" s="97" t="str">
        <f>I13</f>
        <v>LA</v>
      </c>
      <c r="J14" s="98"/>
      <c r="K14" s="100"/>
      <c r="L14" s="100">
        <f>M15</f>
        <v>7.0000000000000007E-2</v>
      </c>
      <c r="M14" s="100"/>
      <c r="N14" s="97"/>
      <c r="O14" s="97"/>
      <c r="P14" s="97"/>
      <c r="Q14" s="101" t="s">
        <v>4857</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WORKDAY(AE13+#REF!,0,'[35]Equipment List and MR List (3)'!$A$2:$A$80)</f>
        <v>#REF!</v>
      </c>
      <c r="AC14" s="506"/>
      <c r="AD14" s="105"/>
      <c r="AE14" s="509"/>
      <c r="AF14" s="515"/>
      <c r="AG14" s="518"/>
      <c r="AH14" s="106"/>
      <c r="AI14" s="107"/>
      <c r="AJ14" s="521"/>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492"/>
      <c r="B15" s="110"/>
      <c r="C15" s="501"/>
      <c r="D15" s="111" t="str">
        <f>D13</f>
        <v>MEC</v>
      </c>
      <c r="E15" s="112" t="str">
        <f>E13</f>
        <v>RFQ-002</v>
      </c>
      <c r="F15" s="113" t="str">
        <f>F13</f>
        <v>N</v>
      </c>
      <c r="G15" s="504"/>
      <c r="H15" s="113" t="str">
        <f>H13</f>
        <v>Material Handling Equipment</v>
      </c>
      <c r="I15" s="112" t="str">
        <f>I13</f>
        <v>LA</v>
      </c>
      <c r="J15" s="113"/>
      <c r="K15" s="114"/>
      <c r="L15" s="114"/>
      <c r="M15" s="114">
        <v>7.0000000000000007E-2</v>
      </c>
      <c r="N15" s="112"/>
      <c r="O15" s="112"/>
      <c r="P15" s="112"/>
      <c r="Q15" s="115" t="s">
        <v>4858</v>
      </c>
      <c r="R15" s="115"/>
      <c r="S15" s="115"/>
      <c r="T15" s="115"/>
      <c r="U15" s="115"/>
      <c r="V15" s="115"/>
      <c r="W15" s="115"/>
      <c r="X15" s="115"/>
      <c r="Y15" s="115"/>
      <c r="Z15" s="115"/>
      <c r="AA15" s="115"/>
      <c r="AB15" s="115"/>
      <c r="AC15" s="507"/>
      <c r="AD15" s="116"/>
      <c r="AE15" s="509"/>
      <c r="AF15" s="516"/>
      <c r="AG15" s="519"/>
      <c r="AH15" s="117"/>
      <c r="AI15" s="118"/>
      <c r="AJ15" s="522"/>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490">
        <f>A13+1</f>
        <v>3</v>
      </c>
      <c r="B16" s="493" t="s">
        <v>4860</v>
      </c>
      <c r="C16" s="499" t="s">
        <v>4852</v>
      </c>
      <c r="D16" s="80" t="s">
        <v>4853</v>
      </c>
      <c r="E16" s="81" t="s">
        <v>4731</v>
      </c>
      <c r="F16" s="82" t="s">
        <v>64</v>
      </c>
      <c r="G16" s="502" t="s">
        <v>4861</v>
      </c>
      <c r="H16" s="83" t="s">
        <v>75</v>
      </c>
      <c r="I16" s="81" t="s">
        <v>6</v>
      </c>
      <c r="J16" s="82"/>
      <c r="K16" s="84">
        <f>M18</f>
        <v>0.15</v>
      </c>
      <c r="L16" s="84"/>
      <c r="M16" s="84"/>
      <c r="N16" s="81"/>
      <c r="O16" s="81"/>
      <c r="P16" s="81"/>
      <c r="Q16" s="85" t="s">
        <v>4855</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505" t="s">
        <v>4856</v>
      </c>
      <c r="AD16" s="87">
        <v>7</v>
      </c>
      <c r="AE16" s="509">
        <v>180</v>
      </c>
      <c r="AF16" s="514" t="e">
        <f>AB17</f>
        <v>#REF!</v>
      </c>
      <c r="AG16" s="517">
        <f>WORKDAY(AH16+1,-1,$BA$10:$BA$141)</f>
        <v>46419</v>
      </c>
      <c r="AH16" s="88">
        <v>46419</v>
      </c>
      <c r="AI16" s="89"/>
      <c r="AJ16" s="520"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491"/>
      <c r="B17" s="494"/>
      <c r="C17" s="500"/>
      <c r="D17" s="96" t="str">
        <f>D16</f>
        <v>MEC</v>
      </c>
      <c r="E17" s="97" t="str">
        <f>E16</f>
        <v>RFQ-003</v>
      </c>
      <c r="F17" s="98" t="str">
        <f>F16</f>
        <v>Y</v>
      </c>
      <c r="G17" s="503"/>
      <c r="H17" s="99" t="str">
        <f>H16</f>
        <v>Instrument Gas Filter Coalescer</v>
      </c>
      <c r="I17" s="97" t="str">
        <f>I16</f>
        <v>LA</v>
      </c>
      <c r="J17" s="98"/>
      <c r="K17" s="100"/>
      <c r="L17" s="100">
        <f>M18</f>
        <v>0.15</v>
      </c>
      <c r="M17" s="100"/>
      <c r="N17" s="97"/>
      <c r="O17" s="97"/>
      <c r="P17" s="97"/>
      <c r="Q17" s="101" t="s">
        <v>4857</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WORKDAY(AE16+#REF!,0,'[35]Equipment List and MR List (3)'!$A$2:$A$80)</f>
        <v>#REF!</v>
      </c>
      <c r="AC17" s="506"/>
      <c r="AD17" s="105"/>
      <c r="AE17" s="509"/>
      <c r="AF17" s="515"/>
      <c r="AG17" s="518"/>
      <c r="AH17" s="106"/>
      <c r="AI17" s="107"/>
      <c r="AJ17" s="521"/>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492"/>
      <c r="B18" s="495"/>
      <c r="C18" s="501"/>
      <c r="D18" s="111" t="str">
        <f>D16</f>
        <v>MEC</v>
      </c>
      <c r="E18" s="112" t="str">
        <f>E16</f>
        <v>RFQ-003</v>
      </c>
      <c r="F18" s="113" t="str">
        <f>F16</f>
        <v>Y</v>
      </c>
      <c r="G18" s="504"/>
      <c r="H18" s="99" t="str">
        <f>H16</f>
        <v>Instrument Gas Filter Coalescer</v>
      </c>
      <c r="I18" s="112" t="str">
        <f>I16</f>
        <v>LA</v>
      </c>
      <c r="J18" s="113"/>
      <c r="K18" s="114"/>
      <c r="L18" s="114"/>
      <c r="M18" s="114">
        <v>0.15</v>
      </c>
      <c r="N18" s="112"/>
      <c r="O18" s="112"/>
      <c r="P18" s="112"/>
      <c r="Q18" s="115" t="s">
        <v>4858</v>
      </c>
      <c r="R18" s="115"/>
      <c r="S18" s="115"/>
      <c r="T18" s="115"/>
      <c r="U18" s="115"/>
      <c r="V18" s="115"/>
      <c r="W18" s="115"/>
      <c r="X18" s="115"/>
      <c r="Y18" s="115"/>
      <c r="Z18" s="115"/>
      <c r="AA18" s="115"/>
      <c r="AB18" s="115"/>
      <c r="AC18" s="507"/>
      <c r="AD18" s="116"/>
      <c r="AE18" s="509"/>
      <c r="AF18" s="516"/>
      <c r="AG18" s="519"/>
      <c r="AH18" s="117"/>
      <c r="AI18" s="118"/>
      <c r="AJ18" s="522"/>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490">
        <f>A16+1</f>
        <v>4</v>
      </c>
      <c r="B19" s="496" t="s">
        <v>4862</v>
      </c>
      <c r="C19" s="499" t="s">
        <v>4852</v>
      </c>
      <c r="D19" s="80" t="s">
        <v>4853</v>
      </c>
      <c r="E19" s="81" t="s">
        <v>4732</v>
      </c>
      <c r="F19" s="82" t="str">
        <f>IF(_xlfn.XLOOKUP(E19,'[35]Before Award'!D:D,'[35]Before Award'!AV:AV,"N/A")="N/A","N","Y")</f>
        <v>N</v>
      </c>
      <c r="G19" s="502" t="s">
        <v>4863</v>
      </c>
      <c r="H19" s="123" t="s">
        <v>4733</v>
      </c>
      <c r="I19" s="81" t="s">
        <v>6</v>
      </c>
      <c r="J19" s="82"/>
      <c r="K19" s="84">
        <f>M21</f>
        <v>0.02</v>
      </c>
      <c r="L19" s="84"/>
      <c r="M19" s="84"/>
      <c r="N19" s="81"/>
      <c r="O19" s="81"/>
      <c r="P19" s="81"/>
      <c r="Q19" s="85" t="s">
        <v>4855</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505" t="s">
        <v>4856</v>
      </c>
      <c r="AD19" s="87">
        <v>14</v>
      </c>
      <c r="AE19" s="508">
        <v>336</v>
      </c>
      <c r="AF19" s="514" t="e">
        <f>AB20</f>
        <v>#REF!</v>
      </c>
      <c r="AG19" s="517">
        <f>WORKDAY(AH19+1,-1,$BA$10:$BA$141)</f>
        <v>46416</v>
      </c>
      <c r="AH19" s="88">
        <v>46417</v>
      </c>
      <c r="AI19" s="89"/>
      <c r="AJ19" s="520"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491"/>
      <c r="B20" s="497"/>
      <c r="C20" s="500"/>
      <c r="D20" s="96" t="str">
        <f>D19</f>
        <v>MEC</v>
      </c>
      <c r="E20" s="97" t="str">
        <f>E19</f>
        <v>RFQ-004</v>
      </c>
      <c r="F20" s="98" t="str">
        <f>F19</f>
        <v>N</v>
      </c>
      <c r="G20" s="503"/>
      <c r="H20" s="124" t="str">
        <f>H19</f>
        <v>Production &amp; Test Seperator</v>
      </c>
      <c r="I20" s="97" t="str">
        <f>I19</f>
        <v>LA</v>
      </c>
      <c r="J20" s="98"/>
      <c r="K20" s="100"/>
      <c r="L20" s="100">
        <f>M21</f>
        <v>0.02</v>
      </c>
      <c r="M20" s="100"/>
      <c r="N20" s="97"/>
      <c r="O20" s="97"/>
      <c r="P20" s="97"/>
      <c r="Q20" s="101" t="s">
        <v>4857</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WORKDAY(AE19+#REF!,0,'[35]Equipment List and MR List (3)'!$A$2:$A$80)</f>
        <v>#REF!</v>
      </c>
      <c r="AC20" s="506"/>
      <c r="AD20" s="105"/>
      <c r="AE20" s="508"/>
      <c r="AF20" s="515"/>
      <c r="AG20" s="518"/>
      <c r="AH20" s="106"/>
      <c r="AI20" s="107"/>
      <c r="AJ20" s="521"/>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492"/>
      <c r="B21" s="498"/>
      <c r="C21" s="501"/>
      <c r="D21" s="111" t="str">
        <f>D19</f>
        <v>MEC</v>
      </c>
      <c r="E21" s="112" t="str">
        <f>E19</f>
        <v>RFQ-004</v>
      </c>
      <c r="F21" s="113" t="str">
        <f>F19</f>
        <v>N</v>
      </c>
      <c r="G21" s="504"/>
      <c r="H21" s="124" t="str">
        <f>H19</f>
        <v>Production &amp; Test Seperator</v>
      </c>
      <c r="I21" s="112" t="str">
        <f>I19</f>
        <v>LA</v>
      </c>
      <c r="J21" s="113"/>
      <c r="K21" s="114"/>
      <c r="L21" s="114"/>
      <c r="M21" s="114">
        <v>0.02</v>
      </c>
      <c r="N21" s="112"/>
      <c r="O21" s="112"/>
      <c r="P21" s="112"/>
      <c r="Q21" s="115" t="s">
        <v>4858</v>
      </c>
      <c r="R21" s="115"/>
      <c r="S21" s="115"/>
      <c r="T21" s="115"/>
      <c r="U21" s="115"/>
      <c r="V21" s="115"/>
      <c r="W21" s="115"/>
      <c r="X21" s="115"/>
      <c r="Y21" s="115"/>
      <c r="Z21" s="115"/>
      <c r="AA21" s="115"/>
      <c r="AB21" s="115"/>
      <c r="AC21" s="507"/>
      <c r="AD21" s="116"/>
      <c r="AE21" s="508"/>
      <c r="AF21" s="516"/>
      <c r="AG21" s="519"/>
      <c r="AH21" s="117"/>
      <c r="AI21" s="118"/>
      <c r="AJ21" s="522"/>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490">
        <f>A19+1</f>
        <v>5</v>
      </c>
      <c r="B22" s="496" t="s">
        <v>4862</v>
      </c>
      <c r="C22" s="499" t="s">
        <v>4852</v>
      </c>
      <c r="D22" s="80" t="s">
        <v>4864</v>
      </c>
      <c r="E22" s="81" t="s">
        <v>4734</v>
      </c>
      <c r="F22" s="82" t="s">
        <v>64</v>
      </c>
      <c r="G22" s="502" t="s">
        <v>4865</v>
      </c>
      <c r="H22" s="123" t="s">
        <v>4735</v>
      </c>
      <c r="I22" s="81" t="s">
        <v>6</v>
      </c>
      <c r="J22" s="82"/>
      <c r="K22" s="84">
        <f>M24</f>
        <v>0.02</v>
      </c>
      <c r="L22" s="84"/>
      <c r="M22" s="84"/>
      <c r="N22" s="81"/>
      <c r="O22" s="81"/>
      <c r="P22" s="81"/>
      <c r="Q22" s="85" t="s">
        <v>4855</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505" t="s">
        <v>4856</v>
      </c>
      <c r="AD22" s="87">
        <v>14</v>
      </c>
      <c r="AE22" s="508">
        <v>294</v>
      </c>
      <c r="AF22" s="514" t="e">
        <f>AB23</f>
        <v>#REF!</v>
      </c>
      <c r="AG22" s="517">
        <f>WORKDAY(AH22+1,-1,$BA$10:$BA$141)</f>
        <v>46339</v>
      </c>
      <c r="AH22" s="88">
        <v>46341</v>
      </c>
      <c r="AI22" s="89"/>
      <c r="AJ22" s="520"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491"/>
      <c r="B23" s="497"/>
      <c r="C23" s="500"/>
      <c r="D23" s="96" t="str">
        <f>D22</f>
        <v>PIP</v>
      </c>
      <c r="E23" s="97" t="str">
        <f>E22</f>
        <v>RFQ-005</v>
      </c>
      <c r="F23" s="98" t="str">
        <f>F22</f>
        <v>Y</v>
      </c>
      <c r="G23" s="503"/>
      <c r="H23" s="124" t="str">
        <f>H22</f>
        <v>Pig Launcher and Receiver</v>
      </c>
      <c r="I23" s="97" t="str">
        <f>I22</f>
        <v>LA</v>
      </c>
      <c r="J23" s="98"/>
      <c r="K23" s="100"/>
      <c r="L23" s="100">
        <f>M24</f>
        <v>0.02</v>
      </c>
      <c r="M23" s="100"/>
      <c r="N23" s="97"/>
      <c r="O23" s="97"/>
      <c r="P23" s="97"/>
      <c r="Q23" s="101" t="s">
        <v>4857</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WORKDAY(AE22+#REF!,0,'[35]Equipment List and MR List (3)'!$A$2:$A$80)</f>
        <v>#REF!</v>
      </c>
      <c r="AC23" s="506"/>
      <c r="AD23" s="105"/>
      <c r="AE23" s="508"/>
      <c r="AF23" s="515"/>
      <c r="AG23" s="518"/>
      <c r="AH23" s="106"/>
      <c r="AI23" s="107"/>
      <c r="AJ23" s="521"/>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492"/>
      <c r="B24" s="498"/>
      <c r="C24" s="501"/>
      <c r="D24" s="111" t="str">
        <f>D22</f>
        <v>PIP</v>
      </c>
      <c r="E24" s="112" t="str">
        <f>E22</f>
        <v>RFQ-005</v>
      </c>
      <c r="F24" s="113" t="str">
        <f>F22</f>
        <v>Y</v>
      </c>
      <c r="G24" s="504"/>
      <c r="H24" s="124" t="str">
        <f>H22</f>
        <v>Pig Launcher and Receiver</v>
      </c>
      <c r="I24" s="112" t="str">
        <f>I22</f>
        <v>LA</v>
      </c>
      <c r="J24" s="113"/>
      <c r="K24" s="114"/>
      <c r="L24" s="114"/>
      <c r="M24" s="114">
        <v>0.02</v>
      </c>
      <c r="N24" s="112"/>
      <c r="O24" s="112"/>
      <c r="P24" s="112"/>
      <c r="Q24" s="115" t="s">
        <v>4858</v>
      </c>
      <c r="R24" s="115"/>
      <c r="S24" s="115"/>
      <c r="T24" s="115"/>
      <c r="U24" s="115"/>
      <c r="V24" s="115"/>
      <c r="W24" s="115"/>
      <c r="X24" s="115"/>
      <c r="Y24" s="115"/>
      <c r="Z24" s="115"/>
      <c r="AA24" s="115"/>
      <c r="AB24" s="115"/>
      <c r="AC24" s="507"/>
      <c r="AD24" s="116"/>
      <c r="AE24" s="508"/>
      <c r="AF24" s="516"/>
      <c r="AG24" s="519"/>
      <c r="AH24" s="117"/>
      <c r="AI24" s="118"/>
      <c r="AJ24" s="522"/>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490">
        <f>A22+1</f>
        <v>6</v>
      </c>
      <c r="B25" s="493" t="s">
        <v>4866</v>
      </c>
      <c r="C25" s="499" t="s">
        <v>4852</v>
      </c>
      <c r="D25" s="80" t="s">
        <v>4853</v>
      </c>
      <c r="E25" s="81" t="s">
        <v>4736</v>
      </c>
      <c r="F25" s="82" t="s">
        <v>64</v>
      </c>
      <c r="G25" s="502" t="s">
        <v>4867</v>
      </c>
      <c r="H25" s="83" t="s">
        <v>4737</v>
      </c>
      <c r="I25" s="81" t="s">
        <v>6</v>
      </c>
      <c r="J25" s="82"/>
      <c r="K25" s="84">
        <f>M27</f>
        <v>0.01</v>
      </c>
      <c r="L25" s="84"/>
      <c r="M25" s="84"/>
      <c r="N25" s="81"/>
      <c r="O25" s="81"/>
      <c r="P25" s="81"/>
      <c r="Q25" s="85" t="s">
        <v>4855</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505" t="s">
        <v>4856</v>
      </c>
      <c r="AD25" s="87">
        <v>14</v>
      </c>
      <c r="AE25" s="508">
        <f>32*7</f>
        <v>224</v>
      </c>
      <c r="AF25" s="514" t="e">
        <f>AB26</f>
        <v>#REF!</v>
      </c>
      <c r="AG25" s="517">
        <f>WORKDAY(AH25+1,-1,$BA$10:$BA$141)</f>
        <v>46444</v>
      </c>
      <c r="AH25" s="88">
        <v>46446</v>
      </c>
      <c r="AI25" s="89"/>
      <c r="AJ25" s="520"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491"/>
      <c r="B26" s="494"/>
      <c r="C26" s="500"/>
      <c r="D26" s="96" t="str">
        <f>D25</f>
        <v>MEC</v>
      </c>
      <c r="E26" s="97" t="str">
        <f>E25</f>
        <v>RFQ-006</v>
      </c>
      <c r="F26" s="98" t="str">
        <f>F25</f>
        <v>Y</v>
      </c>
      <c r="G26" s="503"/>
      <c r="H26" s="99" t="str">
        <f>H25</f>
        <v>Corrosion Inhibitor Injection Pump</v>
      </c>
      <c r="I26" s="97" t="str">
        <f>I25</f>
        <v>LA</v>
      </c>
      <c r="J26" s="98"/>
      <c r="K26" s="100"/>
      <c r="L26" s="100">
        <f>M27</f>
        <v>0.01</v>
      </c>
      <c r="M26" s="100"/>
      <c r="N26" s="97"/>
      <c r="O26" s="97"/>
      <c r="P26" s="97"/>
      <c r="Q26" s="101" t="s">
        <v>4857</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WORKDAY(AE25+#REF!,0,'[35]Equipment List and MR List (3)'!$A$2:$A$80)</f>
        <v>#REF!</v>
      </c>
      <c r="AC26" s="506"/>
      <c r="AD26" s="105"/>
      <c r="AE26" s="508"/>
      <c r="AF26" s="515"/>
      <c r="AG26" s="518"/>
      <c r="AH26" s="106"/>
      <c r="AI26" s="107"/>
      <c r="AJ26" s="521"/>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492"/>
      <c r="B27" s="495"/>
      <c r="C27" s="501"/>
      <c r="D27" s="111" t="str">
        <f>D25</f>
        <v>MEC</v>
      </c>
      <c r="E27" s="112" t="str">
        <f>E25</f>
        <v>RFQ-006</v>
      </c>
      <c r="F27" s="113" t="str">
        <f>F25</f>
        <v>Y</v>
      </c>
      <c r="G27" s="504"/>
      <c r="H27" s="99" t="str">
        <f>H25</f>
        <v>Corrosion Inhibitor Injection Pump</v>
      </c>
      <c r="I27" s="112" t="str">
        <f>I25</f>
        <v>LA</v>
      </c>
      <c r="J27" s="113"/>
      <c r="K27" s="114"/>
      <c r="L27" s="114"/>
      <c r="M27" s="114">
        <v>0.01</v>
      </c>
      <c r="N27" s="112"/>
      <c r="O27" s="112"/>
      <c r="P27" s="112"/>
      <c r="Q27" s="115" t="s">
        <v>4858</v>
      </c>
      <c r="R27" s="115"/>
      <c r="S27" s="115"/>
      <c r="T27" s="115"/>
      <c r="U27" s="115"/>
      <c r="V27" s="115"/>
      <c r="W27" s="115"/>
      <c r="X27" s="115"/>
      <c r="Y27" s="115"/>
      <c r="Z27" s="115"/>
      <c r="AA27" s="115"/>
      <c r="AB27" s="115"/>
      <c r="AC27" s="507"/>
      <c r="AD27" s="116"/>
      <c r="AE27" s="508"/>
      <c r="AF27" s="516"/>
      <c r="AG27" s="519"/>
      <c r="AH27" s="117"/>
      <c r="AI27" s="118"/>
      <c r="AJ27" s="522"/>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490">
        <f>A25+1</f>
        <v>7</v>
      </c>
      <c r="B28" s="79"/>
      <c r="C28" s="499" t="s">
        <v>4852</v>
      </c>
      <c r="D28" s="80" t="s">
        <v>4853</v>
      </c>
      <c r="E28" s="81" t="s">
        <v>4738</v>
      </c>
      <c r="F28" s="82" t="s">
        <v>72</v>
      </c>
      <c r="G28" s="502" t="s">
        <v>4867</v>
      </c>
      <c r="H28" s="82" t="s">
        <v>4739</v>
      </c>
      <c r="I28" s="81" t="s">
        <v>6</v>
      </c>
      <c r="J28" s="82"/>
      <c r="K28" s="84">
        <f>M30</f>
        <v>0.02</v>
      </c>
      <c r="L28" s="84"/>
      <c r="M28" s="84"/>
      <c r="N28" s="81"/>
      <c r="O28" s="81"/>
      <c r="P28" s="81"/>
      <c r="Q28" s="85" t="s">
        <v>4855</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505" t="s">
        <v>4856</v>
      </c>
      <c r="AD28" s="87">
        <v>14</v>
      </c>
      <c r="AE28" s="509">
        <f>32*7</f>
        <v>224</v>
      </c>
      <c r="AF28" s="514" t="e">
        <f>AB29</f>
        <v>#REF!</v>
      </c>
      <c r="AG28" s="517">
        <f>WORKDAY(AH28+1,-1,$BA$10:$BA$141)</f>
        <v>46477</v>
      </c>
      <c r="AH28" s="88">
        <v>46477</v>
      </c>
      <c r="AI28" s="89"/>
      <c r="AJ28" s="520"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491"/>
      <c r="B29" s="95"/>
      <c r="C29" s="500"/>
      <c r="D29" s="96" t="str">
        <f>D28</f>
        <v>MEC</v>
      </c>
      <c r="E29" s="97" t="str">
        <f>E28</f>
        <v>RFQ-007</v>
      </c>
      <c r="F29" s="98" t="str">
        <f>F28</f>
        <v>N</v>
      </c>
      <c r="G29" s="503"/>
      <c r="H29" s="98" t="str">
        <f>H28</f>
        <v>Demulsifier/Water Clarifier Injection Pump</v>
      </c>
      <c r="I29" s="97" t="str">
        <f>I28</f>
        <v>LA</v>
      </c>
      <c r="J29" s="98"/>
      <c r="K29" s="100"/>
      <c r="L29" s="100">
        <f>M30</f>
        <v>0.02</v>
      </c>
      <c r="M29" s="100"/>
      <c r="N29" s="97"/>
      <c r="O29" s="97"/>
      <c r="P29" s="97"/>
      <c r="Q29" s="101" t="s">
        <v>4857</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WORKDAY(AE28+#REF!,0,'[35]Equipment List and MR List (3)'!$A$2:$A$80)</f>
        <v>#REF!</v>
      </c>
      <c r="AC29" s="506"/>
      <c r="AD29" s="105"/>
      <c r="AE29" s="509"/>
      <c r="AF29" s="515"/>
      <c r="AG29" s="518"/>
      <c r="AH29" s="106"/>
      <c r="AI29" s="107"/>
      <c r="AJ29" s="521"/>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492"/>
      <c r="B30" s="110"/>
      <c r="C30" s="501"/>
      <c r="D30" s="111" t="str">
        <f>D28</f>
        <v>MEC</v>
      </c>
      <c r="E30" s="112" t="str">
        <f>E28</f>
        <v>RFQ-007</v>
      </c>
      <c r="F30" s="113" t="str">
        <f>F28</f>
        <v>N</v>
      </c>
      <c r="G30" s="504"/>
      <c r="H30" s="113" t="str">
        <f>H28</f>
        <v>Demulsifier/Water Clarifier Injection Pump</v>
      </c>
      <c r="I30" s="112" t="str">
        <f>I28</f>
        <v>LA</v>
      </c>
      <c r="J30" s="113"/>
      <c r="K30" s="114"/>
      <c r="L30" s="114"/>
      <c r="M30" s="114">
        <v>0.02</v>
      </c>
      <c r="N30" s="112"/>
      <c r="O30" s="112"/>
      <c r="P30" s="112"/>
      <c r="Q30" s="115" t="s">
        <v>4858</v>
      </c>
      <c r="R30" s="115"/>
      <c r="S30" s="126"/>
      <c r="T30" s="126"/>
      <c r="U30" s="126"/>
      <c r="V30" s="126"/>
      <c r="W30" s="126"/>
      <c r="X30" s="126"/>
      <c r="Y30" s="126"/>
      <c r="Z30" s="126"/>
      <c r="AA30" s="126"/>
      <c r="AB30" s="126"/>
      <c r="AC30" s="507"/>
      <c r="AD30" s="116"/>
      <c r="AE30" s="509"/>
      <c r="AF30" s="516"/>
      <c r="AG30" s="519"/>
      <c r="AH30" s="117"/>
      <c r="AI30" s="118"/>
      <c r="AJ30" s="522"/>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490">
        <f>A28+1</f>
        <v>8</v>
      </c>
      <c r="B31" s="496" t="s">
        <v>4868</v>
      </c>
      <c r="C31" s="499" t="s">
        <v>4852</v>
      </c>
      <c r="D31" s="80" t="s">
        <v>4853</v>
      </c>
      <c r="E31" s="81" t="s">
        <v>4740</v>
      </c>
      <c r="F31" s="82" t="str">
        <f>IF(_xlfn.XLOOKUP(E31,'[35]Before Award'!D:D,'[35]Before Award'!AV:AV,"N/A")="N/A","N","Y")</f>
        <v>N</v>
      </c>
      <c r="G31" s="502" t="s">
        <v>4869</v>
      </c>
      <c r="H31" s="123" t="s">
        <v>4741</v>
      </c>
      <c r="I31" s="81" t="s">
        <v>6</v>
      </c>
      <c r="J31" s="82"/>
      <c r="K31" s="84">
        <f>M33</f>
        <v>0.01</v>
      </c>
      <c r="L31" s="84"/>
      <c r="M31" s="84"/>
      <c r="N31" s="81"/>
      <c r="O31" s="81"/>
      <c r="P31" s="81"/>
      <c r="Q31" s="85" t="s">
        <v>4855</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505" t="s">
        <v>4856</v>
      </c>
      <c r="AD31" s="87">
        <v>14</v>
      </c>
      <c r="AE31" s="508">
        <v>280</v>
      </c>
      <c r="AF31" s="514" t="e">
        <f>AB32</f>
        <v>#REF!</v>
      </c>
      <c r="AG31" s="517">
        <f>WORKDAY(AH31+1,-1,$BA$10:$BA$141)</f>
        <v>46416</v>
      </c>
      <c r="AH31" s="88">
        <v>46418</v>
      </c>
      <c r="AI31" s="89"/>
      <c r="AJ31" s="520"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491"/>
      <c r="B32" s="497"/>
      <c r="C32" s="500"/>
      <c r="D32" s="96" t="str">
        <f>D31</f>
        <v>MEC</v>
      </c>
      <c r="E32" s="97" t="str">
        <f>E31</f>
        <v>RFQ-008</v>
      </c>
      <c r="F32" s="98" t="str">
        <f>F31</f>
        <v>N</v>
      </c>
      <c r="G32" s="503"/>
      <c r="H32" s="124" t="str">
        <f>H31</f>
        <v>De-Oiler Hydrocyclone</v>
      </c>
      <c r="I32" s="97" t="str">
        <f>I31</f>
        <v>LA</v>
      </c>
      <c r="J32" s="98"/>
      <c r="K32" s="100"/>
      <c r="L32" s="100">
        <f>M33</f>
        <v>0.01</v>
      </c>
      <c r="M32" s="100"/>
      <c r="N32" s="97"/>
      <c r="O32" s="97"/>
      <c r="P32" s="97"/>
      <c r="Q32" s="101" t="s">
        <v>4857</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WORKDAY(AE31+#REF!,0,'[35]Equipment List and MR List (3)'!$A$2:$A$80)</f>
        <v>#REF!</v>
      </c>
      <c r="AC32" s="506"/>
      <c r="AD32" s="105"/>
      <c r="AE32" s="508"/>
      <c r="AF32" s="515"/>
      <c r="AG32" s="518"/>
      <c r="AH32" s="106"/>
      <c r="AI32" s="107"/>
      <c r="AJ32" s="521"/>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492"/>
      <c r="B33" s="498"/>
      <c r="C33" s="501"/>
      <c r="D33" s="111" t="str">
        <f>D31</f>
        <v>MEC</v>
      </c>
      <c r="E33" s="112" t="str">
        <f>E31</f>
        <v>RFQ-008</v>
      </c>
      <c r="F33" s="113" t="str">
        <f>F31</f>
        <v>N</v>
      </c>
      <c r="G33" s="504"/>
      <c r="H33" s="124" t="str">
        <f>H31</f>
        <v>De-Oiler Hydrocyclone</v>
      </c>
      <c r="I33" s="112" t="str">
        <f>I31</f>
        <v>LA</v>
      </c>
      <c r="J33" s="113"/>
      <c r="K33" s="114"/>
      <c r="L33" s="114"/>
      <c r="M33" s="114">
        <v>0.01</v>
      </c>
      <c r="N33" s="112"/>
      <c r="O33" s="112"/>
      <c r="P33" s="112"/>
      <c r="Q33" s="115" t="s">
        <v>4858</v>
      </c>
      <c r="R33" s="126"/>
      <c r="S33" s="126"/>
      <c r="T33" s="126"/>
      <c r="U33" s="126"/>
      <c r="V33" s="126"/>
      <c r="W33" s="126"/>
      <c r="X33" s="126"/>
      <c r="Y33" s="126"/>
      <c r="Z33" s="126"/>
      <c r="AA33" s="126"/>
      <c r="AB33" s="126"/>
      <c r="AC33" s="507"/>
      <c r="AD33" s="116"/>
      <c r="AE33" s="508"/>
      <c r="AF33" s="516"/>
      <c r="AG33" s="519"/>
      <c r="AH33" s="117"/>
      <c r="AI33" s="118"/>
      <c r="AJ33" s="522"/>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490">
        <f>A31+1</f>
        <v>9</v>
      </c>
      <c r="B34" s="496" t="s">
        <v>4870</v>
      </c>
      <c r="C34" s="499" t="s">
        <v>4852</v>
      </c>
      <c r="D34" s="80" t="s">
        <v>4853</v>
      </c>
      <c r="E34" s="81" t="s">
        <v>4743</v>
      </c>
      <c r="F34" s="82" t="str">
        <f>IF(_xlfn.XLOOKUP(E34,'[35]Before Award'!D:D,'[35]Before Award'!AV:AV,"N/A")="N/A","N","Y")</f>
        <v>N</v>
      </c>
      <c r="G34" s="502" t="s">
        <v>4869</v>
      </c>
      <c r="H34" s="123" t="s">
        <v>4744</v>
      </c>
      <c r="I34" s="81" t="s">
        <v>6</v>
      </c>
      <c r="J34" s="82"/>
      <c r="K34" s="84">
        <f>M36</f>
        <v>0.04</v>
      </c>
      <c r="L34" s="84"/>
      <c r="M34" s="84"/>
      <c r="N34" s="81"/>
      <c r="O34" s="81"/>
      <c r="P34" s="81"/>
      <c r="Q34" s="85" t="s">
        <v>4855</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505" t="s">
        <v>4856</v>
      </c>
      <c r="AD34" s="87">
        <v>14</v>
      </c>
      <c r="AE34" s="508">
        <v>280</v>
      </c>
      <c r="AF34" s="514" t="e">
        <f>AB35</f>
        <v>#REF!</v>
      </c>
      <c r="AG34" s="517">
        <f>WORKDAY(AH34+1,-1,$BA$10:$BA$141)</f>
        <v>46416</v>
      </c>
      <c r="AH34" s="88">
        <v>46418</v>
      </c>
      <c r="AI34" s="89"/>
      <c r="AJ34" s="520"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491"/>
      <c r="B35" s="497"/>
      <c r="C35" s="500"/>
      <c r="D35" s="96" t="str">
        <f>D34</f>
        <v>MEC</v>
      </c>
      <c r="E35" s="97" t="str">
        <f>E34</f>
        <v>RFQ-009</v>
      </c>
      <c r="F35" s="98" t="str">
        <f>F34</f>
        <v>N</v>
      </c>
      <c r="G35" s="503"/>
      <c r="H35" s="124" t="str">
        <f>H34</f>
        <v>Degasser</v>
      </c>
      <c r="I35" s="97" t="str">
        <f>I34</f>
        <v>LA</v>
      </c>
      <c r="J35" s="98"/>
      <c r="K35" s="100"/>
      <c r="L35" s="100">
        <f>M36</f>
        <v>0.04</v>
      </c>
      <c r="M35" s="100"/>
      <c r="N35" s="97"/>
      <c r="O35" s="97"/>
      <c r="P35" s="97"/>
      <c r="Q35" s="101" t="s">
        <v>4857</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WORKDAY(AE34+#REF!,0,'[35]Equipment List and MR List (3)'!$A$2:$A$80)</f>
        <v>#REF!</v>
      </c>
      <c r="AC35" s="506"/>
      <c r="AD35" s="105"/>
      <c r="AE35" s="508"/>
      <c r="AF35" s="515"/>
      <c r="AG35" s="518"/>
      <c r="AH35" s="106"/>
      <c r="AI35" s="107"/>
      <c r="AJ35" s="521"/>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492"/>
      <c r="B36" s="498"/>
      <c r="C36" s="501"/>
      <c r="D36" s="111" t="str">
        <f>D34</f>
        <v>MEC</v>
      </c>
      <c r="E36" s="112" t="str">
        <f>E34</f>
        <v>RFQ-009</v>
      </c>
      <c r="F36" s="113" t="str">
        <f>F34</f>
        <v>N</v>
      </c>
      <c r="G36" s="504"/>
      <c r="H36" s="124" t="str">
        <f>H34</f>
        <v>Degasser</v>
      </c>
      <c r="I36" s="112" t="str">
        <f>I34</f>
        <v>LA</v>
      </c>
      <c r="J36" s="113"/>
      <c r="K36" s="114"/>
      <c r="L36" s="114"/>
      <c r="M36" s="114">
        <v>0.04</v>
      </c>
      <c r="N36" s="112"/>
      <c r="O36" s="112"/>
      <c r="P36" s="112"/>
      <c r="Q36" s="115" t="s">
        <v>4858</v>
      </c>
      <c r="R36" s="126"/>
      <c r="S36" s="126"/>
      <c r="T36" s="126"/>
      <c r="U36" s="126"/>
      <c r="V36" s="126"/>
      <c r="W36" s="126"/>
      <c r="X36" s="126"/>
      <c r="Y36" s="126"/>
      <c r="Z36" s="126"/>
      <c r="AA36" s="126"/>
      <c r="AB36" s="126"/>
      <c r="AC36" s="507"/>
      <c r="AD36" s="116"/>
      <c r="AE36" s="508"/>
      <c r="AF36" s="516"/>
      <c r="AG36" s="519"/>
      <c r="AH36" s="117"/>
      <c r="AI36" s="118"/>
      <c r="AJ36" s="522"/>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490">
        <f>A34+1</f>
        <v>10</v>
      </c>
      <c r="B37" s="496" t="s">
        <v>4871</v>
      </c>
      <c r="C37" s="499" t="s">
        <v>4852</v>
      </c>
      <c r="D37" s="80" t="s">
        <v>4853</v>
      </c>
      <c r="E37" s="81" t="s">
        <v>4745</v>
      </c>
      <c r="F37" s="82" t="str">
        <f>IF(_xlfn.XLOOKUP(E37,'[35]Before Award'!D:D,'[35]Before Award'!AV:AV,"N/A")="N/A","N","Y")</f>
        <v>N</v>
      </c>
      <c r="G37" s="502" t="s">
        <v>4863</v>
      </c>
      <c r="H37" s="123" t="s">
        <v>98</v>
      </c>
      <c r="I37" s="81" t="s">
        <v>6</v>
      </c>
      <c r="J37" s="82"/>
      <c r="K37" s="84">
        <f>M39</f>
        <v>0.01</v>
      </c>
      <c r="L37" s="84"/>
      <c r="M37" s="84"/>
      <c r="N37" s="81"/>
      <c r="O37" s="81"/>
      <c r="P37" s="81"/>
      <c r="Q37" s="85" t="s">
        <v>4855</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505" t="s">
        <v>4856</v>
      </c>
      <c r="AD37" s="87">
        <v>14</v>
      </c>
      <c r="AE37" s="508">
        <v>294</v>
      </c>
      <c r="AF37" s="514" t="e">
        <f>AB38</f>
        <v>#REF!</v>
      </c>
      <c r="AG37" s="517">
        <f>WORKDAY(AH37+1,-1,$BA$10:$BA$141)</f>
        <v>46416</v>
      </c>
      <c r="AH37" s="88">
        <v>46418</v>
      </c>
      <c r="AI37" s="89"/>
      <c r="AJ37" s="520"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491"/>
      <c r="B38" s="497"/>
      <c r="C38" s="500"/>
      <c r="D38" s="96" t="str">
        <f>D37</f>
        <v>MEC</v>
      </c>
      <c r="E38" s="97" t="str">
        <f>E37</f>
        <v>RFQ-010</v>
      </c>
      <c r="F38" s="98" t="str">
        <f>F37</f>
        <v>N</v>
      </c>
      <c r="G38" s="503"/>
      <c r="H38" s="124" t="str">
        <f>H37</f>
        <v>Skim Tank Vessel</v>
      </c>
      <c r="I38" s="97" t="str">
        <f>I37</f>
        <v>LA</v>
      </c>
      <c r="J38" s="98"/>
      <c r="K38" s="100"/>
      <c r="L38" s="100">
        <f>M39</f>
        <v>0.01</v>
      </c>
      <c r="M38" s="100"/>
      <c r="N38" s="97"/>
      <c r="O38" s="97"/>
      <c r="P38" s="97"/>
      <c r="Q38" s="101" t="s">
        <v>4857</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WORKDAY(AE37+#REF!,0,'[35]Equipment List and MR List (3)'!$A$2:$A$80)</f>
        <v>#REF!</v>
      </c>
      <c r="AC38" s="506"/>
      <c r="AD38" s="105"/>
      <c r="AE38" s="508"/>
      <c r="AF38" s="515"/>
      <c r="AG38" s="518"/>
      <c r="AH38" s="106"/>
      <c r="AI38" s="107"/>
      <c r="AJ38" s="521"/>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492"/>
      <c r="B39" s="498"/>
      <c r="C39" s="501"/>
      <c r="D39" s="111" t="str">
        <f>D37</f>
        <v>MEC</v>
      </c>
      <c r="E39" s="112" t="str">
        <f>E37</f>
        <v>RFQ-010</v>
      </c>
      <c r="F39" s="113" t="str">
        <f>F37</f>
        <v>N</v>
      </c>
      <c r="G39" s="504"/>
      <c r="H39" s="124" t="str">
        <f>H37</f>
        <v>Skim Tank Vessel</v>
      </c>
      <c r="I39" s="112" t="str">
        <f>I37</f>
        <v>LA</v>
      </c>
      <c r="J39" s="113"/>
      <c r="K39" s="114"/>
      <c r="L39" s="114"/>
      <c r="M39" s="114">
        <v>0.01</v>
      </c>
      <c r="N39" s="112"/>
      <c r="O39" s="112"/>
      <c r="P39" s="112"/>
      <c r="Q39" s="115" t="s">
        <v>4858</v>
      </c>
      <c r="R39" s="126"/>
      <c r="S39" s="126"/>
      <c r="T39" s="126"/>
      <c r="U39" s="126"/>
      <c r="V39" s="126"/>
      <c r="W39" s="126"/>
      <c r="X39" s="126"/>
      <c r="Y39" s="126"/>
      <c r="Z39" s="126"/>
      <c r="AA39" s="126"/>
      <c r="AB39" s="126"/>
      <c r="AC39" s="507"/>
      <c r="AD39" s="116"/>
      <c r="AE39" s="508"/>
      <c r="AF39" s="516"/>
      <c r="AG39" s="519"/>
      <c r="AH39" s="117"/>
      <c r="AI39" s="118"/>
      <c r="AJ39" s="522"/>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490">
        <f>A37+1</f>
        <v>11</v>
      </c>
      <c r="B40" s="496" t="s">
        <v>4871</v>
      </c>
      <c r="C40" s="499" t="s">
        <v>4852</v>
      </c>
      <c r="D40" s="80" t="s">
        <v>4853</v>
      </c>
      <c r="E40" s="81" t="s">
        <v>4746</v>
      </c>
      <c r="F40" s="82" t="s">
        <v>64</v>
      </c>
      <c r="G40" s="502" t="s">
        <v>4863</v>
      </c>
      <c r="H40" s="123" t="s">
        <v>101</v>
      </c>
      <c r="I40" s="81" t="s">
        <v>6</v>
      </c>
      <c r="J40" s="82"/>
      <c r="K40" s="84">
        <f>M42</f>
        <v>0.01</v>
      </c>
      <c r="L40" s="84"/>
      <c r="M40" s="84"/>
      <c r="N40" s="81"/>
      <c r="O40" s="81"/>
      <c r="P40" s="81"/>
      <c r="Q40" s="85" t="s">
        <v>4855</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505" t="s">
        <v>4856</v>
      </c>
      <c r="AD40" s="87">
        <v>14</v>
      </c>
      <c r="AE40" s="508">
        <v>294</v>
      </c>
      <c r="AF40" s="514" t="e">
        <f>AB41</f>
        <v>#REF!</v>
      </c>
      <c r="AG40" s="517">
        <f>WORKDAY(AH40+1,-1,$BA$10:$BA$141)</f>
        <v>46386</v>
      </c>
      <c r="AH40" s="88">
        <v>46386</v>
      </c>
      <c r="AI40" s="89"/>
      <c r="AJ40" s="520"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491"/>
      <c r="B41" s="497"/>
      <c r="C41" s="500"/>
      <c r="D41" s="96" t="str">
        <f>D40</f>
        <v>MEC</v>
      </c>
      <c r="E41" s="97" t="str">
        <f>E40</f>
        <v>RFQ-011</v>
      </c>
      <c r="F41" s="98" t="str">
        <f>F40</f>
        <v>Y</v>
      </c>
      <c r="G41" s="503"/>
      <c r="H41" s="124" t="str">
        <f>H40</f>
        <v>Closed Drain Sump Vessel</v>
      </c>
      <c r="I41" s="97" t="str">
        <f>I40</f>
        <v>LA</v>
      </c>
      <c r="J41" s="98"/>
      <c r="K41" s="100"/>
      <c r="L41" s="100">
        <f>M42</f>
        <v>0.01</v>
      </c>
      <c r="M41" s="100"/>
      <c r="N41" s="97"/>
      <c r="O41" s="97"/>
      <c r="P41" s="97"/>
      <c r="Q41" s="101" t="s">
        <v>4857</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WORKDAY(AE40+#REF!,0,'[35]Equipment List and MR List (3)'!$A$2:$A$80)</f>
        <v>#REF!</v>
      </c>
      <c r="AC41" s="506"/>
      <c r="AD41" s="105"/>
      <c r="AE41" s="508"/>
      <c r="AF41" s="515"/>
      <c r="AG41" s="518"/>
      <c r="AH41" s="106"/>
      <c r="AI41" s="107"/>
      <c r="AJ41" s="521"/>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492"/>
      <c r="B42" s="498"/>
      <c r="C42" s="501"/>
      <c r="D42" s="111" t="str">
        <f>D40</f>
        <v>MEC</v>
      </c>
      <c r="E42" s="112" t="str">
        <f>E40</f>
        <v>RFQ-011</v>
      </c>
      <c r="F42" s="113" t="str">
        <f>F40</f>
        <v>Y</v>
      </c>
      <c r="G42" s="504"/>
      <c r="H42" s="124" t="str">
        <f>H40</f>
        <v>Closed Drain Sump Vessel</v>
      </c>
      <c r="I42" s="112" t="str">
        <f>I40</f>
        <v>LA</v>
      </c>
      <c r="J42" s="113"/>
      <c r="K42" s="114"/>
      <c r="L42" s="114"/>
      <c r="M42" s="114">
        <v>0.01</v>
      </c>
      <c r="N42" s="112"/>
      <c r="O42" s="112"/>
      <c r="P42" s="112"/>
      <c r="Q42" s="115" t="s">
        <v>4858</v>
      </c>
      <c r="R42" s="126"/>
      <c r="S42" s="126"/>
      <c r="T42" s="126"/>
      <c r="U42" s="126"/>
      <c r="V42" s="126"/>
      <c r="W42" s="126"/>
      <c r="X42" s="126"/>
      <c r="Y42" s="126"/>
      <c r="Z42" s="126"/>
      <c r="AA42" s="126"/>
      <c r="AB42" s="126"/>
      <c r="AC42" s="507"/>
      <c r="AD42" s="116"/>
      <c r="AE42" s="508"/>
      <c r="AF42" s="516"/>
      <c r="AG42" s="519"/>
      <c r="AH42" s="117"/>
      <c r="AI42" s="118"/>
      <c r="AJ42" s="522"/>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490">
        <f>A40+1</f>
        <v>12</v>
      </c>
      <c r="B43" s="493" t="s">
        <v>4872</v>
      </c>
      <c r="C43" s="499" t="s">
        <v>4852</v>
      </c>
      <c r="D43" s="80" t="s">
        <v>4853</v>
      </c>
      <c r="E43" s="81" t="s">
        <v>4747</v>
      </c>
      <c r="F43" s="82" t="str">
        <f>IF(_xlfn.XLOOKUP(E43,'[35]Before Award'!D:D,'[35]Before Award'!AV:AV,"N/A")="N/A","N","Y")</f>
        <v>N</v>
      </c>
      <c r="G43" s="502" t="s">
        <v>4863</v>
      </c>
      <c r="H43" s="83" t="s">
        <v>4873</v>
      </c>
      <c r="I43" s="81" t="s">
        <v>6</v>
      </c>
      <c r="J43" s="82"/>
      <c r="K43" s="84">
        <f>M45</f>
        <v>0.01</v>
      </c>
      <c r="L43" s="84"/>
      <c r="M43" s="84"/>
      <c r="N43" s="81"/>
      <c r="O43" s="81"/>
      <c r="P43" s="81"/>
      <c r="Q43" s="85" t="s">
        <v>4855</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505" t="s">
        <v>4856</v>
      </c>
      <c r="AD43" s="87">
        <v>14</v>
      </c>
      <c r="AE43" s="508">
        <v>238</v>
      </c>
      <c r="AF43" s="514" t="e">
        <f>AB44</f>
        <v>#REF!</v>
      </c>
      <c r="AG43" s="517">
        <f>WORKDAY(AH43+1,-1,$BA$10:$BA$141)</f>
        <v>46416</v>
      </c>
      <c r="AH43" s="88">
        <v>46418</v>
      </c>
      <c r="AI43" s="89"/>
      <c r="AJ43" s="520"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491"/>
      <c r="B44" s="494"/>
      <c r="C44" s="500"/>
      <c r="D44" s="96" t="str">
        <f>D43</f>
        <v>MEC</v>
      </c>
      <c r="E44" s="97" t="str">
        <f>E43</f>
        <v>RFQ-012</v>
      </c>
      <c r="F44" s="98" t="str">
        <f>F43</f>
        <v>N</v>
      </c>
      <c r="G44" s="503"/>
      <c r="H44" s="99" t="str">
        <f>H43</f>
        <v>Diesel Storage Tote Tank</v>
      </c>
      <c r="I44" s="97" t="str">
        <f>I43</f>
        <v>LA</v>
      </c>
      <c r="J44" s="98"/>
      <c r="K44" s="100"/>
      <c r="L44" s="100">
        <f>M45</f>
        <v>0.01</v>
      </c>
      <c r="M44" s="100"/>
      <c r="N44" s="97"/>
      <c r="O44" s="97"/>
      <c r="P44" s="97"/>
      <c r="Q44" s="101" t="s">
        <v>4857</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WORKDAY(AE43+#REF!,0,'[35]Equipment List and MR List (3)'!$A$2:$A$80)</f>
        <v>#REF!</v>
      </c>
      <c r="AC44" s="506"/>
      <c r="AD44" s="105"/>
      <c r="AE44" s="508"/>
      <c r="AF44" s="515"/>
      <c r="AG44" s="518"/>
      <c r="AH44" s="106"/>
      <c r="AI44" s="107"/>
      <c r="AJ44" s="521"/>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492"/>
      <c r="B45" s="495"/>
      <c r="C45" s="501"/>
      <c r="D45" s="111" t="str">
        <f>D43</f>
        <v>MEC</v>
      </c>
      <c r="E45" s="112" t="str">
        <f>E43</f>
        <v>RFQ-012</v>
      </c>
      <c r="F45" s="113" t="str">
        <f>F43</f>
        <v>N</v>
      </c>
      <c r="G45" s="504"/>
      <c r="H45" s="99" t="str">
        <f>H43</f>
        <v>Diesel Storage Tote Tank</v>
      </c>
      <c r="I45" s="112" t="str">
        <f>I43</f>
        <v>LA</v>
      </c>
      <c r="J45" s="113"/>
      <c r="K45" s="114"/>
      <c r="L45" s="114"/>
      <c r="M45" s="114">
        <v>0.01</v>
      </c>
      <c r="N45" s="112"/>
      <c r="O45" s="112"/>
      <c r="P45" s="112"/>
      <c r="Q45" s="115" t="s">
        <v>4858</v>
      </c>
      <c r="R45" s="115"/>
      <c r="S45" s="126"/>
      <c r="T45" s="126"/>
      <c r="U45" s="126"/>
      <c r="V45" s="126"/>
      <c r="W45" s="126"/>
      <c r="X45" s="126"/>
      <c r="Y45" s="126"/>
      <c r="Z45" s="126"/>
      <c r="AA45" s="126"/>
      <c r="AB45" s="126"/>
      <c r="AC45" s="507"/>
      <c r="AD45" s="116"/>
      <c r="AE45" s="508"/>
      <c r="AF45" s="516"/>
      <c r="AG45" s="519"/>
      <c r="AH45" s="117"/>
      <c r="AI45" s="118"/>
      <c r="AJ45" s="522"/>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490">
        <f>A43+1</f>
        <v>13</v>
      </c>
      <c r="B46" s="493" t="s">
        <v>4872</v>
      </c>
      <c r="C46" s="499" t="s">
        <v>4852</v>
      </c>
      <c r="D46" s="80" t="s">
        <v>4853</v>
      </c>
      <c r="E46" s="81" t="s">
        <v>4749</v>
      </c>
      <c r="F46" s="82" t="str">
        <f>IF(_xlfn.XLOOKUP(E46,'[35]Before Award'!D:D,'[35]Before Award'!AV:AV,"N/A")="N/A","N","Y")</f>
        <v>N</v>
      </c>
      <c r="G46" s="502" t="s">
        <v>4863</v>
      </c>
      <c r="H46" s="83" t="s">
        <v>4874</v>
      </c>
      <c r="I46" s="81" t="s">
        <v>6</v>
      </c>
      <c r="J46" s="82"/>
      <c r="K46" s="84">
        <f>M48</f>
        <v>1E-3</v>
      </c>
      <c r="L46" s="84"/>
      <c r="M46" s="84"/>
      <c r="N46" s="81"/>
      <c r="O46" s="81"/>
      <c r="P46" s="81"/>
      <c r="Q46" s="85" t="s">
        <v>4855</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505" t="s">
        <v>4856</v>
      </c>
      <c r="AD46" s="87">
        <v>14</v>
      </c>
      <c r="AE46" s="508">
        <v>238</v>
      </c>
      <c r="AF46" s="514" t="e">
        <f>AB47</f>
        <v>#REF!</v>
      </c>
      <c r="AG46" s="517">
        <f>WORKDAY(AH46+1,-1,$BA$10:$BA$141)</f>
        <v>46416</v>
      </c>
      <c r="AH46" s="88">
        <v>46418</v>
      </c>
      <c r="AI46" s="89"/>
      <c r="AJ46" s="520"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491"/>
      <c r="B47" s="494"/>
      <c r="C47" s="500"/>
      <c r="D47" s="96" t="str">
        <f>D46</f>
        <v>MEC</v>
      </c>
      <c r="E47" s="97" t="str">
        <f>E46</f>
        <v>RFQ-013</v>
      </c>
      <c r="F47" s="98" t="str">
        <f>F46</f>
        <v>N</v>
      </c>
      <c r="G47" s="503"/>
      <c r="H47" s="99" t="str">
        <f>H46</f>
        <v>Corrosion Inhibitor Storage Tank</v>
      </c>
      <c r="I47" s="97" t="str">
        <f>I46</f>
        <v>LA</v>
      </c>
      <c r="J47" s="98"/>
      <c r="K47" s="100"/>
      <c r="L47" s="100">
        <f>M48</f>
        <v>1E-3</v>
      </c>
      <c r="M47" s="100"/>
      <c r="N47" s="97"/>
      <c r="O47" s="97"/>
      <c r="P47" s="97"/>
      <c r="Q47" s="101" t="s">
        <v>4857</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WORKDAY(AE46+#REF!,0,'[35]Equipment List and MR List (3)'!$A$2:$A$80)</f>
        <v>#REF!</v>
      </c>
      <c r="AC47" s="506"/>
      <c r="AD47" s="105"/>
      <c r="AE47" s="508"/>
      <c r="AF47" s="515"/>
      <c r="AG47" s="518"/>
      <c r="AH47" s="106"/>
      <c r="AI47" s="107"/>
      <c r="AJ47" s="521"/>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492"/>
      <c r="B48" s="495"/>
      <c r="C48" s="501"/>
      <c r="D48" s="111" t="str">
        <f>D46</f>
        <v>MEC</v>
      </c>
      <c r="E48" s="112" t="str">
        <f>E46</f>
        <v>RFQ-013</v>
      </c>
      <c r="F48" s="113" t="str">
        <f>F46</f>
        <v>N</v>
      </c>
      <c r="G48" s="504"/>
      <c r="H48" s="99" t="str">
        <f>H46</f>
        <v>Corrosion Inhibitor Storage Tank</v>
      </c>
      <c r="I48" s="112" t="str">
        <f>I46</f>
        <v>LA</v>
      </c>
      <c r="J48" s="113"/>
      <c r="K48" s="114"/>
      <c r="L48" s="114"/>
      <c r="M48" s="114">
        <v>1E-3</v>
      </c>
      <c r="N48" s="112"/>
      <c r="O48" s="112"/>
      <c r="P48" s="112"/>
      <c r="Q48" s="115" t="s">
        <v>4858</v>
      </c>
      <c r="R48" s="115"/>
      <c r="S48" s="126"/>
      <c r="T48" s="126"/>
      <c r="U48" s="126"/>
      <c r="V48" s="126"/>
      <c r="W48" s="126"/>
      <c r="X48" s="126"/>
      <c r="Y48" s="126"/>
      <c r="Z48" s="126"/>
      <c r="AA48" s="126"/>
      <c r="AB48" s="126"/>
      <c r="AC48" s="507"/>
      <c r="AD48" s="116"/>
      <c r="AE48" s="508"/>
      <c r="AF48" s="516"/>
      <c r="AG48" s="519"/>
      <c r="AH48" s="117"/>
      <c r="AI48" s="118"/>
      <c r="AJ48" s="522"/>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490">
        <f>A46+1</f>
        <v>14</v>
      </c>
      <c r="B49" s="496" t="s">
        <v>4875</v>
      </c>
      <c r="C49" s="499" t="s">
        <v>4852</v>
      </c>
      <c r="D49" s="80" t="s">
        <v>4853</v>
      </c>
      <c r="E49" s="81" t="s">
        <v>4750</v>
      </c>
      <c r="F49" s="82" t="str">
        <f>IF(_xlfn.XLOOKUP(E49,'[35]Before Award'!D:D,'[35]Before Award'!AV:AV,"N/A")="N/A","N","Y")</f>
        <v>N</v>
      </c>
      <c r="G49" s="502" t="s">
        <v>4876</v>
      </c>
      <c r="H49" s="123" t="s">
        <v>4751</v>
      </c>
      <c r="I49" s="81" t="s">
        <v>6</v>
      </c>
      <c r="J49" s="82"/>
      <c r="K49" s="84">
        <f>M51</f>
        <v>0.01</v>
      </c>
      <c r="L49" s="84"/>
      <c r="M49" s="84"/>
      <c r="N49" s="81"/>
      <c r="O49" s="81"/>
      <c r="P49" s="81"/>
      <c r="Q49" s="85" t="s">
        <v>4855</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505" t="s">
        <v>4856</v>
      </c>
      <c r="AD49" s="87">
        <v>14</v>
      </c>
      <c r="AE49" s="508">
        <f>32*7</f>
        <v>224</v>
      </c>
      <c r="AF49" s="514" t="e">
        <f>AB50</f>
        <v>#REF!</v>
      </c>
      <c r="AG49" s="517">
        <f>WORKDAY(AH49+1,-1,$BA$10:$BA$141)</f>
        <v>46386</v>
      </c>
      <c r="AH49" s="88">
        <v>46386</v>
      </c>
      <c r="AI49" s="89"/>
      <c r="AJ49" s="520"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491"/>
      <c r="B50" s="497"/>
      <c r="C50" s="500"/>
      <c r="D50" s="96" t="str">
        <f>D49</f>
        <v>MEC</v>
      </c>
      <c r="E50" s="97" t="str">
        <f>E49</f>
        <v>RFQ-014</v>
      </c>
      <c r="F50" s="98" t="str">
        <f>F49</f>
        <v>N</v>
      </c>
      <c r="G50" s="503"/>
      <c r="H50" s="124" t="str">
        <f>H49</f>
        <v>Closed Drain Sump Pump</v>
      </c>
      <c r="I50" s="97" t="str">
        <f>I49</f>
        <v>LA</v>
      </c>
      <c r="J50" s="98"/>
      <c r="K50" s="100"/>
      <c r="L50" s="100">
        <f>M51</f>
        <v>0.01</v>
      </c>
      <c r="M50" s="100"/>
      <c r="N50" s="97"/>
      <c r="O50" s="97"/>
      <c r="P50" s="97"/>
      <c r="Q50" s="101" t="s">
        <v>4857</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WORKDAY(AE49+#REF!,0,'[35]Equipment List and MR List (3)'!$A$2:$A$80)</f>
        <v>#REF!</v>
      </c>
      <c r="AC50" s="506"/>
      <c r="AD50" s="105"/>
      <c r="AE50" s="508"/>
      <c r="AF50" s="515"/>
      <c r="AG50" s="518"/>
      <c r="AH50" s="106"/>
      <c r="AI50" s="107"/>
      <c r="AJ50" s="521"/>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492"/>
      <c r="B51" s="498"/>
      <c r="C51" s="501"/>
      <c r="D51" s="111" t="str">
        <f>D49</f>
        <v>MEC</v>
      </c>
      <c r="E51" s="112" t="str">
        <f>E49</f>
        <v>RFQ-014</v>
      </c>
      <c r="F51" s="113" t="str">
        <f>F49</f>
        <v>N</v>
      </c>
      <c r="G51" s="504"/>
      <c r="H51" s="124" t="str">
        <f>H49</f>
        <v>Closed Drain Sump Pump</v>
      </c>
      <c r="I51" s="112" t="str">
        <f>I49</f>
        <v>LA</v>
      </c>
      <c r="J51" s="113"/>
      <c r="K51" s="114"/>
      <c r="L51" s="114"/>
      <c r="M51" s="114">
        <v>0.01</v>
      </c>
      <c r="N51" s="112"/>
      <c r="O51" s="112"/>
      <c r="P51" s="112"/>
      <c r="Q51" s="115" t="s">
        <v>4858</v>
      </c>
      <c r="R51" s="126"/>
      <c r="S51" s="126"/>
      <c r="T51" s="126"/>
      <c r="U51" s="126"/>
      <c r="V51" s="126"/>
      <c r="W51" s="126"/>
      <c r="X51" s="126"/>
      <c r="Y51" s="126"/>
      <c r="Z51" s="126"/>
      <c r="AA51" s="126"/>
      <c r="AB51" s="126"/>
      <c r="AC51" s="507"/>
      <c r="AD51" s="116"/>
      <c r="AE51" s="508"/>
      <c r="AF51" s="516"/>
      <c r="AG51" s="519"/>
      <c r="AH51" s="117"/>
      <c r="AI51" s="118"/>
      <c r="AJ51" s="522"/>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490">
        <f>A49+1</f>
        <v>15</v>
      </c>
      <c r="B52" s="79"/>
      <c r="C52" s="499" t="s">
        <v>4852</v>
      </c>
      <c r="D52" s="80" t="s">
        <v>4853</v>
      </c>
      <c r="E52" s="81" t="s">
        <v>4752</v>
      </c>
      <c r="F52" s="82" t="s">
        <v>72</v>
      </c>
      <c r="G52" s="502" t="s">
        <v>4877</v>
      </c>
      <c r="H52" s="82" t="s">
        <v>4753</v>
      </c>
      <c r="I52" s="81" t="s">
        <v>6</v>
      </c>
      <c r="J52" s="82"/>
      <c r="K52" s="84">
        <f>M54</f>
        <v>0.01</v>
      </c>
      <c r="L52" s="84"/>
      <c r="M52" s="84"/>
      <c r="N52" s="81"/>
      <c r="O52" s="81"/>
      <c r="P52" s="81"/>
      <c r="Q52" s="85" t="s">
        <v>4855</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505" t="s">
        <v>4856</v>
      </c>
      <c r="AD52" s="87">
        <v>14</v>
      </c>
      <c r="AE52" s="509">
        <f>32*7</f>
        <v>224</v>
      </c>
      <c r="AF52" s="514" t="e">
        <f>AB53</f>
        <v>#REF!</v>
      </c>
      <c r="AG52" s="517">
        <f>WORKDAY(AH52+1,-1,$BA$10:$BA$141)</f>
        <v>46521</v>
      </c>
      <c r="AH52" s="88">
        <v>46522</v>
      </c>
      <c r="AI52" s="89"/>
      <c r="AJ52" s="520"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491"/>
      <c r="B53" s="95"/>
      <c r="C53" s="500"/>
      <c r="D53" s="96" t="str">
        <f>D52</f>
        <v>MEC</v>
      </c>
      <c r="E53" s="97" t="str">
        <f>E52</f>
        <v>RFQ-015</v>
      </c>
      <c r="F53" s="98" t="str">
        <f>F52</f>
        <v>N</v>
      </c>
      <c r="G53" s="503"/>
      <c r="H53" s="98" t="str">
        <f>H52</f>
        <v>Diesel Transfer Pump</v>
      </c>
      <c r="I53" s="97" t="str">
        <f>I52</f>
        <v>LA</v>
      </c>
      <c r="J53" s="98"/>
      <c r="K53" s="100"/>
      <c r="L53" s="100">
        <f>M54</f>
        <v>0.01</v>
      </c>
      <c r="M53" s="100"/>
      <c r="N53" s="97"/>
      <c r="O53" s="97"/>
      <c r="P53" s="97"/>
      <c r="Q53" s="101" t="s">
        <v>4857</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WORKDAY(AE52+#REF!,0,'[35]Equipment List and MR List (3)'!$A$2:$A$80)</f>
        <v>#REF!</v>
      </c>
      <c r="AC53" s="506"/>
      <c r="AD53" s="105"/>
      <c r="AE53" s="509"/>
      <c r="AF53" s="515"/>
      <c r="AG53" s="518"/>
      <c r="AH53" s="106"/>
      <c r="AI53" s="107"/>
      <c r="AJ53" s="521"/>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492"/>
      <c r="B54" s="110"/>
      <c r="C54" s="501"/>
      <c r="D54" s="111" t="str">
        <f>D52</f>
        <v>MEC</v>
      </c>
      <c r="E54" s="112" t="str">
        <f>E52</f>
        <v>RFQ-015</v>
      </c>
      <c r="F54" s="113" t="str">
        <f>F52</f>
        <v>N</v>
      </c>
      <c r="G54" s="504"/>
      <c r="H54" s="113" t="str">
        <f>H52</f>
        <v>Diesel Transfer Pump</v>
      </c>
      <c r="I54" s="112" t="str">
        <f>I52</f>
        <v>LA</v>
      </c>
      <c r="J54" s="113"/>
      <c r="K54" s="114"/>
      <c r="L54" s="114"/>
      <c r="M54" s="114">
        <v>0.01</v>
      </c>
      <c r="N54" s="112"/>
      <c r="O54" s="112"/>
      <c r="P54" s="112"/>
      <c r="Q54" s="115" t="s">
        <v>4858</v>
      </c>
      <c r="R54" s="115"/>
      <c r="S54" s="126"/>
      <c r="T54" s="126"/>
      <c r="U54" s="126"/>
      <c r="V54" s="126"/>
      <c r="W54" s="126"/>
      <c r="X54" s="126"/>
      <c r="Y54" s="126"/>
      <c r="Z54" s="126"/>
      <c r="AA54" s="126"/>
      <c r="AB54" s="126"/>
      <c r="AC54" s="507"/>
      <c r="AD54" s="116"/>
      <c r="AE54" s="509"/>
      <c r="AF54" s="516"/>
      <c r="AG54" s="519"/>
      <c r="AH54" s="117"/>
      <c r="AI54" s="118"/>
      <c r="AJ54" s="522"/>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490">
        <f>A52+1</f>
        <v>16</v>
      </c>
      <c r="B55" s="79"/>
      <c r="C55" s="499" t="s">
        <v>4852</v>
      </c>
      <c r="D55" s="80" t="s">
        <v>4853</v>
      </c>
      <c r="E55" s="81" t="s">
        <v>4754</v>
      </c>
      <c r="F55" s="82" t="s">
        <v>72</v>
      </c>
      <c r="G55" s="502" t="s">
        <v>4878</v>
      </c>
      <c r="H55" s="82" t="s">
        <v>4755</v>
      </c>
      <c r="I55" s="81" t="s">
        <v>6</v>
      </c>
      <c r="J55" s="82"/>
      <c r="K55" s="84">
        <f>M57</f>
        <v>5.0000000000000001E-4</v>
      </c>
      <c r="L55" s="84"/>
      <c r="M55" s="84"/>
      <c r="N55" s="81"/>
      <c r="O55" s="81"/>
      <c r="P55" s="81"/>
      <c r="Q55" s="85" t="s">
        <v>4855</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505" t="s">
        <v>4856</v>
      </c>
      <c r="AD55" s="87">
        <v>14</v>
      </c>
      <c r="AE55" s="509">
        <f>32*7</f>
        <v>224</v>
      </c>
      <c r="AF55" s="514" t="e">
        <f>AB56</f>
        <v>#REF!</v>
      </c>
      <c r="AG55" s="517">
        <f>WORKDAY(AH55+1,-1,$BA$10:$BA$141)</f>
        <v>46477</v>
      </c>
      <c r="AH55" s="88">
        <v>46477</v>
      </c>
      <c r="AI55" s="89"/>
      <c r="AJ55" s="520"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491"/>
      <c r="B56" s="95"/>
      <c r="C56" s="500"/>
      <c r="D56" s="96" t="str">
        <f>D55</f>
        <v>MEC</v>
      </c>
      <c r="E56" s="97" t="str">
        <f>E55</f>
        <v>RFQ-016</v>
      </c>
      <c r="F56" s="98" t="str">
        <f>F55</f>
        <v>N</v>
      </c>
      <c r="G56" s="503"/>
      <c r="H56" s="98" t="str">
        <f>H55</f>
        <v>Open Drain Caisson Pump</v>
      </c>
      <c r="I56" s="97" t="str">
        <f>I55</f>
        <v>LA</v>
      </c>
      <c r="J56" s="98"/>
      <c r="K56" s="100"/>
      <c r="L56" s="100">
        <f>M57</f>
        <v>5.0000000000000001E-4</v>
      </c>
      <c r="M56" s="100"/>
      <c r="N56" s="97"/>
      <c r="O56" s="97"/>
      <c r="P56" s="97"/>
      <c r="Q56" s="101" t="s">
        <v>4857</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WORKDAY(AE55+#REF!,0,'[35]Equipment List and MR List (3)'!$A$2:$A$80)</f>
        <v>#REF!</v>
      </c>
      <c r="AC56" s="506"/>
      <c r="AD56" s="105"/>
      <c r="AE56" s="509"/>
      <c r="AF56" s="515"/>
      <c r="AG56" s="518"/>
      <c r="AH56" s="106"/>
      <c r="AI56" s="107"/>
      <c r="AJ56" s="521"/>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492"/>
      <c r="B57" s="110"/>
      <c r="C57" s="501"/>
      <c r="D57" s="111" t="str">
        <f>D55</f>
        <v>MEC</v>
      </c>
      <c r="E57" s="112" t="str">
        <f>E55</f>
        <v>RFQ-016</v>
      </c>
      <c r="F57" s="113" t="str">
        <f>F55</f>
        <v>N</v>
      </c>
      <c r="G57" s="504"/>
      <c r="H57" s="113" t="str">
        <f>H55</f>
        <v>Open Drain Caisson Pump</v>
      </c>
      <c r="I57" s="112" t="str">
        <f>I55</f>
        <v>LA</v>
      </c>
      <c r="J57" s="113"/>
      <c r="K57" s="114"/>
      <c r="L57" s="114"/>
      <c r="M57" s="114">
        <v>5.0000000000000001E-4</v>
      </c>
      <c r="N57" s="112"/>
      <c r="O57" s="112"/>
      <c r="P57" s="112"/>
      <c r="Q57" s="115" t="s">
        <v>4858</v>
      </c>
      <c r="R57" s="115"/>
      <c r="S57" s="126"/>
      <c r="T57" s="126"/>
      <c r="U57" s="126"/>
      <c r="V57" s="126"/>
      <c r="W57" s="126"/>
      <c r="X57" s="126"/>
      <c r="Y57" s="126"/>
      <c r="Z57" s="126"/>
      <c r="AA57" s="126"/>
      <c r="AB57" s="126"/>
      <c r="AC57" s="507"/>
      <c r="AD57" s="116"/>
      <c r="AE57" s="509"/>
      <c r="AF57" s="516"/>
      <c r="AG57" s="519"/>
      <c r="AH57" s="117"/>
      <c r="AI57" s="118"/>
      <c r="AJ57" s="522"/>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490">
        <f>A55+1</f>
        <v>17</v>
      </c>
      <c r="B58" s="79"/>
      <c r="C58" s="499" t="s">
        <v>4852</v>
      </c>
      <c r="D58" s="80" t="s">
        <v>4879</v>
      </c>
      <c r="E58" s="81" t="s">
        <v>4756</v>
      </c>
      <c r="F58" s="82" t="s">
        <v>72</v>
      </c>
      <c r="G58" s="502" t="s">
        <v>4880</v>
      </c>
      <c r="H58" s="82" t="s">
        <v>4757</v>
      </c>
      <c r="I58" s="81" t="s">
        <v>8</v>
      </c>
      <c r="J58" s="82"/>
      <c r="K58" s="84">
        <f>M60</f>
        <v>1E-3</v>
      </c>
      <c r="L58" s="84"/>
      <c r="M58" s="84"/>
      <c r="N58" s="81"/>
      <c r="O58" s="81"/>
      <c r="P58" s="81"/>
      <c r="Q58" s="85" t="s">
        <v>4855</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505" t="s">
        <v>4856</v>
      </c>
      <c r="AD58" s="87">
        <v>14</v>
      </c>
      <c r="AE58" s="509">
        <f>34*7</f>
        <v>238</v>
      </c>
      <c r="AF58" s="514" t="e">
        <f>AB59</f>
        <v>#REF!</v>
      </c>
      <c r="AG58" s="517">
        <f>WORKDAY(AH58+1,-1,$BA$10:$BA$141)</f>
        <v>46505</v>
      </c>
      <c r="AH58" s="88">
        <v>46505</v>
      </c>
      <c r="AI58" s="89"/>
      <c r="AJ58" s="520"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491"/>
      <c r="B59" s="95"/>
      <c r="C59" s="500"/>
      <c r="D59" s="96" t="str">
        <f>D58</f>
        <v>ELE</v>
      </c>
      <c r="E59" s="97" t="str">
        <f>E58</f>
        <v>RFQ-017</v>
      </c>
      <c r="F59" s="98" t="str">
        <f>F58</f>
        <v>N</v>
      </c>
      <c r="G59" s="503"/>
      <c r="H59" s="98" t="str">
        <f>H58</f>
        <v>DC Distribution Board</v>
      </c>
      <c r="I59" s="97" t="str">
        <f>I58</f>
        <v>LC</v>
      </c>
      <c r="J59" s="98"/>
      <c r="K59" s="100"/>
      <c r="L59" s="100">
        <f>M60</f>
        <v>1E-3</v>
      </c>
      <c r="M59" s="100"/>
      <c r="N59" s="97"/>
      <c r="O59" s="97"/>
      <c r="P59" s="97"/>
      <c r="Q59" s="101" t="s">
        <v>4857</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WORKDAY(AE58+#REF!,0,'[35]Equipment List and MR List (3)'!$A$2:$A$80)</f>
        <v>#REF!</v>
      </c>
      <c r="AC59" s="506"/>
      <c r="AD59" s="105"/>
      <c r="AE59" s="509"/>
      <c r="AF59" s="515"/>
      <c r="AG59" s="518"/>
      <c r="AH59" s="106"/>
      <c r="AI59" s="107"/>
      <c r="AJ59" s="521"/>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492"/>
      <c r="B60" s="110"/>
      <c r="C60" s="501"/>
      <c r="D60" s="111" t="str">
        <f>D58</f>
        <v>ELE</v>
      </c>
      <c r="E60" s="112" t="str">
        <f>E58</f>
        <v>RFQ-017</v>
      </c>
      <c r="F60" s="113" t="str">
        <f>F58</f>
        <v>N</v>
      </c>
      <c r="G60" s="504"/>
      <c r="H60" s="113" t="str">
        <f>H58</f>
        <v>DC Distribution Board</v>
      </c>
      <c r="I60" s="112" t="str">
        <f>I58</f>
        <v>LC</v>
      </c>
      <c r="J60" s="113"/>
      <c r="K60" s="114"/>
      <c r="L60" s="114"/>
      <c r="M60" s="114">
        <v>1E-3</v>
      </c>
      <c r="N60" s="112"/>
      <c r="O60" s="112"/>
      <c r="P60" s="112"/>
      <c r="Q60" s="115" t="s">
        <v>4858</v>
      </c>
      <c r="R60" s="115"/>
      <c r="S60" s="126"/>
      <c r="T60" s="126"/>
      <c r="U60" s="126"/>
      <c r="V60" s="126"/>
      <c r="W60" s="126"/>
      <c r="X60" s="126"/>
      <c r="Y60" s="126"/>
      <c r="Z60" s="126"/>
      <c r="AA60" s="126"/>
      <c r="AB60" s="126"/>
      <c r="AC60" s="507"/>
      <c r="AD60" s="116"/>
      <c r="AE60" s="509"/>
      <c r="AF60" s="516"/>
      <c r="AG60" s="519"/>
      <c r="AH60" s="117"/>
      <c r="AI60" s="118"/>
      <c r="AJ60" s="522"/>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490">
        <f>A58+1</f>
        <v>18</v>
      </c>
      <c r="B61" s="496" t="s">
        <v>4881</v>
      </c>
      <c r="C61" s="499" t="s">
        <v>4852</v>
      </c>
      <c r="D61" s="80" t="s">
        <v>4879</v>
      </c>
      <c r="E61" s="81" t="s">
        <v>4758</v>
      </c>
      <c r="F61" s="82" t="str">
        <f>IF(_xlfn.XLOOKUP(E61,'[35]Before Award'!D:D,'[35]Before Award'!AV:AV,"N/A")="N/A","N","Y")</f>
        <v>N</v>
      </c>
      <c r="G61" s="502" t="s">
        <v>4882</v>
      </c>
      <c r="H61" s="123" t="s">
        <v>123</v>
      </c>
      <c r="I61" s="81" t="s">
        <v>7</v>
      </c>
      <c r="J61" s="82"/>
      <c r="K61" s="84">
        <f>M63</f>
        <v>1E-3</v>
      </c>
      <c r="L61" s="84"/>
      <c r="M61" s="84"/>
      <c r="N61" s="81"/>
      <c r="O61" s="81"/>
      <c r="P61" s="81"/>
      <c r="Q61" s="85" t="s">
        <v>4855</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505" t="s">
        <v>4856</v>
      </c>
      <c r="AD61" s="87">
        <v>14</v>
      </c>
      <c r="AE61" s="508">
        <f>36*7</f>
        <v>252</v>
      </c>
      <c r="AF61" s="514" t="e">
        <f>AB62</f>
        <v>#REF!</v>
      </c>
      <c r="AG61" s="517">
        <f>WORKDAY(AH61+1,-1,$BA$10:$BA$141)</f>
        <v>46477</v>
      </c>
      <c r="AH61" s="88">
        <v>46477</v>
      </c>
      <c r="AI61" s="89"/>
      <c r="AJ61" s="520"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491"/>
      <c r="B62" s="497"/>
      <c r="C62" s="500"/>
      <c r="D62" s="96" t="str">
        <f>D61</f>
        <v>ELE</v>
      </c>
      <c r="E62" s="97" t="str">
        <f>E61</f>
        <v>RFQ-018</v>
      </c>
      <c r="F62" s="98" t="str">
        <f>F61</f>
        <v>N</v>
      </c>
      <c r="G62" s="503"/>
      <c r="H62" s="124" t="str">
        <f>H61</f>
        <v>Solar Power System</v>
      </c>
      <c r="I62" s="97" t="str">
        <f>I61</f>
        <v>LB</v>
      </c>
      <c r="J62" s="98"/>
      <c r="K62" s="100"/>
      <c r="L62" s="100">
        <f>M63</f>
        <v>1E-3</v>
      </c>
      <c r="M62" s="100"/>
      <c r="N62" s="97"/>
      <c r="O62" s="97"/>
      <c r="P62" s="97"/>
      <c r="Q62" s="101" t="s">
        <v>4857</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WORKDAY(AE61+#REF!,0,'[35]Equipment List and MR List (3)'!$A$2:$A$80)</f>
        <v>#REF!</v>
      </c>
      <c r="AC62" s="506"/>
      <c r="AD62" s="105"/>
      <c r="AE62" s="508"/>
      <c r="AF62" s="515"/>
      <c r="AG62" s="518"/>
      <c r="AH62" s="106"/>
      <c r="AI62" s="107"/>
      <c r="AJ62" s="521"/>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492"/>
      <c r="B63" s="498"/>
      <c r="C63" s="501"/>
      <c r="D63" s="111" t="str">
        <f>D61</f>
        <v>ELE</v>
      </c>
      <c r="E63" s="112" t="str">
        <f>E61</f>
        <v>RFQ-018</v>
      </c>
      <c r="F63" s="113" t="str">
        <f>F61</f>
        <v>N</v>
      </c>
      <c r="G63" s="504"/>
      <c r="H63" s="124" t="str">
        <f>H61</f>
        <v>Solar Power System</v>
      </c>
      <c r="I63" s="112" t="str">
        <f>I61</f>
        <v>LB</v>
      </c>
      <c r="J63" s="113"/>
      <c r="K63" s="114"/>
      <c r="L63" s="114"/>
      <c r="M63" s="114">
        <v>1E-3</v>
      </c>
      <c r="N63" s="112"/>
      <c r="O63" s="112"/>
      <c r="P63" s="112"/>
      <c r="Q63" s="115" t="s">
        <v>4858</v>
      </c>
      <c r="R63" s="126"/>
      <c r="S63" s="126"/>
      <c r="T63" s="126"/>
      <c r="U63" s="126"/>
      <c r="V63" s="126"/>
      <c r="W63" s="126"/>
      <c r="X63" s="126"/>
      <c r="Y63" s="126"/>
      <c r="Z63" s="126"/>
      <c r="AA63" s="126"/>
      <c r="AB63" s="126"/>
      <c r="AC63" s="507"/>
      <c r="AD63" s="116"/>
      <c r="AE63" s="508"/>
      <c r="AF63" s="516"/>
      <c r="AG63" s="519"/>
      <c r="AH63" s="117"/>
      <c r="AI63" s="118"/>
      <c r="AJ63" s="522"/>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490">
        <f>A61+1</f>
        <v>19</v>
      </c>
      <c r="B64" s="79"/>
      <c r="C64" s="499" t="s">
        <v>4852</v>
      </c>
      <c r="D64" s="80" t="s">
        <v>4879</v>
      </c>
      <c r="E64" s="81" t="s">
        <v>4759</v>
      </c>
      <c r="F64" s="82" t="s">
        <v>72</v>
      </c>
      <c r="G64" s="502" t="s">
        <v>4883</v>
      </c>
      <c r="H64" s="82" t="s">
        <v>126</v>
      </c>
      <c r="I64" s="81" t="s">
        <v>7</v>
      </c>
      <c r="J64" s="82"/>
      <c r="K64" s="84">
        <f>M66</f>
        <v>1.5E-3</v>
      </c>
      <c r="L64" s="84"/>
      <c r="M64" s="84"/>
      <c r="N64" s="81"/>
      <c r="O64" s="81"/>
      <c r="P64" s="81"/>
      <c r="Q64" s="85" t="s">
        <v>4855</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505" t="s">
        <v>4856</v>
      </c>
      <c r="AD64" s="87">
        <v>14</v>
      </c>
      <c r="AE64" s="509">
        <v>294</v>
      </c>
      <c r="AF64" s="514" t="e">
        <f>AB65</f>
        <v>#REF!</v>
      </c>
      <c r="AG64" s="517">
        <f>WORKDAY(AH64+1,-1,$BA$10:$BA$141)</f>
        <v>46598</v>
      </c>
      <c r="AH64" s="88">
        <v>46599</v>
      </c>
      <c r="AI64" s="89"/>
      <c r="AJ64" s="520"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491"/>
      <c r="B65" s="95"/>
      <c r="C65" s="500"/>
      <c r="D65" s="96" t="str">
        <f>D64</f>
        <v>ELE</v>
      </c>
      <c r="E65" s="97" t="str">
        <f>E64</f>
        <v>RFQ-019</v>
      </c>
      <c r="F65" s="98" t="str">
        <f>F64</f>
        <v>N</v>
      </c>
      <c r="G65" s="503"/>
      <c r="H65" s="98" t="str">
        <f>H64</f>
        <v>Navigation Aid System</v>
      </c>
      <c r="I65" s="97" t="str">
        <f>I64</f>
        <v>LB</v>
      </c>
      <c r="J65" s="98"/>
      <c r="K65" s="100"/>
      <c r="L65" s="100">
        <f>M66</f>
        <v>1.5E-3</v>
      </c>
      <c r="M65" s="100"/>
      <c r="N65" s="97"/>
      <c r="O65" s="97"/>
      <c r="P65" s="97"/>
      <c r="Q65" s="101" t="s">
        <v>4857</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WORKDAY(AE64+#REF!,0,'[35]Equipment List and MR List (3)'!$A$2:$A$80)</f>
        <v>#REF!</v>
      </c>
      <c r="AC65" s="506"/>
      <c r="AD65" s="105"/>
      <c r="AE65" s="509"/>
      <c r="AF65" s="515"/>
      <c r="AG65" s="518"/>
      <c r="AH65" s="106"/>
      <c r="AI65" s="107"/>
      <c r="AJ65" s="521"/>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492"/>
      <c r="B66" s="110"/>
      <c r="C66" s="501"/>
      <c r="D66" s="111" t="str">
        <f>D64</f>
        <v>ELE</v>
      </c>
      <c r="E66" s="112" t="str">
        <f>E64</f>
        <v>RFQ-019</v>
      </c>
      <c r="F66" s="113" t="str">
        <f>F64</f>
        <v>N</v>
      </c>
      <c r="G66" s="504"/>
      <c r="H66" s="113" t="str">
        <f>H64</f>
        <v>Navigation Aid System</v>
      </c>
      <c r="I66" s="112" t="str">
        <f>I64</f>
        <v>LB</v>
      </c>
      <c r="J66" s="113"/>
      <c r="K66" s="114"/>
      <c r="L66" s="114"/>
      <c r="M66" s="114">
        <v>1.5E-3</v>
      </c>
      <c r="N66" s="112"/>
      <c r="O66" s="112"/>
      <c r="P66" s="112"/>
      <c r="Q66" s="115" t="s">
        <v>4858</v>
      </c>
      <c r="R66" s="115"/>
      <c r="S66" s="126"/>
      <c r="T66" s="126"/>
      <c r="U66" s="126"/>
      <c r="V66" s="126"/>
      <c r="W66" s="126"/>
      <c r="X66" s="126"/>
      <c r="Y66" s="126"/>
      <c r="Z66" s="126"/>
      <c r="AA66" s="126"/>
      <c r="AB66" s="126"/>
      <c r="AC66" s="507"/>
      <c r="AD66" s="116"/>
      <c r="AE66" s="509"/>
      <c r="AF66" s="516"/>
      <c r="AG66" s="519"/>
      <c r="AH66" s="117"/>
      <c r="AI66" s="118"/>
      <c r="AJ66" s="522"/>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490">
        <f>A64+1</f>
        <v>20</v>
      </c>
      <c r="B67" s="79"/>
      <c r="C67" s="499" t="s">
        <v>4852</v>
      </c>
      <c r="D67" s="80" t="s">
        <v>4879</v>
      </c>
      <c r="E67" s="81" t="s">
        <v>4760</v>
      </c>
      <c r="F67" s="82" t="s">
        <v>64</v>
      </c>
      <c r="G67" s="502" t="s">
        <v>4883</v>
      </c>
      <c r="H67" s="82" t="s">
        <v>129</v>
      </c>
      <c r="I67" s="81" t="s">
        <v>8</v>
      </c>
      <c r="J67" s="82"/>
      <c r="K67" s="84">
        <f>M69</f>
        <v>5.0000000000000001E-4</v>
      </c>
      <c r="L67" s="84"/>
      <c r="M67" s="84"/>
      <c r="N67" s="81"/>
      <c r="O67" s="81"/>
      <c r="P67" s="81"/>
      <c r="Q67" s="85" t="s">
        <v>4855</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505" t="s">
        <v>4856</v>
      </c>
      <c r="AD67" s="87">
        <v>14</v>
      </c>
      <c r="AE67" s="509">
        <f>36*7</f>
        <v>252</v>
      </c>
      <c r="AF67" s="514" t="e">
        <f>AB68</f>
        <v>#REF!</v>
      </c>
      <c r="AG67" s="517">
        <f>WORKDAY(AH67+1,-1,$BA$10:$BA$141)</f>
        <v>46521</v>
      </c>
      <c r="AH67" s="88">
        <v>46522</v>
      </c>
      <c r="AI67" s="89"/>
      <c r="AJ67" s="520"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491"/>
      <c r="B68" s="95"/>
      <c r="C68" s="500"/>
      <c r="D68" s="96" t="str">
        <f>D67</f>
        <v>ELE</v>
      </c>
      <c r="E68" s="97" t="str">
        <f>E67</f>
        <v>RFQ-020</v>
      </c>
      <c r="F68" s="98" t="str">
        <f>F67</f>
        <v>Y</v>
      </c>
      <c r="G68" s="503"/>
      <c r="H68" s="98" t="str">
        <f>H67</f>
        <v>External Battery Charger</v>
      </c>
      <c r="I68" s="97" t="str">
        <f>I67</f>
        <v>LC</v>
      </c>
      <c r="J68" s="98"/>
      <c r="K68" s="100"/>
      <c r="L68" s="100">
        <f>M69</f>
        <v>5.0000000000000001E-4</v>
      </c>
      <c r="M68" s="100"/>
      <c r="N68" s="97"/>
      <c r="O68" s="97"/>
      <c r="P68" s="97"/>
      <c r="Q68" s="101" t="s">
        <v>4857</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WORKDAY(AE67+#REF!,0,'[35]Equipment List and MR List (3)'!$A$2:$A$80)</f>
        <v>#REF!</v>
      </c>
      <c r="AC68" s="506"/>
      <c r="AD68" s="105"/>
      <c r="AE68" s="509"/>
      <c r="AF68" s="515"/>
      <c r="AG68" s="518"/>
      <c r="AH68" s="106"/>
      <c r="AI68" s="107"/>
      <c r="AJ68" s="521"/>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492"/>
      <c r="B69" s="110"/>
      <c r="C69" s="501"/>
      <c r="D69" s="111" t="str">
        <f>D67</f>
        <v>ELE</v>
      </c>
      <c r="E69" s="112" t="str">
        <f>E67</f>
        <v>RFQ-020</v>
      </c>
      <c r="F69" s="113" t="str">
        <f>F67</f>
        <v>Y</v>
      </c>
      <c r="G69" s="504"/>
      <c r="H69" s="113" t="str">
        <f>H67</f>
        <v>External Battery Charger</v>
      </c>
      <c r="I69" s="112" t="str">
        <f>I67</f>
        <v>LC</v>
      </c>
      <c r="J69" s="113"/>
      <c r="K69" s="114"/>
      <c r="L69" s="114"/>
      <c r="M69" s="114">
        <v>5.0000000000000001E-4</v>
      </c>
      <c r="N69" s="112"/>
      <c r="O69" s="112"/>
      <c r="P69" s="112"/>
      <c r="Q69" s="115" t="s">
        <v>4858</v>
      </c>
      <c r="R69" s="115"/>
      <c r="S69" s="126"/>
      <c r="T69" s="126"/>
      <c r="U69" s="126"/>
      <c r="V69" s="126"/>
      <c r="W69" s="126"/>
      <c r="X69" s="126"/>
      <c r="Y69" s="126"/>
      <c r="Z69" s="126"/>
      <c r="AA69" s="126"/>
      <c r="AB69" s="126"/>
      <c r="AC69" s="507"/>
      <c r="AD69" s="116"/>
      <c r="AE69" s="509"/>
      <c r="AF69" s="516"/>
      <c r="AG69" s="519"/>
      <c r="AH69" s="117"/>
      <c r="AI69" s="118"/>
      <c r="AJ69" s="522"/>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490">
        <f>A67+1</f>
        <v>21</v>
      </c>
      <c r="B70" s="79"/>
      <c r="C70" s="499" t="s">
        <v>4852</v>
      </c>
      <c r="D70" s="80" t="s">
        <v>4884</v>
      </c>
      <c r="E70" s="81" t="s">
        <v>4761</v>
      </c>
      <c r="F70" s="82" t="s">
        <v>72</v>
      </c>
      <c r="G70" s="502" t="s">
        <v>4885</v>
      </c>
      <c r="H70" s="82" t="s">
        <v>131</v>
      </c>
      <c r="I70" s="81" t="s">
        <v>7</v>
      </c>
      <c r="J70" s="82"/>
      <c r="K70" s="84">
        <f>M72</f>
        <v>0.01</v>
      </c>
      <c r="L70" s="84"/>
      <c r="M70" s="84"/>
      <c r="N70" s="81"/>
      <c r="O70" s="81"/>
      <c r="P70" s="81"/>
      <c r="Q70" s="85" t="s">
        <v>4855</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505" t="s">
        <v>4856</v>
      </c>
      <c r="AD70" s="87">
        <v>7</v>
      </c>
      <c r="AE70" s="509">
        <v>200</v>
      </c>
      <c r="AF70" s="514" t="e">
        <f>AB71</f>
        <v>#REF!</v>
      </c>
      <c r="AG70" s="517">
        <f>WORKDAY(AH70+1,-1,$BA$10:$BA$141)</f>
        <v>46535</v>
      </c>
      <c r="AH70" s="88">
        <v>46537</v>
      </c>
      <c r="AI70" s="89"/>
      <c r="AJ70" s="520"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491"/>
      <c r="B71" s="95"/>
      <c r="C71" s="500"/>
      <c r="D71" s="96" t="str">
        <f>D70</f>
        <v>INS</v>
      </c>
      <c r="E71" s="97" t="str">
        <f>E70</f>
        <v>RFQ-021</v>
      </c>
      <c r="F71" s="98" t="str">
        <f>F70</f>
        <v>N</v>
      </c>
      <c r="G71" s="503"/>
      <c r="H71" s="98" t="str">
        <f>H70</f>
        <v>Control Valve</v>
      </c>
      <c r="I71" s="97" t="str">
        <f>I70</f>
        <v>LB</v>
      </c>
      <c r="J71" s="98"/>
      <c r="K71" s="100"/>
      <c r="L71" s="100">
        <f>M72</f>
        <v>0.01</v>
      </c>
      <c r="M71" s="100"/>
      <c r="N71" s="97"/>
      <c r="O71" s="97"/>
      <c r="P71" s="97"/>
      <c r="Q71" s="101" t="s">
        <v>4857</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WORKDAY(AE70+#REF!,0,'[35]Equipment List and MR List (3)'!$A$2:$A$80)</f>
        <v>#REF!</v>
      </c>
      <c r="AC71" s="506"/>
      <c r="AD71" s="105"/>
      <c r="AE71" s="509"/>
      <c r="AF71" s="515"/>
      <c r="AG71" s="518"/>
      <c r="AH71" s="106"/>
      <c r="AI71" s="107"/>
      <c r="AJ71" s="521"/>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492"/>
      <c r="B72" s="110"/>
      <c r="C72" s="501"/>
      <c r="D72" s="111" t="str">
        <f>D70</f>
        <v>INS</v>
      </c>
      <c r="E72" s="112" t="str">
        <f>E70</f>
        <v>RFQ-021</v>
      </c>
      <c r="F72" s="113" t="str">
        <f>F70</f>
        <v>N</v>
      </c>
      <c r="G72" s="504"/>
      <c r="H72" s="113" t="str">
        <f>H70</f>
        <v>Control Valve</v>
      </c>
      <c r="I72" s="112" t="str">
        <f>I70</f>
        <v>LB</v>
      </c>
      <c r="J72" s="113"/>
      <c r="K72" s="114"/>
      <c r="L72" s="114"/>
      <c r="M72" s="114">
        <v>0.01</v>
      </c>
      <c r="N72" s="112"/>
      <c r="O72" s="112"/>
      <c r="P72" s="112"/>
      <c r="Q72" s="115" t="s">
        <v>4858</v>
      </c>
      <c r="R72" s="115"/>
      <c r="S72" s="126"/>
      <c r="T72" s="126"/>
      <c r="U72" s="126"/>
      <c r="V72" s="126"/>
      <c r="W72" s="126"/>
      <c r="X72" s="126"/>
      <c r="Y72" s="126"/>
      <c r="Z72" s="126"/>
      <c r="AA72" s="126"/>
      <c r="AB72" s="126"/>
      <c r="AC72" s="507"/>
      <c r="AD72" s="116"/>
      <c r="AE72" s="509"/>
      <c r="AF72" s="516"/>
      <c r="AG72" s="519"/>
      <c r="AH72" s="117"/>
      <c r="AI72" s="118"/>
      <c r="AJ72" s="522"/>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490">
        <f>A70+1</f>
        <v>22</v>
      </c>
      <c r="B73" s="79"/>
      <c r="C73" s="499" t="s">
        <v>4852</v>
      </c>
      <c r="D73" s="80" t="s">
        <v>4884</v>
      </c>
      <c r="E73" s="81" t="s">
        <v>4762</v>
      </c>
      <c r="F73" s="82" t="s">
        <v>72</v>
      </c>
      <c r="G73" s="502" t="s">
        <v>4885</v>
      </c>
      <c r="H73" s="82" t="s">
        <v>136</v>
      </c>
      <c r="I73" s="81" t="s">
        <v>7</v>
      </c>
      <c r="J73" s="82"/>
      <c r="K73" s="84">
        <f>M75</f>
        <v>0.01</v>
      </c>
      <c r="L73" s="84"/>
      <c r="M73" s="84"/>
      <c r="N73" s="81"/>
      <c r="O73" s="81"/>
      <c r="P73" s="81"/>
      <c r="Q73" s="85" t="s">
        <v>4855</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505" t="s">
        <v>4856</v>
      </c>
      <c r="AD73" s="87">
        <v>7</v>
      </c>
      <c r="AE73" s="509">
        <v>200</v>
      </c>
      <c r="AF73" s="514" t="e">
        <f>AB74</f>
        <v>#REF!</v>
      </c>
      <c r="AG73" s="517">
        <f>WORKDAY(AH73+1,-1,$BA$10:$BA$141)</f>
        <v>46538</v>
      </c>
      <c r="AH73" s="88">
        <v>46538</v>
      </c>
      <c r="AI73" s="89"/>
      <c r="AJ73" s="520"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491"/>
      <c r="B74" s="95"/>
      <c r="C74" s="500"/>
      <c r="D74" s="96" t="str">
        <f>D73</f>
        <v>INS</v>
      </c>
      <c r="E74" s="97" t="str">
        <f>E73</f>
        <v>RFQ-022</v>
      </c>
      <c r="F74" s="98" t="str">
        <f>F73</f>
        <v>N</v>
      </c>
      <c r="G74" s="503"/>
      <c r="H74" s="98" t="str">
        <f>H73</f>
        <v>Self Regulator Valve</v>
      </c>
      <c r="I74" s="97" t="str">
        <f>I73</f>
        <v>LB</v>
      </c>
      <c r="J74" s="98"/>
      <c r="K74" s="100"/>
      <c r="L74" s="100">
        <f>M75</f>
        <v>0.01</v>
      </c>
      <c r="M74" s="100"/>
      <c r="N74" s="97"/>
      <c r="O74" s="97"/>
      <c r="P74" s="97"/>
      <c r="Q74" s="101" t="s">
        <v>4857</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WORKDAY(AE73+#REF!,0,'[35]Equipment List and MR List (3)'!$A$2:$A$80)</f>
        <v>#REF!</v>
      </c>
      <c r="AC74" s="506"/>
      <c r="AD74" s="105"/>
      <c r="AE74" s="509"/>
      <c r="AF74" s="515"/>
      <c r="AG74" s="518"/>
      <c r="AH74" s="106"/>
      <c r="AI74" s="107"/>
      <c r="AJ74" s="521"/>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492"/>
      <c r="B75" s="110"/>
      <c r="C75" s="501"/>
      <c r="D75" s="111" t="str">
        <f>D73</f>
        <v>INS</v>
      </c>
      <c r="E75" s="112" t="str">
        <f>E73</f>
        <v>RFQ-022</v>
      </c>
      <c r="F75" s="113" t="str">
        <f>F73</f>
        <v>N</v>
      </c>
      <c r="G75" s="504"/>
      <c r="H75" s="113" t="str">
        <f>H73</f>
        <v>Self Regulator Valve</v>
      </c>
      <c r="I75" s="112" t="str">
        <f>I73</f>
        <v>LB</v>
      </c>
      <c r="J75" s="113"/>
      <c r="K75" s="114"/>
      <c r="L75" s="114"/>
      <c r="M75" s="114">
        <v>0.01</v>
      </c>
      <c r="N75" s="112"/>
      <c r="O75" s="112"/>
      <c r="P75" s="112"/>
      <c r="Q75" s="115" t="s">
        <v>4858</v>
      </c>
      <c r="R75" s="115"/>
      <c r="S75" s="126"/>
      <c r="T75" s="126"/>
      <c r="U75" s="126"/>
      <c r="V75" s="126"/>
      <c r="W75" s="126"/>
      <c r="X75" s="126"/>
      <c r="Y75" s="126"/>
      <c r="Z75" s="126"/>
      <c r="AA75" s="126"/>
      <c r="AB75" s="126"/>
      <c r="AC75" s="507"/>
      <c r="AD75" s="116"/>
      <c r="AE75" s="509"/>
      <c r="AF75" s="516"/>
      <c r="AG75" s="519"/>
      <c r="AH75" s="117"/>
      <c r="AI75" s="118"/>
      <c r="AJ75" s="522"/>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490">
        <f>A73+1</f>
        <v>23</v>
      </c>
      <c r="B76" s="79"/>
      <c r="C76" s="499" t="s">
        <v>4852</v>
      </c>
      <c r="D76" s="80" t="s">
        <v>4884</v>
      </c>
      <c r="E76" s="81" t="s">
        <v>4763</v>
      </c>
      <c r="F76" s="82" t="s">
        <v>72</v>
      </c>
      <c r="G76" s="502" t="s">
        <v>4886</v>
      </c>
      <c r="H76" s="82" t="s">
        <v>139</v>
      </c>
      <c r="I76" s="81" t="s">
        <v>7</v>
      </c>
      <c r="J76" s="82"/>
      <c r="K76" s="84">
        <f>M78</f>
        <v>0.01</v>
      </c>
      <c r="L76" s="84"/>
      <c r="M76" s="84"/>
      <c r="N76" s="81"/>
      <c r="O76" s="81"/>
      <c r="P76" s="81"/>
      <c r="Q76" s="85" t="s">
        <v>4855</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505" t="s">
        <v>4856</v>
      </c>
      <c r="AD76" s="87">
        <v>7</v>
      </c>
      <c r="AE76" s="508">
        <f>44*7</f>
        <v>308</v>
      </c>
      <c r="AF76" s="514" t="e">
        <f>AB77</f>
        <v>#REF!</v>
      </c>
      <c r="AG76" s="517">
        <f>WORKDAY(AH76+1,-1,$BA$10:$BA$141)</f>
        <v>46538</v>
      </c>
      <c r="AH76" s="88">
        <v>46538</v>
      </c>
      <c r="AI76" s="89"/>
      <c r="AJ76" s="520"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491"/>
      <c r="B77" s="95"/>
      <c r="C77" s="500"/>
      <c r="D77" s="96" t="str">
        <f>D76</f>
        <v>INS</v>
      </c>
      <c r="E77" s="97" t="str">
        <f>E76</f>
        <v>RFQ-023</v>
      </c>
      <c r="F77" s="98" t="str">
        <f>F76</f>
        <v>N</v>
      </c>
      <c r="G77" s="503"/>
      <c r="H77" s="98" t="str">
        <f>H76</f>
        <v>Actuated Choke Valve</v>
      </c>
      <c r="I77" s="97" t="str">
        <f>I76</f>
        <v>LB</v>
      </c>
      <c r="J77" s="98"/>
      <c r="K77" s="100"/>
      <c r="L77" s="100">
        <f>M78</f>
        <v>0.01</v>
      </c>
      <c r="M77" s="100"/>
      <c r="N77" s="97"/>
      <c r="O77" s="97"/>
      <c r="P77" s="97"/>
      <c r="Q77" s="101" t="s">
        <v>4857</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WORKDAY(AE76+#REF!,0,'[35]Equipment List and MR List (3)'!$A$2:$A$80)</f>
        <v>#REF!</v>
      </c>
      <c r="AC77" s="506"/>
      <c r="AD77" s="105"/>
      <c r="AE77" s="508"/>
      <c r="AF77" s="515"/>
      <c r="AG77" s="518"/>
      <c r="AH77" s="106"/>
      <c r="AI77" s="107"/>
      <c r="AJ77" s="521"/>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492"/>
      <c r="B78" s="110"/>
      <c r="C78" s="501"/>
      <c r="D78" s="111" t="str">
        <f>D76</f>
        <v>INS</v>
      </c>
      <c r="E78" s="112" t="str">
        <f>E76</f>
        <v>RFQ-023</v>
      </c>
      <c r="F78" s="113" t="str">
        <f>F76</f>
        <v>N</v>
      </c>
      <c r="G78" s="504"/>
      <c r="H78" s="113" t="str">
        <f>H76</f>
        <v>Actuated Choke Valve</v>
      </c>
      <c r="I78" s="112" t="str">
        <f>I76</f>
        <v>LB</v>
      </c>
      <c r="J78" s="113"/>
      <c r="K78" s="114"/>
      <c r="L78" s="114"/>
      <c r="M78" s="114">
        <v>0.01</v>
      </c>
      <c r="N78" s="112"/>
      <c r="O78" s="112"/>
      <c r="P78" s="112"/>
      <c r="Q78" s="115" t="s">
        <v>4858</v>
      </c>
      <c r="R78" s="115"/>
      <c r="S78" s="126"/>
      <c r="T78" s="126"/>
      <c r="U78" s="126"/>
      <c r="V78" s="126"/>
      <c r="W78" s="126"/>
      <c r="X78" s="126"/>
      <c r="Y78" s="126"/>
      <c r="Z78" s="126"/>
      <c r="AA78" s="126"/>
      <c r="AB78" s="126"/>
      <c r="AC78" s="507"/>
      <c r="AD78" s="116"/>
      <c r="AE78" s="508"/>
      <c r="AF78" s="516"/>
      <c r="AG78" s="519"/>
      <c r="AH78" s="117"/>
      <c r="AI78" s="118"/>
      <c r="AJ78" s="522"/>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490">
        <f>A76+1</f>
        <v>24</v>
      </c>
      <c r="B79" s="79"/>
      <c r="C79" s="499" t="s">
        <v>4852</v>
      </c>
      <c r="D79" s="80" t="s">
        <v>4884</v>
      </c>
      <c r="E79" s="81" t="s">
        <v>4764</v>
      </c>
      <c r="F79" s="82" t="s">
        <v>72</v>
      </c>
      <c r="G79" s="502" t="s">
        <v>4887</v>
      </c>
      <c r="H79" s="82" t="s">
        <v>142</v>
      </c>
      <c r="I79" s="81" t="s">
        <v>7</v>
      </c>
      <c r="J79" s="82"/>
      <c r="K79" s="84">
        <f>M81</f>
        <v>0.01</v>
      </c>
      <c r="L79" s="84"/>
      <c r="M79" s="84"/>
      <c r="N79" s="81"/>
      <c r="O79" s="81"/>
      <c r="P79" s="81"/>
      <c r="Q79" s="85" t="s">
        <v>4855</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505" t="s">
        <v>4856</v>
      </c>
      <c r="AD79" s="87">
        <v>7</v>
      </c>
      <c r="AE79" s="509">
        <f>36*7</f>
        <v>252</v>
      </c>
      <c r="AF79" s="514" t="e">
        <f>AB80</f>
        <v>#REF!</v>
      </c>
      <c r="AG79" s="517">
        <f>WORKDAY(AH79+1,-1,$BA$10:$BA$141)</f>
        <v>46538</v>
      </c>
      <c r="AH79" s="88">
        <v>46538</v>
      </c>
      <c r="AI79" s="89"/>
      <c r="AJ79" s="520"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491"/>
      <c r="B80" s="95"/>
      <c r="C80" s="500"/>
      <c r="D80" s="96" t="str">
        <f>D79</f>
        <v>INS</v>
      </c>
      <c r="E80" s="97" t="str">
        <f>E79</f>
        <v>RFQ-024</v>
      </c>
      <c r="F80" s="98" t="str">
        <f>F79</f>
        <v>N</v>
      </c>
      <c r="G80" s="503"/>
      <c r="H80" s="98" t="str">
        <f>H79</f>
        <v>Actuated Ball Valve</v>
      </c>
      <c r="I80" s="97" t="str">
        <f>I79</f>
        <v>LB</v>
      </c>
      <c r="J80" s="98"/>
      <c r="K80" s="100"/>
      <c r="L80" s="100">
        <f>M81</f>
        <v>0.01</v>
      </c>
      <c r="M80" s="100"/>
      <c r="N80" s="97"/>
      <c r="O80" s="97"/>
      <c r="P80" s="97"/>
      <c r="Q80" s="101" t="s">
        <v>4857</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WORKDAY(AE79+#REF!,0,'[35]Equipment List and MR List (3)'!$A$2:$A$80)</f>
        <v>#REF!</v>
      </c>
      <c r="AC80" s="506"/>
      <c r="AD80" s="105"/>
      <c r="AE80" s="509"/>
      <c r="AF80" s="515"/>
      <c r="AG80" s="518"/>
      <c r="AH80" s="106"/>
      <c r="AI80" s="107"/>
      <c r="AJ80" s="521"/>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492"/>
      <c r="B81" s="110"/>
      <c r="C81" s="501"/>
      <c r="D81" s="111" t="str">
        <f>D79</f>
        <v>INS</v>
      </c>
      <c r="E81" s="112" t="str">
        <f>E79</f>
        <v>RFQ-024</v>
      </c>
      <c r="F81" s="113" t="str">
        <f>F79</f>
        <v>N</v>
      </c>
      <c r="G81" s="504"/>
      <c r="H81" s="113" t="str">
        <f>H79</f>
        <v>Actuated Ball Valve</v>
      </c>
      <c r="I81" s="112" t="str">
        <f>I79</f>
        <v>LB</v>
      </c>
      <c r="J81" s="113"/>
      <c r="K81" s="114"/>
      <c r="L81" s="114"/>
      <c r="M81" s="114">
        <v>0.01</v>
      </c>
      <c r="N81" s="112"/>
      <c r="O81" s="112"/>
      <c r="P81" s="112"/>
      <c r="Q81" s="115" t="s">
        <v>4858</v>
      </c>
      <c r="R81" s="115"/>
      <c r="S81" s="126"/>
      <c r="T81" s="126"/>
      <c r="U81" s="126"/>
      <c r="V81" s="126"/>
      <c r="W81" s="126"/>
      <c r="X81" s="126"/>
      <c r="Y81" s="126"/>
      <c r="Z81" s="126"/>
      <c r="AA81" s="126"/>
      <c r="AB81" s="126"/>
      <c r="AC81" s="507"/>
      <c r="AD81" s="116"/>
      <c r="AE81" s="509"/>
      <c r="AF81" s="516"/>
      <c r="AG81" s="519"/>
      <c r="AH81" s="117"/>
      <c r="AI81" s="118"/>
      <c r="AJ81" s="522"/>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490">
        <f>A79+1</f>
        <v>25</v>
      </c>
      <c r="B82" s="79"/>
      <c r="C82" s="499" t="s">
        <v>4852</v>
      </c>
      <c r="D82" s="80" t="s">
        <v>4884</v>
      </c>
      <c r="E82" s="81" t="s">
        <v>4765</v>
      </c>
      <c r="F82" s="82" t="str">
        <f>IF(_xlfn.XLOOKUP(E82,'[35]Before Award'!D:D,'[35]Before Award'!AV:AV,"N/A")="N/A","N","Y")</f>
        <v>N</v>
      </c>
      <c r="G82" s="502" t="s">
        <v>4888</v>
      </c>
      <c r="H82" s="82" t="s">
        <v>145</v>
      </c>
      <c r="I82" s="81" t="s">
        <v>7</v>
      </c>
      <c r="J82" s="82"/>
      <c r="K82" s="84">
        <f>M84</f>
        <v>0.01</v>
      </c>
      <c r="L82" s="84"/>
      <c r="M82" s="84"/>
      <c r="N82" s="81"/>
      <c r="O82" s="81"/>
      <c r="P82" s="81"/>
      <c r="Q82" s="85" t="s">
        <v>4855</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505" t="s">
        <v>4856</v>
      </c>
      <c r="AD82" s="87">
        <v>7</v>
      </c>
      <c r="AE82" s="509">
        <v>280</v>
      </c>
      <c r="AF82" s="514" t="e">
        <f>AB83</f>
        <v>#REF!</v>
      </c>
      <c r="AG82" s="517">
        <f>WORKDAY(AH82+1,-1,$BA$10:$BA$141)</f>
        <v>46538</v>
      </c>
      <c r="AH82" s="88">
        <v>46538</v>
      </c>
      <c r="AI82" s="89"/>
      <c r="AJ82" s="520"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491"/>
      <c r="B83" s="95"/>
      <c r="C83" s="500"/>
      <c r="D83" s="96" t="str">
        <f>D82</f>
        <v>INS</v>
      </c>
      <c r="E83" s="97" t="str">
        <f>E82</f>
        <v>RFQ-025</v>
      </c>
      <c r="F83" s="98" t="str">
        <f>F82</f>
        <v>N</v>
      </c>
      <c r="G83" s="503"/>
      <c r="H83" s="98" t="str">
        <f>H82</f>
        <v>Actuated Compact Ball Valve</v>
      </c>
      <c r="I83" s="97" t="str">
        <f>I82</f>
        <v>LB</v>
      </c>
      <c r="J83" s="98"/>
      <c r="K83" s="100"/>
      <c r="L83" s="100">
        <f>M84</f>
        <v>0.01</v>
      </c>
      <c r="M83" s="100"/>
      <c r="N83" s="97"/>
      <c r="O83" s="97"/>
      <c r="P83" s="97"/>
      <c r="Q83" s="101" t="s">
        <v>4857</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WORKDAY(AE82+#REF!,0,'[35]Equipment List and MR List (3)'!$A$2:$A$80)</f>
        <v>#REF!</v>
      </c>
      <c r="AC83" s="506"/>
      <c r="AD83" s="105"/>
      <c r="AE83" s="509"/>
      <c r="AF83" s="515"/>
      <c r="AG83" s="518"/>
      <c r="AH83" s="106"/>
      <c r="AI83" s="107"/>
      <c r="AJ83" s="521"/>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492"/>
      <c r="B84" s="110"/>
      <c r="C84" s="501"/>
      <c r="D84" s="111" t="str">
        <f>D82</f>
        <v>INS</v>
      </c>
      <c r="E84" s="112" t="str">
        <f>E82</f>
        <v>RFQ-025</v>
      </c>
      <c r="F84" s="113" t="str">
        <f>F82</f>
        <v>N</v>
      </c>
      <c r="G84" s="504"/>
      <c r="H84" s="113" t="str">
        <f>H82</f>
        <v>Actuated Compact Ball Valve</v>
      </c>
      <c r="I84" s="112" t="str">
        <f>I82</f>
        <v>LB</v>
      </c>
      <c r="J84" s="113"/>
      <c r="K84" s="114"/>
      <c r="L84" s="114"/>
      <c r="M84" s="114">
        <v>0.01</v>
      </c>
      <c r="N84" s="112"/>
      <c r="O84" s="112"/>
      <c r="P84" s="112"/>
      <c r="Q84" s="115" t="s">
        <v>4858</v>
      </c>
      <c r="R84" s="115"/>
      <c r="S84" s="126"/>
      <c r="T84" s="126"/>
      <c r="U84" s="126"/>
      <c r="V84" s="126"/>
      <c r="W84" s="126"/>
      <c r="X84" s="126"/>
      <c r="Y84" s="126"/>
      <c r="Z84" s="126"/>
      <c r="AA84" s="126"/>
      <c r="AB84" s="126"/>
      <c r="AC84" s="507"/>
      <c r="AD84" s="116"/>
      <c r="AE84" s="509"/>
      <c r="AF84" s="516"/>
      <c r="AG84" s="519"/>
      <c r="AH84" s="117"/>
      <c r="AI84" s="118"/>
      <c r="AJ84" s="522"/>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490">
        <f>A82+1</f>
        <v>26</v>
      </c>
      <c r="B85" s="79"/>
      <c r="C85" s="499" t="s">
        <v>4852</v>
      </c>
      <c r="D85" s="80" t="s">
        <v>4884</v>
      </c>
      <c r="E85" s="81" t="s">
        <v>4766</v>
      </c>
      <c r="F85" s="82" t="s">
        <v>72</v>
      </c>
      <c r="G85" s="502" t="s">
        <v>4889</v>
      </c>
      <c r="H85" s="82" t="s">
        <v>147</v>
      </c>
      <c r="I85" s="81" t="s">
        <v>7</v>
      </c>
      <c r="J85" s="82"/>
      <c r="K85" s="84">
        <f>M87</f>
        <v>0.02</v>
      </c>
      <c r="L85" s="84"/>
      <c r="M85" s="84"/>
      <c r="N85" s="81"/>
      <c r="O85" s="81"/>
      <c r="P85" s="81"/>
      <c r="Q85" s="85" t="s">
        <v>4855</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505" t="s">
        <v>4856</v>
      </c>
      <c r="AD85" s="87">
        <v>7</v>
      </c>
      <c r="AE85" s="509">
        <v>184</v>
      </c>
      <c r="AF85" s="514" t="e">
        <f>AB86</f>
        <v>#REF!</v>
      </c>
      <c r="AG85" s="517">
        <f>WORKDAY(AH85+1,-1,$BA$10:$BA$141)</f>
        <v>46538</v>
      </c>
      <c r="AH85" s="88">
        <v>46538</v>
      </c>
      <c r="AI85" s="89"/>
      <c r="AJ85" s="520"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491"/>
      <c r="B86" s="95"/>
      <c r="C86" s="500"/>
      <c r="D86" s="96" t="str">
        <f>D85</f>
        <v>INS</v>
      </c>
      <c r="E86" s="97" t="str">
        <f>E85</f>
        <v>RFQ-026</v>
      </c>
      <c r="F86" s="98" t="str">
        <f>F85</f>
        <v>N</v>
      </c>
      <c r="G86" s="503"/>
      <c r="H86" s="98" t="str">
        <f>H85</f>
        <v>Safety Relief Valves</v>
      </c>
      <c r="I86" s="97" t="str">
        <f>I85</f>
        <v>LB</v>
      </c>
      <c r="J86" s="98"/>
      <c r="K86" s="100"/>
      <c r="L86" s="100">
        <f>M87</f>
        <v>0.02</v>
      </c>
      <c r="M86" s="100"/>
      <c r="N86" s="97"/>
      <c r="O86" s="97"/>
      <c r="P86" s="97"/>
      <c r="Q86" s="101" t="s">
        <v>4857</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WORKDAY(AE85+#REF!,0,'[35]Equipment List and MR List (3)'!$A$2:$A$80)</f>
        <v>#REF!</v>
      </c>
      <c r="AC86" s="506"/>
      <c r="AD86" s="105"/>
      <c r="AE86" s="509"/>
      <c r="AF86" s="515"/>
      <c r="AG86" s="518"/>
      <c r="AH86" s="106"/>
      <c r="AI86" s="107"/>
      <c r="AJ86" s="521"/>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492"/>
      <c r="B87" s="110"/>
      <c r="C87" s="501"/>
      <c r="D87" s="111" t="str">
        <f>D85</f>
        <v>INS</v>
      </c>
      <c r="E87" s="112" t="str">
        <f>E85</f>
        <v>RFQ-026</v>
      </c>
      <c r="F87" s="113" t="str">
        <f>F85</f>
        <v>N</v>
      </c>
      <c r="G87" s="504"/>
      <c r="H87" s="113" t="str">
        <f>H85</f>
        <v>Safety Relief Valves</v>
      </c>
      <c r="I87" s="112" t="str">
        <f>I85</f>
        <v>LB</v>
      </c>
      <c r="J87" s="113"/>
      <c r="K87" s="114"/>
      <c r="L87" s="114"/>
      <c r="M87" s="114">
        <v>0.02</v>
      </c>
      <c r="N87" s="112"/>
      <c r="O87" s="112"/>
      <c r="P87" s="112"/>
      <c r="Q87" s="115" t="s">
        <v>4858</v>
      </c>
      <c r="R87" s="115"/>
      <c r="S87" s="126"/>
      <c r="T87" s="126"/>
      <c r="U87" s="126"/>
      <c r="V87" s="126"/>
      <c r="W87" s="126"/>
      <c r="X87" s="126"/>
      <c r="Y87" s="126"/>
      <c r="Z87" s="126"/>
      <c r="AA87" s="126"/>
      <c r="AB87" s="126"/>
      <c r="AC87" s="507"/>
      <c r="AD87" s="116"/>
      <c r="AE87" s="509"/>
      <c r="AF87" s="516"/>
      <c r="AG87" s="519"/>
      <c r="AH87" s="117"/>
      <c r="AI87" s="118"/>
      <c r="AJ87" s="522"/>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490">
        <f>A85+1</f>
        <v>27</v>
      </c>
      <c r="B88" s="79"/>
      <c r="C88" s="499" t="s">
        <v>4852</v>
      </c>
      <c r="D88" s="80" t="s">
        <v>4884</v>
      </c>
      <c r="E88" s="81" t="s">
        <v>4767</v>
      </c>
      <c r="F88" s="82" t="s">
        <v>72</v>
      </c>
      <c r="G88" s="502" t="s">
        <v>4890</v>
      </c>
      <c r="H88" s="82" t="s">
        <v>150</v>
      </c>
      <c r="I88" s="81" t="s">
        <v>8</v>
      </c>
      <c r="J88" s="82"/>
      <c r="K88" s="84">
        <f>M90</f>
        <v>0.04</v>
      </c>
      <c r="L88" s="84"/>
      <c r="M88" s="84"/>
      <c r="N88" s="81"/>
      <c r="O88" s="81"/>
      <c r="P88" s="81"/>
      <c r="Q88" s="85" t="s">
        <v>4855</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505" t="s">
        <v>4856</v>
      </c>
      <c r="AD88" s="87">
        <v>7</v>
      </c>
      <c r="AE88" s="509">
        <v>145</v>
      </c>
      <c r="AF88" s="514" t="e">
        <f>AB89</f>
        <v>#REF!</v>
      </c>
      <c r="AG88" s="517">
        <f>WORKDAY(AH88+1,-1,$BA$10:$BA$141)</f>
        <v>46538</v>
      </c>
      <c r="AH88" s="88">
        <v>46538</v>
      </c>
      <c r="AI88" s="89"/>
      <c r="AJ88" s="520"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491"/>
      <c r="B89" s="79"/>
      <c r="C89" s="500"/>
      <c r="D89" s="96" t="str">
        <f>D88</f>
        <v>INS</v>
      </c>
      <c r="E89" s="97" t="str">
        <f>E88</f>
        <v>RFQ-027</v>
      </c>
      <c r="F89" s="98" t="str">
        <f>F88</f>
        <v>N</v>
      </c>
      <c r="G89" s="503"/>
      <c r="H89" s="98" t="str">
        <f>H88</f>
        <v>Coriolis Flow Meters</v>
      </c>
      <c r="I89" s="97" t="str">
        <f>I88</f>
        <v>LC</v>
      </c>
      <c r="J89" s="98"/>
      <c r="K89" s="100"/>
      <c r="L89" s="100">
        <f>M90</f>
        <v>0.04</v>
      </c>
      <c r="M89" s="100"/>
      <c r="N89" s="97"/>
      <c r="O89" s="97"/>
      <c r="P89" s="97"/>
      <c r="Q89" s="101" t="s">
        <v>4857</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WORKDAY(AE88+#REF!,0,'[35]Equipment List and MR List (3)'!$A$2:$A$80)</f>
        <v>#REF!</v>
      </c>
      <c r="AC89" s="506"/>
      <c r="AD89" s="105"/>
      <c r="AE89" s="509"/>
      <c r="AF89" s="515"/>
      <c r="AG89" s="518"/>
      <c r="AH89" s="106"/>
      <c r="AI89" s="107"/>
      <c r="AJ89" s="521"/>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'[35]Procurement progress '!$A$2:$A$80</f>
        <v>#REF!</v>
      </c>
    </row>
    <row r="90" spans="1:54" s="20" customFormat="1" ht="18" customHeight="1">
      <c r="A90" s="492"/>
      <c r="B90" s="79"/>
      <c r="C90" s="501"/>
      <c r="D90" s="111" t="str">
        <f>D88</f>
        <v>INS</v>
      </c>
      <c r="E90" s="112" t="str">
        <f>E88</f>
        <v>RFQ-027</v>
      </c>
      <c r="F90" s="113" t="str">
        <f>F88</f>
        <v>N</v>
      </c>
      <c r="G90" s="504"/>
      <c r="H90" s="113" t="str">
        <f>H88</f>
        <v>Coriolis Flow Meters</v>
      </c>
      <c r="I90" s="112" t="str">
        <f>I88</f>
        <v>LC</v>
      </c>
      <c r="J90" s="113"/>
      <c r="K90" s="114"/>
      <c r="L90" s="114"/>
      <c r="M90" s="114">
        <v>0.04</v>
      </c>
      <c r="N90" s="112"/>
      <c r="O90" s="112"/>
      <c r="P90" s="112"/>
      <c r="Q90" s="115" t="s">
        <v>4858</v>
      </c>
      <c r="R90" s="115"/>
      <c r="S90" s="126"/>
      <c r="T90" s="126"/>
      <c r="U90" s="126"/>
      <c r="V90" s="126"/>
      <c r="W90" s="126"/>
      <c r="X90" s="126"/>
      <c r="Y90" s="126"/>
      <c r="Z90" s="126"/>
      <c r="AA90" s="126"/>
      <c r="AB90" s="126"/>
      <c r="AC90" s="507"/>
      <c r="AD90" s="116"/>
      <c r="AE90" s="509"/>
      <c r="AF90" s="516"/>
      <c r="AG90" s="519"/>
      <c r="AH90" s="117"/>
      <c r="AI90" s="118"/>
      <c r="AJ90" s="522"/>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490">
        <f>A88+1</f>
        <v>28</v>
      </c>
      <c r="B91" s="496" t="s">
        <v>4891</v>
      </c>
      <c r="C91" s="499" t="s">
        <v>4852</v>
      </c>
      <c r="D91" s="80" t="s">
        <v>4884</v>
      </c>
      <c r="E91" s="81" t="s">
        <v>4768</v>
      </c>
      <c r="F91" s="82" t="s">
        <v>64</v>
      </c>
      <c r="G91" s="502" t="s">
        <v>4892</v>
      </c>
      <c r="H91" s="123" t="s">
        <v>4769</v>
      </c>
      <c r="I91" s="81" t="s">
        <v>7</v>
      </c>
      <c r="J91" s="82"/>
      <c r="K91" s="84">
        <f>M93</f>
        <v>0.03</v>
      </c>
      <c r="L91" s="84"/>
      <c r="M91" s="84"/>
      <c r="N91" s="81"/>
      <c r="O91" s="81"/>
      <c r="P91" s="81"/>
      <c r="Q91" s="85" t="s">
        <v>4855</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505" t="s">
        <v>4856</v>
      </c>
      <c r="AD91" s="87">
        <v>7</v>
      </c>
      <c r="AE91" s="508">
        <v>252</v>
      </c>
      <c r="AF91" s="514" t="e">
        <f>AB92</f>
        <v>#REF!</v>
      </c>
      <c r="AG91" s="517">
        <f>WORKDAY(AH91+1,-1,$BA$10:$BA$141)</f>
        <v>46416</v>
      </c>
      <c r="AH91" s="88">
        <v>46417</v>
      </c>
      <c r="AI91" s="89"/>
      <c r="AJ91" s="520"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491"/>
      <c r="B92" s="497"/>
      <c r="C92" s="500"/>
      <c r="D92" s="96" t="str">
        <f>D91</f>
        <v>INS</v>
      </c>
      <c r="E92" s="97" t="str">
        <f>E91</f>
        <v>RFQ-028</v>
      </c>
      <c r="F92" s="98" t="str">
        <f>F91</f>
        <v>Y</v>
      </c>
      <c r="G92" s="503"/>
      <c r="H92" s="124" t="str">
        <f>H91</f>
        <v>Wellhead Control Panel (WHCP)</v>
      </c>
      <c r="I92" s="97" t="str">
        <f>I91</f>
        <v>LB</v>
      </c>
      <c r="J92" s="98"/>
      <c r="K92" s="100"/>
      <c r="L92" s="100">
        <f>M93</f>
        <v>0.03</v>
      </c>
      <c r="M92" s="100"/>
      <c r="N92" s="97"/>
      <c r="O92" s="97"/>
      <c r="P92" s="97"/>
      <c r="Q92" s="101" t="s">
        <v>4857</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WORKDAY(AE91+#REF!,0,'[35]Equipment List and MR List (3)'!$A$2:$A$80)</f>
        <v>#REF!</v>
      </c>
      <c r="AC92" s="506"/>
      <c r="AD92" s="105"/>
      <c r="AE92" s="508"/>
      <c r="AF92" s="515"/>
      <c r="AG92" s="518"/>
      <c r="AH92" s="106"/>
      <c r="AI92" s="107"/>
      <c r="AJ92" s="521"/>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492"/>
      <c r="B93" s="498"/>
      <c r="C93" s="501"/>
      <c r="D93" s="111" t="str">
        <f>D91</f>
        <v>INS</v>
      </c>
      <c r="E93" s="112" t="str">
        <f>E91</f>
        <v>RFQ-028</v>
      </c>
      <c r="F93" s="113" t="str">
        <f>F91</f>
        <v>Y</v>
      </c>
      <c r="G93" s="504"/>
      <c r="H93" s="124" t="str">
        <f>H91</f>
        <v>Wellhead Control Panel (WHCP)</v>
      </c>
      <c r="I93" s="112" t="str">
        <f>I91</f>
        <v>LB</v>
      </c>
      <c r="J93" s="113"/>
      <c r="K93" s="114"/>
      <c r="L93" s="114"/>
      <c r="M93" s="114">
        <v>0.03</v>
      </c>
      <c r="N93" s="112"/>
      <c r="O93" s="112"/>
      <c r="P93" s="112"/>
      <c r="Q93" s="115" t="s">
        <v>4858</v>
      </c>
      <c r="R93" s="115"/>
      <c r="S93" s="126"/>
      <c r="T93" s="126"/>
      <c r="U93" s="126"/>
      <c r="V93" s="126"/>
      <c r="W93" s="126"/>
      <c r="X93" s="126"/>
      <c r="Y93" s="126"/>
      <c r="Z93" s="126"/>
      <c r="AA93" s="126"/>
      <c r="AB93" s="126"/>
      <c r="AC93" s="507"/>
      <c r="AD93" s="116"/>
      <c r="AE93" s="508"/>
      <c r="AF93" s="516"/>
      <c r="AG93" s="519"/>
      <c r="AH93" s="117"/>
      <c r="AI93" s="118"/>
      <c r="AJ93" s="522"/>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490">
        <f>A91+1</f>
        <v>29</v>
      </c>
      <c r="B94" s="79"/>
      <c r="C94" s="499" t="s">
        <v>4852</v>
      </c>
      <c r="D94" s="80" t="s">
        <v>4884</v>
      </c>
      <c r="E94" s="81" t="s">
        <v>4770</v>
      </c>
      <c r="F94" s="82" t="s">
        <v>72</v>
      </c>
      <c r="G94" s="502" t="s">
        <v>4893</v>
      </c>
      <c r="H94" s="82" t="s">
        <v>156</v>
      </c>
      <c r="I94" s="81" t="s">
        <v>8</v>
      </c>
      <c r="J94" s="82"/>
      <c r="K94" s="84">
        <f>M96</f>
        <v>3.4000000000000002E-2</v>
      </c>
      <c r="L94" s="84"/>
      <c r="M94" s="84"/>
      <c r="N94" s="81"/>
      <c r="O94" s="81"/>
      <c r="P94" s="81"/>
      <c r="Q94" s="85" t="s">
        <v>4855</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505" t="s">
        <v>4856</v>
      </c>
      <c r="AD94" s="87">
        <v>7</v>
      </c>
      <c r="AE94" s="509">
        <f>18*7</f>
        <v>126</v>
      </c>
      <c r="AF94" s="514" t="e">
        <f>AB95</f>
        <v>#REF!</v>
      </c>
      <c r="AG94" s="517">
        <f>WORKDAY(AH94+1,-1,$BA$10:$BA$141)</f>
        <v>46538</v>
      </c>
      <c r="AH94" s="88">
        <v>46538</v>
      </c>
      <c r="AI94" s="89"/>
      <c r="AJ94" s="520"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491"/>
      <c r="B95" s="95"/>
      <c r="C95" s="500"/>
      <c r="D95" s="96" t="str">
        <f>D94</f>
        <v>INS</v>
      </c>
      <c r="E95" s="97" t="str">
        <f>E94</f>
        <v>RFQ-029</v>
      </c>
      <c r="F95" s="98" t="str">
        <f>F94</f>
        <v>N</v>
      </c>
      <c r="G95" s="503"/>
      <c r="H95" s="98" t="str">
        <f>H94</f>
        <v>Pressure Gauge</v>
      </c>
      <c r="I95" s="97" t="str">
        <f>I94</f>
        <v>LC</v>
      </c>
      <c r="J95" s="98"/>
      <c r="K95" s="100"/>
      <c r="L95" s="100">
        <f>M96</f>
        <v>3.4000000000000002E-2</v>
      </c>
      <c r="M95" s="100"/>
      <c r="N95" s="97"/>
      <c r="O95" s="97"/>
      <c r="P95" s="97"/>
      <c r="Q95" s="101" t="s">
        <v>4857</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WORKDAY(AE94+#REF!,0,'[35]Equipment List and MR List (3)'!$A$2:$A$80)</f>
        <v>#REF!</v>
      </c>
      <c r="AC95" s="506"/>
      <c r="AD95" s="105"/>
      <c r="AE95" s="509"/>
      <c r="AF95" s="515"/>
      <c r="AG95" s="518"/>
      <c r="AH95" s="106"/>
      <c r="AI95" s="107"/>
      <c r="AJ95" s="521"/>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492"/>
      <c r="B96" s="110"/>
      <c r="C96" s="501"/>
      <c r="D96" s="111" t="str">
        <f>D94</f>
        <v>INS</v>
      </c>
      <c r="E96" s="112" t="str">
        <f>E94</f>
        <v>RFQ-029</v>
      </c>
      <c r="F96" s="113" t="str">
        <f>F94</f>
        <v>N</v>
      </c>
      <c r="G96" s="504"/>
      <c r="H96" s="113" t="str">
        <f>H94</f>
        <v>Pressure Gauge</v>
      </c>
      <c r="I96" s="112" t="str">
        <f>I94</f>
        <v>LC</v>
      </c>
      <c r="J96" s="113"/>
      <c r="K96" s="114"/>
      <c r="L96" s="114"/>
      <c r="M96" s="114">
        <v>3.4000000000000002E-2</v>
      </c>
      <c r="N96" s="112"/>
      <c r="O96" s="112"/>
      <c r="P96" s="112"/>
      <c r="Q96" s="115" t="s">
        <v>4858</v>
      </c>
      <c r="R96" s="115"/>
      <c r="S96" s="126"/>
      <c r="T96" s="126"/>
      <c r="U96" s="126"/>
      <c r="V96" s="126"/>
      <c r="W96" s="126"/>
      <c r="X96" s="126"/>
      <c r="Y96" s="126"/>
      <c r="Z96" s="126"/>
      <c r="AA96" s="126"/>
      <c r="AB96" s="126"/>
      <c r="AC96" s="507"/>
      <c r="AD96" s="116"/>
      <c r="AE96" s="509"/>
      <c r="AF96" s="516"/>
      <c r="AG96" s="519"/>
      <c r="AH96" s="117"/>
      <c r="AI96" s="118"/>
      <c r="AJ96" s="522"/>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490">
        <f>A94+1</f>
        <v>30</v>
      </c>
      <c r="B97" s="79"/>
      <c r="C97" s="499" t="s">
        <v>4852</v>
      </c>
      <c r="D97" s="80" t="s">
        <v>4884</v>
      </c>
      <c r="E97" s="81" t="s">
        <v>4771</v>
      </c>
      <c r="F97" s="82" t="s">
        <v>72</v>
      </c>
      <c r="G97" s="502" t="s">
        <v>4894</v>
      </c>
      <c r="H97" s="82" t="s">
        <v>159</v>
      </c>
      <c r="I97" s="81" t="s">
        <v>8</v>
      </c>
      <c r="J97" s="82"/>
      <c r="K97" s="84">
        <f>M99</f>
        <v>0.01</v>
      </c>
      <c r="L97" s="84"/>
      <c r="M97" s="84"/>
      <c r="N97" s="81"/>
      <c r="O97" s="81"/>
      <c r="P97" s="81"/>
      <c r="Q97" s="85" t="s">
        <v>4855</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505" t="s">
        <v>4856</v>
      </c>
      <c r="AD97" s="87">
        <v>7</v>
      </c>
      <c r="AE97" s="509">
        <f>18*7</f>
        <v>126</v>
      </c>
      <c r="AF97" s="514" t="e">
        <f>AB98</f>
        <v>#REF!</v>
      </c>
      <c r="AG97" s="517">
        <f>WORKDAY(AH97+1,-1,$BA$10:$BA$141)</f>
        <v>46538</v>
      </c>
      <c r="AH97" s="88">
        <v>46538</v>
      </c>
      <c r="AI97" s="89"/>
      <c r="AJ97" s="520"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491"/>
      <c r="B98" s="95"/>
      <c r="C98" s="500"/>
      <c r="D98" s="96" t="str">
        <f>D97</f>
        <v>INS</v>
      </c>
      <c r="E98" s="97" t="str">
        <f>E97</f>
        <v>RFQ-030</v>
      </c>
      <c r="F98" s="98" t="str">
        <f>F97</f>
        <v>N</v>
      </c>
      <c r="G98" s="503"/>
      <c r="H98" s="98" t="str">
        <f>H97</f>
        <v>Pressure Transmitter</v>
      </c>
      <c r="I98" s="97" t="str">
        <f>I97</f>
        <v>LC</v>
      </c>
      <c r="J98" s="98"/>
      <c r="K98" s="100"/>
      <c r="L98" s="100">
        <f>M99</f>
        <v>0.01</v>
      </c>
      <c r="M98" s="100"/>
      <c r="N98" s="97"/>
      <c r="O98" s="97"/>
      <c r="P98" s="97"/>
      <c r="Q98" s="101" t="s">
        <v>4857</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WORKDAY(AE97+#REF!,0,'[35]Equipment List and MR List (3)'!$A$2:$A$80)</f>
        <v>#REF!</v>
      </c>
      <c r="AC98" s="506"/>
      <c r="AD98" s="105"/>
      <c r="AE98" s="509"/>
      <c r="AF98" s="515"/>
      <c r="AG98" s="518"/>
      <c r="AH98" s="106"/>
      <c r="AI98" s="107"/>
      <c r="AJ98" s="521"/>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492"/>
      <c r="B99" s="110"/>
      <c r="C99" s="501"/>
      <c r="D99" s="111" t="str">
        <f>D97</f>
        <v>INS</v>
      </c>
      <c r="E99" s="112" t="str">
        <f>E97</f>
        <v>RFQ-030</v>
      </c>
      <c r="F99" s="113" t="str">
        <f>F97</f>
        <v>N</v>
      </c>
      <c r="G99" s="504"/>
      <c r="H99" s="113" t="str">
        <f>H97</f>
        <v>Pressure Transmitter</v>
      </c>
      <c r="I99" s="112" t="str">
        <f>I97</f>
        <v>LC</v>
      </c>
      <c r="J99" s="113"/>
      <c r="K99" s="114"/>
      <c r="L99" s="114"/>
      <c r="M99" s="114">
        <v>0.01</v>
      </c>
      <c r="N99" s="112"/>
      <c r="O99" s="112"/>
      <c r="P99" s="112"/>
      <c r="Q99" s="115" t="s">
        <v>4858</v>
      </c>
      <c r="R99" s="115"/>
      <c r="S99" s="126"/>
      <c r="T99" s="126"/>
      <c r="U99" s="126"/>
      <c r="V99" s="126"/>
      <c r="W99" s="126"/>
      <c r="X99" s="126"/>
      <c r="Y99" s="126"/>
      <c r="Z99" s="126"/>
      <c r="AA99" s="126"/>
      <c r="AB99" s="126"/>
      <c r="AC99" s="507"/>
      <c r="AD99" s="116"/>
      <c r="AE99" s="509"/>
      <c r="AF99" s="516"/>
      <c r="AG99" s="519"/>
      <c r="AH99" s="117"/>
      <c r="AI99" s="118"/>
      <c r="AJ99" s="522"/>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490">
        <f>A97+1</f>
        <v>31</v>
      </c>
      <c r="B100" s="79"/>
      <c r="C100" s="499" t="s">
        <v>4852</v>
      </c>
      <c r="D100" s="80" t="s">
        <v>4884</v>
      </c>
      <c r="E100" s="81" t="s">
        <v>4772</v>
      </c>
      <c r="F100" s="82" t="s">
        <v>72</v>
      </c>
      <c r="G100" s="502" t="s">
        <v>4895</v>
      </c>
      <c r="H100" s="82" t="s">
        <v>161</v>
      </c>
      <c r="I100" s="81" t="s">
        <v>8</v>
      </c>
      <c r="J100" s="82"/>
      <c r="K100" s="84">
        <f>M102</f>
        <v>0.01</v>
      </c>
      <c r="L100" s="84"/>
      <c r="M100" s="84"/>
      <c r="N100" s="81"/>
      <c r="O100" s="81"/>
      <c r="P100" s="81"/>
      <c r="Q100" s="85" t="s">
        <v>4855</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505" t="s">
        <v>4856</v>
      </c>
      <c r="AD100" s="87">
        <v>7</v>
      </c>
      <c r="AE100" s="509">
        <f>18*7</f>
        <v>126</v>
      </c>
      <c r="AF100" s="514" t="e">
        <f>AB101</f>
        <v>#REF!</v>
      </c>
      <c r="AG100" s="517">
        <f>WORKDAY(AH100+1,-1,$BA$10:$BA$141)</f>
        <v>46538</v>
      </c>
      <c r="AH100" s="88">
        <v>46538</v>
      </c>
      <c r="AI100" s="89"/>
      <c r="AJ100" s="520"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491"/>
      <c r="B101" s="95"/>
      <c r="C101" s="500"/>
      <c r="D101" s="96" t="str">
        <f>D100</f>
        <v>INS</v>
      </c>
      <c r="E101" s="97" t="str">
        <f>E100</f>
        <v>RFQ-031</v>
      </c>
      <c r="F101" s="98" t="str">
        <f>F100</f>
        <v>N</v>
      </c>
      <c r="G101" s="503"/>
      <c r="H101" s="98" t="str">
        <f>H100</f>
        <v>Temperature Gauge</v>
      </c>
      <c r="I101" s="97" t="str">
        <f>I100</f>
        <v>LC</v>
      </c>
      <c r="J101" s="98"/>
      <c r="K101" s="100"/>
      <c r="L101" s="100">
        <f>M102</f>
        <v>0.01</v>
      </c>
      <c r="M101" s="100"/>
      <c r="N101" s="97"/>
      <c r="O101" s="97"/>
      <c r="P101" s="97"/>
      <c r="Q101" s="101" t="s">
        <v>4857</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WORKDAY(AE100+#REF!,0,'[35]Equipment List and MR List (3)'!$A$2:$A$80)</f>
        <v>#REF!</v>
      </c>
      <c r="AC101" s="506"/>
      <c r="AD101" s="105"/>
      <c r="AE101" s="509"/>
      <c r="AF101" s="515"/>
      <c r="AG101" s="518"/>
      <c r="AH101" s="106"/>
      <c r="AI101" s="107"/>
      <c r="AJ101" s="521"/>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492"/>
      <c r="B102" s="110"/>
      <c r="C102" s="501"/>
      <c r="D102" s="111" t="str">
        <f>D100</f>
        <v>INS</v>
      </c>
      <c r="E102" s="112" t="str">
        <f>E100</f>
        <v>RFQ-031</v>
      </c>
      <c r="F102" s="113" t="str">
        <f>F100</f>
        <v>N</v>
      </c>
      <c r="G102" s="504"/>
      <c r="H102" s="113" t="str">
        <f>H100</f>
        <v>Temperature Gauge</v>
      </c>
      <c r="I102" s="112" t="str">
        <f>I100</f>
        <v>LC</v>
      </c>
      <c r="J102" s="113"/>
      <c r="K102" s="114"/>
      <c r="L102" s="114"/>
      <c r="M102" s="114">
        <v>0.01</v>
      </c>
      <c r="N102" s="112"/>
      <c r="O102" s="112"/>
      <c r="P102" s="112"/>
      <c r="Q102" s="115" t="s">
        <v>4858</v>
      </c>
      <c r="R102" s="115"/>
      <c r="S102" s="126"/>
      <c r="T102" s="126"/>
      <c r="U102" s="126"/>
      <c r="V102" s="126"/>
      <c r="W102" s="126"/>
      <c r="X102" s="126"/>
      <c r="Y102" s="126"/>
      <c r="Z102" s="126"/>
      <c r="AA102" s="126"/>
      <c r="AB102" s="126"/>
      <c r="AC102" s="507"/>
      <c r="AD102" s="116"/>
      <c r="AE102" s="509"/>
      <c r="AF102" s="516"/>
      <c r="AG102" s="519"/>
      <c r="AH102" s="117"/>
      <c r="AI102" s="118"/>
      <c r="AJ102" s="522"/>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490">
        <f>A100+1</f>
        <v>32</v>
      </c>
      <c r="B103" s="79"/>
      <c r="C103" s="499" t="s">
        <v>4852</v>
      </c>
      <c r="D103" s="80" t="s">
        <v>4884</v>
      </c>
      <c r="E103" s="81" t="s">
        <v>4773</v>
      </c>
      <c r="F103" s="82" t="s">
        <v>72</v>
      </c>
      <c r="G103" s="502" t="s">
        <v>4896</v>
      </c>
      <c r="H103" s="82" t="s">
        <v>163</v>
      </c>
      <c r="I103" s="81" t="s">
        <v>8</v>
      </c>
      <c r="J103" s="82"/>
      <c r="K103" s="84">
        <f>M105</f>
        <v>0.02</v>
      </c>
      <c r="L103" s="84"/>
      <c r="M103" s="84"/>
      <c r="N103" s="81"/>
      <c r="O103" s="81"/>
      <c r="P103" s="81"/>
      <c r="Q103" s="85" t="s">
        <v>4855</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505" t="s">
        <v>4856</v>
      </c>
      <c r="AD103" s="87">
        <v>7</v>
      </c>
      <c r="AE103" s="509">
        <f>18*7</f>
        <v>126</v>
      </c>
      <c r="AF103" s="514" t="e">
        <f>AB104</f>
        <v>#REF!</v>
      </c>
      <c r="AG103" s="517">
        <f>WORKDAY(AH103+1,-1,$BA$10:$BA$141)</f>
        <v>46538</v>
      </c>
      <c r="AH103" s="88">
        <v>46538</v>
      </c>
      <c r="AI103" s="89"/>
      <c r="AJ103" s="520"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491"/>
      <c r="B104" s="95"/>
      <c r="C104" s="500"/>
      <c r="D104" s="96" t="str">
        <f>D103</f>
        <v>INS</v>
      </c>
      <c r="E104" s="97" t="str">
        <f>E103</f>
        <v>RFQ-032</v>
      </c>
      <c r="F104" s="98" t="str">
        <f>F103</f>
        <v>N</v>
      </c>
      <c r="G104" s="503"/>
      <c r="H104" s="98" t="str">
        <f>H103</f>
        <v>Temperature Transmitter</v>
      </c>
      <c r="I104" s="97" t="str">
        <f>I103</f>
        <v>LC</v>
      </c>
      <c r="J104" s="98"/>
      <c r="K104" s="100"/>
      <c r="L104" s="100">
        <f>M105</f>
        <v>0.02</v>
      </c>
      <c r="M104" s="100"/>
      <c r="N104" s="97"/>
      <c r="O104" s="97"/>
      <c r="P104" s="97"/>
      <c r="Q104" s="101" t="s">
        <v>4857</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WORKDAY(AE103+#REF!,0,'[35]Equipment List and MR List (3)'!$A$2:$A$80)</f>
        <v>#REF!</v>
      </c>
      <c r="AC104" s="506"/>
      <c r="AD104" s="105"/>
      <c r="AE104" s="509"/>
      <c r="AF104" s="515"/>
      <c r="AG104" s="518"/>
      <c r="AH104" s="106"/>
      <c r="AI104" s="107"/>
      <c r="AJ104" s="521"/>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492"/>
      <c r="B105" s="110"/>
      <c r="C105" s="501"/>
      <c r="D105" s="111" t="str">
        <f>D103</f>
        <v>INS</v>
      </c>
      <c r="E105" s="112" t="str">
        <f>E103</f>
        <v>RFQ-032</v>
      </c>
      <c r="F105" s="113" t="str">
        <f>F103</f>
        <v>N</v>
      </c>
      <c r="G105" s="504"/>
      <c r="H105" s="113" t="str">
        <f>H103</f>
        <v>Temperature Transmitter</v>
      </c>
      <c r="I105" s="112" t="str">
        <f>I103</f>
        <v>LC</v>
      </c>
      <c r="J105" s="113"/>
      <c r="K105" s="114"/>
      <c r="L105" s="114"/>
      <c r="M105" s="114">
        <v>0.02</v>
      </c>
      <c r="N105" s="112"/>
      <c r="O105" s="112"/>
      <c r="P105" s="112"/>
      <c r="Q105" s="115" t="s">
        <v>4858</v>
      </c>
      <c r="R105" s="115"/>
      <c r="S105" s="126"/>
      <c r="T105" s="126"/>
      <c r="U105" s="126"/>
      <c r="V105" s="126"/>
      <c r="W105" s="126"/>
      <c r="X105" s="126"/>
      <c r="Y105" s="126"/>
      <c r="Z105" s="126"/>
      <c r="AA105" s="126"/>
      <c r="AB105" s="126"/>
      <c r="AC105" s="507"/>
      <c r="AD105" s="116"/>
      <c r="AE105" s="509"/>
      <c r="AF105" s="516"/>
      <c r="AG105" s="519"/>
      <c r="AH105" s="117"/>
      <c r="AI105" s="118"/>
      <c r="AJ105" s="522"/>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490">
        <f>A103+1</f>
        <v>33</v>
      </c>
      <c r="B106" s="79"/>
      <c r="C106" s="499" t="s">
        <v>4852</v>
      </c>
      <c r="D106" s="80" t="s">
        <v>4884</v>
      </c>
      <c r="E106" s="81" t="s">
        <v>4774</v>
      </c>
      <c r="F106" s="82" t="s">
        <v>72</v>
      </c>
      <c r="G106" s="502" t="s">
        <v>4897</v>
      </c>
      <c r="H106" s="82" t="s">
        <v>165</v>
      </c>
      <c r="I106" s="81" t="s">
        <v>8</v>
      </c>
      <c r="J106" s="82"/>
      <c r="K106" s="84">
        <f>M108</f>
        <v>0.04</v>
      </c>
      <c r="L106" s="84"/>
      <c r="M106" s="84"/>
      <c r="N106" s="81"/>
      <c r="O106" s="81"/>
      <c r="P106" s="81"/>
      <c r="Q106" s="85" t="s">
        <v>4855</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505" t="s">
        <v>4856</v>
      </c>
      <c r="AD106" s="87">
        <v>7</v>
      </c>
      <c r="AE106" s="509">
        <f t="shared" ref="AE106" si="127">18*7</f>
        <v>126</v>
      </c>
      <c r="AF106" s="514" t="e">
        <f>AB107</f>
        <v>#REF!</v>
      </c>
      <c r="AG106" s="517">
        <f>WORKDAY(AH106+1,-1,$BA$10:$BA$141)</f>
        <v>46538</v>
      </c>
      <c r="AH106" s="88">
        <v>46538</v>
      </c>
      <c r="AI106" s="89"/>
      <c r="AJ106" s="520"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491"/>
      <c r="B107" s="95"/>
      <c r="C107" s="500"/>
      <c r="D107" s="96" t="str">
        <f>D106</f>
        <v>INS</v>
      </c>
      <c r="E107" s="97" t="str">
        <f>E106</f>
        <v>RFQ-033</v>
      </c>
      <c r="F107" s="98" t="str">
        <f>F106</f>
        <v>N</v>
      </c>
      <c r="G107" s="503"/>
      <c r="H107" s="98" t="str">
        <f>H106</f>
        <v>Vortex Flow Meter</v>
      </c>
      <c r="I107" s="97" t="str">
        <f>I106</f>
        <v>LC</v>
      </c>
      <c r="J107" s="98"/>
      <c r="K107" s="100"/>
      <c r="L107" s="100">
        <f>M108</f>
        <v>0.04</v>
      </c>
      <c r="M107" s="100"/>
      <c r="N107" s="97"/>
      <c r="O107" s="97"/>
      <c r="P107" s="97"/>
      <c r="Q107" s="101" t="s">
        <v>4857</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WORKDAY(AE106+#REF!,0,'[35]Equipment List and MR List (3)'!$A$2:$A$80)</f>
        <v>#REF!</v>
      </c>
      <c r="AC107" s="506"/>
      <c r="AD107" s="105"/>
      <c r="AE107" s="509"/>
      <c r="AF107" s="515"/>
      <c r="AG107" s="518"/>
      <c r="AH107" s="106"/>
      <c r="AI107" s="107"/>
      <c r="AJ107" s="521"/>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492"/>
      <c r="B108" s="110"/>
      <c r="C108" s="501"/>
      <c r="D108" s="111" t="str">
        <f>D106</f>
        <v>INS</v>
      </c>
      <c r="E108" s="112" t="str">
        <f>E106</f>
        <v>RFQ-033</v>
      </c>
      <c r="F108" s="113" t="str">
        <f>F106</f>
        <v>N</v>
      </c>
      <c r="G108" s="504"/>
      <c r="H108" s="113" t="str">
        <f>H106</f>
        <v>Vortex Flow Meter</v>
      </c>
      <c r="I108" s="112" t="str">
        <f>I106</f>
        <v>LC</v>
      </c>
      <c r="J108" s="113"/>
      <c r="K108" s="114"/>
      <c r="L108" s="114"/>
      <c r="M108" s="114">
        <v>0.04</v>
      </c>
      <c r="N108" s="112"/>
      <c r="O108" s="112"/>
      <c r="P108" s="112"/>
      <c r="Q108" s="115" t="s">
        <v>4858</v>
      </c>
      <c r="R108" s="115"/>
      <c r="S108" s="126"/>
      <c r="T108" s="126"/>
      <c r="U108" s="126"/>
      <c r="V108" s="126"/>
      <c r="W108" s="126"/>
      <c r="X108" s="126"/>
      <c r="Y108" s="126"/>
      <c r="Z108" s="126"/>
      <c r="AA108" s="126"/>
      <c r="AB108" s="126"/>
      <c r="AC108" s="507"/>
      <c r="AD108" s="116"/>
      <c r="AE108" s="509"/>
      <c r="AF108" s="516"/>
      <c r="AG108" s="519"/>
      <c r="AH108" s="117"/>
      <c r="AI108" s="118"/>
      <c r="AJ108" s="522"/>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490">
        <f>A106+1</f>
        <v>34</v>
      </c>
      <c r="B109" s="79"/>
      <c r="C109" s="499" t="s">
        <v>4852</v>
      </c>
      <c r="D109" s="80" t="s">
        <v>4884</v>
      </c>
      <c r="E109" s="81" t="s">
        <v>4775</v>
      </c>
      <c r="F109" s="82" t="s">
        <v>72</v>
      </c>
      <c r="G109" s="502" t="s">
        <v>4898</v>
      </c>
      <c r="H109" s="82" t="s">
        <v>4776</v>
      </c>
      <c r="I109" s="81" t="s">
        <v>8</v>
      </c>
      <c r="J109" s="82"/>
      <c r="K109" s="84">
        <f>M111</f>
        <v>0.01</v>
      </c>
      <c r="L109" s="84"/>
      <c r="M109" s="84"/>
      <c r="N109" s="81"/>
      <c r="O109" s="81"/>
      <c r="P109" s="81"/>
      <c r="Q109" s="85" t="s">
        <v>4855</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505" t="s">
        <v>4856</v>
      </c>
      <c r="AD109" s="87">
        <v>7</v>
      </c>
      <c r="AE109" s="509">
        <f t="shared" ref="AE109" si="132">18*7</f>
        <v>126</v>
      </c>
      <c r="AF109" s="514" t="e">
        <f>AB110</f>
        <v>#REF!</v>
      </c>
      <c r="AG109" s="517">
        <f>WORKDAY(AH109+1,-1,$BA$10:$BA$141)</f>
        <v>46538</v>
      </c>
      <c r="AH109" s="88">
        <v>46538</v>
      </c>
      <c r="AI109" s="89"/>
      <c r="AJ109" s="520"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491"/>
      <c r="B110" s="95"/>
      <c r="C110" s="500"/>
      <c r="D110" s="96" t="str">
        <f>D109</f>
        <v>INS</v>
      </c>
      <c r="E110" s="97" t="str">
        <f>E109</f>
        <v>RFQ-034</v>
      </c>
      <c r="F110" s="98" t="str">
        <f>F109</f>
        <v>N</v>
      </c>
      <c r="G110" s="503"/>
      <c r="H110" s="98" t="str">
        <f>H109</f>
        <v>Level Transmitter and Gauge</v>
      </c>
      <c r="I110" s="97" t="str">
        <f>I109</f>
        <v>LC</v>
      </c>
      <c r="J110" s="98"/>
      <c r="K110" s="100"/>
      <c r="L110" s="100">
        <f>M111</f>
        <v>0.01</v>
      </c>
      <c r="M110" s="100"/>
      <c r="N110" s="97"/>
      <c r="O110" s="97"/>
      <c r="P110" s="97"/>
      <c r="Q110" s="101" t="s">
        <v>4857</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WORKDAY(AE109+#REF!,0,'[35]Equipment List and MR List (3)'!$A$2:$A$80)</f>
        <v>#REF!</v>
      </c>
      <c r="AC110" s="506"/>
      <c r="AD110" s="105"/>
      <c r="AE110" s="509"/>
      <c r="AF110" s="515"/>
      <c r="AG110" s="518"/>
      <c r="AH110" s="106"/>
      <c r="AI110" s="107"/>
      <c r="AJ110" s="521"/>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492"/>
      <c r="B111" s="110"/>
      <c r="C111" s="501"/>
      <c r="D111" s="111" t="str">
        <f>D109</f>
        <v>INS</v>
      </c>
      <c r="E111" s="112" t="str">
        <f>E109</f>
        <v>RFQ-034</v>
      </c>
      <c r="F111" s="113" t="str">
        <f>F109</f>
        <v>N</v>
      </c>
      <c r="G111" s="504"/>
      <c r="H111" s="113" t="str">
        <f>H109</f>
        <v>Level Transmitter and Gauge</v>
      </c>
      <c r="I111" s="112" t="str">
        <f>I109</f>
        <v>LC</v>
      </c>
      <c r="J111" s="113"/>
      <c r="K111" s="114"/>
      <c r="L111" s="114"/>
      <c r="M111" s="114">
        <v>0.01</v>
      </c>
      <c r="N111" s="112"/>
      <c r="O111" s="112"/>
      <c r="P111" s="112"/>
      <c r="Q111" s="115" t="s">
        <v>4858</v>
      </c>
      <c r="R111" s="115"/>
      <c r="S111" s="126"/>
      <c r="T111" s="126"/>
      <c r="U111" s="126"/>
      <c r="V111" s="126"/>
      <c r="W111" s="126"/>
      <c r="X111" s="126"/>
      <c r="Y111" s="126"/>
      <c r="Z111" s="126"/>
      <c r="AA111" s="126"/>
      <c r="AB111" s="126"/>
      <c r="AC111" s="507"/>
      <c r="AD111" s="116"/>
      <c r="AE111" s="509"/>
      <c r="AF111" s="516"/>
      <c r="AG111" s="519"/>
      <c r="AH111" s="117"/>
      <c r="AI111" s="118"/>
      <c r="AJ111" s="522"/>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490">
        <f>A109+1</f>
        <v>35</v>
      </c>
      <c r="B112" s="79"/>
      <c r="C112" s="499" t="s">
        <v>4852</v>
      </c>
      <c r="D112" s="80" t="s">
        <v>4884</v>
      </c>
      <c r="E112" s="81" t="s">
        <v>4777</v>
      </c>
      <c r="F112" s="82" t="s">
        <v>72</v>
      </c>
      <c r="G112" s="502" t="s">
        <v>4899</v>
      </c>
      <c r="H112" s="82" t="s">
        <v>170</v>
      </c>
      <c r="I112" s="81" t="s">
        <v>8</v>
      </c>
      <c r="J112" s="82"/>
      <c r="K112" s="84">
        <f>M114</f>
        <v>5.0000000000000001E-3</v>
      </c>
      <c r="L112" s="84"/>
      <c r="M112" s="84"/>
      <c r="N112" s="81"/>
      <c r="O112" s="81"/>
      <c r="P112" s="81"/>
      <c r="Q112" s="85" t="s">
        <v>4855</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505" t="s">
        <v>4856</v>
      </c>
      <c r="AD112" s="87">
        <v>7</v>
      </c>
      <c r="AE112" s="509">
        <f>18*7</f>
        <v>126</v>
      </c>
      <c r="AF112" s="514" t="e">
        <f>AB113</f>
        <v>#REF!</v>
      </c>
      <c r="AG112" s="517">
        <f>WORKDAY(AH112+1,-1,$BA$10:$BA$141)</f>
        <v>46538</v>
      </c>
      <c r="AH112" s="88">
        <v>46538</v>
      </c>
      <c r="AI112" s="89"/>
      <c r="AJ112" s="520"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491"/>
      <c r="B113" s="95"/>
      <c r="C113" s="500"/>
      <c r="D113" s="96" t="str">
        <f>D112</f>
        <v>INS</v>
      </c>
      <c r="E113" s="97" t="str">
        <f>E112</f>
        <v>RFQ-035</v>
      </c>
      <c r="F113" s="98" t="str">
        <f>F112</f>
        <v>N</v>
      </c>
      <c r="G113" s="503"/>
      <c r="H113" s="98" t="str">
        <f>H112</f>
        <v>Pig Signaller</v>
      </c>
      <c r="I113" s="97" t="str">
        <f>I112</f>
        <v>LC</v>
      </c>
      <c r="J113" s="98"/>
      <c r="K113" s="100"/>
      <c r="L113" s="100">
        <f>M114</f>
        <v>5.0000000000000001E-3</v>
      </c>
      <c r="M113" s="100"/>
      <c r="N113" s="97"/>
      <c r="O113" s="97"/>
      <c r="P113" s="97"/>
      <c r="Q113" s="101" t="s">
        <v>4857</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WORKDAY(AE112+#REF!,0,'[35]Equipment List and MR List (3)'!$A$2:$A$80)</f>
        <v>#REF!</v>
      </c>
      <c r="AC113" s="506"/>
      <c r="AD113" s="105"/>
      <c r="AE113" s="509"/>
      <c r="AF113" s="515"/>
      <c r="AG113" s="518"/>
      <c r="AH113" s="106"/>
      <c r="AI113" s="107"/>
      <c r="AJ113" s="521"/>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492"/>
      <c r="B114" s="110"/>
      <c r="C114" s="501"/>
      <c r="D114" s="111" t="str">
        <f>D112</f>
        <v>INS</v>
      </c>
      <c r="E114" s="112" t="str">
        <f>E112</f>
        <v>RFQ-035</v>
      </c>
      <c r="F114" s="113" t="str">
        <f>F112</f>
        <v>N</v>
      </c>
      <c r="G114" s="504"/>
      <c r="H114" s="113" t="str">
        <f>H112</f>
        <v>Pig Signaller</v>
      </c>
      <c r="I114" s="112" t="str">
        <f>I112</f>
        <v>LC</v>
      </c>
      <c r="J114" s="113"/>
      <c r="K114" s="114"/>
      <c r="L114" s="114"/>
      <c r="M114" s="114">
        <v>5.0000000000000001E-3</v>
      </c>
      <c r="N114" s="112"/>
      <c r="O114" s="112"/>
      <c r="P114" s="112"/>
      <c r="Q114" s="115" t="s">
        <v>4858</v>
      </c>
      <c r="R114" s="115"/>
      <c r="S114" s="126"/>
      <c r="T114" s="126"/>
      <c r="U114" s="126"/>
      <c r="V114" s="126"/>
      <c r="W114" s="126"/>
      <c r="X114" s="126"/>
      <c r="Y114" s="126"/>
      <c r="Z114" s="126"/>
      <c r="AA114" s="126"/>
      <c r="AB114" s="126"/>
      <c r="AC114" s="507"/>
      <c r="AD114" s="116"/>
      <c r="AE114" s="509"/>
      <c r="AF114" s="516"/>
      <c r="AG114" s="519"/>
      <c r="AH114" s="117"/>
      <c r="AI114" s="118"/>
      <c r="AJ114" s="522"/>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490">
        <f>A112+1</f>
        <v>36</v>
      </c>
      <c r="B115" s="79"/>
      <c r="C115" s="499" t="s">
        <v>4852</v>
      </c>
      <c r="D115" s="80" t="s">
        <v>4884</v>
      </c>
      <c r="E115" s="81" t="s">
        <v>4778</v>
      </c>
      <c r="F115" s="82" t="s">
        <v>72</v>
      </c>
      <c r="G115" s="502" t="s">
        <v>4900</v>
      </c>
      <c r="H115" s="82" t="s">
        <v>173</v>
      </c>
      <c r="I115" s="81" t="s">
        <v>8</v>
      </c>
      <c r="J115" s="82"/>
      <c r="K115" s="84">
        <f>M117</f>
        <v>5.0000000000000001E-3</v>
      </c>
      <c r="L115" s="84"/>
      <c r="M115" s="84"/>
      <c r="N115" s="81"/>
      <c r="O115" s="81"/>
      <c r="P115" s="81"/>
      <c r="Q115" s="85" t="s">
        <v>4855</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505" t="s">
        <v>4856</v>
      </c>
      <c r="AD115" s="87">
        <v>7</v>
      </c>
      <c r="AE115" s="509">
        <v>154</v>
      </c>
      <c r="AF115" s="514" t="e">
        <f>AB116</f>
        <v>#REF!</v>
      </c>
      <c r="AG115" s="517">
        <f>WORKDAY(AH115+1,-1,$BA$10:$BA$141)</f>
        <v>46538</v>
      </c>
      <c r="AH115" s="88">
        <v>46538</v>
      </c>
      <c r="AI115" s="89"/>
      <c r="AJ115" s="520"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491"/>
      <c r="B116" s="95"/>
      <c r="C116" s="500"/>
      <c r="D116" s="96" t="str">
        <f>D115</f>
        <v>INS</v>
      </c>
      <c r="E116" s="97" t="str">
        <f>E115</f>
        <v>RFQ-036</v>
      </c>
      <c r="F116" s="98" t="str">
        <f>F115</f>
        <v>N</v>
      </c>
      <c r="G116" s="503"/>
      <c r="H116" s="98" t="str">
        <f>H115</f>
        <v>Rrestriction Orifice</v>
      </c>
      <c r="I116" s="97" t="str">
        <f>I115</f>
        <v>LC</v>
      </c>
      <c r="J116" s="98"/>
      <c r="K116" s="100"/>
      <c r="L116" s="100">
        <f>M117</f>
        <v>5.0000000000000001E-3</v>
      </c>
      <c r="M116" s="100"/>
      <c r="N116" s="97"/>
      <c r="O116" s="97"/>
      <c r="P116" s="97"/>
      <c r="Q116" s="101" t="s">
        <v>4857</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WORKDAY(AE115+#REF!,0,'[35]Equipment List and MR List (3)'!$A$2:$A$80)</f>
        <v>#REF!</v>
      </c>
      <c r="AC116" s="506"/>
      <c r="AD116" s="105"/>
      <c r="AE116" s="509"/>
      <c r="AF116" s="515"/>
      <c r="AG116" s="518"/>
      <c r="AH116" s="106"/>
      <c r="AI116" s="107"/>
      <c r="AJ116" s="521"/>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492"/>
      <c r="B117" s="110"/>
      <c r="C117" s="501"/>
      <c r="D117" s="111" t="str">
        <f>D115</f>
        <v>INS</v>
      </c>
      <c r="E117" s="112" t="str">
        <f>E115</f>
        <v>RFQ-036</v>
      </c>
      <c r="F117" s="113" t="str">
        <f>F115</f>
        <v>N</v>
      </c>
      <c r="G117" s="504"/>
      <c r="H117" s="113" t="str">
        <f>H115</f>
        <v>Rrestriction Orifice</v>
      </c>
      <c r="I117" s="112" t="str">
        <f>I115</f>
        <v>LC</v>
      </c>
      <c r="J117" s="113"/>
      <c r="K117" s="114"/>
      <c r="L117" s="114"/>
      <c r="M117" s="114">
        <v>5.0000000000000001E-3</v>
      </c>
      <c r="N117" s="112"/>
      <c r="O117" s="112"/>
      <c r="P117" s="112"/>
      <c r="Q117" s="115" t="s">
        <v>4858</v>
      </c>
      <c r="R117" s="115"/>
      <c r="S117" s="126"/>
      <c r="T117" s="126"/>
      <c r="U117" s="126"/>
      <c r="V117" s="126"/>
      <c r="W117" s="126"/>
      <c r="X117" s="126"/>
      <c r="Y117" s="126"/>
      <c r="Z117" s="126"/>
      <c r="AA117" s="126"/>
      <c r="AB117" s="126"/>
      <c r="AC117" s="507"/>
      <c r="AD117" s="116"/>
      <c r="AE117" s="509"/>
      <c r="AF117" s="516"/>
      <c r="AG117" s="519"/>
      <c r="AH117" s="117"/>
      <c r="AI117" s="118"/>
      <c r="AJ117" s="522"/>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490">
        <f>A115+1</f>
        <v>37</v>
      </c>
      <c r="B118" s="79"/>
      <c r="C118" s="499" t="s">
        <v>4852</v>
      </c>
      <c r="D118" s="80" t="s">
        <v>4884</v>
      </c>
      <c r="E118" s="81" t="s">
        <v>4779</v>
      </c>
      <c r="F118" s="82" t="s">
        <v>72</v>
      </c>
      <c r="G118" s="502" t="s">
        <v>4901</v>
      </c>
      <c r="H118" s="82" t="s">
        <v>175</v>
      </c>
      <c r="I118" s="81" t="s">
        <v>7</v>
      </c>
      <c r="J118" s="82"/>
      <c r="K118" s="84">
        <f>M120</f>
        <v>5.0000000000000001E-3</v>
      </c>
      <c r="L118" s="84"/>
      <c r="M118" s="84"/>
      <c r="N118" s="81"/>
      <c r="O118" s="81"/>
      <c r="P118" s="81"/>
      <c r="Q118" s="85" t="s">
        <v>4855</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505" t="s">
        <v>4856</v>
      </c>
      <c r="AD118" s="87">
        <v>7</v>
      </c>
      <c r="AE118" s="509">
        <f>36*7</f>
        <v>252</v>
      </c>
      <c r="AF118" s="514" t="e">
        <f>AB119</f>
        <v>#REF!</v>
      </c>
      <c r="AG118" s="517">
        <f>WORKDAY(AH118+1,-1,$BA$10:$BA$141)</f>
        <v>46538</v>
      </c>
      <c r="AH118" s="88">
        <v>46538</v>
      </c>
      <c r="AI118" s="89"/>
      <c r="AJ118" s="520"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491"/>
      <c r="B119" s="95"/>
      <c r="C119" s="500"/>
      <c r="D119" s="96" t="str">
        <f>D118</f>
        <v>INS</v>
      </c>
      <c r="E119" s="97" t="str">
        <f>E118</f>
        <v>RFQ-037</v>
      </c>
      <c r="F119" s="98" t="str">
        <f>F118</f>
        <v>N</v>
      </c>
      <c r="G119" s="503"/>
      <c r="H119" s="98" t="str">
        <f>H118</f>
        <v>PLC System</v>
      </c>
      <c r="I119" s="97" t="str">
        <f>I118</f>
        <v>LB</v>
      </c>
      <c r="J119" s="98"/>
      <c r="K119" s="100"/>
      <c r="L119" s="100">
        <f>M120</f>
        <v>5.0000000000000001E-3</v>
      </c>
      <c r="M119" s="100"/>
      <c r="N119" s="97"/>
      <c r="O119" s="97"/>
      <c r="P119" s="97"/>
      <c r="Q119" s="101" t="s">
        <v>4857</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WORKDAY(AE118+#REF!,0,'[35]Equipment List and MR List (3)'!$A$2:$A$80)</f>
        <v>#REF!</v>
      </c>
      <c r="AC119" s="506"/>
      <c r="AD119" s="105"/>
      <c r="AE119" s="509"/>
      <c r="AF119" s="515"/>
      <c r="AG119" s="518"/>
      <c r="AH119" s="106"/>
      <c r="AI119" s="107"/>
      <c r="AJ119" s="521"/>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492"/>
      <c r="B120" s="110"/>
      <c r="C120" s="501"/>
      <c r="D120" s="111" t="str">
        <f>D118</f>
        <v>INS</v>
      </c>
      <c r="E120" s="112" t="str">
        <f>E118</f>
        <v>RFQ-037</v>
      </c>
      <c r="F120" s="113" t="str">
        <f>F118</f>
        <v>N</v>
      </c>
      <c r="G120" s="504"/>
      <c r="H120" s="113" t="str">
        <f>H118</f>
        <v>PLC System</v>
      </c>
      <c r="I120" s="112" t="str">
        <f>I118</f>
        <v>LB</v>
      </c>
      <c r="J120" s="113"/>
      <c r="K120" s="114"/>
      <c r="L120" s="114"/>
      <c r="M120" s="114">
        <v>5.0000000000000001E-3</v>
      </c>
      <c r="N120" s="112"/>
      <c r="O120" s="112"/>
      <c r="P120" s="112"/>
      <c r="Q120" s="115" t="s">
        <v>4858</v>
      </c>
      <c r="R120" s="115"/>
      <c r="S120" s="126"/>
      <c r="T120" s="126"/>
      <c r="U120" s="126"/>
      <c r="V120" s="126"/>
      <c r="W120" s="126"/>
      <c r="X120" s="126"/>
      <c r="Y120" s="126"/>
      <c r="Z120" s="126"/>
      <c r="AA120" s="126"/>
      <c r="AB120" s="126"/>
      <c r="AC120" s="507"/>
      <c r="AD120" s="116"/>
      <c r="AE120" s="509"/>
      <c r="AF120" s="516"/>
      <c r="AG120" s="519"/>
      <c r="AH120" s="117"/>
      <c r="AI120" s="118"/>
      <c r="AJ120" s="522"/>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490">
        <f>A118+1</f>
        <v>38</v>
      </c>
      <c r="B121" s="79"/>
      <c r="C121" s="499" t="s">
        <v>4852</v>
      </c>
      <c r="D121" s="80" t="s">
        <v>4884</v>
      </c>
      <c r="E121" s="81" t="s">
        <v>4780</v>
      </c>
      <c r="F121" s="82" t="s">
        <v>72</v>
      </c>
      <c r="G121" s="502" t="s">
        <v>4902</v>
      </c>
      <c r="H121" s="82" t="s">
        <v>178</v>
      </c>
      <c r="I121" s="81" t="s">
        <v>8</v>
      </c>
      <c r="J121" s="82"/>
      <c r="K121" s="84">
        <f>M123</f>
        <v>5.0000000000000001E-3</v>
      </c>
      <c r="L121" s="84"/>
      <c r="M121" s="84"/>
      <c r="N121" s="81"/>
      <c r="O121" s="81"/>
      <c r="P121" s="81"/>
      <c r="Q121" s="85" t="s">
        <v>4855</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505" t="s">
        <v>4856</v>
      </c>
      <c r="AD121" s="87">
        <v>7</v>
      </c>
      <c r="AE121" s="509">
        <v>131</v>
      </c>
      <c r="AF121" s="514" t="e">
        <f>AB122</f>
        <v>#REF!</v>
      </c>
      <c r="AG121" s="517">
        <f>WORKDAY(AH121+1,-1,$BA$10:$BA$141)</f>
        <v>46538</v>
      </c>
      <c r="AH121" s="88">
        <v>46538</v>
      </c>
      <c r="AI121" s="89"/>
      <c r="AJ121" s="520"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491"/>
      <c r="B122" s="95"/>
      <c r="C122" s="500"/>
      <c r="D122" s="96" t="str">
        <f>D121</f>
        <v>INS</v>
      </c>
      <c r="E122" s="97" t="str">
        <f>E121</f>
        <v>RFQ-038</v>
      </c>
      <c r="F122" s="98" t="str">
        <f>F121</f>
        <v>N</v>
      </c>
      <c r="G122" s="503"/>
      <c r="H122" s="98" t="str">
        <f>H121</f>
        <v>Fire and Gas Detector</v>
      </c>
      <c r="I122" s="97" t="str">
        <f>I121</f>
        <v>LC</v>
      </c>
      <c r="J122" s="98"/>
      <c r="K122" s="100"/>
      <c r="L122" s="100">
        <f>M123</f>
        <v>5.0000000000000001E-3</v>
      </c>
      <c r="M122" s="100"/>
      <c r="N122" s="97"/>
      <c r="O122" s="97"/>
      <c r="P122" s="97"/>
      <c r="Q122" s="101" t="s">
        <v>4857</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WORKDAY(AE121+#REF!,0,'[35]Equipment List and MR List (3)'!$A$2:$A$80)</f>
        <v>#REF!</v>
      </c>
      <c r="AC122" s="506"/>
      <c r="AD122" s="105"/>
      <c r="AE122" s="509"/>
      <c r="AF122" s="515"/>
      <c r="AG122" s="518"/>
      <c r="AH122" s="106"/>
      <c r="AI122" s="107"/>
      <c r="AJ122" s="521"/>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492"/>
      <c r="B123" s="110"/>
      <c r="C123" s="501"/>
      <c r="D123" s="111" t="str">
        <f>D121</f>
        <v>INS</v>
      </c>
      <c r="E123" s="112" t="str">
        <f>E121</f>
        <v>RFQ-038</v>
      </c>
      <c r="F123" s="113" t="str">
        <f>F121</f>
        <v>N</v>
      </c>
      <c r="G123" s="504"/>
      <c r="H123" s="113" t="str">
        <f>H121</f>
        <v>Fire and Gas Detector</v>
      </c>
      <c r="I123" s="112" t="str">
        <f>I121</f>
        <v>LC</v>
      </c>
      <c r="J123" s="113"/>
      <c r="K123" s="114"/>
      <c r="L123" s="114"/>
      <c r="M123" s="114">
        <v>5.0000000000000001E-3</v>
      </c>
      <c r="N123" s="112"/>
      <c r="O123" s="112"/>
      <c r="P123" s="112"/>
      <c r="Q123" s="115" t="s">
        <v>4858</v>
      </c>
      <c r="R123" s="115"/>
      <c r="S123" s="126"/>
      <c r="T123" s="126"/>
      <c r="U123" s="126"/>
      <c r="V123" s="126"/>
      <c r="W123" s="126"/>
      <c r="X123" s="126"/>
      <c r="Y123" s="126"/>
      <c r="Z123" s="126"/>
      <c r="AA123" s="126"/>
      <c r="AB123" s="126"/>
      <c r="AC123" s="507"/>
      <c r="AD123" s="116"/>
      <c r="AE123" s="509"/>
      <c r="AF123" s="516"/>
      <c r="AG123" s="519"/>
      <c r="AH123" s="117"/>
      <c r="AI123" s="118"/>
      <c r="AJ123" s="522"/>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490">
        <f>A121+1</f>
        <v>39</v>
      </c>
      <c r="B124" s="79"/>
      <c r="C124" s="499" t="s">
        <v>4852</v>
      </c>
      <c r="D124" s="80" t="s">
        <v>4884</v>
      </c>
      <c r="E124" s="81" t="s">
        <v>4781</v>
      </c>
      <c r="F124" s="82" t="s">
        <v>72</v>
      </c>
      <c r="G124" s="502" t="s">
        <v>4903</v>
      </c>
      <c r="H124" s="82" t="s">
        <v>181</v>
      </c>
      <c r="I124" s="81" t="s">
        <v>8</v>
      </c>
      <c r="J124" s="82"/>
      <c r="K124" s="84">
        <f>M126</f>
        <v>5.0000000000000001E-3</v>
      </c>
      <c r="L124" s="84"/>
      <c r="M124" s="84"/>
      <c r="N124" s="81"/>
      <c r="O124" s="81"/>
      <c r="P124" s="81"/>
      <c r="Q124" s="85" t="s">
        <v>4855</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505" t="s">
        <v>4856</v>
      </c>
      <c r="AD124" s="87">
        <v>7</v>
      </c>
      <c r="AE124" s="509">
        <f>18*7</f>
        <v>126</v>
      </c>
      <c r="AF124" s="514" t="e">
        <f>AB125</f>
        <v>#REF!</v>
      </c>
      <c r="AG124" s="517">
        <f>WORKDAY(AH124+1,-1,$BA$10:$BA$141)</f>
        <v>46538</v>
      </c>
      <c r="AH124" s="88">
        <v>46538</v>
      </c>
      <c r="AI124" s="89"/>
      <c r="AJ124" s="520"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491"/>
      <c r="B125" s="95"/>
      <c r="C125" s="500"/>
      <c r="D125" s="96" t="str">
        <f>D124</f>
        <v>INS</v>
      </c>
      <c r="E125" s="97" t="str">
        <f>E124</f>
        <v>RFQ-039</v>
      </c>
      <c r="F125" s="98" t="str">
        <f>F124</f>
        <v>N</v>
      </c>
      <c r="G125" s="503"/>
      <c r="H125" s="98" t="str">
        <f>H124</f>
        <v>Dip Tape Level Indicator</v>
      </c>
      <c r="I125" s="97" t="str">
        <f>I124</f>
        <v>LC</v>
      </c>
      <c r="J125" s="98"/>
      <c r="K125" s="100"/>
      <c r="L125" s="100">
        <f>M126</f>
        <v>5.0000000000000001E-3</v>
      </c>
      <c r="M125" s="100"/>
      <c r="N125" s="97"/>
      <c r="O125" s="97"/>
      <c r="P125" s="97"/>
      <c r="Q125" s="101" t="s">
        <v>4857</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WORKDAY(AE124+#REF!,0,'[35]Equipment List and MR List (3)'!$A$2:$A$80)</f>
        <v>#REF!</v>
      </c>
      <c r="AC125" s="506"/>
      <c r="AD125" s="105"/>
      <c r="AE125" s="509"/>
      <c r="AF125" s="515"/>
      <c r="AG125" s="518"/>
      <c r="AH125" s="106"/>
      <c r="AI125" s="107"/>
      <c r="AJ125" s="521"/>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492"/>
      <c r="B126" s="110"/>
      <c r="C126" s="501"/>
      <c r="D126" s="111" t="str">
        <f>D124</f>
        <v>INS</v>
      </c>
      <c r="E126" s="112" t="str">
        <f>E124</f>
        <v>RFQ-039</v>
      </c>
      <c r="F126" s="113" t="str">
        <f>F124</f>
        <v>N</v>
      </c>
      <c r="G126" s="504"/>
      <c r="H126" s="113" t="str">
        <f>H124</f>
        <v>Dip Tape Level Indicator</v>
      </c>
      <c r="I126" s="112" t="str">
        <f>I124</f>
        <v>LC</v>
      </c>
      <c r="J126" s="113"/>
      <c r="K126" s="114"/>
      <c r="L126" s="114"/>
      <c r="M126" s="114">
        <v>5.0000000000000001E-3</v>
      </c>
      <c r="N126" s="112"/>
      <c r="O126" s="112"/>
      <c r="P126" s="112"/>
      <c r="Q126" s="115" t="s">
        <v>4858</v>
      </c>
      <c r="R126" s="115"/>
      <c r="S126" s="126"/>
      <c r="T126" s="126"/>
      <c r="U126" s="126"/>
      <c r="V126" s="126"/>
      <c r="W126" s="126"/>
      <c r="X126" s="126"/>
      <c r="Y126" s="126"/>
      <c r="Z126" s="126"/>
      <c r="AA126" s="126"/>
      <c r="AB126" s="126"/>
      <c r="AC126" s="507"/>
      <c r="AD126" s="116"/>
      <c r="AE126" s="509"/>
      <c r="AF126" s="516"/>
      <c r="AG126" s="519"/>
      <c r="AH126" s="117"/>
      <c r="AI126" s="118"/>
      <c r="AJ126" s="522"/>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490">
        <f>A124+1</f>
        <v>40</v>
      </c>
      <c r="B127" s="79"/>
      <c r="C127" s="499" t="s">
        <v>4852</v>
      </c>
      <c r="D127" s="80" t="s">
        <v>4884</v>
      </c>
      <c r="E127" s="81" t="s">
        <v>4782</v>
      </c>
      <c r="F127" s="82" t="s">
        <v>72</v>
      </c>
      <c r="G127" s="502" t="s">
        <v>4904</v>
      </c>
      <c r="H127" s="82" t="s">
        <v>184</v>
      </c>
      <c r="I127" s="81" t="s">
        <v>8</v>
      </c>
      <c r="J127" s="82"/>
      <c r="K127" s="84">
        <f>M129</f>
        <v>5.0000000000000001E-3</v>
      </c>
      <c r="L127" s="84"/>
      <c r="M127" s="84"/>
      <c r="N127" s="81"/>
      <c r="O127" s="81"/>
      <c r="P127" s="81"/>
      <c r="Q127" s="85" t="s">
        <v>4855</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505" t="s">
        <v>4856</v>
      </c>
      <c r="AD127" s="87">
        <v>7</v>
      </c>
      <c r="AE127" s="509">
        <f>18*7</f>
        <v>126</v>
      </c>
      <c r="AF127" s="514" t="e">
        <f>AB128</f>
        <v>#REF!</v>
      </c>
      <c r="AG127" s="517">
        <f>WORKDAY(AH127+1,-1,$BA$10:$BA$141)</f>
        <v>46538</v>
      </c>
      <c r="AH127" s="88">
        <v>46538</v>
      </c>
      <c r="AI127" s="89"/>
      <c r="AJ127" s="520"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491"/>
      <c r="B128" s="95"/>
      <c r="C128" s="500"/>
      <c r="D128" s="96" t="str">
        <f>D127</f>
        <v>INS</v>
      </c>
      <c r="E128" s="97" t="str">
        <f>E127</f>
        <v>RFQ-040</v>
      </c>
      <c r="F128" s="98" t="str">
        <f>F127</f>
        <v>N</v>
      </c>
      <c r="G128" s="503"/>
      <c r="H128" s="98" t="str">
        <f>H127</f>
        <v>Position Limit Switches</v>
      </c>
      <c r="I128" s="97" t="str">
        <f>I127</f>
        <v>LC</v>
      </c>
      <c r="J128" s="98"/>
      <c r="K128" s="100"/>
      <c r="L128" s="100">
        <f>M129</f>
        <v>5.0000000000000001E-3</v>
      </c>
      <c r="M128" s="100"/>
      <c r="N128" s="97"/>
      <c r="O128" s="97"/>
      <c r="P128" s="97"/>
      <c r="Q128" s="101" t="s">
        <v>4857</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WORKDAY(AE127+#REF!,0,'[35]Equipment List and MR List (3)'!$A$2:$A$80)</f>
        <v>#REF!</v>
      </c>
      <c r="AC128" s="506"/>
      <c r="AD128" s="105"/>
      <c r="AE128" s="509"/>
      <c r="AF128" s="515"/>
      <c r="AG128" s="518"/>
      <c r="AH128" s="106"/>
      <c r="AI128" s="107"/>
      <c r="AJ128" s="521"/>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492"/>
      <c r="B129" s="110"/>
      <c r="C129" s="501"/>
      <c r="D129" s="111" t="str">
        <f>D127</f>
        <v>INS</v>
      </c>
      <c r="E129" s="112" t="str">
        <f>E127</f>
        <v>RFQ-040</v>
      </c>
      <c r="F129" s="113" t="str">
        <f>F127</f>
        <v>N</v>
      </c>
      <c r="G129" s="504"/>
      <c r="H129" s="113" t="str">
        <f>H127</f>
        <v>Position Limit Switches</v>
      </c>
      <c r="I129" s="112" t="str">
        <f>I127</f>
        <v>LC</v>
      </c>
      <c r="J129" s="113"/>
      <c r="K129" s="114"/>
      <c r="L129" s="114"/>
      <c r="M129" s="114">
        <v>5.0000000000000001E-3</v>
      </c>
      <c r="N129" s="112"/>
      <c r="O129" s="112"/>
      <c r="P129" s="112"/>
      <c r="Q129" s="115" t="s">
        <v>4858</v>
      </c>
      <c r="R129" s="115"/>
      <c r="S129" s="126"/>
      <c r="T129" s="126"/>
      <c r="U129" s="126"/>
      <c r="V129" s="126"/>
      <c r="W129" s="126"/>
      <c r="X129" s="126"/>
      <c r="Y129" s="126"/>
      <c r="Z129" s="126"/>
      <c r="AA129" s="126"/>
      <c r="AB129" s="126"/>
      <c r="AC129" s="507"/>
      <c r="AD129" s="116"/>
      <c r="AE129" s="509"/>
      <c r="AF129" s="516"/>
      <c r="AG129" s="519"/>
      <c r="AH129" s="117"/>
      <c r="AI129" s="118"/>
      <c r="AJ129" s="522"/>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490">
        <f>A127+1</f>
        <v>41</v>
      </c>
      <c r="B130" s="79"/>
      <c r="C130" s="499" t="s">
        <v>4852</v>
      </c>
      <c r="D130" s="80" t="s">
        <v>4884</v>
      </c>
      <c r="E130" s="81" t="s">
        <v>4783</v>
      </c>
      <c r="F130" s="82" t="s">
        <v>72</v>
      </c>
      <c r="G130" s="502" t="s">
        <v>4905</v>
      </c>
      <c r="H130" s="82" t="s">
        <v>187</v>
      </c>
      <c r="I130" s="81" t="s">
        <v>8</v>
      </c>
      <c r="J130" s="82"/>
      <c r="K130" s="84">
        <f>M132</f>
        <v>5.0000000000000001E-3</v>
      </c>
      <c r="L130" s="84"/>
      <c r="M130" s="84"/>
      <c r="N130" s="81"/>
      <c r="O130" s="81"/>
      <c r="P130" s="81"/>
      <c r="Q130" s="85" t="s">
        <v>4855</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505" t="s">
        <v>4856</v>
      </c>
      <c r="AD130" s="87">
        <v>7</v>
      </c>
      <c r="AE130" s="509">
        <f>30*7</f>
        <v>210</v>
      </c>
      <c r="AF130" s="514" t="e">
        <f>AB131</f>
        <v>#REF!</v>
      </c>
      <c r="AG130" s="517">
        <f>WORKDAY(AH130+1,-1,$BA$10:$BA$141)</f>
        <v>46538</v>
      </c>
      <c r="AH130" s="88">
        <v>46538</v>
      </c>
      <c r="AI130" s="89"/>
      <c r="AJ130" s="520"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491"/>
      <c r="B131" s="95"/>
      <c r="C131" s="500"/>
      <c r="D131" s="96" t="str">
        <f>D130</f>
        <v>INS</v>
      </c>
      <c r="E131" s="97" t="str">
        <f>E130</f>
        <v>RFQ-041</v>
      </c>
      <c r="F131" s="98" t="str">
        <f>F130</f>
        <v>N</v>
      </c>
      <c r="G131" s="503"/>
      <c r="H131" s="98" t="str">
        <f>H130</f>
        <v>Guided Wave Radar Level Transmitter</v>
      </c>
      <c r="I131" s="97" t="str">
        <f>I130</f>
        <v>LC</v>
      </c>
      <c r="J131" s="98"/>
      <c r="K131" s="100"/>
      <c r="L131" s="100">
        <f>M132</f>
        <v>5.0000000000000001E-3</v>
      </c>
      <c r="M131" s="100"/>
      <c r="N131" s="97"/>
      <c r="O131" s="97"/>
      <c r="P131" s="97"/>
      <c r="Q131" s="101" t="s">
        <v>4857</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WORKDAY(AE130+#REF!,0,'[35]Equipment List and MR List (3)'!$A$2:$A$80)</f>
        <v>#REF!</v>
      </c>
      <c r="AC131" s="506"/>
      <c r="AD131" s="105"/>
      <c r="AE131" s="509"/>
      <c r="AF131" s="515"/>
      <c r="AG131" s="518"/>
      <c r="AH131" s="106"/>
      <c r="AI131" s="107"/>
      <c r="AJ131" s="521"/>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492"/>
      <c r="B132" s="110"/>
      <c r="C132" s="501"/>
      <c r="D132" s="111" t="str">
        <f>D130</f>
        <v>INS</v>
      </c>
      <c r="E132" s="112" t="str">
        <f>E130</f>
        <v>RFQ-041</v>
      </c>
      <c r="F132" s="113" t="str">
        <f>F130</f>
        <v>N</v>
      </c>
      <c r="G132" s="504"/>
      <c r="H132" s="113" t="str">
        <f>H130</f>
        <v>Guided Wave Radar Level Transmitter</v>
      </c>
      <c r="I132" s="112" t="str">
        <f>I130</f>
        <v>LC</v>
      </c>
      <c r="J132" s="113"/>
      <c r="K132" s="114"/>
      <c r="L132" s="114"/>
      <c r="M132" s="114">
        <v>5.0000000000000001E-3</v>
      </c>
      <c r="N132" s="112"/>
      <c r="O132" s="112"/>
      <c r="P132" s="112"/>
      <c r="Q132" s="115" t="s">
        <v>4858</v>
      </c>
      <c r="R132" s="115"/>
      <c r="S132" s="126"/>
      <c r="T132" s="126"/>
      <c r="U132" s="126"/>
      <c r="V132" s="126"/>
      <c r="W132" s="126"/>
      <c r="X132" s="126"/>
      <c r="Y132" s="126"/>
      <c r="Z132" s="126"/>
      <c r="AA132" s="126"/>
      <c r="AB132" s="126"/>
      <c r="AC132" s="507"/>
      <c r="AD132" s="116"/>
      <c r="AE132" s="509"/>
      <c r="AF132" s="516"/>
      <c r="AG132" s="519"/>
      <c r="AH132" s="117"/>
      <c r="AI132" s="118"/>
      <c r="AJ132" s="522"/>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490">
        <f>A130+1</f>
        <v>42</v>
      </c>
      <c r="B133" s="79"/>
      <c r="C133" s="499" t="s">
        <v>4852</v>
      </c>
      <c r="D133" s="80" t="s">
        <v>4884</v>
      </c>
      <c r="E133" s="81" t="s">
        <v>4784</v>
      </c>
      <c r="F133" s="82" t="s">
        <v>72</v>
      </c>
      <c r="G133" s="502" t="s">
        <v>4906</v>
      </c>
      <c r="H133" s="82" t="s">
        <v>4785</v>
      </c>
      <c r="I133" s="81" t="s">
        <v>8</v>
      </c>
      <c r="J133" s="82"/>
      <c r="K133" s="84">
        <f>M135</f>
        <v>2E-3</v>
      </c>
      <c r="L133" s="84"/>
      <c r="M133" s="84"/>
      <c r="N133" s="81"/>
      <c r="O133" s="81"/>
      <c r="P133" s="81"/>
      <c r="Q133" s="85" t="s">
        <v>4855</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505" t="s">
        <v>4856</v>
      </c>
      <c r="AD133" s="87">
        <v>7</v>
      </c>
      <c r="AE133" s="509">
        <f>24*7</f>
        <v>168</v>
      </c>
      <c r="AF133" s="514" t="e">
        <f>AB134</f>
        <v>#REF!</v>
      </c>
      <c r="AG133" s="517">
        <f>WORKDAY(AH133+1,-1,$BA$10:$BA$141)</f>
        <v>46538</v>
      </c>
      <c r="AH133" s="88">
        <v>46538</v>
      </c>
      <c r="AI133" s="89"/>
      <c r="AJ133" s="520"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491"/>
      <c r="B134" s="95"/>
      <c r="C134" s="500"/>
      <c r="D134" s="96" t="str">
        <f>D133</f>
        <v>INS</v>
      </c>
      <c r="E134" s="97" t="str">
        <f>E133</f>
        <v>RFQ-042</v>
      </c>
      <c r="F134" s="98" t="str">
        <f>F133</f>
        <v>N</v>
      </c>
      <c r="G134" s="503"/>
      <c r="H134" s="98" t="str">
        <f>H133</f>
        <v>Oil in Water Analyzer</v>
      </c>
      <c r="I134" s="97" t="str">
        <f>I133</f>
        <v>LC</v>
      </c>
      <c r="J134" s="98"/>
      <c r="K134" s="100"/>
      <c r="L134" s="100">
        <f>M135</f>
        <v>2E-3</v>
      </c>
      <c r="M134" s="100"/>
      <c r="N134" s="97"/>
      <c r="O134" s="97"/>
      <c r="P134" s="97"/>
      <c r="Q134" s="101" t="s">
        <v>4857</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WORKDAY(AE133+#REF!,0,'[35]Equipment List and MR List (3)'!$A$2:$A$80)</f>
        <v>#REF!</v>
      </c>
      <c r="AC134" s="506"/>
      <c r="AD134" s="105"/>
      <c r="AE134" s="509"/>
      <c r="AF134" s="515"/>
      <c r="AG134" s="518"/>
      <c r="AH134" s="106"/>
      <c r="AI134" s="107"/>
      <c r="AJ134" s="521"/>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492"/>
      <c r="B135" s="110"/>
      <c r="C135" s="501"/>
      <c r="D135" s="111" t="str">
        <f>D133</f>
        <v>INS</v>
      </c>
      <c r="E135" s="112" t="str">
        <f>E133</f>
        <v>RFQ-042</v>
      </c>
      <c r="F135" s="113" t="str">
        <f>F133</f>
        <v>N</v>
      </c>
      <c r="G135" s="504"/>
      <c r="H135" s="113" t="str">
        <f>H133</f>
        <v>Oil in Water Analyzer</v>
      </c>
      <c r="I135" s="112" t="str">
        <f>I133</f>
        <v>LC</v>
      </c>
      <c r="J135" s="113"/>
      <c r="K135" s="114"/>
      <c r="L135" s="114"/>
      <c r="M135" s="114">
        <v>2E-3</v>
      </c>
      <c r="N135" s="112"/>
      <c r="O135" s="112"/>
      <c r="P135" s="112"/>
      <c r="Q135" s="115" t="s">
        <v>4858</v>
      </c>
      <c r="R135" s="115"/>
      <c r="S135" s="126"/>
      <c r="T135" s="126"/>
      <c r="U135" s="126"/>
      <c r="V135" s="126"/>
      <c r="W135" s="126"/>
      <c r="X135" s="126"/>
      <c r="Y135" s="126"/>
      <c r="Z135" s="126"/>
      <c r="AA135" s="126"/>
      <c r="AB135" s="126"/>
      <c r="AC135" s="507"/>
      <c r="AD135" s="116"/>
      <c r="AE135" s="509"/>
      <c r="AF135" s="516"/>
      <c r="AG135" s="519"/>
      <c r="AH135" s="117"/>
      <c r="AI135" s="118"/>
      <c r="AJ135" s="522"/>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490">
        <f>A133+1</f>
        <v>43</v>
      </c>
      <c r="B136" s="79"/>
      <c r="C136" s="499" t="s">
        <v>4852</v>
      </c>
      <c r="D136" s="80" t="s">
        <v>4884</v>
      </c>
      <c r="E136" s="81" t="s">
        <v>4786</v>
      </c>
      <c r="F136" s="82" t="s">
        <v>72</v>
      </c>
      <c r="G136" s="502" t="s">
        <v>4907</v>
      </c>
      <c r="H136" s="82" t="s">
        <v>192</v>
      </c>
      <c r="I136" s="81" t="s">
        <v>8</v>
      </c>
      <c r="J136" s="82"/>
      <c r="K136" s="84">
        <f>M138</f>
        <v>5.0000000000000001E-3</v>
      </c>
      <c r="L136" s="84"/>
      <c r="M136" s="84"/>
      <c r="N136" s="81"/>
      <c r="O136" s="81"/>
      <c r="P136" s="81"/>
      <c r="Q136" s="85" t="s">
        <v>4855</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505" t="s">
        <v>4856</v>
      </c>
      <c r="AD136" s="87">
        <v>7</v>
      </c>
      <c r="AE136" s="509">
        <v>60</v>
      </c>
      <c r="AF136" s="514" t="e">
        <f>AB137</f>
        <v>#REF!</v>
      </c>
      <c r="AG136" s="517">
        <f>WORKDAY(AH136+1,-1,$BA$10:$BA$141)</f>
        <v>46538</v>
      </c>
      <c r="AH136" s="88">
        <v>46538</v>
      </c>
      <c r="AI136" s="89"/>
      <c r="AJ136" s="520"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491"/>
      <c r="B137" s="95"/>
      <c r="C137" s="500"/>
      <c r="D137" s="96" t="str">
        <f>D136</f>
        <v>INS</v>
      </c>
      <c r="E137" s="97" t="str">
        <f>E136</f>
        <v>RFQ-043</v>
      </c>
      <c r="F137" s="98" t="str">
        <f>F136</f>
        <v>N</v>
      </c>
      <c r="G137" s="503"/>
      <c r="H137" s="98" t="str">
        <f>H136</f>
        <v>Level Switch</v>
      </c>
      <c r="I137" s="97" t="str">
        <f>I136</f>
        <v>LC</v>
      </c>
      <c r="J137" s="98"/>
      <c r="K137" s="100"/>
      <c r="L137" s="100">
        <f>M138</f>
        <v>5.0000000000000001E-3</v>
      </c>
      <c r="M137" s="100"/>
      <c r="N137" s="97"/>
      <c r="O137" s="97"/>
      <c r="P137" s="97"/>
      <c r="Q137" s="101" t="s">
        <v>4857</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WORKDAY(AE136+#REF!,0,'[35]Equipment List and MR List (3)'!$A$2:$A$80)</f>
        <v>#REF!</v>
      </c>
      <c r="AC137" s="506"/>
      <c r="AD137" s="105"/>
      <c r="AE137" s="509"/>
      <c r="AF137" s="515"/>
      <c r="AG137" s="518"/>
      <c r="AH137" s="106"/>
      <c r="AI137" s="107"/>
      <c r="AJ137" s="521"/>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492"/>
      <c r="B138" s="110"/>
      <c r="C138" s="501"/>
      <c r="D138" s="111" t="str">
        <f>D136</f>
        <v>INS</v>
      </c>
      <c r="E138" s="112" t="str">
        <f>E136</f>
        <v>RFQ-043</v>
      </c>
      <c r="F138" s="113" t="str">
        <f>F136</f>
        <v>N</v>
      </c>
      <c r="G138" s="504"/>
      <c r="H138" s="113" t="str">
        <f>H136</f>
        <v>Level Switch</v>
      </c>
      <c r="I138" s="112" t="str">
        <f>I136</f>
        <v>LC</v>
      </c>
      <c r="J138" s="113"/>
      <c r="K138" s="114"/>
      <c r="L138" s="114"/>
      <c r="M138" s="114">
        <v>5.0000000000000001E-3</v>
      </c>
      <c r="N138" s="112"/>
      <c r="O138" s="112"/>
      <c r="P138" s="112"/>
      <c r="Q138" s="115" t="s">
        <v>4858</v>
      </c>
      <c r="R138" s="115"/>
      <c r="S138" s="126"/>
      <c r="T138" s="126"/>
      <c r="U138" s="126"/>
      <c r="V138" s="126"/>
      <c r="W138" s="126"/>
      <c r="X138" s="126"/>
      <c r="Y138" s="126"/>
      <c r="Z138" s="126"/>
      <c r="AA138" s="126"/>
      <c r="AB138" s="126"/>
      <c r="AC138" s="507"/>
      <c r="AD138" s="116"/>
      <c r="AE138" s="509"/>
      <c r="AF138" s="516"/>
      <c r="AG138" s="519"/>
      <c r="AH138" s="117"/>
      <c r="AI138" s="118"/>
      <c r="AJ138" s="522"/>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490">
        <f>A136+1</f>
        <v>44</v>
      </c>
      <c r="B139" s="79"/>
      <c r="C139" s="499" t="s">
        <v>4852</v>
      </c>
      <c r="D139" s="80" t="s">
        <v>4884</v>
      </c>
      <c r="E139" s="81" t="s">
        <v>4787</v>
      </c>
      <c r="F139" s="82" t="s">
        <v>72</v>
      </c>
      <c r="G139" s="502" t="s">
        <v>4908</v>
      </c>
      <c r="H139" s="82" t="s">
        <v>195</v>
      </c>
      <c r="I139" s="81" t="s">
        <v>8</v>
      </c>
      <c r="J139" s="82"/>
      <c r="K139" s="84">
        <f>M141</f>
        <v>5.0000000000000001E-3</v>
      </c>
      <c r="L139" s="84"/>
      <c r="M139" s="84"/>
      <c r="N139" s="81"/>
      <c r="O139" s="81"/>
      <c r="P139" s="81"/>
      <c r="Q139" s="85" t="s">
        <v>4855</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505" t="s">
        <v>4856</v>
      </c>
      <c r="AD139" s="87">
        <v>7</v>
      </c>
      <c r="AE139" s="509">
        <v>60</v>
      </c>
      <c r="AF139" s="514" t="e">
        <f>AB140</f>
        <v>#REF!</v>
      </c>
      <c r="AG139" s="517">
        <f>WORKDAY(AH139+1,-1,$BA$10:$BA$141)</f>
        <v>46538</v>
      </c>
      <c r="AH139" s="88">
        <v>46538</v>
      </c>
      <c r="AI139" s="89"/>
      <c r="AJ139" s="520"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491"/>
      <c r="B140" s="95"/>
      <c r="C140" s="500"/>
      <c r="D140" s="96" t="str">
        <f>D139</f>
        <v>INS</v>
      </c>
      <c r="E140" s="97" t="str">
        <f>E139</f>
        <v>RFQ-044</v>
      </c>
      <c r="F140" s="98" t="str">
        <f>F139</f>
        <v>N</v>
      </c>
      <c r="G140" s="503"/>
      <c r="H140" s="98" t="str">
        <f>H139</f>
        <v>Flow Switch</v>
      </c>
      <c r="I140" s="97" t="str">
        <f>I139</f>
        <v>LC</v>
      </c>
      <c r="J140" s="98"/>
      <c r="K140" s="100"/>
      <c r="L140" s="100">
        <f>M141</f>
        <v>5.0000000000000001E-3</v>
      </c>
      <c r="M140" s="100"/>
      <c r="N140" s="97"/>
      <c r="O140" s="97"/>
      <c r="P140" s="97"/>
      <c r="Q140" s="101" t="s">
        <v>4857</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WORKDAY(AE139+#REF!,0,'[35]Equipment List and MR List (3)'!$A$2:$A$80)</f>
        <v>#REF!</v>
      </c>
      <c r="AC140" s="506"/>
      <c r="AD140" s="105"/>
      <c r="AE140" s="509"/>
      <c r="AF140" s="515"/>
      <c r="AG140" s="518"/>
      <c r="AH140" s="106"/>
      <c r="AI140" s="107"/>
      <c r="AJ140" s="521"/>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492"/>
      <c r="B141" s="110"/>
      <c r="C141" s="501"/>
      <c r="D141" s="111" t="str">
        <f>D139</f>
        <v>INS</v>
      </c>
      <c r="E141" s="112" t="str">
        <f>E139</f>
        <v>RFQ-044</v>
      </c>
      <c r="F141" s="113" t="str">
        <f>F139</f>
        <v>N</v>
      </c>
      <c r="G141" s="504"/>
      <c r="H141" s="113" t="str">
        <f>H139</f>
        <v>Flow Switch</v>
      </c>
      <c r="I141" s="112" t="str">
        <f>I139</f>
        <v>LC</v>
      </c>
      <c r="J141" s="113"/>
      <c r="K141" s="114"/>
      <c r="L141" s="114"/>
      <c r="M141" s="114">
        <v>5.0000000000000001E-3</v>
      </c>
      <c r="N141" s="112"/>
      <c r="O141" s="112"/>
      <c r="P141" s="112"/>
      <c r="Q141" s="115" t="s">
        <v>4858</v>
      </c>
      <c r="R141" s="115"/>
      <c r="S141" s="126"/>
      <c r="T141" s="126"/>
      <c r="U141" s="126"/>
      <c r="V141" s="126"/>
      <c r="W141" s="126"/>
      <c r="X141" s="126"/>
      <c r="Y141" s="126"/>
      <c r="Z141" s="126"/>
      <c r="AA141" s="126"/>
      <c r="AB141" s="126"/>
      <c r="AC141" s="507"/>
      <c r="AD141" s="116"/>
      <c r="AE141" s="509"/>
      <c r="AF141" s="516"/>
      <c r="AG141" s="519"/>
      <c r="AH141" s="117"/>
      <c r="AI141" s="118"/>
      <c r="AJ141" s="522"/>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490">
        <f>A139+1</f>
        <v>45</v>
      </c>
      <c r="B142" s="79"/>
      <c r="C142" s="499" t="s">
        <v>4852</v>
      </c>
      <c r="D142" s="80" t="s">
        <v>4884</v>
      </c>
      <c r="E142" s="81" t="s">
        <v>4788</v>
      </c>
      <c r="F142" s="82" t="s">
        <v>72</v>
      </c>
      <c r="G142" s="502" t="s">
        <v>4901</v>
      </c>
      <c r="H142" s="82" t="s">
        <v>197</v>
      </c>
      <c r="I142" s="81" t="s">
        <v>7</v>
      </c>
      <c r="J142" s="82"/>
      <c r="K142" s="84">
        <f>M144</f>
        <v>2E-3</v>
      </c>
      <c r="L142" s="84"/>
      <c r="M142" s="84"/>
      <c r="N142" s="81"/>
      <c r="O142" s="81"/>
      <c r="P142" s="81"/>
      <c r="Q142" s="85" t="s">
        <v>4855</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505" t="s">
        <v>4856</v>
      </c>
      <c r="AD142" s="87">
        <v>7</v>
      </c>
      <c r="AE142" s="509">
        <f>36*7</f>
        <v>252</v>
      </c>
      <c r="AF142" s="514" t="e">
        <f>AB143</f>
        <v>#REF!</v>
      </c>
      <c r="AG142" s="517">
        <f>WORKDAY(AH142+1,-1,$BA$10:$BA$141)</f>
        <v>46538</v>
      </c>
      <c r="AH142" s="88">
        <v>46538</v>
      </c>
      <c r="AI142" s="89"/>
      <c r="AJ142" s="520"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491"/>
      <c r="B143" s="95"/>
      <c r="C143" s="500"/>
      <c r="D143" s="96" t="str">
        <f>D142</f>
        <v>INS</v>
      </c>
      <c r="E143" s="97" t="str">
        <f>E142</f>
        <v>RFQ-045</v>
      </c>
      <c r="F143" s="98" t="str">
        <f>F142</f>
        <v>N</v>
      </c>
      <c r="G143" s="503"/>
      <c r="H143" s="98" t="str">
        <f>H142</f>
        <v>SCADA System</v>
      </c>
      <c r="I143" s="97" t="str">
        <f>I142</f>
        <v>LB</v>
      </c>
      <c r="J143" s="98"/>
      <c r="K143" s="100"/>
      <c r="L143" s="100">
        <f>M144</f>
        <v>2E-3</v>
      </c>
      <c r="M143" s="100"/>
      <c r="N143" s="97"/>
      <c r="O143" s="97"/>
      <c r="P143" s="97"/>
      <c r="Q143" s="101" t="s">
        <v>4857</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WORKDAY(AE142+#REF!,0,'[35]Equipment List and MR List (3)'!$A$2:$A$80)</f>
        <v>#REF!</v>
      </c>
      <c r="AC143" s="506"/>
      <c r="AD143" s="105"/>
      <c r="AE143" s="509"/>
      <c r="AF143" s="515"/>
      <c r="AG143" s="518"/>
      <c r="AH143" s="106"/>
      <c r="AI143" s="107"/>
      <c r="AJ143" s="521"/>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492"/>
      <c r="B144" s="110"/>
      <c r="C144" s="501"/>
      <c r="D144" s="111" t="str">
        <f>D142</f>
        <v>INS</v>
      </c>
      <c r="E144" s="112" t="str">
        <f>E142</f>
        <v>RFQ-045</v>
      </c>
      <c r="F144" s="113" t="str">
        <f>F142</f>
        <v>N</v>
      </c>
      <c r="G144" s="504"/>
      <c r="H144" s="113" t="str">
        <f>H142</f>
        <v>SCADA System</v>
      </c>
      <c r="I144" s="112" t="str">
        <f>I142</f>
        <v>LB</v>
      </c>
      <c r="J144" s="113"/>
      <c r="K144" s="114"/>
      <c r="L144" s="114"/>
      <c r="M144" s="114">
        <v>2E-3</v>
      </c>
      <c r="N144" s="112"/>
      <c r="O144" s="112"/>
      <c r="P144" s="112"/>
      <c r="Q144" s="115" t="s">
        <v>4858</v>
      </c>
      <c r="R144" s="115"/>
      <c r="S144" s="126"/>
      <c r="T144" s="126"/>
      <c r="U144" s="126"/>
      <c r="V144" s="126"/>
      <c r="W144" s="126"/>
      <c r="X144" s="126"/>
      <c r="Y144" s="126"/>
      <c r="Z144" s="126"/>
      <c r="AA144" s="126"/>
      <c r="AB144" s="126"/>
      <c r="AC144" s="507"/>
      <c r="AD144" s="116"/>
      <c r="AE144" s="509"/>
      <c r="AF144" s="516"/>
      <c r="AG144" s="519"/>
      <c r="AH144" s="117"/>
      <c r="AI144" s="118"/>
      <c r="AJ144" s="522"/>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490">
        <f>A142+1</f>
        <v>46</v>
      </c>
      <c r="B145" s="79"/>
      <c r="C145" s="499" t="s">
        <v>4852</v>
      </c>
      <c r="D145" s="80" t="s">
        <v>4884</v>
      </c>
      <c r="E145" s="81" t="s">
        <v>4789</v>
      </c>
      <c r="F145" s="82" t="s">
        <v>64</v>
      </c>
      <c r="G145" s="502" t="s">
        <v>4909</v>
      </c>
      <c r="H145" s="82" t="s">
        <v>4790</v>
      </c>
      <c r="I145" s="81" t="s">
        <v>8</v>
      </c>
      <c r="J145" s="82"/>
      <c r="K145" s="84">
        <f>M147</f>
        <v>2E-3</v>
      </c>
      <c r="L145" s="84"/>
      <c r="M145" s="84"/>
      <c r="N145" s="81"/>
      <c r="O145" s="81"/>
      <c r="P145" s="81"/>
      <c r="Q145" s="85" t="s">
        <v>4855</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505" t="s">
        <v>4856</v>
      </c>
      <c r="AD145" s="87">
        <v>7</v>
      </c>
      <c r="AE145" s="509">
        <v>294</v>
      </c>
      <c r="AF145" s="514" t="e">
        <f>AB146</f>
        <v>#REF!</v>
      </c>
      <c r="AG145" s="517">
        <f>WORKDAY(AH145+1,-1,$BA$10:$BA$141)</f>
        <v>46538</v>
      </c>
      <c r="AH145" s="88">
        <v>46538</v>
      </c>
      <c r="AI145" s="89"/>
      <c r="AJ145" s="520"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491"/>
      <c r="B146" s="95"/>
      <c r="C146" s="500"/>
      <c r="D146" s="96" t="str">
        <f>D145</f>
        <v>INS</v>
      </c>
      <c r="E146" s="97" t="str">
        <f>E145</f>
        <v>RFQ-046</v>
      </c>
      <c r="F146" s="98" t="str">
        <f>F145</f>
        <v>Y</v>
      </c>
      <c r="G146" s="503"/>
      <c r="H146" s="98" t="str">
        <f>H145</f>
        <v>Telecommunication System (WiMAX, Telephone, Marine Radio)</v>
      </c>
      <c r="I146" s="97" t="str">
        <f>I145</f>
        <v>LC</v>
      </c>
      <c r="J146" s="98"/>
      <c r="K146" s="100"/>
      <c r="L146" s="100">
        <f>M147</f>
        <v>2E-3</v>
      </c>
      <c r="M146" s="100"/>
      <c r="N146" s="97"/>
      <c r="O146" s="97"/>
      <c r="P146" s="97"/>
      <c r="Q146" s="101" t="s">
        <v>4857</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WORKDAY(AE145+#REF!,0,'[35]Equipment List and MR List (3)'!$A$2:$A$80)</f>
        <v>#REF!</v>
      </c>
      <c r="AC146" s="506"/>
      <c r="AD146" s="105"/>
      <c r="AE146" s="509"/>
      <c r="AF146" s="515"/>
      <c r="AG146" s="518"/>
      <c r="AH146" s="106"/>
      <c r="AI146" s="107"/>
      <c r="AJ146" s="521"/>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492"/>
      <c r="B147" s="110"/>
      <c r="C147" s="501"/>
      <c r="D147" s="111" t="str">
        <f>D145</f>
        <v>INS</v>
      </c>
      <c r="E147" s="112" t="str">
        <f>E145</f>
        <v>RFQ-046</v>
      </c>
      <c r="F147" s="113" t="str">
        <f>F145</f>
        <v>Y</v>
      </c>
      <c r="G147" s="504"/>
      <c r="H147" s="113" t="str">
        <f>H145</f>
        <v>Telecommunication System (WiMAX, Telephone, Marine Radio)</v>
      </c>
      <c r="I147" s="112" t="str">
        <f>I145</f>
        <v>LC</v>
      </c>
      <c r="J147" s="113"/>
      <c r="K147" s="114"/>
      <c r="L147" s="114"/>
      <c r="M147" s="114">
        <v>2E-3</v>
      </c>
      <c r="N147" s="112"/>
      <c r="O147" s="112"/>
      <c r="P147" s="112"/>
      <c r="Q147" s="115" t="s">
        <v>4858</v>
      </c>
      <c r="R147" s="115"/>
      <c r="S147" s="126"/>
      <c r="T147" s="126"/>
      <c r="U147" s="126"/>
      <c r="V147" s="126"/>
      <c r="W147" s="126"/>
      <c r="X147" s="126"/>
      <c r="Y147" s="126"/>
      <c r="Z147" s="126"/>
      <c r="AA147" s="126"/>
      <c r="AB147" s="126"/>
      <c r="AC147" s="507"/>
      <c r="AD147" s="116"/>
      <c r="AE147" s="509"/>
      <c r="AF147" s="516"/>
      <c r="AG147" s="519"/>
      <c r="AH147" s="117"/>
      <c r="AI147" s="118"/>
      <c r="AJ147" s="522"/>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490">
        <f>A145+1</f>
        <v>47</v>
      </c>
      <c r="B148" s="79"/>
      <c r="C148" s="499" t="s">
        <v>4852</v>
      </c>
      <c r="D148" s="80" t="s">
        <v>4884</v>
      </c>
      <c r="E148" s="81" t="s">
        <v>4791</v>
      </c>
      <c r="F148" s="82" t="s">
        <v>72</v>
      </c>
      <c r="G148" s="502" t="s">
        <v>4910</v>
      </c>
      <c r="H148" s="82" t="s">
        <v>4792</v>
      </c>
      <c r="I148" s="81" t="s">
        <v>8</v>
      </c>
      <c r="J148" s="82"/>
      <c r="K148" s="84">
        <f>M150</f>
        <v>1E-3</v>
      </c>
      <c r="L148" s="84"/>
      <c r="M148" s="84"/>
      <c r="N148" s="81"/>
      <c r="O148" s="81"/>
      <c r="P148" s="81"/>
      <c r="Q148" s="85" t="s">
        <v>4855</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505" t="s">
        <v>4856</v>
      </c>
      <c r="AD148" s="87">
        <v>7</v>
      </c>
      <c r="AE148" s="509">
        <f>16*7</f>
        <v>112</v>
      </c>
      <c r="AF148" s="514" t="e">
        <f>AB149</f>
        <v>#REF!</v>
      </c>
      <c r="AG148" s="517">
        <f>WORKDAY(AH148+1,-1,$BA$10:$BA$141)</f>
        <v>46477</v>
      </c>
      <c r="AH148" s="88">
        <v>46477</v>
      </c>
      <c r="AI148" s="89"/>
      <c r="AJ148" s="520"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491"/>
      <c r="B149" s="95"/>
      <c r="C149" s="500"/>
      <c r="D149" s="96" t="str">
        <f>D148</f>
        <v>INS</v>
      </c>
      <c r="E149" s="97" t="str">
        <f>E148</f>
        <v>RFQ-047</v>
      </c>
      <c r="F149" s="98" t="str">
        <f>F148</f>
        <v>N</v>
      </c>
      <c r="G149" s="503"/>
      <c r="H149" s="98" t="s">
        <v>4792</v>
      </c>
      <c r="I149" s="97" t="str">
        <f>I148</f>
        <v>LC</v>
      </c>
      <c r="J149" s="98"/>
      <c r="K149" s="100"/>
      <c r="L149" s="100">
        <f>M150</f>
        <v>1E-3</v>
      </c>
      <c r="M149" s="100"/>
      <c r="N149" s="97"/>
      <c r="O149" s="97"/>
      <c r="P149" s="97"/>
      <c r="Q149" s="101" t="s">
        <v>4857</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WORKDAY(AE148+#REF!,0,'[35]Equipment List and MR List (3)'!$A$2:$A$80)</f>
        <v>#REF!</v>
      </c>
      <c r="AC149" s="506"/>
      <c r="AD149" s="105"/>
      <c r="AE149" s="509"/>
      <c r="AF149" s="515"/>
      <c r="AG149" s="518"/>
      <c r="AH149" s="106"/>
      <c r="AI149" s="107"/>
      <c r="AJ149" s="521"/>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492"/>
      <c r="B150" s="110"/>
      <c r="C150" s="501"/>
      <c r="D150" s="111" t="str">
        <f>D148</f>
        <v>INS</v>
      </c>
      <c r="E150" s="112" t="str">
        <f>E148</f>
        <v>RFQ-047</v>
      </c>
      <c r="F150" s="113" t="str">
        <f>F148</f>
        <v>N</v>
      </c>
      <c r="G150" s="504"/>
      <c r="H150" s="113" t="str">
        <f>H148</f>
        <v>Marine Racon</v>
      </c>
      <c r="I150" s="112" t="str">
        <f>I148</f>
        <v>LC</v>
      </c>
      <c r="J150" s="113"/>
      <c r="K150" s="114"/>
      <c r="L150" s="114"/>
      <c r="M150" s="114">
        <v>1E-3</v>
      </c>
      <c r="N150" s="112"/>
      <c r="O150" s="112"/>
      <c r="P150" s="112"/>
      <c r="Q150" s="115" t="s">
        <v>4858</v>
      </c>
      <c r="R150" s="115"/>
      <c r="S150" s="126"/>
      <c r="T150" s="126"/>
      <c r="U150" s="126"/>
      <c r="V150" s="126"/>
      <c r="W150" s="126"/>
      <c r="X150" s="126"/>
      <c r="Y150" s="126"/>
      <c r="Z150" s="126"/>
      <c r="AA150" s="126"/>
      <c r="AB150" s="126"/>
      <c r="AC150" s="507"/>
      <c r="AD150" s="116"/>
      <c r="AE150" s="509"/>
      <c r="AF150" s="516"/>
      <c r="AG150" s="519"/>
      <c r="AH150" s="117"/>
      <c r="AI150" s="118"/>
      <c r="AJ150" s="522"/>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490">
        <f>A148+1</f>
        <v>48</v>
      </c>
      <c r="B151" s="79"/>
      <c r="C151" s="499" t="s">
        <v>4852</v>
      </c>
      <c r="D151" s="80" t="s">
        <v>4864</v>
      </c>
      <c r="E151" s="81" t="s">
        <v>4793</v>
      </c>
      <c r="F151" s="82" t="s">
        <v>72</v>
      </c>
      <c r="G151" s="502" t="s">
        <v>4911</v>
      </c>
      <c r="H151" s="82" t="s">
        <v>207</v>
      </c>
      <c r="I151" s="81" t="s">
        <v>8</v>
      </c>
      <c r="J151" s="82"/>
      <c r="K151" s="84">
        <f>M153</f>
        <v>1E-3</v>
      </c>
      <c r="L151" s="84"/>
      <c r="M151" s="84"/>
      <c r="N151" s="81"/>
      <c r="O151" s="81"/>
      <c r="P151" s="81"/>
      <c r="Q151" s="85" t="s">
        <v>4855</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505" t="s">
        <v>4856</v>
      </c>
      <c r="AD151" s="87">
        <v>7</v>
      </c>
      <c r="AE151" s="510">
        <v>183</v>
      </c>
      <c r="AF151" s="514" t="e">
        <f>AB152</f>
        <v>#REF!</v>
      </c>
      <c r="AG151" s="517">
        <f>WORKDAY(AH151+1,-1,$BA$10:$BA$141)</f>
        <v>46538</v>
      </c>
      <c r="AH151" s="88">
        <v>46538</v>
      </c>
      <c r="AI151" s="89"/>
      <c r="AJ151" s="520"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491"/>
      <c r="B152" s="95"/>
      <c r="C152" s="500"/>
      <c r="D152" s="96" t="str">
        <f>D151</f>
        <v>PIP</v>
      </c>
      <c r="E152" s="97" t="str">
        <f>E151</f>
        <v>RFQ-048</v>
      </c>
      <c r="F152" s="98" t="str">
        <f>F151</f>
        <v>N</v>
      </c>
      <c r="G152" s="503"/>
      <c r="H152" s="98" t="str">
        <f>H151</f>
        <v>BALL VALVE (FLANGE END)</v>
      </c>
      <c r="I152" s="97" t="str">
        <f>I151</f>
        <v>LC</v>
      </c>
      <c r="J152" s="98"/>
      <c r="K152" s="100"/>
      <c r="L152" s="100">
        <f>M153</f>
        <v>1E-3</v>
      </c>
      <c r="M152" s="100"/>
      <c r="N152" s="97"/>
      <c r="O152" s="97"/>
      <c r="P152" s="97"/>
      <c r="Q152" s="101" t="s">
        <v>4857</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WORKDAY(AE151+#REF!,0,'[35]Equipment List and MR List (3)'!$A$2:$A$80)</f>
        <v>#REF!</v>
      </c>
      <c r="AC152" s="506"/>
      <c r="AD152" s="105"/>
      <c r="AE152" s="510"/>
      <c r="AF152" s="515"/>
      <c r="AG152" s="518"/>
      <c r="AH152" s="106"/>
      <c r="AI152" s="107"/>
      <c r="AJ152" s="521"/>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492"/>
      <c r="B153" s="110"/>
      <c r="C153" s="501"/>
      <c r="D153" s="111" t="str">
        <f>D151</f>
        <v>PIP</v>
      </c>
      <c r="E153" s="112" t="str">
        <f>E151</f>
        <v>RFQ-048</v>
      </c>
      <c r="F153" s="113" t="str">
        <f>F151</f>
        <v>N</v>
      </c>
      <c r="G153" s="504"/>
      <c r="H153" s="113" t="str">
        <f>H151</f>
        <v>BALL VALVE (FLANGE END)</v>
      </c>
      <c r="I153" s="112" t="str">
        <f>I151</f>
        <v>LC</v>
      </c>
      <c r="J153" s="113"/>
      <c r="K153" s="114"/>
      <c r="L153" s="114"/>
      <c r="M153" s="114">
        <v>1E-3</v>
      </c>
      <c r="N153" s="112"/>
      <c r="O153" s="112"/>
      <c r="P153" s="112"/>
      <c r="Q153" s="115" t="s">
        <v>4858</v>
      </c>
      <c r="R153" s="115"/>
      <c r="S153" s="126"/>
      <c r="T153" s="126"/>
      <c r="U153" s="126"/>
      <c r="V153" s="126"/>
      <c r="W153" s="126"/>
      <c r="X153" s="126"/>
      <c r="Y153" s="126"/>
      <c r="Z153" s="126"/>
      <c r="AA153" s="126"/>
      <c r="AB153" s="126"/>
      <c r="AC153" s="507"/>
      <c r="AD153" s="116"/>
      <c r="AE153" s="510"/>
      <c r="AF153" s="516"/>
      <c r="AG153" s="519"/>
      <c r="AH153" s="117"/>
      <c r="AI153" s="118"/>
      <c r="AJ153" s="522"/>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490">
        <f>A151+1</f>
        <v>49</v>
      </c>
      <c r="B154" s="79"/>
      <c r="C154" s="499" t="s">
        <v>4852</v>
      </c>
      <c r="D154" s="80" t="s">
        <v>4864</v>
      </c>
      <c r="E154" s="81" t="s">
        <v>4794</v>
      </c>
      <c r="F154" s="82" t="s">
        <v>72</v>
      </c>
      <c r="G154" s="502" t="s">
        <v>4911</v>
      </c>
      <c r="H154" s="82" t="s">
        <v>214</v>
      </c>
      <c r="I154" s="81" t="s">
        <v>8</v>
      </c>
      <c r="J154" s="82"/>
      <c r="K154" s="84">
        <f>M156</f>
        <v>0.01</v>
      </c>
      <c r="L154" s="84"/>
      <c r="M154" s="84"/>
      <c r="N154" s="81"/>
      <c r="O154" s="81"/>
      <c r="P154" s="81"/>
      <c r="Q154" s="85" t="s">
        <v>4855</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505" t="s">
        <v>4856</v>
      </c>
      <c r="AD154" s="87">
        <v>7</v>
      </c>
      <c r="AE154" s="510">
        <v>183</v>
      </c>
      <c r="AF154" s="514" t="e">
        <f>AB155</f>
        <v>#REF!</v>
      </c>
      <c r="AG154" s="517">
        <f>WORKDAY(AH154+1,-1,$BA$10:$BA$141)</f>
        <v>46538</v>
      </c>
      <c r="AH154" s="88">
        <v>46538</v>
      </c>
      <c r="AI154" s="89"/>
      <c r="AJ154" s="520"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491"/>
      <c r="B155" s="95"/>
      <c r="C155" s="500"/>
      <c r="D155" s="96" t="str">
        <f>D154</f>
        <v>PIP</v>
      </c>
      <c r="E155" s="97" t="str">
        <f>E154</f>
        <v>RFQ-049</v>
      </c>
      <c r="F155" s="98" t="str">
        <f>F154</f>
        <v>N</v>
      </c>
      <c r="G155" s="503"/>
      <c r="H155" s="98" t="str">
        <f>H154</f>
        <v>GLOBE VALVE (FLANGE END)</v>
      </c>
      <c r="I155" s="97" t="str">
        <f>I154</f>
        <v>LC</v>
      </c>
      <c r="J155" s="98"/>
      <c r="K155" s="100"/>
      <c r="L155" s="100">
        <f>M156</f>
        <v>0.01</v>
      </c>
      <c r="M155" s="100"/>
      <c r="N155" s="97"/>
      <c r="O155" s="97"/>
      <c r="P155" s="97"/>
      <c r="Q155" s="101" t="s">
        <v>4857</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WORKDAY(AE154+#REF!,0,'[35]Equipment List and MR List (3)'!$A$2:$A$80)</f>
        <v>#REF!</v>
      </c>
      <c r="AC155" s="506"/>
      <c r="AD155" s="105"/>
      <c r="AE155" s="510"/>
      <c r="AF155" s="515"/>
      <c r="AG155" s="518"/>
      <c r="AH155" s="106"/>
      <c r="AI155" s="107"/>
      <c r="AJ155" s="521"/>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492"/>
      <c r="B156" s="110"/>
      <c r="C156" s="501"/>
      <c r="D156" s="111" t="str">
        <f>D154</f>
        <v>PIP</v>
      </c>
      <c r="E156" s="112" t="str">
        <f>E154</f>
        <v>RFQ-049</v>
      </c>
      <c r="F156" s="113" t="str">
        <f>F154</f>
        <v>N</v>
      </c>
      <c r="G156" s="504"/>
      <c r="H156" s="113" t="str">
        <f>H154</f>
        <v>GLOBE VALVE (FLANGE END)</v>
      </c>
      <c r="I156" s="112" t="str">
        <f>I154</f>
        <v>LC</v>
      </c>
      <c r="J156" s="113"/>
      <c r="K156" s="114"/>
      <c r="L156" s="114"/>
      <c r="M156" s="114">
        <v>0.01</v>
      </c>
      <c r="N156" s="112"/>
      <c r="O156" s="112"/>
      <c r="P156" s="112"/>
      <c r="Q156" s="115" t="s">
        <v>4858</v>
      </c>
      <c r="R156" s="115"/>
      <c r="S156" s="126"/>
      <c r="T156" s="126"/>
      <c r="U156" s="126"/>
      <c r="V156" s="126"/>
      <c r="W156" s="126"/>
      <c r="X156" s="126"/>
      <c r="Y156" s="126"/>
      <c r="Z156" s="126"/>
      <c r="AA156" s="126"/>
      <c r="AB156" s="126"/>
      <c r="AC156" s="507"/>
      <c r="AD156" s="116"/>
      <c r="AE156" s="510"/>
      <c r="AF156" s="516"/>
      <c r="AG156" s="519"/>
      <c r="AH156" s="117"/>
      <c r="AI156" s="118"/>
      <c r="AJ156" s="522"/>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490">
        <f>A154+1</f>
        <v>50</v>
      </c>
      <c r="B157" s="79"/>
      <c r="C157" s="499" t="s">
        <v>4852</v>
      </c>
      <c r="D157" s="80" t="s">
        <v>4864</v>
      </c>
      <c r="E157" s="81" t="s">
        <v>4795</v>
      </c>
      <c r="F157" s="82" t="s">
        <v>72</v>
      </c>
      <c r="G157" s="502" t="s">
        <v>4911</v>
      </c>
      <c r="H157" s="82" t="s">
        <v>216</v>
      </c>
      <c r="I157" s="81" t="s">
        <v>8</v>
      </c>
      <c r="J157" s="82"/>
      <c r="K157" s="84">
        <f>M159</f>
        <v>5.0000000000000001E-4</v>
      </c>
      <c r="L157" s="84"/>
      <c r="M157" s="84"/>
      <c r="N157" s="81"/>
      <c r="O157" s="81"/>
      <c r="P157" s="81"/>
      <c r="Q157" s="85" t="s">
        <v>4855</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505" t="s">
        <v>4856</v>
      </c>
      <c r="AD157" s="87">
        <v>7</v>
      </c>
      <c r="AE157" s="510">
        <v>183</v>
      </c>
      <c r="AF157" s="514" t="e">
        <f>AB158</f>
        <v>#REF!</v>
      </c>
      <c r="AG157" s="517">
        <f>WORKDAY(AH157+1,-1,$BA$10:$BA$141)</f>
        <v>46538</v>
      </c>
      <c r="AH157" s="88">
        <v>46538</v>
      </c>
      <c r="AI157" s="89"/>
      <c r="AJ157" s="520"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491"/>
      <c r="B158" s="95"/>
      <c r="C158" s="500"/>
      <c r="D158" s="96" t="str">
        <f>D157</f>
        <v>PIP</v>
      </c>
      <c r="E158" s="97" t="str">
        <f>E157</f>
        <v>RFQ-050</v>
      </c>
      <c r="F158" s="98" t="str">
        <f>F157</f>
        <v>N</v>
      </c>
      <c r="G158" s="503"/>
      <c r="H158" s="98" t="str">
        <f>H157</f>
        <v>GLOBE VALVE (WELDED END)</v>
      </c>
      <c r="I158" s="97" t="str">
        <f>I157</f>
        <v>LC</v>
      </c>
      <c r="J158" s="98"/>
      <c r="K158" s="100"/>
      <c r="L158" s="100">
        <f>M159</f>
        <v>5.0000000000000001E-4</v>
      </c>
      <c r="M158" s="100"/>
      <c r="N158" s="97"/>
      <c r="O158" s="97"/>
      <c r="P158" s="97"/>
      <c r="Q158" s="101" t="s">
        <v>4857</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WORKDAY(AE157+#REF!,0,'[35]Equipment List and MR List (3)'!$A$2:$A$80)</f>
        <v>#REF!</v>
      </c>
      <c r="AC158" s="506"/>
      <c r="AD158" s="105"/>
      <c r="AE158" s="510"/>
      <c r="AF158" s="515"/>
      <c r="AG158" s="518"/>
      <c r="AH158" s="106"/>
      <c r="AI158" s="107"/>
      <c r="AJ158" s="521"/>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492"/>
      <c r="B159" s="110"/>
      <c r="C159" s="501"/>
      <c r="D159" s="111" t="str">
        <f>D157</f>
        <v>PIP</v>
      </c>
      <c r="E159" s="112" t="str">
        <f>E157</f>
        <v>RFQ-050</v>
      </c>
      <c r="F159" s="113" t="str">
        <f>F157</f>
        <v>N</v>
      </c>
      <c r="G159" s="504"/>
      <c r="H159" s="113" t="str">
        <f>H157</f>
        <v>GLOBE VALVE (WELDED END)</v>
      </c>
      <c r="I159" s="112" t="str">
        <f>I157</f>
        <v>LC</v>
      </c>
      <c r="J159" s="113"/>
      <c r="K159" s="114"/>
      <c r="L159" s="114"/>
      <c r="M159" s="114">
        <v>5.0000000000000001E-4</v>
      </c>
      <c r="N159" s="112"/>
      <c r="O159" s="112"/>
      <c r="P159" s="112"/>
      <c r="Q159" s="115" t="s">
        <v>4858</v>
      </c>
      <c r="R159" s="115"/>
      <c r="S159" s="126"/>
      <c r="T159" s="126"/>
      <c r="U159" s="126"/>
      <c r="V159" s="126"/>
      <c r="W159" s="126"/>
      <c r="X159" s="126"/>
      <c r="Y159" s="126"/>
      <c r="Z159" s="126"/>
      <c r="AA159" s="126"/>
      <c r="AB159" s="126"/>
      <c r="AC159" s="507"/>
      <c r="AD159" s="116"/>
      <c r="AE159" s="510"/>
      <c r="AF159" s="516"/>
      <c r="AG159" s="519"/>
      <c r="AH159" s="117"/>
      <c r="AI159" s="118"/>
      <c r="AJ159" s="522"/>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490">
        <f>A157+1</f>
        <v>51</v>
      </c>
      <c r="B160" s="79"/>
      <c r="C160" s="499" t="s">
        <v>4852</v>
      </c>
      <c r="D160" s="80" t="s">
        <v>4864</v>
      </c>
      <c r="E160" s="81" t="s">
        <v>4796</v>
      </c>
      <c r="F160" s="82" t="s">
        <v>72</v>
      </c>
      <c r="G160" s="502" t="s">
        <v>4911</v>
      </c>
      <c r="H160" s="82" t="s">
        <v>218</v>
      </c>
      <c r="I160" s="81" t="s">
        <v>8</v>
      </c>
      <c r="J160" s="82"/>
      <c r="K160" s="84">
        <f>M162</f>
        <v>1E-3</v>
      </c>
      <c r="L160" s="84"/>
      <c r="M160" s="84"/>
      <c r="N160" s="81"/>
      <c r="O160" s="81"/>
      <c r="P160" s="81"/>
      <c r="Q160" s="85" t="s">
        <v>4855</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505" t="s">
        <v>4856</v>
      </c>
      <c r="AD160" s="87">
        <v>7</v>
      </c>
      <c r="AE160" s="510">
        <v>183</v>
      </c>
      <c r="AF160" s="514" t="e">
        <f>AB161</f>
        <v>#REF!</v>
      </c>
      <c r="AG160" s="517">
        <f>WORKDAY(AH160+1,-1,$BA$10:$BA$141)</f>
        <v>46538</v>
      </c>
      <c r="AH160" s="88">
        <v>46538</v>
      </c>
      <c r="AI160" s="89"/>
      <c r="AJ160" s="520"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491"/>
      <c r="B161" s="95"/>
      <c r="C161" s="500"/>
      <c r="D161" s="96" t="str">
        <f>D160</f>
        <v>PIP</v>
      </c>
      <c r="E161" s="97" t="str">
        <f>E160</f>
        <v>RFQ-051</v>
      </c>
      <c r="F161" s="98" t="str">
        <f>F160</f>
        <v>N</v>
      </c>
      <c r="G161" s="503"/>
      <c r="H161" s="98" t="str">
        <f>H160</f>
        <v>CHECK VALVE (FLANGE END)</v>
      </c>
      <c r="I161" s="97" t="str">
        <f>I160</f>
        <v>LC</v>
      </c>
      <c r="J161" s="98"/>
      <c r="K161" s="100"/>
      <c r="L161" s="100">
        <f>M162</f>
        <v>1E-3</v>
      </c>
      <c r="M161" s="100"/>
      <c r="N161" s="97"/>
      <c r="O161" s="97"/>
      <c r="P161" s="97"/>
      <c r="Q161" s="101" t="s">
        <v>4857</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WORKDAY(AE160+#REF!,0,'[35]Equipment List and MR List (3)'!$A$2:$A$80)</f>
        <v>#REF!</v>
      </c>
      <c r="AC161" s="506"/>
      <c r="AD161" s="105"/>
      <c r="AE161" s="510"/>
      <c r="AF161" s="515"/>
      <c r="AG161" s="518"/>
      <c r="AH161" s="106"/>
      <c r="AI161" s="107"/>
      <c r="AJ161" s="521"/>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492"/>
      <c r="B162" s="110"/>
      <c r="C162" s="501"/>
      <c r="D162" s="111" t="str">
        <f>D160</f>
        <v>PIP</v>
      </c>
      <c r="E162" s="112" t="str">
        <f>E160</f>
        <v>RFQ-051</v>
      </c>
      <c r="F162" s="113" t="str">
        <f>F160</f>
        <v>N</v>
      </c>
      <c r="G162" s="504"/>
      <c r="H162" s="113" t="str">
        <f>H160</f>
        <v>CHECK VALVE (FLANGE END)</v>
      </c>
      <c r="I162" s="112" t="str">
        <f>I160</f>
        <v>LC</v>
      </c>
      <c r="J162" s="113"/>
      <c r="K162" s="114"/>
      <c r="L162" s="114"/>
      <c r="M162" s="114">
        <v>1E-3</v>
      </c>
      <c r="N162" s="112"/>
      <c r="O162" s="112"/>
      <c r="P162" s="112"/>
      <c r="Q162" s="115" t="s">
        <v>4858</v>
      </c>
      <c r="R162" s="115"/>
      <c r="S162" s="126"/>
      <c r="T162" s="126"/>
      <c r="U162" s="126"/>
      <c r="V162" s="126"/>
      <c r="W162" s="126"/>
      <c r="X162" s="126"/>
      <c r="Y162" s="126"/>
      <c r="Z162" s="126"/>
      <c r="AA162" s="126"/>
      <c r="AB162" s="126"/>
      <c r="AC162" s="507"/>
      <c r="AD162" s="116"/>
      <c r="AE162" s="510"/>
      <c r="AF162" s="516"/>
      <c r="AG162" s="519"/>
      <c r="AH162" s="117"/>
      <c r="AI162" s="118"/>
      <c r="AJ162" s="522"/>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490">
        <f>A160+1</f>
        <v>52</v>
      </c>
      <c r="B163" s="79"/>
      <c r="C163" s="499" t="s">
        <v>4852</v>
      </c>
      <c r="D163" s="80" t="s">
        <v>4884</v>
      </c>
      <c r="E163" s="81" t="s">
        <v>4797</v>
      </c>
      <c r="F163" s="82" t="s">
        <v>72</v>
      </c>
      <c r="G163" s="502" t="s">
        <v>4911</v>
      </c>
      <c r="H163" s="82" t="s">
        <v>220</v>
      </c>
      <c r="I163" s="81" t="s">
        <v>8</v>
      </c>
      <c r="J163" s="82"/>
      <c r="K163" s="84">
        <f>M165</f>
        <v>1E-3</v>
      </c>
      <c r="L163" s="84"/>
      <c r="M163" s="84"/>
      <c r="N163" s="81"/>
      <c r="O163" s="81"/>
      <c r="P163" s="81"/>
      <c r="Q163" s="85" t="s">
        <v>4855</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505" t="s">
        <v>4856</v>
      </c>
      <c r="AD163" s="87">
        <v>7</v>
      </c>
      <c r="AE163" s="510">
        <v>183</v>
      </c>
      <c r="AF163" s="514" t="e">
        <f>AB164</f>
        <v>#REF!</v>
      </c>
      <c r="AG163" s="517">
        <f>WORKDAY(AH163+1,-1,$BA$10:$BA$141)</f>
        <v>46538</v>
      </c>
      <c r="AH163" s="88">
        <v>46538</v>
      </c>
      <c r="AI163" s="89"/>
      <c r="AJ163" s="520"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491"/>
      <c r="B164" s="95"/>
      <c r="C164" s="500"/>
      <c r="D164" s="96" t="s">
        <v>4864</v>
      </c>
      <c r="E164" s="97" t="str">
        <f>E163</f>
        <v>RFQ-052</v>
      </c>
      <c r="F164" s="98" t="str">
        <f>F163</f>
        <v>N</v>
      </c>
      <c r="G164" s="503"/>
      <c r="H164" s="98" t="str">
        <f>H163</f>
        <v>CHECK VALVE (WELDED END)</v>
      </c>
      <c r="I164" s="97" t="str">
        <f>I163</f>
        <v>LC</v>
      </c>
      <c r="J164" s="98"/>
      <c r="K164" s="100"/>
      <c r="L164" s="100">
        <f>M165</f>
        <v>1E-3</v>
      </c>
      <c r="M164" s="100"/>
      <c r="N164" s="97"/>
      <c r="O164" s="97"/>
      <c r="P164" s="97"/>
      <c r="Q164" s="101" t="s">
        <v>4857</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WORKDAY(AE163+#REF!,0,'[35]Equipment List and MR List (3)'!$A$2:$A$80)</f>
        <v>#REF!</v>
      </c>
      <c r="AC164" s="506"/>
      <c r="AD164" s="105"/>
      <c r="AE164" s="510"/>
      <c r="AF164" s="515"/>
      <c r="AG164" s="518"/>
      <c r="AH164" s="106"/>
      <c r="AI164" s="107"/>
      <c r="AJ164" s="521"/>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492"/>
      <c r="B165" s="110"/>
      <c r="C165" s="501"/>
      <c r="D165" s="111" t="str">
        <f>D163</f>
        <v>INS</v>
      </c>
      <c r="E165" s="112" t="str">
        <f>E163</f>
        <v>RFQ-052</v>
      </c>
      <c r="F165" s="113" t="str">
        <f>F163</f>
        <v>N</v>
      </c>
      <c r="G165" s="504"/>
      <c r="H165" s="113" t="str">
        <f>H163</f>
        <v>CHECK VALVE (WELDED END)</v>
      </c>
      <c r="I165" s="112" t="str">
        <f>I163</f>
        <v>LC</v>
      </c>
      <c r="J165" s="113"/>
      <c r="K165" s="114"/>
      <c r="L165" s="114"/>
      <c r="M165" s="114">
        <v>1E-3</v>
      </c>
      <c r="N165" s="112"/>
      <c r="O165" s="112"/>
      <c r="P165" s="112"/>
      <c r="Q165" s="115" t="s">
        <v>4858</v>
      </c>
      <c r="R165" s="115"/>
      <c r="S165" s="126"/>
      <c r="T165" s="126"/>
      <c r="U165" s="126"/>
      <c r="V165" s="126"/>
      <c r="W165" s="126"/>
      <c r="X165" s="126"/>
      <c r="Y165" s="126"/>
      <c r="Z165" s="126"/>
      <c r="AA165" s="126"/>
      <c r="AB165" s="126"/>
      <c r="AC165" s="507"/>
      <c r="AD165" s="116"/>
      <c r="AE165" s="510"/>
      <c r="AF165" s="516"/>
      <c r="AG165" s="519"/>
      <c r="AH165" s="117"/>
      <c r="AI165" s="118"/>
      <c r="AJ165" s="522"/>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490">
        <f>A163+1</f>
        <v>53</v>
      </c>
      <c r="B166" s="79"/>
      <c r="C166" s="499" t="s">
        <v>4852</v>
      </c>
      <c r="D166" s="80" t="s">
        <v>4864</v>
      </c>
      <c r="E166" s="81" t="s">
        <v>4798</v>
      </c>
      <c r="F166" s="82" t="s">
        <v>72</v>
      </c>
      <c r="G166" s="502" t="s">
        <v>4911</v>
      </c>
      <c r="H166" s="82" t="s">
        <v>222</v>
      </c>
      <c r="I166" s="81" t="s">
        <v>7</v>
      </c>
      <c r="J166" s="82"/>
      <c r="K166" s="84">
        <f>M168</f>
        <v>1E-3</v>
      </c>
      <c r="L166" s="84"/>
      <c r="M166" s="84"/>
      <c r="N166" s="81"/>
      <c r="O166" s="81"/>
      <c r="P166" s="81"/>
      <c r="Q166" s="85" t="s">
        <v>4855</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505" t="s">
        <v>4856</v>
      </c>
      <c r="AD166" s="87">
        <v>7</v>
      </c>
      <c r="AE166" s="510">
        <v>183</v>
      </c>
      <c r="AF166" s="514" t="e">
        <f>AB167</f>
        <v>#REF!</v>
      </c>
      <c r="AG166" s="517">
        <f>WORKDAY(AH166+1,-1,$BA$10:$BA$141)</f>
        <v>46538</v>
      </c>
      <c r="AH166" s="88">
        <v>46538</v>
      </c>
      <c r="AI166" s="89"/>
      <c r="AJ166" s="520"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491"/>
      <c r="B167" s="95"/>
      <c r="C167" s="500"/>
      <c r="D167" s="96" t="str">
        <f>D166</f>
        <v>PIP</v>
      </c>
      <c r="E167" s="97" t="str">
        <f>E166</f>
        <v>RFQ-053</v>
      </c>
      <c r="F167" s="98" t="str">
        <f>F166</f>
        <v>N</v>
      </c>
      <c r="G167" s="503"/>
      <c r="H167" s="98" t="str">
        <f>H166</f>
        <v>COMPACT CHECK VALVE (WELDED END)</v>
      </c>
      <c r="I167" s="97" t="str">
        <f>I166</f>
        <v>LB</v>
      </c>
      <c r="J167" s="98"/>
      <c r="K167" s="100"/>
      <c r="L167" s="100">
        <f>M168</f>
        <v>1E-3</v>
      </c>
      <c r="M167" s="100"/>
      <c r="N167" s="97"/>
      <c r="O167" s="97"/>
      <c r="P167" s="97"/>
      <c r="Q167" s="101" t="s">
        <v>4857</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WORKDAY(AE166+#REF!,0,'[35]Equipment List and MR List (3)'!$A$2:$A$80)</f>
        <v>#REF!</v>
      </c>
      <c r="AC167" s="506"/>
      <c r="AD167" s="105"/>
      <c r="AE167" s="510"/>
      <c r="AF167" s="515"/>
      <c r="AG167" s="518"/>
      <c r="AH167" s="106"/>
      <c r="AI167" s="107"/>
      <c r="AJ167" s="521"/>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492"/>
      <c r="B168" s="110"/>
      <c r="C168" s="501"/>
      <c r="D168" s="111" t="str">
        <f>D166</f>
        <v>PIP</v>
      </c>
      <c r="E168" s="112" t="str">
        <f>E166</f>
        <v>RFQ-053</v>
      </c>
      <c r="F168" s="113" t="str">
        <f>F166</f>
        <v>N</v>
      </c>
      <c r="G168" s="504"/>
      <c r="H168" s="113" t="str">
        <f>H166</f>
        <v>COMPACT CHECK VALVE (WELDED END)</v>
      </c>
      <c r="I168" s="112" t="str">
        <f>I166</f>
        <v>LB</v>
      </c>
      <c r="J168" s="113"/>
      <c r="K168" s="114"/>
      <c r="L168" s="114"/>
      <c r="M168" s="114">
        <v>1E-3</v>
      </c>
      <c r="N168" s="112"/>
      <c r="O168" s="112"/>
      <c r="P168" s="112"/>
      <c r="Q168" s="115" t="s">
        <v>4858</v>
      </c>
      <c r="R168" s="115"/>
      <c r="S168" s="126"/>
      <c r="T168" s="126"/>
      <c r="U168" s="126"/>
      <c r="V168" s="126"/>
      <c r="W168" s="126"/>
      <c r="X168" s="126"/>
      <c r="Y168" s="126"/>
      <c r="Z168" s="126"/>
      <c r="AA168" s="126"/>
      <c r="AB168" s="126"/>
      <c r="AC168" s="507"/>
      <c r="AD168" s="116"/>
      <c r="AE168" s="510"/>
      <c r="AF168" s="516"/>
      <c r="AG168" s="519"/>
      <c r="AH168" s="117"/>
      <c r="AI168" s="118"/>
      <c r="AJ168" s="522"/>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490">
        <f>A166+1</f>
        <v>54</v>
      </c>
      <c r="B169" s="496" t="s">
        <v>4912</v>
      </c>
      <c r="C169" s="499" t="s">
        <v>4852</v>
      </c>
      <c r="D169" s="80" t="s">
        <v>4913</v>
      </c>
      <c r="E169" s="81" t="s">
        <v>4914</v>
      </c>
      <c r="F169" s="82" t="str">
        <f>IF(_xlfn.XLOOKUP(E169,'[35]Before Award'!D:D,'[35]Before Award'!AV:AV,"N/A")="N/A","N","Y")</f>
        <v>N</v>
      </c>
      <c r="G169" s="502"/>
      <c r="H169" s="123" t="s">
        <v>4799</v>
      </c>
      <c r="I169" s="81" t="s">
        <v>6</v>
      </c>
      <c r="J169" s="82"/>
      <c r="K169" s="84">
        <f>M171</f>
        <v>1E-3</v>
      </c>
      <c r="L169" s="84"/>
      <c r="M169" s="84"/>
      <c r="N169" s="81"/>
      <c r="O169" s="81"/>
      <c r="P169" s="81"/>
      <c r="Q169" s="85" t="s">
        <v>4855</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505" t="s">
        <v>4856</v>
      </c>
      <c r="AD169" s="87">
        <v>7</v>
      </c>
      <c r="AE169" s="508">
        <v>84</v>
      </c>
      <c r="AF169" s="514" t="e">
        <f>AB170</f>
        <v>#REF!</v>
      </c>
      <c r="AG169" s="517">
        <f>WORKDAY(AH169+1,-1,$BA$10:$BA$141)</f>
        <v>46244</v>
      </c>
      <c r="AH169" s="88">
        <v>46244</v>
      </c>
      <c r="AI169" s="89"/>
      <c r="AJ169" s="520"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v>
      </c>
      <c r="BB169" s="94"/>
    </row>
    <row r="170" spans="1:54" s="20" customFormat="1" ht="18" customHeight="1">
      <c r="A170" s="491"/>
      <c r="B170" s="497"/>
      <c r="C170" s="500"/>
      <c r="D170" s="96" t="str">
        <f>D169</f>
        <v>STR</v>
      </c>
      <c r="E170" s="97" t="str">
        <f>E169</f>
        <v>RFQ-054</v>
      </c>
      <c r="F170" s="98" t="str">
        <f>F169</f>
        <v>N</v>
      </c>
      <c r="G170" s="503"/>
      <c r="H170" s="124" t="str">
        <f>H169</f>
        <v>Primary Steel - Plate</v>
      </c>
      <c r="I170" s="97" t="str">
        <f>I169</f>
        <v>LA</v>
      </c>
      <c r="J170" s="98"/>
      <c r="K170" s="100"/>
      <c r="L170" s="100">
        <f>M171</f>
        <v>1E-3</v>
      </c>
      <c r="M170" s="100"/>
      <c r="N170" s="97"/>
      <c r="O170" s="97"/>
      <c r="P170" s="97"/>
      <c r="Q170" s="101" t="s">
        <v>4857</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WORKDAY(AE169+#REF!,0,'[35]Equipment List and MR List (3)'!$A$2:$A$80)</f>
        <v>#REF!</v>
      </c>
      <c r="AC170" s="506"/>
      <c r="AD170" s="105"/>
      <c r="AE170" s="508"/>
      <c r="AF170" s="515"/>
      <c r="AG170" s="518"/>
      <c r="AH170" s="106"/>
      <c r="AI170" s="107"/>
      <c r="AJ170" s="521"/>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492"/>
      <c r="B171" s="498"/>
      <c r="C171" s="501"/>
      <c r="D171" s="111" t="str">
        <f>D169</f>
        <v>STR</v>
      </c>
      <c r="E171" s="112" t="str">
        <f>E169</f>
        <v>RFQ-054</v>
      </c>
      <c r="F171" s="113" t="str">
        <f>F169</f>
        <v>N</v>
      </c>
      <c r="G171" s="504"/>
      <c r="H171" s="124" t="str">
        <f>H169</f>
        <v>Primary Steel - Plate</v>
      </c>
      <c r="I171" s="112" t="str">
        <f>I169</f>
        <v>LA</v>
      </c>
      <c r="J171" s="113"/>
      <c r="K171" s="114"/>
      <c r="L171" s="114"/>
      <c r="M171" s="114">
        <v>1E-3</v>
      </c>
      <c r="N171" s="112"/>
      <c r="O171" s="112"/>
      <c r="P171" s="112"/>
      <c r="Q171" s="115" t="s">
        <v>4858</v>
      </c>
      <c r="R171" s="115"/>
      <c r="S171" s="126"/>
      <c r="T171" s="126"/>
      <c r="U171" s="126"/>
      <c r="V171" s="126"/>
      <c r="W171" s="126"/>
      <c r="X171" s="126"/>
      <c r="Y171" s="126"/>
      <c r="Z171" s="126"/>
      <c r="AA171" s="126"/>
      <c r="AB171" s="126"/>
      <c r="AC171" s="507"/>
      <c r="AD171" s="116"/>
      <c r="AE171" s="508"/>
      <c r="AF171" s="516"/>
      <c r="AG171" s="519"/>
      <c r="AH171" s="117"/>
      <c r="AI171" s="118"/>
      <c r="AJ171" s="522"/>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490">
        <f>A169+1</f>
        <v>55</v>
      </c>
      <c r="B172" s="496" t="s">
        <v>4912</v>
      </c>
      <c r="C172" s="499" t="s">
        <v>4852</v>
      </c>
      <c r="D172" s="80" t="s">
        <v>4913</v>
      </c>
      <c r="E172" s="81" t="s">
        <v>4914</v>
      </c>
      <c r="F172" s="82" t="str">
        <f>IF(_xlfn.XLOOKUP(E172,'[35]Before Award'!D:D,'[35]Before Award'!AV:AV,"N/A")="N/A","N","Y")</f>
        <v>N</v>
      </c>
      <c r="G172" s="502"/>
      <c r="H172" s="123" t="s">
        <v>4802</v>
      </c>
      <c r="I172" s="81" t="s">
        <v>6</v>
      </c>
      <c r="J172" s="82"/>
      <c r="K172" s="84">
        <f>M174</f>
        <v>1E-3</v>
      </c>
      <c r="L172" s="84"/>
      <c r="M172" s="84"/>
      <c r="N172" s="81"/>
      <c r="O172" s="81"/>
      <c r="P172" s="81"/>
      <c r="Q172" s="85" t="s">
        <v>4855</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505" t="s">
        <v>4856</v>
      </c>
      <c r="AD172" s="87">
        <v>7</v>
      </c>
      <c r="AE172" s="508">
        <f>19*7</f>
        <v>133</v>
      </c>
      <c r="AF172" s="514" t="e">
        <f>AB173</f>
        <v>#REF!</v>
      </c>
      <c r="AG172" s="517">
        <f>WORKDAY(AH172+1,-1,$BA$10:$BA$141)</f>
        <v>46244</v>
      </c>
      <c r="AH172" s="88">
        <v>46244</v>
      </c>
      <c r="AI172" s="89"/>
      <c r="AJ172" s="520"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v>
      </c>
      <c r="BB172" s="94"/>
    </row>
    <row r="173" spans="1:54" s="20" customFormat="1" ht="18" customHeight="1">
      <c r="A173" s="491"/>
      <c r="B173" s="497"/>
      <c r="C173" s="500"/>
      <c r="D173" s="96" t="str">
        <f>D172</f>
        <v>STR</v>
      </c>
      <c r="E173" s="97" t="str">
        <f>E172</f>
        <v>RFQ-054</v>
      </c>
      <c r="F173" s="98" t="str">
        <f>F172</f>
        <v>N</v>
      </c>
      <c r="G173" s="503"/>
      <c r="H173" s="124" t="str">
        <f>H172</f>
        <v>Primary Steel - Beam</v>
      </c>
      <c r="I173" s="97" t="str">
        <f>I172</f>
        <v>LA</v>
      </c>
      <c r="J173" s="98"/>
      <c r="K173" s="100"/>
      <c r="L173" s="100">
        <f>M174</f>
        <v>1E-3</v>
      </c>
      <c r="M173" s="100"/>
      <c r="N173" s="97"/>
      <c r="O173" s="97"/>
      <c r="P173" s="97"/>
      <c r="Q173" s="101" t="s">
        <v>4857</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WORKDAY(AE172+#REF!,0,'[35]Equipment List and MR List (3)'!$A$2:$A$80)</f>
        <v>#REF!</v>
      </c>
      <c r="AC173" s="506"/>
      <c r="AD173" s="105"/>
      <c r="AE173" s="508"/>
      <c r="AF173" s="515"/>
      <c r="AG173" s="518"/>
      <c r="AH173" s="106"/>
      <c r="AI173" s="107"/>
      <c r="AJ173" s="521"/>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492"/>
      <c r="B174" s="498"/>
      <c r="C174" s="501"/>
      <c r="D174" s="111" t="str">
        <f>D172</f>
        <v>STR</v>
      </c>
      <c r="E174" s="112" t="str">
        <f>E172</f>
        <v>RFQ-054</v>
      </c>
      <c r="F174" s="113" t="str">
        <f>F172</f>
        <v>N</v>
      </c>
      <c r="G174" s="504"/>
      <c r="H174" s="124" t="str">
        <f>H172</f>
        <v>Primary Steel - Beam</v>
      </c>
      <c r="I174" s="112" t="str">
        <f>I172</f>
        <v>LA</v>
      </c>
      <c r="J174" s="113"/>
      <c r="K174" s="114"/>
      <c r="L174" s="114"/>
      <c r="M174" s="114">
        <v>1E-3</v>
      </c>
      <c r="N174" s="112"/>
      <c r="O174" s="112"/>
      <c r="P174" s="112"/>
      <c r="Q174" s="115" t="s">
        <v>4858</v>
      </c>
      <c r="R174" s="115"/>
      <c r="S174" s="126"/>
      <c r="T174" s="126"/>
      <c r="U174" s="126"/>
      <c r="V174" s="126"/>
      <c r="W174" s="126"/>
      <c r="X174" s="126"/>
      <c r="Y174" s="126"/>
      <c r="Z174" s="126"/>
      <c r="AA174" s="126"/>
      <c r="AB174" s="126"/>
      <c r="AC174" s="507"/>
      <c r="AD174" s="116"/>
      <c r="AE174" s="508"/>
      <c r="AF174" s="516"/>
      <c r="AG174" s="519"/>
      <c r="AH174" s="117"/>
      <c r="AI174" s="118"/>
      <c r="AJ174" s="522"/>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490">
        <f>A172+1</f>
        <v>56</v>
      </c>
      <c r="B175" s="496" t="s">
        <v>4912</v>
      </c>
      <c r="C175" s="499" t="s">
        <v>4852</v>
      </c>
      <c r="D175" s="80" t="s">
        <v>4913</v>
      </c>
      <c r="E175" s="81" t="s">
        <v>4914</v>
      </c>
      <c r="F175" s="82" t="str">
        <f>IF(_xlfn.XLOOKUP(E175,'[35]Before Award'!D:D,'[35]Before Award'!AV:AV,"N/A")="N/A","N","Y")</f>
        <v>N</v>
      </c>
      <c r="G175" s="502"/>
      <c r="H175" s="123" t="s">
        <v>4915</v>
      </c>
      <c r="I175" s="81" t="s">
        <v>6</v>
      </c>
      <c r="J175" s="82"/>
      <c r="K175" s="84">
        <f>M177</f>
        <v>1E-3</v>
      </c>
      <c r="L175" s="84"/>
      <c r="M175" s="84"/>
      <c r="N175" s="81"/>
      <c r="O175" s="81"/>
      <c r="P175" s="81"/>
      <c r="Q175" s="85" t="s">
        <v>4855</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505" t="s">
        <v>4856</v>
      </c>
      <c r="AD175" s="87">
        <v>7</v>
      </c>
      <c r="AE175" s="508">
        <f>24*8</f>
        <v>192</v>
      </c>
      <c r="AF175" s="514" t="e">
        <f>AB176</f>
        <v>#REF!</v>
      </c>
      <c r="AG175" s="517">
        <f>WORKDAY(AH175+1,-1,$BA$10:$BA$141)</f>
        <v>46244</v>
      </c>
      <c r="AH175" s="88">
        <v>46244</v>
      </c>
      <c r="AI175" s="89"/>
      <c r="AJ175" s="520"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v>
      </c>
      <c r="BB175" s="94"/>
    </row>
    <row r="176" spans="1:54" s="20" customFormat="1" ht="18" customHeight="1">
      <c r="A176" s="491"/>
      <c r="B176" s="497"/>
      <c r="C176" s="500"/>
      <c r="D176" s="96" t="str">
        <f>D175</f>
        <v>STR</v>
      </c>
      <c r="E176" s="97" t="str">
        <f>E175</f>
        <v>RFQ-054</v>
      </c>
      <c r="F176" s="98" t="str">
        <f>F175</f>
        <v>N</v>
      </c>
      <c r="G176" s="503"/>
      <c r="H176" s="124" t="str">
        <f>H175</f>
        <v>Primary Steel - Seamless</v>
      </c>
      <c r="I176" s="97" t="str">
        <f>I175</f>
        <v>LA</v>
      </c>
      <c r="J176" s="98"/>
      <c r="K176" s="100"/>
      <c r="L176" s="100">
        <f>M177</f>
        <v>1E-3</v>
      </c>
      <c r="M176" s="100"/>
      <c r="N176" s="97"/>
      <c r="O176" s="97"/>
      <c r="P176" s="97"/>
      <c r="Q176" s="101" t="s">
        <v>4857</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WORKDAY(AE175+#REF!,0,'[35]Equipment List and MR List (3)'!$A$2:$A$80)</f>
        <v>#REF!</v>
      </c>
      <c r="AC176" s="506"/>
      <c r="AD176" s="105"/>
      <c r="AE176" s="508"/>
      <c r="AF176" s="515"/>
      <c r="AG176" s="518"/>
      <c r="AH176" s="106"/>
      <c r="AI176" s="107"/>
      <c r="AJ176" s="521"/>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492"/>
      <c r="B177" s="498"/>
      <c r="C177" s="501"/>
      <c r="D177" s="111" t="str">
        <f>D175</f>
        <v>STR</v>
      </c>
      <c r="E177" s="112" t="str">
        <f>E175</f>
        <v>RFQ-054</v>
      </c>
      <c r="F177" s="113" t="str">
        <f>F175</f>
        <v>N</v>
      </c>
      <c r="G177" s="504"/>
      <c r="H177" s="124" t="str">
        <f>H175</f>
        <v>Primary Steel - Seamless</v>
      </c>
      <c r="I177" s="112" t="str">
        <f>I175</f>
        <v>LA</v>
      </c>
      <c r="J177" s="113"/>
      <c r="K177" s="114"/>
      <c r="L177" s="114"/>
      <c r="M177" s="114">
        <v>1E-3</v>
      </c>
      <c r="N177" s="112"/>
      <c r="O177" s="112"/>
      <c r="P177" s="112"/>
      <c r="Q177" s="115" t="s">
        <v>4858</v>
      </c>
      <c r="R177" s="115"/>
      <c r="S177" s="126"/>
      <c r="T177" s="126"/>
      <c r="U177" s="126"/>
      <c r="V177" s="126"/>
      <c r="W177" s="126"/>
      <c r="X177" s="126"/>
      <c r="Y177" s="126"/>
      <c r="Z177" s="126"/>
      <c r="AA177" s="126"/>
      <c r="AB177" s="126"/>
      <c r="AC177" s="507"/>
      <c r="AD177" s="116"/>
      <c r="AE177" s="508"/>
      <c r="AF177" s="516"/>
      <c r="AG177" s="519"/>
      <c r="AH177" s="117"/>
      <c r="AI177" s="118"/>
      <c r="AJ177" s="522"/>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490">
        <f>A175+1</f>
        <v>57</v>
      </c>
      <c r="B178" s="496" t="s">
        <v>4912</v>
      </c>
      <c r="C178" s="499" t="s">
        <v>4852</v>
      </c>
      <c r="D178" s="80" t="s">
        <v>4879</v>
      </c>
      <c r="E178" s="127" t="s">
        <v>4914</v>
      </c>
      <c r="F178" s="128" t="s">
        <v>72</v>
      </c>
      <c r="G178" s="502"/>
      <c r="H178" s="123" t="s">
        <v>4916</v>
      </c>
      <c r="I178" s="81" t="s">
        <v>6</v>
      </c>
      <c r="J178" s="128"/>
      <c r="K178" s="129">
        <f>M180</f>
        <v>1E-3</v>
      </c>
      <c r="L178" s="129"/>
      <c r="M178" s="129"/>
      <c r="N178" s="127"/>
      <c r="O178" s="127"/>
      <c r="P178" s="127"/>
      <c r="Q178" s="130" t="s">
        <v>4855</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505" t="s">
        <v>4856</v>
      </c>
      <c r="AD178" s="87">
        <v>7</v>
      </c>
      <c r="AE178" s="508">
        <v>141</v>
      </c>
      <c r="AF178" s="514" t="e">
        <f>AB179</f>
        <v>#REF!</v>
      </c>
      <c r="AG178" s="517"/>
      <c r="AH178" s="88"/>
      <c r="AI178" s="89"/>
      <c r="AJ178" s="520"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491"/>
      <c r="B179" s="497"/>
      <c r="C179" s="500"/>
      <c r="D179" s="96" t="str">
        <f>D178</f>
        <v>ELE</v>
      </c>
      <c r="E179" s="136" t="str">
        <f>E178</f>
        <v>RFQ-054</v>
      </c>
      <c r="F179" s="137" t="str">
        <f>F178</f>
        <v>N</v>
      </c>
      <c r="G179" s="503"/>
      <c r="H179" s="124" t="str">
        <f>H178</f>
        <v>Primary Steel - Welding</v>
      </c>
      <c r="I179" s="97" t="str">
        <f>I178</f>
        <v>LA</v>
      </c>
      <c r="J179" s="137"/>
      <c r="K179" s="138"/>
      <c r="L179" s="138">
        <f>M180</f>
        <v>1E-3</v>
      </c>
      <c r="M179" s="138"/>
      <c r="N179" s="136"/>
      <c r="O179" s="136"/>
      <c r="P179" s="136"/>
      <c r="Q179" s="139" t="s">
        <v>4857</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506"/>
      <c r="AD179" s="105"/>
      <c r="AE179" s="508"/>
      <c r="AF179" s="515"/>
      <c r="AG179" s="518"/>
      <c r="AH179" s="106"/>
      <c r="AI179" s="107"/>
      <c r="AJ179" s="521"/>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492"/>
      <c r="B180" s="498"/>
      <c r="C180" s="501"/>
      <c r="D180" s="111" t="str">
        <f>D178</f>
        <v>ELE</v>
      </c>
      <c r="E180" s="145" t="str">
        <f>E178</f>
        <v>RFQ-054</v>
      </c>
      <c r="F180" s="146" t="str">
        <f>F178</f>
        <v>N</v>
      </c>
      <c r="G180" s="504"/>
      <c r="H180" s="124" t="str">
        <f>H178</f>
        <v>Primary Steel - Welding</v>
      </c>
      <c r="I180" s="112" t="str">
        <f>I178</f>
        <v>LA</v>
      </c>
      <c r="J180" s="146"/>
      <c r="K180" s="147"/>
      <c r="L180" s="147"/>
      <c r="M180" s="147">
        <v>1E-3</v>
      </c>
      <c r="N180" s="145"/>
      <c r="O180" s="145"/>
      <c r="P180" s="145"/>
      <c r="Q180" s="148" t="s">
        <v>4858</v>
      </c>
      <c r="R180" s="148"/>
      <c r="S180" s="149"/>
      <c r="T180" s="149"/>
      <c r="U180" s="149"/>
      <c r="V180" s="149"/>
      <c r="W180" s="149"/>
      <c r="X180" s="149"/>
      <c r="Y180" s="149"/>
      <c r="Z180" s="149"/>
      <c r="AA180" s="149"/>
      <c r="AB180" s="149"/>
      <c r="AC180" s="507"/>
      <c r="AD180" s="116"/>
      <c r="AE180" s="508"/>
      <c r="AF180" s="516"/>
      <c r="AG180" s="519"/>
      <c r="AH180" s="117"/>
      <c r="AI180" s="118"/>
      <c r="AJ180" s="522"/>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490">
        <f>A178+1</f>
        <v>58</v>
      </c>
      <c r="B181" s="154" t="s">
        <v>4917</v>
      </c>
      <c r="C181" s="499" t="s">
        <v>4852</v>
      </c>
      <c r="D181" s="80" t="s">
        <v>4879</v>
      </c>
      <c r="E181" s="127" t="s">
        <v>4914</v>
      </c>
      <c r="F181" s="128" t="s">
        <v>72</v>
      </c>
      <c r="G181" s="502"/>
      <c r="H181" s="82" t="s">
        <v>4918</v>
      </c>
      <c r="I181" s="127" t="s">
        <v>9</v>
      </c>
      <c r="J181" s="128"/>
      <c r="K181" s="129">
        <f>M183</f>
        <v>1E-3</v>
      </c>
      <c r="L181" s="129"/>
      <c r="M181" s="129"/>
      <c r="N181" s="127"/>
      <c r="O181" s="127"/>
      <c r="P181" s="127"/>
      <c r="Q181" s="130" t="s">
        <v>4855</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505" t="s">
        <v>4856</v>
      </c>
      <c r="AD181" s="87">
        <v>7</v>
      </c>
      <c r="AE181" s="511">
        <v>175</v>
      </c>
      <c r="AF181" s="514" t="e">
        <f>AB182</f>
        <v>#REF!</v>
      </c>
      <c r="AG181" s="517"/>
      <c r="AH181" s="88"/>
      <c r="AI181" s="89"/>
      <c r="AJ181" s="520"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491"/>
      <c r="B182" s="156"/>
      <c r="C182" s="500"/>
      <c r="D182" s="96" t="str">
        <f>D181</f>
        <v>ELE</v>
      </c>
      <c r="E182" s="136" t="str">
        <f>E181</f>
        <v>RFQ-054</v>
      </c>
      <c r="F182" s="137" t="str">
        <f>F181</f>
        <v>N</v>
      </c>
      <c r="G182" s="503"/>
      <c r="H182" s="98" t="str">
        <f>H181</f>
        <v>JUNCTION BOX AND RECEPTACLES</v>
      </c>
      <c r="I182" s="136" t="str">
        <f>I181</f>
        <v>LD</v>
      </c>
      <c r="J182" s="137"/>
      <c r="K182" s="138"/>
      <c r="L182" s="138">
        <f>M183</f>
        <v>1E-3</v>
      </c>
      <c r="M182" s="138"/>
      <c r="N182" s="136"/>
      <c r="O182" s="136"/>
      <c r="P182" s="136"/>
      <c r="Q182" s="139" t="s">
        <v>4857</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506"/>
      <c r="AD182" s="105"/>
      <c r="AE182" s="512"/>
      <c r="AF182" s="515"/>
      <c r="AG182" s="518"/>
      <c r="AH182" s="106"/>
      <c r="AI182" s="107"/>
      <c r="AJ182" s="521"/>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492"/>
      <c r="B183" s="157"/>
      <c r="C183" s="501"/>
      <c r="D183" s="111" t="str">
        <f>D181</f>
        <v>ELE</v>
      </c>
      <c r="E183" s="145" t="str">
        <f>E181</f>
        <v>RFQ-054</v>
      </c>
      <c r="F183" s="146" t="str">
        <f>F181</f>
        <v>N</v>
      </c>
      <c r="G183" s="504"/>
      <c r="H183" s="113" t="str">
        <f>H181</f>
        <v>JUNCTION BOX AND RECEPTACLES</v>
      </c>
      <c r="I183" s="145" t="str">
        <f>I181</f>
        <v>LD</v>
      </c>
      <c r="J183" s="146"/>
      <c r="K183" s="147"/>
      <c r="L183" s="147"/>
      <c r="M183" s="147">
        <v>1E-3</v>
      </c>
      <c r="N183" s="145"/>
      <c r="O183" s="145"/>
      <c r="P183" s="145"/>
      <c r="Q183" s="148" t="s">
        <v>4858</v>
      </c>
      <c r="R183" s="148"/>
      <c r="S183" s="149"/>
      <c r="T183" s="149"/>
      <c r="U183" s="149"/>
      <c r="V183" s="149"/>
      <c r="W183" s="149"/>
      <c r="X183" s="149"/>
      <c r="Y183" s="149"/>
      <c r="Z183" s="149"/>
      <c r="AA183" s="149"/>
      <c r="AB183" s="149"/>
      <c r="AC183" s="507"/>
      <c r="AD183" s="116"/>
      <c r="AE183" s="513"/>
      <c r="AF183" s="516"/>
      <c r="AG183" s="519"/>
      <c r="AH183" s="117"/>
      <c r="AI183" s="118"/>
      <c r="AJ183" s="522"/>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490">
        <f>A181+1</f>
        <v>59</v>
      </c>
      <c r="B184" s="154" t="s">
        <v>4917</v>
      </c>
      <c r="C184" s="499" t="s">
        <v>4852</v>
      </c>
      <c r="D184" s="80" t="s">
        <v>4879</v>
      </c>
      <c r="E184" s="127" t="s">
        <v>4914</v>
      </c>
      <c r="F184" s="128" t="s">
        <v>72</v>
      </c>
      <c r="G184" s="502"/>
      <c r="H184" s="82" t="s">
        <v>4919</v>
      </c>
      <c r="I184" s="127" t="s">
        <v>9</v>
      </c>
      <c r="J184" s="128"/>
      <c r="K184" s="129">
        <f>M186</f>
        <v>1E-3</v>
      </c>
      <c r="L184" s="129"/>
      <c r="M184" s="129"/>
      <c r="N184" s="127"/>
      <c r="O184" s="127"/>
      <c r="P184" s="127"/>
      <c r="Q184" s="130" t="s">
        <v>4855</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505" t="s">
        <v>4856</v>
      </c>
      <c r="AD184" s="87">
        <v>7</v>
      </c>
      <c r="AE184" s="511">
        <v>123</v>
      </c>
      <c r="AF184" s="514" t="e">
        <f>AB185</f>
        <v>#REF!</v>
      </c>
      <c r="AG184" s="517"/>
      <c r="AH184" s="88"/>
      <c r="AI184" s="89"/>
      <c r="AJ184" s="520"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491"/>
      <c r="B185" s="156"/>
      <c r="C185" s="500"/>
      <c r="D185" s="96" t="str">
        <f>D184</f>
        <v>ELE</v>
      </c>
      <c r="E185" s="136" t="str">
        <f>E184</f>
        <v>RFQ-054</v>
      </c>
      <c r="F185" s="137" t="str">
        <f>F184</f>
        <v>N</v>
      </c>
      <c r="G185" s="503"/>
      <c r="H185" s="98" t="str">
        <f>H184</f>
        <v>CABLE GLAND</v>
      </c>
      <c r="I185" s="136" t="str">
        <f>I184</f>
        <v>LD</v>
      </c>
      <c r="J185" s="137"/>
      <c r="K185" s="138"/>
      <c r="L185" s="138">
        <f>M186</f>
        <v>1E-3</v>
      </c>
      <c r="M185" s="138"/>
      <c r="N185" s="136"/>
      <c r="O185" s="136"/>
      <c r="P185" s="136"/>
      <c r="Q185" s="139" t="s">
        <v>4857</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506"/>
      <c r="AD185" s="105"/>
      <c r="AE185" s="512"/>
      <c r="AF185" s="515"/>
      <c r="AG185" s="518"/>
      <c r="AH185" s="106"/>
      <c r="AI185" s="107"/>
      <c r="AJ185" s="521"/>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492"/>
      <c r="B186" s="157"/>
      <c r="C186" s="501"/>
      <c r="D186" s="111" t="str">
        <f>D184</f>
        <v>ELE</v>
      </c>
      <c r="E186" s="145" t="str">
        <f>E184</f>
        <v>RFQ-054</v>
      </c>
      <c r="F186" s="146" t="str">
        <f>F184</f>
        <v>N</v>
      </c>
      <c r="G186" s="504"/>
      <c r="H186" s="113" t="str">
        <f>H184</f>
        <v>CABLE GLAND</v>
      </c>
      <c r="I186" s="145" t="str">
        <f>I184</f>
        <v>LD</v>
      </c>
      <c r="J186" s="146"/>
      <c r="K186" s="147"/>
      <c r="L186" s="147"/>
      <c r="M186" s="147">
        <v>1E-3</v>
      </c>
      <c r="N186" s="145"/>
      <c r="O186" s="145"/>
      <c r="P186" s="145"/>
      <c r="Q186" s="148" t="s">
        <v>4858</v>
      </c>
      <c r="R186" s="148"/>
      <c r="S186" s="149"/>
      <c r="T186" s="149"/>
      <c r="U186" s="149"/>
      <c r="V186" s="149"/>
      <c r="W186" s="149"/>
      <c r="X186" s="149"/>
      <c r="Y186" s="149"/>
      <c r="Z186" s="149"/>
      <c r="AA186" s="149"/>
      <c r="AB186" s="149"/>
      <c r="AC186" s="507"/>
      <c r="AD186" s="116"/>
      <c r="AE186" s="513"/>
      <c r="AF186" s="516"/>
      <c r="AG186" s="519"/>
      <c r="AH186" s="117"/>
      <c r="AI186" s="118"/>
      <c r="AJ186" s="522"/>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490">
        <f>A184+1</f>
        <v>60</v>
      </c>
      <c r="B187" s="154" t="s">
        <v>4917</v>
      </c>
      <c r="C187" s="499" t="s">
        <v>4852</v>
      </c>
      <c r="D187" s="80" t="s">
        <v>4879</v>
      </c>
      <c r="E187" s="127" t="s">
        <v>4914</v>
      </c>
      <c r="F187" s="128" t="s">
        <v>72</v>
      </c>
      <c r="G187" s="502"/>
      <c r="H187" s="82" t="s">
        <v>4920</v>
      </c>
      <c r="I187" s="127" t="s">
        <v>9</v>
      </c>
      <c r="J187" s="128"/>
      <c r="K187" s="129">
        <f>M189</f>
        <v>1E-3</v>
      </c>
      <c r="L187" s="129"/>
      <c r="M187" s="129"/>
      <c r="N187" s="127"/>
      <c r="O187" s="127"/>
      <c r="P187" s="127"/>
      <c r="Q187" s="130" t="s">
        <v>4855</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505" t="s">
        <v>4856</v>
      </c>
      <c r="AD187" s="87">
        <v>7</v>
      </c>
      <c r="AE187" s="511">
        <v>175</v>
      </c>
      <c r="AF187" s="514" t="e">
        <f>AB188</f>
        <v>#REF!</v>
      </c>
      <c r="AG187" s="517"/>
      <c r="AH187" s="88"/>
      <c r="AI187" s="89"/>
      <c r="AJ187" s="520"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491"/>
      <c r="B188" s="156"/>
      <c r="C188" s="500"/>
      <c r="D188" s="96" t="str">
        <f>D187</f>
        <v>ELE</v>
      </c>
      <c r="E188" s="136" t="str">
        <f>E187</f>
        <v>RFQ-054</v>
      </c>
      <c r="F188" s="137" t="str">
        <f>F187</f>
        <v>N</v>
      </c>
      <c r="G188" s="503"/>
      <c r="H188" s="98" t="str">
        <f>H187</f>
        <v>ELECTRICAL CABLE LADDER / TRAY</v>
      </c>
      <c r="I188" s="136" t="str">
        <f>I187</f>
        <v>LD</v>
      </c>
      <c r="J188" s="137"/>
      <c r="K188" s="138"/>
      <c r="L188" s="138">
        <f>M189</f>
        <v>1E-3</v>
      </c>
      <c r="M188" s="138"/>
      <c r="N188" s="136"/>
      <c r="O188" s="136"/>
      <c r="P188" s="136"/>
      <c r="Q188" s="139" t="s">
        <v>4857</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506"/>
      <c r="AD188" s="105"/>
      <c r="AE188" s="512"/>
      <c r="AF188" s="515"/>
      <c r="AG188" s="518"/>
      <c r="AH188" s="106"/>
      <c r="AI188" s="107"/>
      <c r="AJ188" s="521"/>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492"/>
      <c r="B189" s="157"/>
      <c r="C189" s="501"/>
      <c r="D189" s="111" t="str">
        <f>D187</f>
        <v>ELE</v>
      </c>
      <c r="E189" s="145" t="str">
        <f>E187</f>
        <v>RFQ-054</v>
      </c>
      <c r="F189" s="146" t="str">
        <f>F187</f>
        <v>N</v>
      </c>
      <c r="G189" s="504"/>
      <c r="H189" s="113" t="str">
        <f>H187</f>
        <v>ELECTRICAL CABLE LADDER / TRAY</v>
      </c>
      <c r="I189" s="145" t="str">
        <f>I187</f>
        <v>LD</v>
      </c>
      <c r="J189" s="146"/>
      <c r="K189" s="147"/>
      <c r="L189" s="147"/>
      <c r="M189" s="147">
        <v>1E-3</v>
      </c>
      <c r="N189" s="145"/>
      <c r="O189" s="145"/>
      <c r="P189" s="145"/>
      <c r="Q189" s="148" t="s">
        <v>4858</v>
      </c>
      <c r="R189" s="148"/>
      <c r="S189" s="149"/>
      <c r="T189" s="149"/>
      <c r="U189" s="149"/>
      <c r="V189" s="149"/>
      <c r="W189" s="149"/>
      <c r="X189" s="149"/>
      <c r="Y189" s="149"/>
      <c r="Z189" s="149"/>
      <c r="AA189" s="149"/>
      <c r="AB189" s="149"/>
      <c r="AC189" s="507"/>
      <c r="AD189" s="116"/>
      <c r="AE189" s="513"/>
      <c r="AF189" s="516"/>
      <c r="AG189" s="519"/>
      <c r="AH189" s="117"/>
      <c r="AI189" s="118"/>
      <c r="AJ189" s="522"/>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490">
        <f>A187+1</f>
        <v>61</v>
      </c>
      <c r="B190" s="154" t="s">
        <v>4917</v>
      </c>
      <c r="C190" s="499" t="s">
        <v>4852</v>
      </c>
      <c r="D190" s="80" t="s">
        <v>4879</v>
      </c>
      <c r="E190" s="127" t="s">
        <v>4914</v>
      </c>
      <c r="F190" s="128" t="s">
        <v>72</v>
      </c>
      <c r="G190" s="502"/>
      <c r="H190" s="82" t="s">
        <v>4921</v>
      </c>
      <c r="I190" s="127" t="s">
        <v>9</v>
      </c>
      <c r="J190" s="128"/>
      <c r="K190" s="129">
        <f>M192</f>
        <v>1E-3</v>
      </c>
      <c r="L190" s="129"/>
      <c r="M190" s="129"/>
      <c r="N190" s="127"/>
      <c r="O190" s="127"/>
      <c r="P190" s="127"/>
      <c r="Q190" s="130" t="s">
        <v>4855</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505" t="s">
        <v>4856</v>
      </c>
      <c r="AD190" s="87">
        <v>7</v>
      </c>
      <c r="AE190" s="511"/>
      <c r="AF190" s="514" t="e">
        <f>AB191</f>
        <v>#REF!</v>
      </c>
      <c r="AG190" s="517"/>
      <c r="AH190" s="88"/>
      <c r="AI190" s="89"/>
      <c r="AJ190" s="520"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491"/>
      <c r="B191" s="156"/>
      <c r="C191" s="500"/>
      <c r="D191" s="96" t="str">
        <f>D190</f>
        <v>ELE</v>
      </c>
      <c r="E191" s="136" t="str">
        <f>E190</f>
        <v>RFQ-054</v>
      </c>
      <c r="F191" s="137" t="str">
        <f>F190</f>
        <v>N</v>
      </c>
      <c r="G191" s="503"/>
      <c r="H191" s="98" t="str">
        <f>H190</f>
        <v>EARTHING SYSTEM</v>
      </c>
      <c r="I191" s="136" t="str">
        <f>I190</f>
        <v>LD</v>
      </c>
      <c r="J191" s="137"/>
      <c r="K191" s="138"/>
      <c r="L191" s="138">
        <f>M192</f>
        <v>1E-3</v>
      </c>
      <c r="M191" s="138"/>
      <c r="N191" s="136"/>
      <c r="O191" s="136"/>
      <c r="P191" s="136"/>
      <c r="Q191" s="139" t="s">
        <v>4857</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506"/>
      <c r="AD191" s="105"/>
      <c r="AE191" s="512"/>
      <c r="AF191" s="515"/>
      <c r="AG191" s="518"/>
      <c r="AH191" s="106"/>
      <c r="AI191" s="107"/>
      <c r="AJ191" s="521"/>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492"/>
      <c r="B192" s="157"/>
      <c r="C192" s="501"/>
      <c r="D192" s="111" t="str">
        <f>D190</f>
        <v>ELE</v>
      </c>
      <c r="E192" s="145" t="str">
        <f>E190</f>
        <v>RFQ-054</v>
      </c>
      <c r="F192" s="146" t="str">
        <f>F190</f>
        <v>N</v>
      </c>
      <c r="G192" s="504"/>
      <c r="H192" s="113" t="str">
        <f>H190</f>
        <v>EARTHING SYSTEM</v>
      </c>
      <c r="I192" s="145" t="str">
        <f>I190</f>
        <v>LD</v>
      </c>
      <c r="J192" s="146"/>
      <c r="K192" s="147"/>
      <c r="L192" s="147"/>
      <c r="M192" s="147">
        <v>1E-3</v>
      </c>
      <c r="N192" s="145"/>
      <c r="O192" s="145"/>
      <c r="P192" s="145"/>
      <c r="Q192" s="148" t="s">
        <v>4858</v>
      </c>
      <c r="R192" s="148"/>
      <c r="S192" s="149"/>
      <c r="T192" s="149"/>
      <c r="U192" s="149"/>
      <c r="V192" s="149"/>
      <c r="W192" s="149"/>
      <c r="X192" s="149"/>
      <c r="Y192" s="149"/>
      <c r="Z192" s="149"/>
      <c r="AA192" s="149"/>
      <c r="AB192" s="149"/>
      <c r="AC192" s="507"/>
      <c r="AD192" s="116"/>
      <c r="AE192" s="513"/>
      <c r="AF192" s="516"/>
      <c r="AG192" s="519"/>
      <c r="AH192" s="117"/>
      <c r="AI192" s="118"/>
      <c r="AJ192" s="522"/>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490">
        <f>A190+1</f>
        <v>62</v>
      </c>
      <c r="B193" s="154" t="s">
        <v>4917</v>
      </c>
      <c r="C193" s="499" t="s">
        <v>4852</v>
      </c>
      <c r="D193" s="80" t="s">
        <v>4879</v>
      </c>
      <c r="E193" s="127" t="s">
        <v>4914</v>
      </c>
      <c r="F193" s="128" t="s">
        <v>72</v>
      </c>
      <c r="G193" s="502"/>
      <c r="H193" s="82" t="s">
        <v>4922</v>
      </c>
      <c r="I193" s="127" t="s">
        <v>9</v>
      </c>
      <c r="J193" s="128"/>
      <c r="K193" s="129">
        <f>M195</f>
        <v>1E-3</v>
      </c>
      <c r="L193" s="129"/>
      <c r="M193" s="129"/>
      <c r="N193" s="127"/>
      <c r="O193" s="127"/>
      <c r="P193" s="127"/>
      <c r="Q193" s="130" t="s">
        <v>4855</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505" t="s">
        <v>4856</v>
      </c>
      <c r="AD193" s="87">
        <v>7</v>
      </c>
      <c r="AE193" s="511">
        <v>123</v>
      </c>
      <c r="AF193" s="514" t="e">
        <f>AB194</f>
        <v>#REF!</v>
      </c>
      <c r="AG193" s="517"/>
      <c r="AH193" s="88"/>
      <c r="AI193" s="89"/>
      <c r="AJ193" s="520"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491"/>
      <c r="B194" s="156"/>
      <c r="C194" s="500"/>
      <c r="D194" s="96" t="str">
        <f>D193</f>
        <v>ELE</v>
      </c>
      <c r="E194" s="136" t="str">
        <f>E193</f>
        <v>RFQ-054</v>
      </c>
      <c r="F194" s="137" t="str">
        <f>F193</f>
        <v>N</v>
      </c>
      <c r="G194" s="503"/>
      <c r="H194" s="98" t="str">
        <f>H193</f>
        <v>MULTI-CABLE TRANSIT (MCT)</v>
      </c>
      <c r="I194" s="136" t="str">
        <f>I193</f>
        <v>LD</v>
      </c>
      <c r="J194" s="137"/>
      <c r="K194" s="138"/>
      <c r="L194" s="138">
        <f>M195</f>
        <v>1E-3</v>
      </c>
      <c r="M194" s="138"/>
      <c r="N194" s="136"/>
      <c r="O194" s="136"/>
      <c r="P194" s="136"/>
      <c r="Q194" s="139" t="s">
        <v>4857</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506"/>
      <c r="AD194" s="105"/>
      <c r="AE194" s="512"/>
      <c r="AF194" s="515"/>
      <c r="AG194" s="518"/>
      <c r="AH194" s="106"/>
      <c r="AI194" s="107"/>
      <c r="AJ194" s="521"/>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492"/>
      <c r="B195" s="157"/>
      <c r="C195" s="501"/>
      <c r="D195" s="111" t="str">
        <f>D193</f>
        <v>ELE</v>
      </c>
      <c r="E195" s="145" t="str">
        <f>E193</f>
        <v>RFQ-054</v>
      </c>
      <c r="F195" s="146" t="str">
        <f>F193</f>
        <v>N</v>
      </c>
      <c r="G195" s="504"/>
      <c r="H195" s="113" t="str">
        <f>H193</f>
        <v>MULTI-CABLE TRANSIT (MCT)</v>
      </c>
      <c r="I195" s="145" t="str">
        <f>I193</f>
        <v>LD</v>
      </c>
      <c r="J195" s="146"/>
      <c r="K195" s="147"/>
      <c r="L195" s="147"/>
      <c r="M195" s="147">
        <v>1E-3</v>
      </c>
      <c r="N195" s="145"/>
      <c r="O195" s="145"/>
      <c r="P195" s="145"/>
      <c r="Q195" s="148" t="s">
        <v>4858</v>
      </c>
      <c r="R195" s="148"/>
      <c r="S195" s="149"/>
      <c r="T195" s="149"/>
      <c r="U195" s="149"/>
      <c r="V195" s="149"/>
      <c r="W195" s="149"/>
      <c r="X195" s="149"/>
      <c r="Y195" s="149"/>
      <c r="Z195" s="149"/>
      <c r="AA195" s="149"/>
      <c r="AB195" s="149"/>
      <c r="AC195" s="507"/>
      <c r="AD195" s="116"/>
      <c r="AE195" s="513"/>
      <c r="AF195" s="516"/>
      <c r="AG195" s="519"/>
      <c r="AH195" s="117"/>
      <c r="AI195" s="118"/>
      <c r="AJ195" s="522"/>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490">
        <f>A193+1</f>
        <v>63</v>
      </c>
      <c r="B196" s="154" t="s">
        <v>4917</v>
      </c>
      <c r="C196" s="499" t="s">
        <v>4852</v>
      </c>
      <c r="D196" s="80" t="s">
        <v>4879</v>
      </c>
      <c r="E196" s="127" t="s">
        <v>4914</v>
      </c>
      <c r="F196" s="128" t="s">
        <v>72</v>
      </c>
      <c r="G196" s="502"/>
      <c r="H196" s="82" t="s">
        <v>4923</v>
      </c>
      <c r="I196" s="127" t="s">
        <v>9</v>
      </c>
      <c r="J196" s="128"/>
      <c r="K196" s="129">
        <f>M198</f>
        <v>1E-3</v>
      </c>
      <c r="L196" s="129"/>
      <c r="M196" s="129"/>
      <c r="N196" s="127"/>
      <c r="O196" s="127"/>
      <c r="P196" s="127"/>
      <c r="Q196" s="130" t="s">
        <v>4855</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505" t="s">
        <v>4856</v>
      </c>
      <c r="AD196" s="87">
        <v>7</v>
      </c>
      <c r="AE196" s="511">
        <v>104</v>
      </c>
      <c r="AF196" s="514" t="e">
        <f>AB197</f>
        <v>#REF!</v>
      </c>
      <c r="AG196" s="517"/>
      <c r="AH196" s="88"/>
      <c r="AI196" s="89"/>
      <c r="AJ196" s="520"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491"/>
      <c r="B197" s="156"/>
      <c r="C197" s="500"/>
      <c r="D197" s="96" t="str">
        <f>D196</f>
        <v>ELE</v>
      </c>
      <c r="E197" s="136" t="str">
        <f>E196</f>
        <v>RFQ-054</v>
      </c>
      <c r="F197" s="137" t="str">
        <f>F196</f>
        <v>N</v>
      </c>
      <c r="G197" s="503"/>
      <c r="H197" s="98" t="str">
        <f>H196</f>
        <v>ELECTRICAL CABLE</v>
      </c>
      <c r="I197" s="136" t="str">
        <f>I196</f>
        <v>LD</v>
      </c>
      <c r="J197" s="137"/>
      <c r="K197" s="138"/>
      <c r="L197" s="138">
        <f>M198</f>
        <v>1E-3</v>
      </c>
      <c r="M197" s="138"/>
      <c r="N197" s="136"/>
      <c r="O197" s="136"/>
      <c r="P197" s="136"/>
      <c r="Q197" s="139" t="s">
        <v>4857</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506"/>
      <c r="AD197" s="105"/>
      <c r="AE197" s="512"/>
      <c r="AF197" s="515"/>
      <c r="AG197" s="518"/>
      <c r="AH197" s="106"/>
      <c r="AI197" s="107"/>
      <c r="AJ197" s="521"/>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492"/>
      <c r="B198" s="157"/>
      <c r="C198" s="501"/>
      <c r="D198" s="111" t="str">
        <f>D196</f>
        <v>ELE</v>
      </c>
      <c r="E198" s="145" t="str">
        <f>E196</f>
        <v>RFQ-054</v>
      </c>
      <c r="F198" s="146" t="str">
        <f>F196</f>
        <v>N</v>
      </c>
      <c r="G198" s="504"/>
      <c r="H198" s="113" t="str">
        <f>H196</f>
        <v>ELECTRICAL CABLE</v>
      </c>
      <c r="I198" s="145" t="str">
        <f>I196</f>
        <v>LD</v>
      </c>
      <c r="J198" s="146"/>
      <c r="K198" s="147"/>
      <c r="L198" s="147"/>
      <c r="M198" s="147">
        <v>1E-3</v>
      </c>
      <c r="N198" s="145"/>
      <c r="O198" s="145"/>
      <c r="P198" s="145"/>
      <c r="Q198" s="148" t="s">
        <v>4858</v>
      </c>
      <c r="R198" s="148"/>
      <c r="S198" s="149"/>
      <c r="T198" s="149"/>
      <c r="U198" s="149"/>
      <c r="V198" s="149"/>
      <c r="W198" s="149"/>
      <c r="X198" s="149"/>
      <c r="Y198" s="149"/>
      <c r="Z198" s="149"/>
      <c r="AA198" s="149"/>
      <c r="AB198" s="149"/>
      <c r="AC198" s="507"/>
      <c r="AD198" s="116"/>
      <c r="AE198" s="513"/>
      <c r="AF198" s="516"/>
      <c r="AG198" s="519"/>
      <c r="AH198" s="117"/>
      <c r="AI198" s="118"/>
      <c r="AJ198" s="522"/>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490">
        <f>A196+1</f>
        <v>64</v>
      </c>
      <c r="B199" s="154" t="s">
        <v>4917</v>
      </c>
      <c r="C199" s="499" t="s">
        <v>4852</v>
      </c>
      <c r="D199" s="80" t="s">
        <v>4879</v>
      </c>
      <c r="E199" s="127" t="s">
        <v>4914</v>
      </c>
      <c r="F199" s="128" t="s">
        <v>72</v>
      </c>
      <c r="G199" s="502"/>
      <c r="H199" s="82" t="s">
        <v>4924</v>
      </c>
      <c r="I199" s="127" t="s">
        <v>9</v>
      </c>
      <c r="J199" s="128"/>
      <c r="K199" s="129">
        <f>M201</f>
        <v>1E-3</v>
      </c>
      <c r="L199" s="129"/>
      <c r="M199" s="129"/>
      <c r="N199" s="127"/>
      <c r="O199" s="127"/>
      <c r="P199" s="127"/>
      <c r="Q199" s="130" t="s">
        <v>4855</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505" t="s">
        <v>4856</v>
      </c>
      <c r="AD199" s="87">
        <v>7</v>
      </c>
      <c r="AE199" s="511"/>
      <c r="AF199" s="514" t="e">
        <f>AB200</f>
        <v>#REF!</v>
      </c>
      <c r="AG199" s="517"/>
      <c r="AH199" s="88"/>
      <c r="AI199" s="89"/>
      <c r="AJ199" s="520"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491"/>
      <c r="B200" s="156"/>
      <c r="C200" s="500"/>
      <c r="D200" s="96" t="str">
        <f>D199</f>
        <v>ELE</v>
      </c>
      <c r="E200" s="136" t="str">
        <f>E199</f>
        <v>RFQ-054</v>
      </c>
      <c r="F200" s="137" t="str">
        <f>F199</f>
        <v>N</v>
      </c>
      <c r="G200" s="503"/>
      <c r="H200" s="98" t="str">
        <f>H199</f>
        <v>NAVIGATIONAL AIDS LANTERN AND FOG HORN</v>
      </c>
      <c r="I200" s="136" t="str">
        <f>I199</f>
        <v>LD</v>
      </c>
      <c r="J200" s="137"/>
      <c r="K200" s="138"/>
      <c r="L200" s="138">
        <f>M201</f>
        <v>1E-3</v>
      </c>
      <c r="M200" s="138"/>
      <c r="N200" s="136"/>
      <c r="O200" s="136"/>
      <c r="P200" s="136"/>
      <c r="Q200" s="139" t="s">
        <v>4857</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506"/>
      <c r="AD200" s="105"/>
      <c r="AE200" s="512"/>
      <c r="AF200" s="515"/>
      <c r="AG200" s="518"/>
      <c r="AH200" s="106"/>
      <c r="AI200" s="107"/>
      <c r="AJ200" s="521"/>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492"/>
      <c r="B201" s="157"/>
      <c r="C201" s="501"/>
      <c r="D201" s="111" t="str">
        <f>D199</f>
        <v>ELE</v>
      </c>
      <c r="E201" s="145" t="str">
        <f>E199</f>
        <v>RFQ-054</v>
      </c>
      <c r="F201" s="146" t="str">
        <f>F199</f>
        <v>N</v>
      </c>
      <c r="G201" s="504"/>
      <c r="H201" s="113" t="str">
        <f>H199</f>
        <v>NAVIGATIONAL AIDS LANTERN AND FOG HORN</v>
      </c>
      <c r="I201" s="145" t="str">
        <f>I199</f>
        <v>LD</v>
      </c>
      <c r="J201" s="146"/>
      <c r="K201" s="147"/>
      <c r="L201" s="147"/>
      <c r="M201" s="147">
        <v>1E-3</v>
      </c>
      <c r="N201" s="145"/>
      <c r="O201" s="145"/>
      <c r="P201" s="145"/>
      <c r="Q201" s="148" t="s">
        <v>4858</v>
      </c>
      <c r="R201" s="148"/>
      <c r="S201" s="149"/>
      <c r="T201" s="149"/>
      <c r="U201" s="149"/>
      <c r="V201" s="149"/>
      <c r="W201" s="149"/>
      <c r="X201" s="149"/>
      <c r="Y201" s="149"/>
      <c r="Z201" s="149"/>
      <c r="AA201" s="149"/>
      <c r="AB201" s="149"/>
      <c r="AC201" s="507"/>
      <c r="AD201" s="116"/>
      <c r="AE201" s="513"/>
      <c r="AF201" s="516"/>
      <c r="AG201" s="519"/>
      <c r="AH201" s="117"/>
      <c r="AI201" s="118"/>
      <c r="AJ201" s="522"/>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490">
        <f>A199+1</f>
        <v>65</v>
      </c>
      <c r="B202" s="154" t="s">
        <v>4917</v>
      </c>
      <c r="C202" s="499" t="s">
        <v>4852</v>
      </c>
      <c r="D202" s="80" t="s">
        <v>4879</v>
      </c>
      <c r="E202" s="127" t="s">
        <v>4914</v>
      </c>
      <c r="F202" s="128" t="s">
        <v>72</v>
      </c>
      <c r="G202" s="502"/>
      <c r="H202" s="82" t="s">
        <v>4925</v>
      </c>
      <c r="I202" s="127" t="s">
        <v>9</v>
      </c>
      <c r="J202" s="128"/>
      <c r="K202" s="129">
        <f>M204</f>
        <v>1E-3</v>
      </c>
      <c r="L202" s="129"/>
      <c r="M202" s="129"/>
      <c r="N202" s="127"/>
      <c r="O202" s="127"/>
      <c r="P202" s="127"/>
      <c r="Q202" s="130" t="s">
        <v>4855</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505" t="s">
        <v>4856</v>
      </c>
      <c r="AD202" s="87">
        <v>7</v>
      </c>
      <c r="AE202" s="511"/>
      <c r="AF202" s="514" t="e">
        <f>AB203</f>
        <v>#REF!</v>
      </c>
      <c r="AG202" s="517"/>
      <c r="AH202" s="88"/>
      <c r="AI202" s="89"/>
      <c r="AJ202" s="520"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491"/>
      <c r="B203" s="156"/>
      <c r="C203" s="500"/>
      <c r="D203" s="96" t="str">
        <f>D202</f>
        <v>ELE</v>
      </c>
      <c r="E203" s="136" t="str">
        <f>E202</f>
        <v>RFQ-054</v>
      </c>
      <c r="F203" s="137" t="str">
        <f>F202</f>
        <v>N</v>
      </c>
      <c r="G203" s="503"/>
      <c r="H203" s="98" t="str">
        <f>H202</f>
        <v>FLASHING BEACON AND WARNING SIREN</v>
      </c>
      <c r="I203" s="136" t="str">
        <f>I202</f>
        <v>LD</v>
      </c>
      <c r="J203" s="137"/>
      <c r="K203" s="138"/>
      <c r="L203" s="138">
        <f>M204</f>
        <v>1E-3</v>
      </c>
      <c r="M203" s="138"/>
      <c r="N203" s="136"/>
      <c r="O203" s="136"/>
      <c r="P203" s="136"/>
      <c r="Q203" s="139" t="s">
        <v>4857</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506"/>
      <c r="AD203" s="105"/>
      <c r="AE203" s="512"/>
      <c r="AF203" s="515"/>
      <c r="AG203" s="518"/>
      <c r="AH203" s="106"/>
      <c r="AI203" s="107"/>
      <c r="AJ203" s="521"/>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492"/>
      <c r="B204" s="157"/>
      <c r="C204" s="501"/>
      <c r="D204" s="111" t="str">
        <f>D202</f>
        <v>ELE</v>
      </c>
      <c r="E204" s="145" t="str">
        <f>E202</f>
        <v>RFQ-054</v>
      </c>
      <c r="F204" s="146" t="str">
        <f>F202</f>
        <v>N</v>
      </c>
      <c r="G204" s="504"/>
      <c r="H204" s="113" t="str">
        <f>H202</f>
        <v>FLASHING BEACON AND WARNING SIREN</v>
      </c>
      <c r="I204" s="145" t="str">
        <f>I202</f>
        <v>LD</v>
      </c>
      <c r="J204" s="146"/>
      <c r="K204" s="147"/>
      <c r="L204" s="147"/>
      <c r="M204" s="147">
        <v>1E-3</v>
      </c>
      <c r="N204" s="145"/>
      <c r="O204" s="145"/>
      <c r="P204" s="145"/>
      <c r="Q204" s="148" t="s">
        <v>4858</v>
      </c>
      <c r="R204" s="148"/>
      <c r="S204" s="149"/>
      <c r="T204" s="149"/>
      <c r="U204" s="149"/>
      <c r="V204" s="149"/>
      <c r="W204" s="149"/>
      <c r="X204" s="149"/>
      <c r="Y204" s="149"/>
      <c r="Z204" s="149"/>
      <c r="AA204" s="149"/>
      <c r="AB204" s="149"/>
      <c r="AC204" s="507"/>
      <c r="AD204" s="116"/>
      <c r="AE204" s="513"/>
      <c r="AF204" s="516"/>
      <c r="AG204" s="519"/>
      <c r="AH204" s="117"/>
      <c r="AI204" s="118"/>
      <c r="AJ204" s="522"/>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490">
        <f>A202+1</f>
        <v>66</v>
      </c>
      <c r="B205" s="154" t="s">
        <v>4917</v>
      </c>
      <c r="C205" s="499" t="s">
        <v>4852</v>
      </c>
      <c r="D205" s="80" t="s">
        <v>4879</v>
      </c>
      <c r="E205" s="127" t="s">
        <v>4914</v>
      </c>
      <c r="F205" s="128" t="s">
        <v>72</v>
      </c>
      <c r="G205" s="502"/>
      <c r="H205" s="82" t="s">
        <v>4926</v>
      </c>
      <c r="I205" s="127" t="s">
        <v>9</v>
      </c>
      <c r="J205" s="128"/>
      <c r="K205" s="129">
        <f>M207</f>
        <v>1E-3</v>
      </c>
      <c r="L205" s="129"/>
      <c r="M205" s="129"/>
      <c r="N205" s="127"/>
      <c r="O205" s="127"/>
      <c r="P205" s="127"/>
      <c r="Q205" s="130" t="s">
        <v>4855</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505" t="s">
        <v>4856</v>
      </c>
      <c r="AD205" s="87">
        <v>7</v>
      </c>
      <c r="AE205" s="511"/>
      <c r="AF205" s="514" t="e">
        <f>AB206</f>
        <v>#REF!</v>
      </c>
      <c r="AG205" s="517"/>
      <c r="AH205" s="88"/>
      <c r="AI205" s="89"/>
      <c r="AJ205" s="520"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491"/>
      <c r="B206" s="156"/>
      <c r="C206" s="500"/>
      <c r="D206" s="96" t="str">
        <f>D205</f>
        <v>ELE</v>
      </c>
      <c r="E206" s="136" t="str">
        <f>E205</f>
        <v>RFQ-054</v>
      </c>
      <c r="F206" s="137" t="str">
        <f>F205</f>
        <v>N</v>
      </c>
      <c r="G206" s="503"/>
      <c r="H206" s="98" t="str">
        <f>H205</f>
        <v>PRESERVATION AND SEA-FASTENING MATERIAL</v>
      </c>
      <c r="I206" s="136" t="str">
        <f>I205</f>
        <v>LD</v>
      </c>
      <c r="J206" s="137"/>
      <c r="K206" s="138"/>
      <c r="L206" s="138">
        <f>M207</f>
        <v>1E-3</v>
      </c>
      <c r="M206" s="138"/>
      <c r="N206" s="136"/>
      <c r="O206" s="136"/>
      <c r="P206" s="136"/>
      <c r="Q206" s="139" t="s">
        <v>4857</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506"/>
      <c r="AD206" s="105"/>
      <c r="AE206" s="512"/>
      <c r="AF206" s="515"/>
      <c r="AG206" s="518"/>
      <c r="AH206" s="106"/>
      <c r="AI206" s="107"/>
      <c r="AJ206" s="521"/>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492"/>
      <c r="B207" s="157"/>
      <c r="C207" s="501"/>
      <c r="D207" s="111" t="str">
        <f>D205</f>
        <v>ELE</v>
      </c>
      <c r="E207" s="145" t="str">
        <f>E205</f>
        <v>RFQ-054</v>
      </c>
      <c r="F207" s="146" t="str">
        <f>F205</f>
        <v>N</v>
      </c>
      <c r="G207" s="504"/>
      <c r="H207" s="113" t="str">
        <f>H205</f>
        <v>PRESERVATION AND SEA-FASTENING MATERIAL</v>
      </c>
      <c r="I207" s="145" t="str">
        <f>I205</f>
        <v>LD</v>
      </c>
      <c r="J207" s="146"/>
      <c r="K207" s="147"/>
      <c r="L207" s="147"/>
      <c r="M207" s="147">
        <v>1E-3</v>
      </c>
      <c r="N207" s="145"/>
      <c r="O207" s="145"/>
      <c r="P207" s="145"/>
      <c r="Q207" s="148" t="s">
        <v>4858</v>
      </c>
      <c r="R207" s="148"/>
      <c r="S207" s="149"/>
      <c r="T207" s="149"/>
      <c r="U207" s="149"/>
      <c r="V207" s="149"/>
      <c r="W207" s="149"/>
      <c r="X207" s="149"/>
      <c r="Y207" s="149"/>
      <c r="Z207" s="149"/>
      <c r="AA207" s="149"/>
      <c r="AB207" s="149"/>
      <c r="AC207" s="507"/>
      <c r="AD207" s="116"/>
      <c r="AE207" s="513"/>
      <c r="AF207" s="516"/>
      <c r="AG207" s="519"/>
      <c r="AH207" s="117"/>
      <c r="AI207" s="118"/>
      <c r="AJ207" s="522"/>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490">
        <f>A205+1</f>
        <v>67</v>
      </c>
      <c r="B208" s="154" t="s">
        <v>4917</v>
      </c>
      <c r="C208" s="499" t="s">
        <v>4852</v>
      </c>
      <c r="D208" s="80" t="s">
        <v>4864</v>
      </c>
      <c r="E208" s="127" t="s">
        <v>4914</v>
      </c>
      <c r="F208" s="128" t="s">
        <v>72</v>
      </c>
      <c r="G208" s="158"/>
      <c r="H208" s="98" t="s">
        <v>4927</v>
      </c>
      <c r="I208" s="127" t="s">
        <v>9</v>
      </c>
      <c r="J208" s="128"/>
      <c r="K208" s="129">
        <f>M210</f>
        <v>1E-3</v>
      </c>
      <c r="L208" s="129"/>
      <c r="M208" s="129"/>
      <c r="N208" s="127"/>
      <c r="O208" s="127"/>
      <c r="P208" s="127"/>
      <c r="Q208" s="130" t="s">
        <v>4855</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505" t="s">
        <v>4856</v>
      </c>
      <c r="AD208" s="87">
        <v>7</v>
      </c>
      <c r="AE208" s="511">
        <v>69</v>
      </c>
      <c r="AF208" s="514" t="e">
        <f>AB209</f>
        <v>#REF!</v>
      </c>
      <c r="AG208" s="517"/>
      <c r="AH208" s="88"/>
      <c r="AI208" s="89"/>
      <c r="AJ208" s="520"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491"/>
      <c r="B209" s="156"/>
      <c r="C209" s="500"/>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4857</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506"/>
      <c r="AD209" s="105"/>
      <c r="AE209" s="512"/>
      <c r="AF209" s="515"/>
      <c r="AG209" s="518"/>
      <c r="AH209" s="106"/>
      <c r="AI209" s="107"/>
      <c r="AJ209" s="521"/>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492"/>
      <c r="B210" s="157"/>
      <c r="C210" s="501"/>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4858</v>
      </c>
      <c r="R210" s="148"/>
      <c r="S210" s="149"/>
      <c r="T210" s="149"/>
      <c r="U210" s="149"/>
      <c r="V210" s="149"/>
      <c r="W210" s="149"/>
      <c r="X210" s="149"/>
      <c r="Y210" s="149"/>
      <c r="Z210" s="149"/>
      <c r="AA210" s="149"/>
      <c r="AB210" s="149"/>
      <c r="AC210" s="507"/>
      <c r="AD210" s="116"/>
      <c r="AE210" s="513"/>
      <c r="AF210" s="516"/>
      <c r="AG210" s="519"/>
      <c r="AH210" s="117"/>
      <c r="AI210" s="118"/>
      <c r="AJ210" s="522"/>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490">
        <f>A208+1</f>
        <v>68</v>
      </c>
      <c r="B211" s="154" t="s">
        <v>4917</v>
      </c>
      <c r="C211" s="499" t="s">
        <v>4852</v>
      </c>
      <c r="D211" s="80" t="s">
        <v>4864</v>
      </c>
      <c r="E211" s="127" t="s">
        <v>4914</v>
      </c>
      <c r="F211" s="128" t="s">
        <v>72</v>
      </c>
      <c r="G211" s="158"/>
      <c r="H211" s="161" t="s">
        <v>4928</v>
      </c>
      <c r="I211" s="127" t="s">
        <v>9</v>
      </c>
      <c r="J211" s="128"/>
      <c r="K211" s="129">
        <f>M213</f>
        <v>1E-3</v>
      </c>
      <c r="L211" s="129"/>
      <c r="M211" s="129"/>
      <c r="N211" s="127"/>
      <c r="O211" s="127"/>
      <c r="P211" s="127"/>
      <c r="Q211" s="130" t="s">
        <v>4855</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505" t="s">
        <v>4856</v>
      </c>
      <c r="AD211" s="87">
        <v>7</v>
      </c>
      <c r="AE211" s="511">
        <v>151</v>
      </c>
      <c r="AF211" s="514" t="e">
        <f>AB212</f>
        <v>#REF!</v>
      </c>
      <c r="AG211" s="517"/>
      <c r="AH211" s="88"/>
      <c r="AI211" s="89"/>
      <c r="AJ211" s="520"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491"/>
      <c r="B212" s="156"/>
      <c r="C212" s="500"/>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4857</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506"/>
      <c r="AD212" s="105"/>
      <c r="AE212" s="512"/>
      <c r="AF212" s="515"/>
      <c r="AG212" s="518"/>
      <c r="AH212" s="106"/>
      <c r="AI212" s="107"/>
      <c r="AJ212" s="521"/>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492"/>
      <c r="B213" s="157"/>
      <c r="C213" s="501"/>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4858</v>
      </c>
      <c r="R213" s="148"/>
      <c r="S213" s="149"/>
      <c r="T213" s="149"/>
      <c r="U213" s="149"/>
      <c r="V213" s="149"/>
      <c r="W213" s="149"/>
      <c r="X213" s="149"/>
      <c r="Y213" s="149"/>
      <c r="Z213" s="149"/>
      <c r="AA213" s="149"/>
      <c r="AB213" s="149"/>
      <c r="AC213" s="507"/>
      <c r="AD213" s="116"/>
      <c r="AE213" s="513"/>
      <c r="AF213" s="516"/>
      <c r="AG213" s="519"/>
      <c r="AH213" s="117"/>
      <c r="AI213" s="118"/>
      <c r="AJ213" s="522"/>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490">
        <f>A211+1</f>
        <v>69</v>
      </c>
      <c r="B214" s="154" t="s">
        <v>4917</v>
      </c>
      <c r="C214" s="499" t="s">
        <v>4852</v>
      </c>
      <c r="D214" s="80" t="s">
        <v>4864</v>
      </c>
      <c r="E214" s="127" t="s">
        <v>4914</v>
      </c>
      <c r="F214" s="128" t="s">
        <v>72</v>
      </c>
      <c r="G214" s="158"/>
      <c r="H214" s="161" t="s">
        <v>4929</v>
      </c>
      <c r="I214" s="127" t="s">
        <v>9</v>
      </c>
      <c r="J214" s="128"/>
      <c r="K214" s="129">
        <f>M216</f>
        <v>1E-3</v>
      </c>
      <c r="L214" s="129"/>
      <c r="M214" s="129"/>
      <c r="N214" s="127"/>
      <c r="O214" s="127"/>
      <c r="P214" s="127"/>
      <c r="Q214" s="130" t="s">
        <v>4855</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505" t="s">
        <v>4856</v>
      </c>
      <c r="AD214" s="87">
        <v>7</v>
      </c>
      <c r="AE214" s="511">
        <v>100</v>
      </c>
      <c r="AF214" s="514" t="e">
        <f>AB215</f>
        <v>#REF!</v>
      </c>
      <c r="AG214" s="517"/>
      <c r="AH214" s="88"/>
      <c r="AI214" s="89"/>
      <c r="AJ214" s="520"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491"/>
      <c r="B215" s="156"/>
      <c r="C215" s="500"/>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4857</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506"/>
      <c r="AD215" s="105"/>
      <c r="AE215" s="512"/>
      <c r="AF215" s="515"/>
      <c r="AG215" s="518"/>
      <c r="AH215" s="106"/>
      <c r="AI215" s="107"/>
      <c r="AJ215" s="521"/>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492"/>
      <c r="B216" s="157"/>
      <c r="C216" s="501"/>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4858</v>
      </c>
      <c r="R216" s="148"/>
      <c r="S216" s="149"/>
      <c r="T216" s="149"/>
      <c r="U216" s="149"/>
      <c r="V216" s="149"/>
      <c r="W216" s="149"/>
      <c r="X216" s="149"/>
      <c r="Y216" s="149"/>
      <c r="Z216" s="149"/>
      <c r="AA216" s="149"/>
      <c r="AB216" s="149"/>
      <c r="AC216" s="507"/>
      <c r="AD216" s="116"/>
      <c r="AE216" s="513"/>
      <c r="AF216" s="516"/>
      <c r="AG216" s="519"/>
      <c r="AH216" s="117"/>
      <c r="AI216" s="118"/>
      <c r="AJ216" s="522"/>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490">
        <f>A214+1</f>
        <v>70</v>
      </c>
      <c r="B217" s="154" t="s">
        <v>4917</v>
      </c>
      <c r="C217" s="499" t="s">
        <v>4852</v>
      </c>
      <c r="D217" s="80" t="s">
        <v>4864</v>
      </c>
      <c r="E217" s="127" t="s">
        <v>4914</v>
      </c>
      <c r="F217" s="128" t="s">
        <v>72</v>
      </c>
      <c r="G217" s="158"/>
      <c r="H217" s="161" t="s">
        <v>4930</v>
      </c>
      <c r="I217" s="127" t="s">
        <v>9</v>
      </c>
      <c r="J217" s="128"/>
      <c r="K217" s="129">
        <f>M219</f>
        <v>1E-3</v>
      </c>
      <c r="L217" s="129"/>
      <c r="M217" s="129"/>
      <c r="N217" s="127"/>
      <c r="O217" s="127"/>
      <c r="P217" s="127"/>
      <c r="Q217" s="130" t="s">
        <v>4855</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505" t="s">
        <v>4856</v>
      </c>
      <c r="AD217" s="87">
        <v>7</v>
      </c>
      <c r="AE217" s="511">
        <v>100</v>
      </c>
      <c r="AF217" s="514" t="e">
        <f>AB218</f>
        <v>#REF!</v>
      </c>
      <c r="AG217" s="517"/>
      <c r="AH217" s="88"/>
      <c r="AI217" s="89"/>
      <c r="AJ217" s="520"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491"/>
      <c r="B218" s="156"/>
      <c r="C218" s="500"/>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4857</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506"/>
      <c r="AD218" s="105"/>
      <c r="AE218" s="512"/>
      <c r="AF218" s="515"/>
      <c r="AG218" s="518"/>
      <c r="AH218" s="106"/>
      <c r="AI218" s="107"/>
      <c r="AJ218" s="521"/>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492"/>
      <c r="B219" s="157"/>
      <c r="C219" s="501"/>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4858</v>
      </c>
      <c r="R219" s="148"/>
      <c r="S219" s="149"/>
      <c r="T219" s="149"/>
      <c r="U219" s="149"/>
      <c r="V219" s="149"/>
      <c r="W219" s="149"/>
      <c r="X219" s="149"/>
      <c r="Y219" s="149"/>
      <c r="Z219" s="149"/>
      <c r="AA219" s="149"/>
      <c r="AB219" s="149"/>
      <c r="AC219" s="507"/>
      <c r="AD219" s="116"/>
      <c r="AE219" s="513"/>
      <c r="AF219" s="516"/>
      <c r="AG219" s="519"/>
      <c r="AH219" s="117"/>
      <c r="AI219" s="118"/>
      <c r="AJ219" s="522"/>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490">
        <f>A217+1</f>
        <v>71</v>
      </c>
      <c r="B220" s="154" t="s">
        <v>4917</v>
      </c>
      <c r="C220" s="499" t="s">
        <v>4852</v>
      </c>
      <c r="D220" s="80" t="s">
        <v>4864</v>
      </c>
      <c r="E220" s="127" t="s">
        <v>4914</v>
      </c>
      <c r="F220" s="128" t="s">
        <v>72</v>
      </c>
      <c r="G220" s="158"/>
      <c r="H220" s="161" t="s">
        <v>4931</v>
      </c>
      <c r="I220" s="127" t="s">
        <v>9</v>
      </c>
      <c r="J220" s="128"/>
      <c r="K220" s="129">
        <f>M222</f>
        <v>1E-3</v>
      </c>
      <c r="L220" s="129"/>
      <c r="M220" s="129"/>
      <c r="N220" s="127"/>
      <c r="O220" s="127"/>
      <c r="P220" s="127"/>
      <c r="Q220" s="130" t="s">
        <v>4855</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505" t="s">
        <v>4856</v>
      </c>
      <c r="AD220" s="87">
        <v>7</v>
      </c>
      <c r="AE220" s="511">
        <v>100</v>
      </c>
      <c r="AF220" s="514" t="e">
        <f>AB221</f>
        <v>#REF!</v>
      </c>
      <c r="AG220" s="517"/>
      <c r="AH220" s="88"/>
      <c r="AI220" s="89"/>
      <c r="AJ220" s="520"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491"/>
      <c r="B221" s="156"/>
      <c r="C221" s="500"/>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4857</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506"/>
      <c r="AD221" s="105"/>
      <c r="AE221" s="512"/>
      <c r="AF221" s="515"/>
      <c r="AG221" s="518"/>
      <c r="AH221" s="106"/>
      <c r="AI221" s="107"/>
      <c r="AJ221" s="521"/>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492"/>
      <c r="B222" s="157"/>
      <c r="C222" s="501"/>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4858</v>
      </c>
      <c r="R222" s="148"/>
      <c r="S222" s="149"/>
      <c r="T222" s="149"/>
      <c r="U222" s="149"/>
      <c r="V222" s="149"/>
      <c r="W222" s="149"/>
      <c r="X222" s="149"/>
      <c r="Y222" s="149"/>
      <c r="Z222" s="149"/>
      <c r="AA222" s="149"/>
      <c r="AB222" s="149"/>
      <c r="AC222" s="507"/>
      <c r="AD222" s="116"/>
      <c r="AE222" s="513"/>
      <c r="AF222" s="516"/>
      <c r="AG222" s="519"/>
      <c r="AH222" s="117"/>
      <c r="AI222" s="118"/>
      <c r="AJ222" s="522"/>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490">
        <f>A220+1</f>
        <v>72</v>
      </c>
      <c r="B223" s="154" t="s">
        <v>4917</v>
      </c>
      <c r="C223" s="499" t="s">
        <v>4852</v>
      </c>
      <c r="D223" s="80" t="s">
        <v>4879</v>
      </c>
      <c r="E223" s="127" t="s">
        <v>4914</v>
      </c>
      <c r="F223" s="128" t="s">
        <v>72</v>
      </c>
      <c r="G223" s="158"/>
      <c r="H223" s="82" t="s">
        <v>4932</v>
      </c>
      <c r="I223" s="127" t="s">
        <v>9</v>
      </c>
      <c r="J223" s="128"/>
      <c r="K223" s="129">
        <f>M225</f>
        <v>1E-3</v>
      </c>
      <c r="L223" s="129"/>
      <c r="M223" s="129"/>
      <c r="N223" s="127"/>
      <c r="O223" s="127"/>
      <c r="P223" s="127"/>
      <c r="Q223" s="130" t="s">
        <v>4855</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505" t="s">
        <v>4856</v>
      </c>
      <c r="AD223" s="87">
        <v>7</v>
      </c>
      <c r="AE223" s="511"/>
      <c r="AF223" s="514" t="e">
        <f>AB224</f>
        <v>#REF!</v>
      </c>
      <c r="AG223" s="517"/>
      <c r="AH223" s="88"/>
      <c r="AI223" s="89"/>
      <c r="AJ223" s="520"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491"/>
      <c r="B224" s="156"/>
      <c r="C224" s="500"/>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4857</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506"/>
      <c r="AD224" s="105"/>
      <c r="AE224" s="512"/>
      <c r="AF224" s="515"/>
      <c r="AG224" s="518"/>
      <c r="AH224" s="106"/>
      <c r="AI224" s="107"/>
      <c r="AJ224" s="521"/>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492"/>
      <c r="B225" s="157"/>
      <c r="C225" s="501"/>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4858</v>
      </c>
      <c r="R225" s="148"/>
      <c r="S225" s="149"/>
      <c r="T225" s="149"/>
      <c r="U225" s="149"/>
      <c r="V225" s="149"/>
      <c r="W225" s="149"/>
      <c r="X225" s="149"/>
      <c r="Y225" s="149"/>
      <c r="Z225" s="149"/>
      <c r="AA225" s="149"/>
      <c r="AB225" s="149"/>
      <c r="AC225" s="507"/>
      <c r="AD225" s="116"/>
      <c r="AE225" s="513"/>
      <c r="AF225" s="516"/>
      <c r="AG225" s="519"/>
      <c r="AH225" s="117"/>
      <c r="AI225" s="118"/>
      <c r="AJ225" s="522"/>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490">
        <f>A223+1</f>
        <v>73</v>
      </c>
      <c r="B226" s="154" t="s">
        <v>4917</v>
      </c>
      <c r="C226" s="499" t="s">
        <v>4852</v>
      </c>
      <c r="D226" s="80" t="s">
        <v>4879</v>
      </c>
      <c r="E226" s="127" t="s">
        <v>4914</v>
      </c>
      <c r="F226" s="128" t="s">
        <v>72</v>
      </c>
      <c r="G226" s="158"/>
      <c r="H226" s="82" t="s">
        <v>4933</v>
      </c>
      <c r="I226" s="127" t="s">
        <v>9</v>
      </c>
      <c r="J226" s="128"/>
      <c r="K226" s="129">
        <f>M228</f>
        <v>1E-3</v>
      </c>
      <c r="L226" s="129"/>
      <c r="M226" s="129"/>
      <c r="N226" s="127"/>
      <c r="O226" s="127"/>
      <c r="P226" s="127"/>
      <c r="Q226" s="130" t="s">
        <v>4855</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505" t="s">
        <v>4856</v>
      </c>
      <c r="AD226" s="87">
        <v>7</v>
      </c>
      <c r="AE226" s="511"/>
      <c r="AF226" s="514" t="e">
        <f>AB227</f>
        <v>#REF!</v>
      </c>
      <c r="AG226" s="517"/>
      <c r="AH226" s="88"/>
      <c r="AI226" s="89"/>
      <c r="AJ226" s="520"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491"/>
      <c r="B227" s="156"/>
      <c r="C227" s="500"/>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4857</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506"/>
      <c r="AD227" s="105"/>
      <c r="AE227" s="512"/>
      <c r="AF227" s="515"/>
      <c r="AG227" s="518"/>
      <c r="AH227" s="106"/>
      <c r="AI227" s="107"/>
      <c r="AJ227" s="521"/>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492"/>
      <c r="B228" s="157"/>
      <c r="C228" s="501"/>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4858</v>
      </c>
      <c r="R228" s="148"/>
      <c r="S228" s="149"/>
      <c r="T228" s="149"/>
      <c r="U228" s="149"/>
      <c r="V228" s="149"/>
      <c r="W228" s="149"/>
      <c r="X228" s="149"/>
      <c r="Y228" s="149"/>
      <c r="Z228" s="149"/>
      <c r="AA228" s="149"/>
      <c r="AB228" s="149"/>
      <c r="AC228" s="507"/>
      <c r="AD228" s="116"/>
      <c r="AE228" s="513"/>
      <c r="AF228" s="516"/>
      <c r="AG228" s="519"/>
      <c r="AH228" s="117"/>
      <c r="AI228" s="118"/>
      <c r="AJ228" s="522"/>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490">
        <f>A226+1</f>
        <v>74</v>
      </c>
      <c r="B229" s="154" t="s">
        <v>4917</v>
      </c>
      <c r="C229" s="499" t="s">
        <v>4852</v>
      </c>
      <c r="D229" s="80" t="s">
        <v>4879</v>
      </c>
      <c r="E229" s="127" t="s">
        <v>4914</v>
      </c>
      <c r="F229" s="128" t="s">
        <v>72</v>
      </c>
      <c r="G229" s="158"/>
      <c r="H229" s="82" t="s">
        <v>4934</v>
      </c>
      <c r="I229" s="127" t="s">
        <v>9</v>
      </c>
      <c r="J229" s="128"/>
      <c r="K229" s="129">
        <f>M231</f>
        <v>1E-3</v>
      </c>
      <c r="L229" s="129"/>
      <c r="M229" s="129"/>
      <c r="N229" s="127"/>
      <c r="O229" s="127"/>
      <c r="P229" s="127"/>
      <c r="Q229" s="130" t="s">
        <v>4855</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505" t="s">
        <v>4856</v>
      </c>
      <c r="AD229" s="87">
        <v>7</v>
      </c>
      <c r="AE229" s="511"/>
      <c r="AF229" s="514" t="e">
        <f>AB230</f>
        <v>#REF!</v>
      </c>
      <c r="AG229" s="517"/>
      <c r="AH229" s="88"/>
      <c r="AI229" s="89"/>
      <c r="AJ229" s="520"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491"/>
      <c r="B230" s="156"/>
      <c r="C230" s="500"/>
      <c r="D230" s="96" t="str">
        <f>D229</f>
        <v>ELE</v>
      </c>
      <c r="E230" s="136" t="str">
        <f>E229</f>
        <v>RFQ-054</v>
      </c>
      <c r="F230" s="137" t="str">
        <f>F229</f>
        <v>N</v>
      </c>
      <c r="G230" s="159"/>
      <c r="H230" s="98" t="str">
        <f>H229</f>
        <v>Flameproof Enclosure (Ex'd)</v>
      </c>
      <c r="I230" s="136" t="str">
        <f>I229</f>
        <v>LD</v>
      </c>
      <c r="J230" s="137"/>
      <c r="K230" s="138"/>
      <c r="L230" s="138">
        <f>M231</f>
        <v>1E-3</v>
      </c>
      <c r="M230" s="138"/>
      <c r="N230" s="136"/>
      <c r="O230" s="136"/>
      <c r="P230" s="136"/>
      <c r="Q230" s="139" t="s">
        <v>4857</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506"/>
      <c r="AD230" s="105"/>
      <c r="AE230" s="512"/>
      <c r="AF230" s="515"/>
      <c r="AG230" s="518"/>
      <c r="AH230" s="106"/>
      <c r="AI230" s="107"/>
      <c r="AJ230" s="521"/>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492"/>
      <c r="B231" s="157"/>
      <c r="C231" s="501"/>
      <c r="D231" s="111" t="str">
        <f>D229</f>
        <v>ELE</v>
      </c>
      <c r="E231" s="145" t="str">
        <f>E229</f>
        <v>RFQ-054</v>
      </c>
      <c r="F231" s="146" t="str">
        <f>F229</f>
        <v>N</v>
      </c>
      <c r="G231" s="160"/>
      <c r="H231" s="113" t="str">
        <f>H229</f>
        <v>Flameproof Enclosure (Ex'd)</v>
      </c>
      <c r="I231" s="145" t="str">
        <f>I229</f>
        <v>LD</v>
      </c>
      <c r="J231" s="146"/>
      <c r="K231" s="147"/>
      <c r="L231" s="147"/>
      <c r="M231" s="147">
        <v>1E-3</v>
      </c>
      <c r="N231" s="145"/>
      <c r="O231" s="145"/>
      <c r="P231" s="145"/>
      <c r="Q231" s="148" t="s">
        <v>4858</v>
      </c>
      <c r="R231" s="148"/>
      <c r="S231" s="149"/>
      <c r="T231" s="149"/>
      <c r="U231" s="149"/>
      <c r="V231" s="149"/>
      <c r="W231" s="149"/>
      <c r="X231" s="149"/>
      <c r="Y231" s="149"/>
      <c r="Z231" s="149"/>
      <c r="AA231" s="149"/>
      <c r="AB231" s="149"/>
      <c r="AC231" s="507"/>
      <c r="AD231" s="116"/>
      <c r="AE231" s="513"/>
      <c r="AF231" s="516"/>
      <c r="AG231" s="519"/>
      <c r="AH231" s="117"/>
      <c r="AI231" s="118"/>
      <c r="AJ231" s="522"/>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490">
        <f>A229+1</f>
        <v>75</v>
      </c>
      <c r="B232" s="154" t="s">
        <v>4917</v>
      </c>
      <c r="C232" s="499" t="s">
        <v>4852</v>
      </c>
      <c r="D232" s="80" t="s">
        <v>4879</v>
      </c>
      <c r="E232" s="127" t="s">
        <v>4914</v>
      </c>
      <c r="F232" s="128" t="s">
        <v>72</v>
      </c>
      <c r="G232" s="158"/>
      <c r="H232" s="82" t="s">
        <v>4935</v>
      </c>
      <c r="I232" s="127" t="s">
        <v>9</v>
      </c>
      <c r="J232" s="128"/>
      <c r="K232" s="129">
        <f>M234</f>
        <v>1E-3</v>
      </c>
      <c r="L232" s="129"/>
      <c r="M232" s="129"/>
      <c r="N232" s="127"/>
      <c r="O232" s="127"/>
      <c r="P232" s="127"/>
      <c r="Q232" s="130" t="s">
        <v>4855</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505" t="s">
        <v>4856</v>
      </c>
      <c r="AD232" s="87">
        <v>7</v>
      </c>
      <c r="AE232" s="511"/>
      <c r="AF232" s="514" t="e">
        <f>AB233</f>
        <v>#REF!</v>
      </c>
      <c r="AG232" s="517"/>
      <c r="AH232" s="88"/>
      <c r="AI232" s="89"/>
      <c r="AJ232" s="520"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491"/>
      <c r="B233" s="156"/>
      <c r="C233" s="500"/>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4857</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506"/>
      <c r="AD233" s="105"/>
      <c r="AE233" s="512"/>
      <c r="AF233" s="515"/>
      <c r="AG233" s="518"/>
      <c r="AH233" s="106"/>
      <c r="AI233" s="107"/>
      <c r="AJ233" s="521"/>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492"/>
      <c r="B234" s="157"/>
      <c r="C234" s="501"/>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4858</v>
      </c>
      <c r="R234" s="148"/>
      <c r="S234" s="149"/>
      <c r="T234" s="149"/>
      <c r="U234" s="149"/>
      <c r="V234" s="149"/>
      <c r="W234" s="149"/>
      <c r="X234" s="149"/>
      <c r="Y234" s="149"/>
      <c r="Z234" s="149"/>
      <c r="AA234" s="149"/>
      <c r="AB234" s="149"/>
      <c r="AC234" s="507"/>
      <c r="AD234" s="116"/>
      <c r="AE234" s="513"/>
      <c r="AF234" s="516"/>
      <c r="AG234" s="519"/>
      <c r="AH234" s="117"/>
      <c r="AI234" s="118"/>
      <c r="AJ234" s="522"/>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490">
        <f>A232+1</f>
        <v>76</v>
      </c>
      <c r="B235" s="154" t="s">
        <v>4917</v>
      </c>
      <c r="C235" s="499" t="s">
        <v>4852</v>
      </c>
      <c r="D235" s="80" t="s">
        <v>4936</v>
      </c>
      <c r="E235" s="127" t="s">
        <v>4914</v>
      </c>
      <c r="F235" s="128" t="s">
        <v>72</v>
      </c>
      <c r="G235" s="158"/>
      <c r="H235" s="82" t="s">
        <v>4937</v>
      </c>
      <c r="I235" s="127" t="s">
        <v>9</v>
      </c>
      <c r="J235" s="128"/>
      <c r="K235" s="129">
        <f>M237</f>
        <v>1E-3</v>
      </c>
      <c r="L235" s="129"/>
      <c r="M235" s="129"/>
      <c r="N235" s="127"/>
      <c r="O235" s="127"/>
      <c r="P235" s="127"/>
      <c r="Q235" s="130" t="s">
        <v>4855</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505" t="s">
        <v>4856</v>
      </c>
      <c r="AD235" s="87">
        <v>7</v>
      </c>
      <c r="AE235" s="511"/>
      <c r="AF235" s="514" t="e">
        <f>AB236</f>
        <v>#REF!</v>
      </c>
      <c r="AG235" s="517"/>
      <c r="AH235" s="88"/>
      <c r="AI235" s="89"/>
      <c r="AJ235" s="520"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491"/>
      <c r="B236" s="156"/>
      <c r="C236" s="500"/>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4857</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506"/>
      <c r="AD236" s="105"/>
      <c r="AE236" s="512"/>
      <c r="AF236" s="515"/>
      <c r="AG236" s="518"/>
      <c r="AH236" s="106"/>
      <c r="AI236" s="107"/>
      <c r="AJ236" s="521"/>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492"/>
      <c r="B237" s="157"/>
      <c r="C237" s="501"/>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4858</v>
      </c>
      <c r="R237" s="148"/>
      <c r="S237" s="149"/>
      <c r="T237" s="149"/>
      <c r="U237" s="149"/>
      <c r="V237" s="149"/>
      <c r="W237" s="149"/>
      <c r="X237" s="149"/>
      <c r="Y237" s="149"/>
      <c r="Z237" s="149"/>
      <c r="AA237" s="149"/>
      <c r="AB237" s="149"/>
      <c r="AC237" s="507"/>
      <c r="AD237" s="116"/>
      <c r="AE237" s="513"/>
      <c r="AF237" s="516"/>
      <c r="AG237" s="519"/>
      <c r="AH237" s="117"/>
      <c r="AI237" s="118"/>
      <c r="AJ237" s="522"/>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490">
        <f>A235+1</f>
        <v>77</v>
      </c>
      <c r="B238" s="154" t="s">
        <v>4917</v>
      </c>
      <c r="C238" s="499" t="s">
        <v>4852</v>
      </c>
      <c r="D238" s="80" t="s">
        <v>4936</v>
      </c>
      <c r="E238" s="127" t="s">
        <v>4914</v>
      </c>
      <c r="F238" s="128" t="s">
        <v>72</v>
      </c>
      <c r="G238" s="158"/>
      <c r="H238" s="82" t="s">
        <v>4938</v>
      </c>
      <c r="I238" s="127" t="s">
        <v>9</v>
      </c>
      <c r="J238" s="128"/>
      <c r="K238" s="129">
        <f>M240</f>
        <v>1E-3</v>
      </c>
      <c r="L238" s="129"/>
      <c r="M238" s="129"/>
      <c r="N238" s="127"/>
      <c r="O238" s="127"/>
      <c r="P238" s="127"/>
      <c r="Q238" s="130" t="s">
        <v>4855</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505" t="s">
        <v>4856</v>
      </c>
      <c r="AD238" s="87">
        <v>7</v>
      </c>
      <c r="AE238" s="511">
        <v>121</v>
      </c>
      <c r="AF238" s="514" t="e">
        <f>AB239</f>
        <v>#REF!</v>
      </c>
      <c r="AG238" s="517"/>
      <c r="AH238" s="88"/>
      <c r="AI238" s="89"/>
      <c r="AJ238" s="520"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491"/>
      <c r="B239" s="156"/>
      <c r="C239" s="500"/>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4857</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506"/>
      <c r="AD239" s="105"/>
      <c r="AE239" s="512"/>
      <c r="AF239" s="515"/>
      <c r="AG239" s="518"/>
      <c r="AH239" s="106"/>
      <c r="AI239" s="107"/>
      <c r="AJ239" s="521"/>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492"/>
      <c r="B240" s="157"/>
      <c r="C240" s="501"/>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4858</v>
      </c>
      <c r="R240" s="148"/>
      <c r="S240" s="149"/>
      <c r="T240" s="149"/>
      <c r="U240" s="149"/>
      <c r="V240" s="149"/>
      <c r="W240" s="149"/>
      <c r="X240" s="149"/>
      <c r="Y240" s="149"/>
      <c r="Z240" s="149"/>
      <c r="AA240" s="149"/>
      <c r="AB240" s="149"/>
      <c r="AC240" s="507"/>
      <c r="AD240" s="116"/>
      <c r="AE240" s="513"/>
      <c r="AF240" s="516"/>
      <c r="AG240" s="519"/>
      <c r="AH240" s="117"/>
      <c r="AI240" s="118"/>
      <c r="AJ240" s="522"/>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490">
        <f>A238+1</f>
        <v>78</v>
      </c>
      <c r="B241" s="154" t="s">
        <v>4917</v>
      </c>
      <c r="C241" s="499" t="s">
        <v>4852</v>
      </c>
      <c r="D241" s="80" t="s">
        <v>4936</v>
      </c>
      <c r="E241" s="127" t="s">
        <v>4914</v>
      </c>
      <c r="F241" s="128" t="s">
        <v>72</v>
      </c>
      <c r="G241" s="158"/>
      <c r="H241" s="82" t="s">
        <v>4939</v>
      </c>
      <c r="I241" s="127" t="s">
        <v>9</v>
      </c>
      <c r="J241" s="128"/>
      <c r="K241" s="129">
        <f>M243</f>
        <v>1E-3</v>
      </c>
      <c r="L241" s="129"/>
      <c r="M241" s="129"/>
      <c r="N241" s="127"/>
      <c r="O241" s="127"/>
      <c r="P241" s="127"/>
      <c r="Q241" s="130" t="s">
        <v>4855</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505" t="s">
        <v>4856</v>
      </c>
      <c r="AD241" s="87">
        <v>7</v>
      </c>
      <c r="AE241" s="511">
        <v>121</v>
      </c>
      <c r="AF241" s="514" t="e">
        <f>AB242</f>
        <v>#REF!</v>
      </c>
      <c r="AG241" s="517"/>
      <c r="AH241" s="88"/>
      <c r="AI241" s="89"/>
      <c r="AJ241" s="520"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491"/>
      <c r="B242" s="156"/>
      <c r="C242" s="500"/>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4857</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506"/>
      <c r="AD242" s="105"/>
      <c r="AE242" s="512"/>
      <c r="AF242" s="515"/>
      <c r="AG242" s="518"/>
      <c r="AH242" s="106"/>
      <c r="AI242" s="107"/>
      <c r="AJ242" s="521"/>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492"/>
      <c r="B243" s="157"/>
      <c r="C243" s="501"/>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4858</v>
      </c>
      <c r="R243" s="148"/>
      <c r="S243" s="149"/>
      <c r="T243" s="149"/>
      <c r="U243" s="149"/>
      <c r="V243" s="149"/>
      <c r="W243" s="149"/>
      <c r="X243" s="149"/>
      <c r="Y243" s="149"/>
      <c r="Z243" s="149"/>
      <c r="AA243" s="149"/>
      <c r="AB243" s="149"/>
      <c r="AC243" s="507"/>
      <c r="AD243" s="116"/>
      <c r="AE243" s="513"/>
      <c r="AF243" s="516"/>
      <c r="AG243" s="519"/>
      <c r="AH243" s="117"/>
      <c r="AI243" s="118"/>
      <c r="AJ243" s="522"/>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490">
        <f>A241+1</f>
        <v>79</v>
      </c>
      <c r="B244" s="154" t="s">
        <v>4917</v>
      </c>
      <c r="C244" s="499" t="s">
        <v>4852</v>
      </c>
      <c r="D244" s="80" t="s">
        <v>4936</v>
      </c>
      <c r="E244" s="127" t="s">
        <v>4914</v>
      </c>
      <c r="F244" s="128" t="s">
        <v>72</v>
      </c>
      <c r="G244" s="158"/>
      <c r="H244" s="82" t="s">
        <v>4940</v>
      </c>
      <c r="I244" s="127" t="s">
        <v>9</v>
      </c>
      <c r="J244" s="128"/>
      <c r="K244" s="129">
        <f>M246</f>
        <v>1E-3</v>
      </c>
      <c r="L244" s="129"/>
      <c r="M244" s="129"/>
      <c r="N244" s="127"/>
      <c r="O244" s="127"/>
      <c r="P244" s="127"/>
      <c r="Q244" s="130" t="s">
        <v>4855</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505" t="s">
        <v>4856</v>
      </c>
      <c r="AD244" s="87">
        <v>7</v>
      </c>
      <c r="AE244" s="511">
        <v>121</v>
      </c>
      <c r="AF244" s="514" t="e">
        <f>AB245</f>
        <v>#REF!</v>
      </c>
      <c r="AG244" s="517"/>
      <c r="AH244" s="88"/>
      <c r="AI244" s="89"/>
      <c r="AJ244" s="520"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491"/>
      <c r="B245" s="156"/>
      <c r="C245" s="500"/>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4857</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506"/>
      <c r="AD245" s="105"/>
      <c r="AE245" s="512"/>
      <c r="AF245" s="515"/>
      <c r="AG245" s="518"/>
      <c r="AH245" s="106"/>
      <c r="AI245" s="107"/>
      <c r="AJ245" s="521"/>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492"/>
      <c r="B246" s="157"/>
      <c r="C246" s="501"/>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4858</v>
      </c>
      <c r="R246" s="148"/>
      <c r="S246" s="149"/>
      <c r="T246" s="149"/>
      <c r="U246" s="149"/>
      <c r="V246" s="149"/>
      <c r="W246" s="149"/>
      <c r="X246" s="149"/>
      <c r="Y246" s="149"/>
      <c r="Z246" s="149"/>
      <c r="AA246" s="149"/>
      <c r="AB246" s="149"/>
      <c r="AC246" s="507"/>
      <c r="AD246" s="116"/>
      <c r="AE246" s="513"/>
      <c r="AF246" s="516"/>
      <c r="AG246" s="519"/>
      <c r="AH246" s="117"/>
      <c r="AI246" s="118"/>
      <c r="AJ246" s="522"/>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490">
        <f>A244+1</f>
        <v>80</v>
      </c>
      <c r="B247" s="154" t="s">
        <v>4917</v>
      </c>
      <c r="C247" s="499" t="s">
        <v>4852</v>
      </c>
      <c r="D247" s="80" t="s">
        <v>4936</v>
      </c>
      <c r="E247" s="127" t="s">
        <v>4914</v>
      </c>
      <c r="F247" s="128" t="s">
        <v>72</v>
      </c>
      <c r="G247" s="158"/>
      <c r="H247" s="82" t="s">
        <v>4941</v>
      </c>
      <c r="I247" s="127" t="s">
        <v>9</v>
      </c>
      <c r="J247" s="128"/>
      <c r="K247" s="129">
        <f>M249</f>
        <v>1E-3</v>
      </c>
      <c r="L247" s="129"/>
      <c r="M247" s="129"/>
      <c r="N247" s="127"/>
      <c r="O247" s="127"/>
      <c r="P247" s="127"/>
      <c r="Q247" s="130" t="s">
        <v>4855</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505" t="s">
        <v>4856</v>
      </c>
      <c r="AD247" s="87">
        <v>7</v>
      </c>
      <c r="AE247" s="511">
        <v>121</v>
      </c>
      <c r="AF247" s="514" t="e">
        <f>AB248</f>
        <v>#REF!</v>
      </c>
      <c r="AG247" s="517"/>
      <c r="AH247" s="88"/>
      <c r="AI247" s="89"/>
      <c r="AJ247" s="520"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491"/>
      <c r="B248" s="156"/>
      <c r="C248" s="500"/>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4857</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506"/>
      <c r="AD248" s="105"/>
      <c r="AE248" s="512"/>
      <c r="AF248" s="515"/>
      <c r="AG248" s="518"/>
      <c r="AH248" s="106"/>
      <c r="AI248" s="107"/>
      <c r="AJ248" s="521"/>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492"/>
      <c r="B249" s="157"/>
      <c r="C249" s="501"/>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4858</v>
      </c>
      <c r="R249" s="148"/>
      <c r="S249" s="149"/>
      <c r="T249" s="149"/>
      <c r="U249" s="149"/>
      <c r="V249" s="149"/>
      <c r="W249" s="149"/>
      <c r="X249" s="149"/>
      <c r="Y249" s="149"/>
      <c r="Z249" s="149"/>
      <c r="AA249" s="149"/>
      <c r="AB249" s="149"/>
      <c r="AC249" s="507"/>
      <c r="AD249" s="116"/>
      <c r="AE249" s="513"/>
      <c r="AF249" s="516"/>
      <c r="AG249" s="519"/>
      <c r="AH249" s="117"/>
      <c r="AI249" s="118"/>
      <c r="AJ249" s="522"/>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490">
        <f>A247+1</f>
        <v>81</v>
      </c>
      <c r="B250" s="154" t="s">
        <v>4917</v>
      </c>
      <c r="C250" s="499" t="s">
        <v>4852</v>
      </c>
      <c r="D250" s="80" t="s">
        <v>4879</v>
      </c>
      <c r="E250" s="127" t="s">
        <v>4914</v>
      </c>
      <c r="F250" s="128" t="s">
        <v>72</v>
      </c>
      <c r="G250" s="158"/>
      <c r="H250" s="161" t="s">
        <v>4942</v>
      </c>
      <c r="I250" s="127" t="s">
        <v>9</v>
      </c>
      <c r="J250" s="128"/>
      <c r="K250" s="129">
        <f>M252</f>
        <v>1E-3</v>
      </c>
      <c r="L250" s="129"/>
      <c r="M250" s="129"/>
      <c r="N250" s="127"/>
      <c r="O250" s="127"/>
      <c r="P250" s="127"/>
      <c r="Q250" s="130" t="s">
        <v>4855</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505" t="s">
        <v>4856</v>
      </c>
      <c r="AD250" s="87">
        <v>7</v>
      </c>
      <c r="AE250" s="511">
        <v>100</v>
      </c>
      <c r="AF250" s="514" t="e">
        <f>AB251</f>
        <v>#REF!</v>
      </c>
      <c r="AG250" s="517"/>
      <c r="AH250" s="88"/>
      <c r="AI250" s="89"/>
      <c r="AJ250" s="520"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491"/>
      <c r="B251" s="156"/>
      <c r="C251" s="500"/>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4857</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506"/>
      <c r="AD251" s="105"/>
      <c r="AE251" s="512"/>
      <c r="AF251" s="515"/>
      <c r="AG251" s="518"/>
      <c r="AH251" s="106"/>
      <c r="AI251" s="107"/>
      <c r="AJ251" s="521"/>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492"/>
      <c r="B252" s="157"/>
      <c r="C252" s="501"/>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4858</v>
      </c>
      <c r="R252" s="148"/>
      <c r="S252" s="149"/>
      <c r="T252" s="149"/>
      <c r="U252" s="149"/>
      <c r="V252" s="149"/>
      <c r="W252" s="149"/>
      <c r="X252" s="149"/>
      <c r="Y252" s="149"/>
      <c r="Z252" s="149"/>
      <c r="AA252" s="149"/>
      <c r="AB252" s="149"/>
      <c r="AC252" s="507"/>
      <c r="AD252" s="116"/>
      <c r="AE252" s="513"/>
      <c r="AF252" s="516"/>
      <c r="AG252" s="519"/>
      <c r="AH252" s="117"/>
      <c r="AI252" s="118"/>
      <c r="AJ252" s="522"/>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490">
        <f>A250+1</f>
        <v>82</v>
      </c>
      <c r="B253" s="154" t="s">
        <v>4917</v>
      </c>
      <c r="C253" s="499" t="s">
        <v>4852</v>
      </c>
      <c r="D253" s="80" t="s">
        <v>4864</v>
      </c>
      <c r="E253" s="127" t="s">
        <v>4914</v>
      </c>
      <c r="F253" s="128" t="s">
        <v>72</v>
      </c>
      <c r="G253" s="158"/>
      <c r="H253" s="161" t="s">
        <v>4931</v>
      </c>
      <c r="I253" s="127" t="s">
        <v>9</v>
      </c>
      <c r="J253" s="128"/>
      <c r="K253" s="129">
        <f>M255</f>
        <v>1E-3</v>
      </c>
      <c r="L253" s="129"/>
      <c r="M253" s="129"/>
      <c r="N253" s="127"/>
      <c r="O253" s="127"/>
      <c r="P253" s="127"/>
      <c r="Q253" s="130" t="s">
        <v>4855</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505" t="s">
        <v>4856</v>
      </c>
      <c r="AD253" s="87">
        <v>7</v>
      </c>
      <c r="AE253" s="511">
        <v>100</v>
      </c>
      <c r="AF253" s="514" t="e">
        <f>AB254</f>
        <v>#REF!</v>
      </c>
      <c r="AG253" s="517"/>
      <c r="AH253" s="88"/>
      <c r="AI253" s="89"/>
      <c r="AJ253" s="520"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491"/>
      <c r="B254" s="156"/>
      <c r="C254" s="500"/>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4857</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506"/>
      <c r="AD254" s="105"/>
      <c r="AE254" s="512"/>
      <c r="AF254" s="515"/>
      <c r="AG254" s="518"/>
      <c r="AH254" s="106"/>
      <c r="AI254" s="107"/>
      <c r="AJ254" s="521"/>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492"/>
      <c r="B255" s="157"/>
      <c r="C255" s="501"/>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4858</v>
      </c>
      <c r="R255" s="148"/>
      <c r="S255" s="149"/>
      <c r="T255" s="149"/>
      <c r="U255" s="149"/>
      <c r="V255" s="149"/>
      <c r="W255" s="149"/>
      <c r="X255" s="149"/>
      <c r="Y255" s="149"/>
      <c r="Z255" s="149"/>
      <c r="AA255" s="149"/>
      <c r="AB255" s="149"/>
      <c r="AC255" s="507"/>
      <c r="AD255" s="116"/>
      <c r="AE255" s="513"/>
      <c r="AF255" s="516"/>
      <c r="AG255" s="519"/>
      <c r="AH255" s="117"/>
      <c r="AI255" s="118"/>
      <c r="AJ255" s="522"/>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490">
        <f>A253+1</f>
        <v>83</v>
      </c>
      <c r="B256" s="154" t="s">
        <v>4917</v>
      </c>
      <c r="C256" s="499" t="s">
        <v>4852</v>
      </c>
      <c r="D256" s="80" t="s">
        <v>4864</v>
      </c>
      <c r="E256" s="127" t="s">
        <v>4914</v>
      </c>
      <c r="F256" s="128" t="s">
        <v>72</v>
      </c>
      <c r="G256" s="158"/>
      <c r="H256" s="161" t="s">
        <v>4811</v>
      </c>
      <c r="I256" s="127" t="s">
        <v>9</v>
      </c>
      <c r="J256" s="128"/>
      <c r="K256" s="129">
        <f>M258</f>
        <v>1E-3</v>
      </c>
      <c r="L256" s="129"/>
      <c r="M256" s="129"/>
      <c r="N256" s="127"/>
      <c r="O256" s="127"/>
      <c r="P256" s="127"/>
      <c r="Q256" s="130" t="s">
        <v>4855</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505" t="s">
        <v>4856</v>
      </c>
      <c r="AD256" s="87">
        <v>7</v>
      </c>
      <c r="AE256" s="511">
        <v>100</v>
      </c>
      <c r="AF256" s="514" t="e">
        <f>AB257</f>
        <v>#REF!</v>
      </c>
      <c r="AG256" s="517"/>
      <c r="AH256" s="88"/>
      <c r="AI256" s="89"/>
      <c r="AJ256" s="520"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491"/>
      <c r="B257" s="156"/>
      <c r="C257" s="500"/>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4857</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506"/>
      <c r="AD257" s="105"/>
      <c r="AE257" s="512"/>
      <c r="AF257" s="515"/>
      <c r="AG257" s="518"/>
      <c r="AH257" s="106"/>
      <c r="AI257" s="107"/>
      <c r="AJ257" s="521"/>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492"/>
      <c r="B258" s="157"/>
      <c r="C258" s="501"/>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4858</v>
      </c>
      <c r="R258" s="148"/>
      <c r="S258" s="149"/>
      <c r="T258" s="149"/>
      <c r="U258" s="149"/>
      <c r="V258" s="149"/>
      <c r="W258" s="149"/>
      <c r="X258" s="149"/>
      <c r="Y258" s="149"/>
      <c r="Z258" s="149"/>
      <c r="AA258" s="149"/>
      <c r="AB258" s="149"/>
      <c r="AC258" s="507"/>
      <c r="AD258" s="116"/>
      <c r="AE258" s="513"/>
      <c r="AF258" s="516"/>
      <c r="AG258" s="519"/>
      <c r="AH258" s="117"/>
      <c r="AI258" s="118"/>
      <c r="AJ258" s="522"/>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490">
        <f>A256+1</f>
        <v>84</v>
      </c>
      <c r="B259" s="154" t="s">
        <v>4917</v>
      </c>
      <c r="C259" s="499" t="s">
        <v>4852</v>
      </c>
      <c r="D259" s="80" t="s">
        <v>4864</v>
      </c>
      <c r="E259" s="127" t="s">
        <v>4914</v>
      </c>
      <c r="F259" s="128" t="s">
        <v>72</v>
      </c>
      <c r="G259" s="158"/>
      <c r="H259" s="161" t="s">
        <v>4943</v>
      </c>
      <c r="I259" s="127" t="s">
        <v>9</v>
      </c>
      <c r="J259" s="128"/>
      <c r="K259" s="129">
        <f>M261</f>
        <v>1E-3</v>
      </c>
      <c r="L259" s="129"/>
      <c r="M259" s="129"/>
      <c r="N259" s="127"/>
      <c r="O259" s="127"/>
      <c r="P259" s="127"/>
      <c r="Q259" s="130" t="s">
        <v>4855</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505" t="s">
        <v>4856</v>
      </c>
      <c r="AD259" s="87">
        <v>7</v>
      </c>
      <c r="AE259" s="511">
        <v>100</v>
      </c>
      <c r="AF259" s="514" t="e">
        <f>AB260</f>
        <v>#REF!</v>
      </c>
      <c r="AG259" s="517"/>
      <c r="AH259" s="88"/>
      <c r="AI259" s="89"/>
      <c r="AJ259" s="520"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491"/>
      <c r="B260" s="156"/>
      <c r="C260" s="500"/>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4857</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506"/>
      <c r="AD260" s="105"/>
      <c r="AE260" s="512"/>
      <c r="AF260" s="515"/>
      <c r="AG260" s="518"/>
      <c r="AH260" s="106"/>
      <c r="AI260" s="107"/>
      <c r="AJ260" s="521"/>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492"/>
      <c r="B261" s="157"/>
      <c r="C261" s="501"/>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4858</v>
      </c>
      <c r="R261" s="148"/>
      <c r="S261" s="149"/>
      <c r="T261" s="149"/>
      <c r="U261" s="149"/>
      <c r="V261" s="149"/>
      <c r="W261" s="149"/>
      <c r="X261" s="149"/>
      <c r="Y261" s="149"/>
      <c r="Z261" s="149"/>
      <c r="AA261" s="149"/>
      <c r="AB261" s="149"/>
      <c r="AC261" s="507"/>
      <c r="AD261" s="116"/>
      <c r="AE261" s="513"/>
      <c r="AF261" s="516"/>
      <c r="AG261" s="519"/>
      <c r="AH261" s="117"/>
      <c r="AI261" s="118"/>
      <c r="AJ261" s="522"/>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490">
        <f>A259+1</f>
        <v>85</v>
      </c>
      <c r="B262" s="154" t="s">
        <v>4917</v>
      </c>
      <c r="C262" s="499" t="s">
        <v>4852</v>
      </c>
      <c r="D262" s="80" t="s">
        <v>4864</v>
      </c>
      <c r="E262" s="127" t="s">
        <v>4914</v>
      </c>
      <c r="F262" s="128" t="s">
        <v>72</v>
      </c>
      <c r="G262" s="158"/>
      <c r="H262" s="161" t="s">
        <v>4944</v>
      </c>
      <c r="I262" s="127" t="s">
        <v>9</v>
      </c>
      <c r="J262" s="128"/>
      <c r="K262" s="129">
        <f>M264</f>
        <v>1E-3</v>
      </c>
      <c r="L262" s="129"/>
      <c r="M262" s="129"/>
      <c r="N262" s="127"/>
      <c r="O262" s="127"/>
      <c r="P262" s="127"/>
      <c r="Q262" s="130" t="s">
        <v>4855</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505" t="s">
        <v>4856</v>
      </c>
      <c r="AD262" s="87">
        <v>7</v>
      </c>
      <c r="AE262" s="511">
        <v>100</v>
      </c>
      <c r="AF262" s="514" t="e">
        <f>AB263</f>
        <v>#REF!</v>
      </c>
      <c r="AG262" s="517"/>
      <c r="AH262" s="88"/>
      <c r="AI262" s="89"/>
      <c r="AJ262" s="520"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491"/>
      <c r="B263" s="156"/>
      <c r="C263" s="500"/>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4857</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506"/>
      <c r="AD263" s="105"/>
      <c r="AE263" s="512"/>
      <c r="AF263" s="515"/>
      <c r="AG263" s="518"/>
      <c r="AH263" s="106"/>
      <c r="AI263" s="107"/>
      <c r="AJ263" s="521"/>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492"/>
      <c r="B264" s="157"/>
      <c r="C264" s="501"/>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4858</v>
      </c>
      <c r="R264" s="148"/>
      <c r="S264" s="149"/>
      <c r="T264" s="149"/>
      <c r="U264" s="149"/>
      <c r="V264" s="149"/>
      <c r="W264" s="149"/>
      <c r="X264" s="149"/>
      <c r="Y264" s="149"/>
      <c r="Z264" s="149"/>
      <c r="AA264" s="149"/>
      <c r="AB264" s="149"/>
      <c r="AC264" s="507"/>
      <c r="AD264" s="116"/>
      <c r="AE264" s="513"/>
      <c r="AF264" s="516"/>
      <c r="AG264" s="519"/>
      <c r="AH264" s="117"/>
      <c r="AI264" s="118"/>
      <c r="AJ264" s="522"/>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490">
        <f>A262+1</f>
        <v>86</v>
      </c>
      <c r="B265" s="154" t="s">
        <v>4917</v>
      </c>
      <c r="C265" s="499" t="s">
        <v>4852</v>
      </c>
      <c r="D265" s="80" t="s">
        <v>4864</v>
      </c>
      <c r="E265" s="127" t="s">
        <v>4914</v>
      </c>
      <c r="F265" s="128" t="s">
        <v>72</v>
      </c>
      <c r="G265" s="158"/>
      <c r="H265" s="161" t="s">
        <v>4945</v>
      </c>
      <c r="I265" s="127" t="s">
        <v>9</v>
      </c>
      <c r="J265" s="128"/>
      <c r="K265" s="129">
        <f>M267</f>
        <v>1E-3</v>
      </c>
      <c r="L265" s="129"/>
      <c r="M265" s="129"/>
      <c r="N265" s="127"/>
      <c r="O265" s="127"/>
      <c r="P265" s="127"/>
      <c r="Q265" s="130" t="s">
        <v>4855</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505" t="s">
        <v>4856</v>
      </c>
      <c r="AD265" s="87">
        <v>7</v>
      </c>
      <c r="AE265" s="511">
        <v>100</v>
      </c>
      <c r="AF265" s="514" t="e">
        <f>AB266</f>
        <v>#REF!</v>
      </c>
      <c r="AG265" s="517"/>
      <c r="AH265" s="88"/>
      <c r="AI265" s="89"/>
      <c r="AJ265" s="520"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491"/>
      <c r="B266" s="156"/>
      <c r="C266" s="500"/>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4857</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506"/>
      <c r="AD266" s="105"/>
      <c r="AE266" s="512"/>
      <c r="AF266" s="515"/>
      <c r="AG266" s="518"/>
      <c r="AH266" s="106"/>
      <c r="AI266" s="107"/>
      <c r="AJ266" s="521"/>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492"/>
      <c r="B267" s="157"/>
      <c r="C267" s="501"/>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4858</v>
      </c>
      <c r="R267" s="148"/>
      <c r="S267" s="149"/>
      <c r="T267" s="149"/>
      <c r="U267" s="149"/>
      <c r="V267" s="149"/>
      <c r="W267" s="149"/>
      <c r="X267" s="149"/>
      <c r="Y267" s="149"/>
      <c r="Z267" s="149"/>
      <c r="AA267" s="149"/>
      <c r="AB267" s="149"/>
      <c r="AC267" s="507"/>
      <c r="AD267" s="116"/>
      <c r="AE267" s="513"/>
      <c r="AF267" s="516"/>
      <c r="AG267" s="519"/>
      <c r="AH267" s="117"/>
      <c r="AI267" s="118"/>
      <c r="AJ267" s="522"/>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490">
        <f>A265+1</f>
        <v>87</v>
      </c>
      <c r="B268" s="154" t="s">
        <v>4917</v>
      </c>
      <c r="C268" s="499" t="s">
        <v>4852</v>
      </c>
      <c r="D268" s="80" t="s">
        <v>4864</v>
      </c>
      <c r="E268" s="127" t="s">
        <v>4914</v>
      </c>
      <c r="F268" s="128" t="s">
        <v>72</v>
      </c>
      <c r="G268" s="158"/>
      <c r="H268" s="161" t="s">
        <v>4946</v>
      </c>
      <c r="I268" s="127" t="s">
        <v>9</v>
      </c>
      <c r="J268" s="128"/>
      <c r="K268" s="129">
        <f>M270</f>
        <v>1E-3</v>
      </c>
      <c r="L268" s="129"/>
      <c r="M268" s="129"/>
      <c r="N268" s="127"/>
      <c r="O268" s="127"/>
      <c r="P268" s="127"/>
      <c r="Q268" s="130" t="s">
        <v>4855</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505" t="s">
        <v>4856</v>
      </c>
      <c r="AD268" s="87">
        <v>7</v>
      </c>
      <c r="AE268" s="511">
        <v>100</v>
      </c>
      <c r="AF268" s="514" t="e">
        <f>AB269</f>
        <v>#REF!</v>
      </c>
      <c r="AG268" s="517"/>
      <c r="AH268" s="88"/>
      <c r="AI268" s="89"/>
      <c r="AJ268" s="520"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491"/>
      <c r="B269" s="156"/>
      <c r="C269" s="500"/>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4857</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506"/>
      <c r="AD269" s="105"/>
      <c r="AE269" s="512"/>
      <c r="AF269" s="515"/>
      <c r="AG269" s="518"/>
      <c r="AH269" s="106"/>
      <c r="AI269" s="107"/>
      <c r="AJ269" s="521"/>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492"/>
      <c r="B270" s="157"/>
      <c r="C270" s="501"/>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4858</v>
      </c>
      <c r="R270" s="148"/>
      <c r="S270" s="149"/>
      <c r="T270" s="149"/>
      <c r="U270" s="149"/>
      <c r="V270" s="149"/>
      <c r="W270" s="149"/>
      <c r="X270" s="149"/>
      <c r="Y270" s="149"/>
      <c r="Z270" s="149"/>
      <c r="AA270" s="149"/>
      <c r="AB270" s="149"/>
      <c r="AC270" s="507"/>
      <c r="AD270" s="116"/>
      <c r="AE270" s="513"/>
      <c r="AF270" s="516"/>
      <c r="AG270" s="519"/>
      <c r="AH270" s="117"/>
      <c r="AI270" s="118"/>
      <c r="AJ270" s="522"/>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490">
        <f>A268+1</f>
        <v>88</v>
      </c>
      <c r="B271" s="154" t="s">
        <v>4917</v>
      </c>
      <c r="C271" s="499" t="s">
        <v>4852</v>
      </c>
      <c r="D271" s="80" t="s">
        <v>4864</v>
      </c>
      <c r="E271" s="127" t="s">
        <v>4914</v>
      </c>
      <c r="F271" s="128" t="s">
        <v>72</v>
      </c>
      <c r="G271" s="158"/>
      <c r="H271" s="161" t="s">
        <v>4947</v>
      </c>
      <c r="I271" s="127" t="s">
        <v>9</v>
      </c>
      <c r="J271" s="128"/>
      <c r="K271" s="129">
        <f>M273</f>
        <v>1E-3</v>
      </c>
      <c r="L271" s="129"/>
      <c r="M271" s="129"/>
      <c r="N271" s="127"/>
      <c r="O271" s="127"/>
      <c r="P271" s="127"/>
      <c r="Q271" s="130" t="s">
        <v>4855</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505" t="s">
        <v>4856</v>
      </c>
      <c r="AD271" s="87">
        <v>7</v>
      </c>
      <c r="AE271" s="511">
        <v>100</v>
      </c>
      <c r="AF271" s="514" t="e">
        <f>AB272</f>
        <v>#REF!</v>
      </c>
      <c r="AG271" s="517"/>
      <c r="AH271" s="88"/>
      <c r="AI271" s="89"/>
      <c r="AJ271" s="520"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491"/>
      <c r="B272" s="156"/>
      <c r="C272" s="500"/>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4857</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506"/>
      <c r="AD272" s="105"/>
      <c r="AE272" s="512"/>
      <c r="AF272" s="515"/>
      <c r="AG272" s="518"/>
      <c r="AH272" s="106"/>
      <c r="AI272" s="107"/>
      <c r="AJ272" s="521"/>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492"/>
      <c r="B273" s="157"/>
      <c r="C273" s="501"/>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4858</v>
      </c>
      <c r="R273" s="148"/>
      <c r="S273" s="149"/>
      <c r="T273" s="149"/>
      <c r="U273" s="149"/>
      <c r="V273" s="149"/>
      <c r="W273" s="149"/>
      <c r="X273" s="149"/>
      <c r="Y273" s="149"/>
      <c r="Z273" s="149"/>
      <c r="AA273" s="149"/>
      <c r="AB273" s="149"/>
      <c r="AC273" s="507"/>
      <c r="AD273" s="116"/>
      <c r="AE273" s="513"/>
      <c r="AF273" s="516"/>
      <c r="AG273" s="519"/>
      <c r="AH273" s="117"/>
      <c r="AI273" s="118"/>
      <c r="AJ273" s="522"/>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490">
        <f>A271+1</f>
        <v>89</v>
      </c>
      <c r="B274" s="154" t="s">
        <v>4917</v>
      </c>
      <c r="C274" s="499" t="s">
        <v>4852</v>
      </c>
      <c r="D274" s="80" t="s">
        <v>4864</v>
      </c>
      <c r="E274" s="127" t="s">
        <v>4914</v>
      </c>
      <c r="F274" s="128" t="s">
        <v>72</v>
      </c>
      <c r="G274" s="158"/>
      <c r="H274" s="161" t="s">
        <v>4948</v>
      </c>
      <c r="I274" s="127" t="s">
        <v>9</v>
      </c>
      <c r="J274" s="128"/>
      <c r="K274" s="129">
        <f>M276</f>
        <v>1E-3</v>
      </c>
      <c r="L274" s="129"/>
      <c r="M274" s="129"/>
      <c r="N274" s="127"/>
      <c r="O274" s="127"/>
      <c r="P274" s="127"/>
      <c r="Q274" s="130" t="s">
        <v>4855</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505" t="s">
        <v>4856</v>
      </c>
      <c r="AD274" s="87">
        <v>7</v>
      </c>
      <c r="AE274" s="511">
        <v>121</v>
      </c>
      <c r="AF274" s="514" t="e">
        <f>AB275</f>
        <v>#REF!</v>
      </c>
      <c r="AG274" s="517"/>
      <c r="AH274" s="88"/>
      <c r="AI274" s="89"/>
      <c r="AJ274" s="520"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491"/>
      <c r="B275" s="156"/>
      <c r="C275" s="500"/>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4857</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506"/>
      <c r="AD275" s="105"/>
      <c r="AE275" s="512"/>
      <c r="AF275" s="515"/>
      <c r="AG275" s="518"/>
      <c r="AH275" s="106"/>
      <c r="AI275" s="107"/>
      <c r="AJ275" s="521"/>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492"/>
      <c r="B276" s="157"/>
      <c r="C276" s="501"/>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4858</v>
      </c>
      <c r="R276" s="148"/>
      <c r="S276" s="149"/>
      <c r="T276" s="149"/>
      <c r="U276" s="149"/>
      <c r="V276" s="149"/>
      <c r="W276" s="149"/>
      <c r="X276" s="149"/>
      <c r="Y276" s="149"/>
      <c r="Z276" s="149"/>
      <c r="AA276" s="149"/>
      <c r="AB276" s="149"/>
      <c r="AC276" s="507"/>
      <c r="AD276" s="116"/>
      <c r="AE276" s="513"/>
      <c r="AF276" s="516"/>
      <c r="AG276" s="519"/>
      <c r="AH276" s="117"/>
      <c r="AI276" s="118"/>
      <c r="AJ276" s="522"/>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490">
        <f>A274+1</f>
        <v>90</v>
      </c>
      <c r="B277" s="154" t="s">
        <v>4917</v>
      </c>
      <c r="C277" s="499" t="s">
        <v>4852</v>
      </c>
      <c r="D277" s="80" t="s">
        <v>4913</v>
      </c>
      <c r="E277" s="127" t="s">
        <v>4914</v>
      </c>
      <c r="F277" s="128" t="s">
        <v>72</v>
      </c>
      <c r="G277" s="158"/>
      <c r="H277" s="161" t="s">
        <v>4949</v>
      </c>
      <c r="I277" s="127" t="s">
        <v>9</v>
      </c>
      <c r="J277" s="128"/>
      <c r="K277" s="129">
        <f>M279</f>
        <v>1E-3</v>
      </c>
      <c r="L277" s="129"/>
      <c r="M277" s="129"/>
      <c r="N277" s="127"/>
      <c r="O277" s="127"/>
      <c r="P277" s="127"/>
      <c r="Q277" s="130" t="s">
        <v>4855</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505" t="s">
        <v>4856</v>
      </c>
      <c r="AD277" s="87">
        <v>7</v>
      </c>
      <c r="AE277" s="511">
        <v>75</v>
      </c>
      <c r="AF277" s="514" t="e">
        <f>AB278</f>
        <v>#REF!</v>
      </c>
      <c r="AG277" s="517"/>
      <c r="AH277" s="88"/>
      <c r="AI277" s="89"/>
      <c r="AJ277" s="520"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491"/>
      <c r="B278" s="156"/>
      <c r="C278" s="500"/>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4857</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506"/>
      <c r="AD278" s="105"/>
      <c r="AE278" s="512"/>
      <c r="AF278" s="515"/>
      <c r="AG278" s="518"/>
      <c r="AH278" s="106"/>
      <c r="AI278" s="107"/>
      <c r="AJ278" s="521"/>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492"/>
      <c r="B279" s="157"/>
      <c r="C279" s="501"/>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4858</v>
      </c>
      <c r="R279" s="148"/>
      <c r="S279" s="149"/>
      <c r="T279" s="149"/>
      <c r="U279" s="149"/>
      <c r="V279" s="149"/>
      <c r="W279" s="149"/>
      <c r="X279" s="149"/>
      <c r="Y279" s="149"/>
      <c r="Z279" s="149"/>
      <c r="AA279" s="149"/>
      <c r="AB279" s="149"/>
      <c r="AC279" s="507"/>
      <c r="AD279" s="116"/>
      <c r="AE279" s="513"/>
      <c r="AF279" s="516"/>
      <c r="AG279" s="519"/>
      <c r="AH279" s="117"/>
      <c r="AI279" s="118"/>
      <c r="AJ279" s="522"/>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490">
        <f>A277+1</f>
        <v>91</v>
      </c>
      <c r="B280" s="154" t="s">
        <v>4917</v>
      </c>
      <c r="C280" s="499" t="s">
        <v>4852</v>
      </c>
      <c r="D280" s="80" t="s">
        <v>4864</v>
      </c>
      <c r="E280" s="127" t="s">
        <v>4914</v>
      </c>
      <c r="F280" s="128" t="s">
        <v>72</v>
      </c>
      <c r="G280" s="158"/>
      <c r="H280" s="161" t="s">
        <v>4950</v>
      </c>
      <c r="I280" s="127" t="s">
        <v>9</v>
      </c>
      <c r="J280" s="128"/>
      <c r="K280" s="129">
        <f>M282</f>
        <v>1E-3</v>
      </c>
      <c r="L280" s="129"/>
      <c r="M280" s="129"/>
      <c r="N280" s="127"/>
      <c r="O280" s="127"/>
      <c r="P280" s="127"/>
      <c r="Q280" s="130" t="s">
        <v>4855</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505" t="s">
        <v>4856</v>
      </c>
      <c r="AD280" s="87">
        <v>7</v>
      </c>
      <c r="AE280" s="511">
        <v>121</v>
      </c>
      <c r="AF280" s="514" t="e">
        <f>AB281</f>
        <v>#REF!</v>
      </c>
      <c r="AG280" s="517"/>
      <c r="AH280" s="88"/>
      <c r="AI280" s="89"/>
      <c r="AJ280" s="520"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491"/>
      <c r="B281" s="156"/>
      <c r="C281" s="500"/>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4857</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506"/>
      <c r="AD281" s="105"/>
      <c r="AE281" s="512"/>
      <c r="AF281" s="515"/>
      <c r="AG281" s="518"/>
      <c r="AH281" s="106"/>
      <c r="AI281" s="107"/>
      <c r="AJ281" s="521"/>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492"/>
      <c r="B282" s="157"/>
      <c r="C282" s="501"/>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4858</v>
      </c>
      <c r="R282" s="148"/>
      <c r="S282" s="149"/>
      <c r="T282" s="149"/>
      <c r="U282" s="149"/>
      <c r="V282" s="149"/>
      <c r="W282" s="149"/>
      <c r="X282" s="149"/>
      <c r="Y282" s="149"/>
      <c r="Z282" s="149"/>
      <c r="AA282" s="149"/>
      <c r="AB282" s="149"/>
      <c r="AC282" s="507"/>
      <c r="AD282" s="116"/>
      <c r="AE282" s="513"/>
      <c r="AF282" s="516"/>
      <c r="AG282" s="519"/>
      <c r="AH282" s="117"/>
      <c r="AI282" s="118"/>
      <c r="AJ282" s="522"/>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490">
        <f>A280+1</f>
        <v>92</v>
      </c>
      <c r="B283" s="154" t="s">
        <v>4917</v>
      </c>
      <c r="C283" s="499" t="s">
        <v>4852</v>
      </c>
      <c r="D283" s="80" t="s">
        <v>4864</v>
      </c>
      <c r="E283" s="127" t="s">
        <v>4914</v>
      </c>
      <c r="F283" s="128" t="s">
        <v>72</v>
      </c>
      <c r="G283" s="158"/>
      <c r="H283" s="161" t="s">
        <v>4951</v>
      </c>
      <c r="I283" s="127" t="s">
        <v>9</v>
      </c>
      <c r="J283" s="128"/>
      <c r="K283" s="129">
        <f>M285</f>
        <v>1E-3</v>
      </c>
      <c r="L283" s="129"/>
      <c r="M283" s="129"/>
      <c r="N283" s="127"/>
      <c r="O283" s="127"/>
      <c r="P283" s="127"/>
      <c r="Q283" s="130" t="s">
        <v>4855</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505" t="s">
        <v>4856</v>
      </c>
      <c r="AD283" s="87">
        <v>7</v>
      </c>
      <c r="AE283" s="511">
        <v>121</v>
      </c>
      <c r="AF283" s="514" t="e">
        <f>AB284</f>
        <v>#REF!</v>
      </c>
      <c r="AG283" s="517"/>
      <c r="AH283" s="88"/>
      <c r="AI283" s="89"/>
      <c r="AJ283" s="520"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491"/>
      <c r="B284" s="156"/>
      <c r="C284" s="500"/>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4857</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506"/>
      <c r="AD284" s="105"/>
      <c r="AE284" s="512"/>
      <c r="AF284" s="515"/>
      <c r="AG284" s="518"/>
      <c r="AH284" s="106"/>
      <c r="AI284" s="107"/>
      <c r="AJ284" s="521"/>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492"/>
      <c r="B285" s="157"/>
      <c r="C285" s="501"/>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4858</v>
      </c>
      <c r="R285" s="148"/>
      <c r="S285" s="149"/>
      <c r="T285" s="149"/>
      <c r="U285" s="149"/>
      <c r="V285" s="149"/>
      <c r="W285" s="149"/>
      <c r="X285" s="149"/>
      <c r="Y285" s="149"/>
      <c r="Z285" s="149"/>
      <c r="AA285" s="149"/>
      <c r="AB285" s="149"/>
      <c r="AC285" s="507"/>
      <c r="AD285" s="116"/>
      <c r="AE285" s="513"/>
      <c r="AF285" s="516"/>
      <c r="AG285" s="519"/>
      <c r="AH285" s="117"/>
      <c r="AI285" s="118"/>
      <c r="AJ285" s="522"/>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490">
        <f>A283+1</f>
        <v>93</v>
      </c>
      <c r="B286" s="154" t="s">
        <v>4917</v>
      </c>
      <c r="C286" s="499" t="s">
        <v>4852</v>
      </c>
      <c r="D286" s="80" t="s">
        <v>4864</v>
      </c>
      <c r="E286" s="127" t="s">
        <v>4914</v>
      </c>
      <c r="F286" s="128" t="s">
        <v>72</v>
      </c>
      <c r="G286" s="158"/>
      <c r="H286" s="161" t="s">
        <v>294</v>
      </c>
      <c r="I286" s="127" t="s">
        <v>9</v>
      </c>
      <c r="J286" s="128"/>
      <c r="K286" s="129">
        <f>M288</f>
        <v>1E-3</v>
      </c>
      <c r="L286" s="129"/>
      <c r="M286" s="129"/>
      <c r="N286" s="127"/>
      <c r="O286" s="127"/>
      <c r="P286" s="127"/>
      <c r="Q286" s="130" t="s">
        <v>4855</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505" t="s">
        <v>4856</v>
      </c>
      <c r="AD286" s="87">
        <v>7</v>
      </c>
      <c r="AE286" s="511">
        <v>121</v>
      </c>
      <c r="AF286" s="514" t="e">
        <f>AB287</f>
        <v>#REF!</v>
      </c>
      <c r="AG286" s="517"/>
      <c r="AH286" s="88"/>
      <c r="AI286" s="89"/>
      <c r="AJ286" s="520"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491"/>
      <c r="B287" s="156"/>
      <c r="C287" s="500"/>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4857</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506"/>
      <c r="AD287" s="105"/>
      <c r="AE287" s="512"/>
      <c r="AF287" s="515"/>
      <c r="AG287" s="518"/>
      <c r="AH287" s="106"/>
      <c r="AI287" s="107"/>
      <c r="AJ287" s="521"/>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492"/>
      <c r="B288" s="157"/>
      <c r="C288" s="501"/>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4858</v>
      </c>
      <c r="R288" s="148"/>
      <c r="S288" s="149"/>
      <c r="T288" s="149"/>
      <c r="U288" s="149"/>
      <c r="V288" s="149"/>
      <c r="W288" s="149"/>
      <c r="X288" s="149"/>
      <c r="Y288" s="149"/>
      <c r="Z288" s="149"/>
      <c r="AA288" s="149"/>
      <c r="AB288" s="149"/>
      <c r="AC288" s="507"/>
      <c r="AD288" s="116"/>
      <c r="AE288" s="513"/>
      <c r="AF288" s="516"/>
      <c r="AG288" s="519"/>
      <c r="AH288" s="117"/>
      <c r="AI288" s="118"/>
      <c r="AJ288" s="522"/>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490">
        <f>A286+1</f>
        <v>94</v>
      </c>
      <c r="B289" s="154" t="s">
        <v>4917</v>
      </c>
      <c r="C289" s="499" t="s">
        <v>4852</v>
      </c>
      <c r="D289" s="80" t="s">
        <v>4913</v>
      </c>
      <c r="E289" s="127" t="s">
        <v>4914</v>
      </c>
      <c r="F289" s="128" t="s">
        <v>72</v>
      </c>
      <c r="G289" s="158"/>
      <c r="H289" s="82" t="s">
        <v>4952</v>
      </c>
      <c r="I289" s="127" t="s">
        <v>9</v>
      </c>
      <c r="J289" s="128"/>
      <c r="K289" s="129">
        <f>M291</f>
        <v>1E-3</v>
      </c>
      <c r="L289" s="129"/>
      <c r="M289" s="129"/>
      <c r="N289" s="127"/>
      <c r="O289" s="127"/>
      <c r="P289" s="127"/>
      <c r="Q289" s="130" t="s">
        <v>4855</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505" t="s">
        <v>4856</v>
      </c>
      <c r="AD289" s="87">
        <v>7</v>
      </c>
      <c r="AE289" s="511"/>
      <c r="AF289" s="514" t="e">
        <f>AB290</f>
        <v>#REF!</v>
      </c>
      <c r="AG289" s="517"/>
      <c r="AH289" s="88"/>
      <c r="AI289" s="89"/>
      <c r="AJ289" s="520"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491"/>
      <c r="B290" s="156"/>
      <c r="C290" s="500"/>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4857</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506"/>
      <c r="AD290" s="105"/>
      <c r="AE290" s="512"/>
      <c r="AF290" s="515"/>
      <c r="AG290" s="518"/>
      <c r="AH290" s="106"/>
      <c r="AI290" s="107"/>
      <c r="AJ290" s="521"/>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492"/>
      <c r="B291" s="157"/>
      <c r="C291" s="501"/>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4858</v>
      </c>
      <c r="R291" s="148"/>
      <c r="S291" s="149"/>
      <c r="T291" s="149"/>
      <c r="U291" s="149"/>
      <c r="V291" s="149"/>
      <c r="W291" s="149"/>
      <c r="X291" s="149"/>
      <c r="Y291" s="149"/>
      <c r="Z291" s="149"/>
      <c r="AA291" s="149"/>
      <c r="AB291" s="149"/>
      <c r="AC291" s="507"/>
      <c r="AD291" s="116"/>
      <c r="AE291" s="513"/>
      <c r="AF291" s="516"/>
      <c r="AG291" s="519"/>
      <c r="AH291" s="117"/>
      <c r="AI291" s="118"/>
      <c r="AJ291" s="522"/>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490">
        <f>A289+1</f>
        <v>95</v>
      </c>
      <c r="B292" s="154" t="s">
        <v>4917</v>
      </c>
      <c r="C292" s="499" t="s">
        <v>4852</v>
      </c>
      <c r="D292" s="80" t="s">
        <v>4913</v>
      </c>
      <c r="E292" s="127" t="s">
        <v>4914</v>
      </c>
      <c r="F292" s="128" t="s">
        <v>72</v>
      </c>
      <c r="G292" s="158"/>
      <c r="H292" s="82" t="s">
        <v>4953</v>
      </c>
      <c r="I292" s="127" t="s">
        <v>9</v>
      </c>
      <c r="J292" s="128"/>
      <c r="K292" s="129">
        <f>M294</f>
        <v>1E-3</v>
      </c>
      <c r="L292" s="129"/>
      <c r="M292" s="129"/>
      <c r="N292" s="127"/>
      <c r="O292" s="127"/>
      <c r="P292" s="127"/>
      <c r="Q292" s="130" t="s">
        <v>4855</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505" t="s">
        <v>4856</v>
      </c>
      <c r="AD292" s="87">
        <v>7</v>
      </c>
      <c r="AE292" s="511"/>
      <c r="AF292" s="514" t="e">
        <f>AB293</f>
        <v>#REF!</v>
      </c>
      <c r="AG292" s="517"/>
      <c r="AH292" s="88"/>
      <c r="AI292" s="89"/>
      <c r="AJ292" s="520"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491"/>
      <c r="B293" s="156"/>
      <c r="C293" s="500"/>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4857</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506"/>
      <c r="AD293" s="105"/>
      <c r="AE293" s="512"/>
      <c r="AF293" s="515"/>
      <c r="AG293" s="518"/>
      <c r="AH293" s="106"/>
      <c r="AI293" s="107"/>
      <c r="AJ293" s="521"/>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492"/>
      <c r="B294" s="157"/>
      <c r="C294" s="501"/>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4858</v>
      </c>
      <c r="R294" s="148"/>
      <c r="S294" s="149"/>
      <c r="T294" s="149"/>
      <c r="U294" s="149"/>
      <c r="V294" s="149"/>
      <c r="W294" s="149"/>
      <c r="X294" s="149"/>
      <c r="Y294" s="149"/>
      <c r="Z294" s="149"/>
      <c r="AA294" s="149"/>
      <c r="AB294" s="149"/>
      <c r="AC294" s="507"/>
      <c r="AD294" s="116"/>
      <c r="AE294" s="513"/>
      <c r="AF294" s="516"/>
      <c r="AG294" s="519"/>
      <c r="AH294" s="117"/>
      <c r="AI294" s="118"/>
      <c r="AJ294" s="522"/>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490">
        <f>A292+1</f>
        <v>96</v>
      </c>
      <c r="B295" s="154" t="s">
        <v>4917</v>
      </c>
      <c r="C295" s="499" t="s">
        <v>4852</v>
      </c>
      <c r="D295" s="80" t="s">
        <v>4954</v>
      </c>
      <c r="E295" s="127" t="s">
        <v>4914</v>
      </c>
      <c r="F295" s="128" t="s">
        <v>72</v>
      </c>
      <c r="G295" s="158"/>
      <c r="H295" s="82" t="s">
        <v>4932</v>
      </c>
      <c r="I295" s="127" t="s">
        <v>9</v>
      </c>
      <c r="J295" s="128"/>
      <c r="K295" s="129">
        <f>M297</f>
        <v>1E-3</v>
      </c>
      <c r="L295" s="129"/>
      <c r="M295" s="129"/>
      <c r="N295" s="127"/>
      <c r="O295" s="127"/>
      <c r="P295" s="127"/>
      <c r="Q295" s="130" t="s">
        <v>4855</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505" t="s">
        <v>4856</v>
      </c>
      <c r="AD295" s="87">
        <v>7</v>
      </c>
      <c r="AE295" s="511"/>
      <c r="AF295" s="514" t="e">
        <f>AB296</f>
        <v>#REF!</v>
      </c>
      <c r="AG295" s="517"/>
      <c r="AH295" s="88"/>
      <c r="AI295" s="89"/>
      <c r="AJ295" s="520"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491"/>
      <c r="B296" s="156"/>
      <c r="C296" s="500"/>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4857</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506"/>
      <c r="AD296" s="105"/>
      <c r="AE296" s="512"/>
      <c r="AF296" s="515"/>
      <c r="AG296" s="518"/>
      <c r="AH296" s="106"/>
      <c r="AI296" s="107"/>
      <c r="AJ296" s="521"/>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492"/>
      <c r="B297" s="157"/>
      <c r="C297" s="501"/>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4858</v>
      </c>
      <c r="R297" s="148"/>
      <c r="S297" s="149"/>
      <c r="T297" s="149"/>
      <c r="U297" s="149"/>
      <c r="V297" s="149"/>
      <c r="W297" s="149"/>
      <c r="X297" s="149"/>
      <c r="Y297" s="149"/>
      <c r="Z297" s="149"/>
      <c r="AA297" s="149"/>
      <c r="AB297" s="149"/>
      <c r="AC297" s="507"/>
      <c r="AD297" s="116"/>
      <c r="AE297" s="513"/>
      <c r="AF297" s="516"/>
      <c r="AG297" s="519"/>
      <c r="AH297" s="117"/>
      <c r="AI297" s="118"/>
      <c r="AJ297" s="522"/>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490">
        <f>A229+1</f>
        <v>75</v>
      </c>
      <c r="B298" s="154"/>
      <c r="C298" s="499" t="s">
        <v>4852</v>
      </c>
      <c r="D298" s="80"/>
      <c r="E298" s="127" t="s">
        <v>4914</v>
      </c>
      <c r="F298" s="128" t="s">
        <v>72</v>
      </c>
      <c r="G298" s="158"/>
      <c r="H298" s="82"/>
      <c r="I298" s="127" t="s">
        <v>9</v>
      </c>
      <c r="J298" s="128"/>
      <c r="K298" s="129">
        <f>M300</f>
        <v>1E-3</v>
      </c>
      <c r="L298" s="129"/>
      <c r="M298" s="129"/>
      <c r="N298" s="127"/>
      <c r="O298" s="127"/>
      <c r="P298" s="127"/>
      <c r="Q298" s="130" t="s">
        <v>4855</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505" t="s">
        <v>4856</v>
      </c>
      <c r="AD298" s="87">
        <v>7</v>
      </c>
      <c r="AE298" s="511"/>
      <c r="AF298" s="514" t="e">
        <f>AB299</f>
        <v>#REF!</v>
      </c>
      <c r="AG298" s="517"/>
      <c r="AH298" s="88"/>
      <c r="AI298" s="89"/>
      <c r="AJ298" s="520"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491"/>
      <c r="B299" s="156"/>
      <c r="C299" s="500"/>
      <c r="D299" s="96"/>
      <c r="E299" s="136" t="str">
        <f>E298</f>
        <v>RFQ-054</v>
      </c>
      <c r="F299" s="137" t="str">
        <f>F298</f>
        <v>N</v>
      </c>
      <c r="G299" s="159"/>
      <c r="H299" s="98"/>
      <c r="I299" s="136" t="str">
        <f>I298</f>
        <v>LD</v>
      </c>
      <c r="J299" s="137"/>
      <c r="K299" s="138"/>
      <c r="L299" s="138">
        <f>M300</f>
        <v>1E-3</v>
      </c>
      <c r="M299" s="138"/>
      <c r="N299" s="136"/>
      <c r="O299" s="136"/>
      <c r="P299" s="136"/>
      <c r="Q299" s="139" t="s">
        <v>4857</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506"/>
      <c r="AD299" s="105"/>
      <c r="AE299" s="512"/>
      <c r="AF299" s="515"/>
      <c r="AG299" s="518"/>
      <c r="AH299" s="106"/>
      <c r="AI299" s="107"/>
      <c r="AJ299" s="521"/>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492"/>
      <c r="B300" s="157"/>
      <c r="C300" s="501"/>
      <c r="D300" s="111"/>
      <c r="E300" s="145" t="str">
        <f>E298</f>
        <v>RFQ-054</v>
      </c>
      <c r="F300" s="146" t="str">
        <f>F298</f>
        <v>N</v>
      </c>
      <c r="G300" s="160"/>
      <c r="H300" s="113"/>
      <c r="I300" s="145" t="str">
        <f>I298</f>
        <v>LD</v>
      </c>
      <c r="J300" s="146"/>
      <c r="K300" s="147"/>
      <c r="L300" s="147"/>
      <c r="M300" s="147">
        <v>1E-3</v>
      </c>
      <c r="N300" s="145"/>
      <c r="O300" s="145"/>
      <c r="P300" s="145"/>
      <c r="Q300" s="148" t="s">
        <v>4858</v>
      </c>
      <c r="R300" s="148"/>
      <c r="S300" s="149"/>
      <c r="T300" s="149"/>
      <c r="U300" s="149"/>
      <c r="V300" s="149"/>
      <c r="W300" s="149"/>
      <c r="X300" s="149"/>
      <c r="Y300" s="149"/>
      <c r="Z300" s="149"/>
      <c r="AA300" s="149"/>
      <c r="AB300" s="149"/>
      <c r="AC300" s="507"/>
      <c r="AD300" s="116"/>
      <c r="AE300" s="513"/>
      <c r="AF300" s="516"/>
      <c r="AG300" s="519"/>
      <c r="AH300" s="117"/>
      <c r="AI300" s="118"/>
      <c r="AJ300" s="522"/>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4955</v>
      </c>
    </row>
  </sheetData>
  <protectedRanges>
    <protectedRange password="C5A1" sqref="H5 AD5:AK5" name="区域1"/>
  </protectedRanges>
  <mergeCells count="794">
    <mergeCell ref="AK6:AK7"/>
    <mergeCell ref="AL6:AL7"/>
    <mergeCell ref="AJ274:AJ276"/>
    <mergeCell ref="AJ277:AJ279"/>
    <mergeCell ref="AJ280:AJ282"/>
    <mergeCell ref="AJ283:AJ285"/>
    <mergeCell ref="AJ286:AJ288"/>
    <mergeCell ref="AJ289:AJ291"/>
    <mergeCell ref="AJ292:AJ294"/>
    <mergeCell ref="AJ295:AJ297"/>
    <mergeCell ref="AJ298:AJ300"/>
    <mergeCell ref="AJ247:AJ249"/>
    <mergeCell ref="AJ250:AJ252"/>
    <mergeCell ref="AJ253:AJ255"/>
    <mergeCell ref="AJ256:AJ258"/>
    <mergeCell ref="AJ259:AJ261"/>
    <mergeCell ref="AJ262:AJ264"/>
    <mergeCell ref="AJ265:AJ267"/>
    <mergeCell ref="AJ268:AJ270"/>
    <mergeCell ref="AJ271:AJ273"/>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139:AJ141"/>
    <mergeCell ref="AJ142:AJ144"/>
    <mergeCell ref="AJ145:AJ147"/>
    <mergeCell ref="AJ148:AJ150"/>
    <mergeCell ref="AJ151:AJ153"/>
    <mergeCell ref="AJ154:AJ156"/>
    <mergeCell ref="AJ157:AJ159"/>
    <mergeCell ref="AJ160:AJ162"/>
    <mergeCell ref="AJ163:AJ165"/>
    <mergeCell ref="AJ112:AJ114"/>
    <mergeCell ref="AJ115:AJ117"/>
    <mergeCell ref="AJ118:AJ120"/>
    <mergeCell ref="AJ121:AJ123"/>
    <mergeCell ref="AJ124:AJ126"/>
    <mergeCell ref="AJ127:AJ129"/>
    <mergeCell ref="AJ130:AJ132"/>
    <mergeCell ref="AJ133:AJ135"/>
    <mergeCell ref="AJ136:AJ138"/>
    <mergeCell ref="AJ85:AJ87"/>
    <mergeCell ref="AJ88:AJ90"/>
    <mergeCell ref="AJ91:AJ93"/>
    <mergeCell ref="AJ94:AJ96"/>
    <mergeCell ref="AJ97:AJ99"/>
    <mergeCell ref="AJ100:AJ102"/>
    <mergeCell ref="AJ103:AJ105"/>
    <mergeCell ref="AJ106:AJ108"/>
    <mergeCell ref="AJ109:AJ111"/>
    <mergeCell ref="AJ58:AJ60"/>
    <mergeCell ref="AJ61:AJ63"/>
    <mergeCell ref="AJ64:AJ66"/>
    <mergeCell ref="AJ67:AJ69"/>
    <mergeCell ref="AJ70:AJ72"/>
    <mergeCell ref="AJ73:AJ75"/>
    <mergeCell ref="AJ76:AJ78"/>
    <mergeCell ref="AJ79:AJ81"/>
    <mergeCell ref="AJ82:AJ84"/>
    <mergeCell ref="AJ31:AJ33"/>
    <mergeCell ref="AJ34:AJ36"/>
    <mergeCell ref="AJ37:AJ39"/>
    <mergeCell ref="AJ40:AJ42"/>
    <mergeCell ref="AJ43:AJ45"/>
    <mergeCell ref="AJ46:AJ48"/>
    <mergeCell ref="AJ49:AJ51"/>
    <mergeCell ref="AJ52:AJ54"/>
    <mergeCell ref="AJ55:AJ57"/>
    <mergeCell ref="AI6:AI7"/>
    <mergeCell ref="AJ6:AJ7"/>
    <mergeCell ref="AJ10:AJ12"/>
    <mergeCell ref="AJ13:AJ15"/>
    <mergeCell ref="AJ16:AJ18"/>
    <mergeCell ref="AJ19:AJ21"/>
    <mergeCell ref="AJ22:AJ24"/>
    <mergeCell ref="AJ25:AJ27"/>
    <mergeCell ref="AJ28:AJ30"/>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169:AG171"/>
    <mergeCell ref="AG172:AG174"/>
    <mergeCell ref="AG175:AG177"/>
    <mergeCell ref="AG178:AG180"/>
    <mergeCell ref="AG181:AG183"/>
    <mergeCell ref="AG184:AG186"/>
    <mergeCell ref="AG187:AG189"/>
    <mergeCell ref="AG190:AG192"/>
    <mergeCell ref="AG193:AG195"/>
    <mergeCell ref="AG142:AG144"/>
    <mergeCell ref="AG145:AG147"/>
    <mergeCell ref="AG148:AG150"/>
    <mergeCell ref="AG151:AG153"/>
    <mergeCell ref="AG154:AG156"/>
    <mergeCell ref="AG157:AG159"/>
    <mergeCell ref="AG160:AG162"/>
    <mergeCell ref="AG163:AG165"/>
    <mergeCell ref="AG166:AG168"/>
    <mergeCell ref="AG115:AG117"/>
    <mergeCell ref="AG118:AG120"/>
    <mergeCell ref="AG121:AG123"/>
    <mergeCell ref="AG124:AG126"/>
    <mergeCell ref="AG127:AG129"/>
    <mergeCell ref="AG130:AG132"/>
    <mergeCell ref="AG133:AG135"/>
    <mergeCell ref="AG136:AG138"/>
    <mergeCell ref="AG139:AG141"/>
    <mergeCell ref="AG88:AG90"/>
    <mergeCell ref="AG91:AG93"/>
    <mergeCell ref="AG94:AG96"/>
    <mergeCell ref="AG97:AG99"/>
    <mergeCell ref="AG100:AG102"/>
    <mergeCell ref="AG103:AG105"/>
    <mergeCell ref="AG106:AG108"/>
    <mergeCell ref="AG109:AG111"/>
    <mergeCell ref="AG112:AG114"/>
    <mergeCell ref="AG61:AG63"/>
    <mergeCell ref="AG64:AG66"/>
    <mergeCell ref="AG67:AG69"/>
    <mergeCell ref="AG70:AG72"/>
    <mergeCell ref="AG73:AG75"/>
    <mergeCell ref="AG76:AG78"/>
    <mergeCell ref="AG79:AG81"/>
    <mergeCell ref="AG82:AG84"/>
    <mergeCell ref="AG85:AG87"/>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F256:AF258"/>
    <mergeCell ref="AF259:AF261"/>
    <mergeCell ref="AF262:AF264"/>
    <mergeCell ref="AF265:AF267"/>
    <mergeCell ref="AF268:AF270"/>
    <mergeCell ref="AF271:AF273"/>
    <mergeCell ref="AF274:AF276"/>
    <mergeCell ref="AF277:AF279"/>
    <mergeCell ref="AF280:AF282"/>
    <mergeCell ref="AF229:AF231"/>
    <mergeCell ref="AF232:AF234"/>
    <mergeCell ref="AF235:AF237"/>
    <mergeCell ref="AF238:AF240"/>
    <mergeCell ref="AF241:AF243"/>
    <mergeCell ref="AF244:AF246"/>
    <mergeCell ref="AF247:AF249"/>
    <mergeCell ref="AF250:AF252"/>
    <mergeCell ref="AF253:AF255"/>
    <mergeCell ref="AF202:AF204"/>
    <mergeCell ref="AF205:AF207"/>
    <mergeCell ref="AF208:AF210"/>
    <mergeCell ref="AF211:AF213"/>
    <mergeCell ref="AF214:AF216"/>
    <mergeCell ref="AF217:AF219"/>
    <mergeCell ref="AF220:AF222"/>
    <mergeCell ref="AF223:AF225"/>
    <mergeCell ref="AF226:AF228"/>
    <mergeCell ref="AF175:AF177"/>
    <mergeCell ref="AF178:AF180"/>
    <mergeCell ref="AF181:AF183"/>
    <mergeCell ref="AF184:AF186"/>
    <mergeCell ref="AF187:AF189"/>
    <mergeCell ref="AF190:AF192"/>
    <mergeCell ref="AF193:AF195"/>
    <mergeCell ref="AF196:AF198"/>
    <mergeCell ref="AF199:AF201"/>
    <mergeCell ref="AF148:AF150"/>
    <mergeCell ref="AF151:AF153"/>
    <mergeCell ref="AF154:AF156"/>
    <mergeCell ref="AF157:AF159"/>
    <mergeCell ref="AF160:AF162"/>
    <mergeCell ref="AF163:AF165"/>
    <mergeCell ref="AF166:AF168"/>
    <mergeCell ref="AF169:AF171"/>
    <mergeCell ref="AF172:AF174"/>
    <mergeCell ref="AF121:AF123"/>
    <mergeCell ref="AF124:AF126"/>
    <mergeCell ref="AF127:AF129"/>
    <mergeCell ref="AF130:AF132"/>
    <mergeCell ref="AF133:AF135"/>
    <mergeCell ref="AF136:AF138"/>
    <mergeCell ref="AF139:AF141"/>
    <mergeCell ref="AF142:AF144"/>
    <mergeCell ref="AF145:AF147"/>
    <mergeCell ref="AF94:AF96"/>
    <mergeCell ref="AF97:AF99"/>
    <mergeCell ref="AF100:AF102"/>
    <mergeCell ref="AF103:AF105"/>
    <mergeCell ref="AF106:AF108"/>
    <mergeCell ref="AF109:AF111"/>
    <mergeCell ref="AF112:AF114"/>
    <mergeCell ref="AF115:AF117"/>
    <mergeCell ref="AF118:AF120"/>
    <mergeCell ref="AF67:AF69"/>
    <mergeCell ref="AF70:AF72"/>
    <mergeCell ref="AF73:AF75"/>
    <mergeCell ref="AF76:AF78"/>
    <mergeCell ref="AF79:AF81"/>
    <mergeCell ref="AF82:AF84"/>
    <mergeCell ref="AF85:AF87"/>
    <mergeCell ref="AF88:AF90"/>
    <mergeCell ref="AF91:AF93"/>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E262:AE264"/>
    <mergeCell ref="AE265:AE267"/>
    <mergeCell ref="AE268:AE270"/>
    <mergeCell ref="AE271:AE273"/>
    <mergeCell ref="AE274:AE276"/>
    <mergeCell ref="AE277:AE279"/>
    <mergeCell ref="AE280:AE282"/>
    <mergeCell ref="AE283:AE285"/>
    <mergeCell ref="AE286:AE288"/>
    <mergeCell ref="AE235:AE237"/>
    <mergeCell ref="AE238:AE240"/>
    <mergeCell ref="AE241:AE243"/>
    <mergeCell ref="AE244:AE246"/>
    <mergeCell ref="AE247:AE249"/>
    <mergeCell ref="AE250:AE252"/>
    <mergeCell ref="AE253:AE255"/>
    <mergeCell ref="AE256:AE258"/>
    <mergeCell ref="AE259:AE261"/>
    <mergeCell ref="AE208:AE210"/>
    <mergeCell ref="AE211:AE213"/>
    <mergeCell ref="AE214:AE216"/>
    <mergeCell ref="AE217:AE219"/>
    <mergeCell ref="AE220:AE222"/>
    <mergeCell ref="AE223:AE225"/>
    <mergeCell ref="AE226:AE228"/>
    <mergeCell ref="AE229:AE231"/>
    <mergeCell ref="AE232:AE234"/>
    <mergeCell ref="AE181:AE183"/>
    <mergeCell ref="AE184:AE186"/>
    <mergeCell ref="AE187:AE189"/>
    <mergeCell ref="AE190:AE192"/>
    <mergeCell ref="AE193:AE195"/>
    <mergeCell ref="AE196:AE198"/>
    <mergeCell ref="AE199:AE201"/>
    <mergeCell ref="AE202:AE204"/>
    <mergeCell ref="AE205:AE207"/>
    <mergeCell ref="AE154:AE156"/>
    <mergeCell ref="AE157:AE159"/>
    <mergeCell ref="AE160:AE162"/>
    <mergeCell ref="AE163:AE165"/>
    <mergeCell ref="AE166:AE168"/>
    <mergeCell ref="AE169:AE171"/>
    <mergeCell ref="AE172:AE174"/>
    <mergeCell ref="AE175:AE177"/>
    <mergeCell ref="AE178:AE180"/>
    <mergeCell ref="AE127:AE129"/>
    <mergeCell ref="AE130:AE132"/>
    <mergeCell ref="AE133:AE135"/>
    <mergeCell ref="AE136:AE138"/>
    <mergeCell ref="AE139:AE141"/>
    <mergeCell ref="AE142:AE144"/>
    <mergeCell ref="AE145:AE147"/>
    <mergeCell ref="AE148:AE150"/>
    <mergeCell ref="AE151:AE153"/>
    <mergeCell ref="AE100:AE102"/>
    <mergeCell ref="AE103:AE105"/>
    <mergeCell ref="AE106:AE108"/>
    <mergeCell ref="AE109:AE111"/>
    <mergeCell ref="AE112:AE114"/>
    <mergeCell ref="AE115:AE117"/>
    <mergeCell ref="AE118:AE120"/>
    <mergeCell ref="AE121:AE123"/>
    <mergeCell ref="AE124:AE126"/>
    <mergeCell ref="AE73:AE75"/>
    <mergeCell ref="AE76:AE78"/>
    <mergeCell ref="AE79:AE81"/>
    <mergeCell ref="AE82:AE84"/>
    <mergeCell ref="AE85:AE87"/>
    <mergeCell ref="AE88:AE90"/>
    <mergeCell ref="AE91:AE93"/>
    <mergeCell ref="AE94:AE96"/>
    <mergeCell ref="AE97:AE99"/>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C271:AC273"/>
    <mergeCell ref="AC274:AC276"/>
    <mergeCell ref="AC277:AC279"/>
    <mergeCell ref="AC280:AC282"/>
    <mergeCell ref="AC283:AC285"/>
    <mergeCell ref="AC286:AC288"/>
    <mergeCell ref="AC289:AC291"/>
    <mergeCell ref="AC292:AC294"/>
    <mergeCell ref="AC295:AC297"/>
    <mergeCell ref="AC244:AC246"/>
    <mergeCell ref="AC247:AC249"/>
    <mergeCell ref="AC250:AC252"/>
    <mergeCell ref="AC253:AC255"/>
    <mergeCell ref="AC256:AC258"/>
    <mergeCell ref="AC259:AC261"/>
    <mergeCell ref="AC262:AC264"/>
    <mergeCell ref="AC265:AC267"/>
    <mergeCell ref="AC268:AC270"/>
    <mergeCell ref="AC217:AC219"/>
    <mergeCell ref="AC220:AC222"/>
    <mergeCell ref="AC223:AC225"/>
    <mergeCell ref="AC226:AC228"/>
    <mergeCell ref="AC229:AC231"/>
    <mergeCell ref="AC232:AC234"/>
    <mergeCell ref="AC235:AC237"/>
    <mergeCell ref="AC238:AC240"/>
    <mergeCell ref="AC241:AC243"/>
    <mergeCell ref="AC190:AC192"/>
    <mergeCell ref="AC193:AC195"/>
    <mergeCell ref="AC196:AC198"/>
    <mergeCell ref="AC199:AC201"/>
    <mergeCell ref="AC202:AC204"/>
    <mergeCell ref="AC205:AC207"/>
    <mergeCell ref="AC208:AC210"/>
    <mergeCell ref="AC211:AC213"/>
    <mergeCell ref="AC214:AC216"/>
    <mergeCell ref="AC163:AC165"/>
    <mergeCell ref="AC166:AC168"/>
    <mergeCell ref="AC169:AC171"/>
    <mergeCell ref="AC172:AC174"/>
    <mergeCell ref="AC175:AC177"/>
    <mergeCell ref="AC178:AC180"/>
    <mergeCell ref="AC181:AC183"/>
    <mergeCell ref="AC184:AC186"/>
    <mergeCell ref="AC187:AC189"/>
    <mergeCell ref="AC136:AC138"/>
    <mergeCell ref="AC139:AC141"/>
    <mergeCell ref="AC142:AC144"/>
    <mergeCell ref="AC145:AC147"/>
    <mergeCell ref="AC148:AC150"/>
    <mergeCell ref="AC151:AC153"/>
    <mergeCell ref="AC154:AC156"/>
    <mergeCell ref="AC157:AC159"/>
    <mergeCell ref="AC160:AC162"/>
    <mergeCell ref="AC109:AC111"/>
    <mergeCell ref="AC112:AC114"/>
    <mergeCell ref="AC115:AC117"/>
    <mergeCell ref="AC118:AC120"/>
    <mergeCell ref="AC121:AC123"/>
    <mergeCell ref="AC124:AC126"/>
    <mergeCell ref="AC127:AC129"/>
    <mergeCell ref="AC130:AC132"/>
    <mergeCell ref="AC133:AC135"/>
    <mergeCell ref="AC82:AC84"/>
    <mergeCell ref="AC85:AC87"/>
    <mergeCell ref="AC88:AC90"/>
    <mergeCell ref="AC91:AC93"/>
    <mergeCell ref="AC94:AC96"/>
    <mergeCell ref="AC97:AC99"/>
    <mergeCell ref="AC100:AC102"/>
    <mergeCell ref="AC103:AC105"/>
    <mergeCell ref="AC106:AC108"/>
    <mergeCell ref="AC55:AC57"/>
    <mergeCell ref="AC58:AC60"/>
    <mergeCell ref="AC61:AC63"/>
    <mergeCell ref="AC64:AC66"/>
    <mergeCell ref="AC67:AC69"/>
    <mergeCell ref="AC70:AC72"/>
    <mergeCell ref="AC73:AC75"/>
    <mergeCell ref="AC76:AC78"/>
    <mergeCell ref="AC79:AC81"/>
    <mergeCell ref="AC28:AC30"/>
    <mergeCell ref="AC31:AC33"/>
    <mergeCell ref="AC34:AC36"/>
    <mergeCell ref="AC37:AC39"/>
    <mergeCell ref="AC40:AC42"/>
    <mergeCell ref="AC43:AC45"/>
    <mergeCell ref="AC46:AC48"/>
    <mergeCell ref="AC49:AC51"/>
    <mergeCell ref="AC52:AC54"/>
    <mergeCell ref="AA6:AA7"/>
    <mergeCell ref="AB6:AB7"/>
    <mergeCell ref="AC6:AC7"/>
    <mergeCell ref="AC10:AC12"/>
    <mergeCell ref="AC13:AC15"/>
    <mergeCell ref="AC16:AC18"/>
    <mergeCell ref="AC19:AC21"/>
    <mergeCell ref="AC22:AC24"/>
    <mergeCell ref="AC25:AC27"/>
    <mergeCell ref="R6:R7"/>
    <mergeCell ref="S6:S7"/>
    <mergeCell ref="T6:T7"/>
    <mergeCell ref="U6:U7"/>
    <mergeCell ref="V6:V7"/>
    <mergeCell ref="W6:W7"/>
    <mergeCell ref="X6:X7"/>
    <mergeCell ref="Y6:Y7"/>
    <mergeCell ref="Z6:Z7"/>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G157:G159"/>
    <mergeCell ref="G160:G162"/>
    <mergeCell ref="G163:G165"/>
    <mergeCell ref="G112:G114"/>
    <mergeCell ref="G115:G117"/>
    <mergeCell ref="G118:G120"/>
    <mergeCell ref="G121:G123"/>
    <mergeCell ref="G124:G126"/>
    <mergeCell ref="G127:G129"/>
    <mergeCell ref="G130:G132"/>
    <mergeCell ref="G133:G135"/>
    <mergeCell ref="G136:G138"/>
    <mergeCell ref="G85:G87"/>
    <mergeCell ref="G88:G90"/>
    <mergeCell ref="G91:G93"/>
    <mergeCell ref="G94:G96"/>
    <mergeCell ref="G97:G99"/>
    <mergeCell ref="G100:G102"/>
    <mergeCell ref="G103:G105"/>
    <mergeCell ref="G106:G108"/>
    <mergeCell ref="G109:G111"/>
    <mergeCell ref="G58:G60"/>
    <mergeCell ref="G61:G63"/>
    <mergeCell ref="G64:G66"/>
    <mergeCell ref="G67:G69"/>
    <mergeCell ref="G70:G72"/>
    <mergeCell ref="G73:G75"/>
    <mergeCell ref="G76:G78"/>
    <mergeCell ref="G79:G81"/>
    <mergeCell ref="G82:G84"/>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C259:C261"/>
    <mergeCell ref="C262:C264"/>
    <mergeCell ref="C265:C267"/>
    <mergeCell ref="C268:C270"/>
    <mergeCell ref="C271:C273"/>
    <mergeCell ref="C274:C276"/>
    <mergeCell ref="C277:C279"/>
    <mergeCell ref="C280:C282"/>
    <mergeCell ref="C283:C285"/>
    <mergeCell ref="C232:C234"/>
    <mergeCell ref="C235:C237"/>
    <mergeCell ref="C238:C240"/>
    <mergeCell ref="C241:C243"/>
    <mergeCell ref="C244:C246"/>
    <mergeCell ref="C247:C249"/>
    <mergeCell ref="C250:C252"/>
    <mergeCell ref="C253:C255"/>
    <mergeCell ref="C256:C258"/>
    <mergeCell ref="C205:C207"/>
    <mergeCell ref="C208:C210"/>
    <mergeCell ref="C211:C213"/>
    <mergeCell ref="C214:C216"/>
    <mergeCell ref="C217:C219"/>
    <mergeCell ref="C220:C222"/>
    <mergeCell ref="C223:C225"/>
    <mergeCell ref="C226:C228"/>
    <mergeCell ref="C229:C231"/>
    <mergeCell ref="C178:C180"/>
    <mergeCell ref="C181:C183"/>
    <mergeCell ref="C184:C186"/>
    <mergeCell ref="C187:C189"/>
    <mergeCell ref="C190:C192"/>
    <mergeCell ref="C193:C195"/>
    <mergeCell ref="C196:C198"/>
    <mergeCell ref="C199:C201"/>
    <mergeCell ref="C202:C204"/>
    <mergeCell ref="C151:C153"/>
    <mergeCell ref="C154:C156"/>
    <mergeCell ref="C157:C159"/>
    <mergeCell ref="C160:C162"/>
    <mergeCell ref="C163:C165"/>
    <mergeCell ref="C166:C168"/>
    <mergeCell ref="C169:C171"/>
    <mergeCell ref="C172:C174"/>
    <mergeCell ref="C175:C177"/>
    <mergeCell ref="C124:C126"/>
    <mergeCell ref="C127:C129"/>
    <mergeCell ref="C130:C132"/>
    <mergeCell ref="C133:C135"/>
    <mergeCell ref="C136:C138"/>
    <mergeCell ref="C139:C141"/>
    <mergeCell ref="C142:C144"/>
    <mergeCell ref="C145:C147"/>
    <mergeCell ref="C148:C150"/>
    <mergeCell ref="C97:C99"/>
    <mergeCell ref="C100:C102"/>
    <mergeCell ref="C103:C105"/>
    <mergeCell ref="C106:C108"/>
    <mergeCell ref="C109:C111"/>
    <mergeCell ref="C112:C114"/>
    <mergeCell ref="C115:C117"/>
    <mergeCell ref="C118:C120"/>
    <mergeCell ref="C121:C123"/>
    <mergeCell ref="C70:C72"/>
    <mergeCell ref="C73:C75"/>
    <mergeCell ref="C76:C78"/>
    <mergeCell ref="C79:C81"/>
    <mergeCell ref="C82:C84"/>
    <mergeCell ref="C85:C87"/>
    <mergeCell ref="C88:C90"/>
    <mergeCell ref="C91:C93"/>
    <mergeCell ref="C94:C96"/>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A250:A252"/>
    <mergeCell ref="A253:A255"/>
    <mergeCell ref="A256:A258"/>
    <mergeCell ref="A259:A261"/>
    <mergeCell ref="A262:A264"/>
    <mergeCell ref="A265:A267"/>
    <mergeCell ref="A268:A270"/>
    <mergeCell ref="A271:A273"/>
    <mergeCell ref="A274:A276"/>
    <mergeCell ref="A223:A225"/>
    <mergeCell ref="A226:A228"/>
    <mergeCell ref="A229:A231"/>
    <mergeCell ref="A232:A234"/>
    <mergeCell ref="A235:A237"/>
    <mergeCell ref="A238:A240"/>
    <mergeCell ref="A241:A243"/>
    <mergeCell ref="A244:A246"/>
    <mergeCell ref="A247:A249"/>
    <mergeCell ref="A196:A198"/>
    <mergeCell ref="A199:A201"/>
    <mergeCell ref="A202:A204"/>
    <mergeCell ref="A205:A207"/>
    <mergeCell ref="A208:A210"/>
    <mergeCell ref="A211:A213"/>
    <mergeCell ref="A214:A216"/>
    <mergeCell ref="A217:A219"/>
    <mergeCell ref="A220:A222"/>
    <mergeCell ref="A169:A171"/>
    <mergeCell ref="A172:A174"/>
    <mergeCell ref="A175:A177"/>
    <mergeCell ref="A178:A180"/>
    <mergeCell ref="A181:A183"/>
    <mergeCell ref="A184:A186"/>
    <mergeCell ref="A187:A189"/>
    <mergeCell ref="A190:A192"/>
    <mergeCell ref="A193:A195"/>
    <mergeCell ref="A142:A144"/>
    <mergeCell ref="A145:A147"/>
    <mergeCell ref="A148:A150"/>
    <mergeCell ref="A151:A153"/>
    <mergeCell ref="A154:A156"/>
    <mergeCell ref="A157:A159"/>
    <mergeCell ref="A160:A162"/>
    <mergeCell ref="A163:A165"/>
    <mergeCell ref="A166:A168"/>
    <mergeCell ref="A115:A117"/>
    <mergeCell ref="A118:A120"/>
    <mergeCell ref="A121:A123"/>
    <mergeCell ref="A124:A126"/>
    <mergeCell ref="A127:A129"/>
    <mergeCell ref="A130:A132"/>
    <mergeCell ref="A133:A135"/>
    <mergeCell ref="A136:A138"/>
    <mergeCell ref="A139:A141"/>
    <mergeCell ref="A88:A90"/>
    <mergeCell ref="A91:A93"/>
    <mergeCell ref="A94:A96"/>
    <mergeCell ref="A97:A99"/>
    <mergeCell ref="A100:A102"/>
    <mergeCell ref="A103:A105"/>
    <mergeCell ref="A106:A108"/>
    <mergeCell ref="A109:A111"/>
    <mergeCell ref="A112:A114"/>
    <mergeCell ref="A61:A63"/>
    <mergeCell ref="A64:A66"/>
    <mergeCell ref="A67:A69"/>
    <mergeCell ref="A70:A72"/>
    <mergeCell ref="A73:A75"/>
    <mergeCell ref="A76:A78"/>
    <mergeCell ref="A79:A81"/>
    <mergeCell ref="A82:A84"/>
    <mergeCell ref="A85:A87"/>
    <mergeCell ref="A34:A36"/>
    <mergeCell ref="A37:A39"/>
    <mergeCell ref="A40:A42"/>
    <mergeCell ref="A43:A45"/>
    <mergeCell ref="A46:A48"/>
    <mergeCell ref="A49:A51"/>
    <mergeCell ref="A52:A54"/>
    <mergeCell ref="A55:A57"/>
    <mergeCell ref="A58:A60"/>
    <mergeCell ref="A6:A7"/>
    <mergeCell ref="A10:A12"/>
    <mergeCell ref="A13:A15"/>
    <mergeCell ref="A16:A18"/>
    <mergeCell ref="A19:A21"/>
    <mergeCell ref="A22:A24"/>
    <mergeCell ref="A25:A27"/>
    <mergeCell ref="A28:A30"/>
    <mergeCell ref="A31:A33"/>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265625" style="1" customWidth="1"/>
    <col min="3" max="3" width="23.265625" style="4" customWidth="1"/>
    <col min="4" max="16384" width="6.86328125" style="4"/>
  </cols>
  <sheetData>
    <row r="1" spans="1:9" s="1" customFormat="1" ht="21.6" customHeight="1">
      <c r="A1" s="12" t="s">
        <v>4956</v>
      </c>
      <c r="B1" s="13" t="s">
        <v>4957</v>
      </c>
      <c r="C1" s="6"/>
    </row>
    <row r="2" spans="1:9" s="2" customFormat="1" ht="15" customHeight="1">
      <c r="A2" s="14">
        <v>45996</v>
      </c>
      <c r="B2" s="15" t="s">
        <v>4958</v>
      </c>
      <c r="C2" s="16"/>
      <c r="D2" s="9"/>
      <c r="E2" s="9"/>
      <c r="F2" s="9"/>
      <c r="G2" s="9"/>
      <c r="H2" s="9"/>
      <c r="I2" s="9"/>
    </row>
    <row r="3" spans="1:9" s="2" customFormat="1" ht="15" customHeight="1">
      <c r="A3" s="14">
        <v>46001</v>
      </c>
      <c r="B3" s="15" t="s">
        <v>4959</v>
      </c>
      <c r="C3" s="16"/>
      <c r="D3" s="9"/>
      <c r="E3" s="9"/>
      <c r="F3" s="9"/>
      <c r="G3" s="9"/>
      <c r="H3" s="9"/>
      <c r="I3" s="9"/>
    </row>
    <row r="4" spans="1:9" s="2" customFormat="1" ht="15" customHeight="1">
      <c r="A4" s="14">
        <v>46020</v>
      </c>
      <c r="B4" s="15" t="s">
        <v>4960</v>
      </c>
      <c r="C4" s="16"/>
      <c r="D4" s="9"/>
      <c r="E4" s="9"/>
      <c r="F4" s="9"/>
      <c r="G4" s="9"/>
      <c r="H4" s="9"/>
      <c r="I4" s="9"/>
    </row>
    <row r="5" spans="1:9" s="2" customFormat="1" ht="15" customHeight="1">
      <c r="A5" s="14">
        <v>46021</v>
      </c>
      <c r="B5" s="15" t="s">
        <v>4960</v>
      </c>
      <c r="C5" s="16"/>
      <c r="D5" s="9"/>
      <c r="E5" s="9"/>
      <c r="F5" s="9"/>
      <c r="G5" s="9"/>
      <c r="H5" s="9"/>
      <c r="I5" s="9"/>
    </row>
    <row r="6" spans="1:9" s="2" customFormat="1" ht="15" customHeight="1">
      <c r="A6" s="14">
        <v>46022</v>
      </c>
      <c r="B6" s="15" t="s">
        <v>4960</v>
      </c>
      <c r="C6" s="16"/>
      <c r="D6" s="9"/>
      <c r="E6" s="9"/>
      <c r="F6" s="9"/>
      <c r="G6" s="9"/>
      <c r="H6" s="9"/>
      <c r="I6" s="9"/>
    </row>
    <row r="7" spans="1:9" s="2" customFormat="1" ht="15" customHeight="1">
      <c r="A7" s="14">
        <v>46023</v>
      </c>
      <c r="B7" s="15" t="s">
        <v>4960</v>
      </c>
      <c r="C7" s="16"/>
      <c r="D7" s="9"/>
      <c r="E7" s="9"/>
      <c r="F7" s="9"/>
      <c r="G7" s="9"/>
      <c r="H7" s="9"/>
      <c r="I7" s="9"/>
    </row>
    <row r="8" spans="1:9" s="2" customFormat="1" ht="15" customHeight="1">
      <c r="A8" s="14">
        <v>46024</v>
      </c>
      <c r="B8" s="15" t="s">
        <v>4960</v>
      </c>
      <c r="C8" s="16"/>
      <c r="D8" s="9"/>
      <c r="E8" s="9"/>
      <c r="F8" s="9"/>
      <c r="G8" s="9"/>
      <c r="H8" s="9"/>
      <c r="I8" s="9"/>
    </row>
    <row r="9" spans="1:9" s="2" customFormat="1" ht="15" customHeight="1">
      <c r="A9" s="14">
        <v>46065</v>
      </c>
      <c r="B9" s="15" t="s">
        <v>4961</v>
      </c>
      <c r="C9" s="16"/>
      <c r="D9" s="9"/>
      <c r="E9" s="9"/>
      <c r="F9" s="9"/>
      <c r="G9" s="9"/>
      <c r="H9" s="9"/>
      <c r="I9" s="9"/>
    </row>
    <row r="10" spans="1:9" s="2" customFormat="1" ht="15" customHeight="1">
      <c r="A10" s="14">
        <v>46118</v>
      </c>
      <c r="B10" s="15" t="s">
        <v>4962</v>
      </c>
      <c r="C10" s="16"/>
      <c r="D10" s="9"/>
      <c r="E10" s="9"/>
      <c r="F10" s="9"/>
      <c r="G10" s="9"/>
      <c r="H10" s="9"/>
      <c r="I10" s="9"/>
    </row>
    <row r="11" spans="1:9" s="2" customFormat="1" ht="15" customHeight="1">
      <c r="A11" s="14">
        <v>46125</v>
      </c>
      <c r="B11" s="15" t="s">
        <v>4963</v>
      </c>
      <c r="C11" s="16"/>
      <c r="D11" s="9"/>
      <c r="E11" s="9"/>
      <c r="F11" s="9"/>
      <c r="G11" s="9"/>
      <c r="H11" s="9"/>
      <c r="I11" s="9"/>
    </row>
    <row r="12" spans="1:9" s="2" customFormat="1" ht="15" customHeight="1">
      <c r="A12" s="14">
        <v>46126</v>
      </c>
      <c r="B12" s="15" t="s">
        <v>4963</v>
      </c>
      <c r="C12" s="16"/>
      <c r="D12" s="9"/>
      <c r="E12" s="9"/>
      <c r="F12" s="9"/>
      <c r="G12" s="9"/>
      <c r="H12" s="9"/>
      <c r="I12" s="9"/>
    </row>
    <row r="13" spans="1:9" s="2" customFormat="1" ht="15" customHeight="1">
      <c r="A13" s="14">
        <v>46127</v>
      </c>
      <c r="B13" s="15" t="s">
        <v>4963</v>
      </c>
      <c r="C13" s="16"/>
      <c r="D13" s="9"/>
      <c r="E13" s="9"/>
      <c r="F13" s="9"/>
      <c r="G13" s="9"/>
      <c r="H13" s="9"/>
      <c r="I13" s="9"/>
    </row>
    <row r="14" spans="1:9" s="2" customFormat="1" ht="15" customHeight="1">
      <c r="A14" s="14">
        <v>46128</v>
      </c>
      <c r="B14" s="15" t="s">
        <v>4963</v>
      </c>
      <c r="C14" s="16"/>
      <c r="D14" s="9"/>
      <c r="E14" s="9"/>
      <c r="F14" s="9"/>
      <c r="G14" s="9"/>
      <c r="H14" s="9"/>
      <c r="I14" s="9"/>
    </row>
    <row r="15" spans="1:9" s="2" customFormat="1" ht="15" customHeight="1">
      <c r="A15" s="14">
        <v>46129</v>
      </c>
      <c r="B15" s="15" t="s">
        <v>4963</v>
      </c>
      <c r="C15" s="16"/>
      <c r="D15" s="9"/>
      <c r="E15" s="9"/>
      <c r="F15" s="9"/>
      <c r="G15" s="9"/>
      <c r="H15" s="9"/>
      <c r="I15" s="9"/>
    </row>
    <row r="16" spans="1:9" s="2" customFormat="1" ht="15" customHeight="1">
      <c r="A16" s="14">
        <v>46143</v>
      </c>
      <c r="B16" s="15" t="s">
        <v>4964</v>
      </c>
      <c r="C16" s="16"/>
      <c r="D16" s="9"/>
      <c r="E16" s="9"/>
      <c r="F16" s="9"/>
      <c r="G16" s="9"/>
      <c r="H16" s="9"/>
      <c r="I16" s="9"/>
    </row>
    <row r="17" spans="1:9" s="2" customFormat="1" ht="15" customHeight="1">
      <c r="A17" s="14">
        <v>46146</v>
      </c>
      <c r="B17" s="15" t="s">
        <v>4965</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4966</v>
      </c>
      <c r="C22" s="16"/>
      <c r="D22" s="9"/>
      <c r="E22" s="9"/>
      <c r="F22" s="9"/>
      <c r="G22" s="9"/>
      <c r="H22" s="9"/>
      <c r="I22" s="9"/>
    </row>
    <row r="23" spans="1:9" s="2" customFormat="1" ht="15" customHeight="1">
      <c r="A23" s="14">
        <v>46308</v>
      </c>
      <c r="B23" s="15" t="s">
        <v>4967</v>
      </c>
      <c r="C23" s="16"/>
      <c r="D23" s="9"/>
      <c r="E23" s="9"/>
      <c r="F23" s="9"/>
      <c r="G23" s="9"/>
      <c r="H23" s="9"/>
      <c r="I23" s="9"/>
    </row>
    <row r="24" spans="1:9" s="2" customFormat="1" ht="15" customHeight="1">
      <c r="A24" s="14">
        <v>46318</v>
      </c>
      <c r="B24" s="15" t="s">
        <v>4968</v>
      </c>
      <c r="C24" s="16"/>
      <c r="D24" s="9"/>
      <c r="E24" s="9"/>
      <c r="F24" s="9"/>
      <c r="G24" s="9"/>
      <c r="H24" s="9"/>
      <c r="I24" s="9"/>
    </row>
    <row r="25" spans="1:9" s="2" customFormat="1" ht="15" customHeight="1">
      <c r="A25" s="14">
        <v>46363</v>
      </c>
      <c r="B25" s="15" t="s">
        <v>4958</v>
      </c>
      <c r="C25" s="16"/>
      <c r="D25" s="9"/>
      <c r="E25" s="9"/>
      <c r="F25" s="9"/>
      <c r="G25" s="9"/>
      <c r="H25" s="9"/>
      <c r="I25" s="9"/>
    </row>
    <row r="26" spans="1:9" s="2" customFormat="1" ht="15" customHeight="1">
      <c r="A26" s="14">
        <v>46387</v>
      </c>
      <c r="B26" s="15" t="s">
        <v>4960</v>
      </c>
      <c r="C26" s="16"/>
      <c r="D26" s="9"/>
      <c r="E26" s="9"/>
      <c r="F26" s="9"/>
      <c r="G26" s="9"/>
      <c r="H26" s="9"/>
      <c r="I26" s="9"/>
    </row>
    <row r="27" spans="1:9" s="2" customFormat="1" ht="15" customHeight="1">
      <c r="A27" s="14">
        <v>46388</v>
      </c>
      <c r="B27" s="15" t="s">
        <v>4960</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4961</v>
      </c>
      <c r="C29" s="16" t="s">
        <v>4969</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4962</v>
      </c>
      <c r="C31" s="16"/>
      <c r="D31" s="9"/>
      <c r="E31" s="9"/>
      <c r="F31" s="9"/>
      <c r="G31" s="9"/>
      <c r="H31" s="9"/>
      <c r="I31" s="9"/>
    </row>
    <row r="32" spans="1:9" s="2" customFormat="1" ht="15" customHeight="1">
      <c r="A32" s="14">
        <v>46490</v>
      </c>
      <c r="B32" s="15" t="s">
        <v>4963</v>
      </c>
      <c r="C32" s="16"/>
      <c r="D32" s="9"/>
      <c r="E32" s="9"/>
      <c r="F32" s="9"/>
      <c r="G32" s="9"/>
      <c r="H32" s="9"/>
      <c r="I32" s="9"/>
    </row>
    <row r="33" spans="1:9" s="2" customFormat="1" ht="15" customHeight="1">
      <c r="A33" s="14">
        <v>46491</v>
      </c>
      <c r="B33" s="15" t="s">
        <v>4963</v>
      </c>
      <c r="C33" s="16"/>
      <c r="D33" s="9"/>
      <c r="E33" s="9"/>
      <c r="F33" s="9"/>
      <c r="G33" s="9"/>
      <c r="H33" s="9"/>
      <c r="I33" s="9"/>
    </row>
    <row r="34" spans="1:9" s="2" customFormat="1" ht="15" customHeight="1">
      <c r="A34" s="14">
        <v>46492</v>
      </c>
      <c r="B34" s="15" t="s">
        <v>4963</v>
      </c>
      <c r="C34" s="16"/>
      <c r="D34" s="9"/>
      <c r="E34" s="9"/>
      <c r="F34" s="9"/>
      <c r="G34" s="9"/>
      <c r="H34" s="9"/>
      <c r="I34" s="9"/>
    </row>
    <row r="35" spans="1:9" s="2" customFormat="1" ht="15" customHeight="1">
      <c r="A35" s="14">
        <v>46508</v>
      </c>
      <c r="B35" s="15" t="s">
        <v>4964</v>
      </c>
      <c r="C35" s="16"/>
      <c r="D35" s="9"/>
      <c r="E35" s="9"/>
      <c r="F35" s="9"/>
      <c r="G35" s="9"/>
      <c r="H35" s="9"/>
      <c r="I35" s="9"/>
    </row>
    <row r="36" spans="1:9" s="2" customFormat="1" ht="15" customHeight="1">
      <c r="A36" s="14">
        <v>46511</v>
      </c>
      <c r="B36" s="15" t="s">
        <v>4965</v>
      </c>
      <c r="C36" s="16"/>
      <c r="D36" s="9"/>
      <c r="E36" s="9"/>
      <c r="F36" s="9"/>
      <c r="G36" s="9"/>
      <c r="H36" s="9"/>
      <c r="I36" s="9"/>
    </row>
    <row r="37" spans="1:9" s="2" customFormat="1" ht="15" customHeight="1">
      <c r="A37" s="14">
        <v>46527</v>
      </c>
      <c r="B37" s="15" t="s">
        <v>4970</v>
      </c>
      <c r="C37" s="16" t="s">
        <v>4969</v>
      </c>
      <c r="D37" s="9"/>
      <c r="E37" s="9"/>
      <c r="F37" s="9"/>
      <c r="G37" s="9"/>
      <c r="H37" s="9"/>
      <c r="I37" s="9"/>
    </row>
    <row r="38" spans="1:9" s="2" customFormat="1" ht="15" customHeight="1">
      <c r="A38" s="14">
        <v>46541</v>
      </c>
      <c r="B38" s="15" t="s">
        <v>4971</v>
      </c>
      <c r="C38" s="16"/>
      <c r="D38" s="9"/>
      <c r="E38" s="9"/>
      <c r="F38" s="9"/>
      <c r="G38" s="9"/>
      <c r="H38" s="9"/>
      <c r="I38" s="9"/>
    </row>
    <row r="39" spans="1:9" s="2" customFormat="1" ht="15" customHeight="1">
      <c r="A39" s="14">
        <v>46611</v>
      </c>
      <c r="B39" s="15" t="s">
        <v>4972</v>
      </c>
      <c r="C39" s="16"/>
      <c r="D39" s="9"/>
      <c r="E39" s="9"/>
      <c r="F39" s="9"/>
      <c r="G39" s="9"/>
      <c r="H39" s="9"/>
      <c r="I39" s="9"/>
    </row>
    <row r="40" spans="1:9" s="2" customFormat="1" ht="15" customHeight="1">
      <c r="A40" s="14">
        <v>46673</v>
      </c>
      <c r="B40" s="15" t="s">
        <v>4973</v>
      </c>
      <c r="C40" s="16"/>
      <c r="D40" s="9"/>
      <c r="E40" s="9"/>
      <c r="F40" s="9"/>
      <c r="G40" s="9"/>
      <c r="H40" s="9"/>
      <c r="I40" s="9"/>
    </row>
    <row r="41" spans="1:9" s="2" customFormat="1" ht="15" customHeight="1">
      <c r="A41" s="14">
        <v>46683</v>
      </c>
      <c r="B41" s="15" t="s">
        <v>4974</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4975</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4976</v>
      </c>
      <c r="C45" s="16"/>
      <c r="D45" s="9"/>
      <c r="E45" s="9"/>
      <c r="F45" s="9"/>
      <c r="G45" s="9"/>
      <c r="H45" s="9"/>
      <c r="I45" s="9"/>
    </row>
    <row r="46" spans="1:9" s="2" customFormat="1" ht="15" customHeight="1">
      <c r="A46" s="14">
        <v>46752</v>
      </c>
      <c r="B46" s="15" t="s">
        <v>4977</v>
      </c>
      <c r="C46" s="16"/>
      <c r="D46" s="9"/>
      <c r="E46" s="9"/>
      <c r="F46" s="9"/>
      <c r="G46" s="9"/>
      <c r="H46" s="9"/>
      <c r="I46" s="9"/>
    </row>
    <row r="47" spans="1:9" s="2" customFormat="1" ht="15" customHeight="1">
      <c r="A47" s="14">
        <v>46753</v>
      </c>
      <c r="B47" s="15" t="s">
        <v>4978</v>
      </c>
      <c r="C47" s="16"/>
      <c r="D47" s="9"/>
      <c r="E47" s="9"/>
      <c r="F47" s="9"/>
      <c r="G47" s="9"/>
      <c r="H47" s="9"/>
      <c r="I47" s="9"/>
    </row>
    <row r="48" spans="1:9" s="2" customFormat="1" ht="15" customHeight="1">
      <c r="A48" s="14">
        <v>46791</v>
      </c>
      <c r="B48" s="15" t="s">
        <v>4979</v>
      </c>
      <c r="C48" s="16" t="s">
        <v>4969</v>
      </c>
      <c r="D48" s="9"/>
      <c r="E48" s="9"/>
      <c r="F48" s="9"/>
      <c r="G48" s="9"/>
      <c r="H48" s="9"/>
      <c r="I48" s="9"/>
    </row>
    <row r="49" spans="1:9" s="2" customFormat="1" ht="15" customHeight="1">
      <c r="A49" s="14">
        <v>46849</v>
      </c>
      <c r="B49" s="15" t="s">
        <v>4980</v>
      </c>
      <c r="C49" s="16"/>
      <c r="D49" s="9"/>
      <c r="E49" s="9"/>
      <c r="F49" s="9"/>
      <c r="G49" s="9"/>
      <c r="H49" s="9"/>
      <c r="I49" s="9"/>
    </row>
    <row r="50" spans="1:9" s="2" customFormat="1" ht="15" customHeight="1">
      <c r="A50" s="14">
        <v>46856</v>
      </c>
      <c r="B50" s="15" t="s">
        <v>4981</v>
      </c>
      <c r="C50" s="16"/>
      <c r="D50" s="9"/>
      <c r="E50" s="9"/>
      <c r="F50" s="9"/>
      <c r="G50" s="9"/>
      <c r="H50" s="9"/>
      <c r="I50" s="9"/>
    </row>
    <row r="51" spans="1:9" s="2" customFormat="1" ht="15" customHeight="1">
      <c r="A51" s="14">
        <v>46857</v>
      </c>
      <c r="B51" s="15" t="s">
        <v>4981</v>
      </c>
      <c r="C51" s="16"/>
      <c r="D51" s="9"/>
      <c r="E51" s="9"/>
      <c r="F51" s="9"/>
      <c r="G51" s="9"/>
      <c r="H51" s="9"/>
      <c r="I51" s="9"/>
    </row>
    <row r="52" spans="1:9" s="2" customFormat="1" ht="15" customHeight="1">
      <c r="A52" s="14">
        <v>46858</v>
      </c>
      <c r="B52" s="15" t="s">
        <v>4981</v>
      </c>
      <c r="C52" s="16"/>
      <c r="D52" s="9"/>
      <c r="E52" s="9"/>
      <c r="F52" s="9"/>
      <c r="G52" s="9"/>
      <c r="H52" s="9"/>
      <c r="I52" s="9"/>
    </row>
    <row r="53" spans="1:9" s="2" customFormat="1" ht="15" customHeight="1">
      <c r="A53" s="14">
        <v>46874</v>
      </c>
      <c r="B53" s="15" t="s">
        <v>4982</v>
      </c>
      <c r="C53" s="16"/>
      <c r="D53" s="9"/>
      <c r="E53" s="9"/>
      <c r="F53" s="9"/>
      <c r="G53" s="9"/>
      <c r="H53" s="9"/>
      <c r="I53" s="9"/>
    </row>
    <row r="54" spans="1:9" s="2" customFormat="1" ht="15" customHeight="1">
      <c r="A54" s="14">
        <v>46878</v>
      </c>
      <c r="B54" s="15" t="s">
        <v>4983</v>
      </c>
      <c r="C54" s="16"/>
      <c r="D54" s="9"/>
      <c r="E54" s="9"/>
      <c r="F54" s="9"/>
      <c r="G54" s="9"/>
      <c r="H54" s="9"/>
      <c r="I54" s="9"/>
    </row>
    <row r="55" spans="1:9" s="2" customFormat="1" ht="15" customHeight="1">
      <c r="A55" s="14">
        <v>46912</v>
      </c>
      <c r="B55" s="15" t="s">
        <v>4984</v>
      </c>
      <c r="C55" s="16" t="s">
        <v>4969</v>
      </c>
      <c r="D55" s="9"/>
      <c r="E55" s="9"/>
      <c r="F55" s="9"/>
      <c r="G55" s="9"/>
      <c r="H55" s="9"/>
      <c r="I55" s="9"/>
    </row>
    <row r="56" spans="1:9" s="2" customFormat="1" ht="15" customHeight="1">
      <c r="A56" s="14">
        <v>46907</v>
      </c>
      <c r="B56" s="15" t="s">
        <v>4985</v>
      </c>
      <c r="C56" s="16"/>
      <c r="D56" s="9"/>
      <c r="E56" s="9"/>
      <c r="F56" s="9"/>
      <c r="G56" s="9"/>
      <c r="H56" s="9"/>
      <c r="I56" s="9"/>
    </row>
    <row r="57" spans="1:9" s="2" customFormat="1" ht="15" customHeight="1">
      <c r="A57" s="14">
        <v>46958</v>
      </c>
      <c r="B57" s="15" t="s">
        <v>4986</v>
      </c>
      <c r="C57" s="16" t="s">
        <v>4969</v>
      </c>
      <c r="D57" s="9"/>
      <c r="E57" s="9"/>
      <c r="F57" s="9"/>
      <c r="G57" s="9"/>
      <c r="H57" s="9"/>
      <c r="I57" s="9"/>
    </row>
    <row r="58" spans="1:9" s="2" customFormat="1" ht="15" customHeight="1">
      <c r="A58" s="14">
        <v>46977</v>
      </c>
      <c r="B58" s="15" t="s">
        <v>4972</v>
      </c>
      <c r="C58" s="16"/>
      <c r="D58" s="9"/>
      <c r="E58" s="9"/>
      <c r="F58" s="9"/>
      <c r="G58" s="9"/>
      <c r="H58" s="9"/>
      <c r="I58" s="9"/>
    </row>
    <row r="59" spans="1:9" s="2" customFormat="1" ht="15" customHeight="1">
      <c r="A59" s="14">
        <v>47039</v>
      </c>
      <c r="B59" s="15" t="s">
        <v>4973</v>
      </c>
      <c r="C59" s="16"/>
      <c r="D59" s="9"/>
      <c r="E59" s="9"/>
      <c r="F59" s="9"/>
      <c r="G59" s="9"/>
      <c r="H59" s="9"/>
      <c r="I59" s="9"/>
    </row>
    <row r="60" spans="1:9" s="2" customFormat="1" ht="15" customHeight="1">
      <c r="A60" s="14">
        <v>47049</v>
      </c>
      <c r="B60" s="15" t="s">
        <v>4974</v>
      </c>
      <c r="C60" s="16"/>
      <c r="D60" s="9"/>
      <c r="E60" s="9"/>
      <c r="F60" s="9"/>
      <c r="G60" s="9"/>
      <c r="H60" s="9"/>
      <c r="I60" s="9"/>
    </row>
    <row r="61" spans="1:9" s="2" customFormat="1" ht="15" customHeight="1">
      <c r="A61" s="14">
        <v>47092</v>
      </c>
      <c r="B61" s="15" t="s">
        <v>4975</v>
      </c>
      <c r="C61" s="16"/>
      <c r="D61" s="9"/>
      <c r="E61" s="9"/>
      <c r="F61" s="9"/>
      <c r="G61" s="9"/>
      <c r="H61" s="9"/>
      <c r="I61" s="9"/>
    </row>
    <row r="62" spans="1:9" s="2" customFormat="1" ht="15" customHeight="1">
      <c r="A62" s="14">
        <v>47097</v>
      </c>
      <c r="B62" s="15" t="s">
        <v>4976</v>
      </c>
      <c r="C62" s="16"/>
      <c r="D62" s="9"/>
      <c r="E62" s="9"/>
      <c r="F62" s="9"/>
      <c r="G62" s="9"/>
      <c r="H62" s="9"/>
      <c r="I62" s="9"/>
    </row>
    <row r="63" spans="1:9" s="2" customFormat="1" ht="15" customHeight="1">
      <c r="A63" s="14">
        <v>47118</v>
      </c>
      <c r="B63" s="15" t="s">
        <v>4977</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6328125" defaultRowHeight="13.15"/>
  <cols>
    <col min="1" max="1" width="19.73046875" style="3" customWidth="1"/>
    <col min="2" max="2" width="43.86328125" style="4" customWidth="1"/>
    <col min="3" max="16384" width="6.86328125" style="4"/>
  </cols>
  <sheetData>
    <row r="1" spans="1:9" s="1" customFormat="1" ht="48" customHeight="1">
      <c r="A1" s="5" t="s">
        <v>4956</v>
      </c>
      <c r="B1" s="6" t="s">
        <v>4957</v>
      </c>
    </row>
    <row r="2" spans="1:9" s="2" customFormat="1" ht="15" customHeight="1">
      <c r="A2" s="7">
        <v>46023</v>
      </c>
      <c r="B2" s="8" t="s">
        <v>4960</v>
      </c>
      <c r="C2" s="9"/>
      <c r="D2" s="9"/>
      <c r="E2" s="9"/>
      <c r="F2" s="9"/>
      <c r="G2" s="9"/>
      <c r="H2" s="9"/>
      <c r="I2" s="9"/>
    </row>
    <row r="3" spans="1:9" s="2" customFormat="1" ht="15" customHeight="1">
      <c r="A3" s="7">
        <v>46024</v>
      </c>
      <c r="B3" s="8" t="s">
        <v>4960</v>
      </c>
      <c r="C3" s="9"/>
      <c r="D3" s="9"/>
      <c r="E3" s="9"/>
      <c r="F3" s="9"/>
      <c r="G3" s="9"/>
      <c r="H3" s="9"/>
      <c r="I3" s="9"/>
    </row>
    <row r="4" spans="1:9" s="2" customFormat="1" ht="15" customHeight="1">
      <c r="A4" s="7">
        <v>46025</v>
      </c>
      <c r="B4" s="8" t="s">
        <v>4960</v>
      </c>
      <c r="C4" s="9"/>
      <c r="D4" s="9"/>
      <c r="E4" s="9"/>
      <c r="F4" s="9"/>
      <c r="G4" s="9"/>
      <c r="H4" s="9"/>
      <c r="I4" s="9"/>
    </row>
    <row r="5" spans="1:9" s="2" customFormat="1" ht="15" customHeight="1">
      <c r="A5" s="7">
        <v>46068</v>
      </c>
      <c r="B5" s="8" t="s">
        <v>4987</v>
      </c>
      <c r="C5" s="9"/>
      <c r="D5" s="9"/>
      <c r="E5" s="9"/>
      <c r="F5" s="9"/>
      <c r="G5" s="9"/>
      <c r="H5" s="9"/>
      <c r="I5" s="9"/>
    </row>
    <row r="6" spans="1:9" s="2" customFormat="1" ht="15" customHeight="1">
      <c r="A6" s="7">
        <v>46069</v>
      </c>
      <c r="B6" s="8" t="s">
        <v>4987</v>
      </c>
      <c r="C6" s="9"/>
      <c r="D6" s="9"/>
      <c r="E6" s="9"/>
      <c r="F6" s="9"/>
      <c r="G6" s="9"/>
      <c r="H6" s="9"/>
      <c r="I6" s="9"/>
    </row>
    <row r="7" spans="1:9" s="2" customFormat="1" ht="15" customHeight="1">
      <c r="A7" s="7">
        <v>46070</v>
      </c>
      <c r="B7" s="8" t="s">
        <v>4987</v>
      </c>
      <c r="C7" s="9"/>
      <c r="D7" s="9"/>
      <c r="E7" s="9"/>
      <c r="F7" s="9"/>
      <c r="G7" s="9"/>
      <c r="H7" s="9"/>
      <c r="I7" s="9"/>
    </row>
    <row r="8" spans="1:9" s="2" customFormat="1" ht="15" customHeight="1">
      <c r="A8" s="7">
        <v>46071</v>
      </c>
      <c r="B8" s="8" t="s">
        <v>4987</v>
      </c>
      <c r="C8" s="9"/>
      <c r="D8" s="9"/>
      <c r="E8" s="9"/>
      <c r="F8" s="9"/>
      <c r="G8" s="9"/>
      <c r="H8" s="9"/>
      <c r="I8" s="9"/>
    </row>
    <row r="9" spans="1:9" s="2" customFormat="1" ht="15" customHeight="1">
      <c r="A9" s="7">
        <v>46072</v>
      </c>
      <c r="B9" s="8" t="s">
        <v>4987</v>
      </c>
      <c r="C9" s="9"/>
      <c r="D9" s="9"/>
      <c r="E9" s="9"/>
      <c r="F9" s="9"/>
      <c r="G9" s="9"/>
      <c r="H9" s="9"/>
      <c r="I9" s="9"/>
    </row>
    <row r="10" spans="1:9" s="2" customFormat="1" ht="15" customHeight="1">
      <c r="A10" s="7">
        <v>46073</v>
      </c>
      <c r="B10" s="8" t="s">
        <v>4987</v>
      </c>
      <c r="C10" s="9"/>
      <c r="D10" s="9"/>
      <c r="E10" s="9"/>
      <c r="F10" s="9"/>
      <c r="G10" s="9"/>
      <c r="H10" s="9"/>
      <c r="I10" s="9"/>
    </row>
    <row r="11" spans="1:9" s="2" customFormat="1" ht="15" customHeight="1">
      <c r="A11" s="7">
        <v>46074</v>
      </c>
      <c r="B11" s="8" t="s">
        <v>4987</v>
      </c>
      <c r="C11" s="9"/>
      <c r="D11" s="9"/>
      <c r="E11" s="9"/>
      <c r="F11" s="9"/>
      <c r="G11" s="9"/>
      <c r="H11" s="9"/>
      <c r="I11" s="9"/>
    </row>
    <row r="12" spans="1:9" s="2" customFormat="1" ht="15" customHeight="1">
      <c r="A12" s="7">
        <v>46116</v>
      </c>
      <c r="B12" s="8" t="s">
        <v>4988</v>
      </c>
      <c r="C12" s="9"/>
      <c r="D12" s="9"/>
      <c r="E12" s="9"/>
      <c r="F12" s="9"/>
      <c r="G12" s="9"/>
      <c r="H12" s="9"/>
      <c r="I12" s="9"/>
    </row>
    <row r="13" spans="1:9" s="2" customFormat="1" ht="15" customHeight="1">
      <c r="A13" s="7">
        <v>46117</v>
      </c>
      <c r="B13" s="8" t="s">
        <v>4988</v>
      </c>
      <c r="C13" s="9"/>
      <c r="D13" s="9"/>
      <c r="E13" s="9"/>
      <c r="F13" s="9"/>
      <c r="G13" s="9"/>
      <c r="H13" s="9"/>
      <c r="I13" s="9"/>
    </row>
    <row r="14" spans="1:9" s="2" customFormat="1" ht="15" customHeight="1">
      <c r="A14" s="7">
        <v>46118</v>
      </c>
      <c r="B14" s="8" t="s">
        <v>4988</v>
      </c>
      <c r="C14" s="9"/>
      <c r="D14" s="9"/>
      <c r="E14" s="9"/>
      <c r="F14" s="9"/>
      <c r="G14" s="9"/>
      <c r="H14" s="9"/>
      <c r="I14" s="9"/>
    </row>
    <row r="15" spans="1:9" s="2" customFormat="1" ht="15" customHeight="1">
      <c r="A15" s="7">
        <v>46143</v>
      </c>
      <c r="B15" s="10" t="s">
        <v>4964</v>
      </c>
      <c r="C15" s="9"/>
      <c r="D15" s="9"/>
      <c r="E15" s="9"/>
      <c r="F15" s="9"/>
      <c r="G15" s="9"/>
      <c r="H15" s="9"/>
      <c r="I15" s="9"/>
    </row>
    <row r="16" spans="1:9" s="2" customFormat="1" ht="15" customHeight="1">
      <c r="A16" s="7">
        <v>46144</v>
      </c>
      <c r="B16" s="10" t="s">
        <v>4964</v>
      </c>
      <c r="C16" s="9"/>
      <c r="D16" s="9"/>
      <c r="E16" s="9"/>
      <c r="F16" s="9"/>
      <c r="G16" s="9"/>
      <c r="H16" s="9"/>
      <c r="I16" s="9"/>
    </row>
    <row r="17" spans="1:9" s="2" customFormat="1" ht="15" customHeight="1">
      <c r="A17" s="7">
        <v>46145</v>
      </c>
      <c r="B17" s="10" t="s">
        <v>4964</v>
      </c>
      <c r="C17" s="9"/>
      <c r="D17" s="9"/>
      <c r="E17" s="9"/>
      <c r="F17" s="9"/>
      <c r="G17" s="9"/>
      <c r="H17" s="9"/>
      <c r="I17" s="9"/>
    </row>
    <row r="18" spans="1:9" s="2" customFormat="1" ht="15" customHeight="1">
      <c r="A18" s="7">
        <v>46192</v>
      </c>
      <c r="B18" s="8" t="s">
        <v>4989</v>
      </c>
      <c r="C18" s="9"/>
      <c r="D18" s="9"/>
      <c r="E18" s="9"/>
      <c r="F18" s="9"/>
      <c r="G18" s="9"/>
      <c r="H18" s="9"/>
      <c r="I18" s="9"/>
    </row>
    <row r="19" spans="1:9" s="2" customFormat="1" ht="15" customHeight="1">
      <c r="A19" s="7">
        <v>46193</v>
      </c>
      <c r="B19" s="8" t="s">
        <v>4989</v>
      </c>
      <c r="C19" s="9"/>
      <c r="D19" s="9"/>
      <c r="E19" s="9"/>
      <c r="F19" s="9"/>
      <c r="G19" s="9"/>
      <c r="H19" s="9"/>
      <c r="I19" s="9"/>
    </row>
    <row r="20" spans="1:9" s="2" customFormat="1" ht="15" customHeight="1">
      <c r="A20" s="7">
        <v>46194</v>
      </c>
      <c r="B20" s="8" t="s">
        <v>4989</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4990</v>
      </c>
      <c r="C22" s="9"/>
      <c r="D22" s="9"/>
      <c r="E22" s="9"/>
      <c r="F22" s="9"/>
      <c r="G22" s="9"/>
      <c r="H22" s="9"/>
      <c r="I22" s="9"/>
    </row>
    <row r="23" spans="1:9" s="2" customFormat="1" ht="15" customHeight="1">
      <c r="A23" s="7">
        <v>46297</v>
      </c>
      <c r="B23" s="8" t="s">
        <v>4990</v>
      </c>
      <c r="C23" s="9"/>
      <c r="D23" s="9"/>
      <c r="E23" s="9"/>
      <c r="F23" s="9"/>
      <c r="G23" s="9"/>
      <c r="H23" s="9"/>
      <c r="I23" s="9"/>
    </row>
    <row r="24" spans="1:9" s="2" customFormat="1" ht="15" customHeight="1">
      <c r="A24" s="7">
        <v>46298</v>
      </c>
      <c r="B24" s="8" t="s">
        <v>4990</v>
      </c>
      <c r="C24" s="9"/>
      <c r="D24" s="9"/>
      <c r="E24" s="9"/>
      <c r="F24" s="9"/>
      <c r="G24" s="9"/>
      <c r="H24" s="9"/>
      <c r="I24" s="9"/>
    </row>
    <row r="25" spans="1:9" s="2" customFormat="1" ht="15" customHeight="1">
      <c r="A25" s="7">
        <v>46299</v>
      </c>
      <c r="B25" s="8" t="s">
        <v>4990</v>
      </c>
      <c r="C25" s="9"/>
      <c r="D25" s="9"/>
      <c r="E25" s="9"/>
      <c r="F25" s="9"/>
      <c r="G25" s="9"/>
      <c r="H25" s="9"/>
      <c r="I25" s="9"/>
    </row>
    <row r="26" spans="1:9" s="2" customFormat="1" ht="15" customHeight="1">
      <c r="A26" s="7">
        <v>46300</v>
      </c>
      <c r="B26" s="8" t="s">
        <v>4990</v>
      </c>
      <c r="C26" s="9"/>
      <c r="D26" s="9"/>
      <c r="E26" s="9"/>
      <c r="F26" s="9"/>
      <c r="G26" s="9"/>
      <c r="H26" s="9"/>
      <c r="I26" s="9"/>
    </row>
    <row r="27" spans="1:9" s="2" customFormat="1" ht="15" customHeight="1">
      <c r="A27" s="7">
        <v>46301</v>
      </c>
      <c r="B27" s="8" t="s">
        <v>4990</v>
      </c>
      <c r="C27" s="9"/>
      <c r="D27" s="9"/>
      <c r="E27" s="9"/>
      <c r="F27" s="9"/>
      <c r="G27" s="9"/>
      <c r="H27" s="9"/>
      <c r="I27" s="9"/>
    </row>
    <row r="28" spans="1:9" s="2" customFormat="1" ht="15" customHeight="1">
      <c r="A28" s="7">
        <v>46302</v>
      </c>
      <c r="B28" s="8" t="s">
        <v>4990</v>
      </c>
      <c r="C28" s="9"/>
      <c r="D28" s="9"/>
      <c r="E28" s="9"/>
      <c r="F28" s="9"/>
      <c r="G28" s="9"/>
      <c r="H28" s="9"/>
      <c r="I28" s="9"/>
    </row>
    <row r="29" spans="1:9" s="2" customFormat="1" ht="15" customHeight="1">
      <c r="A29" s="7">
        <v>46388</v>
      </c>
      <c r="B29" s="8" t="s">
        <v>4960</v>
      </c>
      <c r="C29" s="9"/>
      <c r="D29" s="9"/>
      <c r="E29" s="9"/>
      <c r="F29" s="9"/>
      <c r="G29" s="9"/>
      <c r="H29" s="9"/>
      <c r="I29" s="9"/>
    </row>
    <row r="30" spans="1:9" s="2" customFormat="1" ht="15" customHeight="1">
      <c r="A30" s="7">
        <v>46389</v>
      </c>
      <c r="B30" s="8" t="s">
        <v>4960</v>
      </c>
      <c r="C30" s="9"/>
      <c r="D30" s="9"/>
      <c r="E30" s="9"/>
      <c r="F30" s="9"/>
      <c r="G30" s="9"/>
      <c r="H30" s="9"/>
      <c r="I30" s="9"/>
    </row>
    <row r="31" spans="1:9" s="2" customFormat="1" ht="15" customHeight="1">
      <c r="A31" s="7">
        <v>46390</v>
      </c>
      <c r="B31" s="8" t="s">
        <v>4960</v>
      </c>
      <c r="C31" s="9"/>
      <c r="D31" s="9"/>
      <c r="E31" s="9"/>
      <c r="F31" s="9"/>
      <c r="G31" s="9"/>
      <c r="H31" s="9"/>
      <c r="I31" s="9"/>
    </row>
    <row r="32" spans="1:9" s="2" customFormat="1" ht="15" customHeight="1">
      <c r="A32" s="7">
        <v>46424</v>
      </c>
      <c r="B32" s="8" t="s">
        <v>4987</v>
      </c>
      <c r="C32" s="9"/>
      <c r="D32" s="9"/>
      <c r="E32" s="9"/>
      <c r="F32" s="9"/>
      <c r="G32" s="9"/>
      <c r="H32" s="9"/>
      <c r="I32" s="9"/>
    </row>
    <row r="33" spans="1:9" s="2" customFormat="1" ht="15" customHeight="1">
      <c r="A33" s="7">
        <v>46425</v>
      </c>
      <c r="B33" s="8" t="s">
        <v>4987</v>
      </c>
      <c r="C33" s="9"/>
      <c r="D33" s="9"/>
      <c r="E33" s="9"/>
      <c r="F33" s="9"/>
      <c r="G33" s="9"/>
      <c r="H33" s="9"/>
      <c r="I33" s="9"/>
    </row>
    <row r="34" spans="1:9" s="2" customFormat="1" ht="15" customHeight="1">
      <c r="A34" s="7">
        <v>46426</v>
      </c>
      <c r="B34" s="8" t="s">
        <v>4987</v>
      </c>
      <c r="C34" s="9"/>
      <c r="D34" s="9"/>
      <c r="E34" s="9"/>
      <c r="F34" s="9"/>
      <c r="G34" s="9"/>
      <c r="H34" s="9"/>
      <c r="I34" s="9"/>
    </row>
    <row r="35" spans="1:9" s="2" customFormat="1" ht="15" customHeight="1">
      <c r="A35" s="7">
        <v>46427</v>
      </c>
      <c r="B35" s="8" t="s">
        <v>4987</v>
      </c>
      <c r="C35" s="9"/>
      <c r="D35" s="9"/>
      <c r="E35" s="9"/>
      <c r="F35" s="9"/>
      <c r="G35" s="9"/>
      <c r="H35" s="9"/>
      <c r="I35" s="9"/>
    </row>
    <row r="36" spans="1:9" s="2" customFormat="1" ht="15" customHeight="1">
      <c r="A36" s="7">
        <v>46428</v>
      </c>
      <c r="B36" s="8" t="s">
        <v>4987</v>
      </c>
      <c r="C36" s="9"/>
      <c r="D36" s="9"/>
      <c r="E36" s="9"/>
      <c r="F36" s="9"/>
      <c r="G36" s="9"/>
      <c r="H36" s="9"/>
      <c r="I36" s="9"/>
    </row>
    <row r="37" spans="1:9" s="2" customFormat="1" ht="15" customHeight="1">
      <c r="A37" s="7">
        <v>46429</v>
      </c>
      <c r="B37" s="8" t="s">
        <v>4987</v>
      </c>
      <c r="C37" s="9"/>
      <c r="D37" s="9"/>
      <c r="E37" s="9"/>
      <c r="F37" s="9"/>
      <c r="G37" s="9"/>
      <c r="H37" s="9"/>
      <c r="I37" s="9"/>
    </row>
    <row r="38" spans="1:9" s="2" customFormat="1" ht="15" customHeight="1">
      <c r="A38" s="7">
        <v>46430</v>
      </c>
      <c r="B38" s="8" t="s">
        <v>4987</v>
      </c>
      <c r="C38" s="9"/>
      <c r="D38" s="9"/>
      <c r="E38" s="9"/>
      <c r="F38" s="9"/>
      <c r="G38" s="9"/>
      <c r="H38" s="9"/>
      <c r="I38" s="9"/>
    </row>
    <row r="39" spans="1:9" s="2" customFormat="1" ht="15" customHeight="1">
      <c r="A39" s="7">
        <v>46480</v>
      </c>
      <c r="B39" s="8" t="s">
        <v>4988</v>
      </c>
      <c r="C39" s="9"/>
      <c r="D39" s="9"/>
      <c r="E39" s="9"/>
      <c r="F39" s="9"/>
      <c r="G39" s="9"/>
      <c r="H39" s="9"/>
      <c r="I39" s="9"/>
    </row>
    <row r="40" spans="1:9" s="2" customFormat="1" ht="15" customHeight="1">
      <c r="A40" s="7">
        <v>46481</v>
      </c>
      <c r="B40" s="8" t="s">
        <v>4988</v>
      </c>
      <c r="C40" s="9"/>
      <c r="D40" s="9"/>
      <c r="E40" s="9"/>
      <c r="F40" s="9"/>
      <c r="G40" s="9"/>
      <c r="H40" s="9"/>
      <c r="I40" s="9"/>
    </row>
    <row r="41" spans="1:9" s="2" customFormat="1" ht="15" customHeight="1">
      <c r="A41" s="7">
        <v>46482</v>
      </c>
      <c r="B41" s="8" t="s">
        <v>4988</v>
      </c>
      <c r="C41" s="9"/>
      <c r="D41" s="9"/>
      <c r="E41" s="9"/>
      <c r="F41" s="9"/>
      <c r="G41" s="9"/>
      <c r="H41" s="9"/>
      <c r="I41" s="9"/>
    </row>
    <row r="42" spans="1:9" s="2" customFormat="1" ht="15" customHeight="1">
      <c r="A42" s="7">
        <v>46508</v>
      </c>
      <c r="B42" s="10" t="s">
        <v>4964</v>
      </c>
      <c r="C42" s="9"/>
      <c r="D42" s="9"/>
      <c r="E42" s="9"/>
      <c r="F42" s="9"/>
      <c r="G42" s="9"/>
      <c r="H42" s="9"/>
      <c r="I42" s="9"/>
    </row>
    <row r="43" spans="1:9" s="2" customFormat="1" ht="15" customHeight="1">
      <c r="A43" s="7">
        <v>46509</v>
      </c>
      <c r="B43" s="10" t="s">
        <v>4964</v>
      </c>
      <c r="C43" s="9"/>
      <c r="D43" s="9"/>
      <c r="E43" s="9"/>
      <c r="F43" s="9"/>
      <c r="G43" s="9"/>
      <c r="H43" s="9"/>
      <c r="I43" s="9"/>
    </row>
    <row r="44" spans="1:9" s="2" customFormat="1" ht="15" customHeight="1">
      <c r="A44" s="7">
        <v>46510</v>
      </c>
      <c r="B44" s="10" t="s">
        <v>4964</v>
      </c>
      <c r="C44" s="9"/>
      <c r="D44" s="9"/>
      <c r="E44" s="9"/>
      <c r="F44" s="9"/>
      <c r="G44" s="9"/>
      <c r="H44" s="9"/>
      <c r="I44" s="9"/>
    </row>
    <row r="45" spans="1:9" s="2" customFormat="1" ht="15" customHeight="1">
      <c r="A45" s="7">
        <v>46549</v>
      </c>
      <c r="B45" s="8" t="s">
        <v>4989</v>
      </c>
      <c r="C45" s="9"/>
      <c r="D45" s="9"/>
      <c r="E45" s="9"/>
      <c r="F45" s="9"/>
      <c r="G45" s="9"/>
      <c r="H45" s="9"/>
      <c r="I45" s="9"/>
    </row>
    <row r="46" spans="1:9" s="2" customFormat="1" ht="15" customHeight="1">
      <c r="A46" s="7">
        <v>46550</v>
      </c>
      <c r="B46" s="8" t="s">
        <v>4989</v>
      </c>
      <c r="C46" s="9"/>
      <c r="D46" s="9"/>
      <c r="E46" s="9"/>
      <c r="F46" s="9"/>
      <c r="G46" s="9"/>
      <c r="H46" s="9"/>
      <c r="I46" s="9"/>
    </row>
    <row r="47" spans="1:9" s="2" customFormat="1" ht="15" customHeight="1">
      <c r="A47" s="7">
        <v>46551</v>
      </c>
      <c r="B47" s="8" t="s">
        <v>4989</v>
      </c>
      <c r="C47" s="9"/>
      <c r="D47" s="9"/>
      <c r="E47" s="9"/>
      <c r="F47" s="9"/>
      <c r="G47" s="9"/>
      <c r="H47" s="9"/>
      <c r="I47" s="9"/>
    </row>
    <row r="48" spans="1:9" s="2" customFormat="1" ht="15" customHeight="1">
      <c r="A48" s="7">
        <v>46552</v>
      </c>
      <c r="B48" s="8" t="s">
        <v>4989</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4990</v>
      </c>
      <c r="C50" s="9"/>
      <c r="D50" s="9"/>
      <c r="E50" s="9"/>
      <c r="F50" s="9"/>
      <c r="G50" s="9"/>
      <c r="H50" s="9"/>
      <c r="I50" s="9"/>
    </row>
    <row r="51" spans="1:9" s="2" customFormat="1" ht="15" customHeight="1">
      <c r="A51" s="7">
        <v>46662</v>
      </c>
      <c r="B51" s="8" t="s">
        <v>4990</v>
      </c>
      <c r="C51" s="9"/>
      <c r="D51" s="9"/>
      <c r="E51" s="9"/>
      <c r="F51" s="9"/>
      <c r="G51" s="9"/>
      <c r="H51" s="9"/>
      <c r="I51" s="9"/>
    </row>
    <row r="52" spans="1:9" s="2" customFormat="1" ht="15" customHeight="1">
      <c r="A52" s="7">
        <v>46663</v>
      </c>
      <c r="B52" s="8" t="s">
        <v>4990</v>
      </c>
      <c r="C52" s="9"/>
      <c r="D52" s="9"/>
      <c r="E52" s="9"/>
      <c r="F52" s="9"/>
      <c r="G52" s="9"/>
      <c r="H52" s="9"/>
      <c r="I52" s="9"/>
    </row>
    <row r="53" spans="1:9" s="2" customFormat="1" ht="15" customHeight="1">
      <c r="A53" s="7">
        <v>46664</v>
      </c>
      <c r="B53" s="8" t="s">
        <v>4990</v>
      </c>
      <c r="C53" s="9"/>
      <c r="D53" s="9"/>
      <c r="E53" s="9"/>
      <c r="F53" s="9"/>
      <c r="G53" s="9"/>
      <c r="H53" s="9"/>
      <c r="I53" s="9"/>
    </row>
    <row r="54" spans="1:9" s="2" customFormat="1" ht="15" customHeight="1">
      <c r="A54" s="7">
        <v>46665</v>
      </c>
      <c r="B54" s="8" t="s">
        <v>4990</v>
      </c>
      <c r="C54" s="9"/>
      <c r="D54" s="9"/>
      <c r="E54" s="9"/>
      <c r="F54" s="9"/>
      <c r="G54" s="9"/>
      <c r="H54" s="9"/>
      <c r="I54" s="9"/>
    </row>
    <row r="55" spans="1:9" s="2" customFormat="1" ht="15" customHeight="1">
      <c r="A55" s="7">
        <v>46666</v>
      </c>
      <c r="B55" s="8" t="s">
        <v>4990</v>
      </c>
      <c r="C55" s="9"/>
      <c r="D55" s="9"/>
      <c r="E55" s="9"/>
      <c r="F55" s="9"/>
      <c r="G55" s="9"/>
      <c r="H55" s="9"/>
      <c r="I55" s="9"/>
    </row>
    <row r="56" spans="1:9" s="2" customFormat="1" ht="15" customHeight="1">
      <c r="A56" s="7">
        <v>46667</v>
      </c>
      <c r="B56" s="8" t="s">
        <v>4990</v>
      </c>
      <c r="C56" s="9"/>
      <c r="D56" s="9"/>
      <c r="E56" s="9"/>
      <c r="F56" s="9"/>
      <c r="G56" s="9"/>
      <c r="H56" s="9"/>
      <c r="I56" s="9"/>
    </row>
    <row r="57" spans="1:9" s="2" customFormat="1" ht="15" customHeight="1">
      <c r="A57" s="7">
        <v>46753</v>
      </c>
      <c r="B57" s="8" t="s">
        <v>4960</v>
      </c>
      <c r="C57" s="9"/>
      <c r="D57" s="9"/>
      <c r="E57" s="9"/>
      <c r="F57" s="9"/>
      <c r="G57" s="9"/>
      <c r="H57" s="9"/>
      <c r="I57" s="9"/>
    </row>
    <row r="58" spans="1:9" s="2" customFormat="1" ht="15" customHeight="1">
      <c r="A58" s="7">
        <v>46754</v>
      </c>
      <c r="B58" s="8" t="s">
        <v>4960</v>
      </c>
      <c r="C58" s="9"/>
      <c r="D58" s="9"/>
      <c r="E58" s="9"/>
      <c r="F58" s="9"/>
      <c r="G58" s="9"/>
      <c r="H58" s="9"/>
      <c r="I58" s="9"/>
    </row>
    <row r="59" spans="1:9" s="2" customFormat="1" ht="15" customHeight="1">
      <c r="A59" s="7">
        <v>46755</v>
      </c>
      <c r="B59" s="8" t="s">
        <v>4960</v>
      </c>
      <c r="C59" s="9"/>
      <c r="D59" s="9"/>
      <c r="E59" s="9"/>
      <c r="F59" s="9"/>
      <c r="G59" s="9"/>
      <c r="H59" s="9"/>
      <c r="I59" s="9"/>
    </row>
    <row r="60" spans="1:9" s="2" customFormat="1" ht="15" customHeight="1">
      <c r="A60" s="7">
        <v>46777</v>
      </c>
      <c r="B60" s="8" t="s">
        <v>4987</v>
      </c>
      <c r="C60" s="9"/>
      <c r="D60" s="9"/>
      <c r="E60" s="9"/>
      <c r="F60" s="9"/>
      <c r="G60" s="9"/>
      <c r="H60" s="9"/>
      <c r="I60" s="9"/>
    </row>
    <row r="61" spans="1:9" s="2" customFormat="1" ht="15" customHeight="1">
      <c r="A61" s="7">
        <v>46778</v>
      </c>
      <c r="B61" s="8" t="s">
        <v>4987</v>
      </c>
      <c r="C61" s="9"/>
      <c r="D61" s="9"/>
      <c r="E61" s="9"/>
      <c r="F61" s="9"/>
      <c r="G61" s="9"/>
      <c r="H61" s="9"/>
      <c r="I61" s="9"/>
    </row>
    <row r="62" spans="1:9" s="2" customFormat="1" ht="15" customHeight="1">
      <c r="A62" s="7">
        <v>46779</v>
      </c>
      <c r="B62" s="8" t="s">
        <v>4987</v>
      </c>
      <c r="C62" s="9"/>
      <c r="D62" s="9"/>
      <c r="E62" s="9"/>
      <c r="F62" s="9"/>
      <c r="G62" s="9"/>
      <c r="H62" s="9"/>
      <c r="I62" s="9"/>
    </row>
    <row r="63" spans="1:9" s="2" customFormat="1" ht="15" customHeight="1">
      <c r="A63" s="7">
        <v>46780</v>
      </c>
      <c r="B63" s="8" t="s">
        <v>4987</v>
      </c>
      <c r="C63" s="9"/>
      <c r="D63" s="9"/>
      <c r="E63" s="9"/>
      <c r="F63" s="9"/>
      <c r="G63" s="9"/>
      <c r="H63" s="9"/>
      <c r="I63" s="9"/>
    </row>
    <row r="64" spans="1:9" s="2" customFormat="1" ht="15" customHeight="1">
      <c r="A64" s="7">
        <v>46781</v>
      </c>
      <c r="B64" s="8" t="s">
        <v>4987</v>
      </c>
      <c r="C64" s="9"/>
      <c r="D64" s="9"/>
      <c r="E64" s="9"/>
      <c r="F64" s="9"/>
      <c r="G64" s="9"/>
      <c r="H64" s="9"/>
      <c r="I64" s="9"/>
    </row>
    <row r="65" spans="1:9" s="2" customFormat="1" ht="15" customHeight="1">
      <c r="A65" s="7">
        <v>46782</v>
      </c>
      <c r="B65" s="8" t="s">
        <v>4987</v>
      </c>
      <c r="C65" s="9"/>
      <c r="D65" s="9"/>
      <c r="E65" s="9"/>
      <c r="F65" s="9"/>
      <c r="G65" s="9"/>
      <c r="H65" s="9"/>
      <c r="I65" s="9"/>
    </row>
    <row r="66" spans="1:9" s="2" customFormat="1" ht="15" customHeight="1">
      <c r="A66" s="7">
        <v>46783</v>
      </c>
      <c r="B66" s="8" t="s">
        <v>4987</v>
      </c>
      <c r="C66" s="9"/>
      <c r="D66" s="9"/>
      <c r="E66" s="9"/>
      <c r="F66" s="9"/>
      <c r="G66" s="9"/>
      <c r="H66" s="9"/>
      <c r="I66" s="9"/>
    </row>
    <row r="67" spans="1:9" s="2" customFormat="1" ht="15" customHeight="1">
      <c r="A67" s="7">
        <v>46847</v>
      </c>
      <c r="B67" s="8" t="s">
        <v>4988</v>
      </c>
      <c r="C67" s="9"/>
      <c r="D67" s="9"/>
      <c r="E67" s="9"/>
      <c r="F67" s="9"/>
      <c r="G67" s="9"/>
      <c r="H67" s="9"/>
      <c r="I67" s="9"/>
    </row>
    <row r="68" spans="1:9" s="2" customFormat="1" ht="15" customHeight="1">
      <c r="A68" s="7">
        <v>46848</v>
      </c>
      <c r="B68" s="8" t="s">
        <v>4988</v>
      </c>
      <c r="C68" s="9"/>
      <c r="D68" s="9"/>
      <c r="E68" s="9"/>
      <c r="F68" s="9"/>
      <c r="G68" s="9"/>
      <c r="H68" s="9"/>
      <c r="I68" s="9"/>
    </row>
    <row r="69" spans="1:9" s="2" customFormat="1" ht="15" customHeight="1">
      <c r="A69" s="7">
        <v>46849</v>
      </c>
      <c r="B69" s="8" t="s">
        <v>4988</v>
      </c>
      <c r="C69" s="9"/>
      <c r="D69" s="9"/>
      <c r="E69" s="9"/>
      <c r="F69" s="9"/>
      <c r="G69" s="9"/>
      <c r="H69" s="9"/>
      <c r="I69" s="9"/>
    </row>
    <row r="70" spans="1:9" s="2" customFormat="1" ht="15" customHeight="1">
      <c r="A70" s="7">
        <v>46874</v>
      </c>
      <c r="B70" s="10" t="s">
        <v>4964</v>
      </c>
      <c r="C70" s="9"/>
      <c r="D70" s="9"/>
      <c r="E70" s="9"/>
      <c r="F70" s="9"/>
      <c r="G70" s="9"/>
      <c r="H70" s="9"/>
      <c r="I70" s="9"/>
    </row>
    <row r="71" spans="1:9" s="2" customFormat="1" ht="15" customHeight="1">
      <c r="A71" s="7">
        <v>46875</v>
      </c>
      <c r="B71" s="10" t="s">
        <v>4964</v>
      </c>
      <c r="C71" s="9"/>
      <c r="D71" s="9"/>
      <c r="E71" s="9"/>
      <c r="F71" s="9"/>
      <c r="G71" s="9"/>
      <c r="H71" s="9"/>
      <c r="I71" s="9"/>
    </row>
    <row r="72" spans="1:9" s="2" customFormat="1" ht="15" customHeight="1">
      <c r="A72" s="7">
        <v>46876</v>
      </c>
      <c r="B72" s="10" t="s">
        <v>4964</v>
      </c>
      <c r="C72" s="9"/>
      <c r="D72" s="9"/>
      <c r="E72" s="9"/>
      <c r="F72" s="9"/>
      <c r="G72" s="9"/>
      <c r="H72" s="9"/>
      <c r="I72" s="9"/>
    </row>
    <row r="73" spans="1:9" s="2" customFormat="1" ht="15" customHeight="1">
      <c r="A73" s="7">
        <v>46904</v>
      </c>
      <c r="B73" s="8" t="s">
        <v>4989</v>
      </c>
      <c r="C73" s="9"/>
      <c r="D73" s="9"/>
      <c r="E73" s="9"/>
      <c r="F73" s="9"/>
      <c r="G73" s="9"/>
      <c r="H73" s="9"/>
      <c r="I73" s="9"/>
    </row>
    <row r="74" spans="1:9" s="2" customFormat="1" ht="15" customHeight="1">
      <c r="A74" s="7">
        <v>46905</v>
      </c>
      <c r="B74" s="8" t="s">
        <v>4989</v>
      </c>
      <c r="C74" s="9"/>
      <c r="D74" s="9"/>
      <c r="E74" s="9"/>
      <c r="F74" s="9"/>
      <c r="G74" s="9"/>
      <c r="H74" s="9"/>
      <c r="I74" s="9"/>
    </row>
    <row r="75" spans="1:9" s="2" customFormat="1" ht="15" customHeight="1">
      <c r="A75" s="7">
        <v>46906</v>
      </c>
      <c r="B75" s="8" t="s">
        <v>4989</v>
      </c>
      <c r="C75" s="9"/>
      <c r="D75" s="9"/>
      <c r="E75" s="9"/>
      <c r="F75" s="9"/>
      <c r="G75" s="9"/>
      <c r="H75" s="9"/>
      <c r="I75" s="9"/>
    </row>
    <row r="76" spans="1:9" s="2" customFormat="1" ht="15" customHeight="1">
      <c r="A76" s="7">
        <v>47027</v>
      </c>
      <c r="B76" s="8" t="s">
        <v>4990</v>
      </c>
      <c r="C76" s="9"/>
      <c r="D76" s="9"/>
      <c r="E76" s="9"/>
      <c r="F76" s="9"/>
      <c r="G76" s="9"/>
      <c r="H76" s="9"/>
      <c r="I76" s="9"/>
    </row>
    <row r="77" spans="1:9" s="2" customFormat="1" ht="15" customHeight="1">
      <c r="A77" s="7">
        <v>47028</v>
      </c>
      <c r="B77" s="8" t="s">
        <v>4990</v>
      </c>
      <c r="C77" s="9"/>
      <c r="D77" s="9"/>
      <c r="E77" s="9"/>
      <c r="F77" s="9"/>
      <c r="G77" s="9"/>
      <c r="H77" s="9"/>
      <c r="I77" s="9"/>
    </row>
    <row r="78" spans="1:9" s="2" customFormat="1" ht="15" customHeight="1">
      <c r="A78" s="7">
        <v>47029</v>
      </c>
      <c r="B78" s="8" t="s">
        <v>4990</v>
      </c>
      <c r="C78" s="9"/>
      <c r="D78" s="9"/>
      <c r="E78" s="9"/>
      <c r="F78" s="9"/>
      <c r="G78" s="9"/>
      <c r="H78" s="9"/>
      <c r="I78" s="9"/>
    </row>
    <row r="79" spans="1:9" s="2" customFormat="1" ht="15" customHeight="1">
      <c r="A79" s="7">
        <v>47030</v>
      </c>
      <c r="B79" s="8" t="s">
        <v>4990</v>
      </c>
      <c r="C79" s="9"/>
      <c r="D79" s="9"/>
      <c r="E79" s="9"/>
      <c r="F79" s="9"/>
      <c r="G79" s="9"/>
      <c r="H79" s="9"/>
      <c r="I79" s="9"/>
    </row>
    <row r="80" spans="1:9" s="2" customFormat="1" ht="15" customHeight="1">
      <c r="A80" s="7">
        <v>47031</v>
      </c>
      <c r="B80" s="8" t="s">
        <v>4990</v>
      </c>
      <c r="C80" s="9"/>
      <c r="D80" s="9"/>
      <c r="E80" s="9"/>
      <c r="F80" s="9"/>
      <c r="G80" s="9"/>
      <c r="H80" s="9"/>
      <c r="I80" s="9"/>
    </row>
    <row r="81" spans="1:9" s="2" customFormat="1" ht="15" customHeight="1">
      <c r="A81" s="7">
        <v>47032</v>
      </c>
      <c r="B81" s="8" t="s">
        <v>4990</v>
      </c>
      <c r="C81" s="9"/>
      <c r="D81" s="9"/>
      <c r="E81" s="9"/>
      <c r="F81" s="9"/>
      <c r="G81" s="9"/>
      <c r="H81" s="9"/>
      <c r="I81" s="9"/>
    </row>
    <row r="82" spans="1:9" s="2" customFormat="1" ht="15" customHeight="1">
      <c r="A82" s="7">
        <v>47033</v>
      </c>
      <c r="B82" s="8" t="s">
        <v>4990</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2026-07-27T10:58:14Z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22D5E81180174A41AD3FC77634C29D30_13</vt:lpwstr>
  </property>
  <property fmtid="{D5CDD505-2E9C-101B-9397-08002B2CF9AE}" pid="11" name="KSOProductBuildVer">
    <vt:lpwstr>2052-12.1.0.26895</vt:lpwstr>
  </property>
  <property fmtid="{D5CDD505-2E9C-101B-9397-08002B2CF9AE}" pid="12" name="CalculationRule">
    <vt:i4>0</vt:i4>
  </property>
</Properties>
</file>
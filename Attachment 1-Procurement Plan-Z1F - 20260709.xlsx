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ZAWTIKA\Project meeting\Procurement Weekly Meeting\2026.7.3\"/>
    </mc:Choice>
  </mc:AlternateContent>
  <xr:revisionPtr revIDLastSave="0" documentId="13_ncr:1_{94DA924E-4A1F-4814-BED9-0BB25528C2D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SR" sheetId="1" r:id="rId1"/>
    <sheet name="Thai Holidays" sheetId="3" r:id="rId2"/>
    <sheet name="China Holidays" sheetId="4" r:id="rId3"/>
    <sheet name="STR MR" sheetId="5" r:id="rId4"/>
    <sheet name="Primary steel-plate" sheetId="8" r:id="rId5"/>
    <sheet name="Sheet3" sheetId="10" r:id="rId6"/>
  </sheets>
  <externalReferences>
    <externalReference r:id="rId7"/>
  </externalReferences>
  <definedNames>
    <definedName name="_xlnm._FilterDatabase" localSheetId="4" hidden="1">'Primary steel-plate'!$A$1:$K$37</definedName>
    <definedName name="_xlnm._FilterDatabase" localSheetId="0" hidden="1">PSR!$A$10:$BA$358</definedName>
    <definedName name="_xlnm._FilterDatabase" localSheetId="5" hidden="1">Sheet3!$A$1:$D$80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90" i="1" l="1"/>
  <c r="U353" i="1"/>
  <c r="V353" i="1" s="1"/>
  <c r="U347" i="1"/>
  <c r="U338" i="1"/>
  <c r="V338" i="1" s="1"/>
  <c r="V302" i="1"/>
  <c r="W302" i="1" s="1"/>
  <c r="X302" i="1" s="1"/>
  <c r="V299" i="1"/>
  <c r="W299" i="1" s="1"/>
  <c r="X299" i="1" s="1"/>
  <c r="AL295" i="1"/>
  <c r="AL298" i="1"/>
  <c r="AL301" i="1"/>
  <c r="AL304" i="1"/>
  <c r="AL307" i="1"/>
  <c r="AL310" i="1"/>
  <c r="AL313" i="1"/>
  <c r="AL316" i="1"/>
  <c r="AL317" i="1" s="1"/>
  <c r="AN316" i="1" l="1"/>
  <c r="AN313" i="1"/>
  <c r="AN310" i="1"/>
  <c r="AN307" i="1"/>
  <c r="AN304" i="1"/>
  <c r="AN301" i="1"/>
  <c r="AN298" i="1"/>
  <c r="W266" i="1"/>
  <c r="X266" i="1" s="1"/>
  <c r="X350" i="1"/>
  <c r="V350" i="1"/>
  <c r="W350" i="1" s="1"/>
  <c r="Y260" i="1"/>
  <c r="X257" i="1"/>
  <c r="W257" i="1"/>
  <c r="U236" i="1"/>
  <c r="W188" i="1"/>
  <c r="V170" i="1"/>
  <c r="W170" i="1" s="1"/>
  <c r="U155" i="1"/>
  <c r="W137" i="1"/>
  <c r="V137" i="1"/>
  <c r="Y131" i="1"/>
  <c r="Z131" i="1" s="1"/>
  <c r="U122" i="1"/>
  <c r="V122" i="1" s="1"/>
  <c r="W122" i="1" s="1"/>
  <c r="U119" i="1"/>
  <c r="U104" i="1"/>
  <c r="V104" i="1" s="1"/>
  <c r="W104" i="1" s="1"/>
  <c r="X104" i="1" s="1"/>
  <c r="Y104" i="1" s="1"/>
  <c r="W116" i="1"/>
  <c r="V110" i="1"/>
  <c r="W110" i="1" s="1"/>
  <c r="X110" i="1" s="1"/>
  <c r="Y110" i="1" s="1"/>
  <c r="R110" i="1"/>
  <c r="U107" i="1"/>
  <c r="V107" i="1" s="1"/>
  <c r="W107" i="1" s="1"/>
  <c r="X107" i="1" s="1"/>
  <c r="Y107" i="1" s="1"/>
  <c r="Z107" i="1" s="1"/>
  <c r="AG101" i="1"/>
  <c r="AF101" i="1" s="1"/>
  <c r="AE101" i="1" s="1"/>
  <c r="AH101" i="1"/>
  <c r="AI101" i="1"/>
  <c r="Z104" i="1" l="1"/>
  <c r="AA104" i="1" s="1"/>
  <c r="AB104" i="1" s="1"/>
  <c r="V98" i="1" l="1"/>
  <c r="W95" i="1"/>
  <c r="W92" i="1"/>
  <c r="W86" i="1"/>
  <c r="U86" i="1"/>
  <c r="U71" i="1"/>
  <c r="V71" i="1" s="1"/>
  <c r="W71" i="1" s="1"/>
  <c r="R41" i="1" l="1"/>
  <c r="V35" i="1" l="1"/>
  <c r="R38" i="1" l="1"/>
  <c r="W35" i="1"/>
  <c r="V32" i="1"/>
  <c r="V29" i="1"/>
  <c r="V26" i="1"/>
  <c r="V17" i="1"/>
  <c r="W14" i="1"/>
  <c r="G12" i="8" l="1"/>
  <c r="G11" i="8"/>
  <c r="G9" i="8"/>
  <c r="G8" i="8"/>
  <c r="H6" i="8"/>
  <c r="H3" i="8"/>
  <c r="G4" i="8"/>
  <c r="AL323" i="1" l="1"/>
  <c r="AN322" i="1" s="1"/>
  <c r="AL320" i="1"/>
  <c r="AN319" i="1" s="1"/>
  <c r="AL319" i="1"/>
  <c r="AB290" i="1" l="1"/>
  <c r="AC290" i="1" s="1"/>
  <c r="AD290" i="1" s="1"/>
  <c r="AN295" i="1"/>
  <c r="AN292" i="1"/>
  <c r="AN289" i="1"/>
  <c r="AN286" i="1"/>
  <c r="AN283" i="1"/>
  <c r="AN280" i="1"/>
  <c r="U35" i="1" l="1"/>
  <c r="R164" i="1" l="1"/>
  <c r="O164" i="1"/>
  <c r="R161" i="1"/>
  <c r="O161" i="1"/>
  <c r="R158" i="1"/>
  <c r="O158" i="1"/>
  <c r="S110" i="1"/>
  <c r="U59" i="1"/>
  <c r="F12" i="8"/>
  <c r="H12" i="8" s="1"/>
  <c r="G43" i="8" l="1"/>
  <c r="H43" i="8" s="1"/>
  <c r="G41" i="8"/>
  <c r="G42" i="8"/>
  <c r="H11" i="8"/>
  <c r="G15" i="8"/>
  <c r="H15" i="8" s="1"/>
  <c r="H9" i="8"/>
  <c r="H10" i="8"/>
  <c r="G6" i="8"/>
  <c r="G5" i="8"/>
  <c r="H5" i="8" s="1"/>
  <c r="G3" i="8"/>
  <c r="G2" i="8"/>
  <c r="H2" i="8" s="1"/>
  <c r="W341" i="1"/>
  <c r="U341" i="1"/>
  <c r="AJ334" i="1"/>
  <c r="AJ331" i="1"/>
  <c r="AL332" i="1"/>
  <c r="AL329" i="1"/>
  <c r="AJ328" i="1"/>
  <c r="AL275" i="1"/>
  <c r="AN274" i="1" s="1"/>
  <c r="AL272" i="1"/>
  <c r="R272" i="1"/>
  <c r="S272" i="1"/>
  <c r="AL269" i="1"/>
  <c r="O254" i="1"/>
  <c r="U185" i="1"/>
  <c r="V182" i="1"/>
  <c r="W182" i="1" s="1"/>
  <c r="Q158" i="1"/>
  <c r="Q164" i="1"/>
  <c r="U149" i="1"/>
  <c r="W128" i="1"/>
  <c r="U113" i="1"/>
  <c r="V113" i="1" s="1"/>
  <c r="W113" i="1" s="1"/>
  <c r="X113" i="1" s="1"/>
  <c r="Y113" i="1" s="1"/>
  <c r="Z113" i="1" s="1"/>
  <c r="U131" i="1"/>
  <c r="X137" i="1"/>
  <c r="H41" i="8" l="1"/>
  <c r="G44" i="8"/>
  <c r="O98" i="1"/>
  <c r="U92" i="1"/>
  <c r="W68" i="1"/>
  <c r="W65" i="1"/>
  <c r="U74" i="1"/>
  <c r="U77" i="1"/>
  <c r="U62" i="1"/>
  <c r="U56" i="1"/>
  <c r="U50" i="1"/>
  <c r="W32" i="1"/>
  <c r="AL32" i="1" s="1"/>
  <c r="W23" i="1"/>
  <c r="W26" i="1"/>
  <c r="W29" i="1"/>
  <c r="W20" i="1"/>
  <c r="AL20" i="1" l="1"/>
  <c r="AN19" i="1" s="1"/>
  <c r="AL23" i="1"/>
  <c r="AN22" i="1" s="1"/>
  <c r="X23" i="1"/>
  <c r="X20" i="1"/>
  <c r="V23" i="1"/>
  <c r="V20" i="1"/>
  <c r="W17" i="1"/>
  <c r="AL17" i="1" s="1"/>
  <c r="AG17" i="1" s="1"/>
  <c r="AK167" i="1"/>
  <c r="AG167" i="1" s="1"/>
  <c r="Y167" i="1"/>
  <c r="X167" i="1"/>
  <c r="X17" i="1" l="1"/>
  <c r="O356" i="1" l="1"/>
  <c r="R356" i="1" s="1"/>
  <c r="AG278" i="1"/>
  <c r="AI278" i="1" s="1"/>
  <c r="F44" i="8"/>
  <c r="AH278" i="1" l="1"/>
  <c r="R254" i="1" l="1"/>
  <c r="U239" i="1"/>
  <c r="U233" i="1"/>
  <c r="O233" i="1"/>
  <c r="R233" i="1" s="1"/>
  <c r="U230" i="1"/>
  <c r="O230" i="1"/>
  <c r="U227" i="1"/>
  <c r="O227" i="1"/>
  <c r="R227" i="1" s="1"/>
  <c r="T224" i="1"/>
  <c r="O224" i="1"/>
  <c r="R224" i="1" s="1"/>
  <c r="U221" i="1"/>
  <c r="O221" i="1"/>
  <c r="U218" i="1"/>
  <c r="O218" i="1"/>
  <c r="O215" i="1"/>
  <c r="R215" i="1" s="1"/>
  <c r="O212" i="1"/>
  <c r="R212" i="1" s="1"/>
  <c r="O209" i="1"/>
  <c r="R209" i="1" s="1"/>
  <c r="O206" i="1"/>
  <c r="R206" i="1" s="1"/>
  <c r="U215" i="1"/>
  <c r="U212" i="1"/>
  <c r="U209" i="1"/>
  <c r="U206" i="1"/>
  <c r="U203" i="1"/>
  <c r="V203" i="1" s="1"/>
  <c r="O203" i="1"/>
  <c r="R203" i="1" s="1"/>
  <c r="O200" i="1"/>
  <c r="W200" i="1"/>
  <c r="U200" i="1"/>
  <c r="O194" i="1"/>
  <c r="R194" i="1"/>
  <c r="W194" i="1"/>
  <c r="U194" i="1"/>
  <c r="W185" i="1"/>
  <c r="O179" i="1"/>
  <c r="R179" i="1"/>
  <c r="U179" i="1"/>
  <c r="W176" i="1"/>
  <c r="Z167" i="1"/>
  <c r="AA167" i="1" s="1"/>
  <c r="V155" i="1"/>
  <c r="W155" i="1" s="1"/>
  <c r="W146" i="1"/>
  <c r="V86" i="1" l="1"/>
  <c r="U65" i="1"/>
  <c r="U53" i="1"/>
  <c r="U44" i="1"/>
  <c r="U47" i="1"/>
  <c r="AL29" i="1"/>
  <c r="AL26" i="1"/>
  <c r="AN25" i="1" s="1"/>
  <c r="AL326" i="1" l="1"/>
  <c r="AN325" i="1" s="1"/>
  <c r="H42" i="8"/>
  <c r="W353" i="1" l="1"/>
  <c r="X353" i="1" s="1"/>
  <c r="Y353" i="1" s="1"/>
  <c r="AZ99" i="1" l="1"/>
  <c r="AY99" i="1"/>
  <c r="AX99" i="1"/>
  <c r="AW99" i="1"/>
  <c r="AV99" i="1"/>
  <c r="AU99" i="1"/>
  <c r="AT99" i="1"/>
  <c r="AS99" i="1"/>
  <c r="AR99" i="1"/>
  <c r="AQ99" i="1"/>
  <c r="AZ98" i="1"/>
  <c r="AY98" i="1"/>
  <c r="AX98" i="1"/>
  <c r="AW98" i="1"/>
  <c r="AV98" i="1"/>
  <c r="AU98" i="1"/>
  <c r="AT98" i="1"/>
  <c r="AS98" i="1"/>
  <c r="AR98" i="1"/>
  <c r="AQ98" i="1"/>
  <c r="AI98" i="1"/>
  <c r="AH98" i="1"/>
  <c r="R98" i="1"/>
  <c r="S98" i="1" s="1"/>
  <c r="T98" i="1" s="1"/>
  <c r="AZ97" i="1"/>
  <c r="AY97" i="1"/>
  <c r="AX97" i="1"/>
  <c r="AW97" i="1"/>
  <c r="AV97" i="1"/>
  <c r="AU97" i="1"/>
  <c r="AT97" i="1"/>
  <c r="AS97" i="1"/>
  <c r="AR97" i="1"/>
  <c r="AQ97" i="1"/>
  <c r="R230" i="1" l="1"/>
  <c r="AL14" i="1" l="1"/>
  <c r="AG332" i="1"/>
  <c r="Q101" i="1"/>
  <c r="R101" i="1" s="1"/>
  <c r="AF17" i="1" l="1"/>
  <c r="AE17" i="1" s="1"/>
  <c r="Y17" i="1"/>
  <c r="Z17" i="1" s="1"/>
  <c r="AA17" i="1" s="1"/>
  <c r="X14" i="1"/>
  <c r="S101" i="1"/>
  <c r="T101" i="1" s="1"/>
  <c r="U101" i="1" s="1"/>
  <c r="V101" i="1" s="1"/>
  <c r="W101" i="1" s="1"/>
  <c r="X101" i="1" l="1"/>
  <c r="Y101" i="1" s="1"/>
  <c r="Z101" i="1" s="1"/>
  <c r="AA101" i="1" s="1"/>
  <c r="AB101" i="1" s="1"/>
  <c r="AC101" i="1" s="1"/>
  <c r="AD101" i="1" s="1"/>
  <c r="W338" i="1" l="1"/>
  <c r="U344" i="1"/>
  <c r="V344" i="1" s="1"/>
  <c r="W344" i="1" s="1"/>
  <c r="X344" i="1" s="1"/>
  <c r="V131" i="1"/>
  <c r="S41" i="1"/>
  <c r="T41" i="1" s="1"/>
  <c r="U41" i="1" s="1"/>
  <c r="V41" i="1" s="1"/>
  <c r="W41" i="1" s="1"/>
  <c r="AN31" i="1"/>
  <c r="Z23" i="1"/>
  <c r="W131" i="1" l="1"/>
  <c r="X131" i="1" s="1"/>
  <c r="V347" i="1"/>
  <c r="W347" i="1" s="1"/>
  <c r="X347" i="1" s="1"/>
  <c r="X32" i="1"/>
  <c r="AL338" i="1"/>
  <c r="X338" i="1"/>
  <c r="Y338" i="1" s="1"/>
  <c r="Y344" i="1"/>
  <c r="Z344" i="1" s="1"/>
  <c r="AA344" i="1" s="1"/>
  <c r="AL41" i="1"/>
  <c r="X41" i="1"/>
  <c r="AA131" i="1"/>
  <c r="AB131" i="1" s="1"/>
  <c r="Y32" i="1" l="1"/>
  <c r="Z32" i="1" s="1"/>
  <c r="AA32" i="1" s="1"/>
  <c r="AA23" i="1"/>
  <c r="AB17" i="1"/>
  <c r="V341" i="1" l="1"/>
  <c r="X341" i="1" l="1"/>
  <c r="Y341" i="1" s="1"/>
  <c r="Z341" i="1" s="1"/>
  <c r="AA341" i="1" s="1"/>
  <c r="V173" i="1"/>
  <c r="W173" i="1" s="1"/>
  <c r="R221" i="1"/>
  <c r="R218" i="1"/>
  <c r="R200" i="1"/>
  <c r="S212" i="1"/>
  <c r="R95" i="1"/>
  <c r="S95" i="1" s="1"/>
  <c r="O134" i="1" l="1"/>
  <c r="AZ132" i="1" l="1"/>
  <c r="AY132" i="1"/>
  <c r="AX132" i="1"/>
  <c r="AW132" i="1"/>
  <c r="AV132" i="1"/>
  <c r="AU132" i="1"/>
  <c r="AT132" i="1"/>
  <c r="AS132" i="1"/>
  <c r="AR132" i="1"/>
  <c r="AQ132" i="1"/>
  <c r="AZ131" i="1"/>
  <c r="AY131" i="1"/>
  <c r="AX131" i="1"/>
  <c r="AW131" i="1"/>
  <c r="AV131" i="1"/>
  <c r="AU131" i="1"/>
  <c r="AT131" i="1"/>
  <c r="AS131" i="1"/>
  <c r="AR131" i="1"/>
  <c r="AQ131" i="1"/>
  <c r="AI131" i="1"/>
  <c r="AH131" i="1"/>
  <c r="AZ130" i="1"/>
  <c r="AY130" i="1"/>
  <c r="AX130" i="1"/>
  <c r="AW130" i="1"/>
  <c r="AV130" i="1"/>
  <c r="AU130" i="1"/>
  <c r="AT130" i="1"/>
  <c r="AS130" i="1"/>
  <c r="AR130" i="1"/>
  <c r="AQ130" i="1"/>
  <c r="AL131" i="1" l="1"/>
  <c r="AC131" i="1"/>
  <c r="AD131" i="1" s="1"/>
  <c r="AN130" i="1" l="1"/>
  <c r="AG131" i="1"/>
  <c r="AF131" i="1" s="1"/>
  <c r="AE131" i="1" s="1"/>
  <c r="S239" i="1"/>
  <c r="T239" i="1" s="1"/>
  <c r="V239" i="1" s="1"/>
  <c r="W239" i="1" s="1"/>
  <c r="X239" i="1" s="1"/>
  <c r="Y239" i="1" s="1"/>
  <c r="Z239" i="1" s="1"/>
  <c r="AA239" i="1" s="1"/>
  <c r="AH167" i="1" l="1"/>
  <c r="AB167" i="1"/>
  <c r="AC167" i="1" s="1"/>
  <c r="AD167" i="1" s="1"/>
  <c r="S356" i="1" l="1"/>
  <c r="T356" i="1" s="1"/>
  <c r="U356" i="1" s="1"/>
  <c r="V356" i="1" s="1"/>
  <c r="W356" i="1" s="1"/>
  <c r="X356" i="1" s="1"/>
  <c r="Y356" i="1" s="1"/>
  <c r="Z356" i="1" s="1"/>
  <c r="AA356" i="1" s="1"/>
  <c r="AB356" i="1" s="1"/>
  <c r="AB14" i="1"/>
  <c r="AL260" i="1"/>
  <c r="AL266" i="1"/>
  <c r="AN265" i="1" s="1"/>
  <c r="X260" i="1"/>
  <c r="Z260" i="1" s="1"/>
  <c r="AA260" i="1" s="1"/>
  <c r="AL239" i="1"/>
  <c r="AG239" i="1" s="1"/>
  <c r="S236" i="1"/>
  <c r="T236" i="1" s="1"/>
  <c r="S230" i="1"/>
  <c r="S203" i="1"/>
  <c r="T203" i="1" s="1"/>
  <c r="W203" i="1" s="1"/>
  <c r="X203" i="1" s="1"/>
  <c r="Y203" i="1" s="1"/>
  <c r="Z203" i="1" s="1"/>
  <c r="AA203" i="1" s="1"/>
  <c r="S194" i="1"/>
  <c r="V191" i="1"/>
  <c r="AL182" i="1"/>
  <c r="V146" i="1"/>
  <c r="X146" i="1" s="1"/>
  <c r="V143" i="1"/>
  <c r="V140" i="1"/>
  <c r="Y137" i="1"/>
  <c r="Z137" i="1" s="1"/>
  <c r="AA137" i="1" s="1"/>
  <c r="U125" i="1"/>
  <c r="V119" i="1"/>
  <c r="U116" i="1"/>
  <c r="V116" i="1" s="1"/>
  <c r="T95" i="1"/>
  <c r="U95" i="1" s="1"/>
  <c r="U89" i="1"/>
  <c r="V89" i="1" s="1"/>
  <c r="W89" i="1" s="1"/>
  <c r="X89" i="1" s="1"/>
  <c r="Y89" i="1" s="1"/>
  <c r="Z89" i="1" s="1"/>
  <c r="AA89" i="1" s="1"/>
  <c r="S86" i="1"/>
  <c r="U80" i="1"/>
  <c r="V77" i="1"/>
  <c r="V74" i="1"/>
  <c r="X74" i="1" s="1"/>
  <c r="Y74" i="1" s="1"/>
  <c r="Z74" i="1" s="1"/>
  <c r="AA74" i="1" s="1"/>
  <c r="AB74" i="1" s="1"/>
  <c r="V65" i="1"/>
  <c r="V50" i="1"/>
  <c r="W50" i="1" s="1"/>
  <c r="X50" i="1" s="1"/>
  <c r="Y50" i="1" s="1"/>
  <c r="Z50" i="1" s="1"/>
  <c r="AA50" i="1" s="1"/>
  <c r="AB50" i="1" s="1"/>
  <c r="AI50" i="1"/>
  <c r="AH50" i="1"/>
  <c r="V47" i="1"/>
  <c r="W47" i="1" s="1"/>
  <c r="X47" i="1" s="1"/>
  <c r="Y47" i="1" s="1"/>
  <c r="Z47" i="1" s="1"/>
  <c r="AA47" i="1" s="1"/>
  <c r="AB47" i="1" s="1"/>
  <c r="AI47" i="1"/>
  <c r="AH47" i="1"/>
  <c r="V44" i="1"/>
  <c r="W44" i="1" s="1"/>
  <c r="X44" i="1" s="1"/>
  <c r="Y44" i="1" s="1"/>
  <c r="Z44" i="1" s="1"/>
  <c r="AA44" i="1" s="1"/>
  <c r="AB44" i="1" s="1"/>
  <c r="W143" i="1" l="1"/>
  <c r="X143" i="1" s="1"/>
  <c r="Y143" i="1" s="1"/>
  <c r="Z143" i="1" s="1"/>
  <c r="AA143" i="1" s="1"/>
  <c r="W140" i="1"/>
  <c r="X140" i="1" s="1"/>
  <c r="Y140" i="1" s="1"/>
  <c r="Z140" i="1" s="1"/>
  <c r="AA140" i="1" s="1"/>
  <c r="W119" i="1"/>
  <c r="X119" i="1" s="1"/>
  <c r="Y119" i="1" s="1"/>
  <c r="Z119" i="1" s="1"/>
  <c r="V80" i="1"/>
  <c r="W80" i="1" s="1"/>
  <c r="X80" i="1" s="1"/>
  <c r="Y80" i="1" s="1"/>
  <c r="Z80" i="1" s="1"/>
  <c r="AA80" i="1" s="1"/>
  <c r="AB80" i="1" s="1"/>
  <c r="V125" i="1"/>
  <c r="W125" i="1" s="1"/>
  <c r="X125" i="1" s="1"/>
  <c r="Y125" i="1" s="1"/>
  <c r="Z125" i="1" s="1"/>
  <c r="AA125" i="1" s="1"/>
  <c r="V194" i="1"/>
  <c r="T194" i="1"/>
  <c r="V230" i="1"/>
  <c r="W230" i="1" s="1"/>
  <c r="X230" i="1" s="1"/>
  <c r="Y230" i="1" s="1"/>
  <c r="Z230" i="1" s="1"/>
  <c r="AA230" i="1" s="1"/>
  <c r="T230" i="1"/>
  <c r="X86" i="1"/>
  <c r="Y86" i="1" s="1"/>
  <c r="Z86" i="1" s="1"/>
  <c r="AA86" i="1" s="1"/>
  <c r="X65" i="1"/>
  <c r="Y65" i="1" s="1"/>
  <c r="Z65" i="1" s="1"/>
  <c r="AA65" i="1" s="1"/>
  <c r="AB65" i="1" s="1"/>
  <c r="AL65" i="1"/>
  <c r="AG20" i="1"/>
  <c r="AF20" i="1" s="1"/>
  <c r="AE20" i="1" s="1"/>
  <c r="X155" i="1"/>
  <c r="Y155" i="1" s="1"/>
  <c r="Z155" i="1" s="1"/>
  <c r="AA155" i="1" s="1"/>
  <c r="V92" i="1"/>
  <c r="X92" i="1" s="1"/>
  <c r="Y92" i="1" s="1"/>
  <c r="Z92" i="1" s="1"/>
  <c r="AA92" i="1" s="1"/>
  <c r="AB92" i="1" s="1"/>
  <c r="V236" i="1"/>
  <c r="W236" i="1" s="1"/>
  <c r="X170" i="1"/>
  <c r="Y170" i="1" s="1"/>
  <c r="Z170" i="1" s="1"/>
  <c r="AA170" i="1" s="1"/>
  <c r="Y14" i="1"/>
  <c r="Z14" i="1" s="1"/>
  <c r="AA14" i="1" s="1"/>
  <c r="X191" i="1"/>
  <c r="Y191" i="1" s="1"/>
  <c r="Z191" i="1" s="1"/>
  <c r="AA191" i="1" s="1"/>
  <c r="AL191" i="1"/>
  <c r="X173" i="1"/>
  <c r="Y173" i="1" s="1"/>
  <c r="Z173" i="1" s="1"/>
  <c r="AA173" i="1" s="1"/>
  <c r="AL173" i="1"/>
  <c r="AG173" i="1" s="1"/>
  <c r="AL203" i="1"/>
  <c r="X194" i="1"/>
  <c r="Y194" i="1" s="1"/>
  <c r="Z194" i="1" s="1"/>
  <c r="AA194" i="1" s="1"/>
  <c r="X182" i="1"/>
  <c r="Y182" i="1" s="1"/>
  <c r="Z182" i="1" s="1"/>
  <c r="AA182" i="1" s="1"/>
  <c r="X128" i="1"/>
  <c r="Y128" i="1" s="1"/>
  <c r="Z128" i="1" s="1"/>
  <c r="AA128" i="1" s="1"/>
  <c r="X116" i="1"/>
  <c r="Y116" i="1" s="1"/>
  <c r="Z116" i="1" s="1"/>
  <c r="AA116" i="1" s="1"/>
  <c r="AA107" i="1"/>
  <c r="V95" i="1"/>
  <c r="U83" i="1"/>
  <c r="V83" i="1" s="1"/>
  <c r="X71" i="1"/>
  <c r="Y71" i="1" s="1"/>
  <c r="Z71" i="1" s="1"/>
  <c r="AA71" i="1" s="1"/>
  <c r="AB71" i="1" s="1"/>
  <c r="V68" i="1"/>
  <c r="AC50" i="1"/>
  <c r="AD50" i="1" s="1"/>
  <c r="AC47" i="1"/>
  <c r="AD47" i="1" s="1"/>
  <c r="AA119" i="1" l="1"/>
  <c r="W83" i="1"/>
  <c r="X83" i="1" s="1"/>
  <c r="Y83" i="1" s="1"/>
  <c r="Z83" i="1" s="1"/>
  <c r="AA83" i="1" s="1"/>
  <c r="AB83" i="1" s="1"/>
  <c r="X122" i="1"/>
  <c r="Y122" i="1" s="1"/>
  <c r="Z122" i="1" s="1"/>
  <c r="AA122" i="1" s="1"/>
  <c r="X236" i="1"/>
  <c r="Y236" i="1" s="1"/>
  <c r="Z236" i="1" s="1"/>
  <c r="AA236" i="1" s="1"/>
  <c r="AL236" i="1"/>
  <c r="AL170" i="1"/>
  <c r="Y350" i="1"/>
  <c r="Z350" i="1" s="1"/>
  <c r="AA350" i="1" s="1"/>
  <c r="AL350" i="1"/>
  <c r="X68" i="1"/>
  <c r="AL95" i="1"/>
  <c r="AN94" i="1" s="1"/>
  <c r="X95" i="1"/>
  <c r="Y95" i="1" s="1"/>
  <c r="Z95" i="1" s="1"/>
  <c r="AA95" i="1" s="1"/>
  <c r="AG350" i="1" l="1"/>
  <c r="AN349" i="1"/>
  <c r="AG170" i="1"/>
  <c r="AN169" i="1"/>
  <c r="Y68" i="1"/>
  <c r="Z68" i="1" s="1"/>
  <c r="AA68" i="1" s="1"/>
  <c r="AB68" i="1" s="1"/>
  <c r="AI62" i="1"/>
  <c r="AH62" i="1"/>
  <c r="AI59" i="1"/>
  <c r="AH59" i="1"/>
  <c r="V59" i="1"/>
  <c r="AI56" i="1"/>
  <c r="AH56" i="1"/>
  <c r="V56" i="1"/>
  <c r="AI53" i="1"/>
  <c r="AH53" i="1"/>
  <c r="O40" i="1"/>
  <c r="O41" i="1" s="1"/>
  <c r="Y37" i="1"/>
  <c r="Y34" i="1"/>
  <c r="S38" i="1"/>
  <c r="T38" i="1" s="1"/>
  <c r="U38" i="1" s="1"/>
  <c r="V38" i="1" s="1"/>
  <c r="AB32" i="1"/>
  <c r="W59" i="1" l="1"/>
  <c r="X59" i="1" s="1"/>
  <c r="Y59" i="1" s="1"/>
  <c r="Z59" i="1" s="1"/>
  <c r="AA59" i="1" s="1"/>
  <c r="AB59" i="1" s="1"/>
  <c r="AC59" i="1" s="1"/>
  <c r="AD59" i="1" s="1"/>
  <c r="W56" i="1"/>
  <c r="X56" i="1" s="1"/>
  <c r="Y56" i="1" s="1"/>
  <c r="Z56" i="1" s="1"/>
  <c r="AA56" i="1" s="1"/>
  <c r="AB56" i="1" s="1"/>
  <c r="AC56" i="1" s="1"/>
  <c r="AD56" i="1" s="1"/>
  <c r="W38" i="1"/>
  <c r="X38" i="1" s="1"/>
  <c r="Y38" i="1" s="1"/>
  <c r="Z38" i="1" s="1"/>
  <c r="AA38" i="1" s="1"/>
  <c r="AB38" i="1" s="1"/>
  <c r="AC38" i="1" s="1"/>
  <c r="AD38" i="1" s="1"/>
  <c r="X35" i="1"/>
  <c r="Y35" i="1" s="1"/>
  <c r="Z35" i="1" s="1"/>
  <c r="AA35" i="1" s="1"/>
  <c r="V62" i="1"/>
  <c r="Y41" i="1"/>
  <c r="Z41" i="1" s="1"/>
  <c r="AA41" i="1" s="1"/>
  <c r="AB41" i="1" s="1"/>
  <c r="W62" i="1" l="1"/>
  <c r="X62" i="1" s="1"/>
  <c r="Y62" i="1" s="1"/>
  <c r="Z62" i="1" s="1"/>
  <c r="AA62" i="1" s="1"/>
  <c r="AB62" i="1" s="1"/>
  <c r="AC62" i="1" s="1"/>
  <c r="AD62" i="1" s="1"/>
  <c r="AL44" i="1"/>
  <c r="X26" i="1"/>
  <c r="Y26" i="1" s="1"/>
  <c r="Z26" i="1" s="1"/>
  <c r="AA26" i="1" s="1"/>
  <c r="AB26" i="1" s="1"/>
  <c r="AG29" i="1"/>
  <c r="AF29" i="1" s="1"/>
  <c r="AE29" i="1" s="1"/>
  <c r="X29" i="1"/>
  <c r="Y29" i="1" s="1"/>
  <c r="Z29" i="1" s="1"/>
  <c r="AA29" i="1" s="1"/>
  <c r="AB29" i="1" s="1"/>
  <c r="AC29" i="1" s="1"/>
  <c r="AD29" i="1" s="1"/>
  <c r="AI23" i="1"/>
  <c r="AH23" i="1"/>
  <c r="AG23" i="1"/>
  <c r="AE23" i="1"/>
  <c r="AH17" i="1"/>
  <c r="AB23" i="1"/>
  <c r="AC23" i="1" s="1"/>
  <c r="AD23" i="1" s="1"/>
  <c r="AC17" i="1" l="1"/>
  <c r="AD17" i="1" s="1"/>
  <c r="AG134" i="1"/>
  <c r="AH89" i="1"/>
  <c r="AL62" i="1" l="1"/>
  <c r="AG62" i="1" s="1"/>
  <c r="AF62" i="1" s="1"/>
  <c r="AE62" i="1" s="1"/>
  <c r="AL59" i="1"/>
  <c r="AG59" i="1" s="1"/>
  <c r="AF59" i="1" s="1"/>
  <c r="AE59" i="1" s="1"/>
  <c r="AL56" i="1"/>
  <c r="AG56" i="1" s="1"/>
  <c r="AF56" i="1" s="1"/>
  <c r="AE56" i="1" s="1"/>
  <c r="AN28" i="1"/>
  <c r="S21" i="1" l="1"/>
  <c r="V53" i="1" s="1"/>
  <c r="S18" i="1"/>
  <c r="V176" i="1"/>
  <c r="W53" i="1" l="1"/>
  <c r="X53" i="1" s="1"/>
  <c r="X176" i="1"/>
  <c r="Y176" i="1" s="1"/>
  <c r="Z176" i="1" s="1"/>
  <c r="AA176" i="1" s="1"/>
  <c r="AL176" i="1"/>
  <c r="A16" i="1"/>
  <c r="A19" i="1" s="1"/>
  <c r="A22" i="1" s="1"/>
  <c r="A25" i="1" s="1"/>
  <c r="A28" i="1" s="1"/>
  <c r="A31" i="1" s="1"/>
  <c r="A34" i="1" s="1"/>
  <c r="A37" i="1" s="1"/>
  <c r="A40" i="1" s="1"/>
  <c r="A43" i="1" s="1"/>
  <c r="A46" i="1" s="1"/>
  <c r="A49" i="1" s="1"/>
  <c r="AZ63" i="1"/>
  <c r="AY63" i="1"/>
  <c r="AX63" i="1"/>
  <c r="AW63" i="1"/>
  <c r="AV63" i="1"/>
  <c r="AU63" i="1"/>
  <c r="AT63" i="1"/>
  <c r="AS63" i="1"/>
  <c r="AR63" i="1"/>
  <c r="AQ63" i="1"/>
  <c r="AZ62" i="1"/>
  <c r="AY62" i="1"/>
  <c r="AX62" i="1"/>
  <c r="AW62" i="1"/>
  <c r="AV62" i="1"/>
  <c r="AU62" i="1"/>
  <c r="AT62" i="1"/>
  <c r="AS62" i="1"/>
  <c r="AR62" i="1"/>
  <c r="AQ62" i="1"/>
  <c r="AZ61" i="1"/>
  <c r="AY61" i="1"/>
  <c r="AX61" i="1"/>
  <c r="AW61" i="1"/>
  <c r="AV61" i="1"/>
  <c r="AU61" i="1"/>
  <c r="AT61" i="1"/>
  <c r="AS61" i="1"/>
  <c r="AR61" i="1"/>
  <c r="AQ61" i="1"/>
  <c r="AZ60" i="1"/>
  <c r="AY60" i="1"/>
  <c r="AX60" i="1"/>
  <c r="AW60" i="1"/>
  <c r="AV60" i="1"/>
  <c r="AU60" i="1"/>
  <c r="AT60" i="1"/>
  <c r="AS60" i="1"/>
  <c r="AR60" i="1"/>
  <c r="AQ60" i="1"/>
  <c r="AZ59" i="1"/>
  <c r="AY59" i="1"/>
  <c r="AX59" i="1"/>
  <c r="AW59" i="1"/>
  <c r="AV59" i="1"/>
  <c r="AU59" i="1"/>
  <c r="AT59" i="1"/>
  <c r="AS59" i="1"/>
  <c r="AR59" i="1"/>
  <c r="AQ59" i="1"/>
  <c r="AZ58" i="1"/>
  <c r="AY58" i="1"/>
  <c r="AX58" i="1"/>
  <c r="AW58" i="1"/>
  <c r="AV58" i="1"/>
  <c r="AU58" i="1"/>
  <c r="AT58" i="1"/>
  <c r="AS58" i="1"/>
  <c r="AR58" i="1"/>
  <c r="AQ58" i="1"/>
  <c r="AZ54" i="1"/>
  <c r="AY54" i="1"/>
  <c r="AX54" i="1"/>
  <c r="AW54" i="1"/>
  <c r="AV54" i="1"/>
  <c r="AU54" i="1"/>
  <c r="AT54" i="1"/>
  <c r="AS54" i="1"/>
  <c r="AR54" i="1"/>
  <c r="AQ54" i="1"/>
  <c r="AZ53" i="1"/>
  <c r="AY53" i="1"/>
  <c r="AX53" i="1"/>
  <c r="AW53" i="1"/>
  <c r="AV53" i="1"/>
  <c r="AU53" i="1"/>
  <c r="AT53" i="1"/>
  <c r="AS53" i="1"/>
  <c r="AR53" i="1"/>
  <c r="AQ53" i="1"/>
  <c r="AZ52" i="1"/>
  <c r="AY52" i="1"/>
  <c r="AX52" i="1"/>
  <c r="AW52" i="1"/>
  <c r="AV52" i="1"/>
  <c r="AU52" i="1"/>
  <c r="AT52" i="1"/>
  <c r="AS52" i="1"/>
  <c r="AR52" i="1"/>
  <c r="AQ52" i="1"/>
  <c r="A61" i="1" l="1"/>
  <c r="A64" i="1" s="1"/>
  <c r="A67" i="1" s="1"/>
  <c r="A70" i="1" s="1"/>
  <c r="A73" i="1" s="1"/>
  <c r="A76" i="1" s="1"/>
  <c r="A79" i="1" s="1"/>
  <c r="A82" i="1" s="1"/>
  <c r="A85" i="1" s="1"/>
  <c r="A88" i="1" s="1"/>
  <c r="A91" i="1" s="1"/>
  <c r="A94" i="1" s="1"/>
  <c r="AN58" i="1"/>
  <c r="AZ96" i="1"/>
  <c r="AY96" i="1"/>
  <c r="AX96" i="1"/>
  <c r="AW96" i="1"/>
  <c r="AV96" i="1"/>
  <c r="AU96" i="1"/>
  <c r="AT96" i="1"/>
  <c r="AS96" i="1"/>
  <c r="AR96" i="1"/>
  <c r="AQ96" i="1"/>
  <c r="AZ95" i="1"/>
  <c r="AY95" i="1"/>
  <c r="AX95" i="1"/>
  <c r="AW95" i="1"/>
  <c r="AV95" i="1"/>
  <c r="AU95" i="1"/>
  <c r="AT95" i="1"/>
  <c r="AS95" i="1"/>
  <c r="AR95" i="1"/>
  <c r="AQ95" i="1"/>
  <c r="AI95" i="1"/>
  <c r="AH95" i="1"/>
  <c r="AZ94" i="1"/>
  <c r="AY94" i="1"/>
  <c r="AX94" i="1"/>
  <c r="AW94" i="1"/>
  <c r="AV94" i="1"/>
  <c r="AU94" i="1"/>
  <c r="AT94" i="1"/>
  <c r="AS94" i="1"/>
  <c r="AR94" i="1"/>
  <c r="AQ94" i="1"/>
  <c r="AI80" i="1"/>
  <c r="AH80" i="1"/>
  <c r="AK79" i="1"/>
  <c r="AG356" i="1"/>
  <c r="AG338" i="1"/>
  <c r="AK85" i="1"/>
  <c r="AK73" i="1"/>
  <c r="AL74" i="1" s="1"/>
  <c r="AK76" i="1"/>
  <c r="AK82" i="1"/>
  <c r="AL83" i="1" s="1"/>
  <c r="AI86" i="1"/>
  <c r="AH86" i="1"/>
  <c r="AI74" i="1"/>
  <c r="AH74" i="1"/>
  <c r="AI77" i="1"/>
  <c r="AH77" i="1"/>
  <c r="AI83" i="1"/>
  <c r="AH83" i="1"/>
  <c r="A97" i="1" l="1"/>
  <c r="A103" i="1" s="1"/>
  <c r="A106" i="1" s="1"/>
  <c r="A109" i="1" s="1"/>
  <c r="A112" i="1" s="1"/>
  <c r="A115" i="1" s="1"/>
  <c r="A118" i="1" s="1"/>
  <c r="A121" i="1" s="1"/>
  <c r="A124" i="1" s="1"/>
  <c r="X77" i="1"/>
  <c r="Y77" i="1" s="1"/>
  <c r="Z77" i="1" s="1"/>
  <c r="AA77" i="1" s="1"/>
  <c r="AB77" i="1" s="1"/>
  <c r="A130" i="1" l="1"/>
  <c r="A133" i="1" s="1"/>
  <c r="A136" i="1" s="1"/>
  <c r="A139" i="1" s="1"/>
  <c r="A142" i="1" s="1"/>
  <c r="A145" i="1" s="1"/>
  <c r="A148" i="1" s="1"/>
  <c r="A151" i="1" s="1"/>
  <c r="A154" i="1" s="1"/>
  <c r="A157" i="1" s="1"/>
  <c r="A160" i="1" s="1"/>
  <c r="A163" i="1" s="1"/>
  <c r="A166" i="1" s="1"/>
  <c r="A169" i="1" s="1"/>
  <c r="A172" i="1" s="1"/>
  <c r="A175" i="1" s="1"/>
  <c r="A178" i="1" s="1"/>
  <c r="A181" i="1" s="1"/>
  <c r="A184" i="1" s="1"/>
  <c r="A187" i="1" s="1"/>
  <c r="A190" i="1" s="1"/>
  <c r="A193" i="1" s="1"/>
  <c r="A196" i="1" s="1"/>
  <c r="A199" i="1" s="1"/>
  <c r="A202" i="1" s="1"/>
  <c r="A205" i="1" s="1"/>
  <c r="A208" i="1" s="1"/>
  <c r="A211" i="1" s="1"/>
  <c r="A214" i="1" s="1"/>
  <c r="A217" i="1" s="1"/>
  <c r="A220" i="1" s="1"/>
  <c r="A223" i="1" s="1"/>
  <c r="A226" i="1" s="1"/>
  <c r="A229" i="1" s="1"/>
  <c r="A232" i="1" s="1"/>
  <c r="A235" i="1" s="1"/>
  <c r="A238" i="1" s="1"/>
  <c r="A241" i="1" s="1"/>
  <c r="A244" i="1" s="1"/>
  <c r="A247" i="1" s="1"/>
  <c r="A250" i="1" s="1"/>
  <c r="A253" i="1" s="1"/>
  <c r="A256" i="1" s="1"/>
  <c r="A259" i="1" s="1"/>
  <c r="A262" i="1" s="1"/>
  <c r="A265" i="1" s="1"/>
  <c r="A268" i="1" s="1"/>
  <c r="A271" i="1" s="1"/>
  <c r="A274" i="1" s="1"/>
  <c r="A277" i="1" s="1"/>
  <c r="A280" i="1" s="1"/>
  <c r="A283" i="1" s="1"/>
  <c r="A286" i="1" s="1"/>
  <c r="A289" i="1" s="1"/>
  <c r="A292" i="1" s="1"/>
  <c r="A295" i="1" s="1"/>
  <c r="A298" i="1" s="1"/>
  <c r="A301" i="1" s="1"/>
  <c r="A304" i="1" s="1"/>
  <c r="A307" i="1" s="1"/>
  <c r="A310" i="1" s="1"/>
  <c r="A313" i="1" s="1"/>
  <c r="A316" i="1" s="1"/>
  <c r="A319" i="1" s="1"/>
  <c r="A322" i="1" s="1"/>
  <c r="A325" i="1" s="1"/>
  <c r="A328" i="1" s="1"/>
  <c r="A331" i="1" s="1"/>
  <c r="A334" i="1" s="1"/>
  <c r="A337" i="1" s="1"/>
  <c r="A340" i="1" s="1"/>
  <c r="A346" i="1" s="1"/>
  <c r="A349" i="1" s="1"/>
  <c r="A352" i="1" s="1"/>
  <c r="AC80" i="1"/>
  <c r="AD80" i="1" s="1"/>
  <c r="AL80" i="1"/>
  <c r="AG95" i="1"/>
  <c r="AF95" i="1" s="1"/>
  <c r="AE95" i="1" s="1"/>
  <c r="AL86" i="1"/>
  <c r="AG86" i="1" s="1"/>
  <c r="AF86" i="1" s="1"/>
  <c r="AE86" i="1" s="1"/>
  <c r="AL77" i="1"/>
  <c r="AG77" i="1" s="1"/>
  <c r="AF77" i="1" s="1"/>
  <c r="AE77" i="1" s="1"/>
  <c r="AC74" i="1"/>
  <c r="AD74" i="1" s="1"/>
  <c r="AH260" i="1"/>
  <c r="AG260" i="1"/>
  <c r="AI260" i="1" s="1"/>
  <c r="AL331" i="1"/>
  <c r="AL256" i="1"/>
  <c r="AL257" i="1" s="1"/>
  <c r="AN256" i="1" s="1"/>
  <c r="AN277" i="1"/>
  <c r="AN76" i="1" l="1"/>
  <c r="AN85" i="1"/>
  <c r="AN79" i="1"/>
  <c r="AG80" i="1"/>
  <c r="AF80" i="1" s="1"/>
  <c r="AE80" i="1" s="1"/>
  <c r="AG74" i="1"/>
  <c r="AF74" i="1" s="1"/>
  <c r="AE74" i="1" s="1"/>
  <c r="AN73" i="1"/>
  <c r="AN331" i="1" l="1"/>
  <c r="AH356" i="1" l="1"/>
  <c r="AH353" i="1"/>
  <c r="AH350" i="1"/>
  <c r="AH347" i="1"/>
  <c r="AH344" i="1"/>
  <c r="AH341" i="1"/>
  <c r="AH338" i="1"/>
  <c r="AH254" i="1"/>
  <c r="AH251" i="1"/>
  <c r="AH248" i="1"/>
  <c r="AH245" i="1"/>
  <c r="AH242" i="1"/>
  <c r="AH239" i="1"/>
  <c r="AH236" i="1"/>
  <c r="AH233" i="1"/>
  <c r="AH230" i="1"/>
  <c r="AH227" i="1"/>
  <c r="AH224" i="1"/>
  <c r="AH221" i="1"/>
  <c r="AH218" i="1"/>
  <c r="AH215" i="1"/>
  <c r="AH212" i="1"/>
  <c r="AH209" i="1"/>
  <c r="AH206" i="1"/>
  <c r="AH203" i="1"/>
  <c r="AH200" i="1"/>
  <c r="AH197" i="1"/>
  <c r="AH194" i="1"/>
  <c r="AH191" i="1"/>
  <c r="AH188" i="1"/>
  <c r="AH185" i="1"/>
  <c r="AH182" i="1"/>
  <c r="AH179" i="1"/>
  <c r="AH176" i="1"/>
  <c r="AH170" i="1"/>
  <c r="AH164" i="1"/>
  <c r="AH161" i="1"/>
  <c r="AH158" i="1"/>
  <c r="AH155" i="1"/>
  <c r="AH152" i="1"/>
  <c r="AH149" i="1"/>
  <c r="AH146" i="1"/>
  <c r="AH143" i="1"/>
  <c r="AH140" i="1"/>
  <c r="AH137" i="1"/>
  <c r="AH92" i="1"/>
  <c r="AH134" i="1"/>
  <c r="AH128" i="1"/>
  <c r="AH125" i="1"/>
  <c r="AH122" i="1"/>
  <c r="AH119" i="1"/>
  <c r="AH116" i="1"/>
  <c r="AH113" i="1"/>
  <c r="AH110" i="1"/>
  <c r="AH107" i="1"/>
  <c r="AH104" i="1"/>
  <c r="AH71" i="1"/>
  <c r="AH65" i="1"/>
  <c r="AH68" i="1"/>
  <c r="AH44" i="1"/>
  <c r="AH41" i="1"/>
  <c r="AH38" i="1"/>
  <c r="AH35" i="1"/>
  <c r="AH32" i="1"/>
  <c r="AH29" i="1"/>
  <c r="AH26" i="1"/>
  <c r="AH20" i="1"/>
  <c r="AH14" i="1"/>
  <c r="A355" i="1" l="1"/>
  <c r="AI254" i="1"/>
  <c r="AG254" i="1"/>
  <c r="AF254" i="1" s="1"/>
  <c r="AE254" i="1" s="1"/>
  <c r="S254" i="1"/>
  <c r="T254" i="1" s="1"/>
  <c r="U254" i="1" s="1"/>
  <c r="AG251" i="1"/>
  <c r="AF251" i="1" s="1"/>
  <c r="AE251" i="1" s="1"/>
  <c r="AG248" i="1"/>
  <c r="AF248" i="1" s="1"/>
  <c r="AE248" i="1" s="1"/>
  <c r="AI248" i="1"/>
  <c r="AI245" i="1"/>
  <c r="AG245" i="1"/>
  <c r="AF245" i="1" s="1"/>
  <c r="AE245" i="1" s="1"/>
  <c r="AG242" i="1"/>
  <c r="AF242" i="1" s="1"/>
  <c r="AE242" i="1" s="1"/>
  <c r="AI251" i="1"/>
  <c r="AI242" i="1"/>
  <c r="AI239" i="1"/>
  <c r="AF239" i="1"/>
  <c r="AE239" i="1" s="1"/>
  <c r="AI236" i="1"/>
  <c r="AG236" i="1"/>
  <c r="AF236" i="1" s="1"/>
  <c r="AE236" i="1" s="1"/>
  <c r="AG230" i="1"/>
  <c r="AF230" i="1" s="1"/>
  <c r="AE230" i="1" s="1"/>
  <c r="AG227" i="1"/>
  <c r="AF227" i="1" s="1"/>
  <c r="AE227" i="1" s="1"/>
  <c r="AI233" i="1"/>
  <c r="AG233" i="1"/>
  <c r="AF233" i="1" s="1"/>
  <c r="AE233" i="1" s="1"/>
  <c r="AI230" i="1"/>
  <c r="AI227" i="1"/>
  <c r="AI224" i="1"/>
  <c r="AG224" i="1"/>
  <c r="AI221" i="1"/>
  <c r="AG221" i="1"/>
  <c r="AF221" i="1" s="1"/>
  <c r="AE221" i="1" s="1"/>
  <c r="AI218" i="1"/>
  <c r="AG218" i="1"/>
  <c r="AF218" i="1" s="1"/>
  <c r="AE218" i="1" s="1"/>
  <c r="AI215" i="1"/>
  <c r="AG215" i="1"/>
  <c r="AF215" i="1" s="1"/>
  <c r="AE215" i="1" s="1"/>
  <c r="AI212" i="1"/>
  <c r="AG212" i="1"/>
  <c r="AF212" i="1" s="1"/>
  <c r="AE212" i="1" s="1"/>
  <c r="AI209" i="1"/>
  <c r="AG209" i="1"/>
  <c r="AF209" i="1" s="1"/>
  <c r="AE209" i="1" s="1"/>
  <c r="AI206" i="1"/>
  <c r="AG206" i="1"/>
  <c r="AF206" i="1" s="1"/>
  <c r="AE206" i="1" s="1"/>
  <c r="AI203" i="1"/>
  <c r="AG203" i="1"/>
  <c r="AF203" i="1" s="1"/>
  <c r="AE203" i="1" s="1"/>
  <c r="AI200" i="1"/>
  <c r="AG200" i="1"/>
  <c r="AF200" i="1" s="1"/>
  <c r="AE200" i="1" s="1"/>
  <c r="AI197" i="1"/>
  <c r="AG197" i="1"/>
  <c r="AF197" i="1" s="1"/>
  <c r="AE197" i="1" s="1"/>
  <c r="AI194" i="1"/>
  <c r="AG194" i="1"/>
  <c r="AF194" i="1" s="1"/>
  <c r="AE194" i="1" s="1"/>
  <c r="AI191" i="1"/>
  <c r="AG191" i="1"/>
  <c r="AI188" i="1"/>
  <c r="AG188" i="1"/>
  <c r="AI185" i="1"/>
  <c r="AG185" i="1"/>
  <c r="AI182" i="1"/>
  <c r="AG182" i="1"/>
  <c r="AI179" i="1"/>
  <c r="AG179" i="1"/>
  <c r="AF179" i="1" s="1"/>
  <c r="AE179" i="1" s="1"/>
  <c r="AI176" i="1"/>
  <c r="AG176" i="1"/>
  <c r="AI170" i="1"/>
  <c r="AI167" i="1"/>
  <c r="AI164" i="1"/>
  <c r="AI161" i="1"/>
  <c r="AI158" i="1"/>
  <c r="AI155" i="1"/>
  <c r="AI152" i="1"/>
  <c r="AG152" i="1"/>
  <c r="AF152" i="1" s="1"/>
  <c r="AE152" i="1" s="1"/>
  <c r="AI149" i="1"/>
  <c r="AG149" i="1"/>
  <c r="AF149" i="1" s="1"/>
  <c r="AE149" i="1" s="1"/>
  <c r="AI146" i="1"/>
  <c r="AI143" i="1"/>
  <c r="AI140" i="1"/>
  <c r="AI137" i="1"/>
  <c r="AI92" i="1"/>
  <c r="AI134" i="1"/>
  <c r="AI89" i="1"/>
  <c r="AI128" i="1"/>
  <c r="AI125" i="1"/>
  <c r="AI122" i="1"/>
  <c r="AI119" i="1"/>
  <c r="AI116" i="1"/>
  <c r="AI113" i="1"/>
  <c r="AI110" i="1"/>
  <c r="AI107" i="1"/>
  <c r="AI104" i="1"/>
  <c r="AI71" i="1"/>
  <c r="AI65" i="1"/>
  <c r="AI68" i="1"/>
  <c r="AI44" i="1"/>
  <c r="AI41" i="1"/>
  <c r="AI38" i="1"/>
  <c r="AG38" i="1"/>
  <c r="AF38" i="1" s="1"/>
  <c r="AE38" i="1" s="1"/>
  <c r="AI35" i="1"/>
  <c r="AG35" i="1"/>
  <c r="AF35" i="1" s="1"/>
  <c r="AE35" i="1" s="1"/>
  <c r="AI32" i="1"/>
  <c r="AG32" i="1"/>
  <c r="AF32" i="1" s="1"/>
  <c r="AE32" i="1" s="1"/>
  <c r="AI29" i="1"/>
  <c r="AI26" i="1"/>
  <c r="AG26" i="1"/>
  <c r="AF26" i="1" s="1"/>
  <c r="AI20" i="1"/>
  <c r="AI17" i="1"/>
  <c r="AN16" i="1"/>
  <c r="AI14" i="1"/>
  <c r="AG14" i="1"/>
  <c r="V254" i="1" l="1"/>
  <c r="W254" i="1" s="1"/>
  <c r="AF14" i="1"/>
  <c r="AF191" i="1"/>
  <c r="AE191" i="1" s="1"/>
  <c r="AF176" i="1"/>
  <c r="AE176" i="1" s="1"/>
  <c r="AF224" i="1"/>
  <c r="AE224" i="1" s="1"/>
  <c r="AE167" i="1"/>
  <c r="AF182" i="1"/>
  <c r="AE182" i="1" s="1"/>
  <c r="AF188" i="1"/>
  <c r="AE188" i="1" s="1"/>
  <c r="AE26" i="1"/>
  <c r="AF170" i="1"/>
  <c r="AE170" i="1" s="1"/>
  <c r="AF185" i="1"/>
  <c r="AE185" i="1" s="1"/>
  <c r="AK355" i="1"/>
  <c r="Z353" i="1"/>
  <c r="AA353" i="1" s="1"/>
  <c r="AK346" i="1"/>
  <c r="AL347" i="1" s="1"/>
  <c r="AN346" i="1" s="1"/>
  <c r="AB344" i="1"/>
  <c r="AC344" i="1" s="1"/>
  <c r="AD344" i="1" s="1"/>
  <c r="S206" i="1"/>
  <c r="T206" i="1" s="1"/>
  <c r="V206" i="1" s="1"/>
  <c r="W206" i="1" s="1"/>
  <c r="X206" i="1" s="1"/>
  <c r="Y206" i="1" s="1"/>
  <c r="Z206" i="1" s="1"/>
  <c r="AA206" i="1" s="1"/>
  <c r="P152" i="1"/>
  <c r="P134" i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X254" i="1" l="1"/>
  <c r="Y254" i="1" s="1"/>
  <c r="Z254" i="1" s="1"/>
  <c r="AA254" i="1" s="1"/>
  <c r="AL254" i="1"/>
  <c r="AN253" i="1" s="1"/>
  <c r="S158" i="1"/>
  <c r="T158" i="1" s="1"/>
  <c r="U158" i="1" s="1"/>
  <c r="V158" i="1" s="1"/>
  <c r="W158" i="1" s="1"/>
  <c r="X158" i="1" s="1"/>
  <c r="Y158" i="1" s="1"/>
  <c r="Z158" i="1" s="1"/>
  <c r="AA158" i="1" s="1"/>
  <c r="V149" i="1"/>
  <c r="AL353" i="1"/>
  <c r="AG353" i="1" s="1"/>
  <c r="AL38" i="1"/>
  <c r="P251" i="1"/>
  <c r="Q251" i="1" s="1"/>
  <c r="R251" i="1" s="1"/>
  <c r="S251" i="1" s="1"/>
  <c r="T251" i="1" s="1"/>
  <c r="U251" i="1" s="1"/>
  <c r="V251" i="1" s="1"/>
  <c r="W251" i="1" s="1"/>
  <c r="X251" i="1" s="1"/>
  <c r="Y251" i="1" s="1"/>
  <c r="O251" i="1"/>
  <c r="P248" i="1"/>
  <c r="Q248" i="1" s="1"/>
  <c r="R248" i="1" s="1"/>
  <c r="S248" i="1" s="1"/>
  <c r="T248" i="1" s="1"/>
  <c r="U248" i="1" s="1"/>
  <c r="V248" i="1" s="1"/>
  <c r="W248" i="1" s="1"/>
  <c r="X248" i="1" s="1"/>
  <c r="Y248" i="1" s="1"/>
  <c r="Z248" i="1" s="1"/>
  <c r="AA248" i="1" s="1"/>
  <c r="O248" i="1"/>
  <c r="P245" i="1"/>
  <c r="Q245" i="1" s="1"/>
  <c r="R245" i="1" s="1"/>
  <c r="S245" i="1" s="1"/>
  <c r="T245" i="1" s="1"/>
  <c r="U245" i="1" s="1"/>
  <c r="V245" i="1" s="1"/>
  <c r="W245" i="1" s="1"/>
  <c r="X245" i="1" s="1"/>
  <c r="Y245" i="1" s="1"/>
  <c r="Z245" i="1" s="1"/>
  <c r="AA245" i="1" s="1"/>
  <c r="O245" i="1"/>
  <c r="P242" i="1"/>
  <c r="Q242" i="1" s="1"/>
  <c r="R242" i="1" s="1"/>
  <c r="S242" i="1" s="1"/>
  <c r="T242" i="1" s="1"/>
  <c r="U242" i="1" s="1"/>
  <c r="V242" i="1" s="1"/>
  <c r="W242" i="1" s="1"/>
  <c r="X242" i="1" s="1"/>
  <c r="Y242" i="1" s="1"/>
  <c r="Z242" i="1" s="1"/>
  <c r="AA242" i="1" s="1"/>
  <c r="O242" i="1"/>
  <c r="S233" i="1"/>
  <c r="T233" i="1" s="1"/>
  <c r="V233" i="1" s="1"/>
  <c r="W233" i="1" s="1"/>
  <c r="S227" i="1"/>
  <c r="T227" i="1" s="1"/>
  <c r="V227" i="1" s="1"/>
  <c r="W227" i="1" s="1"/>
  <c r="X227" i="1" s="1"/>
  <c r="Y227" i="1" s="1"/>
  <c r="Z227" i="1" s="1"/>
  <c r="AA227" i="1" s="1"/>
  <c r="S224" i="1"/>
  <c r="U224" i="1" s="1"/>
  <c r="S221" i="1"/>
  <c r="T221" i="1" s="1"/>
  <c r="V221" i="1" s="1"/>
  <c r="W221" i="1" s="1"/>
  <c r="X221" i="1" s="1"/>
  <c r="Y221" i="1" s="1"/>
  <c r="Z221" i="1" s="1"/>
  <c r="AA221" i="1" s="1"/>
  <c r="AB221" i="1" s="1"/>
  <c r="AC221" i="1" s="1"/>
  <c r="AD221" i="1" s="1"/>
  <c r="S218" i="1"/>
  <c r="S215" i="1"/>
  <c r="T215" i="1" s="1"/>
  <c r="V215" i="1" s="1"/>
  <c r="W215" i="1" s="1"/>
  <c r="T212" i="1"/>
  <c r="V212" i="1" s="1"/>
  <c r="W212" i="1" s="1"/>
  <c r="S209" i="1"/>
  <c r="T209" i="1" s="1"/>
  <c r="V209" i="1" s="1"/>
  <c r="W209" i="1" s="1"/>
  <c r="X209" i="1" s="1"/>
  <c r="Y209" i="1" s="1"/>
  <c r="Z209" i="1" s="1"/>
  <c r="AA209" i="1" s="1"/>
  <c r="AL206" i="1"/>
  <c r="S200" i="1"/>
  <c r="P197" i="1"/>
  <c r="Q197" i="1" s="1"/>
  <c r="R197" i="1" s="1"/>
  <c r="S197" i="1" s="1"/>
  <c r="T197" i="1" s="1"/>
  <c r="U197" i="1" s="1"/>
  <c r="V197" i="1" s="1"/>
  <c r="W197" i="1" s="1"/>
  <c r="O197" i="1"/>
  <c r="V188" i="1"/>
  <c r="X188" i="1" s="1"/>
  <c r="Y188" i="1" s="1"/>
  <c r="Z188" i="1" s="1"/>
  <c r="AA188" i="1" s="1"/>
  <c r="V185" i="1"/>
  <c r="S179" i="1"/>
  <c r="AL172" i="1"/>
  <c r="AH173" i="1" s="1"/>
  <c r="S164" i="1"/>
  <c r="T164" i="1" s="1"/>
  <c r="U164" i="1" s="1"/>
  <c r="V164" i="1" s="1"/>
  <c r="W164" i="1" s="1"/>
  <c r="S161" i="1"/>
  <c r="T161" i="1" s="1"/>
  <c r="U161" i="1" s="1"/>
  <c r="V161" i="1" s="1"/>
  <c r="W161" i="1" s="1"/>
  <c r="X161" i="1" s="1"/>
  <c r="Y161" i="1" s="1"/>
  <c r="Z161" i="1" s="1"/>
  <c r="AA161" i="1" s="1"/>
  <c r="V224" i="1" l="1"/>
  <c r="W224" i="1" s="1"/>
  <c r="Z251" i="1"/>
  <c r="AA251" i="1" s="1"/>
  <c r="AB251" i="1" s="1"/>
  <c r="AC251" i="1" s="1"/>
  <c r="AD251" i="1" s="1"/>
  <c r="V200" i="1"/>
  <c r="T200" i="1"/>
  <c r="W149" i="1"/>
  <c r="X149" i="1" s="1"/>
  <c r="Y149" i="1" s="1"/>
  <c r="Z149" i="1" s="1"/>
  <c r="AA149" i="1" s="1"/>
  <c r="V179" i="1"/>
  <c r="W179" i="1" s="1"/>
  <c r="X179" i="1" s="1"/>
  <c r="Y179" i="1" s="1"/>
  <c r="Z179" i="1" s="1"/>
  <c r="AA179" i="1" s="1"/>
  <c r="AB179" i="1" s="1"/>
  <c r="AC179" i="1" s="1"/>
  <c r="AD179" i="1" s="1"/>
  <c r="T179" i="1"/>
  <c r="Y347" i="1"/>
  <c r="Z347" i="1" s="1"/>
  <c r="AA347" i="1" s="1"/>
  <c r="X185" i="1"/>
  <c r="Y185" i="1" s="1"/>
  <c r="Z185" i="1" s="1"/>
  <c r="AA185" i="1" s="1"/>
  <c r="AB185" i="1" s="1"/>
  <c r="AC185" i="1" s="1"/>
  <c r="AD185" i="1" s="1"/>
  <c r="AL185" i="1"/>
  <c r="AN184" i="1" s="1"/>
  <c r="X197" i="1"/>
  <c r="Y197" i="1" s="1"/>
  <c r="Z197" i="1" s="1"/>
  <c r="AA197" i="1" s="1"/>
  <c r="AB197" i="1" s="1"/>
  <c r="AC197" i="1" s="1"/>
  <c r="AD197" i="1" s="1"/>
  <c r="AL197" i="1"/>
  <c r="AN196" i="1" s="1"/>
  <c r="X212" i="1"/>
  <c r="Y212" i="1" s="1"/>
  <c r="Z212" i="1" s="1"/>
  <c r="AA212" i="1" s="1"/>
  <c r="AB212" i="1" s="1"/>
  <c r="AC212" i="1" s="1"/>
  <c r="AD212" i="1" s="1"/>
  <c r="AL212" i="1"/>
  <c r="AN211" i="1" s="1"/>
  <c r="X233" i="1"/>
  <c r="Y233" i="1" s="1"/>
  <c r="Z233" i="1" s="1"/>
  <c r="AA233" i="1" s="1"/>
  <c r="AB233" i="1" s="1"/>
  <c r="AC233" i="1" s="1"/>
  <c r="AD233" i="1" s="1"/>
  <c r="AL233" i="1"/>
  <c r="AN232" i="1" s="1"/>
  <c r="X200" i="1"/>
  <c r="Y200" i="1" s="1"/>
  <c r="Z200" i="1" s="1"/>
  <c r="AA200" i="1" s="1"/>
  <c r="AL200" i="1"/>
  <c r="AC356" i="1"/>
  <c r="AD356" i="1" s="1"/>
  <c r="AL356" i="1"/>
  <c r="X215" i="1"/>
  <c r="Y215" i="1" s="1"/>
  <c r="Z215" i="1" s="1"/>
  <c r="AA215" i="1" s="1"/>
  <c r="AB215" i="1" s="1"/>
  <c r="AC215" i="1" s="1"/>
  <c r="AD215" i="1" s="1"/>
  <c r="AL215" i="1"/>
  <c r="AN214" i="1" s="1"/>
  <c r="X164" i="1"/>
  <c r="Y164" i="1" s="1"/>
  <c r="Z164" i="1" s="1"/>
  <c r="AA164" i="1" s="1"/>
  <c r="AL164" i="1"/>
  <c r="AG164" i="1" s="1"/>
  <c r="AF164" i="1" s="1"/>
  <c r="AE164" i="1" s="1"/>
  <c r="T218" i="1"/>
  <c r="V218" i="1" s="1"/>
  <c r="W218" i="1" s="1"/>
  <c r="X218" i="1" s="1"/>
  <c r="Y218" i="1" s="1"/>
  <c r="Z218" i="1" s="1"/>
  <c r="AA218" i="1" s="1"/>
  <c r="AB218" i="1" s="1"/>
  <c r="AC218" i="1" s="1"/>
  <c r="AD218" i="1" s="1"/>
  <c r="AL221" i="1"/>
  <c r="AN220" i="1" s="1"/>
  <c r="AL209" i="1"/>
  <c r="AN208" i="1" s="1"/>
  <c r="AN190" i="1"/>
  <c r="AL188" i="1"/>
  <c r="AN187" i="1" s="1"/>
  <c r="AB95" i="1"/>
  <c r="AC95" i="1" s="1"/>
  <c r="AD95" i="1" s="1"/>
  <c r="AB173" i="1"/>
  <c r="AC173" i="1" s="1"/>
  <c r="AD173" i="1" s="1"/>
  <c r="AC77" i="1"/>
  <c r="AD77" i="1" s="1"/>
  <c r="AN328" i="1"/>
  <c r="AI353" i="1"/>
  <c r="AF353" i="1"/>
  <c r="AE353" i="1" s="1"/>
  <c r="AB239" i="1"/>
  <c r="AC239" i="1" s="1"/>
  <c r="AD239" i="1" s="1"/>
  <c r="AB35" i="1"/>
  <c r="AC35" i="1" s="1"/>
  <c r="AD35" i="1" s="1"/>
  <c r="AB254" i="1"/>
  <c r="AC254" i="1" s="1"/>
  <c r="AD254" i="1" s="1"/>
  <c r="AI173" i="1"/>
  <c r="AB341" i="1"/>
  <c r="AC341" i="1" s="1"/>
  <c r="AD341" i="1" s="1"/>
  <c r="AB350" i="1"/>
  <c r="AC350" i="1" s="1"/>
  <c r="AD350" i="1" s="1"/>
  <c r="AN166" i="1"/>
  <c r="AB242" i="1"/>
  <c r="AC242" i="1" s="1"/>
  <c r="AD242" i="1" s="1"/>
  <c r="AB248" i="1"/>
  <c r="AC248" i="1" s="1"/>
  <c r="AD248" i="1" s="1"/>
  <c r="AB227" i="1"/>
  <c r="AC227" i="1" s="1"/>
  <c r="AD227" i="1" s="1"/>
  <c r="AC260" i="1"/>
  <c r="AD260" i="1" s="1"/>
  <c r="AC26" i="1"/>
  <c r="AD26" i="1" s="1"/>
  <c r="AC41" i="1"/>
  <c r="AD41" i="1" s="1"/>
  <c r="AE41" i="1" s="1"/>
  <c r="AF41" i="1" s="1"/>
  <c r="AG41" i="1" s="1"/>
  <c r="AB245" i="1"/>
  <c r="AC245" i="1" s="1"/>
  <c r="AD245" i="1" s="1"/>
  <c r="AB188" i="1"/>
  <c r="AC188" i="1" s="1"/>
  <c r="AD188" i="1" s="1"/>
  <c r="AB203" i="1"/>
  <c r="AC203" i="1" s="1"/>
  <c r="AD203" i="1" s="1"/>
  <c r="AN202" i="1"/>
  <c r="AB170" i="1"/>
  <c r="AC170" i="1" s="1"/>
  <c r="AD170" i="1" s="1"/>
  <c r="AB158" i="1"/>
  <c r="AC158" i="1" s="1"/>
  <c r="AD158" i="1" s="1"/>
  <c r="AL158" i="1"/>
  <c r="AB230" i="1"/>
  <c r="AC230" i="1" s="1"/>
  <c r="AD230" i="1" s="1"/>
  <c r="AL230" i="1"/>
  <c r="AN229" i="1" s="1"/>
  <c r="AB161" i="1"/>
  <c r="AC161" i="1" s="1"/>
  <c r="AD161" i="1" s="1"/>
  <c r="AL161" i="1"/>
  <c r="AG161" i="1" s="1"/>
  <c r="AF161" i="1" s="1"/>
  <c r="AE161" i="1" s="1"/>
  <c r="AB236" i="1"/>
  <c r="AC236" i="1" s="1"/>
  <c r="AD236" i="1" s="1"/>
  <c r="AL245" i="1"/>
  <c r="AN244" i="1" s="1"/>
  <c r="AL248" i="1"/>
  <c r="AN247" i="1" s="1"/>
  <c r="AL242" i="1"/>
  <c r="AN241" i="1" s="1"/>
  <c r="AN238" i="1"/>
  <c r="AL227" i="1"/>
  <c r="AN226" i="1" s="1"/>
  <c r="AB206" i="1"/>
  <c r="AC206" i="1" s="1"/>
  <c r="AD206" i="1" s="1"/>
  <c r="AN205" i="1"/>
  <c r="AL194" i="1"/>
  <c r="AB191" i="1"/>
  <c r="AC191" i="1" s="1"/>
  <c r="AD191" i="1" s="1"/>
  <c r="Q152" i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O152" i="1"/>
  <c r="X224" i="1" l="1"/>
  <c r="Y224" i="1" s="1"/>
  <c r="Z224" i="1" s="1"/>
  <c r="AA224" i="1" s="1"/>
  <c r="AB224" i="1" s="1"/>
  <c r="AC224" i="1" s="1"/>
  <c r="AD224" i="1" s="1"/>
  <c r="AL224" i="1"/>
  <c r="AN223" i="1" s="1"/>
  <c r="AL179" i="1"/>
  <c r="AN178" i="1" s="1"/>
  <c r="AG347" i="1"/>
  <c r="AF347" i="1" s="1"/>
  <c r="AE347" i="1" s="1"/>
  <c r="AB353" i="1"/>
  <c r="AC353" i="1" s="1"/>
  <c r="AD353" i="1" s="1"/>
  <c r="AB347" i="1"/>
  <c r="AC347" i="1" s="1"/>
  <c r="AD347" i="1" s="1"/>
  <c r="AB338" i="1"/>
  <c r="AC338" i="1" s="1"/>
  <c r="AD338" i="1" s="1"/>
  <c r="AL218" i="1"/>
  <c r="AN217" i="1" s="1"/>
  <c r="AN157" i="1"/>
  <c r="AG158" i="1"/>
  <c r="AF158" i="1" s="1"/>
  <c r="AE158" i="1" s="1"/>
  <c r="AB209" i="1"/>
  <c r="AC209" i="1" s="1"/>
  <c r="AD209" i="1" s="1"/>
  <c r="AB182" i="1"/>
  <c r="AC182" i="1" s="1"/>
  <c r="AD182" i="1" s="1"/>
  <c r="AN181" i="1"/>
  <c r="AC104" i="1"/>
  <c r="AD104" i="1" s="1"/>
  <c r="AB86" i="1"/>
  <c r="AC86" i="1" s="1"/>
  <c r="AD86" i="1" s="1"/>
  <c r="AL89" i="1"/>
  <c r="AG89" i="1" s="1"/>
  <c r="AF89" i="1" s="1"/>
  <c r="AE89" i="1" s="1"/>
  <c r="AB122" i="1"/>
  <c r="AC122" i="1" s="1"/>
  <c r="AD122" i="1" s="1"/>
  <c r="AA113" i="1"/>
  <c r="AB116" i="1"/>
  <c r="AC116" i="1" s="1"/>
  <c r="AD116" i="1" s="1"/>
  <c r="AB119" i="1"/>
  <c r="AC119" i="1" s="1"/>
  <c r="AD119" i="1" s="1"/>
  <c r="AB164" i="1"/>
  <c r="AC164" i="1" s="1"/>
  <c r="AD164" i="1" s="1"/>
  <c r="AN163" i="1"/>
  <c r="AB137" i="1"/>
  <c r="AC137" i="1" s="1"/>
  <c r="AD137" i="1" s="1"/>
  <c r="AL143" i="1"/>
  <c r="AG143" i="1" s="1"/>
  <c r="AF143" i="1" s="1"/>
  <c r="AE143" i="1" s="1"/>
  <c r="AF173" i="1"/>
  <c r="AE173" i="1" s="1"/>
  <c r="AN172" i="1"/>
  <c r="AN175" i="1"/>
  <c r="AB176" i="1"/>
  <c r="AC176" i="1" s="1"/>
  <c r="AD176" i="1" s="1"/>
  <c r="AF350" i="1"/>
  <c r="AE350" i="1" s="1"/>
  <c r="AI350" i="1"/>
  <c r="AL263" i="1"/>
  <c r="AB194" i="1"/>
  <c r="AC194" i="1" s="1"/>
  <c r="AD194" i="1" s="1"/>
  <c r="AN193" i="1"/>
  <c r="AL251" i="1"/>
  <c r="AN250" i="1" s="1"/>
  <c r="AN235" i="1"/>
  <c r="AB200" i="1"/>
  <c r="AC200" i="1" s="1"/>
  <c r="AD200" i="1" s="1"/>
  <c r="AN199" i="1"/>
  <c r="AB149" i="1"/>
  <c r="AC149" i="1" s="1"/>
  <c r="AD149" i="1" s="1"/>
  <c r="AG65" i="1"/>
  <c r="AF65" i="1" s="1"/>
  <c r="AE65" i="1" s="1"/>
  <c r="AL50" i="1"/>
  <c r="AG50" i="1" s="1"/>
  <c r="AF50" i="1" s="1"/>
  <c r="AE50" i="1" s="1"/>
  <c r="AN334" i="1" l="1"/>
  <c r="AI347" i="1"/>
  <c r="AL155" i="1"/>
  <c r="AG155" i="1" s="1"/>
  <c r="AF155" i="1" s="1"/>
  <c r="AE155" i="1" s="1"/>
  <c r="AB155" i="1"/>
  <c r="AC155" i="1" s="1"/>
  <c r="AD155" i="1" s="1"/>
  <c r="AL140" i="1"/>
  <c r="AL68" i="1"/>
  <c r="AG68" i="1" s="1"/>
  <c r="AF68" i="1" s="1"/>
  <c r="AE68" i="1" s="1"/>
  <c r="AL47" i="1"/>
  <c r="AG47" i="1" s="1"/>
  <c r="AF47" i="1" s="1"/>
  <c r="AE47" i="1" s="1"/>
  <c r="AG44" i="1"/>
  <c r="AF44" i="1" s="1"/>
  <c r="AE44" i="1" s="1"/>
  <c r="AC92" i="1"/>
  <c r="AD92" i="1" s="1"/>
  <c r="AL92" i="1"/>
  <c r="AG92" i="1" s="1"/>
  <c r="AF92" i="1" s="1"/>
  <c r="AE92" i="1" s="1"/>
  <c r="AB89" i="1"/>
  <c r="AC89" i="1" s="1"/>
  <c r="AD89" i="1" s="1"/>
  <c r="AL119" i="1"/>
  <c r="AN88" i="1"/>
  <c r="AL71" i="1"/>
  <c r="AL146" i="1"/>
  <c r="Y146" i="1"/>
  <c r="Z146" i="1" s="1"/>
  <c r="AL137" i="1"/>
  <c r="AG137" i="1" s="1"/>
  <c r="AF137" i="1" s="1"/>
  <c r="AE137" i="1" s="1"/>
  <c r="AB143" i="1"/>
  <c r="AC143" i="1" s="1"/>
  <c r="AD143" i="1" s="1"/>
  <c r="AN259" i="1"/>
  <c r="AN268" i="1"/>
  <c r="AN262" i="1"/>
  <c r="AC65" i="1"/>
  <c r="AD65" i="1" s="1"/>
  <c r="AN64" i="1"/>
  <c r="AB113" i="1"/>
  <c r="AC113" i="1" s="1"/>
  <c r="AD113" i="1" s="1"/>
  <c r="AL113" i="1"/>
  <c r="AL152" i="1"/>
  <c r="AN151" i="1" s="1"/>
  <c r="AB152" i="1"/>
  <c r="AC152" i="1" s="1"/>
  <c r="AD152" i="1" s="1"/>
  <c r="AL149" i="1"/>
  <c r="AN148" i="1" s="1"/>
  <c r="AN142" i="1"/>
  <c r="AL104" i="1"/>
  <c r="AL122" i="1"/>
  <c r="AL116" i="1"/>
  <c r="AN49" i="1"/>
  <c r="AN55" i="1"/>
  <c r="AN154" i="1" l="1"/>
  <c r="AA146" i="1"/>
  <c r="AB146" i="1" s="1"/>
  <c r="AC146" i="1" s="1"/>
  <c r="AD146" i="1" s="1"/>
  <c r="AG140" i="1"/>
  <c r="AF140" i="1" s="1"/>
  <c r="AE140" i="1" s="1"/>
  <c r="AN139" i="1"/>
  <c r="AB140" i="1"/>
  <c r="AC140" i="1" s="1"/>
  <c r="AD140" i="1" s="1"/>
  <c r="T110" i="1"/>
  <c r="AB128" i="1"/>
  <c r="AC128" i="1" s="1"/>
  <c r="AD128" i="1" s="1"/>
  <c r="AN136" i="1"/>
  <c r="AN46" i="1"/>
  <c r="AC68" i="1"/>
  <c r="AD68" i="1" s="1"/>
  <c r="AN115" i="1"/>
  <c r="AG116" i="1"/>
  <c r="AF116" i="1" s="1"/>
  <c r="AE116" i="1" s="1"/>
  <c r="AN145" i="1"/>
  <c r="AG146" i="1"/>
  <c r="AF146" i="1" s="1"/>
  <c r="AE146" i="1" s="1"/>
  <c r="AN67" i="1"/>
  <c r="AN112" i="1"/>
  <c r="AG113" i="1"/>
  <c r="AF113" i="1" s="1"/>
  <c r="AE113" i="1" s="1"/>
  <c r="AN121" i="1"/>
  <c r="AG122" i="1"/>
  <c r="AF122" i="1" s="1"/>
  <c r="AE122" i="1" s="1"/>
  <c r="AB107" i="1"/>
  <c r="AC107" i="1" s="1"/>
  <c r="AD107" i="1" s="1"/>
  <c r="AL107" i="1"/>
  <c r="AG107" i="1" s="1"/>
  <c r="AF107" i="1" s="1"/>
  <c r="AE107" i="1" s="1"/>
  <c r="AN103" i="1"/>
  <c r="AG104" i="1"/>
  <c r="AF104" i="1" s="1"/>
  <c r="AE104" i="1" s="1"/>
  <c r="AN118" i="1"/>
  <c r="AG119" i="1"/>
  <c r="AF119" i="1" s="1"/>
  <c r="AE119" i="1" s="1"/>
  <c r="AC83" i="1"/>
  <c r="AD83" i="1" s="1"/>
  <c r="AC44" i="1"/>
  <c r="AD44" i="1" s="1"/>
  <c r="AL125" i="1"/>
  <c r="AB125" i="1"/>
  <c r="AC125" i="1" s="1"/>
  <c r="AD125" i="1" s="1"/>
  <c r="AG71" i="1"/>
  <c r="AF71" i="1" s="1"/>
  <c r="AE71" i="1" s="1"/>
  <c r="AC71" i="1"/>
  <c r="AD71" i="1" s="1"/>
  <c r="AF260" i="1"/>
  <c r="AE260" i="1" s="1"/>
  <c r="AN43" i="1"/>
  <c r="Z110" i="1" l="1"/>
  <c r="AG128" i="1"/>
  <c r="AF128" i="1" s="1"/>
  <c r="AE128" i="1" s="1"/>
  <c r="AN106" i="1"/>
  <c r="AN124" i="1"/>
  <c r="AG125" i="1"/>
  <c r="AF125" i="1" s="1"/>
  <c r="AE125" i="1" s="1"/>
  <c r="AG83" i="1"/>
  <c r="AF83" i="1" s="1"/>
  <c r="AE83" i="1" s="1"/>
  <c r="AN82" i="1"/>
  <c r="AN70" i="1"/>
  <c r="AN40" i="1"/>
  <c r="AA110" i="1" l="1"/>
  <c r="AB110" i="1" s="1"/>
  <c r="AC110" i="1" s="1"/>
  <c r="AD110" i="1" s="1"/>
  <c r="AL110" i="1"/>
  <c r="AN61" i="1"/>
  <c r="AN13" i="1"/>
  <c r="AN37" i="1"/>
  <c r="AL35" i="1"/>
  <c r="AN34" i="1" s="1"/>
  <c r="AN109" i="1" l="1"/>
  <c r="AG110" i="1"/>
  <c r="AF110" i="1" s="1"/>
  <c r="AE110" i="1" s="1"/>
  <c r="AZ48" i="1"/>
  <c r="AY48" i="1"/>
  <c r="AX48" i="1"/>
  <c r="AW48" i="1"/>
  <c r="AV48" i="1"/>
  <c r="AU48" i="1"/>
  <c r="AT48" i="1"/>
  <c r="AS48" i="1"/>
  <c r="AR48" i="1"/>
  <c r="AQ48" i="1"/>
  <c r="AZ47" i="1"/>
  <c r="AY47" i="1"/>
  <c r="AX47" i="1"/>
  <c r="AW47" i="1"/>
  <c r="AV47" i="1"/>
  <c r="AU47" i="1"/>
  <c r="AT47" i="1"/>
  <c r="AS47" i="1"/>
  <c r="AR47" i="1"/>
  <c r="AQ47" i="1"/>
  <c r="AZ93" i="1"/>
  <c r="AY93" i="1"/>
  <c r="AX93" i="1"/>
  <c r="AW93" i="1"/>
  <c r="AV93" i="1"/>
  <c r="AU93" i="1"/>
  <c r="AT93" i="1"/>
  <c r="AS93" i="1"/>
  <c r="AR93" i="1"/>
  <c r="AQ93" i="1"/>
  <c r="AZ92" i="1"/>
  <c r="AY92" i="1"/>
  <c r="AX92" i="1"/>
  <c r="AW92" i="1"/>
  <c r="AV92" i="1"/>
  <c r="AU92" i="1"/>
  <c r="AT92" i="1"/>
  <c r="AS92" i="1"/>
  <c r="AR92" i="1"/>
  <c r="AQ92" i="1"/>
  <c r="AS91" i="1"/>
  <c r="AU91" i="1" l="1"/>
  <c r="AT91" i="1"/>
  <c r="AZ91" i="1"/>
  <c r="AW91" i="1"/>
  <c r="AX91" i="1"/>
  <c r="AY91" i="1"/>
  <c r="AV91" i="1"/>
  <c r="AS46" i="1"/>
  <c r="AV46" i="1"/>
  <c r="AU46" i="1"/>
  <c r="AR46" i="1"/>
  <c r="AZ46" i="1"/>
  <c r="AX46" i="1"/>
  <c r="AT46" i="1"/>
  <c r="AQ46" i="1"/>
  <c r="AY46" i="1"/>
  <c r="AW46" i="1"/>
  <c r="AQ91" i="1"/>
  <c r="AR91" i="1"/>
  <c r="AY68" i="1" l="1"/>
  <c r="AZ69" i="1"/>
  <c r="AY69" i="1"/>
  <c r="AX69" i="1"/>
  <c r="AW69" i="1"/>
  <c r="AV69" i="1"/>
  <c r="AU69" i="1"/>
  <c r="AT69" i="1"/>
  <c r="AS69" i="1"/>
  <c r="AR69" i="1"/>
  <c r="AQ69" i="1"/>
  <c r="AZ67" i="1"/>
  <c r="AY67" i="1"/>
  <c r="AX67" i="1"/>
  <c r="AW67" i="1"/>
  <c r="AV67" i="1"/>
  <c r="AU67" i="1"/>
  <c r="AT67" i="1"/>
  <c r="AS67" i="1"/>
  <c r="AR67" i="1"/>
  <c r="AQ67" i="1"/>
  <c r="AQ68" i="1" l="1"/>
  <c r="AR68" i="1"/>
  <c r="AU68" i="1"/>
  <c r="AS68" i="1"/>
  <c r="AT68" i="1"/>
  <c r="AV68" i="1"/>
  <c r="AX68" i="1"/>
  <c r="AW68" i="1"/>
  <c r="AZ68" i="1"/>
  <c r="AZ141" i="1" l="1"/>
  <c r="AY141" i="1"/>
  <c r="AX141" i="1"/>
  <c r="AW141" i="1"/>
  <c r="AV141" i="1"/>
  <c r="AU141" i="1"/>
  <c r="AT141" i="1"/>
  <c r="AS141" i="1"/>
  <c r="AR141" i="1"/>
  <c r="AQ141" i="1"/>
  <c r="AZ140" i="1"/>
  <c r="AY140" i="1"/>
  <c r="AX140" i="1"/>
  <c r="AW140" i="1"/>
  <c r="AV140" i="1"/>
  <c r="AU140" i="1"/>
  <c r="AT140" i="1"/>
  <c r="AS140" i="1"/>
  <c r="AR140" i="1"/>
  <c r="AQ140" i="1"/>
  <c r="AZ139" i="1" l="1"/>
  <c r="AS139" i="1"/>
  <c r="AR139" i="1"/>
  <c r="AQ139" i="1" l="1"/>
  <c r="AU139" i="1"/>
  <c r="AY139" i="1"/>
  <c r="AX139" i="1"/>
  <c r="AT139" i="1"/>
  <c r="AW139" i="1"/>
  <c r="AV139" i="1"/>
  <c r="AN355" i="1"/>
  <c r="AN352" i="1"/>
  <c r="AN343" i="1" l="1"/>
  <c r="AN340" i="1"/>
  <c r="AK343" i="1" l="1"/>
  <c r="AK340" i="1"/>
  <c r="AZ243" i="1"/>
  <c r="AY243" i="1"/>
  <c r="AX243" i="1"/>
  <c r="AW243" i="1"/>
  <c r="AV243" i="1"/>
  <c r="AU243" i="1"/>
  <c r="AT243" i="1"/>
  <c r="AS243" i="1"/>
  <c r="AR243" i="1"/>
  <c r="AQ243" i="1"/>
  <c r="AZ242" i="1"/>
  <c r="AY242" i="1"/>
  <c r="AX242" i="1"/>
  <c r="AW242" i="1"/>
  <c r="AV242" i="1"/>
  <c r="AU242" i="1"/>
  <c r="AT242" i="1"/>
  <c r="AS242" i="1"/>
  <c r="AR242" i="1"/>
  <c r="AQ242" i="1"/>
  <c r="AZ150" i="1"/>
  <c r="AY150" i="1"/>
  <c r="AX150" i="1"/>
  <c r="AW150" i="1"/>
  <c r="AV150" i="1"/>
  <c r="AU150" i="1"/>
  <c r="AT150" i="1"/>
  <c r="AS150" i="1"/>
  <c r="AR150" i="1"/>
  <c r="AQ150" i="1"/>
  <c r="AZ149" i="1"/>
  <c r="AY149" i="1"/>
  <c r="AX149" i="1"/>
  <c r="AW149" i="1"/>
  <c r="AV149" i="1"/>
  <c r="AU149" i="1"/>
  <c r="AT149" i="1"/>
  <c r="AS149" i="1"/>
  <c r="AR149" i="1"/>
  <c r="AQ149" i="1"/>
  <c r="AZ138" i="1"/>
  <c r="AY138" i="1"/>
  <c r="AX138" i="1"/>
  <c r="AW138" i="1"/>
  <c r="AV138" i="1"/>
  <c r="AU138" i="1"/>
  <c r="AT138" i="1"/>
  <c r="AS138" i="1"/>
  <c r="AR138" i="1"/>
  <c r="AQ138" i="1"/>
  <c r="AZ137" i="1"/>
  <c r="AY137" i="1"/>
  <c r="AX137" i="1"/>
  <c r="AW137" i="1"/>
  <c r="AV137" i="1"/>
  <c r="AU137" i="1"/>
  <c r="AT137" i="1"/>
  <c r="AS137" i="1"/>
  <c r="AR137" i="1"/>
  <c r="AQ137" i="1"/>
  <c r="AZ136" i="1"/>
  <c r="AY136" i="1"/>
  <c r="AX136" i="1"/>
  <c r="AW136" i="1"/>
  <c r="AV136" i="1"/>
  <c r="AU136" i="1"/>
  <c r="AT136" i="1"/>
  <c r="AS136" i="1"/>
  <c r="AR136" i="1"/>
  <c r="AQ136" i="1"/>
  <c r="AZ144" i="1"/>
  <c r="AY144" i="1"/>
  <c r="AX144" i="1"/>
  <c r="AW144" i="1"/>
  <c r="AV144" i="1"/>
  <c r="AU144" i="1"/>
  <c r="AT144" i="1"/>
  <c r="AS144" i="1"/>
  <c r="AR144" i="1"/>
  <c r="AQ144" i="1"/>
  <c r="AZ143" i="1"/>
  <c r="AY143" i="1"/>
  <c r="AX143" i="1"/>
  <c r="AW143" i="1"/>
  <c r="AV143" i="1"/>
  <c r="AU143" i="1"/>
  <c r="AT143" i="1"/>
  <c r="AS143" i="1"/>
  <c r="AR143" i="1"/>
  <c r="AQ143" i="1"/>
  <c r="AZ147" i="1"/>
  <c r="AY147" i="1"/>
  <c r="AX147" i="1"/>
  <c r="AW147" i="1"/>
  <c r="AV147" i="1"/>
  <c r="AU147" i="1"/>
  <c r="AT147" i="1"/>
  <c r="AS147" i="1"/>
  <c r="AR147" i="1"/>
  <c r="AQ147" i="1"/>
  <c r="AZ146" i="1"/>
  <c r="AY146" i="1"/>
  <c r="AX146" i="1"/>
  <c r="AW146" i="1"/>
  <c r="AV146" i="1"/>
  <c r="AU146" i="1"/>
  <c r="AT146" i="1"/>
  <c r="AS146" i="1"/>
  <c r="AR146" i="1"/>
  <c r="AQ146" i="1"/>
  <c r="AZ145" i="1"/>
  <c r="AY145" i="1"/>
  <c r="AX145" i="1"/>
  <c r="AW145" i="1"/>
  <c r="AV145" i="1"/>
  <c r="AU145" i="1"/>
  <c r="AT145" i="1"/>
  <c r="AS145" i="1"/>
  <c r="AR145" i="1"/>
  <c r="AQ145" i="1"/>
  <c r="AZ126" i="1"/>
  <c r="AY126" i="1"/>
  <c r="AX126" i="1"/>
  <c r="AW126" i="1"/>
  <c r="AV126" i="1"/>
  <c r="AU126" i="1"/>
  <c r="AT126" i="1"/>
  <c r="AS126" i="1"/>
  <c r="AR126" i="1"/>
  <c r="AQ126" i="1"/>
  <c r="AZ125" i="1"/>
  <c r="AY125" i="1"/>
  <c r="AX125" i="1"/>
  <c r="AW125" i="1"/>
  <c r="AV125" i="1"/>
  <c r="AU125" i="1"/>
  <c r="AT125" i="1"/>
  <c r="AS125" i="1"/>
  <c r="AR125" i="1"/>
  <c r="AQ125" i="1"/>
  <c r="AZ123" i="1"/>
  <c r="AY123" i="1"/>
  <c r="AX123" i="1"/>
  <c r="AW123" i="1"/>
  <c r="AV123" i="1"/>
  <c r="AU123" i="1"/>
  <c r="AT123" i="1"/>
  <c r="AS123" i="1"/>
  <c r="AR123" i="1"/>
  <c r="AQ123" i="1"/>
  <c r="AZ122" i="1"/>
  <c r="AY122" i="1"/>
  <c r="AX122" i="1"/>
  <c r="AW122" i="1"/>
  <c r="AV122" i="1"/>
  <c r="AU122" i="1"/>
  <c r="AT122" i="1"/>
  <c r="AS122" i="1"/>
  <c r="AR122" i="1"/>
  <c r="AQ122" i="1"/>
  <c r="AZ120" i="1"/>
  <c r="AY120" i="1"/>
  <c r="AX120" i="1"/>
  <c r="AW120" i="1"/>
  <c r="AV120" i="1"/>
  <c r="AU120" i="1"/>
  <c r="AT120" i="1"/>
  <c r="AS120" i="1"/>
  <c r="AR120" i="1"/>
  <c r="AQ120" i="1"/>
  <c r="AZ119" i="1"/>
  <c r="AY119" i="1"/>
  <c r="AX119" i="1"/>
  <c r="AW119" i="1"/>
  <c r="AV119" i="1"/>
  <c r="AU119" i="1"/>
  <c r="AT119" i="1"/>
  <c r="AS119" i="1"/>
  <c r="AR119" i="1"/>
  <c r="AQ119" i="1"/>
  <c r="AZ117" i="1"/>
  <c r="AY117" i="1"/>
  <c r="AX117" i="1"/>
  <c r="AW117" i="1"/>
  <c r="AV117" i="1"/>
  <c r="AU117" i="1"/>
  <c r="AT117" i="1"/>
  <c r="AS117" i="1"/>
  <c r="AR117" i="1"/>
  <c r="AQ117" i="1"/>
  <c r="AZ116" i="1"/>
  <c r="AY116" i="1"/>
  <c r="AX116" i="1"/>
  <c r="AW116" i="1"/>
  <c r="AV116" i="1"/>
  <c r="AU116" i="1"/>
  <c r="AT116" i="1"/>
  <c r="AS116" i="1"/>
  <c r="AR116" i="1"/>
  <c r="AQ116" i="1"/>
  <c r="AZ114" i="1"/>
  <c r="AY114" i="1"/>
  <c r="AX114" i="1"/>
  <c r="AW114" i="1"/>
  <c r="AV114" i="1"/>
  <c r="AU114" i="1"/>
  <c r="AT114" i="1"/>
  <c r="AS114" i="1"/>
  <c r="AR114" i="1"/>
  <c r="AQ114" i="1"/>
  <c r="AZ113" i="1"/>
  <c r="AY113" i="1"/>
  <c r="AX113" i="1"/>
  <c r="AW113" i="1"/>
  <c r="AV113" i="1"/>
  <c r="AU113" i="1"/>
  <c r="AT113" i="1"/>
  <c r="AS113" i="1"/>
  <c r="AR113" i="1"/>
  <c r="AQ113" i="1"/>
  <c r="AZ111" i="1"/>
  <c r="AY111" i="1"/>
  <c r="AX111" i="1"/>
  <c r="AW111" i="1"/>
  <c r="AV111" i="1"/>
  <c r="AU111" i="1"/>
  <c r="AT111" i="1"/>
  <c r="AS111" i="1"/>
  <c r="AR111" i="1"/>
  <c r="AQ111" i="1"/>
  <c r="AZ110" i="1"/>
  <c r="AY110" i="1"/>
  <c r="AX110" i="1"/>
  <c r="AW110" i="1"/>
  <c r="AV110" i="1"/>
  <c r="AU110" i="1"/>
  <c r="AT110" i="1"/>
  <c r="AS110" i="1"/>
  <c r="AR110" i="1"/>
  <c r="AQ110" i="1"/>
  <c r="AZ108" i="1"/>
  <c r="AY108" i="1"/>
  <c r="AX108" i="1"/>
  <c r="AW108" i="1"/>
  <c r="AV108" i="1"/>
  <c r="AU108" i="1"/>
  <c r="AT108" i="1"/>
  <c r="AS108" i="1"/>
  <c r="AR108" i="1"/>
  <c r="AQ108" i="1"/>
  <c r="AZ107" i="1"/>
  <c r="AY107" i="1"/>
  <c r="AX107" i="1"/>
  <c r="AW107" i="1"/>
  <c r="AV107" i="1"/>
  <c r="AU107" i="1"/>
  <c r="AT107" i="1"/>
  <c r="AS107" i="1"/>
  <c r="AR107" i="1"/>
  <c r="AQ107" i="1"/>
  <c r="AY106" i="1"/>
  <c r="AZ105" i="1"/>
  <c r="AY105" i="1"/>
  <c r="AX105" i="1"/>
  <c r="AW105" i="1"/>
  <c r="AV105" i="1"/>
  <c r="AU105" i="1"/>
  <c r="AT105" i="1"/>
  <c r="AS105" i="1"/>
  <c r="AR105" i="1"/>
  <c r="AQ105" i="1"/>
  <c r="AZ104" i="1"/>
  <c r="AY104" i="1"/>
  <c r="AX104" i="1"/>
  <c r="AW104" i="1"/>
  <c r="AV104" i="1"/>
  <c r="AU104" i="1"/>
  <c r="AT104" i="1"/>
  <c r="AS104" i="1"/>
  <c r="AR104" i="1"/>
  <c r="AQ104" i="1"/>
  <c r="AZ102" i="1"/>
  <c r="AY102" i="1"/>
  <c r="AX102" i="1"/>
  <c r="AW102" i="1"/>
  <c r="AV102" i="1"/>
  <c r="AU102" i="1"/>
  <c r="AT102" i="1"/>
  <c r="AS102" i="1"/>
  <c r="AR102" i="1"/>
  <c r="AQ102" i="1"/>
  <c r="AZ101" i="1"/>
  <c r="AY101" i="1"/>
  <c r="AX101" i="1"/>
  <c r="AW101" i="1"/>
  <c r="AV101" i="1"/>
  <c r="AU101" i="1"/>
  <c r="AT101" i="1"/>
  <c r="AS101" i="1"/>
  <c r="AR101" i="1"/>
  <c r="AQ101" i="1"/>
  <c r="AZ72" i="1"/>
  <c r="AY72" i="1"/>
  <c r="AX72" i="1"/>
  <c r="AW72" i="1"/>
  <c r="AV72" i="1"/>
  <c r="AU72" i="1"/>
  <c r="AT72" i="1"/>
  <c r="AS72" i="1"/>
  <c r="AR72" i="1"/>
  <c r="AQ72" i="1"/>
  <c r="AZ71" i="1"/>
  <c r="AY71" i="1"/>
  <c r="AX71" i="1"/>
  <c r="AW71" i="1"/>
  <c r="AV71" i="1"/>
  <c r="AU71" i="1"/>
  <c r="AT71" i="1"/>
  <c r="AS71" i="1"/>
  <c r="AR71" i="1"/>
  <c r="AQ71" i="1"/>
  <c r="AZ66" i="1"/>
  <c r="AY66" i="1"/>
  <c r="AX66" i="1"/>
  <c r="AW66" i="1"/>
  <c r="AV66" i="1"/>
  <c r="AU66" i="1"/>
  <c r="AT66" i="1"/>
  <c r="AS66" i="1"/>
  <c r="AR66" i="1"/>
  <c r="AQ66" i="1"/>
  <c r="AZ65" i="1"/>
  <c r="AY65" i="1"/>
  <c r="AX65" i="1"/>
  <c r="AW65" i="1"/>
  <c r="AV65" i="1"/>
  <c r="AU65" i="1"/>
  <c r="AT65" i="1"/>
  <c r="AS65" i="1"/>
  <c r="AR65" i="1"/>
  <c r="AQ65" i="1"/>
  <c r="AZ64" i="1"/>
  <c r="AY64" i="1"/>
  <c r="AX64" i="1"/>
  <c r="AW64" i="1"/>
  <c r="AV64" i="1"/>
  <c r="AU64" i="1"/>
  <c r="AT64" i="1"/>
  <c r="AS64" i="1"/>
  <c r="AR64" i="1"/>
  <c r="AQ64" i="1"/>
  <c r="AZ57" i="1"/>
  <c r="AY57" i="1"/>
  <c r="AX57" i="1"/>
  <c r="AW57" i="1"/>
  <c r="AV57" i="1"/>
  <c r="AU57" i="1"/>
  <c r="AT57" i="1"/>
  <c r="AS57" i="1"/>
  <c r="AR57" i="1"/>
  <c r="AQ57" i="1"/>
  <c r="AZ56" i="1"/>
  <c r="AY56" i="1"/>
  <c r="AX56" i="1"/>
  <c r="AW56" i="1"/>
  <c r="AV56" i="1"/>
  <c r="AU56" i="1"/>
  <c r="AT56" i="1"/>
  <c r="AS56" i="1"/>
  <c r="AR56" i="1"/>
  <c r="AQ56" i="1"/>
  <c r="AZ55" i="1"/>
  <c r="AY55" i="1"/>
  <c r="AX55" i="1"/>
  <c r="AW55" i="1"/>
  <c r="AV55" i="1"/>
  <c r="AU55" i="1"/>
  <c r="AT55" i="1"/>
  <c r="AS55" i="1"/>
  <c r="AR55" i="1"/>
  <c r="AQ55" i="1"/>
  <c r="AZ51" i="1"/>
  <c r="AY51" i="1"/>
  <c r="AX51" i="1"/>
  <c r="AW51" i="1"/>
  <c r="AV51" i="1"/>
  <c r="AU51" i="1"/>
  <c r="AT51" i="1"/>
  <c r="AS51" i="1"/>
  <c r="AR51" i="1"/>
  <c r="AQ51" i="1"/>
  <c r="AZ50" i="1"/>
  <c r="AY50" i="1"/>
  <c r="AX50" i="1"/>
  <c r="AW50" i="1"/>
  <c r="AV50" i="1"/>
  <c r="AU50" i="1"/>
  <c r="AT50" i="1"/>
  <c r="AS50" i="1"/>
  <c r="AR50" i="1"/>
  <c r="AQ50" i="1"/>
  <c r="AZ49" i="1"/>
  <c r="AY49" i="1"/>
  <c r="AX49" i="1"/>
  <c r="AW49" i="1"/>
  <c r="AV49" i="1"/>
  <c r="AU49" i="1"/>
  <c r="AT49" i="1"/>
  <c r="AS49" i="1"/>
  <c r="AR49" i="1"/>
  <c r="AQ49" i="1"/>
  <c r="AZ45" i="1"/>
  <c r="AY45" i="1"/>
  <c r="AX45" i="1"/>
  <c r="AW45" i="1"/>
  <c r="AV45" i="1"/>
  <c r="AU45" i="1"/>
  <c r="AT45" i="1"/>
  <c r="AS45" i="1"/>
  <c r="AR45" i="1"/>
  <c r="AQ45" i="1"/>
  <c r="AZ44" i="1"/>
  <c r="AY44" i="1"/>
  <c r="AX44" i="1"/>
  <c r="AW44" i="1"/>
  <c r="AV44" i="1"/>
  <c r="AU44" i="1"/>
  <c r="AT44" i="1"/>
  <c r="AS44" i="1"/>
  <c r="AR44" i="1"/>
  <c r="AQ44" i="1"/>
  <c r="AZ42" i="1"/>
  <c r="AY42" i="1"/>
  <c r="AX42" i="1"/>
  <c r="AW42" i="1"/>
  <c r="AV42" i="1"/>
  <c r="AU42" i="1"/>
  <c r="AT42" i="1"/>
  <c r="AS42" i="1"/>
  <c r="AR42" i="1"/>
  <c r="AQ42" i="1"/>
  <c r="AZ41" i="1"/>
  <c r="AY41" i="1"/>
  <c r="AX41" i="1"/>
  <c r="AW41" i="1"/>
  <c r="AV41" i="1"/>
  <c r="AU41" i="1"/>
  <c r="AT41" i="1"/>
  <c r="AS41" i="1"/>
  <c r="AR41" i="1"/>
  <c r="AQ41" i="1"/>
  <c r="AV40" i="1"/>
  <c r="AZ39" i="1"/>
  <c r="AY39" i="1"/>
  <c r="AX39" i="1"/>
  <c r="AW39" i="1"/>
  <c r="AV39" i="1"/>
  <c r="AU39" i="1"/>
  <c r="AT39" i="1"/>
  <c r="AS39" i="1"/>
  <c r="AR39" i="1"/>
  <c r="AQ39" i="1"/>
  <c r="AZ36" i="1"/>
  <c r="AY36" i="1"/>
  <c r="AX36" i="1"/>
  <c r="AW36" i="1"/>
  <c r="AV36" i="1"/>
  <c r="AU36" i="1"/>
  <c r="AT36" i="1"/>
  <c r="AS36" i="1"/>
  <c r="AR36" i="1"/>
  <c r="AQ36" i="1"/>
  <c r="AZ35" i="1"/>
  <c r="AY35" i="1"/>
  <c r="AX35" i="1"/>
  <c r="AW35" i="1"/>
  <c r="AV35" i="1"/>
  <c r="AU35" i="1"/>
  <c r="AT35" i="1"/>
  <c r="AS35" i="1"/>
  <c r="AR35" i="1"/>
  <c r="AQ35" i="1"/>
  <c r="AY34" i="1"/>
  <c r="AW34" i="1"/>
  <c r="AZ33" i="1"/>
  <c r="AY33" i="1"/>
  <c r="AX33" i="1"/>
  <c r="AW33" i="1"/>
  <c r="AV33" i="1"/>
  <c r="AU33" i="1"/>
  <c r="AT33" i="1"/>
  <c r="AS33" i="1"/>
  <c r="AR33" i="1"/>
  <c r="AQ33" i="1"/>
  <c r="AZ32" i="1"/>
  <c r="AY32" i="1"/>
  <c r="AX32" i="1"/>
  <c r="AW32" i="1"/>
  <c r="AV32" i="1"/>
  <c r="AU32" i="1"/>
  <c r="AT32" i="1"/>
  <c r="AS32" i="1"/>
  <c r="AR32" i="1"/>
  <c r="AQ32" i="1"/>
  <c r="AZ31" i="1"/>
  <c r="AY31" i="1"/>
  <c r="AX31" i="1"/>
  <c r="AW31" i="1"/>
  <c r="AV31" i="1"/>
  <c r="AU31" i="1"/>
  <c r="AT31" i="1"/>
  <c r="AS31" i="1"/>
  <c r="AR31" i="1"/>
  <c r="AQ31" i="1"/>
  <c r="AZ24" i="1"/>
  <c r="AY24" i="1"/>
  <c r="AX24" i="1"/>
  <c r="AW24" i="1"/>
  <c r="AV24" i="1"/>
  <c r="AU24" i="1"/>
  <c r="AT24" i="1"/>
  <c r="AS24" i="1"/>
  <c r="AR24" i="1"/>
  <c r="AQ24" i="1"/>
  <c r="AZ23" i="1"/>
  <c r="AY23" i="1"/>
  <c r="AX23" i="1"/>
  <c r="AW23" i="1"/>
  <c r="AV23" i="1"/>
  <c r="AU23" i="1"/>
  <c r="AT23" i="1"/>
  <c r="AS23" i="1"/>
  <c r="AR23" i="1"/>
  <c r="AQ23" i="1"/>
  <c r="AZ22" i="1"/>
  <c r="AY22" i="1"/>
  <c r="AX22" i="1"/>
  <c r="AW22" i="1"/>
  <c r="AV22" i="1"/>
  <c r="AU22" i="1"/>
  <c r="AT22" i="1"/>
  <c r="AS22" i="1"/>
  <c r="AR22" i="1"/>
  <c r="AQ22" i="1"/>
  <c r="AZ21" i="1"/>
  <c r="AY21" i="1"/>
  <c r="AX21" i="1"/>
  <c r="AW21" i="1"/>
  <c r="AV21" i="1"/>
  <c r="AU21" i="1"/>
  <c r="AT21" i="1"/>
  <c r="AS21" i="1"/>
  <c r="AR21" i="1"/>
  <c r="AQ21" i="1"/>
  <c r="AZ19" i="1"/>
  <c r="AY19" i="1"/>
  <c r="AX19" i="1"/>
  <c r="AW19" i="1"/>
  <c r="AV19" i="1"/>
  <c r="AU19" i="1"/>
  <c r="AT19" i="1"/>
  <c r="AS19" i="1"/>
  <c r="AR19" i="1"/>
  <c r="AQ19" i="1"/>
  <c r="AZ30" i="1"/>
  <c r="AY30" i="1"/>
  <c r="AX30" i="1"/>
  <c r="AW30" i="1"/>
  <c r="AV30" i="1"/>
  <c r="AU30" i="1"/>
  <c r="AT30" i="1"/>
  <c r="AS30" i="1"/>
  <c r="AR30" i="1"/>
  <c r="AQ30" i="1"/>
  <c r="AZ29" i="1"/>
  <c r="AY29" i="1"/>
  <c r="AX29" i="1"/>
  <c r="AW29" i="1"/>
  <c r="AV29" i="1"/>
  <c r="AU29" i="1"/>
  <c r="AT29" i="1"/>
  <c r="AS29" i="1"/>
  <c r="AR29" i="1"/>
  <c r="AQ29" i="1"/>
  <c r="AZ28" i="1"/>
  <c r="AY28" i="1"/>
  <c r="AX28" i="1"/>
  <c r="AW28" i="1"/>
  <c r="AV28" i="1"/>
  <c r="AU28" i="1"/>
  <c r="AT28" i="1"/>
  <c r="AS28" i="1"/>
  <c r="AR28" i="1"/>
  <c r="AQ28" i="1"/>
  <c r="AZ27" i="1"/>
  <c r="AY27" i="1"/>
  <c r="AX27" i="1"/>
  <c r="AW27" i="1"/>
  <c r="AV27" i="1"/>
  <c r="AU27" i="1"/>
  <c r="AT27" i="1"/>
  <c r="AS27" i="1"/>
  <c r="AR27" i="1"/>
  <c r="AQ27" i="1"/>
  <c r="AZ26" i="1"/>
  <c r="AY26" i="1"/>
  <c r="AX26" i="1"/>
  <c r="AW26" i="1"/>
  <c r="AV26" i="1"/>
  <c r="AU26" i="1"/>
  <c r="AT26" i="1"/>
  <c r="AS26" i="1"/>
  <c r="AR26" i="1"/>
  <c r="AQ26" i="1"/>
  <c r="AZ25" i="1"/>
  <c r="AY25" i="1"/>
  <c r="AX25" i="1"/>
  <c r="AW25" i="1"/>
  <c r="AV25" i="1"/>
  <c r="AU25" i="1"/>
  <c r="AT25" i="1"/>
  <c r="AS25" i="1"/>
  <c r="AR25" i="1"/>
  <c r="AQ25" i="1"/>
  <c r="AZ18" i="1"/>
  <c r="AY18" i="1"/>
  <c r="AX18" i="1"/>
  <c r="AW18" i="1"/>
  <c r="AV18" i="1"/>
  <c r="AU18" i="1"/>
  <c r="AT18" i="1"/>
  <c r="AS18" i="1"/>
  <c r="AR18" i="1"/>
  <c r="AQ18" i="1"/>
  <c r="AZ16" i="1"/>
  <c r="AY16" i="1"/>
  <c r="AX16" i="1"/>
  <c r="AW16" i="1"/>
  <c r="AV16" i="1"/>
  <c r="AU16" i="1"/>
  <c r="AT16" i="1"/>
  <c r="AS16" i="1"/>
  <c r="AR16" i="1"/>
  <c r="AQ16" i="1"/>
  <c r="AZ129" i="1"/>
  <c r="AY129" i="1"/>
  <c r="AX129" i="1"/>
  <c r="AW129" i="1"/>
  <c r="AV129" i="1"/>
  <c r="AU129" i="1"/>
  <c r="AT129" i="1"/>
  <c r="AS129" i="1"/>
  <c r="AR129" i="1"/>
  <c r="AQ129" i="1"/>
  <c r="AZ128" i="1"/>
  <c r="AY128" i="1"/>
  <c r="AX128" i="1"/>
  <c r="AW128" i="1"/>
  <c r="AV128" i="1"/>
  <c r="AU128" i="1"/>
  <c r="AT128" i="1"/>
  <c r="AS128" i="1"/>
  <c r="AR128" i="1"/>
  <c r="AQ128" i="1"/>
  <c r="AZ127" i="1"/>
  <c r="AY127" i="1"/>
  <c r="AX127" i="1"/>
  <c r="AW127" i="1"/>
  <c r="AV127" i="1"/>
  <c r="AU127" i="1"/>
  <c r="AT127" i="1"/>
  <c r="AS127" i="1"/>
  <c r="AR127" i="1"/>
  <c r="AQ127" i="1"/>
  <c r="AZ15" i="1"/>
  <c r="AY15" i="1"/>
  <c r="AX15" i="1"/>
  <c r="AW15" i="1"/>
  <c r="AV15" i="1"/>
  <c r="AU15" i="1"/>
  <c r="AT15" i="1"/>
  <c r="AS15" i="1"/>
  <c r="AR15" i="1"/>
  <c r="AQ15" i="1"/>
  <c r="AZ13" i="1"/>
  <c r="AY13" i="1"/>
  <c r="AX13" i="1"/>
  <c r="AW13" i="1"/>
  <c r="AV13" i="1"/>
  <c r="AU13" i="1"/>
  <c r="AT13" i="1"/>
  <c r="AS13" i="1"/>
  <c r="AR13" i="1"/>
  <c r="AQ13" i="1"/>
  <c r="BA10" i="1"/>
  <c r="BA99" i="1" l="1"/>
  <c r="BA97" i="1"/>
  <c r="BA98" i="1"/>
  <c r="BA132" i="1"/>
  <c r="BA131" i="1"/>
  <c r="BA130" i="1"/>
  <c r="AL341" i="1"/>
  <c r="AG341" i="1" s="1"/>
  <c r="AL344" i="1"/>
  <c r="AG344" i="1" s="1"/>
  <c r="BA63" i="1"/>
  <c r="BA61" i="1"/>
  <c r="BA62" i="1"/>
  <c r="BA60" i="1"/>
  <c r="BA59" i="1"/>
  <c r="BA58" i="1"/>
  <c r="BA54" i="1"/>
  <c r="BA53" i="1"/>
  <c r="BA52" i="1"/>
  <c r="BA96" i="1"/>
  <c r="BA95" i="1"/>
  <c r="BA94" i="1"/>
  <c r="AX34" i="1"/>
  <c r="AZ34" i="1"/>
  <c r="AX40" i="1"/>
  <c r="AS34" i="1"/>
  <c r="AR40" i="1"/>
  <c r="AZ40" i="1"/>
  <c r="AT34" i="1"/>
  <c r="AU34" i="1"/>
  <c r="AS40" i="1"/>
  <c r="AT40" i="1"/>
  <c r="AY40" i="1"/>
  <c r="AQ34" i="1"/>
  <c r="AR34" i="1"/>
  <c r="AV34" i="1"/>
  <c r="AW40" i="1"/>
  <c r="AQ40" i="1"/>
  <c r="AU40" i="1"/>
  <c r="BA48" i="1"/>
  <c r="BA47" i="1"/>
  <c r="BA46" i="1"/>
  <c r="BA93" i="1"/>
  <c r="BA91" i="1"/>
  <c r="BA92" i="1"/>
  <c r="BA69" i="1"/>
  <c r="BA67" i="1"/>
  <c r="BA68" i="1"/>
  <c r="BA141" i="1"/>
  <c r="BA139" i="1"/>
  <c r="BA140" i="1"/>
  <c r="AZ106" i="1"/>
  <c r="AQ106" i="1"/>
  <c r="AY121" i="1"/>
  <c r="AX106" i="1"/>
  <c r="AW106" i="1"/>
  <c r="AV106" i="1"/>
  <c r="AR106" i="1"/>
  <c r="AU106" i="1"/>
  <c r="AS106" i="1"/>
  <c r="AT106" i="1"/>
  <c r="AY103" i="1"/>
  <c r="AX103" i="1"/>
  <c r="AZ241" i="1"/>
  <c r="AR241" i="1"/>
  <c r="AS241" i="1"/>
  <c r="AU241" i="1"/>
  <c r="AV241" i="1"/>
  <c r="AW241" i="1"/>
  <c r="AQ241" i="1"/>
  <c r="AT241" i="1"/>
  <c r="AX241" i="1"/>
  <c r="AY241" i="1"/>
  <c r="AS142" i="1"/>
  <c r="AX100" i="1"/>
  <c r="AU70" i="1"/>
  <c r="AS38" i="1"/>
  <c r="AR38" i="1"/>
  <c r="AQ38" i="1"/>
  <c r="AV38" i="1"/>
  <c r="AU38" i="1"/>
  <c r="AZ38" i="1"/>
  <c r="AY38" i="1"/>
  <c r="AX38" i="1"/>
  <c r="AW38" i="1"/>
  <c r="AT38" i="1"/>
  <c r="AZ20" i="1"/>
  <c r="AY20" i="1"/>
  <c r="AX20" i="1"/>
  <c r="AW20" i="1"/>
  <c r="AV20" i="1"/>
  <c r="AT20" i="1"/>
  <c r="AS20" i="1"/>
  <c r="AR20" i="1"/>
  <c r="AQ20" i="1"/>
  <c r="AU20" i="1"/>
  <c r="BA143" i="1"/>
  <c r="BA45" i="1"/>
  <c r="BA25" i="1"/>
  <c r="BA117" i="1"/>
  <c r="BA114" i="1"/>
  <c r="BA111" i="1"/>
  <c r="BA35" i="1"/>
  <c r="BA50" i="1"/>
  <c r="BA44" i="1"/>
  <c r="BA39" i="1"/>
  <c r="BA29" i="1"/>
  <c r="BA36" i="1"/>
  <c r="BA41" i="1"/>
  <c r="BA136" i="1"/>
  <c r="BA146" i="1"/>
  <c r="BA38" i="1"/>
  <c r="BA19" i="1"/>
  <c r="BA108" i="1"/>
  <c r="BA129" i="1"/>
  <c r="BA27" i="1"/>
  <c r="BA72" i="1"/>
  <c r="BA102" i="1"/>
  <c r="BA105" i="1"/>
  <c r="BA31" i="1"/>
  <c r="BA21" i="1"/>
  <c r="BA66" i="1"/>
  <c r="BA26" i="1"/>
  <c r="BA24" i="1"/>
  <c r="BA57" i="1"/>
  <c r="BA71" i="1"/>
  <c r="BA101" i="1"/>
  <c r="BA104" i="1"/>
  <c r="BA51" i="1"/>
  <c r="BA42" i="1"/>
  <c r="BA65" i="1"/>
  <c r="BA243" i="1"/>
  <c r="BA16" i="1"/>
  <c r="BA20" i="1"/>
  <c r="BA56" i="1"/>
  <c r="BA137" i="1"/>
  <c r="BA149" i="1"/>
  <c r="BA33" i="1"/>
  <c r="BA107" i="1"/>
  <c r="BA120" i="1"/>
  <c r="BA242" i="1"/>
  <c r="BA145" i="1"/>
  <c r="BA18" i="1"/>
  <c r="BA28" i="1"/>
  <c r="BA40" i="1"/>
  <c r="BA55" i="1"/>
  <c r="BA64" i="1"/>
  <c r="BA110" i="1"/>
  <c r="BA123" i="1"/>
  <c r="BA13" i="1"/>
  <c r="BA23" i="1"/>
  <c r="BA113" i="1"/>
  <c r="BA126" i="1"/>
  <c r="BA49" i="1"/>
  <c r="BA128" i="1"/>
  <c r="BA34" i="1"/>
  <c r="BA103" i="1"/>
  <c r="BA116" i="1"/>
  <c r="BA106" i="1"/>
  <c r="BA119" i="1"/>
  <c r="BA241" i="1"/>
  <c r="BA32" i="1"/>
  <c r="BA122" i="1"/>
  <c r="BA138" i="1"/>
  <c r="BA125" i="1"/>
  <c r="BA144" i="1"/>
  <c r="BA150" i="1"/>
  <c r="BA30" i="1"/>
  <c r="BA22" i="1"/>
  <c r="BA147" i="1"/>
  <c r="BA15" i="1"/>
  <c r="BA127" i="1"/>
  <c r="AI344" i="1" l="1"/>
  <c r="AF344" i="1"/>
  <c r="AE344" i="1" s="1"/>
  <c r="AF341" i="1"/>
  <c r="AE341" i="1" s="1"/>
  <c r="AI341" i="1"/>
  <c r="AS103" i="1"/>
  <c r="AZ103" i="1"/>
  <c r="AU103" i="1"/>
  <c r="AT103" i="1"/>
  <c r="AW103" i="1"/>
  <c r="AV103" i="1"/>
  <c r="AR103" i="1"/>
  <c r="AQ103" i="1"/>
  <c r="BA124" i="1"/>
  <c r="AR124" i="1"/>
  <c r="AT124" i="1"/>
  <c r="AW124" i="1"/>
  <c r="AX124" i="1"/>
  <c r="AY124" i="1"/>
  <c r="AS124" i="1"/>
  <c r="AV124" i="1"/>
  <c r="AS115" i="1"/>
  <c r="AT100" i="1"/>
  <c r="AQ70" i="1"/>
  <c r="AY70" i="1"/>
  <c r="AW121" i="1"/>
  <c r="AS121" i="1"/>
  <c r="AU121" i="1"/>
  <c r="AT121" i="1"/>
  <c r="BA100" i="1"/>
  <c r="AU142" i="1"/>
  <c r="AQ124" i="1"/>
  <c r="AW100" i="1"/>
  <c r="AQ115" i="1"/>
  <c r="AZ100" i="1"/>
  <c r="AR115" i="1"/>
  <c r="BA121" i="1"/>
  <c r="AZ121" i="1"/>
  <c r="AQ121" i="1"/>
  <c r="AZ124" i="1"/>
  <c r="AX121" i="1"/>
  <c r="AY115" i="1"/>
  <c r="AV121" i="1"/>
  <c r="AZ115" i="1"/>
  <c r="AZ142" i="1"/>
  <c r="AT142" i="1"/>
  <c r="AY100" i="1"/>
  <c r="AY118" i="1"/>
  <c r="AY142" i="1"/>
  <c r="AV109" i="1"/>
  <c r="AX142" i="1"/>
  <c r="BA142" i="1"/>
  <c r="AW142" i="1"/>
  <c r="AU115" i="1"/>
  <c r="AV115" i="1"/>
  <c r="BA115" i="1"/>
  <c r="AX70" i="1"/>
  <c r="AW115" i="1"/>
  <c r="BA70" i="1"/>
  <c r="AV70" i="1"/>
  <c r="AR142" i="1"/>
  <c r="AU124" i="1"/>
  <c r="AT115" i="1"/>
  <c r="AV142" i="1"/>
  <c r="AQ142" i="1"/>
  <c r="AR121" i="1"/>
  <c r="AX115" i="1"/>
  <c r="AQ100" i="1"/>
  <c r="AR100" i="1"/>
  <c r="AS100" i="1"/>
  <c r="AU100" i="1"/>
  <c r="AV100" i="1"/>
  <c r="AW70" i="1"/>
  <c r="AT70" i="1"/>
  <c r="AR70" i="1"/>
  <c r="AS70" i="1"/>
  <c r="AZ70" i="1"/>
  <c r="AT109" i="1" l="1"/>
  <c r="AW109" i="1"/>
  <c r="AR109" i="1"/>
  <c r="AV118" i="1"/>
  <c r="AY109" i="1"/>
  <c r="AU109" i="1"/>
  <c r="AS109" i="1"/>
  <c r="AZ109" i="1"/>
  <c r="AQ118" i="1"/>
  <c r="AT118" i="1"/>
  <c r="AZ118" i="1"/>
  <c r="AY112" i="1"/>
  <c r="AX109" i="1"/>
  <c r="AQ109" i="1"/>
  <c r="BA109" i="1"/>
  <c r="AS118" i="1"/>
  <c r="AR118" i="1"/>
  <c r="AX118" i="1"/>
  <c r="AW118" i="1"/>
  <c r="BA118" i="1"/>
  <c r="AU118" i="1"/>
  <c r="AZ148" i="1"/>
  <c r="BA37" i="1"/>
  <c r="BA112" i="1" l="1"/>
  <c r="AQ112" i="1"/>
  <c r="AR112" i="1"/>
  <c r="AR148" i="1"/>
  <c r="AS148" i="1"/>
  <c r="AQ148" i="1"/>
  <c r="AT112" i="1"/>
  <c r="BA148" i="1"/>
  <c r="AX148" i="1"/>
  <c r="AY148" i="1"/>
  <c r="AV112" i="1"/>
  <c r="AW112" i="1"/>
  <c r="AS112" i="1"/>
  <c r="AU112" i="1"/>
  <c r="AZ112" i="1"/>
  <c r="AX112" i="1"/>
  <c r="AW148" i="1"/>
  <c r="AV148" i="1"/>
  <c r="AU148" i="1"/>
  <c r="AT148" i="1"/>
  <c r="AU37" i="1"/>
  <c r="AV37" i="1"/>
  <c r="AT37" i="1"/>
  <c r="AZ37" i="1"/>
  <c r="AR37" i="1"/>
  <c r="AS37" i="1"/>
  <c r="AQ37" i="1"/>
  <c r="AW37" i="1"/>
  <c r="AY37" i="1"/>
  <c r="AX37" i="1"/>
  <c r="AQ43" i="1" l="1"/>
  <c r="AW43" i="1"/>
  <c r="BA43" i="1"/>
  <c r="AV43" i="1" l="1"/>
  <c r="AX43" i="1"/>
  <c r="AR43" i="1"/>
  <c r="AY43" i="1"/>
  <c r="AT43" i="1"/>
  <c r="AZ43" i="1"/>
  <c r="AS43" i="1"/>
  <c r="AU43" i="1"/>
  <c r="AY14" i="1" l="1"/>
  <c r="AX14" i="1"/>
  <c r="AU14" i="1"/>
  <c r="AS14" i="1"/>
  <c r="AW14" i="1"/>
  <c r="AR14" i="1"/>
  <c r="AZ14" i="1"/>
  <c r="BA14" i="1"/>
  <c r="AV14" i="1"/>
  <c r="AT14" i="1"/>
  <c r="AQ14" i="1"/>
  <c r="BA17" i="1"/>
  <c r="AU17" i="1"/>
  <c r="AZ17" i="1"/>
  <c r="AV17" i="1"/>
  <c r="AX17" i="1"/>
  <c r="AQ17" i="1"/>
  <c r="AR17" i="1"/>
  <c r="AW17" i="1"/>
  <c r="AY17" i="1"/>
  <c r="AS17" i="1"/>
  <c r="AT17" i="1"/>
  <c r="AF338" i="1"/>
  <c r="AE338" i="1" s="1"/>
  <c r="AN337" i="1"/>
  <c r="AI338" i="1"/>
  <c r="AF356" i="1"/>
  <c r="AE356" i="1" s="1"/>
  <c r="AI356" i="1"/>
  <c r="AF134" i="1"/>
  <c r="AL134" i="1"/>
  <c r="AN133" i="1" s="1"/>
  <c r="AC32" i="1" l="1"/>
  <c r="AD32" i="1" s="1"/>
  <c r="Y53" i="1" l="1"/>
  <c r="Z53" i="1" s="1"/>
  <c r="AA53" i="1" s="1"/>
  <c r="AB53" i="1" s="1"/>
  <c r="AC53" i="1" s="1"/>
  <c r="AD53" i="1" s="1"/>
  <c r="AL53" i="1"/>
  <c r="AN52" i="1" l="1"/>
  <c r="AG53" i="1"/>
  <c r="AF53" i="1" s="1"/>
  <c r="AE53" i="1" s="1"/>
  <c r="Y20" i="1"/>
  <c r="Z20" i="1" s="1"/>
  <c r="AA20" i="1" s="1"/>
  <c r="W98" i="1"/>
  <c r="AB20" i="1" l="1"/>
  <c r="AC20" i="1" s="1"/>
  <c r="AD20" i="1" s="1"/>
  <c r="AL98" i="1"/>
  <c r="X98" i="1"/>
  <c r="Y98" i="1" s="1"/>
  <c r="Z98" i="1" s="1"/>
  <c r="AA98" i="1" s="1"/>
  <c r="AB98" i="1" s="1"/>
  <c r="AC98" i="1" s="1"/>
  <c r="AD98" i="1" s="1"/>
  <c r="AN271" i="1" l="1"/>
  <c r="AG98" i="1"/>
  <c r="AF98" i="1" s="1"/>
  <c r="AE98" i="1" s="1"/>
  <c r="AN97" i="1"/>
  <c r="AN9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M16" authorId="0" shapeId="0" xr:uid="{DAC4432C-76B3-412C-BE3A-93607DDFF6A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19" authorId="0" shapeId="0" xr:uid="{3AFC5AC5-D0B2-4BFD-AF76-CE4FEAA671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22" authorId="0" shapeId="0" xr:uid="{A97F442C-0762-4975-9C65-DE6AD48416F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31" authorId="0" shapeId="0" xr:uid="{105E9A3E-ED6C-47B4-AEF3-229FC53324C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F79" authorId="0" shapeId="0" xr:uid="{AED5F24C-C04B-44EF-975D-8FE584E2A7F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ZWP-20:6
ZWP-21:10
ZWP-22:7
ZWP-23:9
</t>
        </r>
      </text>
    </comment>
    <comment ref="F80" authorId="0" shapeId="0" xr:uid="{53E7C89D-AA33-478F-A9FA-8A36378E508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ZWP-20:6
ZWP-21:10
ZWP-22:7
ZWP-23:9
</t>
        </r>
      </text>
    </comment>
    <comment ref="M100" authorId="0" shapeId="0" xr:uid="{0D3817BC-491A-4DD1-89AF-2B43CD9DCC4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如果只是型钢板材拼接类的支撑由珠海采购。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33" authorId="0" shapeId="0" xr:uid="{768BF221-24B8-40BB-BA94-13858C2E6FC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End Closure</t>
        </r>
      </text>
    </comment>
  </commentList>
</comments>
</file>

<file path=xl/sharedStrings.xml><?xml version="1.0" encoding="utf-8"?>
<sst xmlns="http://schemas.openxmlformats.org/spreadsheetml/2006/main" count="4545" uniqueCount="997">
  <si>
    <t>L2</t>
  </si>
  <si>
    <t>L3</t>
  </si>
  <si>
    <t>Contract no: 
MMC25-5001</t>
  </si>
  <si>
    <t>L4</t>
  </si>
  <si>
    <t>No.</t>
  </si>
  <si>
    <t>RFQ No.</t>
  </si>
  <si>
    <t>Package Name</t>
  </si>
  <si>
    <t>CODE</t>
  </si>
  <si>
    <t>DIS</t>
  </si>
  <si>
    <t>LLI
 (Y/N)</t>
  </si>
  <si>
    <t>Owner</t>
  </si>
  <si>
    <t>P/F/A</t>
  </si>
  <si>
    <t>Bidder list Approval</t>
  </si>
  <si>
    <t>MR Approved</t>
  </si>
  <si>
    <t>RFQ Issued</t>
  </si>
  <si>
    <t>RFQ Approved</t>
  </si>
  <si>
    <t>TBE Issued</t>
  </si>
  <si>
    <t>TBE Approved</t>
  </si>
  <si>
    <t>PO Issued</t>
  </si>
  <si>
    <t>Vendor Acknowledgement</t>
  </si>
  <si>
    <t>Delivery Duration (Weeks)</t>
  </si>
  <si>
    <t>days</t>
  </si>
  <si>
    <t>Delivery Date(1st Batch for ZWP21)</t>
  </si>
  <si>
    <t>ROS Date</t>
  </si>
  <si>
    <t>Remarks</t>
  </si>
  <si>
    <t>Matrix</t>
  </si>
  <si>
    <t>PTTEP</t>
  </si>
  <si>
    <t>ENG</t>
  </si>
  <si>
    <t>TJE PRC</t>
  </si>
  <si>
    <t>BIDDER</t>
  </si>
  <si>
    <t>RFQ-MA-001</t>
  </si>
  <si>
    <t>4-2</t>
  </si>
  <si>
    <t>MA</t>
  </si>
  <si>
    <t>Y</t>
  </si>
  <si>
    <t>SH</t>
  </si>
  <si>
    <t>P</t>
  </si>
  <si>
    <t>F</t>
  </si>
  <si>
    <t>A</t>
  </si>
  <si>
    <t>4-6</t>
  </si>
  <si>
    <t>RFQ-MA-003</t>
  </si>
  <si>
    <t>Closed Drain Sump Vessel</t>
  </si>
  <si>
    <t>4-10</t>
  </si>
  <si>
    <t>RFQ-MA-004</t>
  </si>
  <si>
    <t>Closed Drain Sump Pump skids</t>
  </si>
  <si>
    <t>4-18</t>
  </si>
  <si>
    <t>Chemical injection pump skid</t>
  </si>
  <si>
    <t>4-4</t>
  </si>
  <si>
    <t>RFQ-MA-005</t>
  </si>
  <si>
    <t>4-8</t>
  </si>
  <si>
    <t>RFQ-MA-006</t>
  </si>
  <si>
    <t>Instrument Gas Filter Coalescer</t>
  </si>
  <si>
    <t>4-11</t>
  </si>
  <si>
    <t>Chemical storage tank</t>
  </si>
  <si>
    <t>4-39</t>
  </si>
  <si>
    <t>Material Handling Equipment</t>
  </si>
  <si>
    <t>4-7</t>
  </si>
  <si>
    <t>N</t>
  </si>
  <si>
    <t>RFQ-SA-001</t>
  </si>
  <si>
    <t>4-38</t>
  </si>
  <si>
    <t>SA</t>
  </si>
  <si>
    <t>RFQ-SA-002</t>
  </si>
  <si>
    <t>RFQ-PIP-001</t>
  </si>
  <si>
    <t>4-19</t>
  </si>
  <si>
    <t>PI</t>
  </si>
  <si>
    <t>RFQ-PIP-002</t>
  </si>
  <si>
    <t>4-21</t>
  </si>
  <si>
    <t>RFQ-PIP-003</t>
  </si>
  <si>
    <t>4-22</t>
  </si>
  <si>
    <t>RFQ-PIP-004</t>
  </si>
  <si>
    <t>4-41</t>
  </si>
  <si>
    <t>RFQ-PIP-006</t>
  </si>
  <si>
    <t>5-5</t>
  </si>
  <si>
    <t>RFQ-PIP-007</t>
  </si>
  <si>
    <t>SPECIAL PIPE SUPPORT</t>
  </si>
  <si>
    <t>ZH</t>
  </si>
  <si>
    <t>RFQ-PIP-008</t>
  </si>
  <si>
    <t>CS Fitting</t>
  </si>
  <si>
    <t>RFQ-PIP-009</t>
  </si>
  <si>
    <t>SS &amp; DSS Fitting</t>
  </si>
  <si>
    <t>RFQ-PIP-010</t>
  </si>
  <si>
    <t>CS Flange</t>
  </si>
  <si>
    <t>RFQ-PIP-011</t>
  </si>
  <si>
    <t>SS &amp; DSS Flange</t>
  </si>
  <si>
    <t>RFQ-PIP-012</t>
  </si>
  <si>
    <t>RFQ-PIP-013</t>
  </si>
  <si>
    <t>RFQ-PIP-014</t>
  </si>
  <si>
    <t>DSS Pipes</t>
  </si>
  <si>
    <t>RFQ-PIP-015</t>
  </si>
  <si>
    <t>RFQ-PIP-016</t>
  </si>
  <si>
    <t>Bolts &amp; Nuts</t>
  </si>
  <si>
    <t>RFQ-PIP-017</t>
  </si>
  <si>
    <t>Gasket</t>
  </si>
  <si>
    <t>RFQ-EL-001</t>
  </si>
  <si>
    <t>4-25</t>
  </si>
  <si>
    <t>EL</t>
  </si>
  <si>
    <t>RFQ-EL-002</t>
  </si>
  <si>
    <t>AC Distribution Boards</t>
  </si>
  <si>
    <t>4-24</t>
  </si>
  <si>
    <t>RFQ-EL-003</t>
  </si>
  <si>
    <t>4-26</t>
  </si>
  <si>
    <t>RFQ-EL-004</t>
  </si>
  <si>
    <t>EL Cable</t>
  </si>
  <si>
    <t>5-7</t>
  </si>
  <si>
    <t>RFQ-EL-005</t>
  </si>
  <si>
    <t>RFQ-EL-006</t>
  </si>
  <si>
    <t>RFQ-EL-007</t>
  </si>
  <si>
    <t>RFQ-EL-008</t>
  </si>
  <si>
    <t>RFQ-EL-009</t>
  </si>
  <si>
    <t>RFQ-IN-001</t>
  </si>
  <si>
    <t>Wellhead Control Panel</t>
  </si>
  <si>
    <t>4-28</t>
  </si>
  <si>
    <t>IN</t>
  </si>
  <si>
    <t>4-40</t>
  </si>
  <si>
    <t>RFQ-IN-003</t>
  </si>
  <si>
    <t>Control valve</t>
  </si>
  <si>
    <t>4-5</t>
  </si>
  <si>
    <t>RFQ-IN-004</t>
  </si>
  <si>
    <t>RFQ-IN-005</t>
  </si>
  <si>
    <t>4-20</t>
  </si>
  <si>
    <t>RFQ-IN-006</t>
  </si>
  <si>
    <t>4-30</t>
  </si>
  <si>
    <t>Coriolis Flow Meters</t>
  </si>
  <si>
    <t>4-32</t>
  </si>
  <si>
    <t>Vortex Flow Meters</t>
  </si>
  <si>
    <t>RFQ-IN-010</t>
  </si>
  <si>
    <t xml:space="preserve"> Pressure Transmitters (Wireless Type)</t>
  </si>
  <si>
    <t>4-35</t>
  </si>
  <si>
    <t>RFQ-IN-011</t>
  </si>
  <si>
    <t xml:space="preserve"> Restriction Orifices</t>
  </si>
  <si>
    <t>4-42</t>
  </si>
  <si>
    <t>RFQ-IN-012</t>
  </si>
  <si>
    <t>Pressure Gauges</t>
  </si>
  <si>
    <t>RFQ-IN-013</t>
  </si>
  <si>
    <t>Pressure Transmitters</t>
  </si>
  <si>
    <t>RFQ-IN-014</t>
  </si>
  <si>
    <t>Temperature Gauges and Thermowells</t>
  </si>
  <si>
    <t>RFQ-IN-015</t>
  </si>
  <si>
    <t>RFQ-IN-016</t>
  </si>
  <si>
    <t>RFQ-IN-017</t>
  </si>
  <si>
    <t>DP Level Transmitters</t>
  </si>
  <si>
    <t>RFQ-IN-018</t>
  </si>
  <si>
    <t xml:space="preserve"> Fire &amp; Gas Detectors</t>
  </si>
  <si>
    <t>RFQ-IN-019</t>
  </si>
  <si>
    <t>4-27</t>
  </si>
  <si>
    <t>RFQ-IN-020</t>
  </si>
  <si>
    <t>Position Limit Switch</t>
  </si>
  <si>
    <t>4-36</t>
  </si>
  <si>
    <t>4-34</t>
  </si>
  <si>
    <t>RFQ-IN-022</t>
  </si>
  <si>
    <t>RFQ-IN-023</t>
  </si>
  <si>
    <t>IN Cable</t>
  </si>
  <si>
    <t>5-8</t>
  </si>
  <si>
    <t>RFQ-IN-024</t>
  </si>
  <si>
    <t>IN Cable Tray</t>
  </si>
  <si>
    <t>RFQ-IN-025</t>
  </si>
  <si>
    <t>IN Junction Box</t>
  </si>
  <si>
    <t>RFQ-IN-026</t>
  </si>
  <si>
    <t>IN Cable Gland</t>
  </si>
  <si>
    <t>RFQ-IN-027</t>
  </si>
  <si>
    <t>RFQ-IN-028</t>
  </si>
  <si>
    <t>TEL</t>
  </si>
  <si>
    <t>RFQ-STR-001</t>
  </si>
  <si>
    <t>Topside Primary Steel- Plate</t>
  </si>
  <si>
    <t>5-1</t>
  </si>
  <si>
    <t>STR</t>
  </si>
  <si>
    <t>RFQ-STR-002</t>
  </si>
  <si>
    <t xml:space="preserve">Topside Primary Steel-Beam </t>
  </si>
  <si>
    <t>RFQ-STR-003</t>
  </si>
  <si>
    <t>Topside Primary Steel- Seamless</t>
  </si>
  <si>
    <t>RFQ-STR-004</t>
  </si>
  <si>
    <t>5-4</t>
  </si>
  <si>
    <t>RFQ-STR-005</t>
  </si>
  <si>
    <t>RFQ-STR-007</t>
  </si>
  <si>
    <t>RFQ-STR-008</t>
  </si>
  <si>
    <t>JKT Anode</t>
  </si>
  <si>
    <t>RFQ-STR-009</t>
  </si>
  <si>
    <t>Coating</t>
  </si>
  <si>
    <t>RFQ-STR-010</t>
  </si>
  <si>
    <t>RFQ-STR-011</t>
  </si>
  <si>
    <t>RFQ-STR-012</t>
  </si>
  <si>
    <t>KOM</t>
  </si>
  <si>
    <t>VDB Submission</t>
  </si>
  <si>
    <t>Approval of Key VP</t>
  </si>
  <si>
    <t>Main Material Arrived</t>
  </si>
  <si>
    <t>Start Production</t>
  </si>
  <si>
    <t>FAT</t>
  </si>
  <si>
    <t>Ready for Shipment</t>
  </si>
  <si>
    <t>Punch List Clearance(all punch clearance before Tag Equipment Ready for Shipping )</t>
  </si>
  <si>
    <t>Approval of Final Documentation  (To be confirmed later)</t>
  </si>
  <si>
    <t>Vendor</t>
  </si>
  <si>
    <t>TJE QA/QC</t>
  </si>
  <si>
    <t>THE Worksite</t>
  </si>
  <si>
    <t xml:space="preserve">Float </t>
    <phoneticPr fontId="20" type="noConversion"/>
  </si>
  <si>
    <t>Y</t>
    <phoneticPr fontId="20" type="noConversion"/>
  </si>
  <si>
    <t>RFQ-STR-009</t>
    <phoneticPr fontId="20" type="noConversion"/>
  </si>
  <si>
    <t>Instrument Gas Filter Coalescer</t>
    <phoneticPr fontId="20" type="noConversion"/>
  </si>
  <si>
    <t xml:space="preserve">PROVISION OF ENGINEERING, PROCUREMENT, CONSTRUCTION AND COMMISSIONING FOR WELLHEAD PLATFORMS, ASSOCIATED PIPLINES AND BROWNFIELD MODIFICATIONS FOR ZAWTIKA DEVELOPMENT PROJECT PHASE 1F </t>
    <phoneticPr fontId="20" type="noConversion"/>
  </si>
  <si>
    <t>CR</t>
    <phoneticPr fontId="20" type="noConversion"/>
  </si>
  <si>
    <t>RFQ-MA-001</t>
    <phoneticPr fontId="20" type="noConversion"/>
  </si>
  <si>
    <t>Closed Drain Sump Vessel</t>
    <phoneticPr fontId="20" type="noConversion"/>
  </si>
  <si>
    <t>Actuated Compact Ball Valve</t>
    <phoneticPr fontId="20" type="noConversion"/>
  </si>
  <si>
    <t>Chemical storage tank</t>
    <phoneticPr fontId="20" type="noConversion"/>
  </si>
  <si>
    <t>L3</t>
    <phoneticPr fontId="20" type="noConversion"/>
  </si>
  <si>
    <t>L4</t>
    <phoneticPr fontId="20" type="noConversion"/>
  </si>
  <si>
    <t xml:space="preserve">Topside Tertiary Steel </t>
    <phoneticPr fontId="20" type="noConversion"/>
  </si>
  <si>
    <t>L2</t>
    <phoneticPr fontId="20" type="noConversion"/>
  </si>
  <si>
    <t>Chemical injection pump skid</t>
    <phoneticPr fontId="20" type="noConversion"/>
  </si>
  <si>
    <t>Offshore Pedestal Crane</t>
  </si>
  <si>
    <t>Offshore Pedestal Crane</t>
    <phoneticPr fontId="20" type="noConversion"/>
  </si>
  <si>
    <t>PO description</t>
    <phoneticPr fontId="20" type="noConversion"/>
  </si>
  <si>
    <t>Flooding System</t>
  </si>
  <si>
    <t>Flooding System</t>
    <phoneticPr fontId="20" type="noConversion"/>
  </si>
  <si>
    <t>Grouting System</t>
  </si>
  <si>
    <t>Grouting System</t>
    <phoneticPr fontId="20" type="noConversion"/>
  </si>
  <si>
    <t>Timber for Launch cradle</t>
  </si>
  <si>
    <t>Timber for Launch cradle</t>
    <phoneticPr fontId="20" type="noConversion"/>
  </si>
  <si>
    <t>Teflon plate for Launch cradle</t>
  </si>
  <si>
    <t>Teflon plate for Launch cradle</t>
    <phoneticPr fontId="20" type="noConversion"/>
  </si>
  <si>
    <t>Gripper, Packer and Diaphragm</t>
  </si>
  <si>
    <t>Gripper, Packer and Diaphragm</t>
    <phoneticPr fontId="20" type="noConversion"/>
  </si>
  <si>
    <t>RFQ-STR-013</t>
  </si>
  <si>
    <t>RFQ-STR-014</t>
  </si>
  <si>
    <t>RFQ-STR-015</t>
  </si>
  <si>
    <t>MM-ZTK-1F-GEN-MEC-MR-0001</t>
    <phoneticPr fontId="20" type="noConversion"/>
  </si>
  <si>
    <t>MM-ZTK-1F-GEN-MEC-MR-0002</t>
  </si>
  <si>
    <t>MM-ZTK-1F-GEN-MEC-MR-0002</t>
    <phoneticPr fontId="20" type="noConversion"/>
  </si>
  <si>
    <t>MM-ZTK-1F-GEN-MEC-MR-0003</t>
  </si>
  <si>
    <t>MM-ZTK-1F-GEN-MEC-MR-0003</t>
    <phoneticPr fontId="20" type="noConversion"/>
  </si>
  <si>
    <t>MM-ZTK-1F-GEN-MEC-MR-0004</t>
    <phoneticPr fontId="20" type="noConversion"/>
  </si>
  <si>
    <t>MM-ZTK-1F-GEN-MEC-MR-0005</t>
    <phoneticPr fontId="20" type="noConversion"/>
  </si>
  <si>
    <t>MM-ZTK-1F-GEN-MEC-MR-0006</t>
    <phoneticPr fontId="20" type="noConversion"/>
  </si>
  <si>
    <t>MM-ZTK-1F-GEN-SAF-MR-0001</t>
    <phoneticPr fontId="20" type="noConversion"/>
  </si>
  <si>
    <t>Fire Fighting, Safety Equipment (Including Lifesaving)</t>
    <phoneticPr fontId="20" type="noConversion"/>
  </si>
  <si>
    <t>Safety Signs</t>
  </si>
  <si>
    <t>MM-ZTK-1F-GEN-SAF-MR-0002</t>
  </si>
  <si>
    <t>Solar Power System</t>
    <phoneticPr fontId="20" type="noConversion"/>
  </si>
  <si>
    <t>MM-ZTK-1F-GEN-ELE-MR-0001</t>
    <phoneticPr fontId="20" type="noConversion"/>
  </si>
  <si>
    <t>DC Distribution Boards</t>
    <phoneticPr fontId="20" type="noConversion"/>
  </si>
  <si>
    <t>MM-ZTK-1F-GEN-ELE-MR-0002</t>
  </si>
  <si>
    <t>MM-ZTK-1F-GEN-ELE-MR-0003</t>
  </si>
  <si>
    <t>Navigation Aid, Red Lantern, Flashing Beacon, Warning Siren and Fog Horn</t>
  </si>
  <si>
    <t>Navigation Aid, Red Lantern, Flashing Beacon, Warning Siren and Fog Horn</t>
    <phoneticPr fontId="20" type="noConversion"/>
  </si>
  <si>
    <t>MM-ZTK-1F-GEN-ELE-MR-0004</t>
  </si>
  <si>
    <t>MM-ZTK-1F-GEN-ELE-MR-0005</t>
    <phoneticPr fontId="20" type="noConversion"/>
  </si>
  <si>
    <t>MM-ZTK-1F-GEN-ELE-MR-0006</t>
  </si>
  <si>
    <t>Electrical Lighting Fixtures</t>
  </si>
  <si>
    <t>Electrical Lighting Fixtures</t>
    <phoneticPr fontId="20" type="noConversion"/>
  </si>
  <si>
    <t>MM-ZTK-1F-GEN-ELE-MR-0007</t>
  </si>
  <si>
    <t>MM-ZTK-1F-GEN-ELE-MR-0008</t>
  </si>
  <si>
    <t>Power Socket/Plug, Junction Boxes and Earh Bar</t>
    <phoneticPr fontId="20" type="noConversion"/>
  </si>
  <si>
    <t>MM-ZTK-1F-GEN-ELE-MR-0009</t>
  </si>
  <si>
    <t>RFQ-EL-010</t>
  </si>
  <si>
    <t>MM-ZTK-1F-GEN-INS-MR-0001</t>
    <phoneticPr fontId="20" type="noConversion"/>
  </si>
  <si>
    <t>MM-ZTK-1F-GEN-INS-MR-0002</t>
  </si>
  <si>
    <t>MM-ZTK-1F-GEN-INS-MR-0002</t>
    <phoneticPr fontId="20" type="noConversion"/>
  </si>
  <si>
    <t>RFQ-IN-002</t>
    <phoneticPr fontId="20" type="noConversion"/>
  </si>
  <si>
    <t>MM-ZTK-1F-GEN-INS-MR-0003</t>
  </si>
  <si>
    <t>MM-ZTK-1F-GEN-INS-MR-0004</t>
    <phoneticPr fontId="20" type="noConversion"/>
  </si>
  <si>
    <t>MM-ZTK-1F-GEN-INS-MR-0005</t>
  </si>
  <si>
    <t>MM-ZTK-1F-GEN-INS-MR-0006</t>
  </si>
  <si>
    <t>PLC system</t>
  </si>
  <si>
    <t>PLC system</t>
    <phoneticPr fontId="20" type="noConversion"/>
  </si>
  <si>
    <t>MM-ZTK-1F-GEN-INS-MR-0008</t>
  </si>
  <si>
    <t>MM-ZTK-1F-GEN-INS-MR-0009</t>
  </si>
  <si>
    <t>MM-ZTK-1F-GEN-INS-MR-0010</t>
  </si>
  <si>
    <t>Self-Actuated Pressure Control Valves</t>
    <phoneticPr fontId="20" type="noConversion"/>
  </si>
  <si>
    <t>MM-ZTK-1F-GEN-INS-MR-0011</t>
    <phoneticPr fontId="20" type="noConversion"/>
  </si>
  <si>
    <t>MM-ZTK-1F-GEN-INS-MR-0012</t>
    <phoneticPr fontId="20" type="noConversion"/>
  </si>
  <si>
    <t>MM-ZTK-1F-GEN-INS-MR-0013</t>
    <phoneticPr fontId="20" type="noConversion"/>
  </si>
  <si>
    <t>MM-ZTK-1F-GEN-INS-MR-0014</t>
    <phoneticPr fontId="20" type="noConversion"/>
  </si>
  <si>
    <t>MM-ZTK-1F-GEN-INS-MR-0015</t>
  </si>
  <si>
    <t>MM-ZTK-1F-GEN-INS-MR-0015</t>
    <phoneticPr fontId="20" type="noConversion"/>
  </si>
  <si>
    <t>MM-ZTK-1F-GEN-INS-MR-0016</t>
    <phoneticPr fontId="20" type="noConversion"/>
  </si>
  <si>
    <t>MM-ZTK-1F-GEN-INS-MR-0017</t>
    <phoneticPr fontId="20" type="noConversion"/>
  </si>
  <si>
    <t>Temperature Transmitters and Thermowells</t>
  </si>
  <si>
    <t>MM-ZTK-1F-GEN-INS-MR-0018</t>
  </si>
  <si>
    <t>Temperature Transmitters (Pipe Clamp) Wireless Type</t>
  </si>
  <si>
    <t>MM-ZTK-1F-GEN-INS-MR-0019</t>
  </si>
  <si>
    <t>MM-ZTK-1F-GEN-INS-MR-0020</t>
  </si>
  <si>
    <t>Pressure Gauges</t>
    <phoneticPr fontId="20" type="noConversion"/>
  </si>
  <si>
    <t>Pressure Gauges (Wireless Type)</t>
  </si>
  <si>
    <t>Pressure Gauges (Wireless Type)</t>
    <phoneticPr fontId="20" type="noConversion"/>
  </si>
  <si>
    <t>MM-ZTK-1F-GEN-INS-MR-0021</t>
  </si>
  <si>
    <t>Magnetic Level Gauges and Transmitters</t>
    <phoneticPr fontId="20" type="noConversion"/>
  </si>
  <si>
    <t>MM-ZTK-1F-GEN-INS-MR-0023</t>
  </si>
  <si>
    <t>MM-ZTK-1F-GEN-INS-MR-0024</t>
  </si>
  <si>
    <t>MM-ZTK-1F-GEN-INS-MR-0025</t>
  </si>
  <si>
    <t>Non-Intrusive Sand Monitoring System (Acoustic Type)</t>
  </si>
  <si>
    <t>MM-ZTK-1F-GEN-INS-MR-0026</t>
  </si>
  <si>
    <t>on-Intrusive Wireless Sand Monitoring System (Ultrasonic Type)</t>
  </si>
  <si>
    <t>MM-ZTK-1F-GEN-INS-MR-0033</t>
  </si>
  <si>
    <t>MM-ZTK-1F-GEN-INS-MR-0034</t>
  </si>
  <si>
    <t>MM-ZTK-1F-GEN-PIP-MR-0001</t>
  </si>
  <si>
    <t>MM-ZTK-1F-GEN-PIP-MR-0003</t>
  </si>
  <si>
    <t>MM-ZTK-1F-GEN-PIP-MR-0002</t>
  </si>
  <si>
    <t>MM-ZTK-1F-GEN-PIP-MR-0002</t>
    <phoneticPr fontId="20" type="noConversion"/>
  </si>
  <si>
    <t>RFQ-IN-029</t>
  </si>
  <si>
    <t>RFQ-IN-030</t>
  </si>
  <si>
    <t>MM-ZTK-1F-GEN-STR-MR-1021</t>
  </si>
  <si>
    <t>ButterflyValve</t>
  </si>
  <si>
    <t>ButterflyValve</t>
    <phoneticPr fontId="20" type="noConversion"/>
  </si>
  <si>
    <t>RFQ-PIP-019</t>
  </si>
  <si>
    <t>RFQ-MA-003</t>
    <phoneticPr fontId="20" type="noConversion"/>
  </si>
  <si>
    <t>RFQ-MA-004</t>
    <phoneticPr fontId="20" type="noConversion"/>
  </si>
  <si>
    <t>RFQ-MA-005</t>
    <phoneticPr fontId="20" type="noConversion"/>
  </si>
  <si>
    <t>Test Separator</t>
  </si>
  <si>
    <t>Test Separator</t>
    <phoneticPr fontId="20" type="noConversion"/>
  </si>
  <si>
    <t>Priority Level</t>
  </si>
  <si>
    <t>LA</t>
  </si>
  <si>
    <t>Most complexity RFQ</t>
  </si>
  <si>
    <t>LB</t>
  </si>
  <si>
    <t>High complexity RFQ</t>
  </si>
  <si>
    <t>LC</t>
  </si>
  <si>
    <t>Normal complexity  RFQ</t>
  </si>
  <si>
    <t>LD</t>
  </si>
  <si>
    <t>Low complexity  RFQ</t>
  </si>
  <si>
    <t>Date</t>
  </si>
  <si>
    <t>Holiday Name</t>
  </si>
  <si>
    <t>Father's Day</t>
  </si>
  <si>
    <t>Constitution Day</t>
  </si>
  <si>
    <t>New Year's Day</t>
  </si>
  <si>
    <t>The Buddha Day</t>
  </si>
  <si>
    <t>Kutkuri Dynasty Memorial Day</t>
  </si>
  <si>
    <t>Songkran Festival</t>
  </si>
  <si>
    <t>International Workers' Day</t>
  </si>
  <si>
    <t xml:space="preserve">The anniversary of the King's accession to the throne </t>
  </si>
  <si>
    <t>Mother's Day</t>
  </si>
  <si>
    <t>The anniversary of the death of the 9th King</t>
  </si>
  <si>
    <t>The anniversary of the death of the 5th King Father's Day</t>
  </si>
  <si>
    <t>佛历节日，日期为预测</t>
  </si>
  <si>
    <t>Vesak Festival</t>
  </si>
  <si>
    <t>The Birthday Anniversary of the Queen</t>
  </si>
  <si>
    <r>
      <rPr>
        <sz val="10"/>
        <color rgb="FF0F1115"/>
        <rFont val="宋体"/>
        <family val="3"/>
        <charset val="134"/>
      </rPr>
      <t>宪法纪念日</t>
    </r>
  </si>
  <si>
    <r>
      <rPr>
        <sz val="10"/>
        <color rgb="FF0F1115"/>
        <rFont val="宋体"/>
        <family val="3"/>
        <charset val="134"/>
      </rPr>
      <t>万佛节</t>
    </r>
  </si>
  <si>
    <r>
      <rPr>
        <sz val="10"/>
        <color rgb="FF0F1115"/>
        <rFont val="宋体"/>
        <family val="3"/>
        <charset val="134"/>
      </rPr>
      <t>却克里王朝纪念日</t>
    </r>
  </si>
  <si>
    <r>
      <rPr>
        <sz val="10"/>
        <color rgb="FF0F1115"/>
        <rFont val="宋体"/>
        <family val="3"/>
        <charset val="134"/>
      </rPr>
      <t>卫塞节</t>
    </r>
  </si>
  <si>
    <r>
      <rPr>
        <sz val="10"/>
        <color rgb="FF0F1115"/>
        <rFont val="宋体"/>
        <family val="3"/>
        <charset val="134"/>
      </rPr>
      <t>守夏节</t>
    </r>
  </si>
  <si>
    <t>Qingming Festival</t>
  </si>
  <si>
    <t>Dragon Boat Festival</t>
  </si>
  <si>
    <t>National Day</t>
  </si>
  <si>
    <t>Holiday</t>
  </si>
  <si>
    <t>Thai</t>
  </si>
  <si>
    <t>China</t>
  </si>
  <si>
    <t>LA</t>
    <phoneticPr fontId="20" type="noConversion"/>
  </si>
  <si>
    <t>LC</t>
    <phoneticPr fontId="20" type="noConversion"/>
  </si>
  <si>
    <t>LD</t>
    <phoneticPr fontId="20" type="noConversion"/>
  </si>
  <si>
    <t>LB</t>
    <phoneticPr fontId="20" type="noConversion"/>
  </si>
  <si>
    <t>Receipt at WORKSITE</t>
    <phoneticPr fontId="20" type="noConversion"/>
  </si>
  <si>
    <t>Middle Moon Festival</t>
    <phoneticPr fontId="20" type="noConversion"/>
  </si>
  <si>
    <t>Spring Festival</t>
  </si>
  <si>
    <t>Spring Festival</t>
    <phoneticPr fontId="20" type="noConversion"/>
  </si>
  <si>
    <t>F</t>
    <phoneticPr fontId="20" type="noConversion"/>
  </si>
  <si>
    <t>A</t>
    <phoneticPr fontId="20" type="noConversion"/>
  </si>
  <si>
    <t>RFQ-IN-004</t>
    <phoneticPr fontId="20" type="noConversion"/>
  </si>
  <si>
    <t>PIM</t>
    <phoneticPr fontId="20" type="noConversion"/>
  </si>
  <si>
    <t>RFQ-TEL-001</t>
    <phoneticPr fontId="20" type="noConversion"/>
  </si>
  <si>
    <t>RFQ-TEL--001</t>
    <phoneticPr fontId="20" type="noConversion"/>
  </si>
  <si>
    <t>4-37</t>
    <phoneticPr fontId="20" type="noConversion"/>
  </si>
  <si>
    <t>Wellhead Control Panel</t>
    <phoneticPr fontId="20" type="noConversion"/>
  </si>
  <si>
    <t>CR7001</t>
  </si>
  <si>
    <t>Tag No.</t>
    <phoneticPr fontId="20" type="noConversion"/>
  </si>
  <si>
    <t>V-5001</t>
  </si>
  <si>
    <t>V-1001</t>
  </si>
  <si>
    <t>V-3001</t>
  </si>
  <si>
    <t>RFQ-IN-007</t>
    <phoneticPr fontId="20" type="noConversion"/>
  </si>
  <si>
    <t>RFQ-PIP-021</t>
    <phoneticPr fontId="20" type="noConversion"/>
  </si>
  <si>
    <t>RFQ-PIP-020</t>
    <phoneticPr fontId="20" type="noConversion"/>
  </si>
  <si>
    <t>SH</t>
    <phoneticPr fontId="20" type="noConversion"/>
  </si>
  <si>
    <t>RFQ-STR-002</t>
    <phoneticPr fontId="20" type="noConversion"/>
  </si>
  <si>
    <t>RFQ-STR-003</t>
    <phoneticPr fontId="20" type="noConversion"/>
  </si>
  <si>
    <t>No need</t>
    <phoneticPr fontId="20" type="noConversion"/>
  </si>
  <si>
    <t>Telecom materials(SCADA radio, Trunk Radio, Explosion Proof Telephone,Marine Racon,VHF FM Marine Radio System)</t>
  </si>
  <si>
    <t>Telecom materials(SCADA radio, Trunk Radio, Explosion Proof Telephone,Marine Racon,VHF FM Marine Radio System)</t>
    <phoneticPr fontId="20" type="noConversion"/>
  </si>
  <si>
    <t>Actuated Choke Valve</t>
    <phoneticPr fontId="20" type="noConversion"/>
  </si>
  <si>
    <t>Actuated ball valve</t>
    <phoneticPr fontId="20" type="noConversion"/>
  </si>
  <si>
    <t>Temperature Gauges and Thermowells</t>
    <phoneticPr fontId="20" type="noConversion"/>
  </si>
  <si>
    <t>Safety Signs</t>
    <phoneticPr fontId="20" type="noConversion"/>
  </si>
  <si>
    <t>Procurement Plan</t>
    <phoneticPr fontId="20" type="noConversion"/>
  </si>
  <si>
    <t>MM-ZTK-1F-GEN-TEL-MR-0001~0005</t>
  </si>
  <si>
    <t>MM-ZTK-1F-GEN-TEL-MR-0001~0005</t>
    <phoneticPr fontId="20" type="noConversion"/>
  </si>
  <si>
    <t>Seamless SS pipes</t>
    <phoneticPr fontId="20" type="noConversion"/>
  </si>
  <si>
    <t>Special items-Strainers</t>
  </si>
  <si>
    <t>Special items-Strainers</t>
    <phoneticPr fontId="20" type="noConversion"/>
  </si>
  <si>
    <t>Special items-Hoses and Connections</t>
    <phoneticPr fontId="20" type="noConversion"/>
  </si>
  <si>
    <t>Special items-Portable Valve Actuator</t>
  </si>
  <si>
    <t>Special items-Portable Valve Actuator</t>
    <phoneticPr fontId="20" type="noConversion"/>
  </si>
  <si>
    <t>ZH</t>
    <phoneticPr fontId="20" type="noConversion"/>
  </si>
  <si>
    <t>RFQ-PIP-022</t>
  </si>
  <si>
    <t>RFQ-PIP-023</t>
  </si>
  <si>
    <t>RFQ-PIP-024</t>
    <phoneticPr fontId="20" type="noConversion"/>
  </si>
  <si>
    <t>RFQ-EL-001</t>
    <phoneticPr fontId="20" type="noConversion"/>
  </si>
  <si>
    <t>Responder</t>
    <phoneticPr fontId="20" type="noConversion"/>
  </si>
  <si>
    <t>Liu Lei</t>
    <phoneticPr fontId="20" type="noConversion"/>
  </si>
  <si>
    <t>Closed Drain Sump Pump skids</t>
    <phoneticPr fontId="20" type="noConversion"/>
  </si>
  <si>
    <t>N</t>
    <phoneticPr fontId="20" type="noConversion"/>
  </si>
  <si>
    <t>Material Handling Equipment</t>
    <phoneticPr fontId="20" type="noConversion"/>
  </si>
  <si>
    <t>RFQ-EL-002</t>
    <phoneticPr fontId="20" type="noConversion"/>
  </si>
  <si>
    <t>ACDB-410</t>
    <phoneticPr fontId="20" type="noConversion"/>
  </si>
  <si>
    <t>ACDB-440</t>
    <phoneticPr fontId="20" type="noConversion"/>
  </si>
  <si>
    <t>ACDB-420</t>
    <phoneticPr fontId="20" type="noConversion"/>
  </si>
  <si>
    <t>SP-440ABCD</t>
    <phoneticPr fontId="20" type="noConversion"/>
  </si>
  <si>
    <t>VR-440</t>
    <phoneticPr fontId="20" type="noConversion"/>
  </si>
  <si>
    <t>BAT-440ABC</t>
    <phoneticPr fontId="20" type="noConversion"/>
  </si>
  <si>
    <t>FB-421/422/423</t>
  </si>
  <si>
    <t>NAV-421/422
PC-420, RL-421
SR-421/422</t>
    <phoneticPr fontId="20" type="noConversion"/>
  </si>
  <si>
    <t>FHCP-421&amp;FH-421, FHD-421</t>
    <phoneticPr fontId="20" type="noConversion"/>
  </si>
  <si>
    <t>Special items-Liquid trap</t>
  </si>
  <si>
    <t>Special items-Liquid trap</t>
    <phoneticPr fontId="20" type="noConversion"/>
  </si>
  <si>
    <t>Special items-Corrosion Probe &amp; Coupon</t>
  </si>
  <si>
    <t>Special items-Corrosion Probe &amp; Coupon</t>
    <phoneticPr fontId="20" type="noConversion"/>
  </si>
  <si>
    <t>Special items-Chemical Injection Quill</t>
    <phoneticPr fontId="20" type="noConversion"/>
  </si>
  <si>
    <t>Special items-Clamp Type Connector and Target Tee with Clamp Type Connector</t>
  </si>
  <si>
    <t>Special items-Clamp Type Connector and Target Tee with Clamp Type Connector</t>
    <phoneticPr fontId="20" type="noConversion"/>
  </si>
  <si>
    <t>MM-ZTK-1F-GEN-PIP-MR-0003</t>
    <phoneticPr fontId="20" type="noConversion"/>
  </si>
  <si>
    <t>Special items-Barred Tees</t>
  </si>
  <si>
    <t>Special items-Barred Tees</t>
    <phoneticPr fontId="20" type="noConversion"/>
  </si>
  <si>
    <t>RFQ-PIP-025</t>
    <phoneticPr fontId="20" type="noConversion"/>
  </si>
  <si>
    <t>RFQ-PIP-026</t>
    <phoneticPr fontId="20" type="noConversion"/>
  </si>
  <si>
    <t>RFQ-PIP-027</t>
    <phoneticPr fontId="20" type="noConversion"/>
  </si>
  <si>
    <t>MM-ZTK-1F-GEN-STR-MR-0005</t>
    <phoneticPr fontId="20" type="noConversion"/>
  </si>
  <si>
    <t>MM-ZTK-1F-GEN-STR-MR-0001
MM-ZTK-1F-GEN-STR-MR-0002</t>
  </si>
  <si>
    <t>MM-ZTK-1F-GEN-STR-MR-0001
MM-ZTK-1F-GEN-STR-MR-0002</t>
    <phoneticPr fontId="20" type="noConversion"/>
  </si>
  <si>
    <t>SP-01B/C</t>
    <phoneticPr fontId="20" type="noConversion"/>
  </si>
  <si>
    <t>SP-02B/C</t>
    <phoneticPr fontId="20" type="noConversion"/>
  </si>
  <si>
    <t>SP-13A/B</t>
    <phoneticPr fontId="20" type="noConversion"/>
  </si>
  <si>
    <t>SP-41/42</t>
    <phoneticPr fontId="20" type="noConversion"/>
  </si>
  <si>
    <t>SP-43(Future)</t>
    <phoneticPr fontId="20" type="noConversion"/>
  </si>
  <si>
    <t>SP-50</t>
    <phoneticPr fontId="20" type="noConversion"/>
  </si>
  <si>
    <t>SP-11</t>
    <phoneticPr fontId="20" type="noConversion"/>
  </si>
  <si>
    <t>SP-71</t>
    <phoneticPr fontId="20" type="noConversion"/>
  </si>
  <si>
    <t>SP-70</t>
    <phoneticPr fontId="20" type="noConversion"/>
  </si>
  <si>
    <t>SP-*A002/A001</t>
    <phoneticPr fontId="20" type="noConversion"/>
  </si>
  <si>
    <t>SP-*A003/004</t>
    <phoneticPr fontId="20" type="noConversion"/>
  </si>
  <si>
    <t>32+32</t>
    <phoneticPr fontId="20" type="noConversion"/>
  </si>
  <si>
    <t>Q'ty</t>
    <phoneticPr fontId="20" type="noConversion"/>
  </si>
  <si>
    <t>SP-21/31/32</t>
    <phoneticPr fontId="20" type="noConversion"/>
  </si>
  <si>
    <t>4+1+2</t>
    <phoneticPr fontId="20" type="noConversion"/>
  </si>
  <si>
    <t>SP-31(Future)</t>
    <phoneticPr fontId="20" type="noConversion"/>
  </si>
  <si>
    <t>SP-05/06</t>
    <phoneticPr fontId="20" type="noConversion"/>
  </si>
  <si>
    <t>SP-07/08</t>
    <phoneticPr fontId="20" type="noConversion"/>
  </si>
  <si>
    <t>SP-09</t>
    <phoneticPr fontId="20" type="noConversion"/>
  </si>
  <si>
    <t>SP-12</t>
    <phoneticPr fontId="20" type="noConversion"/>
  </si>
  <si>
    <t>SP-13</t>
    <phoneticPr fontId="20" type="noConversion"/>
  </si>
  <si>
    <t>SP-14</t>
    <phoneticPr fontId="20" type="noConversion"/>
  </si>
  <si>
    <t>SPECIAL PIPE SUPPORT</t>
    <phoneticPr fontId="20" type="noConversion"/>
  </si>
  <si>
    <t>AGD-0001/0002</t>
    <phoneticPr fontId="20" type="noConversion"/>
  </si>
  <si>
    <t>HS-9006/9020-26</t>
    <phoneticPr fontId="20" type="noConversion"/>
  </si>
  <si>
    <t>TG-1005</t>
    <phoneticPr fontId="20" type="noConversion"/>
  </si>
  <si>
    <t>TT-1013</t>
    <phoneticPr fontId="20" type="noConversion"/>
  </si>
  <si>
    <t>TT-A10~R10</t>
    <phoneticPr fontId="20" type="noConversion"/>
  </si>
  <si>
    <t>TT-2003/3024</t>
    <phoneticPr fontId="20" type="noConversion"/>
  </si>
  <si>
    <t>2*4</t>
    <phoneticPr fontId="20" type="noConversion"/>
  </si>
  <si>
    <t>16*4</t>
  </si>
  <si>
    <t>16*4</t>
    <phoneticPr fontId="20" type="noConversion"/>
  </si>
  <si>
    <t>1*4</t>
  </si>
  <si>
    <t>1*4</t>
    <phoneticPr fontId="20" type="noConversion"/>
  </si>
  <si>
    <t>PT-A09~R09</t>
    <phoneticPr fontId="20" type="noConversion"/>
  </si>
  <si>
    <t>PT-1001/1007/1010/2001/2003/3004/3031/5003/5006</t>
    <phoneticPr fontId="20" type="noConversion"/>
  </si>
  <si>
    <t>9*4</t>
    <phoneticPr fontId="20" type="noConversion"/>
  </si>
  <si>
    <t>PT-0001</t>
    <phoneticPr fontId="20" type="noConversion"/>
  </si>
  <si>
    <t>PT-A07~R07</t>
    <phoneticPr fontId="20" type="noConversion"/>
  </si>
  <si>
    <t>15*4</t>
    <phoneticPr fontId="20" type="noConversion"/>
  </si>
  <si>
    <t>WGW-9001</t>
    <phoneticPr fontId="20" type="noConversion"/>
  </si>
  <si>
    <t>LT-9065/9066</t>
    <phoneticPr fontId="20" type="noConversion"/>
  </si>
  <si>
    <t>RO-0010/1020</t>
    <phoneticPr fontId="20" type="noConversion"/>
  </si>
  <si>
    <t>RO-3028/4001</t>
    <phoneticPr fontId="20" type="noConversion"/>
  </si>
  <si>
    <t>6*4</t>
    <phoneticPr fontId="20" type="noConversion"/>
  </si>
  <si>
    <t>8*4</t>
    <phoneticPr fontId="20" type="noConversion"/>
  </si>
  <si>
    <t>Ball Valve (Flange End)</t>
  </si>
  <si>
    <t>Ball Valve (Flange End)</t>
    <phoneticPr fontId="20" type="noConversion"/>
  </si>
  <si>
    <t>Ball Valve (Welded End)</t>
  </si>
  <si>
    <t>Ball Valve (Welded End)</t>
    <phoneticPr fontId="20" type="noConversion"/>
  </si>
  <si>
    <t>Globe Valve (Flange End)</t>
  </si>
  <si>
    <t>Globe Valve (Flange End)</t>
    <phoneticPr fontId="20" type="noConversion"/>
  </si>
  <si>
    <t>Globe Valve (Welded End)</t>
  </si>
  <si>
    <t>Globe Valve (Welded End)</t>
    <phoneticPr fontId="20" type="noConversion"/>
  </si>
  <si>
    <t>5*4</t>
    <phoneticPr fontId="20" type="noConversion"/>
  </si>
  <si>
    <t>Check Valve (Swing)</t>
  </si>
  <si>
    <t>Check Valve (Swing)</t>
    <phoneticPr fontId="20" type="noConversion"/>
  </si>
  <si>
    <t>Check Valve (Position)</t>
  </si>
  <si>
    <t>Check Valve (Position)</t>
    <phoneticPr fontId="20" type="noConversion"/>
  </si>
  <si>
    <t>7*4</t>
    <phoneticPr fontId="20" type="noConversion"/>
  </si>
  <si>
    <t>Check Valve (Wafer)</t>
  </si>
  <si>
    <t>Check Valve (Wafer)</t>
    <phoneticPr fontId="20" type="noConversion"/>
  </si>
  <si>
    <t>Check valve (Compact)</t>
  </si>
  <si>
    <t>Check valve (Compact)</t>
    <phoneticPr fontId="20" type="noConversion"/>
  </si>
  <si>
    <t>XT-0014</t>
    <phoneticPr fontId="20" type="noConversion"/>
  </si>
  <si>
    <t>XT-A13A/B/C~R13A/B/C</t>
    <phoneticPr fontId="20" type="noConversion"/>
  </si>
  <si>
    <t>16*3*4</t>
    <phoneticPr fontId="20" type="noConversion"/>
  </si>
  <si>
    <t>FT-1018</t>
    <phoneticPr fontId="20" type="noConversion"/>
  </si>
  <si>
    <t>ZSL-A02~R02</t>
    <phoneticPr fontId="20" type="noConversion"/>
  </si>
  <si>
    <t>ZSL-A03~R03</t>
    <phoneticPr fontId="20" type="noConversion"/>
  </si>
  <si>
    <t>11*4</t>
    <phoneticPr fontId="20" type="noConversion"/>
  </si>
  <si>
    <t>PG-1008/2008/2009/2018/2028/2029/2030/3023/3039/5005/5007</t>
    <phoneticPr fontId="20" type="noConversion"/>
  </si>
  <si>
    <t>PG-A05~R05</t>
    <phoneticPr fontId="20" type="noConversion"/>
  </si>
  <si>
    <t>PG-A08~R08</t>
    <phoneticPr fontId="20" type="noConversion"/>
  </si>
  <si>
    <t>PG-A14~R14</t>
    <phoneticPr fontId="20" type="noConversion"/>
  </si>
  <si>
    <t>FT-1012</t>
    <phoneticPr fontId="20" type="noConversion"/>
  </si>
  <si>
    <t>VHFF-510-001
ANT-510-001
TCAB-510-001
SA-510-001</t>
  </si>
  <si>
    <t>4*3
4*3
4*3
5*3</t>
  </si>
  <si>
    <t>ANT-502-001
MR-502-001
SA-502-001
MR-502-001A
LAN-502-001
TCAB-500-001</t>
  </si>
  <si>
    <t>4*4
4*4
4*4
4*4
5*4
4*4</t>
  </si>
  <si>
    <t>Trunk Radio
Ex Telephone
Marine Racon</t>
    <phoneticPr fontId="20" type="noConversion"/>
  </si>
  <si>
    <t>118*4
8*4
13*3</t>
    <phoneticPr fontId="20" type="noConversion"/>
  </si>
  <si>
    <t>38*4</t>
    <phoneticPr fontId="20" type="noConversion"/>
  </si>
  <si>
    <t>LV-1017</t>
    <phoneticPr fontId="20" type="noConversion"/>
  </si>
  <si>
    <t>PV-1001/1015</t>
    <phoneticPr fontId="20" type="noConversion"/>
  </si>
  <si>
    <t>RFQ-MA-002-1</t>
  </si>
  <si>
    <t>RFQ-MA-002-1</t>
    <phoneticPr fontId="20" type="noConversion"/>
  </si>
  <si>
    <t>RFQ-MA-002-2</t>
  </si>
  <si>
    <t>RFQ-MA-002-2</t>
    <phoneticPr fontId="20" type="noConversion"/>
  </si>
  <si>
    <t>RFQ-MA-002-3</t>
  </si>
  <si>
    <t>RFQ-MA-002-3</t>
    <phoneticPr fontId="20" type="noConversion"/>
  </si>
  <si>
    <t>RFQ-PIP-028</t>
    <phoneticPr fontId="20" type="noConversion"/>
  </si>
  <si>
    <t>RFQ-PIP-029</t>
    <phoneticPr fontId="20" type="noConversion"/>
  </si>
  <si>
    <t>RFQ-PIP-030</t>
    <phoneticPr fontId="20" type="noConversion"/>
  </si>
  <si>
    <t>MM-ZTK-1F-GEN-STR-MR-0003</t>
    <phoneticPr fontId="20" type="noConversion"/>
  </si>
  <si>
    <t>Jacket Barge Bumpers and Fender</t>
  </si>
  <si>
    <t>Jacket Barge Bumpers and Fender</t>
    <phoneticPr fontId="20" type="noConversion"/>
  </si>
  <si>
    <t>MM-ZTK-1F-GEN-STR-MR-0004</t>
  </si>
  <si>
    <t>MM-ZTK-1F-GEN-STR-MR-0004</t>
    <phoneticPr fontId="20" type="noConversion"/>
  </si>
  <si>
    <t xml:space="preserve">MR No.  </t>
    <phoneticPr fontId="20" type="noConversion"/>
  </si>
  <si>
    <t>RFQ-IN-006</t>
    <phoneticPr fontId="20" type="noConversion"/>
  </si>
  <si>
    <t>RFQ-STR-006-1</t>
    <phoneticPr fontId="20" type="noConversion"/>
  </si>
  <si>
    <t>RFQ-STR-006-4</t>
    <phoneticPr fontId="20" type="noConversion"/>
  </si>
  <si>
    <t>RFQ-STR-006-5</t>
    <phoneticPr fontId="20" type="noConversion"/>
  </si>
  <si>
    <t>RFQ-PIP-032</t>
    <phoneticPr fontId="20" type="noConversion"/>
  </si>
  <si>
    <t>RFQ-PIP-031</t>
    <phoneticPr fontId="20" type="noConversion"/>
  </si>
  <si>
    <t>MM-ZTK-1F-GEN-ELE-MR-0006</t>
    <phoneticPr fontId="20" type="noConversion"/>
  </si>
  <si>
    <t>Bid Closing Date</t>
    <phoneticPr fontId="20" type="noConversion"/>
  </si>
  <si>
    <t>HuangWei</t>
  </si>
  <si>
    <t>HuangWei</t>
    <phoneticPr fontId="20" type="noConversion"/>
  </si>
  <si>
    <t>Topside Primary Steel- Tubular</t>
  </si>
  <si>
    <t>Topside Primary Steel- Tubular</t>
    <phoneticPr fontId="20" type="noConversion"/>
  </si>
  <si>
    <t>RFQ-STR-016</t>
  </si>
  <si>
    <t>RFQ-STR-016</t>
    <phoneticPr fontId="20" type="noConversion"/>
  </si>
  <si>
    <t>9*3</t>
    <phoneticPr fontId="20" type="noConversion"/>
  </si>
  <si>
    <t>ZWP20,21,22</t>
    <phoneticPr fontId="20" type="noConversion"/>
  </si>
  <si>
    <t>ZWP23</t>
    <phoneticPr fontId="20" type="noConversion"/>
  </si>
  <si>
    <t>China</t>
    <phoneticPr fontId="20" type="noConversion"/>
  </si>
  <si>
    <t>MR Issued
(IFR)</t>
    <phoneticPr fontId="20" type="noConversion"/>
  </si>
  <si>
    <r>
      <t>2026.5.6</t>
    </r>
    <r>
      <rPr>
        <sz val="6"/>
        <color rgb="FF000000"/>
        <rFont val="Arial"/>
        <family val="2"/>
      </rPr>
      <t xml:space="preserve"> </t>
    </r>
    <r>
      <rPr>
        <sz val="6"/>
        <color indexed="8"/>
        <rFont val="Arial"/>
        <family val="2"/>
      </rPr>
      <t xml:space="preserve">Issued RFQ to Zhuhai yard
</t>
    </r>
    <phoneticPr fontId="20" type="noConversion"/>
  </si>
  <si>
    <t xml:space="preserve">2026.5.6 Issued RFQ to Zhuhai yard
</t>
  </si>
  <si>
    <t>MM-ZTK-1F-GEN-PIP-MR-0001</t>
    <phoneticPr fontId="20" type="noConversion"/>
  </si>
  <si>
    <t xml:space="preserve">2026.4.30 Issued RFQ
bid due day:22-May
</t>
    <phoneticPr fontId="20" type="noConversion"/>
  </si>
  <si>
    <t>2026.4.30 Issued RFQ
bid due day:22-May</t>
    <phoneticPr fontId="20" type="noConversion"/>
  </si>
  <si>
    <t>2026.5.9 Issued RFQ
2026.5.15 MR issued to bidders
bid due day:20-May</t>
    <phoneticPr fontId="20" type="noConversion"/>
  </si>
  <si>
    <t>2026.5.9 Issued RFQ(No MR)
bid due day:20-May</t>
    <phoneticPr fontId="20" type="noConversion"/>
  </si>
  <si>
    <t>2-Apr-26: Received
ZWP20 /21/22/23 : IFR(2026/4/2)
10-Apr-26:Received
MM-ZTK-1F-GEN-STR-MR-1001 (IFR)
MM-ZTK-1F-GEN-STR-MR-1011 (IFR)
Topside High StrengthTubular steel</t>
  </si>
  <si>
    <t>2026.5.9 MR to yard</t>
  </si>
  <si>
    <t>SP-22</t>
    <phoneticPr fontId="20" type="noConversion"/>
  </si>
  <si>
    <t>SP-23
(ZWP20,23)</t>
    <phoneticPr fontId="20" type="noConversion"/>
  </si>
  <si>
    <t>SP-24
(ZWP-21,22)</t>
    <phoneticPr fontId="20" type="noConversion"/>
  </si>
  <si>
    <t>2026.4.30 Issued RFQ
bid due day:22-May
Bidder 1: Received bid on 17 May</t>
  </si>
  <si>
    <t>2026.5.6 Issued RFQ
 bid due day:22-May</t>
    <phoneticPr fontId="20" type="noConversion"/>
  </si>
  <si>
    <t>Control valve</t>
    <phoneticPr fontId="20" type="noConversion"/>
  </si>
  <si>
    <t>RFQ-STR-010</t>
    <phoneticPr fontId="20" type="noConversion"/>
  </si>
  <si>
    <t>Safety Relief Valves</t>
  </si>
  <si>
    <t>Safety Relief Valves</t>
    <phoneticPr fontId="20" type="noConversion"/>
  </si>
  <si>
    <t>PCV-3003A/B</t>
    <phoneticPr fontId="20" type="noConversion"/>
  </si>
  <si>
    <t>2026.4.16: Issued RFQ
2026.4.28-5.1: Received Bid
2026.5.7: TC
2026.5.19: Vendor will reply TC
2026.2.26-27 Hold TC meeting</t>
    <phoneticPr fontId="20" type="noConversion"/>
  </si>
  <si>
    <t>Sun liheng</t>
    <phoneticPr fontId="20" type="noConversion"/>
  </si>
  <si>
    <t>RFQ-IN-008-1</t>
  </si>
  <si>
    <t>RFQ-IN-008-1</t>
    <phoneticPr fontId="20" type="noConversion"/>
  </si>
  <si>
    <t>RFQ-IN-008-2</t>
  </si>
  <si>
    <t>RFQ-IN-008-2</t>
    <phoneticPr fontId="20" type="noConversion"/>
  </si>
  <si>
    <t>Lin Yazhen</t>
    <phoneticPr fontId="20" type="noConversion"/>
  </si>
  <si>
    <t>Zhuhai Jutal</t>
  </si>
  <si>
    <t>Zhuhai Jutal</t>
    <phoneticPr fontId="20" type="noConversion"/>
  </si>
  <si>
    <t>RFQ-PIP-022</t>
    <phoneticPr fontId="20" type="noConversion"/>
  </si>
  <si>
    <t>SS &amp; DSS Fitting</t>
    <phoneticPr fontId="20" type="noConversion"/>
  </si>
  <si>
    <t>SS &amp; DSS Flange</t>
    <phoneticPr fontId="20" type="noConversion"/>
  </si>
  <si>
    <t>DSS Pipes</t>
    <phoneticPr fontId="20" type="noConversion"/>
  </si>
  <si>
    <t>MM-ZTK-1F-GEN-STR-MR-1011</t>
    <phoneticPr fontId="20" type="noConversion"/>
  </si>
  <si>
    <t>MATERIAL REOUISITION FOR TOPSIDES HIGH STRENGTHSTRTUBULAR STEEL
MATERIAL REQUISITION FOR TOPSIDES SECONDARY ANDTERTIARY TUBULAR STEEL</t>
    <phoneticPr fontId="20" type="noConversion"/>
  </si>
  <si>
    <t>MATERIAL REQUISITION FOR TOPSIDES HIGH STRENGTHHOT-ROLLED STEEL SECTIONS (SHAPE STR)
MATERIAL REQUISITION FOR TOPSIDES SECONDARY ANDTERTIARY HOT-ROLLED STEEL</t>
    <phoneticPr fontId="20" type="noConversion"/>
  </si>
  <si>
    <t>MM-ZTK-1F-GEN-STR-MR-1022</t>
    <phoneticPr fontId="20" type="noConversion"/>
  </si>
  <si>
    <t>MM-ZTK-1F-GEN-STR-MR-1001</t>
    <phoneticPr fontId="20" type="noConversion"/>
  </si>
  <si>
    <t>MM-ZTK-1F-GEN-STR-MR-1021</t>
    <phoneticPr fontId="20" type="noConversion"/>
  </si>
  <si>
    <t>MM-ZTK-1F-GEN-STR-MR-1002</t>
    <phoneticPr fontId="20" type="noConversion"/>
  </si>
  <si>
    <t>Topside Primary Steel- Seamless</t>
    <phoneticPr fontId="20" type="noConversion"/>
  </si>
  <si>
    <t>Topside Tertiary Steel</t>
    <phoneticPr fontId="20" type="noConversion"/>
  </si>
  <si>
    <t>2026.5.6 Issued RFQ
 bid due day:22-May
2025.5.31-6.5 TC</t>
    <phoneticPr fontId="20" type="noConversion"/>
  </si>
  <si>
    <t>2026.5.25 Issued RFQ
bid due day:2-Jun</t>
    <phoneticPr fontId="20" type="noConversion"/>
  </si>
  <si>
    <t>2026.5.25 Issued RFQ
bid due day:2-Jun</t>
  </si>
  <si>
    <t>Document No.</t>
  </si>
  <si>
    <t>Document Title</t>
  </si>
  <si>
    <t>Rev.</t>
  </si>
  <si>
    <t>Document Status Code</t>
  </si>
  <si>
    <t>Distribution Date</t>
  </si>
  <si>
    <t>Approver Actual Finish</t>
  </si>
  <si>
    <t>Return Status Name</t>
  </si>
  <si>
    <t>A1</t>
  </si>
  <si>
    <t>MM-ZTK-1F-GEN-STR-MR-1001</t>
  </si>
  <si>
    <t>MATERIAL REǪUISITION FOR TOPSIDES HIGH STRENGTH TUBULAR STEEL</t>
  </si>
  <si>
    <t>MM-ZTK-1F-GEN-STR-MR-1011</t>
  </si>
  <si>
    <t>MATERIAL REǪUISITION FOR TOPSIDES HIGH STRENGTH HOT-ROLLED STEEL SECTIONS (SHAPE</t>
  </si>
  <si>
    <t>MM-ZTK-1F-GEN-STR-MR-1012</t>
  </si>
  <si>
    <t>MATERIAL REQUISITION FOR TOPSIDES HIGH STRENGTH STEEL PLATES</t>
  </si>
  <si>
    <t>MM-ZTK-1F-GEN-STR-MR-1022</t>
  </si>
  <si>
    <t>MATERIAL REQUISITION FOR TOPSIDE LOW STRENGTH STEEL PLATE</t>
  </si>
  <si>
    <t>IFR</t>
  </si>
  <si>
    <t>04-May-2026 13:07:12</t>
  </si>
  <si>
    <t>08-May-2026 13:17:04</t>
  </si>
  <si>
    <t>23-May-2026 09:31:31</t>
  </si>
  <si>
    <t>20-May-2026 18:20:49</t>
  </si>
  <si>
    <t>29-May-2026 19:06:31</t>
  </si>
  <si>
    <t>Approved with Comment (Proceed to Rev.C)</t>
  </si>
  <si>
    <t>15-May-2026 23:30:40</t>
  </si>
  <si>
    <t>15-May-2026 23:34:18</t>
  </si>
  <si>
    <t>25-May-2026 20:37:08</t>
  </si>
  <si>
    <t>22-May-2026 01:16:45</t>
  </si>
  <si>
    <t>MM-ZTK-1F-ZWP20-STR-MR-2001</t>
  </si>
  <si>
    <t>MATERIAL REǪUISITION FOR ZWP20 JACKET PRIMARY TUBULAR STEEL</t>
  </si>
  <si>
    <t>MM-ZTK-1F-ZWP20-STR-MR-2002</t>
  </si>
  <si>
    <t>MATERIAL REǪUISITION FOR ZWP20 JACKET PRIMARY STEEL (PLATE)</t>
  </si>
  <si>
    <t>04-May-2026 13:11:09</t>
  </si>
  <si>
    <t>06-May-2026 10:31:53</t>
  </si>
  <si>
    <t>15-May-2026 22:45:39</t>
  </si>
  <si>
    <t>Approved with Comment</t>
  </si>
  <si>
    <t>15-May-2026 23:20:12</t>
  </si>
  <si>
    <t>MM-ZTK-1F-ZWP21-STR-MR-2001</t>
  </si>
  <si>
    <t>MATERIAL REǪUISITION FOR ZWP21 JACKET PRIMARY TUBULAR STEEL</t>
  </si>
  <si>
    <t>MM-ZTK-1F-ZWP21-STR-MR-2002</t>
  </si>
  <si>
    <t>MATERIAL REǪUISITION FOR ZWP21 JACKET PRIMARY STEEL (PLATE)</t>
  </si>
  <si>
    <t>04-May-2026 13:11:25</t>
  </si>
  <si>
    <t>06-May-2026 10:32:08</t>
  </si>
  <si>
    <t>15-May-2026 23:19:31</t>
  </si>
  <si>
    <t>15-May-2026 23:33:14</t>
  </si>
  <si>
    <t>MM-ZTK-1F-ZWP22-STR-MR-2001</t>
  </si>
  <si>
    <t>MATERIAL REǪUISITION FOR ZWP22 JACKET PRIMARY TUBULAR STEEL</t>
  </si>
  <si>
    <t>MM-ZTK-1F-ZWP22-STR-MR-2002</t>
  </si>
  <si>
    <t>MATERIAL REǪUISITION FOR ZWP22 JACKET PRIMARY STEEL (PLATE)</t>
  </si>
  <si>
    <t>04-May-2026 13:11:39</t>
  </si>
  <si>
    <t>06-May-2026 10:32:27</t>
  </si>
  <si>
    <t>15-May-2026 23:31:52</t>
  </si>
  <si>
    <t>15-May-2026 23:22:53</t>
  </si>
  <si>
    <t>MM-ZTK-1F-ZWP23-STR-MR-2001</t>
  </si>
  <si>
    <t>MATERIAL REǪUISITION FOR ZWP23 JACKET PRIMARY TUBULAR STEEL</t>
  </si>
  <si>
    <t>MM-ZTK-1F-ZWP23-STR-MR-2002</t>
  </si>
  <si>
    <t>MATERIAL REǪUISITION FOR ZWP23 JACKET PRIMARY STEEL (PLATE)</t>
  </si>
  <si>
    <t>04-May-2026 13:11:55</t>
  </si>
  <si>
    <t>06-May-2026 10:32:43</t>
  </si>
  <si>
    <t>15-May-2026 23:33:47</t>
  </si>
  <si>
    <t>15-May-2026 23:25:28</t>
  </si>
  <si>
    <t>Jacket Primary Steel-Tubular
TUBULARS - SAW PIPE</t>
    <phoneticPr fontId="20" type="noConversion"/>
  </si>
  <si>
    <t>RFQ-STR-006</t>
    <phoneticPr fontId="20" type="noConversion"/>
  </si>
  <si>
    <t xml:space="preserve">Jacket Primary Steel-Plate </t>
    <phoneticPr fontId="20" type="noConversion"/>
  </si>
  <si>
    <t>Topside Primary Steel- Tubular
TUBULARS (SAW + SEAMLESS)</t>
    <phoneticPr fontId="20" type="noConversion"/>
  </si>
  <si>
    <t>Topside Tertiary Steel-Plate</t>
    <phoneticPr fontId="20" type="noConversion"/>
  </si>
  <si>
    <t>MATERIAL REQUISITION FOR TOPSIDES SECONDARY AND TERTIARY HOT-ROLLED STEEL</t>
    <phoneticPr fontId="20" type="noConversion"/>
  </si>
  <si>
    <t>Topside Primary Steel- Plate</t>
    <phoneticPr fontId="20" type="noConversion"/>
  </si>
  <si>
    <t>Topside Secondary and Tertiary Steel
TUBULARS (SEAMLESS)</t>
    <phoneticPr fontId="20" type="noConversion"/>
  </si>
  <si>
    <t>MATERIAL REQUISITION FOR TOPSIDES SECONDARY AND TERTIARY TUBULAR STEEL</t>
    <phoneticPr fontId="20" type="noConversion"/>
  </si>
  <si>
    <t>Topside Secondary and Tertiary Steel
BEAMS</t>
    <phoneticPr fontId="20" type="noConversion"/>
  </si>
  <si>
    <t>A1</t>
    <phoneticPr fontId="20" type="noConversion"/>
  </si>
  <si>
    <t>RFQ-STR-004</t>
    <phoneticPr fontId="20" type="noConversion"/>
  </si>
  <si>
    <t>RFQ-STR-004
RFQ-STR-005</t>
    <phoneticPr fontId="20" type="noConversion"/>
  </si>
  <si>
    <t>RFQ-STR-003
RFQ-STR-016</t>
    <phoneticPr fontId="20" type="noConversion"/>
  </si>
  <si>
    <t>Combined with control valve (fisher)</t>
    <phoneticPr fontId="20" type="noConversion"/>
  </si>
  <si>
    <t>RFQ-PIP-004</t>
    <phoneticPr fontId="20" type="noConversion"/>
  </si>
  <si>
    <t>150#-148</t>
    <phoneticPr fontId="20" type="noConversion"/>
  </si>
  <si>
    <t>600#-207</t>
    <phoneticPr fontId="20" type="noConversion"/>
  </si>
  <si>
    <t>800#-521</t>
    <phoneticPr fontId="20" type="noConversion"/>
  </si>
  <si>
    <t>2500#-128</t>
    <phoneticPr fontId="20" type="noConversion"/>
  </si>
  <si>
    <t>Pig launcher and receiver</t>
  </si>
  <si>
    <t>Pig launcher and receiver</t>
    <phoneticPr fontId="20" type="noConversion"/>
  </si>
  <si>
    <t>MM-ZTK-1F-GEN-PIP-SPE-0002</t>
  </si>
  <si>
    <t>MM-ZTK-1F-GEN-PIP-SPE-0002</t>
    <phoneticPr fontId="20" type="noConversion"/>
  </si>
  <si>
    <t>EL Cable</t>
    <phoneticPr fontId="20" type="noConversion"/>
  </si>
  <si>
    <t>2026.5.31 MR issued yard</t>
    <phoneticPr fontId="20" type="noConversion"/>
  </si>
  <si>
    <t>2026.5.15 MR issued yard</t>
    <phoneticPr fontId="20" type="noConversion"/>
  </si>
  <si>
    <t>2026.5.9 MR to yard</t>
    <phoneticPr fontId="20" type="noConversion"/>
  </si>
  <si>
    <t>2026.6.4 MR issued yard</t>
    <phoneticPr fontId="20" type="noConversion"/>
  </si>
  <si>
    <t>DDP 24 weeks( after drawing)</t>
    <phoneticPr fontId="20" type="noConversion"/>
  </si>
  <si>
    <t>FMC,COMBET</t>
    <phoneticPr fontId="20" type="noConversion"/>
  </si>
  <si>
    <t>KCON</t>
    <phoneticPr fontId="20" type="noConversion"/>
  </si>
  <si>
    <t>Combined with Check Wafer</t>
    <phoneticPr fontId="20" type="noConversion"/>
  </si>
  <si>
    <t>RFQ-PIP-001</t>
    <phoneticPr fontId="20" type="noConversion"/>
  </si>
  <si>
    <t>CAMERON &amp; KCON-declined</t>
    <phoneticPr fontId="20" type="noConversion"/>
  </si>
  <si>
    <t>RFQ-PIP-003</t>
    <phoneticPr fontId="20" type="noConversion"/>
  </si>
  <si>
    <t>RFQ-PIP-006</t>
    <phoneticPr fontId="20" type="noConversion"/>
  </si>
  <si>
    <t>RFQ-PIP-019</t>
    <phoneticPr fontId="20" type="noConversion"/>
  </si>
  <si>
    <t>RFQ-EL-005</t>
    <phoneticPr fontId="20" type="noConversion"/>
  </si>
  <si>
    <t>JKT Anode</t>
    <phoneticPr fontId="20" type="noConversion"/>
  </si>
  <si>
    <t>Combine with PIP-02</t>
    <phoneticPr fontId="20" type="noConversion"/>
  </si>
  <si>
    <t>Combined with Globe valve</t>
    <phoneticPr fontId="20" type="noConversion"/>
  </si>
  <si>
    <t>PIPER VALVE</t>
    <phoneticPr fontId="20" type="noConversion"/>
  </si>
  <si>
    <t xml:space="preserve">Topside Primary Steel-Beam </t>
    <phoneticPr fontId="20" type="noConversion"/>
  </si>
  <si>
    <t>Liu Bin</t>
    <phoneticPr fontId="20" type="noConversion"/>
  </si>
  <si>
    <t>Wei kefang</t>
    <phoneticPr fontId="20" type="noConversion"/>
  </si>
  <si>
    <t>Huang liudong</t>
  </si>
  <si>
    <t>Huang liudong</t>
    <phoneticPr fontId="20" type="noConversion"/>
  </si>
  <si>
    <t>Ruan Jun</t>
    <phoneticPr fontId="20" type="noConversion"/>
  </si>
  <si>
    <t>Lisa</t>
    <phoneticPr fontId="20" type="noConversion"/>
  </si>
  <si>
    <t>01-Jun-2026 09:19:45</t>
  </si>
  <si>
    <t>25-May-2026 20:36:04</t>
  </si>
  <si>
    <t>23-May-2026 08:52:07</t>
  </si>
  <si>
    <r>
      <t>2026.5</t>
    </r>
    <r>
      <rPr>
        <sz val="6"/>
        <color rgb="FF000000"/>
        <rFont val="宋体"/>
        <family val="2"/>
        <charset val="134"/>
      </rPr>
      <t>.11</t>
    </r>
    <r>
      <rPr>
        <sz val="6"/>
        <color indexed="8"/>
        <rFont val="Arial"/>
        <family val="2"/>
      </rPr>
      <t xml:space="preserve"> MR to yard
2026.6.8 Short bidder list is approved by CPY</t>
    </r>
    <phoneticPr fontId="20" type="noConversion"/>
  </si>
  <si>
    <t xml:space="preserve">Combine with chemical Injection quill </t>
    <phoneticPr fontId="20" type="noConversion"/>
  </si>
  <si>
    <t>2026.6.8 Short bidder list to CPY for approval</t>
    <phoneticPr fontId="20" type="noConversion"/>
  </si>
  <si>
    <t>Liu Lei</t>
  </si>
  <si>
    <t xml:space="preserve">2026.6.10 Issued RFQ to Zhuhai yard
</t>
    <phoneticPr fontId="20" type="noConversion"/>
  </si>
  <si>
    <t>RFQ-SA-002</t>
    <phoneticPr fontId="20" type="noConversion"/>
  </si>
  <si>
    <t>2026.6.9 MR issued yard</t>
    <phoneticPr fontId="20" type="noConversion"/>
  </si>
  <si>
    <t>2026.6.10 Short bidder list to CPY for approval</t>
  </si>
  <si>
    <t>2026.6.10 Short bidder list to CPY for approval</t>
    <phoneticPr fontId="20" type="noConversion"/>
  </si>
  <si>
    <t>2026.6.8 Short bidder list to CPY for approval</t>
  </si>
  <si>
    <t>2026.6.4 MR to yard
2026.6.4 short vendor list to CPY approval
2026.6.9 Received comments from CPY. Not approved.
2026.6.11 Short bidder list is approved</t>
    <phoneticPr fontId="20" type="noConversion"/>
  </si>
  <si>
    <t>Topside Secondary Steel(W)</t>
  </si>
  <si>
    <t>Topside Secondary Steel(W)</t>
    <phoneticPr fontId="20" type="noConversion"/>
  </si>
  <si>
    <t>Topside Secondary Steel(L,C)</t>
  </si>
  <si>
    <t>Topside Secondary Steel(L,C)</t>
    <phoneticPr fontId="20" type="noConversion"/>
  </si>
  <si>
    <t>Laigang</t>
    <phoneticPr fontId="20" type="noConversion"/>
  </si>
  <si>
    <t>2026.6.11 Short bidder list sent to CPY, CPY requested to provide performace list.</t>
    <phoneticPr fontId="20" type="noConversion"/>
  </si>
  <si>
    <t>N/A</t>
    <phoneticPr fontId="20" type="noConversion"/>
  </si>
  <si>
    <t>RFQ-PIP-018-1</t>
    <phoneticPr fontId="20" type="noConversion"/>
  </si>
  <si>
    <t>RFQ-PIP-018-2</t>
    <phoneticPr fontId="20" type="noConversion"/>
  </si>
  <si>
    <t>Zhang Xiaorui</t>
  </si>
  <si>
    <t>Zhang Xiaorui</t>
    <phoneticPr fontId="20" type="noConversion"/>
  </si>
  <si>
    <t>Zahng Xiaorui</t>
    <phoneticPr fontId="20" type="noConversion"/>
  </si>
  <si>
    <t>KCON, CAMERON declined</t>
    <phoneticPr fontId="20" type="noConversion"/>
  </si>
  <si>
    <t>Neway,HDV, Boteli</t>
    <phoneticPr fontId="20" type="noConversion"/>
  </si>
  <si>
    <t>Tyco?</t>
    <phoneticPr fontId="20" type="noConversion"/>
  </si>
  <si>
    <t>Sun Liheng</t>
    <phoneticPr fontId="20" type="noConversion"/>
  </si>
  <si>
    <t>Rockwell</t>
    <phoneticPr fontId="20" type="noConversion"/>
  </si>
  <si>
    <t xml:space="preserve">VALVITALIA,STARLINE </t>
    <phoneticPr fontId="20" type="noConversion"/>
  </si>
  <si>
    <t>PIBIVIESSE-no reply</t>
    <phoneticPr fontId="20" type="noConversion"/>
  </si>
  <si>
    <t>Emerson</t>
  </si>
  <si>
    <t>As dicussed with ENG, it mabe has no special support. So it will confirm later</t>
    <phoneticPr fontId="20" type="noConversion"/>
  </si>
  <si>
    <t>CS Flange</t>
    <phoneticPr fontId="20" type="noConversion"/>
  </si>
  <si>
    <t>31-Mar-26: Received 
ZWP20 /21/22/23 : IFC(2025/4/11)
2026.6.12: TECHNICAL BID EVALUATION FOR ZWP21 JACKET PRIMARY HIGH-STRENGTH STEEL PLATE(C1)</t>
    <phoneticPr fontId="20" type="noConversion"/>
  </si>
  <si>
    <t>2026.5.9 Issued RFQ(no MR)
bid due day:20-May 
2026.6.12:TECHNICAL BID EVALUATION FOR ACTUATED CHOKE VALVES(C1)</t>
    <phoneticPr fontId="20" type="noConversion"/>
  </si>
  <si>
    <t>Special items-3D Bend</t>
  </si>
  <si>
    <t>Special items-3D Bend</t>
    <phoneticPr fontId="20" type="noConversion"/>
  </si>
  <si>
    <t>ZWP21 Jacket Piles Sleeve Plate</t>
  </si>
  <si>
    <t>RFQ-STR-006-6</t>
    <phoneticPr fontId="20" type="noConversion"/>
  </si>
  <si>
    <t>RFQ-STR-006-7</t>
    <phoneticPr fontId="20" type="noConversion"/>
  </si>
  <si>
    <t>Liu bin</t>
    <phoneticPr fontId="20" type="noConversion"/>
  </si>
  <si>
    <t>Vendor</t>
    <phoneticPr fontId="10" type="noConversion"/>
  </si>
  <si>
    <t>Rest</t>
    <phoneticPr fontId="10" type="noConversion"/>
  </si>
  <si>
    <t>ZM169-SE-ST-ML-010</t>
  </si>
  <si>
    <t>Topside Primary, TRB Rolling Plate (ZWP20, 21, 22, 23)</t>
  </si>
  <si>
    <t>ZM169-SE-ST-ML-011</t>
  </si>
  <si>
    <t>Topside Primary, JCOE Rolling Plate (ZWP20, 21, 22, 23)</t>
  </si>
  <si>
    <t>ZM169-ZWP20-ST-ML-001</t>
  </si>
  <si>
    <t>ZWP20 Jacket Primary, TRB Rolling Plate</t>
  </si>
  <si>
    <t>XISC</t>
    <phoneticPr fontId="10" type="noConversion"/>
  </si>
  <si>
    <t>ZM169-ZWP20-ST-ML-002</t>
  </si>
  <si>
    <t>ZWP20 Jacket Primary, JCOE Rolling Plate</t>
  </si>
  <si>
    <t>ZM169-ZWP20-ST-ML-007</t>
  </si>
  <si>
    <t>ZM169-ZWP20-ST-ML-008</t>
  </si>
  <si>
    <t>ZWP20 Jacket Hydro static Ring Stiff Plates</t>
    <phoneticPr fontId="10" type="noConversion"/>
  </si>
  <si>
    <t>ZM169-ZWP20-ST-ML-009</t>
  </si>
  <si>
    <t>ZM169-ZWP20-ST-ML-010</t>
  </si>
  <si>
    <t>ZM169-ZWP20-ST-ML-011</t>
  </si>
  <si>
    <t>Steel Plate for ZWP21 Launch Cradle and Vertical Framing Internal Ring Stiffener</t>
  </si>
  <si>
    <t>XISC</t>
  </si>
  <si>
    <t>ZWP21 Jacket Primary, TRB Rolling Plate</t>
  </si>
  <si>
    <t>ZWP21 Jacket Primary, JCOE Rolling Plate</t>
  </si>
  <si>
    <t>ZM169-ZWP21-ST-ML-007</t>
  </si>
  <si>
    <t>ZM169-ZWP21-ST-ML-008</t>
  </si>
  <si>
    <t>ZM169-ZWP21-ST-ML-009</t>
  </si>
  <si>
    <t>ZM169-ZWP21-ST-ML-010</t>
  </si>
  <si>
    <t>ZM169-ZWP22-ST-ML-001</t>
  </si>
  <si>
    <t>ZWP22 Jacket Primary, TRB Rolling Plate</t>
  </si>
  <si>
    <t>ZM169-ZWP22-ST-ML-002</t>
  </si>
  <si>
    <t>ZWP22 Jacket Primary, JCOE Rolling Plate</t>
  </si>
  <si>
    <t>ZM169-ZWP22-ST-ML-007</t>
  </si>
  <si>
    <t>ZM169-ZWP22-ST-ML-008</t>
  </si>
  <si>
    <t>ZM169-ZWP22-ST-ML-009</t>
  </si>
  <si>
    <t>ZM169-ZWP22-ST-ML-010</t>
  </si>
  <si>
    <t>ZM169-ZWP22-ST-ML-011</t>
  </si>
  <si>
    <t>ZM169-ZWP23-ST-ML-001</t>
  </si>
  <si>
    <t>ZWP23 Jacket Primary, TRB Rolling Plate</t>
  </si>
  <si>
    <t>ZM169-ZWP23-ST-ML-002</t>
  </si>
  <si>
    <t>ZWP23 Jacket Primary, JCOE Rolling Plate</t>
  </si>
  <si>
    <t>ZM169-ZWP23-ST-ML-007</t>
  </si>
  <si>
    <t>ZM169-ZWP23-ST-ML-008</t>
  </si>
  <si>
    <t>ZM169-ZWP23-ST-ML-009</t>
  </si>
  <si>
    <t>ZM169-ZWP23-ST-ML-010</t>
  </si>
  <si>
    <t>ZM169-ZWP23-ST-ML-011</t>
  </si>
  <si>
    <t>ZWP20 Jacket Primary, Cone Plate</t>
  </si>
  <si>
    <t>ZWP20 Jacket Leg Partition/Closure Plates</t>
  </si>
  <si>
    <t>ZWP20 Jacket Piles Sleeve Plate</t>
  </si>
  <si>
    <t>ZWP20 Jacket Launch Cradle Plates+Ring Stiff Plates</t>
  </si>
  <si>
    <t>ZWP21 Jacket Primary, Cone Plate</t>
  </si>
  <si>
    <t>ZWP21 Jacket Hydro static Ring Stiff Plates</t>
  </si>
  <si>
    <t>ZWP21 Jacket Leg Partition/Closure Plates</t>
  </si>
  <si>
    <t>ZWP22 Jacket Primary, Cone Plate</t>
  </si>
  <si>
    <t>ZWP22 Jacket Hydro static Ring Stiff Plates</t>
  </si>
  <si>
    <t>ZWP22 Jacket Leg Partition/Closure Plates</t>
  </si>
  <si>
    <t>ZWP22 Jacket Piles Sleeve Plate</t>
  </si>
  <si>
    <t>ZWP22 Jacket Launch Cradle Plates+Ring Stiff Plates</t>
  </si>
  <si>
    <t>ZWP23 Jacket Primary, Cone Plate</t>
  </si>
  <si>
    <t>ZWP23 Jacket Leg Partition/Closure Plates</t>
  </si>
  <si>
    <t>ZWP23 Jacket Piles Sleeve Plate</t>
  </si>
  <si>
    <t>ZWP23 Jacket Launch Cradle Plates+Ring Stiff Plates</t>
  </si>
  <si>
    <t>RFQ-IN-001</t>
    <phoneticPr fontId="20" type="noConversion"/>
  </si>
  <si>
    <t>No drawing to SE</t>
    <phoneticPr fontId="10" type="noConversion"/>
  </si>
  <si>
    <t>Order Date</t>
    <phoneticPr fontId="20" type="noConversion"/>
  </si>
  <si>
    <t>Order No.</t>
    <phoneticPr fontId="20" type="noConversion"/>
  </si>
  <si>
    <t>ZH26FA001(02)</t>
    <phoneticPr fontId="20" type="noConversion"/>
  </si>
  <si>
    <t>ZH26FA001(03)</t>
    <phoneticPr fontId="20" type="noConversion"/>
  </si>
  <si>
    <t>ZH26FA001(04)</t>
    <phoneticPr fontId="20" type="noConversion"/>
  </si>
  <si>
    <t>ZH26FA001(05)</t>
    <phoneticPr fontId="20" type="noConversion"/>
  </si>
  <si>
    <t>ZH26FA001(08)</t>
    <phoneticPr fontId="20" type="noConversion"/>
  </si>
  <si>
    <t>ZH26FA001(07)</t>
    <phoneticPr fontId="20" type="noConversion"/>
  </si>
  <si>
    <t>ZH26FA001(06)</t>
    <phoneticPr fontId="20" type="noConversion"/>
  </si>
  <si>
    <t>Remark</t>
    <phoneticPr fontId="20" type="noConversion"/>
  </si>
  <si>
    <t>ZWP21</t>
    <phoneticPr fontId="20" type="noConversion"/>
  </si>
  <si>
    <t>ZWP22</t>
    <phoneticPr fontId="20" type="noConversion"/>
  </si>
  <si>
    <t>ZWP20</t>
    <phoneticPr fontId="20" type="noConversion"/>
  </si>
  <si>
    <t>Topside</t>
    <phoneticPr fontId="20" type="noConversion"/>
  </si>
  <si>
    <t>ZH26FA001(11)</t>
    <phoneticPr fontId="20" type="noConversion"/>
  </si>
  <si>
    <t>Plateform</t>
    <phoneticPr fontId="20" type="noConversion"/>
  </si>
  <si>
    <t>Drawing No.</t>
    <phoneticPr fontId="20" type="noConversion"/>
  </si>
  <si>
    <t>Drawing Name</t>
    <phoneticPr fontId="20" type="noConversion"/>
  </si>
  <si>
    <t>Weight (T)</t>
    <phoneticPr fontId="10" type="noConversion"/>
  </si>
  <si>
    <t>Ordered(T)</t>
    <phoneticPr fontId="10" type="noConversion"/>
  </si>
  <si>
    <t>MM-ZTK-1F-ZWP21-STR-MR-2002</t>
    <phoneticPr fontId="20" type="noConversion"/>
  </si>
  <si>
    <t>ZWP23 Jacket Hydro static Ring Stiff Plates</t>
    <phoneticPr fontId="20" type="noConversion"/>
  </si>
  <si>
    <t>Jacket Primary Steel-Piles-1st</t>
  </si>
  <si>
    <t>Jacket Primary Steel-Piles-3rd</t>
  </si>
  <si>
    <t>ZM169-SE-ST-ML-012</t>
  </si>
  <si>
    <t>Topside Primary, Plate (ZWP20, 21, 22, 23)</t>
    <phoneticPr fontId="20" type="noConversion"/>
  </si>
  <si>
    <t>Total: 1068T</t>
    <phoneticPr fontId="20" type="noConversion"/>
  </si>
  <si>
    <t xml:space="preserve">Jacket Miscellaneous Steel 
(boatlandings, ACCESS ladder, Riser Clamps, Casing Guides etc) </t>
  </si>
  <si>
    <t xml:space="preserve">Jacket Miscellaneous Steel 
(boatlandings, ACCESS ladder, Riser Clamps, Casing Guides etc) </t>
    <phoneticPr fontId="20" type="noConversion"/>
  </si>
  <si>
    <t>Special items-Barrel Reducer
(For PIG L&amp;R)</t>
  </si>
  <si>
    <t>Special items-Barrel Reducer
(For PIG L&amp;R)</t>
    <phoneticPr fontId="20" type="noConversion"/>
  </si>
  <si>
    <t xml:space="preserve">SAW Welded Pipe 
(include material B31.8 for PIG L&amp;R) </t>
  </si>
  <si>
    <t xml:space="preserve">CS Pipe 
(include material B31.3 for PIG L&amp;R) </t>
  </si>
  <si>
    <t xml:space="preserve">CS Pipe 
(include material B31.3 for PIG L&amp;R) </t>
    <phoneticPr fontId="20" type="noConversion"/>
  </si>
  <si>
    <t>E&amp;I Cable Gland</t>
  </si>
  <si>
    <t>E&amp;I Cable Tray</t>
    <phoneticPr fontId="20" type="noConversion"/>
  </si>
  <si>
    <t>E&amp;I Multi-Cable Transits (MCT)</t>
    <phoneticPr fontId="20" type="noConversion"/>
  </si>
  <si>
    <t>Combine with EL Cable Tray</t>
    <phoneticPr fontId="20" type="noConversion"/>
  </si>
  <si>
    <t>IN Bulk Material including of Fitting, Tubing,  isolated valve(small), fusible plug, STAUFF clamps</t>
    <phoneticPr fontId="20" type="noConversion"/>
  </si>
  <si>
    <t>Special irems-Quick Opening Closure
(For PIG L&amp;R)</t>
    <phoneticPr fontId="20" type="noConversion"/>
  </si>
  <si>
    <t xml:space="preserve">no separate procurement item for the Pig Launcher and Receiver. The Pig Launcher/Receiver will be procured as individual components, including loose piping (RFQ-PIP-013), pipeline (Saw Welded Pipe, RFQ-PIP-012), Quick Opening Closure (RFQ-PIP-018), and barrel reducers. </t>
    <phoneticPr fontId="20" type="noConversion"/>
  </si>
  <si>
    <t>MM-ZTK-1F-ZWPX-STR-DWG-2231	JACKET - BOATLANDING ARRANGEMENT	A1	21-May-26	FOR MATERIAL PURCHASE
MM-ZTK-1F-ZWPX-STR-DWG-2232	JACKET - BOATLANDING SECTIONS &amp; DETAILS - SHEET 1	A1	21-May-26	FOR MATERIAL PURCHASE
MM-ZTK-1F-ZWPX-STR-DWG-2233	JACKET - BOATLANDING SECTIONS &amp; DETAILS - SHEET 2	A1	21-May-26	FOR MATERIAL PURCHASE
MM-ZTK-1F-ZWPX-STR-DWG-2234	JACKET - BOATLANDING SECTIONS &amp; DETAILS - SHEET 3	A1	21-May-26	FOR MATERIAL PURCHASE
MM-ZTK-1F-ZWPX-STR-DWG-2235	JACKET - BOATLANDING SECTIONS &amp; DETAILS - SHEET 4	A1	21-May-26	FOR MATERIAL PURCHASE
MM-ZTK-1F-ZWPX-STR-DWG-2236	JACKET - BOATLANDING SECTIONS &amp; DETAILS - SHEET 5	A1	21-May-26	FOR MATERIAL PURCHASE
MM-ZTK-1F-ZWPX-STR-DWG-2237	JACKET - BOATLANDING SECTIONS &amp; DETAILS - SHEET 6	A1	21-May-26	FOR MATERIAL PURCHASE
MM-ZTK-1F-ZWPX-STR-DWG-2238	JACKET - BOATLANDING SECTIONS &amp; DETAILS - SHEET 7	A1	21-May-26	FOR MATERIAL PURCHASE
MM-ZTK-1F-ZWP22-STR-DWG-2241	ZWP22 JACKET - RISER PROTECTOR
MM-ZTK-1F-ZWP23-STR-DWG-2241	ZWP23 JACKET - RISER PROTECTOR
MM-ZTK-1F-ZWP21-STR-DWG-2241	ZWP21 JACKET - RISER PROTECTOR
ZWP21 JACKET - CASING GUIDE DETAILS MM-ZTK-1F-ZWP21-STR-DWG-2301</t>
    <phoneticPr fontId="20" type="noConversion"/>
  </si>
  <si>
    <t xml:space="preserve">SAW Welded Pipe 
(include material B31.8 for PIG L&amp;R) </t>
    <phoneticPr fontId="20" type="noConversion"/>
  </si>
  <si>
    <t>REV</t>
    <phoneticPr fontId="20" type="noConversion"/>
  </si>
  <si>
    <t>REV. 4</t>
    <phoneticPr fontId="20" type="noConversion"/>
  </si>
  <si>
    <t>REV. 2</t>
    <phoneticPr fontId="20" type="noConversion"/>
  </si>
  <si>
    <t xml:space="preserve">ZM169-SE-ST-ML-004 </t>
    <phoneticPr fontId="20" type="noConversion"/>
  </si>
  <si>
    <t>ZM169-ZWP21-ST-ML-001</t>
    <phoneticPr fontId="20" type="noConversion"/>
  </si>
  <si>
    <t>ZM169-ZWP21-ST-ML-002</t>
    <phoneticPr fontId="20" type="noConversion"/>
  </si>
  <si>
    <t>RFQ-TEL-002</t>
  </si>
  <si>
    <t>Combine with EL Cable Gland</t>
    <phoneticPr fontId="20" type="noConversion"/>
  </si>
  <si>
    <t xml:space="preserve"> ruputure disc and check valve combine with Gripper</t>
  </si>
  <si>
    <t>grouting pipes combine with seamless pipes</t>
    <phoneticPr fontId="20" type="noConversion"/>
  </si>
  <si>
    <t>Fire Fighting, Safety Equipment (Including Lifesaving)</t>
  </si>
  <si>
    <t>Non-Intrusive Sand Monitoring System (Acoustic Type)</t>
    <phoneticPr fontId="20" type="noConversion"/>
  </si>
  <si>
    <t>on-Intrusive Wireless Sand Monitoring System (Ultrasonic Type)</t>
    <phoneticPr fontId="20" type="noConversion"/>
  </si>
  <si>
    <t>DHV,Huaying, Newway</t>
    <phoneticPr fontId="20" type="noConversion"/>
  </si>
  <si>
    <t>PO No.</t>
  </si>
  <si>
    <t>RFQ-MA-002-1</t>
    <phoneticPr fontId="70" type="noConversion"/>
  </si>
  <si>
    <t>Closed Drain Sump Vessel</t>
    <phoneticPr fontId="70" type="noConversion"/>
  </si>
  <si>
    <t>RFQ-PIP-021</t>
  </si>
  <si>
    <t>RFQ-PIP-030</t>
    <phoneticPr fontId="70" type="noConversion"/>
  </si>
  <si>
    <t>RFQ-PIP-020</t>
  </si>
  <si>
    <t>Butterfly Valve</t>
  </si>
  <si>
    <t>Special items-Chemical Injection Quill</t>
    <phoneticPr fontId="70" type="noConversion"/>
  </si>
  <si>
    <t>Special items-Hoses and Connections</t>
    <phoneticPr fontId="70" type="noConversion"/>
  </si>
  <si>
    <t>RFQ-PIP-032</t>
    <phoneticPr fontId="70" type="noConversion"/>
  </si>
  <si>
    <t>RFQ-PIP-031</t>
    <phoneticPr fontId="70" type="noConversion"/>
  </si>
  <si>
    <t>RFQ-PIP-024</t>
    <phoneticPr fontId="70" type="noConversion"/>
  </si>
  <si>
    <t>SAW Welded Pipe</t>
  </si>
  <si>
    <t>Seamless SS pipes</t>
  </si>
  <si>
    <t>RFQ-PIP-018</t>
  </si>
  <si>
    <t>Special irems-Quick Opening Closure
(For PIG L&amp;R)</t>
  </si>
  <si>
    <t>Special items-Strainers</t>
    <phoneticPr fontId="70" type="noConversion"/>
  </si>
  <si>
    <t>RFQ-PIP-025</t>
    <phoneticPr fontId="70" type="noConversion"/>
  </si>
  <si>
    <t>RFQ-PIP-026</t>
    <phoneticPr fontId="70" type="noConversion"/>
  </si>
  <si>
    <t>RFQ-PIPL-004</t>
  </si>
  <si>
    <t>Pipes, Fittings and Flanges (B31.8)</t>
  </si>
  <si>
    <t>Solar Power System</t>
  </si>
  <si>
    <t>DC Distribution Boards</t>
  </si>
  <si>
    <t>E&amp;I Cable Tray</t>
    <phoneticPr fontId="70" type="noConversion"/>
  </si>
  <si>
    <t>E&amp;I Multi-Cable Transits (MCT)</t>
    <phoneticPr fontId="70" type="noConversion"/>
  </si>
  <si>
    <t>Power Socket/Plug, Junction Boxes and Earh Bar</t>
  </si>
  <si>
    <t>RFQ-IN-002</t>
  </si>
  <si>
    <t>Acutated ball valve</t>
  </si>
  <si>
    <t>Actuated Compact Ball Valve</t>
  </si>
  <si>
    <t>Pressure Relief Valves</t>
  </si>
  <si>
    <t>RFQ-IN-008</t>
  </si>
  <si>
    <t>RFQ-IN-009</t>
  </si>
  <si>
    <t>Self-Actuated Pressure Control Valves</t>
  </si>
  <si>
    <t>RFQ-IN-021</t>
  </si>
  <si>
    <t>Magnetic Level Gauges and Transmitters</t>
  </si>
  <si>
    <t>Non-Intrusive Wireless Sand Monitoring System (Ultrasonic Type)</t>
  </si>
  <si>
    <t>RFQ-IN-031</t>
  </si>
  <si>
    <t>IN Bulk Material including of Fitting, Tubing,  isolated valve(small), fusible plug, STAUFF clamps</t>
  </si>
  <si>
    <t>RFQ-TEL-001</t>
  </si>
  <si>
    <t>SCADA Radio System</t>
  </si>
  <si>
    <t>Trunk Radio</t>
  </si>
  <si>
    <t>RFQ-TEL-003</t>
  </si>
  <si>
    <t>Explosion Proof Telephone</t>
  </si>
  <si>
    <t>RFQ-TEL-004</t>
  </si>
  <si>
    <t>Marine Racon</t>
  </si>
  <si>
    <t>RFQ-TEL-005</t>
  </si>
  <si>
    <t>Telecom bulk materials</t>
  </si>
  <si>
    <t>RFQ-TEL-006</t>
  </si>
  <si>
    <t>VHF Radio System</t>
  </si>
  <si>
    <t>RFQ-STR-007-1</t>
  </si>
  <si>
    <t>RFQ-STR-007-1</t>
    <phoneticPr fontId="20" type="noConversion"/>
  </si>
  <si>
    <t>RFQ-STR-007-2</t>
  </si>
  <si>
    <t>RFQ-STR-007-2</t>
    <phoneticPr fontId="20" type="noConversion"/>
  </si>
  <si>
    <t>Jacket Primary Steel-Tubular-JCOE</t>
  </si>
  <si>
    <t>Jacket Primary Steel-Tubular-JCOE</t>
    <phoneticPr fontId="20" type="noConversion"/>
  </si>
  <si>
    <t>Jacket Primary Steel-Tubular-TRB</t>
  </si>
  <si>
    <t>Jacket Primary Steel-Tubular-TRB</t>
    <phoneticPr fontId="20" type="noConversion"/>
  </si>
  <si>
    <t>Combine with Barred tee</t>
    <phoneticPr fontId="20" type="noConversion"/>
  </si>
  <si>
    <t>CS Fitting</t>
    <phoneticPr fontId="20" type="noConversion"/>
  </si>
  <si>
    <t>Liu Bin</t>
  </si>
  <si>
    <t>ZH26FA001(10)</t>
    <phoneticPr fontId="20" type="noConversion"/>
  </si>
  <si>
    <t>ZH26FA001(09)</t>
    <phoneticPr fontId="20" type="noConversion"/>
  </si>
  <si>
    <t>CIF Zhuhai seaport</t>
    <phoneticPr fontId="20" type="noConversion"/>
  </si>
  <si>
    <t xml:space="preserve"> Ex-work: Pedestal-28 weeks </t>
  </si>
  <si>
    <t>Crane:38 weeks</t>
  </si>
  <si>
    <t>After receive dowm payment: 30 weeks FAT, CIF 39 weeks</t>
  </si>
  <si>
    <t xml:space="preserve">DDP:  28 weeks </t>
  </si>
  <si>
    <t>DDP: 24-26 weeks</t>
  </si>
  <si>
    <t xml:space="preserve">Ex-work 22 weeks </t>
  </si>
  <si>
    <t xml:space="preserve">Ex-work 24 weeks </t>
  </si>
  <si>
    <t xml:space="preserve">Ex-work 30 weeks </t>
  </si>
  <si>
    <t>24 weeks after PO</t>
  </si>
  <si>
    <t>16-20 weeks after drawing approve</t>
  </si>
  <si>
    <t>20-24 weeks after PO</t>
  </si>
  <si>
    <t>Ex-work 26 weeks</t>
  </si>
  <si>
    <t xml:space="preserve">DDP 34-36 weeks </t>
  </si>
  <si>
    <t xml:space="preserve">Ex-work 28 weeks </t>
  </si>
  <si>
    <t>34 to 36 weeks after drawing approval DDP</t>
  </si>
  <si>
    <t>DDP 28 weeks( after drawing) with Code 2 within 2 weeks.</t>
  </si>
  <si>
    <t>32 weeks after drawing approval DDP</t>
  </si>
  <si>
    <t>Ex-work UK : 16weeks Transit time is 8 weeks Custom clerance: 4 weeks</t>
  </si>
  <si>
    <t xml:space="preserve"> DDP 28 week with condition drawing to be approved within 2 weeks</t>
  </si>
  <si>
    <t>26 weeks after drawing approval DDP</t>
  </si>
  <si>
    <t>CIF 36 weeks  CIF Zhuhai Seaport, P.R. China</t>
  </si>
  <si>
    <t>Custom clerance: 4 weeks</t>
  </si>
  <si>
    <t>Neway_DDP 24weeks after PO;Kcon_DDP22weeks after po</t>
  </si>
  <si>
    <t>DDP 30weeks after PO</t>
  </si>
  <si>
    <t>Ex-work 36</t>
  </si>
  <si>
    <t xml:space="preserve">Ex-work 33 </t>
  </si>
  <si>
    <t>DDP 18 weeks( after drawing)</t>
  </si>
  <si>
    <t>DDP 24 weeks( after drawing)</t>
  </si>
  <si>
    <t>DDP 18 weeks( after PO)</t>
  </si>
  <si>
    <t>DDP 24 weeks( after PO)</t>
  </si>
  <si>
    <t>DDP 30 weeks( after PO)</t>
  </si>
  <si>
    <t>DDP 28 weeks( after drawing)</t>
  </si>
  <si>
    <t>Ex-work 36 weeks</t>
  </si>
  <si>
    <t>30 to 34 weeks after order and receipt of full and final design information.</t>
  </si>
  <si>
    <t>DDP 24 weeks (after PO)</t>
  </si>
  <si>
    <t>ZWP20 - 20 Weeks ARAD + 8 weeks transit time
ZWP21 - 22 Weeks ARAD + 8 weeks transit time
ZWP22 - 24 Weeks ARAD + 8 weeks transit time
ZWP23 - 26 Weeks ARAD + 8 weeks transit time</t>
  </si>
  <si>
    <t xml:space="preserve">DDP 24 weeks after PO </t>
  </si>
  <si>
    <t>DDP 37 to 38 weeks (upon PO signature and drawing approval</t>
  </si>
  <si>
    <t>FCA VIETNAM 32 weeks after PO</t>
  </si>
  <si>
    <t>DDP: 38 weeks after PO</t>
  </si>
  <si>
    <t>RFQ-STR-006-2</t>
    <phoneticPr fontId="20" type="noConversion"/>
  </si>
  <si>
    <t>RFQ-STR-006-3</t>
    <phoneticPr fontId="20" type="noConversion"/>
  </si>
  <si>
    <t>RFQ-STR-0067</t>
    <phoneticPr fontId="20" type="noConversion"/>
  </si>
  <si>
    <t>ZWP21 Jacket Launch Cradle Plates+Ring Stiff Plates</t>
  </si>
  <si>
    <t>ZWP21 Jacket Primary Steel-Tubular TRB</t>
  </si>
  <si>
    <t>ZWP21 Jacket Primary Steel-Tubular CONE</t>
  </si>
  <si>
    <t>ZWP21 Jacket Primary Steel-Tubular JCOE</t>
  </si>
  <si>
    <t>ZWP21 Jacket Hydro static Ring Stiff Plate</t>
  </si>
  <si>
    <t>ZWP21 Jacket Hydro static Ring Stiff Plate</t>
    <phoneticPr fontId="20" type="noConversion"/>
  </si>
  <si>
    <t>Jacket Primary Steel-Piles-3rd</t>
    <phoneticPr fontId="20" type="noConversion"/>
  </si>
  <si>
    <t>Jacket Primary Steel-Piles-1st</t>
    <phoneticPr fontId="20" type="noConversion"/>
  </si>
  <si>
    <t>Jacket Primary Steel-Piles-2nd</t>
    <phoneticPr fontId="20" type="noConversion"/>
  </si>
  <si>
    <t>RFQ-STR-006-8</t>
  </si>
  <si>
    <t>RFQ-STR-006-9</t>
    <phoneticPr fontId="20" type="noConversion"/>
  </si>
  <si>
    <t>RFQ-STR-006-10</t>
    <phoneticPr fontId="20" type="noConversion"/>
  </si>
  <si>
    <t>ZM169-ZWP21-ST-ML-007</t>
    <phoneticPr fontId="20" type="noConversion"/>
  </si>
  <si>
    <t>REV. 3</t>
    <phoneticPr fontId="20" type="noConversion"/>
  </si>
  <si>
    <t>ZH26FA001(14)</t>
    <phoneticPr fontId="20" type="noConversion"/>
  </si>
  <si>
    <t>REV. 5</t>
  </si>
  <si>
    <t>ZH26FA001(16)</t>
    <phoneticPr fontId="20" type="noConversion"/>
  </si>
  <si>
    <t xml:space="preserve">ZM169-ZWP21-ST-ML-007 </t>
    <phoneticPr fontId="20" type="noConversion"/>
  </si>
  <si>
    <t>Rev.1</t>
    <phoneticPr fontId="20" type="noConversion"/>
  </si>
  <si>
    <t>ZM169-WP1-PO-IN-001</t>
    <phoneticPr fontId="20" type="noConversion"/>
  </si>
  <si>
    <t>DDP: 50 days after drawing approve</t>
    <phoneticPr fontId="20" type="noConversion"/>
  </si>
  <si>
    <t xml:space="preserve">DDP : 20 weeks </t>
    <phoneticPr fontId="20" type="noConversion"/>
  </si>
  <si>
    <t>ZWP23 Jacket Primary Steel-Tubular TRB</t>
  </si>
  <si>
    <t>ZWP23 Jacket Primary Steel-Tubular CONE</t>
  </si>
  <si>
    <t>ZWP23 Jacket Primary Steel-Tubular JCOE</t>
  </si>
  <si>
    <t>ZWP23 Jacket Hydro static Ring Stiff Plate</t>
  </si>
  <si>
    <t xml:space="preserve">MM-ZTK-1F-ZWP20-STR-MR-2001
MM-ZTK-1F-ZWP23-STR-MR-2001
MM-ZTK-1F-ZWP22-STR-MR-2001
MM-ZTK-1F-ZWP23-STR-MR-2001 </t>
  </si>
  <si>
    <t>ZWP 21-Place order 3512T</t>
    <phoneticPr fontId="20" type="noConversion"/>
  </si>
  <si>
    <t>ZWP 21-Total 4421.8T</t>
    <phoneticPr fontId="20" type="noConversion"/>
  </si>
  <si>
    <t>Bidder1</t>
    <phoneticPr fontId="20" type="noConversion"/>
  </si>
  <si>
    <t>Bidder2</t>
  </si>
  <si>
    <t>Bidder3</t>
  </si>
  <si>
    <t>Masterflo</t>
    <phoneticPr fontId="20" type="noConversion"/>
  </si>
  <si>
    <t>Update: 3-Jul-2026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</si>
</sst>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yy\.mm\.dd"/>
    <numFmt numFmtId="177" formatCode="0_);[Red]\(0\)"/>
    <numFmt numFmtId="178" formatCode="yy/m/d;@"/>
    <numFmt numFmtId="179" formatCode="[$-409]d\-mmm\-yy;@"/>
    <numFmt numFmtId="180" formatCode="0.0_);[Red]\(0.0\)"/>
    <numFmt numFmtId="181" formatCode="yyyy/m/d;@"/>
    <numFmt numFmtId="182" formatCode="0.00_);[Red]\(0.00\)"/>
  </numFmts>
  <fonts count="91" x14ac:knownFonts="1">
    <font>
      <sz val="11"/>
      <color theme="1"/>
      <name val="等线"/>
      <charset val="134"/>
      <scheme val="minor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4"/>
      <name val="宋体"/>
      <family val="3"/>
      <charset val="134"/>
    </font>
    <font>
      <sz val="12"/>
      <name val="Times New Roman"/>
      <family val="1"/>
    </font>
    <font>
      <sz val="1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 Narrow"/>
      <family val="2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10"/>
      <color theme="1"/>
      <name val="Arial Narrow"/>
      <family val="2"/>
    </font>
    <font>
      <sz val="8"/>
      <color indexed="8"/>
      <name val="Arial"/>
      <family val="2"/>
    </font>
    <font>
      <sz val="9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6"/>
      <color indexed="8"/>
      <name val="Arial"/>
      <family val="2"/>
    </font>
    <font>
      <sz val="8"/>
      <color theme="1"/>
      <name val="Arial"/>
      <family val="2"/>
    </font>
    <font>
      <sz val="8"/>
      <name val="宋体"/>
      <family val="3"/>
      <charset val="134"/>
    </font>
    <font>
      <sz val="10"/>
      <color rgb="FF000000"/>
      <name val="Arial"/>
      <family val="2"/>
    </font>
    <font>
      <sz val="12"/>
      <name val="Arial"/>
      <family val="2"/>
    </font>
    <font>
      <sz val="10"/>
      <color rgb="FF0F1115"/>
      <name val="Arial"/>
      <family val="2"/>
    </font>
    <font>
      <sz val="10"/>
      <color rgb="FF0F1115"/>
      <name val="Segoe UI"/>
      <family val="2"/>
    </font>
    <font>
      <sz val="10"/>
      <color theme="1"/>
      <name val="等线"/>
      <family val="3"/>
      <charset val="134"/>
      <scheme val="minor"/>
    </font>
    <font>
      <sz val="10"/>
      <color rgb="FF0F1115"/>
      <name val="宋体"/>
      <family val="3"/>
      <charset val="134"/>
    </font>
    <font>
      <sz val="10"/>
      <color rgb="FF000000"/>
      <name val="Times New Roman"/>
      <family val="1"/>
    </font>
    <font>
      <sz val="10"/>
      <name val="Arial Narrow"/>
      <family val="2"/>
    </font>
    <font>
      <sz val="8"/>
      <color rgb="FFFF0000"/>
      <name val="Arial"/>
      <family val="2"/>
    </font>
    <font>
      <sz val="8"/>
      <name val="Times New Roman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name val="Arial"/>
      <family val="2"/>
    </font>
    <font>
      <b/>
      <sz val="6"/>
      <name val="Arial"/>
      <family val="2"/>
    </font>
    <font>
      <sz val="6"/>
      <name val="Times New Roman"/>
      <family val="1"/>
    </font>
    <font>
      <sz val="8"/>
      <color theme="1"/>
      <name val="等线"/>
      <family val="3"/>
      <charset val="134"/>
      <scheme val="minor"/>
    </font>
    <font>
      <u/>
      <sz val="8"/>
      <color theme="1"/>
      <name val="Arial Unicode MS"/>
      <family val="2"/>
      <charset val="134"/>
    </font>
    <font>
      <u/>
      <sz val="8"/>
      <name val="Times New Roman"/>
      <family val="1"/>
    </font>
    <font>
      <sz val="8"/>
      <name val="等线"/>
      <family val="3"/>
      <charset val="134"/>
      <scheme val="minor"/>
    </font>
    <font>
      <b/>
      <u/>
      <sz val="8"/>
      <name val="Times New Roman"/>
      <family val="1"/>
    </font>
    <font>
      <b/>
      <sz val="8"/>
      <color theme="1"/>
      <name val="Arial"/>
      <family val="2"/>
    </font>
    <font>
      <sz val="6"/>
      <color rgb="FFFF0000"/>
      <name val="Arial"/>
      <family val="2"/>
    </font>
    <font>
      <sz val="6"/>
      <color rgb="FF000000"/>
      <name val="Arial"/>
      <family val="2"/>
    </font>
    <font>
      <sz val="6"/>
      <color rgb="FF000000"/>
      <name val="宋体"/>
      <family val="2"/>
      <charset val="134"/>
    </font>
    <font>
      <sz val="8"/>
      <name val="Arial Unicode MS"/>
      <family val="2"/>
      <charset val="134"/>
    </font>
    <font>
      <sz val="7"/>
      <name val="Arial"/>
      <family val="2"/>
    </font>
    <font>
      <u/>
      <sz val="8"/>
      <name val="Arial"/>
      <family val="2"/>
    </font>
    <font>
      <sz val="7"/>
      <color indexed="8"/>
      <name val="Arial"/>
      <family val="2"/>
    </font>
    <font>
      <sz val="9"/>
      <name val="Arial Unicode MS"/>
      <family val="2"/>
      <charset val="134"/>
    </font>
    <font>
      <strike/>
      <sz val="8"/>
      <name val="Arial"/>
      <family val="2"/>
    </font>
    <font>
      <strike/>
      <sz val="9"/>
      <name val="Arial"/>
      <family val="2"/>
    </font>
    <font>
      <b/>
      <sz val="11"/>
      <color theme="1"/>
      <name val="等线"/>
      <family val="3"/>
      <charset val="134"/>
      <scheme val="minor"/>
    </font>
    <font>
      <sz val="8"/>
      <color theme="1"/>
      <name val="Arial Unicode MS"/>
      <family val="2"/>
      <charset val="134"/>
    </font>
    <font>
      <sz val="8"/>
      <color rgb="FFFF0000"/>
      <name val="Arial Unicode MS"/>
      <family val="2"/>
      <charset val="134"/>
    </font>
    <font>
      <b/>
      <sz val="9"/>
      <color theme="1"/>
      <name val="Arial Unicode MS"/>
      <family val="2"/>
      <charset val="134"/>
    </font>
    <font>
      <b/>
      <sz val="8"/>
      <color theme="0" tint="-4.9989318521683403E-2"/>
      <name val="Arial Unicode MS"/>
      <family val="2"/>
      <charset val="134"/>
    </font>
    <font>
      <strike/>
      <sz val="9"/>
      <color indexed="8"/>
      <name val="Arial"/>
      <family val="2"/>
    </font>
    <font>
      <strike/>
      <sz val="6"/>
      <name val="Arial"/>
      <family val="2"/>
    </font>
    <font>
      <strike/>
      <sz val="9"/>
      <color theme="1"/>
      <name val="Arial"/>
      <family val="2"/>
    </font>
    <font>
      <strike/>
      <sz val="6"/>
      <color indexed="8"/>
      <name val="Arial"/>
      <family val="2"/>
    </font>
    <font>
      <sz val="8"/>
      <color theme="0"/>
      <name val="Arial Unicode MS"/>
      <family val="2"/>
      <charset val="134"/>
    </font>
    <font>
      <sz val="9"/>
      <name val="等线"/>
      <family val="3"/>
      <charset val="134"/>
      <scheme val="minor"/>
    </font>
    <font>
      <sz val="7"/>
      <color theme="0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  <font>
      <sz val="9"/>
      <color rgb="FF0000CC"/>
      <name val="Arial"/>
      <family val="2"/>
    </font>
    <font>
      <sz val="11"/>
      <color rgb="FF000000"/>
      <name val="Arial"/>
      <family val="2"/>
    </font>
    <font>
      <b/>
      <sz val="9"/>
      <color rgb="FF0000CC"/>
      <name val="Arial"/>
      <family val="2"/>
    </font>
    <font>
      <sz val="8"/>
      <color rgb="FF0000CC"/>
      <name val="Arial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trike/>
      <sz val="9"/>
      <name val="Calibri Light"/>
      <family val="2"/>
    </font>
    <font>
      <b/>
      <strike/>
      <sz val="9"/>
      <color rgb="FF0000CC"/>
      <name val="Calibri Light"/>
      <family val="2"/>
    </font>
    <font>
      <strike/>
      <sz val="9"/>
      <color rgb="FF000000"/>
      <name val="Arial"/>
      <family val="2"/>
    </font>
    <font>
      <strike/>
      <sz val="9"/>
      <color rgb="FFFF000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 Unicode MS"/>
      <family val="2"/>
      <charset val="134"/>
    </font>
    <font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sz val="9"/>
      <color rgb="FF000000"/>
      <name val="Arial Unicode MS"/>
      <family val="2"/>
      <charset val="134"/>
    </font>
    <font>
      <sz val="9"/>
      <color rgb="FF000000"/>
      <name val="Times New Roman"/>
      <family val="1"/>
    </font>
    <font>
      <sz val="7"/>
      <color rgb="FF000000"/>
      <name val="Arial"/>
      <family val="2"/>
    </font>
    <font>
      <b/>
      <sz val="8"/>
      <name val="Arial Unicode MS"/>
      <family val="2"/>
      <charset val="134"/>
    </font>
    <font>
      <sz val="10"/>
      <color indexed="8"/>
      <name val="Arial Unicode MS"/>
      <family val="2"/>
      <charset val="134"/>
    </font>
    <font>
      <sz val="10"/>
      <name val="Arial Unicode MS"/>
      <family val="2"/>
      <charset val="134"/>
    </font>
    <font>
      <sz val="12"/>
      <name val="Arial Unicode MS"/>
      <family val="2"/>
      <charset val="134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Down">
        <bgColor indexed="43"/>
      </patternFill>
    </fill>
    <fill>
      <patternFill patternType="solid">
        <fgColor indexed="10"/>
        <bgColor indexed="10"/>
      </patternFill>
    </fill>
    <fill>
      <patternFill patternType="solid">
        <fgColor indexed="11"/>
        <bgColor indexed="11"/>
      </patternFill>
    </fill>
    <fill>
      <patternFill patternType="solid">
        <fgColor indexed="9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rgb="FF0000CC"/>
      </left>
      <right style="thick">
        <color rgb="FF0000CC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ck">
        <color rgb="FF0000CC"/>
      </left>
      <right style="thick">
        <color rgb="FF0000CC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</borders>
  <cellStyleXfs count="6">
    <xf numFmtId="0" fontId="0" fillId="0" borderId="0"/>
    <xf numFmtId="0" fontId="25" fillId="0" borderId="0"/>
    <xf numFmtId="0" fontId="19" fillId="0" borderId="0"/>
    <xf numFmtId="43" fontId="19" fillId="0" borderId="0" applyFont="0" applyFill="0" applyBorder="0" applyAlignment="0" applyProtection="0">
      <alignment vertical="center"/>
    </xf>
    <xf numFmtId="0" fontId="30" fillId="0" borderId="0"/>
    <xf numFmtId="0" fontId="30" fillId="0" borderId="0"/>
  </cellStyleXfs>
  <cellXfs count="45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horizontal="left" wrapText="1"/>
    </xf>
    <xf numFmtId="176" fontId="6" fillId="0" borderId="0" xfId="0" applyNumberFormat="1" applyFont="1"/>
    <xf numFmtId="176" fontId="6" fillId="2" borderId="0" xfId="0" applyNumberFormat="1" applyFont="1" applyFill="1"/>
    <xf numFmtId="0" fontId="11" fillId="3" borderId="1" xfId="0" applyFont="1" applyFill="1" applyBorder="1" applyAlignment="1">
      <alignment horizontal="center" vertical="center" wrapText="1"/>
    </xf>
    <xf numFmtId="178" fontId="12" fillId="4" borderId="4" xfId="0" applyNumberFormat="1" applyFont="1" applyFill="1" applyBorder="1" applyAlignment="1">
      <alignment horizontal="center"/>
    </xf>
    <xf numFmtId="178" fontId="12" fillId="4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179" fontId="14" fillId="5" borderId="6" xfId="0" applyNumberFormat="1" applyFont="1" applyFill="1" applyBorder="1" applyAlignment="1">
      <alignment horizontal="center" vertical="center"/>
    </xf>
    <xf numFmtId="177" fontId="14" fillId="6" borderId="6" xfId="0" applyNumberFormat="1" applyFont="1" applyFill="1" applyBorder="1" applyAlignment="1">
      <alignment horizontal="center" vertical="center"/>
    </xf>
    <xf numFmtId="10" fontId="13" fillId="2" borderId="8" xfId="0" applyNumberFormat="1" applyFont="1" applyFill="1" applyBorder="1" applyAlignment="1">
      <alignment horizontal="center" vertical="center"/>
    </xf>
    <xf numFmtId="10" fontId="13" fillId="2" borderId="9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/>
    </xf>
    <xf numFmtId="179" fontId="9" fillId="4" borderId="11" xfId="0" applyNumberFormat="1" applyFont="1" applyFill="1" applyBorder="1" applyAlignment="1">
      <alignment horizontal="center" vertical="center"/>
    </xf>
    <xf numFmtId="179" fontId="9" fillId="4" borderId="11" xfId="0" applyNumberFormat="1" applyFont="1" applyFill="1" applyBorder="1" applyAlignment="1">
      <alignment horizontal="center" vertical="center" wrapText="1"/>
    </xf>
    <xf numFmtId="177" fontId="9" fillId="4" borderId="11" xfId="0" applyNumberFormat="1" applyFont="1" applyFill="1" applyBorder="1" applyAlignment="1">
      <alignment horizontal="center" vertical="center" wrapText="1"/>
    </xf>
    <xf numFmtId="10" fontId="16" fillId="2" borderId="8" xfId="0" applyNumberFormat="1" applyFont="1" applyFill="1" applyBorder="1" applyAlignment="1">
      <alignment horizontal="center" vertical="center"/>
    </xf>
    <xf numFmtId="10" fontId="16" fillId="2" borderId="9" xfId="0" applyNumberFormat="1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/>
    </xf>
    <xf numFmtId="179" fontId="14" fillId="3" borderId="14" xfId="0" applyNumberFormat="1" applyFont="1" applyFill="1" applyBorder="1" applyAlignment="1">
      <alignment horizontal="center" vertical="center"/>
    </xf>
    <xf numFmtId="179" fontId="10" fillId="3" borderId="14" xfId="0" applyNumberFormat="1" applyFont="1" applyFill="1" applyBorder="1" applyAlignment="1">
      <alignment horizontal="center" vertical="center"/>
    </xf>
    <xf numFmtId="177" fontId="14" fillId="3" borderId="14" xfId="0" applyNumberFormat="1" applyFont="1" applyFill="1" applyBorder="1" applyAlignment="1">
      <alignment horizontal="center" vertical="center"/>
    </xf>
    <xf numFmtId="10" fontId="13" fillId="2" borderId="16" xfId="0" applyNumberFormat="1" applyFont="1" applyFill="1" applyBorder="1" applyAlignment="1">
      <alignment horizontal="center" vertical="center"/>
    </xf>
    <xf numFmtId="10" fontId="13" fillId="2" borderId="17" xfId="0" applyNumberFormat="1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180" fontId="6" fillId="0" borderId="0" xfId="0" applyNumberFormat="1" applyFont="1"/>
    <xf numFmtId="177" fontId="6" fillId="0" borderId="0" xfId="0" applyNumberFormat="1" applyFont="1"/>
    <xf numFmtId="180" fontId="11" fillId="3" borderId="1" xfId="0" applyNumberFormat="1" applyFont="1" applyFill="1" applyBorder="1" applyAlignment="1">
      <alignment horizontal="center" vertical="center" wrapText="1"/>
    </xf>
    <xf numFmtId="177" fontId="11" fillId="3" borderId="1" xfId="0" applyNumberFormat="1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179" fontId="10" fillId="5" borderId="6" xfId="0" applyNumberFormat="1" applyFont="1" applyFill="1" applyBorder="1" applyAlignment="1">
      <alignment horizontal="center" vertical="center"/>
    </xf>
    <xf numFmtId="180" fontId="10" fillId="5" borderId="6" xfId="0" applyNumberFormat="1" applyFont="1" applyFill="1" applyBorder="1" applyAlignment="1">
      <alignment horizontal="center" vertical="center"/>
    </xf>
    <xf numFmtId="177" fontId="10" fillId="5" borderId="6" xfId="0" applyNumberFormat="1" applyFont="1" applyFill="1" applyBorder="1" applyAlignment="1">
      <alignment horizontal="center" vertical="center"/>
    </xf>
    <xf numFmtId="0" fontId="9" fillId="0" borderId="6" xfId="0" quotePrefix="1" applyNumberFormat="1" applyFont="1" applyFill="1" applyBorder="1" applyAlignment="1">
      <alignment horizontal="center" vertical="center" wrapText="1"/>
    </xf>
    <xf numFmtId="0" fontId="10" fillId="0" borderId="6" xfId="0" quotePrefix="1" applyFont="1" applyFill="1" applyBorder="1" applyAlignment="1">
      <alignment horizontal="center" vertical="center" wrapText="1"/>
    </xf>
    <xf numFmtId="0" fontId="10" fillId="0" borderId="11" xfId="0" quotePrefix="1" applyFont="1" applyFill="1" applyBorder="1" applyAlignment="1">
      <alignment horizontal="center" vertical="center"/>
    </xf>
    <xf numFmtId="0" fontId="10" fillId="0" borderId="14" xfId="0" quotePrefix="1" applyFont="1" applyFill="1" applyBorder="1" applyAlignment="1">
      <alignment horizontal="center" vertical="center" wrapText="1"/>
    </xf>
    <xf numFmtId="0" fontId="10" fillId="0" borderId="6" xfId="0" quotePrefix="1" applyFont="1" applyBorder="1" applyAlignment="1">
      <alignment horizontal="center" vertical="center" wrapText="1"/>
    </xf>
    <xf numFmtId="0" fontId="10" fillId="0" borderId="11" xfId="0" quotePrefix="1" applyFont="1" applyBorder="1" applyAlignment="1">
      <alignment horizontal="center" vertical="center"/>
    </xf>
    <xf numFmtId="0" fontId="10" fillId="0" borderId="14" xfId="0" quotePrefix="1" applyFont="1" applyBorder="1" applyAlignment="1">
      <alignment horizontal="center" vertical="center" wrapText="1"/>
    </xf>
    <xf numFmtId="0" fontId="14" fillId="0" borderId="14" xfId="0" quotePrefix="1" applyFont="1" applyBorder="1" applyAlignment="1">
      <alignment horizontal="center" vertical="center" wrapText="1"/>
    </xf>
    <xf numFmtId="58" fontId="10" fillId="0" borderId="6" xfId="0" quotePrefix="1" applyNumberFormat="1" applyFont="1" applyBorder="1" applyAlignment="1">
      <alignment horizontal="center" vertical="center" wrapText="1"/>
    </xf>
    <xf numFmtId="0" fontId="10" fillId="0" borderId="18" xfId="0" quotePrefix="1" applyFont="1" applyBorder="1" applyAlignment="1">
      <alignment horizontal="center" vertical="center"/>
    </xf>
    <xf numFmtId="0" fontId="9" fillId="0" borderId="6" xfId="0" quotePrefix="1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77" fontId="10" fillId="6" borderId="6" xfId="0" applyNumberFormat="1" applyFont="1" applyFill="1" applyBorder="1" applyAlignment="1">
      <alignment horizontal="center" vertical="center"/>
    </xf>
    <xf numFmtId="179" fontId="10" fillId="6" borderId="6" xfId="0" applyNumberFormat="1" applyFont="1" applyFill="1" applyBorder="1" applyAlignment="1">
      <alignment horizontal="center" vertical="center"/>
    </xf>
    <xf numFmtId="177" fontId="10" fillId="4" borderId="11" xfId="0" applyNumberFormat="1" applyFont="1" applyFill="1" applyBorder="1" applyAlignment="1">
      <alignment horizontal="center" vertical="center" wrapText="1"/>
    </xf>
    <xf numFmtId="177" fontId="10" fillId="3" borderId="14" xfId="0" applyNumberFormat="1" applyFont="1" applyFill="1" applyBorder="1" applyAlignment="1">
      <alignment horizontal="center" vertical="center"/>
    </xf>
    <xf numFmtId="180" fontId="10" fillId="4" borderId="11" xfId="0" applyNumberFormat="1" applyFont="1" applyFill="1" applyBorder="1" applyAlignment="1">
      <alignment horizontal="center" vertical="center" wrapText="1"/>
    </xf>
    <xf numFmtId="180" fontId="10" fillId="3" borderId="14" xfId="0" applyNumberFormat="1" applyFont="1" applyFill="1" applyBorder="1" applyAlignment="1">
      <alignment horizontal="center" vertical="center"/>
    </xf>
    <xf numFmtId="179" fontId="10" fillId="4" borderId="11" xfId="0" applyNumberFormat="1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80" fontId="18" fillId="4" borderId="11" xfId="0" applyNumberFormat="1" applyFont="1" applyFill="1" applyBorder="1" applyAlignment="1">
      <alignment horizontal="center" vertical="center" wrapText="1"/>
    </xf>
    <xf numFmtId="177" fontId="18" fillId="4" borderId="11" xfId="0" applyNumberFormat="1" applyFont="1" applyFill="1" applyBorder="1" applyAlignment="1">
      <alignment horizontal="center" vertical="center" wrapText="1"/>
    </xf>
    <xf numFmtId="0" fontId="22" fillId="0" borderId="0" xfId="0" applyFont="1"/>
    <xf numFmtId="0" fontId="12" fillId="0" borderId="6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 wrapText="1"/>
    </xf>
    <xf numFmtId="0" fontId="23" fillId="2" borderId="0" xfId="0" applyFont="1" applyFill="1"/>
    <xf numFmtId="0" fontId="12" fillId="0" borderId="14" xfId="0" applyFont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181" fontId="26" fillId="7" borderId="1" xfId="0" applyNumberFormat="1" applyFont="1" applyFill="1" applyBorder="1" applyAlignment="1">
      <alignment horizontal="center" vertical="center" wrapText="1"/>
    </xf>
    <xf numFmtId="0" fontId="27" fillId="7" borderId="4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181" fontId="26" fillId="7" borderId="19" xfId="1" applyNumberFormat="1" applyFont="1" applyFill="1" applyBorder="1" applyAlignment="1">
      <alignment horizontal="center" wrapText="1"/>
    </xf>
    <xf numFmtId="0" fontId="26" fillId="7" borderId="20" xfId="1" applyFont="1" applyFill="1" applyBorder="1" applyAlignment="1">
      <alignment wrapText="1"/>
    </xf>
    <xf numFmtId="0" fontId="29" fillId="7" borderId="20" xfId="0" applyFont="1" applyFill="1" applyBorder="1" applyAlignment="1">
      <alignment horizontal="left" vertical="center" wrapText="1"/>
    </xf>
    <xf numFmtId="0" fontId="26" fillId="7" borderId="20" xfId="1" applyFont="1" applyFill="1" applyBorder="1" applyAlignment="1">
      <alignment horizontal="left" wrapText="1"/>
    </xf>
    <xf numFmtId="0" fontId="28" fillId="0" borderId="0" xfId="0" applyFont="1"/>
    <xf numFmtId="0" fontId="28" fillId="0" borderId="0" xfId="0" applyFont="1" applyAlignment="1">
      <alignment horizontal="center"/>
    </xf>
    <xf numFmtId="0" fontId="26" fillId="7" borderId="4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vertical="center"/>
    </xf>
    <xf numFmtId="181" fontId="27" fillId="7" borderId="19" xfId="0" applyNumberFormat="1" applyFont="1" applyFill="1" applyBorder="1" applyAlignment="1">
      <alignment horizontal="center" wrapText="1"/>
    </xf>
    <xf numFmtId="0" fontId="27" fillId="7" borderId="20" xfId="0" applyFont="1" applyFill="1" applyBorder="1" applyAlignment="1">
      <alignment wrapText="1"/>
    </xf>
    <xf numFmtId="0" fontId="14" fillId="0" borderId="1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177" fontId="11" fillId="3" borderId="2" xfId="0" applyNumberFormat="1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179" fontId="9" fillId="4" borderId="12" xfId="0" applyNumberFormat="1" applyFont="1" applyFill="1" applyBorder="1" applyAlignment="1">
      <alignment horizontal="center" vertical="center"/>
    </xf>
    <xf numFmtId="179" fontId="9" fillId="4" borderId="18" xfId="0" applyNumberFormat="1" applyFont="1" applyFill="1" applyBorder="1" applyAlignment="1">
      <alignment horizontal="center" vertical="center" wrapText="1"/>
    </xf>
    <xf numFmtId="180" fontId="10" fillId="4" borderId="12" xfId="0" applyNumberFormat="1" applyFont="1" applyFill="1" applyBorder="1" applyAlignment="1">
      <alignment horizontal="center" vertical="center" wrapText="1"/>
    </xf>
    <xf numFmtId="177" fontId="10" fillId="4" borderId="12" xfId="0" applyNumberFormat="1" applyFont="1" applyFill="1" applyBorder="1" applyAlignment="1">
      <alignment horizontal="center" vertical="center" wrapText="1"/>
    </xf>
    <xf numFmtId="179" fontId="10" fillId="4" borderId="12" xfId="0" applyNumberFormat="1" applyFont="1" applyFill="1" applyBorder="1" applyAlignment="1">
      <alignment horizontal="center" vertical="center" wrapText="1"/>
    </xf>
    <xf numFmtId="181" fontId="27" fillId="7" borderId="1" xfId="0" applyNumberFormat="1" applyFont="1" applyFill="1" applyBorder="1" applyAlignment="1">
      <alignment horizontal="center" vertical="center" wrapText="1"/>
    </xf>
    <xf numFmtId="0" fontId="27" fillId="7" borderId="4" xfId="0" applyFont="1" applyFill="1" applyBorder="1" applyAlignment="1">
      <alignment horizontal="center" vertical="center" wrapText="1"/>
    </xf>
    <xf numFmtId="179" fontId="9" fillId="4" borderId="12" xfId="0" applyNumberFormat="1" applyFont="1" applyFill="1" applyBorder="1" applyAlignment="1">
      <alignment horizontal="center" vertical="center" wrapText="1"/>
    </xf>
    <xf numFmtId="179" fontId="10" fillId="3" borderId="14" xfId="0" applyNumberFormat="1" applyFont="1" applyFill="1" applyBorder="1" applyAlignment="1">
      <alignment horizontal="center" vertical="center" wrapText="1"/>
    </xf>
    <xf numFmtId="179" fontId="10" fillId="4" borderId="11" xfId="0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10" fontId="31" fillId="2" borderId="8" xfId="0" applyNumberFormat="1" applyFont="1" applyFill="1" applyBorder="1" applyAlignment="1">
      <alignment horizontal="center" vertical="center"/>
    </xf>
    <xf numFmtId="10" fontId="31" fillId="2" borderId="9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10" fontId="31" fillId="2" borderId="16" xfId="0" applyNumberFormat="1" applyFont="1" applyFill="1" applyBorder="1" applyAlignment="1">
      <alignment horizontal="center" vertical="center"/>
    </xf>
    <xf numFmtId="10" fontId="31" fillId="2" borderId="17" xfId="0" applyNumberFormat="1" applyFont="1" applyFill="1" applyBorder="1" applyAlignment="1">
      <alignment horizontal="center" vertical="center"/>
    </xf>
    <xf numFmtId="179" fontId="10" fillId="4" borderId="18" xfId="0" applyNumberFormat="1" applyFont="1" applyFill="1" applyBorder="1" applyAlignment="1">
      <alignment horizontal="center" vertical="center" wrapText="1"/>
    </xf>
    <xf numFmtId="177" fontId="10" fillId="6" borderId="7" xfId="0" applyNumberFormat="1" applyFont="1" applyFill="1" applyBorder="1" applyAlignment="1">
      <alignment horizontal="center" vertical="center"/>
    </xf>
    <xf numFmtId="177" fontId="9" fillId="4" borderId="12" xfId="0" applyNumberFormat="1" applyFont="1" applyFill="1" applyBorder="1" applyAlignment="1">
      <alignment horizontal="center" vertical="center" wrapText="1"/>
    </xf>
    <xf numFmtId="177" fontId="14" fillId="3" borderId="15" xfId="0" applyNumberFormat="1" applyFont="1" applyFill="1" applyBorder="1" applyAlignment="1">
      <alignment horizontal="center" vertical="center"/>
    </xf>
    <xf numFmtId="177" fontId="14" fillId="6" borderId="7" xfId="0" applyNumberFormat="1" applyFont="1" applyFill="1" applyBorder="1" applyAlignment="1">
      <alignment horizontal="center" vertical="center"/>
    </xf>
    <xf numFmtId="177" fontId="10" fillId="3" borderId="15" xfId="0" applyNumberFormat="1" applyFont="1" applyFill="1" applyBorder="1" applyAlignment="1">
      <alignment horizontal="center" vertical="center"/>
    </xf>
    <xf numFmtId="179" fontId="18" fillId="4" borderId="11" xfId="0" applyNumberFormat="1" applyFont="1" applyFill="1" applyBorder="1" applyAlignment="1">
      <alignment horizontal="center" vertical="center" wrapText="1"/>
    </xf>
    <xf numFmtId="0" fontId="32" fillId="0" borderId="6" xfId="0" applyFont="1" applyFill="1" applyBorder="1" applyAlignment="1">
      <alignment horizontal="center" vertical="center" wrapText="1"/>
    </xf>
    <xf numFmtId="0" fontId="32" fillId="0" borderId="1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33" fillId="2" borderId="0" xfId="0" applyFont="1" applyFill="1"/>
    <xf numFmtId="0" fontId="36" fillId="0" borderId="6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6" fillId="0" borderId="6" xfId="0" applyFont="1" applyFill="1" applyBorder="1" applyAlignment="1">
      <alignment horizontal="center" vertical="center" wrapText="1"/>
    </xf>
    <xf numFmtId="0" fontId="36" fillId="0" borderId="11" xfId="0" applyFont="1" applyFill="1" applyBorder="1" applyAlignment="1">
      <alignment horizontal="center" vertical="center"/>
    </xf>
    <xf numFmtId="0" fontId="36" fillId="0" borderId="14" xfId="0" applyFont="1" applyFill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36" fillId="0" borderId="21" xfId="0" applyFont="1" applyBorder="1" applyAlignment="1">
      <alignment horizontal="center" vertical="center"/>
    </xf>
    <xf numFmtId="176" fontId="38" fillId="0" borderId="0" xfId="0" applyNumberFormat="1" applyFont="1" applyFill="1" applyAlignment="1">
      <alignment horizontal="left" vertical="top"/>
    </xf>
    <xf numFmtId="0" fontId="37" fillId="3" borderId="1" xfId="0" applyFont="1" applyFill="1" applyBorder="1" applyAlignment="1">
      <alignment horizontal="left" vertical="top" wrapText="1"/>
    </xf>
    <xf numFmtId="0" fontId="39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77" fontId="40" fillId="0" borderId="0" xfId="0" applyNumberFormat="1" applyFont="1" applyAlignment="1">
      <alignment vertical="center" wrapText="1"/>
    </xf>
    <xf numFmtId="177" fontId="41" fillId="0" borderId="0" xfId="0" applyNumberFormat="1" applyFont="1" applyAlignment="1">
      <alignment horizontal="right" vertical="center"/>
    </xf>
    <xf numFmtId="180" fontId="41" fillId="0" borderId="0" xfId="0" applyNumberFormat="1" applyFont="1" applyAlignment="1">
      <alignment horizontal="right" vertical="center"/>
    </xf>
    <xf numFmtId="177" fontId="41" fillId="0" borderId="0" xfId="0" applyNumberFormat="1" applyFont="1" applyFill="1" applyAlignment="1">
      <alignment horizontal="left" vertical="top"/>
    </xf>
    <xf numFmtId="14" fontId="39" fillId="0" borderId="0" xfId="0" applyNumberFormat="1" applyFont="1"/>
    <xf numFmtId="177" fontId="40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77" fontId="43" fillId="0" borderId="0" xfId="0" applyNumberFormat="1" applyFont="1" applyAlignment="1">
      <alignment horizontal="right" vertical="center"/>
    </xf>
    <xf numFmtId="177" fontId="43" fillId="0" borderId="0" xfId="0" applyNumberFormat="1" applyFont="1" applyAlignment="1">
      <alignment horizontal="center" vertical="center"/>
    </xf>
    <xf numFmtId="176" fontId="33" fillId="0" borderId="0" xfId="0" applyNumberFormat="1" applyFont="1"/>
    <xf numFmtId="180" fontId="33" fillId="0" borderId="0" xfId="0" applyNumberFormat="1" applyFont="1"/>
    <xf numFmtId="177" fontId="33" fillId="0" borderId="0" xfId="0" applyNumberFormat="1" applyFont="1"/>
    <xf numFmtId="176" fontId="33" fillId="0" borderId="0" xfId="0" applyNumberFormat="1" applyFont="1" applyFill="1" applyAlignment="1">
      <alignment horizontal="left" vertical="top"/>
    </xf>
    <xf numFmtId="0" fontId="44" fillId="0" borderId="0" xfId="0" applyFont="1" applyAlignment="1">
      <alignment vertical="center"/>
    </xf>
    <xf numFmtId="0" fontId="36" fillId="0" borderId="0" xfId="0" applyFont="1" applyAlignment="1">
      <alignment horizontal="right" vertical="center"/>
    </xf>
    <xf numFmtId="0" fontId="36" fillId="0" borderId="11" xfId="0" applyFont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/>
    </xf>
    <xf numFmtId="0" fontId="36" fillId="0" borderId="6" xfId="0" applyFont="1" applyFill="1" applyBorder="1" applyAlignment="1">
      <alignment horizontal="center" vertical="center"/>
    </xf>
    <xf numFmtId="0" fontId="21" fillId="0" borderId="14" xfId="0" applyFont="1" applyFill="1" applyBorder="1" applyAlignment="1">
      <alignment horizontal="center" vertical="center"/>
    </xf>
    <xf numFmtId="0" fontId="36" fillId="0" borderId="18" xfId="0" applyFont="1" applyFill="1" applyBorder="1" applyAlignment="1">
      <alignment horizontal="center" vertical="center" wrapText="1"/>
    </xf>
    <xf numFmtId="0" fontId="36" fillId="0" borderId="11" xfId="0" applyFont="1" applyBorder="1" applyAlignment="1">
      <alignment horizontal="left" vertical="center" wrapText="1"/>
    </xf>
    <xf numFmtId="0" fontId="36" fillId="0" borderId="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38" fillId="2" borderId="0" xfId="0" applyFont="1" applyFill="1"/>
    <xf numFmtId="0" fontId="32" fillId="0" borderId="11" xfId="0" applyFont="1" applyFill="1" applyBorder="1" applyAlignment="1">
      <alignment horizontal="center" vertical="center"/>
    </xf>
    <xf numFmtId="0" fontId="45" fillId="0" borderId="6" xfId="0" applyFont="1" applyFill="1" applyBorder="1" applyAlignment="1">
      <alignment horizontal="center" vertical="center" wrapText="1"/>
    </xf>
    <xf numFmtId="0" fontId="45" fillId="0" borderId="11" xfId="0" applyFont="1" applyFill="1" applyBorder="1" applyAlignment="1">
      <alignment horizontal="center" vertical="center"/>
    </xf>
    <xf numFmtId="0" fontId="45" fillId="0" borderId="14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9" borderId="11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9" fillId="9" borderId="21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0" fontId="42" fillId="0" borderId="0" xfId="0" applyFont="1" applyFill="1"/>
    <xf numFmtId="0" fontId="6" fillId="0" borderId="0" xfId="0" applyFont="1" applyFill="1"/>
    <xf numFmtId="0" fontId="9" fillId="9" borderId="6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36" fillId="0" borderId="11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176" fontId="48" fillId="0" borderId="0" xfId="0" applyNumberFormat="1" applyFont="1" applyFill="1" applyAlignment="1">
      <alignment horizontal="center" vertical="top"/>
    </xf>
    <xf numFmtId="177" fontId="43" fillId="8" borderId="0" xfId="0" applyNumberFormat="1" applyFont="1" applyFill="1" applyAlignment="1">
      <alignment horizontal="center" vertical="center"/>
    </xf>
    <xf numFmtId="0" fontId="10" fillId="0" borderId="6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49" fillId="0" borderId="0" xfId="0" applyFont="1" applyAlignment="1">
      <alignment vertical="center"/>
    </xf>
    <xf numFmtId="0" fontId="17" fillId="0" borderId="1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2" borderId="0" xfId="0" applyFont="1" applyFill="1" applyAlignment="1">
      <alignment horizontal="left" wrapText="1"/>
    </xf>
    <xf numFmtId="0" fontId="10" fillId="0" borderId="14" xfId="0" applyFont="1" applyFill="1" applyBorder="1" applyAlignment="1">
      <alignment horizontal="left" vertical="center" wrapText="1"/>
    </xf>
    <xf numFmtId="0" fontId="18" fillId="0" borderId="11" xfId="0" applyFont="1" applyFill="1" applyBorder="1" applyAlignment="1">
      <alignment horizontal="left" vertical="center"/>
    </xf>
    <xf numFmtId="0" fontId="10" fillId="10" borderId="6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179" fontId="14" fillId="12" borderId="6" xfId="0" applyNumberFormat="1" applyFont="1" applyFill="1" applyBorder="1" applyAlignment="1">
      <alignment horizontal="center" vertical="center"/>
    </xf>
    <xf numFmtId="0" fontId="49" fillId="0" borderId="6" xfId="0" applyFont="1" applyBorder="1" applyAlignment="1">
      <alignment horizontal="left" vertical="center" wrapText="1"/>
    </xf>
    <xf numFmtId="179" fontId="17" fillId="3" borderId="14" xfId="0" applyNumberFormat="1" applyFont="1" applyFill="1" applyBorder="1" applyAlignment="1">
      <alignment horizontal="center" vertical="center"/>
    </xf>
    <xf numFmtId="0" fontId="11" fillId="13" borderId="22" xfId="0" applyFont="1" applyFill="1" applyBorder="1" applyAlignment="1">
      <alignment horizontal="center" vertical="center" wrapText="1" readingOrder="1"/>
    </xf>
    <xf numFmtId="0" fontId="11" fillId="14" borderId="22" xfId="0" applyFont="1" applyFill="1" applyBorder="1" applyAlignment="1">
      <alignment horizontal="center" vertical="center" wrapText="1" readingOrder="1"/>
    </xf>
    <xf numFmtId="0" fontId="50" fillId="15" borderId="22" xfId="0" applyFont="1" applyFill="1" applyBorder="1" applyAlignment="1">
      <alignment horizontal="left" vertical="center" wrapText="1" readingOrder="1"/>
    </xf>
    <xf numFmtId="0" fontId="12" fillId="15" borderId="22" xfId="0" applyFont="1" applyFill="1" applyBorder="1" applyAlignment="1">
      <alignment horizontal="left" vertical="center" wrapText="1" readingOrder="1"/>
    </xf>
    <xf numFmtId="0" fontId="12" fillId="15" borderId="22" xfId="0" applyFont="1" applyFill="1" applyBorder="1" applyAlignment="1">
      <alignment horizontal="center" vertical="center" wrapText="1" readingOrder="1"/>
    </xf>
    <xf numFmtId="0" fontId="12" fillId="15" borderId="23" xfId="0" applyFont="1" applyFill="1" applyBorder="1" applyAlignment="1">
      <alignment horizontal="left" vertical="center" wrapText="1" readingOrder="1"/>
    </xf>
    <xf numFmtId="0" fontId="12" fillId="15" borderId="25" xfId="0" applyFont="1" applyFill="1" applyBorder="1" applyAlignment="1">
      <alignment horizontal="center" vertical="center" wrapText="1" readingOrder="1"/>
    </xf>
    <xf numFmtId="0" fontId="12" fillId="0" borderId="11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horizontal="left" vertical="center" wrapText="1"/>
    </xf>
    <xf numFmtId="0" fontId="49" fillId="0" borderId="11" xfId="0" applyFont="1" applyFill="1" applyBorder="1" applyAlignment="1">
      <alignment horizontal="left" vertical="center"/>
    </xf>
    <xf numFmtId="0" fontId="17" fillId="0" borderId="14" xfId="0" applyFont="1" applyFill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 wrapText="1"/>
    </xf>
    <xf numFmtId="0" fontId="49" fillId="0" borderId="11" xfId="0" applyFont="1" applyBorder="1" applyAlignment="1">
      <alignment horizontal="left" vertical="center"/>
    </xf>
    <xf numFmtId="0" fontId="51" fillId="0" borderId="14" xfId="0" applyFont="1" applyBorder="1" applyAlignment="1">
      <alignment horizontal="left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2" fillId="16" borderId="22" xfId="0" applyFont="1" applyFill="1" applyBorder="1" applyAlignment="1">
      <alignment horizontal="center" vertical="center" wrapText="1" readingOrder="1"/>
    </xf>
    <xf numFmtId="0" fontId="12" fillId="16" borderId="24" xfId="0" applyFont="1" applyFill="1" applyBorder="1" applyAlignment="1">
      <alignment horizontal="center" vertical="center" wrapText="1" readingOrder="1"/>
    </xf>
    <xf numFmtId="0" fontId="52" fillId="2" borderId="0" xfId="0" applyFont="1" applyFill="1" applyAlignment="1">
      <alignment vertical="center"/>
    </xf>
    <xf numFmtId="0" fontId="12" fillId="0" borderId="6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53" fillId="0" borderId="6" xfId="0" applyFont="1" applyFill="1" applyBorder="1" applyAlignment="1">
      <alignment horizontal="center" vertical="center" wrapText="1"/>
    </xf>
    <xf numFmtId="0" fontId="54" fillId="2" borderId="6" xfId="0" applyFont="1" applyFill="1" applyBorder="1" applyAlignment="1">
      <alignment horizontal="center" vertical="center" wrapText="1"/>
    </xf>
    <xf numFmtId="0" fontId="54" fillId="0" borderId="6" xfId="0" applyFont="1" applyFill="1" applyBorder="1" applyAlignment="1">
      <alignment horizontal="center" vertical="center" wrapText="1"/>
    </xf>
    <xf numFmtId="0" fontId="53" fillId="0" borderId="11" xfId="0" applyFont="1" applyFill="1" applyBorder="1" applyAlignment="1">
      <alignment horizontal="center" vertical="center"/>
    </xf>
    <xf numFmtId="0" fontId="54" fillId="2" borderId="11" xfId="0" applyFont="1" applyFill="1" applyBorder="1" applyAlignment="1">
      <alignment horizontal="center" vertical="center" wrapText="1"/>
    </xf>
    <xf numFmtId="0" fontId="54" fillId="0" borderId="11" xfId="0" applyFont="1" applyFill="1" applyBorder="1" applyAlignment="1">
      <alignment horizontal="center" vertical="center"/>
    </xf>
    <xf numFmtId="0" fontId="53" fillId="0" borderId="14" xfId="0" applyFont="1" applyFill="1" applyBorder="1" applyAlignment="1">
      <alignment horizontal="center" vertical="center" wrapText="1"/>
    </xf>
    <xf numFmtId="0" fontId="54" fillId="2" borderId="14" xfId="0" applyFont="1" applyFill="1" applyBorder="1" applyAlignment="1">
      <alignment horizontal="center" vertical="center" wrapText="1"/>
    </xf>
    <xf numFmtId="0" fontId="54" fillId="0" borderId="14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left" vertical="center" wrapText="1"/>
    </xf>
    <xf numFmtId="0" fontId="12" fillId="11" borderId="6" xfId="0" applyFont="1" applyFill="1" applyBorder="1" applyAlignment="1">
      <alignment horizontal="center" vertical="center" wrapText="1"/>
    </xf>
    <xf numFmtId="179" fontId="18" fillId="4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56" fillId="0" borderId="1" xfId="0" applyFont="1" applyFill="1" applyBorder="1" applyAlignment="1">
      <alignment horizontal="center" vertical="center"/>
    </xf>
    <xf numFmtId="0" fontId="56" fillId="0" borderId="1" xfId="0" applyFont="1" applyFill="1" applyBorder="1" applyAlignment="1">
      <alignment vertical="center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 applyAlignment="1">
      <alignment horizontal="center" vertical="center" wrapText="1"/>
    </xf>
    <xf numFmtId="0" fontId="57" fillId="0" borderId="1" xfId="0" applyFont="1" applyFill="1" applyBorder="1" applyAlignment="1">
      <alignment vertical="center" wrapText="1"/>
    </xf>
    <xf numFmtId="182" fontId="56" fillId="0" borderId="1" xfId="0" applyNumberFormat="1" applyFont="1" applyFill="1" applyBorder="1" applyAlignment="1">
      <alignment horizontal="center" vertical="center"/>
    </xf>
    <xf numFmtId="182" fontId="0" fillId="0" borderId="0" xfId="0" applyNumberFormat="1" applyAlignment="1">
      <alignment vertical="center"/>
    </xf>
    <xf numFmtId="182" fontId="58" fillId="0" borderId="0" xfId="0" applyNumberFormat="1" applyFont="1" applyAlignment="1">
      <alignment vertical="center"/>
    </xf>
    <xf numFmtId="182" fontId="56" fillId="0" borderId="2" xfId="0" applyNumberFormat="1" applyFont="1" applyFill="1" applyBorder="1" applyAlignment="1">
      <alignment horizontal="center" vertical="center"/>
    </xf>
    <xf numFmtId="179" fontId="56" fillId="0" borderId="1" xfId="0" applyNumberFormat="1" applyFont="1" applyFill="1" applyBorder="1" applyAlignment="1">
      <alignment horizontal="center" vertical="center" wrapText="1"/>
    </xf>
    <xf numFmtId="179" fontId="48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59" fillId="17" borderId="2" xfId="0" applyFont="1" applyFill="1" applyBorder="1" applyAlignment="1">
      <alignment horizontal="center" vertical="center"/>
    </xf>
    <xf numFmtId="0" fontId="59" fillId="17" borderId="2" xfId="0" applyFont="1" applyFill="1" applyBorder="1" applyAlignment="1">
      <alignment horizontal="center" vertical="center" wrapText="1"/>
    </xf>
    <xf numFmtId="182" fontId="59" fillId="17" borderId="2" xfId="0" applyNumberFormat="1" applyFont="1" applyFill="1" applyBorder="1" applyAlignment="1">
      <alignment horizontal="center" vertical="center"/>
    </xf>
    <xf numFmtId="182" fontId="59" fillId="17" borderId="12" xfId="0" applyNumberFormat="1" applyFont="1" applyFill="1" applyBorder="1" applyAlignment="1">
      <alignment horizontal="center" vertical="center"/>
    </xf>
    <xf numFmtId="0" fontId="57" fillId="0" borderId="1" xfId="0" applyFont="1" applyFill="1" applyBorder="1" applyAlignment="1">
      <alignment horizontal="center" vertical="center" wrapText="1"/>
    </xf>
    <xf numFmtId="182" fontId="58" fillId="0" borderId="0" xfId="0" applyNumberFormat="1" applyFont="1" applyAlignment="1">
      <alignment horizontal="center" vertical="center"/>
    </xf>
    <xf numFmtId="179" fontId="18" fillId="6" borderId="6" xfId="0" applyNumberFormat="1" applyFont="1" applyFill="1" applyBorder="1" applyAlignment="1">
      <alignment horizontal="center" vertical="center"/>
    </xf>
    <xf numFmtId="0" fontId="60" fillId="2" borderId="6" xfId="0" applyFont="1" applyFill="1" applyBorder="1" applyAlignment="1">
      <alignment horizontal="center" vertical="center" wrapText="1"/>
    </xf>
    <xf numFmtId="0" fontId="60" fillId="2" borderId="11" xfId="0" applyFont="1" applyFill="1" applyBorder="1" applyAlignment="1">
      <alignment horizontal="center" vertical="center" wrapText="1"/>
    </xf>
    <xf numFmtId="0" fontId="60" fillId="2" borderId="14" xfId="0" applyFont="1" applyFill="1" applyBorder="1" applyAlignment="1">
      <alignment horizontal="center" vertical="center" wrapText="1"/>
    </xf>
    <xf numFmtId="0" fontId="60" fillId="0" borderId="14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/>
    </xf>
    <xf numFmtId="0" fontId="61" fillId="0" borderId="6" xfId="0" applyFont="1" applyBorder="1" applyAlignment="1">
      <alignment horizontal="center" vertical="center" wrapText="1"/>
    </xf>
    <xf numFmtId="0" fontId="54" fillId="0" borderId="6" xfId="0" quotePrefix="1" applyFont="1" applyBorder="1" applyAlignment="1">
      <alignment horizontal="center" vertical="center" wrapText="1"/>
    </xf>
    <xf numFmtId="0" fontId="60" fillId="4" borderId="6" xfId="0" applyFont="1" applyFill="1" applyBorder="1" applyAlignment="1">
      <alignment horizontal="center" vertical="center" wrapText="1"/>
    </xf>
    <xf numFmtId="0" fontId="61" fillId="0" borderId="11" xfId="0" applyFont="1" applyBorder="1" applyAlignment="1">
      <alignment horizontal="center" vertical="center"/>
    </xf>
    <xf numFmtId="0" fontId="54" fillId="0" borderId="11" xfId="0" applyFont="1" applyBorder="1" applyAlignment="1">
      <alignment horizontal="center" vertical="center"/>
    </xf>
    <xf numFmtId="0" fontId="60" fillId="4" borderId="11" xfId="0" applyFont="1" applyFill="1" applyBorder="1" applyAlignment="1">
      <alignment horizontal="center" vertical="center" wrapText="1"/>
    </xf>
    <xf numFmtId="0" fontId="62" fillId="2" borderId="11" xfId="0" applyFont="1" applyFill="1" applyBorder="1" applyAlignment="1">
      <alignment horizontal="center" vertical="center" wrapText="1"/>
    </xf>
    <xf numFmtId="0" fontId="60" fillId="0" borderId="14" xfId="0" applyFont="1" applyBorder="1" applyAlignment="1">
      <alignment horizontal="center" vertical="center" wrapText="1"/>
    </xf>
    <xf numFmtId="0" fontId="63" fillId="0" borderId="14" xfId="0" applyFont="1" applyBorder="1" applyAlignment="1">
      <alignment horizontal="center" vertical="center" wrapText="1"/>
    </xf>
    <xf numFmtId="0" fontId="60" fillId="4" borderId="14" xfId="0" applyFont="1" applyFill="1" applyBorder="1" applyAlignment="1">
      <alignment horizontal="center" vertical="center" wrapText="1"/>
    </xf>
    <xf numFmtId="0" fontId="61" fillId="0" borderId="14" xfId="0" applyFont="1" applyBorder="1" applyAlignment="1">
      <alignment horizontal="center" vertical="center" wrapText="1"/>
    </xf>
    <xf numFmtId="0" fontId="61" fillId="0" borderId="6" xfId="0" applyFont="1" applyFill="1" applyBorder="1" applyAlignment="1">
      <alignment horizontal="center" vertical="center" wrapText="1"/>
    </xf>
    <xf numFmtId="0" fontId="54" fillId="0" borderId="6" xfId="0" quotePrefix="1" applyFont="1" applyFill="1" applyBorder="1" applyAlignment="1">
      <alignment horizontal="center" vertical="center" wrapText="1"/>
    </xf>
    <xf numFmtId="0" fontId="53" fillId="0" borderId="11" xfId="0" applyFont="1" applyFill="1" applyBorder="1" applyAlignment="1">
      <alignment horizontal="center" vertical="center" wrapText="1"/>
    </xf>
    <xf numFmtId="0" fontId="54" fillId="0" borderId="11" xfId="0" applyFont="1" applyFill="1" applyBorder="1" applyAlignment="1">
      <alignment horizontal="center" vertical="center" wrapText="1"/>
    </xf>
    <xf numFmtId="0" fontId="61" fillId="0" borderId="11" xfId="0" applyFont="1" applyFill="1" applyBorder="1" applyAlignment="1">
      <alignment horizontal="center" vertical="center" wrapText="1"/>
    </xf>
    <xf numFmtId="0" fontId="61" fillId="0" borderId="11" xfId="0" applyFont="1" applyFill="1" applyBorder="1" applyAlignment="1">
      <alignment horizontal="center" vertical="center"/>
    </xf>
    <xf numFmtId="0" fontId="54" fillId="0" borderId="11" xfId="0" quotePrefix="1" applyFont="1" applyFill="1" applyBorder="1" applyAlignment="1">
      <alignment horizontal="center" vertical="center"/>
    </xf>
    <xf numFmtId="0" fontId="62" fillId="4" borderId="11" xfId="0" applyFont="1" applyFill="1" applyBorder="1" applyAlignment="1">
      <alignment horizontal="center" vertical="center" wrapText="1"/>
    </xf>
    <xf numFmtId="0" fontId="54" fillId="0" borderId="18" xfId="0" applyFont="1" applyFill="1" applyBorder="1" applyAlignment="1">
      <alignment horizontal="center" vertical="center" wrapText="1"/>
    </xf>
    <xf numFmtId="0" fontId="61" fillId="0" borderId="14" xfId="0" applyFont="1" applyFill="1" applyBorder="1" applyAlignment="1">
      <alignment horizontal="center" vertical="center" wrapText="1"/>
    </xf>
    <xf numFmtId="0" fontId="54" fillId="0" borderId="14" xfId="0" quotePrefix="1" applyFont="1" applyFill="1" applyBorder="1" applyAlignment="1">
      <alignment horizontal="center" vertical="center" wrapText="1"/>
    </xf>
    <xf numFmtId="0" fontId="36" fillId="0" borderId="6" xfId="0" applyFont="1" applyFill="1" applyBorder="1" applyAlignment="1">
      <alignment horizontal="left" vertical="center" wrapText="1"/>
    </xf>
    <xf numFmtId="179" fontId="64" fillId="0" borderId="1" xfId="0" applyNumberFormat="1" applyFont="1" applyFill="1" applyBorder="1" applyAlignment="1">
      <alignment horizontal="center" vertical="center" wrapText="1"/>
    </xf>
    <xf numFmtId="182" fontId="56" fillId="0" borderId="2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0" fontId="66" fillId="0" borderId="6" xfId="0" applyFont="1" applyBorder="1" applyAlignment="1">
      <alignment horizontal="left" vertical="center" wrapText="1"/>
    </xf>
    <xf numFmtId="0" fontId="66" fillId="0" borderId="11" xfId="0" applyFont="1" applyBorder="1" applyAlignment="1">
      <alignment horizontal="left" vertical="center"/>
    </xf>
    <xf numFmtId="0" fontId="66" fillId="0" borderId="14" xfId="0" applyFont="1" applyBorder="1" applyAlignment="1">
      <alignment horizontal="left" vertical="center" wrapText="1"/>
    </xf>
    <xf numFmtId="0" fontId="67" fillId="0" borderId="11" xfId="0" applyFont="1" applyBorder="1" applyAlignment="1">
      <alignment horizontal="left" vertical="center"/>
    </xf>
    <xf numFmtId="0" fontId="67" fillId="0" borderId="6" xfId="0" applyFont="1" applyFill="1" applyBorder="1" applyAlignment="1">
      <alignment horizontal="center" vertical="center" wrapText="1"/>
    </xf>
    <xf numFmtId="0" fontId="68" fillId="0" borderId="11" xfId="0" applyFont="1" applyFill="1" applyBorder="1" applyAlignment="1">
      <alignment horizontal="center" vertical="center"/>
    </xf>
    <xf numFmtId="0" fontId="68" fillId="0" borderId="14" xfId="0" applyFont="1" applyFill="1" applyBorder="1" applyAlignment="1">
      <alignment horizontal="center" vertical="center" wrapText="1"/>
    </xf>
    <xf numFmtId="0" fontId="67" fillId="0" borderId="11" xfId="0" applyFont="1" applyFill="1" applyBorder="1" applyAlignment="1">
      <alignment horizontal="center" vertical="center"/>
    </xf>
    <xf numFmtId="0" fontId="67" fillId="0" borderId="14" xfId="0" applyFont="1" applyFill="1" applyBorder="1" applyAlignment="1">
      <alignment horizontal="center" vertical="center" wrapText="1"/>
    </xf>
    <xf numFmtId="0" fontId="8" fillId="18" borderId="27" xfId="0" applyFont="1" applyFill="1" applyBorder="1" applyAlignment="1">
      <alignment horizontal="center" vertical="center" wrapText="1"/>
    </xf>
    <xf numFmtId="0" fontId="8" fillId="18" borderId="28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69" fillId="18" borderId="30" xfId="0" applyFont="1" applyFill="1" applyBorder="1" applyAlignment="1">
      <alignment horizontal="center" vertical="center" wrapText="1"/>
    </xf>
    <xf numFmtId="0" fontId="69" fillId="18" borderId="31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179" fontId="71" fillId="3" borderId="33" xfId="0" applyNumberFormat="1" applyFont="1" applyFill="1" applyBorder="1" applyAlignment="1">
      <alignment horizontal="center" vertical="center"/>
    </xf>
    <xf numFmtId="0" fontId="69" fillId="18" borderId="34" xfId="0" applyFont="1" applyFill="1" applyBorder="1" applyAlignment="1">
      <alignment horizontal="center" vertical="center" wrapText="1"/>
    </xf>
    <xf numFmtId="0" fontId="69" fillId="18" borderId="35" xfId="0" applyFont="1" applyFill="1" applyBorder="1" applyAlignment="1">
      <alignment horizontal="center" vertical="center"/>
    </xf>
    <xf numFmtId="0" fontId="10" fillId="18" borderId="34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18" borderId="35" xfId="0" applyFont="1" applyFill="1" applyBorder="1" applyAlignment="1">
      <alignment horizontal="center" vertical="center" wrapText="1"/>
    </xf>
    <xf numFmtId="0" fontId="14" fillId="18" borderId="34" xfId="0" applyFont="1" applyFill="1" applyBorder="1" applyAlignment="1">
      <alignment horizontal="center" vertical="center" wrapText="1"/>
    </xf>
    <xf numFmtId="0" fontId="10" fillId="2" borderId="34" xfId="0" applyFont="1" applyFill="1" applyBorder="1" applyAlignment="1">
      <alignment horizontal="center" vertical="center" wrapText="1"/>
    </xf>
    <xf numFmtId="0" fontId="72" fillId="18" borderId="35" xfId="0" applyFont="1" applyFill="1" applyBorder="1" applyAlignment="1">
      <alignment horizontal="center" vertical="center" wrapText="1"/>
    </xf>
    <xf numFmtId="0" fontId="69" fillId="18" borderId="35" xfId="0" applyFont="1" applyFill="1" applyBorder="1" applyAlignment="1">
      <alignment horizontal="center" vertical="center" wrapText="1"/>
    </xf>
    <xf numFmtId="0" fontId="10" fillId="18" borderId="31" xfId="0" applyFont="1" applyFill="1" applyBorder="1" applyAlignment="1">
      <alignment horizontal="center" vertical="center" wrapText="1"/>
    </xf>
    <xf numFmtId="0" fontId="10" fillId="18" borderId="32" xfId="0" applyFont="1" applyFill="1" applyBorder="1" applyAlignment="1">
      <alignment horizontal="center" vertical="center" wrapText="1"/>
    </xf>
    <xf numFmtId="179" fontId="71" fillId="19" borderId="33" xfId="0" applyNumberFormat="1" applyFont="1" applyFill="1" applyBorder="1" applyAlignment="1">
      <alignment horizontal="center" vertical="center"/>
    </xf>
    <xf numFmtId="0" fontId="75" fillId="18" borderId="34" xfId="0" applyFont="1" applyFill="1" applyBorder="1" applyAlignment="1">
      <alignment horizontal="center" vertical="center" wrapText="1"/>
    </xf>
    <xf numFmtId="0" fontId="75" fillId="18" borderId="35" xfId="0" applyFont="1" applyFill="1" applyBorder="1" applyAlignment="1">
      <alignment horizontal="center" vertical="center" wrapText="1"/>
    </xf>
    <xf numFmtId="0" fontId="75" fillId="0" borderId="32" xfId="0" applyFont="1" applyBorder="1" applyAlignment="1">
      <alignment horizontal="center" vertical="center" wrapText="1"/>
    </xf>
    <xf numFmtId="179" fontId="76" fillId="3" borderId="33" xfId="0" applyNumberFormat="1" applyFont="1" applyFill="1" applyBorder="1" applyAlignment="1">
      <alignment horizontal="center" vertical="center"/>
    </xf>
    <xf numFmtId="0" fontId="69" fillId="0" borderId="31" xfId="0" applyFont="1" applyBorder="1" applyAlignment="1">
      <alignment horizontal="center" vertical="center" wrapText="1"/>
    </xf>
    <xf numFmtId="0" fontId="9" fillId="18" borderId="34" xfId="0" applyFont="1" applyFill="1" applyBorder="1" applyAlignment="1">
      <alignment horizontal="center" vertical="center" wrapText="1"/>
    </xf>
    <xf numFmtId="0" fontId="9" fillId="18" borderId="35" xfId="0" applyFont="1" applyFill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179" fontId="18" fillId="3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5" fillId="0" borderId="0" xfId="0" applyFont="1" applyBorder="1" applyAlignment="1">
      <alignment horizontal="center"/>
    </xf>
    <xf numFmtId="0" fontId="55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19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77" fillId="5" borderId="6" xfId="0" applyFont="1" applyFill="1" applyBorder="1" applyAlignment="1">
      <alignment horizontal="center" vertical="center"/>
    </xf>
    <xf numFmtId="179" fontId="60" fillId="5" borderId="6" xfId="0" applyNumberFormat="1" applyFont="1" applyFill="1" applyBorder="1" applyAlignment="1">
      <alignment horizontal="center" vertical="center"/>
    </xf>
    <xf numFmtId="0" fontId="62" fillId="4" borderId="11" xfId="0" applyFont="1" applyFill="1" applyBorder="1" applyAlignment="1">
      <alignment horizontal="center" vertical="center"/>
    </xf>
    <xf numFmtId="179" fontId="62" fillId="4" borderId="11" xfId="0" applyNumberFormat="1" applyFont="1" applyFill="1" applyBorder="1" applyAlignment="1">
      <alignment horizontal="center" vertical="center"/>
    </xf>
    <xf numFmtId="179" fontId="62" fillId="4" borderId="11" xfId="0" applyNumberFormat="1" applyFont="1" applyFill="1" applyBorder="1" applyAlignment="1">
      <alignment horizontal="center" vertical="center" wrapText="1"/>
    </xf>
    <xf numFmtId="180" fontId="54" fillId="5" borderId="6" xfId="0" applyNumberFormat="1" applyFont="1" applyFill="1" applyBorder="1" applyAlignment="1">
      <alignment horizontal="center" vertical="center"/>
    </xf>
    <xf numFmtId="177" fontId="54" fillId="5" borderId="6" xfId="0" applyNumberFormat="1" applyFont="1" applyFill="1" applyBorder="1" applyAlignment="1">
      <alignment horizontal="center" vertical="center"/>
    </xf>
    <xf numFmtId="179" fontId="54" fillId="6" borderId="6" xfId="0" applyNumberFormat="1" applyFont="1" applyFill="1" applyBorder="1" applyAlignment="1">
      <alignment horizontal="center" vertical="center"/>
    </xf>
    <xf numFmtId="180" fontId="78" fillId="4" borderId="11" xfId="0" applyNumberFormat="1" applyFont="1" applyFill="1" applyBorder="1" applyAlignment="1">
      <alignment horizontal="center" vertical="center" wrapText="1"/>
    </xf>
    <xf numFmtId="179" fontId="54" fillId="4" borderId="11" xfId="0" applyNumberFormat="1" applyFont="1" applyFill="1" applyBorder="1" applyAlignment="1">
      <alignment horizontal="center" vertical="center" wrapText="1"/>
    </xf>
    <xf numFmtId="179" fontId="60" fillId="3" borderId="14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82" fontId="48" fillId="0" borderId="1" xfId="0" applyNumberFormat="1" applyFont="1" applyFill="1" applyBorder="1" applyAlignment="1">
      <alignment horizontal="center" vertical="center"/>
    </xf>
    <xf numFmtId="182" fontId="48" fillId="0" borderId="2" xfId="0" applyNumberFormat="1" applyFont="1" applyFill="1" applyBorder="1" applyAlignment="1">
      <alignment horizontal="center" vertical="center"/>
    </xf>
    <xf numFmtId="179" fontId="12" fillId="3" borderId="14" xfId="0" applyNumberFormat="1" applyFont="1" applyFill="1" applyBorder="1" applyAlignment="1">
      <alignment horizontal="center" vertical="center"/>
    </xf>
    <xf numFmtId="0" fontId="56" fillId="9" borderId="1" xfId="0" applyFont="1" applyFill="1" applyBorder="1" applyAlignment="1">
      <alignment horizontal="center" vertical="center"/>
    </xf>
    <xf numFmtId="0" fontId="56" fillId="9" borderId="1" xfId="0" applyFont="1" applyFill="1" applyBorder="1" applyAlignment="1">
      <alignment vertical="center"/>
    </xf>
    <xf numFmtId="0" fontId="56" fillId="9" borderId="1" xfId="0" applyFont="1" applyFill="1" applyBorder="1" applyAlignment="1">
      <alignment vertical="center" wrapText="1"/>
    </xf>
    <xf numFmtId="182" fontId="80" fillId="9" borderId="1" xfId="0" applyNumberFormat="1" applyFont="1" applyFill="1" applyBorder="1" applyAlignment="1">
      <alignment horizontal="center" vertical="center"/>
    </xf>
    <xf numFmtId="182" fontId="56" fillId="9" borderId="1" xfId="0" applyNumberFormat="1" applyFont="1" applyFill="1" applyBorder="1" applyAlignment="1">
      <alignment horizontal="center" vertical="center"/>
    </xf>
    <xf numFmtId="182" fontId="56" fillId="9" borderId="2" xfId="0" applyNumberFormat="1" applyFont="1" applyFill="1" applyBorder="1" applyAlignment="1">
      <alignment horizontal="center" vertical="center"/>
    </xf>
    <xf numFmtId="179" fontId="56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/>
    <xf numFmtId="0" fontId="56" fillId="9" borderId="1" xfId="0" applyFont="1" applyFill="1" applyBorder="1" applyAlignment="1">
      <alignment horizontal="center" vertical="center" wrapText="1"/>
    </xf>
    <xf numFmtId="0" fontId="56" fillId="9" borderId="0" xfId="0" applyFont="1" applyFill="1" applyBorder="1" applyAlignment="1">
      <alignment horizontal="center" vertical="center"/>
    </xf>
    <xf numFmtId="0" fontId="56" fillId="9" borderId="0" xfId="0" applyFont="1" applyFill="1" applyBorder="1" applyAlignment="1">
      <alignment vertical="center"/>
    </xf>
    <xf numFmtId="0" fontId="56" fillId="9" borderId="0" xfId="0" applyFont="1" applyFill="1" applyBorder="1" applyAlignment="1">
      <alignment vertical="center" wrapText="1"/>
    </xf>
    <xf numFmtId="182" fontId="56" fillId="9" borderId="0" xfId="0" applyNumberFormat="1" applyFont="1" applyFill="1" applyBorder="1" applyAlignment="1">
      <alignment horizontal="center" vertical="center"/>
    </xf>
    <xf numFmtId="0" fontId="56" fillId="9" borderId="0" xfId="0" applyFont="1" applyFill="1" applyBorder="1" applyAlignment="1">
      <alignment horizontal="center" vertical="center" wrapText="1"/>
    </xf>
    <xf numFmtId="0" fontId="0" fillId="9" borderId="0" xfId="0" applyFill="1" applyBorder="1"/>
    <xf numFmtId="0" fontId="48" fillId="0" borderId="1" xfId="0" applyFont="1" applyFill="1" applyBorder="1" applyAlignment="1">
      <alignment horizontal="center" vertical="center"/>
    </xf>
    <xf numFmtId="182" fontId="48" fillId="9" borderId="1" xfId="0" applyNumberFormat="1" applyFont="1" applyFill="1" applyBorder="1" applyAlignment="1">
      <alignment horizontal="center" vertical="center"/>
    </xf>
    <xf numFmtId="180" fontId="9" fillId="5" borderId="6" xfId="0" applyNumberFormat="1" applyFont="1" applyFill="1" applyBorder="1" applyAlignment="1">
      <alignment horizontal="center" vertical="center"/>
    </xf>
    <xf numFmtId="177" fontId="9" fillId="5" borderId="6" xfId="0" applyNumberFormat="1" applyFont="1" applyFill="1" applyBorder="1" applyAlignment="1">
      <alignment horizontal="center" vertical="center"/>
    </xf>
    <xf numFmtId="0" fontId="81" fillId="20" borderId="0" xfId="0" applyFont="1" applyFill="1"/>
    <xf numFmtId="0" fontId="82" fillId="20" borderId="0" xfId="0" applyFont="1" applyFill="1" applyAlignment="1">
      <alignment vertical="center"/>
    </xf>
    <xf numFmtId="0" fontId="83" fillId="20" borderId="0" xfId="0" applyFont="1" applyFill="1" applyAlignment="1">
      <alignment vertical="center"/>
    </xf>
    <xf numFmtId="0" fontId="84" fillId="20" borderId="0" xfId="0" applyFont="1" applyFill="1" applyAlignment="1">
      <alignment horizontal="left" vertical="center"/>
    </xf>
    <xf numFmtId="0" fontId="30" fillId="20" borderId="0" xfId="0" applyFont="1" applyFill="1" applyAlignment="1">
      <alignment vertical="center"/>
    </xf>
    <xf numFmtId="0" fontId="84" fillId="20" borderId="0" xfId="0" applyFont="1" applyFill="1" applyAlignment="1">
      <alignment vertical="center"/>
    </xf>
    <xf numFmtId="0" fontId="30" fillId="20" borderId="0" xfId="0" applyFont="1" applyFill="1" applyAlignment="1">
      <alignment horizontal="center" vertical="center" wrapText="1"/>
    </xf>
    <xf numFmtId="0" fontId="84" fillId="21" borderId="0" xfId="0" applyFont="1" applyFill="1" applyAlignment="1">
      <alignment vertical="center"/>
    </xf>
    <xf numFmtId="0" fontId="84" fillId="0" borderId="0" xfId="0" applyFont="1" applyAlignment="1">
      <alignment vertical="center"/>
    </xf>
    <xf numFmtId="0" fontId="85" fillId="20" borderId="0" xfId="0" applyFont="1" applyFill="1" applyAlignment="1">
      <alignment vertical="center"/>
    </xf>
    <xf numFmtId="0" fontId="30" fillId="20" borderId="0" xfId="0" applyFont="1" applyFill="1" applyAlignment="1">
      <alignment horizontal="left" vertical="center"/>
    </xf>
    <xf numFmtId="0" fontId="86" fillId="20" borderId="0" xfId="0" applyFont="1" applyFill="1" applyAlignment="1">
      <alignment vertical="center" wrapText="1"/>
    </xf>
    <xf numFmtId="0" fontId="79" fillId="20" borderId="0" xfId="0" applyFont="1" applyFill="1" applyAlignment="1">
      <alignment vertical="center"/>
    </xf>
    <xf numFmtId="0" fontId="12" fillId="0" borderId="21" xfId="0" applyFont="1" applyBorder="1" applyAlignment="1">
      <alignment horizontal="center" vertical="center"/>
    </xf>
    <xf numFmtId="179" fontId="54" fillId="5" borderId="6" xfId="0" applyNumberFormat="1" applyFont="1" applyFill="1" applyBorder="1" applyAlignment="1">
      <alignment horizontal="center" vertical="center"/>
    </xf>
    <xf numFmtId="179" fontId="54" fillId="4" borderId="11" xfId="0" applyNumberFormat="1" applyFont="1" applyFill="1" applyBorder="1" applyAlignment="1">
      <alignment horizontal="center" vertical="center"/>
    </xf>
    <xf numFmtId="0" fontId="49" fillId="0" borderId="6" xfId="0" applyFont="1" applyFill="1" applyBorder="1" applyAlignment="1">
      <alignment horizontal="left" vertical="center" wrapText="1"/>
    </xf>
    <xf numFmtId="178" fontId="48" fillId="4" borderId="0" xfId="0" applyNumberFormat="1" applyFont="1" applyFill="1" applyBorder="1" applyAlignment="1">
      <alignment horizontal="center"/>
    </xf>
    <xf numFmtId="10" fontId="88" fillId="2" borderId="0" xfId="0" applyNumberFormat="1" applyFont="1" applyFill="1" applyBorder="1" applyAlignment="1">
      <alignment horizontal="center" vertical="center"/>
    </xf>
    <xf numFmtId="10" fontId="89" fillId="2" borderId="0" xfId="0" applyNumberFormat="1" applyFont="1" applyFill="1" applyBorder="1" applyAlignment="1">
      <alignment horizontal="center" vertical="center"/>
    </xf>
    <xf numFmtId="0" fontId="48" fillId="2" borderId="0" xfId="0" applyFont="1" applyFill="1" applyAlignment="1">
      <alignment horizontal="center"/>
    </xf>
    <xf numFmtId="0" fontId="87" fillId="2" borderId="0" xfId="0" applyFont="1" applyFill="1" applyAlignment="1">
      <alignment horizontal="center" vertical="center"/>
    </xf>
    <xf numFmtId="0" fontId="89" fillId="2" borderId="0" xfId="0" applyFont="1" applyFill="1" applyAlignment="1">
      <alignment horizontal="center" vertical="center"/>
    </xf>
    <xf numFmtId="0" fontId="90" fillId="2" borderId="0" xfId="0" applyFont="1" applyFill="1" applyAlignment="1">
      <alignment horizontal="center"/>
    </xf>
    <xf numFmtId="181" fontId="21" fillId="0" borderId="7" xfId="0" applyNumberFormat="1" applyFont="1" applyFill="1" applyBorder="1" applyAlignment="1">
      <alignment horizontal="left" vertical="top" wrapText="1"/>
    </xf>
    <xf numFmtId="181" fontId="21" fillId="0" borderId="12" xfId="0" applyNumberFormat="1" applyFont="1" applyFill="1" applyBorder="1" applyAlignment="1">
      <alignment horizontal="left" vertical="top" wrapText="1"/>
    </xf>
    <xf numFmtId="181" fontId="21" fillId="0" borderId="15" xfId="0" applyNumberFormat="1" applyFont="1" applyFill="1" applyBorder="1" applyAlignment="1">
      <alignment horizontal="left" vertical="top" wrapText="1"/>
    </xf>
    <xf numFmtId="181" fontId="21" fillId="0" borderId="7" xfId="0" applyNumberFormat="1" applyFont="1" applyBorder="1" applyAlignment="1">
      <alignment horizontal="left" vertical="top" wrapText="1"/>
    </xf>
    <xf numFmtId="181" fontId="21" fillId="0" borderId="12" xfId="0" applyNumberFormat="1" applyFont="1" applyBorder="1" applyAlignment="1">
      <alignment horizontal="left" vertical="top"/>
    </xf>
    <xf numFmtId="181" fontId="21" fillId="0" borderId="15" xfId="0" applyNumberFormat="1" applyFont="1" applyBorder="1" applyAlignment="1">
      <alignment horizontal="left" vertical="top"/>
    </xf>
    <xf numFmtId="181" fontId="21" fillId="0" borderId="7" xfId="0" applyNumberFormat="1" applyFont="1" applyFill="1" applyBorder="1" applyAlignment="1">
      <alignment horizontal="left" vertical="top"/>
    </xf>
    <xf numFmtId="181" fontId="21" fillId="0" borderId="12" xfId="0" applyNumberFormat="1" applyFont="1" applyFill="1" applyBorder="1" applyAlignment="1">
      <alignment horizontal="left" vertical="top"/>
    </xf>
    <xf numFmtId="181" fontId="21" fillId="0" borderId="15" xfId="0" applyNumberFormat="1" applyFont="1" applyFill="1" applyBorder="1" applyAlignment="1">
      <alignment horizontal="left" vertical="top"/>
    </xf>
    <xf numFmtId="0" fontId="13" fillId="2" borderId="5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181" fontId="21" fillId="0" borderId="12" xfId="0" applyNumberFormat="1" applyFont="1" applyBorder="1" applyAlignment="1">
      <alignment horizontal="left" vertical="top" wrapText="1"/>
    </xf>
    <xf numFmtId="181" fontId="21" fillId="0" borderId="15" xfId="0" applyNumberFormat="1" applyFont="1" applyBorder="1" applyAlignment="1">
      <alignment horizontal="left" vertical="top" wrapText="1"/>
    </xf>
    <xf numFmtId="181" fontId="36" fillId="0" borderId="7" xfId="0" applyNumberFormat="1" applyFont="1" applyFill="1" applyBorder="1" applyAlignment="1">
      <alignment horizontal="left" vertical="top"/>
    </xf>
    <xf numFmtId="181" fontId="36" fillId="0" borderId="12" xfId="0" applyNumberFormat="1" applyFont="1" applyFill="1" applyBorder="1" applyAlignment="1">
      <alignment horizontal="left" vertical="top"/>
    </xf>
    <xf numFmtId="181" fontId="36" fillId="0" borderId="15" xfId="0" applyNumberFormat="1" applyFont="1" applyFill="1" applyBorder="1" applyAlignment="1">
      <alignment horizontal="left" vertical="top"/>
    </xf>
    <xf numFmtId="181" fontId="21" fillId="0" borderId="7" xfId="0" applyNumberFormat="1" applyFont="1" applyFill="1" applyBorder="1" applyAlignment="1">
      <alignment vertical="top" wrapText="1"/>
    </xf>
    <xf numFmtId="181" fontId="21" fillId="0" borderId="12" xfId="0" applyNumberFormat="1" applyFont="1" applyFill="1" applyBorder="1" applyAlignment="1">
      <alignment vertical="top"/>
    </xf>
    <xf numFmtId="181" fontId="21" fillId="0" borderId="15" xfId="0" applyNumberFormat="1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181" fontId="45" fillId="0" borderId="7" xfId="0" applyNumberFormat="1" applyFont="1" applyFill="1" applyBorder="1" applyAlignment="1">
      <alignment horizontal="left" vertical="top" wrapText="1"/>
    </xf>
    <xf numFmtId="181" fontId="45" fillId="0" borderId="12" xfId="0" applyNumberFormat="1" applyFont="1" applyFill="1" applyBorder="1" applyAlignment="1">
      <alignment horizontal="left" vertical="top" wrapText="1"/>
    </xf>
    <xf numFmtId="181" fontId="45" fillId="0" borderId="15" xfId="0" applyNumberFormat="1" applyFont="1" applyFill="1" applyBorder="1" applyAlignment="1">
      <alignment horizontal="left" vertical="top" wrapText="1"/>
    </xf>
    <xf numFmtId="182" fontId="56" fillId="0" borderId="2" xfId="0" applyNumberFormat="1" applyFont="1" applyFill="1" applyBorder="1" applyAlignment="1">
      <alignment horizontal="center" vertical="center"/>
    </xf>
    <xf numFmtId="182" fontId="56" fillId="0" borderId="19" xfId="0" applyNumberFormat="1" applyFont="1" applyFill="1" applyBorder="1" applyAlignment="1">
      <alignment horizontal="center" vertical="center"/>
    </xf>
  </cellXfs>
  <cellStyles count="6">
    <cellStyle name="常规" xfId="0" builtinId="0"/>
    <cellStyle name="常规 2" xfId="1" xr:uid="{6EC1E971-ABA2-4E8A-9902-135C2284D490}"/>
    <cellStyle name="常规 2 2" xfId="4" xr:uid="{813BCC13-1852-48A7-A67A-9CF495510596}"/>
    <cellStyle name="常规 3" xfId="5" xr:uid="{99750287-2E03-4CE2-BDE7-8A23B4302BC1}"/>
    <cellStyle name="常规 4" xfId="2" xr:uid="{AFE0AB3B-6971-4180-8B6B-68A26D5225FA}"/>
    <cellStyle name="千位分隔 2" xfId="3" xr:uid="{466944D4-B4E8-4369-81BC-B70AABA52F03}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37042</xdr:rowOff>
    </xdr:from>
    <xdr:to>
      <xdr:col>1</xdr:col>
      <xdr:colOff>1027669</xdr:colOff>
      <xdr:row>5</xdr:row>
      <xdr:rowOff>72154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134" y="37042"/>
          <a:ext cx="822324" cy="740833"/>
        </a:xfrm>
        <a:prstGeom prst="rect">
          <a:avLst/>
        </a:prstGeom>
      </xdr:spPr>
    </xdr:pic>
    <xdr:clientData/>
  </xdr:twoCellAnchor>
  <xdr:twoCellAnchor editAs="oneCell">
    <xdr:from>
      <xdr:col>41</xdr:col>
      <xdr:colOff>58208</xdr:colOff>
      <xdr:row>1</xdr:row>
      <xdr:rowOff>68790</xdr:rowOff>
    </xdr:from>
    <xdr:to>
      <xdr:col>41</xdr:col>
      <xdr:colOff>1389249</xdr:colOff>
      <xdr:row>6</xdr:row>
      <xdr:rowOff>17226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6714A64-4F9C-4D73-9510-5AA4E869A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47875" y="190499"/>
          <a:ext cx="1329454" cy="655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juan\Desktop\Procurement%20Plan-Z1F_20260612-internal(10%20day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R"/>
      <sheetName val="Thai Holidays"/>
      <sheetName val="China Holidays"/>
      <sheetName val="Sheet1"/>
    </sheetNames>
    <sheetDataSet>
      <sheetData sheetId="0"/>
      <sheetData sheetId="1">
        <row r="2">
          <cell r="A2">
            <v>45996</v>
          </cell>
        </row>
        <row r="3">
          <cell r="A3">
            <v>46001</v>
          </cell>
        </row>
        <row r="4">
          <cell r="A4">
            <v>46020</v>
          </cell>
        </row>
        <row r="5">
          <cell r="A5">
            <v>46021</v>
          </cell>
        </row>
        <row r="6">
          <cell r="A6">
            <v>46022</v>
          </cell>
        </row>
        <row r="7">
          <cell r="A7">
            <v>46023</v>
          </cell>
        </row>
        <row r="8">
          <cell r="A8">
            <v>46024</v>
          </cell>
        </row>
        <row r="9">
          <cell r="A9">
            <v>46065</v>
          </cell>
        </row>
        <row r="10">
          <cell r="A10">
            <v>46118</v>
          </cell>
        </row>
        <row r="11">
          <cell r="A11">
            <v>46125</v>
          </cell>
        </row>
        <row r="12">
          <cell r="A12">
            <v>46126</v>
          </cell>
        </row>
        <row r="13">
          <cell r="A13">
            <v>46127</v>
          </cell>
        </row>
        <row r="14">
          <cell r="A14">
            <v>46128</v>
          </cell>
        </row>
        <row r="15">
          <cell r="A15">
            <v>46129</v>
          </cell>
        </row>
        <row r="16">
          <cell r="A16">
            <v>46143</v>
          </cell>
        </row>
        <row r="17">
          <cell r="A17">
            <v>46146</v>
          </cell>
        </row>
        <row r="18">
          <cell r="A18">
            <v>46174</v>
          </cell>
        </row>
        <row r="19">
          <cell r="A19">
            <v>46176</v>
          </cell>
        </row>
        <row r="20">
          <cell r="A20">
            <v>46231</v>
          </cell>
        </row>
        <row r="21">
          <cell r="A21">
            <v>46232</v>
          </cell>
        </row>
        <row r="22">
          <cell r="A22">
            <v>46246</v>
          </cell>
        </row>
        <row r="23">
          <cell r="A23">
            <v>46308</v>
          </cell>
        </row>
        <row r="24">
          <cell r="A24">
            <v>46318</v>
          </cell>
        </row>
        <row r="25">
          <cell r="A25">
            <v>46363</v>
          </cell>
        </row>
        <row r="26">
          <cell r="A26">
            <v>46387</v>
          </cell>
        </row>
        <row r="27">
          <cell r="A27">
            <v>46388</v>
          </cell>
        </row>
        <row r="28">
          <cell r="A28">
            <v>46389</v>
          </cell>
        </row>
        <row r="29">
          <cell r="A29">
            <v>46439</v>
          </cell>
        </row>
        <row r="30">
          <cell r="A30">
            <v>46440</v>
          </cell>
        </row>
        <row r="31">
          <cell r="A31">
            <v>46483</v>
          </cell>
        </row>
        <row r="32">
          <cell r="A32">
            <v>46490</v>
          </cell>
        </row>
        <row r="33">
          <cell r="A33">
            <v>46491</v>
          </cell>
        </row>
        <row r="34">
          <cell r="A34">
            <v>46492</v>
          </cell>
        </row>
        <row r="35">
          <cell r="A35">
            <v>46508</v>
          </cell>
        </row>
        <row r="36">
          <cell r="A36">
            <v>46511</v>
          </cell>
        </row>
        <row r="37">
          <cell r="A37">
            <v>46527</v>
          </cell>
        </row>
        <row r="38">
          <cell r="A38">
            <v>46541</v>
          </cell>
        </row>
        <row r="39">
          <cell r="A39">
            <v>46611</v>
          </cell>
        </row>
        <row r="40">
          <cell r="A40">
            <v>46673</v>
          </cell>
        </row>
        <row r="41">
          <cell r="A41">
            <v>46683</v>
          </cell>
        </row>
        <row r="42">
          <cell r="A42">
            <v>46685</v>
          </cell>
        </row>
        <row r="43">
          <cell r="A43">
            <v>46726</v>
          </cell>
        </row>
        <row r="44">
          <cell r="A44">
            <v>46727</v>
          </cell>
        </row>
        <row r="45">
          <cell r="A45">
            <v>46731</v>
          </cell>
        </row>
        <row r="46">
          <cell r="A46">
            <v>46752</v>
          </cell>
        </row>
        <row r="47">
          <cell r="A47">
            <v>46753</v>
          </cell>
        </row>
        <row r="48">
          <cell r="A48">
            <v>46791</v>
          </cell>
        </row>
        <row r="49">
          <cell r="A49">
            <v>46849</v>
          </cell>
        </row>
        <row r="50">
          <cell r="A50">
            <v>46856</v>
          </cell>
        </row>
        <row r="51">
          <cell r="A51">
            <v>46857</v>
          </cell>
        </row>
        <row r="52">
          <cell r="A52">
            <v>46858</v>
          </cell>
        </row>
        <row r="53">
          <cell r="A53">
            <v>46874</v>
          </cell>
        </row>
        <row r="54">
          <cell r="A54">
            <v>46878</v>
          </cell>
        </row>
        <row r="55">
          <cell r="A55">
            <v>46912</v>
          </cell>
        </row>
        <row r="56">
          <cell r="A56">
            <v>46907</v>
          </cell>
        </row>
        <row r="57">
          <cell r="A57">
            <v>46958</v>
          </cell>
        </row>
        <row r="58">
          <cell r="A58">
            <v>46977</v>
          </cell>
        </row>
        <row r="59">
          <cell r="A59">
            <v>47039</v>
          </cell>
        </row>
        <row r="60">
          <cell r="A60">
            <v>47049</v>
          </cell>
        </row>
        <row r="61">
          <cell r="A61">
            <v>47092</v>
          </cell>
        </row>
        <row r="62">
          <cell r="A62">
            <v>47097</v>
          </cell>
        </row>
        <row r="63">
          <cell r="A63">
            <v>47118</v>
          </cell>
        </row>
      </sheetData>
      <sheetData sheetId="2">
        <row r="2">
          <cell r="A2">
            <v>46023</v>
          </cell>
        </row>
        <row r="3">
          <cell r="A3">
            <v>46024</v>
          </cell>
        </row>
        <row r="4">
          <cell r="A4">
            <v>46025</v>
          </cell>
        </row>
        <row r="5">
          <cell r="A5">
            <v>46068</v>
          </cell>
        </row>
        <row r="6">
          <cell r="A6">
            <v>46069</v>
          </cell>
        </row>
        <row r="7">
          <cell r="A7">
            <v>46070</v>
          </cell>
        </row>
        <row r="8">
          <cell r="A8">
            <v>46071</v>
          </cell>
        </row>
        <row r="9">
          <cell r="A9">
            <v>46072</v>
          </cell>
        </row>
        <row r="10">
          <cell r="A10">
            <v>46073</v>
          </cell>
        </row>
        <row r="11">
          <cell r="A11">
            <v>46074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46144</v>
          </cell>
        </row>
        <row r="17">
          <cell r="A17">
            <v>46145</v>
          </cell>
        </row>
        <row r="18">
          <cell r="A18">
            <v>46192</v>
          </cell>
        </row>
        <row r="19">
          <cell r="A19">
            <v>46193</v>
          </cell>
        </row>
        <row r="20">
          <cell r="A20">
            <v>46194</v>
          </cell>
        </row>
        <row r="21">
          <cell r="A21">
            <v>46290</v>
          </cell>
        </row>
        <row r="22">
          <cell r="A22">
            <v>46291</v>
          </cell>
        </row>
        <row r="23">
          <cell r="A23">
            <v>46292</v>
          </cell>
        </row>
        <row r="24">
          <cell r="A24">
            <v>46296</v>
          </cell>
        </row>
        <row r="25">
          <cell r="A25">
            <v>46297</v>
          </cell>
        </row>
        <row r="26">
          <cell r="A26">
            <v>46298</v>
          </cell>
        </row>
        <row r="27">
          <cell r="A27">
            <v>46299</v>
          </cell>
        </row>
        <row r="28">
          <cell r="A28">
            <v>46300</v>
          </cell>
        </row>
        <row r="29">
          <cell r="A29">
            <v>46301</v>
          </cell>
        </row>
        <row r="30">
          <cell r="A30">
            <v>46302</v>
          </cell>
        </row>
        <row r="31">
          <cell r="A31">
            <v>46388</v>
          </cell>
        </row>
        <row r="32">
          <cell r="A32">
            <v>46389</v>
          </cell>
        </row>
        <row r="33">
          <cell r="A33">
            <v>46390</v>
          </cell>
        </row>
        <row r="34">
          <cell r="A34">
            <v>46424</v>
          </cell>
        </row>
        <row r="35">
          <cell r="A35">
            <v>46425</v>
          </cell>
        </row>
        <row r="36">
          <cell r="A36">
            <v>46426</v>
          </cell>
        </row>
        <row r="37">
          <cell r="A37">
            <v>46427</v>
          </cell>
        </row>
        <row r="38">
          <cell r="A38">
            <v>46428</v>
          </cell>
        </row>
        <row r="39">
          <cell r="A39">
            <v>46429</v>
          </cell>
        </row>
        <row r="40">
          <cell r="A40">
            <v>46430</v>
          </cell>
        </row>
        <row r="41">
          <cell r="A41">
            <v>46480</v>
          </cell>
        </row>
        <row r="42">
          <cell r="A42">
            <v>46481</v>
          </cell>
        </row>
        <row r="43">
          <cell r="A43">
            <v>46482</v>
          </cell>
        </row>
        <row r="44">
          <cell r="A44">
            <v>46508</v>
          </cell>
        </row>
        <row r="45">
          <cell r="A45">
            <v>46509</v>
          </cell>
        </row>
        <row r="46">
          <cell r="A46">
            <v>46510</v>
          </cell>
        </row>
        <row r="47">
          <cell r="A47">
            <v>46549</v>
          </cell>
        </row>
        <row r="48">
          <cell r="A48">
            <v>46550</v>
          </cell>
        </row>
        <row r="49">
          <cell r="A49">
            <v>46551</v>
          </cell>
        </row>
        <row r="50">
          <cell r="A50">
            <v>46552</v>
          </cell>
        </row>
        <row r="51">
          <cell r="A51">
            <v>46645</v>
          </cell>
        </row>
        <row r="52">
          <cell r="A52">
            <v>46661</v>
          </cell>
        </row>
        <row r="53">
          <cell r="A53">
            <v>46662</v>
          </cell>
        </row>
        <row r="54">
          <cell r="A54">
            <v>46663</v>
          </cell>
        </row>
        <row r="55">
          <cell r="A55">
            <v>46664</v>
          </cell>
        </row>
        <row r="56">
          <cell r="A56">
            <v>46665</v>
          </cell>
        </row>
        <row r="57">
          <cell r="A57">
            <v>46666</v>
          </cell>
        </row>
        <row r="58">
          <cell r="A58">
            <v>46667</v>
          </cell>
        </row>
        <row r="59">
          <cell r="A59">
            <v>46753</v>
          </cell>
        </row>
        <row r="60">
          <cell r="A60">
            <v>46754</v>
          </cell>
        </row>
        <row r="61">
          <cell r="A61">
            <v>46755</v>
          </cell>
        </row>
        <row r="62">
          <cell r="A62">
            <v>46777</v>
          </cell>
        </row>
        <row r="63">
          <cell r="A63">
            <v>46778</v>
          </cell>
        </row>
        <row r="64">
          <cell r="A64">
            <v>46779</v>
          </cell>
        </row>
        <row r="65">
          <cell r="A65">
            <v>46780</v>
          </cell>
        </row>
        <row r="66">
          <cell r="A66">
            <v>46781</v>
          </cell>
        </row>
        <row r="67">
          <cell r="A67">
            <v>46782</v>
          </cell>
        </row>
        <row r="68">
          <cell r="A68">
            <v>46783</v>
          </cell>
        </row>
        <row r="69">
          <cell r="A69">
            <v>46847</v>
          </cell>
        </row>
        <row r="70">
          <cell r="A70">
            <v>46848</v>
          </cell>
        </row>
        <row r="71">
          <cell r="A71">
            <v>46849</v>
          </cell>
        </row>
        <row r="72">
          <cell r="A72">
            <v>46874</v>
          </cell>
        </row>
        <row r="73">
          <cell r="A73">
            <v>46875</v>
          </cell>
        </row>
        <row r="74">
          <cell r="A74">
            <v>46876</v>
          </cell>
        </row>
        <row r="75">
          <cell r="A75">
            <v>46904</v>
          </cell>
        </row>
        <row r="76">
          <cell r="A76">
            <v>46905</v>
          </cell>
        </row>
        <row r="77">
          <cell r="A77">
            <v>46906</v>
          </cell>
        </row>
        <row r="78">
          <cell r="A78">
            <v>47027</v>
          </cell>
        </row>
        <row r="79">
          <cell r="A79">
            <v>47028</v>
          </cell>
        </row>
        <row r="80">
          <cell r="A80">
            <v>47029</v>
          </cell>
        </row>
        <row r="81">
          <cell r="A81">
            <v>47030</v>
          </cell>
        </row>
        <row r="82">
          <cell r="A82">
            <v>47031</v>
          </cell>
        </row>
        <row r="83">
          <cell r="A83">
            <v>47032</v>
          </cell>
        </row>
        <row r="84">
          <cell r="A84">
            <v>47033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dms.pttep.com/D2-Service/servlet/downloadrendition?type=PDF+Comments&amp;id=0902f829826c5103" TargetMode="External"/><Relationship Id="rId13" Type="http://schemas.openxmlformats.org/officeDocument/2006/relationships/hyperlink" Target="https://edms.pttep.com/D2-Service/servlet/downloadrendition?type=PDF+Comments&amp;id=0902f829825f13a2" TargetMode="External"/><Relationship Id="rId18" Type="http://schemas.openxmlformats.org/officeDocument/2006/relationships/hyperlink" Target="https://edms.pttep.com/D2/servlet/DispatchDownload?_docbase=EDMS_PRD&amp;_locate=en&amp;event_name=d2_view&amp;id=0902f829825d805d" TargetMode="External"/><Relationship Id="rId26" Type="http://schemas.openxmlformats.org/officeDocument/2006/relationships/hyperlink" Target="https://edms.pttep.com/D2-Service/servlet/downloadrendition?type=PDF+Comments&amp;id=0902f829826c5103" TargetMode="External"/><Relationship Id="rId3" Type="http://schemas.openxmlformats.org/officeDocument/2006/relationships/hyperlink" Target="https://edms.pttep.com/D2/servlet/DispatchDownload?_docbase=EDMS_PRD&amp;_locate=en&amp;event_name=d2_view&amp;id=0902f829826c5103" TargetMode="External"/><Relationship Id="rId21" Type="http://schemas.openxmlformats.org/officeDocument/2006/relationships/hyperlink" Target="https://edms.pttep.com/D2-Service/servlet/downloadrendition?type=PDF+Comments&amp;id=0902f829825f07dd" TargetMode="External"/><Relationship Id="rId7" Type="http://schemas.openxmlformats.org/officeDocument/2006/relationships/hyperlink" Target="https://edms.pttep.com/D2-Service/servlet/downloadrendition?type=PDF+Comments&amp;id=0902f82982603a02" TargetMode="External"/><Relationship Id="rId12" Type="http://schemas.openxmlformats.org/officeDocument/2006/relationships/hyperlink" Target="https://edms.pttep.com/D2-Service/servlet/downloadrendition?type=PDF+Comments&amp;id=0902f829825d8049" TargetMode="External"/><Relationship Id="rId17" Type="http://schemas.openxmlformats.org/officeDocument/2006/relationships/hyperlink" Target="https://edms.pttep.com/D2-Service/servlet/downloadrendition?type=PDF+Comments&amp;id=0902f829825f07cf" TargetMode="External"/><Relationship Id="rId25" Type="http://schemas.openxmlformats.org/officeDocument/2006/relationships/hyperlink" Target="https://edms.pttep.com/D2-Service/servlet/downloadrendition?type=PDF+Comments&amp;id=0902f829825f07eb" TargetMode="External"/><Relationship Id="rId2" Type="http://schemas.openxmlformats.org/officeDocument/2006/relationships/hyperlink" Target="https://edms.pttep.com/D2/servlet/DispatchDownload?_docbase=EDMS_PRD&amp;_locate=en&amp;event_name=d2_view&amp;id=0902f82982603a02" TargetMode="External"/><Relationship Id="rId16" Type="http://schemas.openxmlformats.org/officeDocument/2006/relationships/hyperlink" Target="https://edms.pttep.com/D2-Service/servlet/downloadrendition?type=PDF+Comments&amp;id=0902f829825d804f" TargetMode="External"/><Relationship Id="rId20" Type="http://schemas.openxmlformats.org/officeDocument/2006/relationships/hyperlink" Target="https://edms.pttep.com/D2-Service/servlet/downloadrendition?type=PDF+Comments&amp;id=0902f829825d805d" TargetMode="External"/><Relationship Id="rId1" Type="http://schemas.openxmlformats.org/officeDocument/2006/relationships/hyperlink" Target="https://edms.pttep.com/D2/servlet/DispatchDownload?_docbase=EDMS_PRD&amp;_locate=en&amp;event_name=d2_view&amp;id=0902f829825d7fa3" TargetMode="External"/><Relationship Id="rId6" Type="http://schemas.openxmlformats.org/officeDocument/2006/relationships/hyperlink" Target="https://edms.pttep.com/D2-Service/servlet/downloadrendition?type=PDF+Comments&amp;id=0902f829825d7fa3" TargetMode="External"/><Relationship Id="rId11" Type="http://schemas.openxmlformats.org/officeDocument/2006/relationships/hyperlink" Target="https://edms.pttep.com/D2/servlet/DispatchDownload?_docbase=EDMS_PRD&amp;_locate=en&amp;event_name=d2_view&amp;id=0902f829825f13a2" TargetMode="External"/><Relationship Id="rId24" Type="http://schemas.openxmlformats.org/officeDocument/2006/relationships/hyperlink" Target="https://edms.pttep.com/D2-Service/servlet/downloadrendition?type=PDF+Comments&amp;id=0902f829825d806b" TargetMode="External"/><Relationship Id="rId5" Type="http://schemas.openxmlformats.org/officeDocument/2006/relationships/hyperlink" Target="https://edms.pttep.com/D2/servlet/DispatchDownload?_docbase=EDMS_PRD&amp;_locate=en&amp;event_name=d2_view&amp;id=0902f82982735ac8" TargetMode="External"/><Relationship Id="rId15" Type="http://schemas.openxmlformats.org/officeDocument/2006/relationships/hyperlink" Target="https://edms.pttep.com/D2/servlet/DispatchDownload?_docbase=EDMS_PRD&amp;_locate=en&amp;event_name=d2_view&amp;id=0902f829825f07cf" TargetMode="External"/><Relationship Id="rId23" Type="http://schemas.openxmlformats.org/officeDocument/2006/relationships/hyperlink" Target="https://edms.pttep.com/D2/servlet/DispatchDownload?_docbase=EDMS_PRD&amp;_locate=en&amp;event_name=d2_view&amp;id=0902f829825f07eb" TargetMode="External"/><Relationship Id="rId10" Type="http://schemas.openxmlformats.org/officeDocument/2006/relationships/hyperlink" Target="https://edms.pttep.com/D2/servlet/DispatchDownload?_docbase=EDMS_PRD&amp;_locate=en&amp;event_name=d2_view&amp;id=0902f829825d8049" TargetMode="External"/><Relationship Id="rId19" Type="http://schemas.openxmlformats.org/officeDocument/2006/relationships/hyperlink" Target="https://edms.pttep.com/D2/servlet/DispatchDownload?_docbase=EDMS_PRD&amp;_locate=en&amp;event_name=d2_view&amp;id=0902f829825f07dd" TargetMode="External"/><Relationship Id="rId4" Type="http://schemas.openxmlformats.org/officeDocument/2006/relationships/hyperlink" Target="https://edms.pttep.com/D2/servlet/DispatchDownload?_docbase=EDMS_PRD&amp;_locate=en&amp;event_name=d2_view&amp;id=0902f8298269a6cc" TargetMode="External"/><Relationship Id="rId9" Type="http://schemas.openxmlformats.org/officeDocument/2006/relationships/hyperlink" Target="https://edms.pttep.com/D2-Service/servlet/downloadrendition?type=PDF+Comments&amp;id=0902f8298269a6cc" TargetMode="External"/><Relationship Id="rId14" Type="http://schemas.openxmlformats.org/officeDocument/2006/relationships/hyperlink" Target="https://edms.pttep.com/D2/servlet/DispatchDownload?_docbase=EDMS_PRD&amp;_locate=en&amp;event_name=d2_view&amp;id=0902f829825d804f" TargetMode="External"/><Relationship Id="rId22" Type="http://schemas.openxmlformats.org/officeDocument/2006/relationships/hyperlink" Target="https://edms.pttep.com/D2/servlet/DispatchDownload?_docbase=EDMS_PRD&amp;_locate=en&amp;event_name=d2_view&amp;id=0902f829825d806b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358"/>
  <sheetViews>
    <sheetView tabSelected="1" zoomScale="90" zoomScaleNormal="90" workbookViewId="0">
      <pane xSplit="7" ySplit="12" topLeftCell="W286" activePane="bottomRight" state="frozen"/>
      <selection pane="topRight"/>
      <selection pane="bottomLeft"/>
      <selection pane="bottomRight" activeCell="X291" sqref="X291"/>
    </sheetView>
  </sheetViews>
  <sheetFormatPr defaultColWidth="10.6640625" defaultRowHeight="19.149999999999999" x14ac:dyDescent="0.6"/>
  <cols>
    <col min="1" max="1" width="3.86328125" style="5" customWidth="1"/>
    <col min="2" max="2" width="23.19921875" style="95" customWidth="1"/>
    <col min="3" max="3" width="13.73046875" style="5" customWidth="1"/>
    <col min="4" max="4" width="32.86328125" style="6" customWidth="1"/>
    <col min="5" max="5" width="9.19921875" style="190" hidden="1" customWidth="1"/>
    <col min="6" max="6" width="4.9296875" style="190" hidden="1" customWidth="1"/>
    <col min="7" max="7" width="6.9296875" style="6" hidden="1" customWidth="1"/>
    <col min="8" max="8" width="6.73046875" customWidth="1"/>
    <col min="9" max="9" width="5.73046875" style="6" hidden="1" customWidth="1"/>
    <col min="10" max="11" width="5.59765625" style="6" customWidth="1"/>
    <col min="12" max="12" width="19.53125" style="224" customWidth="1"/>
    <col min="13" max="13" width="5.73046875" style="205" customWidth="1"/>
    <col min="14" max="14" width="6.86328125" style="6" customWidth="1"/>
    <col min="15" max="22" width="10.53125" style="8" customWidth="1"/>
    <col min="23" max="23" width="11.53125" style="8" customWidth="1"/>
    <col min="24" max="28" width="10.53125" style="8" customWidth="1"/>
    <col min="29" max="29" width="9.796875" style="8" customWidth="1"/>
    <col min="30" max="35" width="10.53125" style="8" customWidth="1"/>
    <col min="36" max="36" width="7.1328125" style="49" customWidth="1"/>
    <col min="37" max="37" width="5.9296875" style="50" customWidth="1"/>
    <col min="38" max="38" width="13.3984375" style="9" customWidth="1"/>
    <col min="39" max="39" width="11.86328125" style="9" customWidth="1"/>
    <col min="40" max="40" width="7.59765625" style="9" customWidth="1"/>
    <col min="41" max="41" width="10.9296875" style="9" customWidth="1"/>
    <col min="42" max="42" width="27.19921875" style="160" customWidth="1"/>
    <col min="43" max="53" width="10.6640625" style="6" hidden="1" customWidth="1"/>
    <col min="54" max="54" width="8.265625" style="430" customWidth="1"/>
    <col min="55" max="55" width="36.9296875" style="6" customWidth="1"/>
    <col min="56" max="16384" width="10.6640625" style="6"/>
  </cols>
  <sheetData>
    <row r="1" spans="1:56" s="149" customFormat="1" ht="11.25" x14ac:dyDescent="0.4">
      <c r="A1" s="451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  <c r="Q1" s="451"/>
      <c r="R1" s="451"/>
      <c r="S1" s="451"/>
      <c r="T1" s="451"/>
      <c r="U1" s="451"/>
      <c r="V1" s="451"/>
      <c r="W1" s="451"/>
      <c r="X1" s="451"/>
      <c r="Y1" s="451"/>
      <c r="Z1" s="451"/>
      <c r="AA1" s="451"/>
      <c r="AB1" s="451"/>
      <c r="AC1" s="451"/>
      <c r="AD1" s="451"/>
      <c r="AE1" s="451"/>
      <c r="AF1" s="451"/>
      <c r="AG1" s="451"/>
      <c r="AH1" s="451"/>
      <c r="AI1" s="451"/>
      <c r="AJ1" s="451"/>
      <c r="AK1" s="451"/>
      <c r="AL1" s="451"/>
      <c r="AM1" s="451"/>
      <c r="AN1" s="451"/>
      <c r="AO1" s="451"/>
      <c r="AP1" s="451"/>
      <c r="BB1" s="427"/>
      <c r="BC1" s="407"/>
      <c r="BD1" s="407"/>
    </row>
    <row r="2" spans="1:56" s="149" customFormat="1" ht="11.25" x14ac:dyDescent="0.4">
      <c r="A2" s="451" t="s">
        <v>377</v>
      </c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  <c r="Q2" s="451"/>
      <c r="R2" s="451"/>
      <c r="S2" s="451"/>
      <c r="T2" s="451"/>
      <c r="U2" s="451"/>
      <c r="V2" s="451"/>
      <c r="W2" s="451"/>
      <c r="X2" s="451"/>
      <c r="Y2" s="451"/>
      <c r="Z2" s="451"/>
      <c r="AA2" s="451"/>
      <c r="AB2" s="451"/>
      <c r="AC2" s="451"/>
      <c r="AD2" s="451"/>
      <c r="AE2" s="451"/>
      <c r="AF2" s="451"/>
      <c r="AG2" s="451"/>
      <c r="AH2" s="451"/>
      <c r="AI2" s="451"/>
      <c r="AJ2" s="451"/>
      <c r="AK2" s="451"/>
      <c r="AL2" s="451"/>
      <c r="AM2" s="451"/>
      <c r="AN2" s="451"/>
      <c r="AO2" s="451"/>
      <c r="AP2" s="451"/>
      <c r="BB2" s="427"/>
      <c r="BC2" s="407"/>
      <c r="BD2" s="407"/>
    </row>
    <row r="3" spans="1:56" s="149" customFormat="1" ht="11.25" x14ac:dyDescent="0.4">
      <c r="A3" s="91"/>
      <c r="B3" s="91"/>
      <c r="C3" s="91"/>
      <c r="D3" s="148"/>
      <c r="E3" s="180"/>
      <c r="F3" s="180"/>
      <c r="G3" s="162"/>
      <c r="H3" s="162"/>
      <c r="I3" s="163"/>
      <c r="J3" s="164"/>
      <c r="K3" s="164"/>
      <c r="L3" s="163"/>
      <c r="M3" s="203"/>
      <c r="N3" s="165"/>
      <c r="O3" s="163"/>
      <c r="P3" s="166"/>
      <c r="Q3" s="166"/>
      <c r="R3" s="166"/>
      <c r="S3" s="166"/>
      <c r="T3" s="166"/>
      <c r="U3" s="166"/>
      <c r="V3" s="166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8"/>
      <c r="AK3" s="167"/>
      <c r="AL3" s="167"/>
      <c r="AM3" s="167"/>
      <c r="AN3" s="167"/>
      <c r="AO3" s="167"/>
      <c r="AP3" s="169"/>
      <c r="BB3" s="427"/>
      <c r="BC3" s="407"/>
      <c r="BD3" s="407"/>
    </row>
    <row r="4" spans="1:56" s="149" customFormat="1" ht="11.25" x14ac:dyDescent="0.4">
      <c r="A4" s="91"/>
      <c r="B4" s="91"/>
      <c r="C4" s="91"/>
      <c r="D4" s="148"/>
      <c r="E4" s="180"/>
      <c r="F4" s="180"/>
      <c r="G4" s="170"/>
      <c r="H4" s="162"/>
      <c r="I4" s="163"/>
      <c r="J4" s="164"/>
      <c r="K4" s="164"/>
      <c r="L4" s="163"/>
      <c r="M4" s="203"/>
      <c r="N4" s="165"/>
      <c r="O4" s="163"/>
      <c r="P4" s="166"/>
      <c r="Q4" s="166"/>
      <c r="R4" s="166"/>
      <c r="S4" s="166"/>
      <c r="T4" s="166"/>
      <c r="U4" s="166"/>
      <c r="V4" s="166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8"/>
      <c r="AK4" s="167"/>
      <c r="AL4" s="167"/>
      <c r="AM4" s="167"/>
      <c r="AN4" s="167"/>
      <c r="AO4" s="167"/>
      <c r="AP4" s="169"/>
      <c r="BB4" s="427"/>
      <c r="BC4" s="407"/>
      <c r="BD4" s="407"/>
    </row>
    <row r="5" spans="1:56" s="149" customFormat="1" ht="11.25" x14ac:dyDescent="0.4">
      <c r="A5" s="91"/>
      <c r="B5" s="91"/>
      <c r="C5" s="91"/>
      <c r="D5" s="148"/>
      <c r="E5" s="180"/>
      <c r="F5" s="180"/>
      <c r="G5" s="170"/>
      <c r="H5" s="162"/>
      <c r="I5" s="163"/>
      <c r="J5" s="164"/>
      <c r="K5" s="164"/>
      <c r="L5" s="163"/>
      <c r="M5" s="203"/>
      <c r="N5" s="165"/>
      <c r="O5" s="163"/>
      <c r="P5" s="171"/>
      <c r="Q5" s="171"/>
      <c r="R5" s="171"/>
      <c r="S5" s="171"/>
      <c r="T5" s="171"/>
      <c r="U5" s="171"/>
      <c r="V5" s="171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8"/>
      <c r="AK5" s="167"/>
      <c r="AL5" s="167"/>
      <c r="AM5" s="167"/>
      <c r="AN5" s="167"/>
      <c r="AO5" s="167"/>
      <c r="AP5" s="169"/>
      <c r="BB5" s="427"/>
      <c r="BC5" s="407"/>
      <c r="BD5" s="407"/>
    </row>
    <row r="6" spans="1:56" s="149" customFormat="1" ht="11.25" x14ac:dyDescent="0.4">
      <c r="A6" s="91"/>
      <c r="B6" s="91"/>
      <c r="C6" s="91"/>
      <c r="D6" s="148"/>
      <c r="E6" s="180"/>
      <c r="F6" s="180"/>
      <c r="G6" s="170"/>
      <c r="H6" s="162"/>
      <c r="I6" s="163"/>
      <c r="J6" s="164"/>
      <c r="K6" s="172" t="s">
        <v>308</v>
      </c>
      <c r="L6" s="220" t="s">
        <v>309</v>
      </c>
      <c r="M6" s="204"/>
      <c r="N6" s="165"/>
      <c r="O6" s="173"/>
      <c r="P6" s="174">
        <v>1</v>
      </c>
      <c r="Q6" s="214">
        <v>10</v>
      </c>
      <c r="R6" s="174">
        <v>0</v>
      </c>
      <c r="S6" s="174">
        <v>0</v>
      </c>
      <c r="T6" s="174">
        <v>10</v>
      </c>
      <c r="U6" s="174">
        <v>17</v>
      </c>
      <c r="V6" s="214">
        <v>10</v>
      </c>
      <c r="W6" s="174">
        <v>9</v>
      </c>
      <c r="X6" s="174">
        <v>2</v>
      </c>
      <c r="Y6" s="174">
        <v>5</v>
      </c>
      <c r="Z6" s="174">
        <v>20</v>
      </c>
      <c r="AA6" s="174">
        <v>10</v>
      </c>
      <c r="AB6" s="175"/>
      <c r="AC6" s="175"/>
      <c r="AD6" s="174"/>
      <c r="AE6" s="174"/>
      <c r="AF6" s="174"/>
      <c r="AG6" s="174"/>
      <c r="AH6" s="174"/>
      <c r="AI6" s="174"/>
      <c r="AJ6" s="176"/>
      <c r="AK6" s="177"/>
      <c r="AL6" s="167"/>
      <c r="AM6" s="167"/>
      <c r="AN6" s="167"/>
      <c r="AO6" s="167"/>
      <c r="AP6" s="178"/>
      <c r="AQ6" s="173">
        <v>3</v>
      </c>
      <c r="AR6" s="173"/>
      <c r="AS6" s="173">
        <v>10</v>
      </c>
      <c r="AT6" s="149">
        <v>2</v>
      </c>
      <c r="BB6" s="427"/>
      <c r="BC6" s="407"/>
      <c r="BD6" s="407"/>
    </row>
    <row r="7" spans="1:56" s="149" customFormat="1" ht="11.25" x14ac:dyDescent="0.4">
      <c r="A7" s="91"/>
      <c r="B7" s="91"/>
      <c r="C7" s="91"/>
      <c r="D7" s="148"/>
      <c r="E7" s="180"/>
      <c r="F7" s="180"/>
      <c r="G7" s="170"/>
      <c r="H7" s="162"/>
      <c r="I7" s="163"/>
      <c r="J7" s="164"/>
      <c r="K7" s="164" t="s">
        <v>310</v>
      </c>
      <c r="L7" s="220" t="s">
        <v>311</v>
      </c>
      <c r="M7" s="204"/>
      <c r="N7" s="165"/>
      <c r="O7" s="173"/>
      <c r="P7" s="174">
        <v>1</v>
      </c>
      <c r="Q7" s="214">
        <v>10</v>
      </c>
      <c r="R7" s="174">
        <v>0</v>
      </c>
      <c r="S7" s="174">
        <v>0</v>
      </c>
      <c r="T7" s="174">
        <v>10</v>
      </c>
      <c r="U7" s="174">
        <v>17</v>
      </c>
      <c r="V7" s="214">
        <v>10</v>
      </c>
      <c r="W7" s="174">
        <v>9</v>
      </c>
      <c r="X7" s="174">
        <v>2</v>
      </c>
      <c r="Y7" s="174">
        <v>5</v>
      </c>
      <c r="Z7" s="174">
        <v>20</v>
      </c>
      <c r="AA7" s="174">
        <v>10</v>
      </c>
      <c r="AB7" s="175"/>
      <c r="AC7" s="175"/>
      <c r="AD7" s="174"/>
      <c r="AE7" s="174"/>
      <c r="AF7" s="174"/>
      <c r="AG7" s="174"/>
      <c r="AH7" s="174"/>
      <c r="AI7" s="174"/>
      <c r="AJ7" s="176"/>
      <c r="AK7" s="177"/>
      <c r="AL7" s="167"/>
      <c r="AM7" s="167"/>
      <c r="AN7" s="167"/>
      <c r="AO7" s="167"/>
      <c r="AP7" s="178"/>
      <c r="AQ7" s="173">
        <v>3</v>
      </c>
      <c r="AR7" s="173"/>
      <c r="AS7" s="173">
        <v>10</v>
      </c>
      <c r="AT7" s="149">
        <v>2</v>
      </c>
      <c r="BB7" s="427"/>
      <c r="BC7" s="407"/>
      <c r="BD7" s="407"/>
    </row>
    <row r="8" spans="1:56" s="149" customFormat="1" ht="11.25" x14ac:dyDescent="0.4">
      <c r="A8" s="91"/>
      <c r="B8" s="91"/>
      <c r="C8" s="91"/>
      <c r="D8" s="148"/>
      <c r="E8" s="180"/>
      <c r="F8" s="180"/>
      <c r="G8" s="170"/>
      <c r="H8" s="162"/>
      <c r="I8" s="163"/>
      <c r="J8" s="164"/>
      <c r="K8" s="164" t="s">
        <v>312</v>
      </c>
      <c r="L8" s="220" t="s">
        <v>313</v>
      </c>
      <c r="M8" s="204"/>
      <c r="N8" s="165"/>
      <c r="O8" s="173"/>
      <c r="P8" s="174">
        <v>1</v>
      </c>
      <c r="Q8" s="214">
        <v>10</v>
      </c>
      <c r="R8" s="174">
        <v>0</v>
      </c>
      <c r="S8" s="174">
        <v>0</v>
      </c>
      <c r="T8" s="174">
        <v>10</v>
      </c>
      <c r="U8" s="174">
        <v>13</v>
      </c>
      <c r="V8" s="214">
        <v>10</v>
      </c>
      <c r="W8" s="174">
        <v>9</v>
      </c>
      <c r="X8" s="174">
        <v>2</v>
      </c>
      <c r="Y8" s="174">
        <v>5</v>
      </c>
      <c r="Z8" s="174">
        <v>15</v>
      </c>
      <c r="AA8" s="174">
        <v>10</v>
      </c>
      <c r="AB8" s="175"/>
      <c r="AC8" s="175"/>
      <c r="AD8" s="174"/>
      <c r="AE8" s="174"/>
      <c r="AF8" s="174"/>
      <c r="AG8" s="174"/>
      <c r="AH8" s="174"/>
      <c r="AI8" s="174"/>
      <c r="AJ8" s="176"/>
      <c r="AK8" s="177"/>
      <c r="AL8" s="167"/>
      <c r="AM8" s="167"/>
      <c r="AN8" s="167"/>
      <c r="AO8" s="167"/>
      <c r="AP8" s="178"/>
      <c r="AQ8" s="173">
        <v>3</v>
      </c>
      <c r="AR8" s="173"/>
      <c r="AS8" s="173">
        <v>10</v>
      </c>
      <c r="AT8" s="149">
        <v>2</v>
      </c>
      <c r="BB8" s="427"/>
      <c r="BC8" s="407"/>
      <c r="BD8" s="407"/>
    </row>
    <row r="9" spans="1:56" s="149" customFormat="1" ht="11.25" x14ac:dyDescent="0.4">
      <c r="A9" s="179" t="s">
        <v>2</v>
      </c>
      <c r="B9" s="179"/>
      <c r="C9" s="91"/>
      <c r="D9" s="148"/>
      <c r="E9" s="180"/>
      <c r="F9" s="180"/>
      <c r="G9" s="170"/>
      <c r="H9" s="162"/>
      <c r="I9" s="163"/>
      <c r="J9" s="164"/>
      <c r="K9" s="164" t="s">
        <v>314</v>
      </c>
      <c r="L9" s="220" t="s">
        <v>315</v>
      </c>
      <c r="M9" s="204"/>
      <c r="N9" s="165"/>
      <c r="O9" s="173"/>
      <c r="P9" s="174">
        <v>1</v>
      </c>
      <c r="Q9" s="214">
        <v>10</v>
      </c>
      <c r="R9" s="174">
        <v>0</v>
      </c>
      <c r="S9" s="174">
        <v>0</v>
      </c>
      <c r="T9" s="174">
        <v>5</v>
      </c>
      <c r="U9" s="174">
        <v>7</v>
      </c>
      <c r="V9" s="214">
        <v>10</v>
      </c>
      <c r="W9" s="174">
        <v>5</v>
      </c>
      <c r="X9" s="174">
        <v>2</v>
      </c>
      <c r="Y9" s="174">
        <v>5</v>
      </c>
      <c r="Z9" s="174">
        <v>10</v>
      </c>
      <c r="AA9" s="174">
        <v>10</v>
      </c>
      <c r="AB9" s="175"/>
      <c r="AC9" s="175"/>
      <c r="AD9" s="174"/>
      <c r="AE9" s="174"/>
      <c r="AF9" s="174"/>
      <c r="AG9" s="174"/>
      <c r="AH9" s="174"/>
      <c r="AI9" s="174"/>
      <c r="AJ9" s="176"/>
      <c r="AK9" s="177"/>
      <c r="AL9" s="167"/>
      <c r="AM9" s="167"/>
      <c r="AN9" s="167"/>
      <c r="AO9" s="167"/>
      <c r="AP9" s="213" t="s">
        <v>996</v>
      </c>
      <c r="AQ9" s="173">
        <v>2</v>
      </c>
      <c r="AR9" s="173"/>
      <c r="AS9" s="173">
        <v>5</v>
      </c>
      <c r="AT9" s="149">
        <v>2</v>
      </c>
      <c r="BB9" s="427"/>
      <c r="BC9" s="407"/>
      <c r="BD9" s="407"/>
    </row>
    <row r="10" spans="1:56" s="1" customFormat="1" ht="34.5" customHeight="1" x14ac:dyDescent="0.4">
      <c r="A10" s="73" t="s">
        <v>4</v>
      </c>
      <c r="B10" s="73" t="s">
        <v>521</v>
      </c>
      <c r="C10" s="73" t="s">
        <v>5</v>
      </c>
      <c r="D10" s="73" t="s">
        <v>6</v>
      </c>
      <c r="E10" s="73" t="s">
        <v>360</v>
      </c>
      <c r="F10" s="73" t="s">
        <v>434</v>
      </c>
      <c r="G10" s="115" t="s">
        <v>7</v>
      </c>
      <c r="H10" s="73" t="s">
        <v>8</v>
      </c>
      <c r="I10" s="73" t="s">
        <v>9</v>
      </c>
      <c r="J10" s="73" t="s">
        <v>197</v>
      </c>
      <c r="K10" s="73" t="s">
        <v>307</v>
      </c>
      <c r="L10" s="73" t="s">
        <v>209</v>
      </c>
      <c r="M10" s="195" t="s">
        <v>10</v>
      </c>
      <c r="N10" s="73" t="s">
        <v>11</v>
      </c>
      <c r="O10" s="73" t="s">
        <v>12</v>
      </c>
      <c r="P10" s="73" t="s">
        <v>540</v>
      </c>
      <c r="Q10" s="73" t="s">
        <v>13</v>
      </c>
      <c r="R10" s="73" t="s">
        <v>14</v>
      </c>
      <c r="S10" s="73" t="s">
        <v>15</v>
      </c>
      <c r="T10" s="73" t="s">
        <v>529</v>
      </c>
      <c r="U10" s="73" t="s">
        <v>16</v>
      </c>
      <c r="V10" s="73" t="s">
        <v>17</v>
      </c>
      <c r="W10" s="73" t="s">
        <v>18</v>
      </c>
      <c r="X10" s="73" t="s">
        <v>19</v>
      </c>
      <c r="Y10" s="74" t="s">
        <v>180</v>
      </c>
      <c r="Z10" s="75" t="s">
        <v>181</v>
      </c>
      <c r="AA10" s="75" t="s">
        <v>182</v>
      </c>
      <c r="AB10" s="74" t="s">
        <v>183</v>
      </c>
      <c r="AC10" s="74" t="s">
        <v>354</v>
      </c>
      <c r="AD10" s="74" t="s">
        <v>184</v>
      </c>
      <c r="AE10" s="74" t="s">
        <v>185</v>
      </c>
      <c r="AF10" s="76" t="s">
        <v>186</v>
      </c>
      <c r="AG10" s="74" t="s">
        <v>347</v>
      </c>
      <c r="AH10" s="73" t="s">
        <v>187</v>
      </c>
      <c r="AI10" s="73" t="s">
        <v>188</v>
      </c>
      <c r="AJ10" s="51" t="s">
        <v>20</v>
      </c>
      <c r="AK10" s="116" t="s">
        <v>21</v>
      </c>
      <c r="AL10" s="51" t="s">
        <v>22</v>
      </c>
      <c r="AM10" s="51" t="s">
        <v>23</v>
      </c>
      <c r="AN10" s="73" t="s">
        <v>192</v>
      </c>
      <c r="AO10" s="73" t="s">
        <v>391</v>
      </c>
      <c r="AP10" s="73" t="s">
        <v>24</v>
      </c>
      <c r="AQ10" s="11">
        <v>40329</v>
      </c>
      <c r="AR10" s="12">
        <v>40359</v>
      </c>
      <c r="AS10" s="12">
        <v>40390</v>
      </c>
      <c r="AT10" s="12">
        <v>40421</v>
      </c>
      <c r="AU10" s="12">
        <v>40451</v>
      </c>
      <c r="AV10" s="12">
        <v>40482</v>
      </c>
      <c r="AW10" s="12">
        <v>40512</v>
      </c>
      <c r="AX10" s="12">
        <v>40543</v>
      </c>
      <c r="AY10" s="12">
        <v>40574</v>
      </c>
      <c r="AZ10" s="12">
        <v>40602</v>
      </c>
      <c r="BA10" s="12">
        <f ca="1">TODAY()</f>
        <v>46209</v>
      </c>
      <c r="BB10" s="424"/>
      <c r="BC10" s="408"/>
      <c r="BD10" s="408"/>
    </row>
    <row r="11" spans="1:56" s="2" customFormat="1" ht="11.25" x14ac:dyDescent="0.4">
      <c r="A11" s="13"/>
      <c r="B11" s="13"/>
      <c r="C11" s="10"/>
      <c r="D11" s="10"/>
      <c r="E11" s="153"/>
      <c r="F11" s="153"/>
      <c r="G11" s="10"/>
      <c r="H11" s="10"/>
      <c r="I11" s="10"/>
      <c r="J11" s="10"/>
      <c r="K11" s="73"/>
      <c r="L11" s="10"/>
      <c r="M11" s="195"/>
      <c r="N11" s="10" t="s">
        <v>25</v>
      </c>
      <c r="O11" s="10" t="s">
        <v>26</v>
      </c>
      <c r="P11" s="10" t="s">
        <v>27</v>
      </c>
      <c r="Q11" s="73" t="s">
        <v>26</v>
      </c>
      <c r="R11" s="73" t="s">
        <v>28</v>
      </c>
      <c r="S11" s="73" t="s">
        <v>26</v>
      </c>
      <c r="T11" s="73" t="s">
        <v>28</v>
      </c>
      <c r="U11" s="73" t="s">
        <v>27</v>
      </c>
      <c r="V11" s="73" t="s">
        <v>26</v>
      </c>
      <c r="W11" s="10" t="s">
        <v>28</v>
      </c>
      <c r="X11" s="10" t="s">
        <v>29</v>
      </c>
      <c r="Y11" s="73" t="s">
        <v>28</v>
      </c>
      <c r="Z11" s="73" t="s">
        <v>189</v>
      </c>
      <c r="AA11" s="73" t="s">
        <v>27</v>
      </c>
      <c r="AB11" s="73" t="s">
        <v>189</v>
      </c>
      <c r="AC11" s="73" t="s">
        <v>190</v>
      </c>
      <c r="AD11" s="73" t="s">
        <v>189</v>
      </c>
      <c r="AE11" s="73" t="s">
        <v>190</v>
      </c>
      <c r="AF11" s="73" t="s">
        <v>189</v>
      </c>
      <c r="AG11" s="73" t="s">
        <v>191</v>
      </c>
      <c r="AH11" s="73" t="s">
        <v>190</v>
      </c>
      <c r="AI11" s="73" t="s">
        <v>28</v>
      </c>
      <c r="AJ11" s="51"/>
      <c r="AK11" s="52"/>
      <c r="AL11" s="73" t="s">
        <v>28</v>
      </c>
      <c r="AM11" s="73"/>
      <c r="AN11" s="10"/>
      <c r="AO11" s="73"/>
      <c r="AP11" s="161"/>
      <c r="BB11" s="428"/>
      <c r="BC11" s="409"/>
      <c r="BD11" s="409"/>
    </row>
    <row r="12" spans="1:56" s="2" customFormat="1" ht="11.65" thickBot="1" x14ac:dyDescent="0.45">
      <c r="A12" s="13"/>
      <c r="B12" s="13"/>
      <c r="C12" s="73"/>
      <c r="D12" s="73"/>
      <c r="E12" s="153"/>
      <c r="F12" s="153"/>
      <c r="G12" s="73"/>
      <c r="H12" s="73"/>
      <c r="I12" s="73"/>
      <c r="J12" s="73"/>
      <c r="K12" s="73"/>
      <c r="L12" s="73"/>
      <c r="M12" s="195"/>
      <c r="N12" s="73" t="s">
        <v>340</v>
      </c>
      <c r="O12" s="73" t="s">
        <v>342</v>
      </c>
      <c r="P12" s="73" t="s">
        <v>341</v>
      </c>
      <c r="Q12" s="73" t="s">
        <v>341</v>
      </c>
      <c r="R12" s="73" t="s">
        <v>342</v>
      </c>
      <c r="S12" s="73" t="s">
        <v>341</v>
      </c>
      <c r="T12" s="73" t="s">
        <v>342</v>
      </c>
      <c r="U12" s="73" t="s">
        <v>341</v>
      </c>
      <c r="V12" s="73" t="s">
        <v>341</v>
      </c>
      <c r="W12" s="73" t="s">
        <v>342</v>
      </c>
      <c r="X12" s="73" t="s">
        <v>539</v>
      </c>
      <c r="Y12" s="73" t="s">
        <v>539</v>
      </c>
      <c r="Z12" s="73" t="s">
        <v>539</v>
      </c>
      <c r="AA12" s="73" t="s">
        <v>341</v>
      </c>
      <c r="AB12" s="73"/>
      <c r="AC12" s="73"/>
      <c r="AD12" s="73"/>
      <c r="AE12" s="73"/>
      <c r="AF12" s="73"/>
      <c r="AG12" s="73"/>
      <c r="AH12" s="73"/>
      <c r="AI12" s="73"/>
      <c r="AJ12" s="51"/>
      <c r="AK12" s="52"/>
      <c r="AL12" s="73"/>
      <c r="AM12" s="73"/>
      <c r="AN12" s="73"/>
      <c r="AO12" s="73"/>
      <c r="AP12" s="161"/>
      <c r="AQ12" s="2" t="s">
        <v>341</v>
      </c>
      <c r="AS12" s="2" t="s">
        <v>342</v>
      </c>
      <c r="AT12" s="2" t="s">
        <v>342</v>
      </c>
      <c r="BB12" s="428"/>
      <c r="BC12" s="409"/>
      <c r="BD12" s="409"/>
    </row>
    <row r="13" spans="1:56" s="3" customFormat="1" ht="20.65" customHeight="1" thickTop="1" thickBot="1" x14ac:dyDescent="0.45">
      <c r="A13" s="440">
        <v>1</v>
      </c>
      <c r="B13" s="92" t="s">
        <v>223</v>
      </c>
      <c r="C13" s="14" t="s">
        <v>198</v>
      </c>
      <c r="D13" s="227" t="s">
        <v>208</v>
      </c>
      <c r="E13" s="154" t="s">
        <v>359</v>
      </c>
      <c r="F13" s="154" t="s">
        <v>455</v>
      </c>
      <c r="G13" s="60" t="s">
        <v>31</v>
      </c>
      <c r="H13" s="16" t="s">
        <v>32</v>
      </c>
      <c r="I13" s="14" t="s">
        <v>33</v>
      </c>
      <c r="J13" s="14" t="s">
        <v>0</v>
      </c>
      <c r="K13" s="14" t="s">
        <v>308</v>
      </c>
      <c r="L13" s="215"/>
      <c r="M13" s="196" t="s">
        <v>34</v>
      </c>
      <c r="N13" s="18" t="s">
        <v>35</v>
      </c>
      <c r="O13" s="19">
        <v>46133</v>
      </c>
      <c r="P13" s="19">
        <v>46133</v>
      </c>
      <c r="Q13" s="19">
        <v>46136</v>
      </c>
      <c r="R13" s="19">
        <v>46139</v>
      </c>
      <c r="S13" s="19">
        <v>46148</v>
      </c>
      <c r="T13" s="19">
        <v>46159</v>
      </c>
      <c r="U13" s="19">
        <v>46184</v>
      </c>
      <c r="V13" s="19">
        <v>46198</v>
      </c>
      <c r="W13" s="230">
        <v>46211</v>
      </c>
      <c r="X13" s="19">
        <v>46213</v>
      </c>
      <c r="Y13" s="19">
        <v>46220</v>
      </c>
      <c r="Z13" s="19">
        <v>46248</v>
      </c>
      <c r="AA13" s="19">
        <v>46262</v>
      </c>
      <c r="AB13" s="19">
        <v>46352</v>
      </c>
      <c r="AC13" s="19">
        <v>46357</v>
      </c>
      <c r="AD13" s="19">
        <v>46360</v>
      </c>
      <c r="AE13" s="19">
        <v>46501</v>
      </c>
      <c r="AF13" s="19">
        <v>46531</v>
      </c>
      <c r="AG13" s="19">
        <v>46561</v>
      </c>
      <c r="AH13" s="19">
        <v>46564</v>
      </c>
      <c r="AI13" s="19">
        <v>46591</v>
      </c>
      <c r="AJ13" s="58">
        <v>50</v>
      </c>
      <c r="AK13" s="59">
        <v>350</v>
      </c>
      <c r="AL13" s="78">
        <v>46561</v>
      </c>
      <c r="AM13" s="78">
        <v>46567</v>
      </c>
      <c r="AN13" s="77">
        <f>AM13-AL14</f>
        <v>6</v>
      </c>
      <c r="AO13" s="140" t="s">
        <v>561</v>
      </c>
      <c r="AP13" s="431" t="s">
        <v>560</v>
      </c>
      <c r="AQ13" s="21">
        <f>IF(ISERROR(LOOKUP(AQ$10,$O13:$AP13,#REF!)),0,(LOOKUP(AQ$10,$O13:$AP13,#REF!)))</f>
        <v>0</v>
      </c>
      <c r="AR13" s="22">
        <f>IF(ISERROR(LOOKUP(AR$10,$O13:$AP13,#REF!)),0,(LOOKUP(AR$10,$O13:$AP13,#REF!)))</f>
        <v>0</v>
      </c>
      <c r="AS13" s="22">
        <f>IF(ISERROR(LOOKUP(AS$10,$O13:$AP13,#REF!)),0,(LOOKUP(AS$10,$O13:$AP13,#REF!)))</f>
        <v>0</v>
      </c>
      <c r="AT13" s="22">
        <f>IF(ISERROR(LOOKUP(AT$10,$O13:$AP13,#REF!)),0,(LOOKUP(AT$10,$O13:$AP13,#REF!)))</f>
        <v>0</v>
      </c>
      <c r="AU13" s="22">
        <f>IF(ISERROR(LOOKUP(AU$10,$O13:$AP13,#REF!)),0,(LOOKUP(AU$10,$O13:$AP13,#REF!)))</f>
        <v>0</v>
      </c>
      <c r="AV13" s="22">
        <f>IF(ISERROR(LOOKUP(AV$10,$O13:$AP13,#REF!)),0,(LOOKUP(AV$10,$O13:$AP13,#REF!)))</f>
        <v>0</v>
      </c>
      <c r="AW13" s="22">
        <f>IF(ISERROR(LOOKUP(AW$10,$O13:$AP13,#REF!)),0,(LOOKUP(AW$10,$O13:$AP13,#REF!)))</f>
        <v>0</v>
      </c>
      <c r="AX13" s="22">
        <f>IF(ISERROR(LOOKUP(AX$10,$O13:$AP13,#REF!)),0,(LOOKUP(AX$10,$O13:$AP13,#REF!)))</f>
        <v>0</v>
      </c>
      <c r="AY13" s="22">
        <f>IF(ISERROR(LOOKUP(AY$10,$O13:$AP13,#REF!)),0,(LOOKUP(AY$10,$O13:$AP13,#REF!)))</f>
        <v>0</v>
      </c>
      <c r="AZ13" s="22">
        <f>IF(ISERROR(LOOKUP(AZ$10,$O13:$AP13,#REF!)),0,(LOOKUP(AZ$10,$O13:$AP13,#REF!)))</f>
        <v>0</v>
      </c>
      <c r="BA13" s="22">
        <f ca="1">IF(ISERROR(LOOKUP(BA$10,$O13:$AP13,#REF!)),0,(LOOKUP(BA$10,$O13:$AP13,#REF!)))</f>
        <v>0</v>
      </c>
      <c r="BB13" s="425" t="s">
        <v>992</v>
      </c>
      <c r="BC13" s="410" t="s">
        <v>920</v>
      </c>
      <c r="BD13" s="410" t="s">
        <v>921</v>
      </c>
    </row>
    <row r="14" spans="1:56" s="4" customFormat="1" ht="17.649999999999999" customHeight="1" thickTop="1" thickBot="1" x14ac:dyDescent="0.45">
      <c r="A14" s="441"/>
      <c r="B14" s="93" t="s">
        <v>223</v>
      </c>
      <c r="C14" s="23" t="s">
        <v>30</v>
      </c>
      <c r="D14" s="24" t="s">
        <v>207</v>
      </c>
      <c r="E14" s="155"/>
      <c r="F14" s="155"/>
      <c r="G14" s="53" t="s">
        <v>31</v>
      </c>
      <c r="H14" s="25" t="s">
        <v>32</v>
      </c>
      <c r="I14" s="23" t="s">
        <v>33</v>
      </c>
      <c r="J14" s="23" t="s">
        <v>0</v>
      </c>
      <c r="K14" s="23" t="s">
        <v>308</v>
      </c>
      <c r="L14" s="216"/>
      <c r="M14" s="197" t="s">
        <v>34</v>
      </c>
      <c r="N14" s="26" t="s">
        <v>36</v>
      </c>
      <c r="O14" s="27"/>
      <c r="P14" s="28"/>
      <c r="Q14" s="28"/>
      <c r="R14" s="28"/>
      <c r="S14" s="28"/>
      <c r="T14" s="28"/>
      <c r="U14" s="28"/>
      <c r="V14" s="28"/>
      <c r="W14" s="28">
        <f>W13</f>
        <v>46211</v>
      </c>
      <c r="X14" s="28">
        <f>WORKDAY(W14, X6, IF(X12="China",'China Holidays'!$A$2:$A$84,'Thai Holidays'!$A$2:$A$65))</f>
        <v>46213</v>
      </c>
      <c r="Y14" s="28">
        <f>WORKDAY(X14, Y6, IF(Y12="China",'China Holidays'!$A$2:$A$84,'Thai Holidays'!$A$2:$A$65))</f>
        <v>46220</v>
      </c>
      <c r="Z14" s="28">
        <f>WORKDAY(Y14, Z6, IF(Z12="China",'China Holidays'!$A$2:$A$84,'Thai Holidays'!$A$2:$A$65))</f>
        <v>46248</v>
      </c>
      <c r="AA14" s="28">
        <f>WORKDAY(Z14, AA6, IF(AA12="China",'China Holidays'!$A$2:$A$84,'Thai Holidays'!$A$2:$A$65))</f>
        <v>46262</v>
      </c>
      <c r="AB14" s="28">
        <f>AB13</f>
        <v>46352</v>
      </c>
      <c r="AC14" s="28">
        <v>46357</v>
      </c>
      <c r="AD14" s="28">
        <v>46360</v>
      </c>
      <c r="AE14" s="28">
        <v>46501</v>
      </c>
      <c r="AF14" s="28">
        <f>AG14-30</f>
        <v>46531</v>
      </c>
      <c r="AG14" s="28">
        <f>AL13</f>
        <v>46561</v>
      </c>
      <c r="AH14" s="28">
        <f>AL13+3</f>
        <v>46564</v>
      </c>
      <c r="AI14" s="28">
        <f>AL13+30</f>
        <v>46591</v>
      </c>
      <c r="AJ14" s="81"/>
      <c r="AK14" s="81"/>
      <c r="AL14" s="83">
        <f>W14+AK13</f>
        <v>46561</v>
      </c>
      <c r="AM14" s="83"/>
      <c r="AN14" s="29"/>
      <c r="AO14" s="141"/>
      <c r="AP14" s="438"/>
      <c r="AQ14" s="30">
        <f>IF(ISERROR(LOOKUP(AQ$10,$O14:$AP14,#REF!)),0,(LOOKUP(AQ$10,$O14:$AP14,#REF!)))</f>
        <v>0</v>
      </c>
      <c r="AR14" s="31">
        <f>IF(ISERROR(LOOKUP(AR$10,$O14:$AP14,#REF!)),0,(LOOKUP(AR$10,$O14:$AP14,#REF!)))</f>
        <v>0</v>
      </c>
      <c r="AS14" s="31">
        <f>IF(ISERROR(LOOKUP(AS$10,$O14:$AP14,#REF!)),0,(LOOKUP(AS$10,$O14:$AP14,#REF!)))</f>
        <v>0</v>
      </c>
      <c r="AT14" s="31">
        <f>IF(ISERROR(LOOKUP(AT$10,$O14:$AP14,#REF!)),0,(LOOKUP(AT$10,$O14:$AP14,#REF!)))</f>
        <v>0</v>
      </c>
      <c r="AU14" s="31">
        <f>IF(ISERROR(LOOKUP(AU$10,$O14:$AP14,#REF!)),0,(LOOKUP(AU$10,$O14:$AP14,#REF!)))</f>
        <v>0</v>
      </c>
      <c r="AV14" s="31">
        <f>IF(ISERROR(LOOKUP(AV$10,$O14:$AP14,#REF!)),0,(LOOKUP(AV$10,$O14:$AP14,#REF!)))</f>
        <v>0</v>
      </c>
      <c r="AW14" s="31">
        <f>IF(ISERROR(LOOKUP(AW$10,$O14:$AP14,#REF!)),0,(LOOKUP(AW$10,$O14:$AP14,#REF!)))</f>
        <v>0</v>
      </c>
      <c r="AX14" s="31">
        <f>IF(ISERROR(LOOKUP(AX$10,$O14:$AP14,#REF!)),0,(LOOKUP(AX$10,$O14:$AP14,#REF!)))</f>
        <v>0</v>
      </c>
      <c r="AY14" s="31">
        <f>IF(ISERROR(LOOKUP(AY$10,$O14:$AP14,#REF!)),0,(LOOKUP(AY$10,$O14:$AP14,#REF!)))</f>
        <v>0</v>
      </c>
      <c r="AZ14" s="31">
        <f>IF(ISERROR(LOOKUP(AZ$10,$O14:$AP14,#REF!)),0,(LOOKUP(AZ$10,$O14:$AP14,#REF!)))</f>
        <v>0</v>
      </c>
      <c r="BA14" s="31">
        <f ca="1">IF(ISERROR(LOOKUP(BA$10,$O14:$AP14,#REF!)),0,(LOOKUP(BA$10,$O14:$AP14,#REF!)))</f>
        <v>0</v>
      </c>
      <c r="BB14" s="425" t="s">
        <v>993</v>
      </c>
      <c r="BC14" s="410" t="s">
        <v>922</v>
      </c>
      <c r="BD14" s="411"/>
    </row>
    <row r="15" spans="1:56" s="3" customFormat="1" ht="19.899999999999999" customHeight="1" thickTop="1" thickBot="1" x14ac:dyDescent="0.45">
      <c r="A15" s="442"/>
      <c r="B15" s="94" t="s">
        <v>223</v>
      </c>
      <c r="C15" s="32" t="s">
        <v>30</v>
      </c>
      <c r="D15" s="33" t="s">
        <v>207</v>
      </c>
      <c r="E15" s="156"/>
      <c r="F15" s="156"/>
      <c r="G15" s="54" t="s">
        <v>31</v>
      </c>
      <c r="H15" s="34" t="s">
        <v>32</v>
      </c>
      <c r="I15" s="32" t="s">
        <v>33</v>
      </c>
      <c r="J15" s="32" t="s">
        <v>0</v>
      </c>
      <c r="K15" s="32" t="s">
        <v>308</v>
      </c>
      <c r="L15" s="225"/>
      <c r="M15" s="198" t="s">
        <v>34</v>
      </c>
      <c r="N15" s="35" t="s">
        <v>37</v>
      </c>
      <c r="O15" s="36">
        <v>46120</v>
      </c>
      <c r="P15" s="37">
        <v>46125</v>
      </c>
      <c r="Q15" s="36">
        <v>46135</v>
      </c>
      <c r="R15" s="36">
        <v>46136</v>
      </c>
      <c r="S15" s="36">
        <v>46136</v>
      </c>
      <c r="T15" s="36">
        <v>46143</v>
      </c>
      <c r="U15" s="36">
        <v>46192</v>
      </c>
      <c r="V15" s="36">
        <v>46201</v>
      </c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82"/>
      <c r="AK15" s="82"/>
      <c r="AL15" s="37"/>
      <c r="AM15" s="37"/>
      <c r="AN15" s="38"/>
      <c r="AO15" s="142"/>
      <c r="AP15" s="439"/>
      <c r="AQ15" s="39">
        <f>IF(ISERROR(LOOKUP(AQ$10,$O15:$AP15,#REF!)),0,(LOOKUP(AQ$10,$O15:$AP15,#REF!)))</f>
        <v>0</v>
      </c>
      <c r="AR15" s="40">
        <f>IF(ISERROR(LOOKUP(AR$10,$O15:$AP15,#REF!)),0,(LOOKUP(AR$10,$O15:$AP15,#REF!)))</f>
        <v>0</v>
      </c>
      <c r="AS15" s="40">
        <f>IF(ISERROR(LOOKUP(AS$10,$O15:$AP15,#REF!)),0,(LOOKUP(AS$10,$O15:$AP15,#REF!)))</f>
        <v>0</v>
      </c>
      <c r="AT15" s="40">
        <f>IF(ISERROR(LOOKUP(AT$10,$O15:$AP15,#REF!)),0,(LOOKUP(AT$10,$O15:$AP15,#REF!)))</f>
        <v>0</v>
      </c>
      <c r="AU15" s="40">
        <f>IF(ISERROR(LOOKUP(AU$10,$O15:$AP15,#REF!)),0,(LOOKUP(AU$10,$O15:$AP15,#REF!)))</f>
        <v>0</v>
      </c>
      <c r="AV15" s="40">
        <f>IF(ISERROR(LOOKUP(AV$10,$O15:$AP15,#REF!)),0,(LOOKUP(AV$10,$O15:$AP15,#REF!)))</f>
        <v>0</v>
      </c>
      <c r="AW15" s="40">
        <f>IF(ISERROR(LOOKUP(AW$10,$O15:$AP15,#REF!)),0,(LOOKUP(AW$10,$O15:$AP15,#REF!)))</f>
        <v>0</v>
      </c>
      <c r="AX15" s="40">
        <f>IF(ISERROR(LOOKUP(AX$10,$O15:$AP15,#REF!)),0,(LOOKUP(AX$10,$O15:$AP15,#REF!)))</f>
        <v>0</v>
      </c>
      <c r="AY15" s="40">
        <f>IF(ISERROR(LOOKUP(AY$10,$O15:$AP15,#REF!)),0,(LOOKUP(AY$10,$O15:$AP15,#REF!)))</f>
        <v>0</v>
      </c>
      <c r="AZ15" s="40">
        <f>IF(ISERROR(LOOKUP(AZ$10,$O15:$AP15,#REF!)),0,(LOOKUP(AZ$10,$O15:$AP15,#REF!)))</f>
        <v>0</v>
      </c>
      <c r="BA15" s="40">
        <f ca="1">IF(ISERROR(LOOKUP(BA$10,$O15:$AP15,#REF!)),0,(LOOKUP(BA$10,$O15:$AP15,#REF!)))</f>
        <v>0</v>
      </c>
      <c r="BB15" s="425"/>
      <c r="BC15" s="412"/>
      <c r="BD15" s="411"/>
    </row>
    <row r="16" spans="1:56" s="3" customFormat="1" ht="15.4" customHeight="1" thickTop="1" thickBot="1" x14ac:dyDescent="0.45">
      <c r="A16" s="440">
        <f>A13+1</f>
        <v>2</v>
      </c>
      <c r="B16" s="92" t="s">
        <v>225</v>
      </c>
      <c r="C16" s="14" t="s">
        <v>508</v>
      </c>
      <c r="D16" s="227" t="s">
        <v>199</v>
      </c>
      <c r="E16" s="154" t="s">
        <v>361</v>
      </c>
      <c r="F16" s="154" t="s">
        <v>454</v>
      </c>
      <c r="G16" s="61" t="s">
        <v>41</v>
      </c>
      <c r="H16" s="16" t="s">
        <v>32</v>
      </c>
      <c r="I16" s="14" t="s">
        <v>33</v>
      </c>
      <c r="J16" s="14" t="s">
        <v>202</v>
      </c>
      <c r="K16" s="14" t="s">
        <v>343</v>
      </c>
      <c r="L16" s="217" t="s">
        <v>568</v>
      </c>
      <c r="M16" s="199" t="s">
        <v>367</v>
      </c>
      <c r="N16" s="18" t="s">
        <v>35</v>
      </c>
      <c r="O16" s="19">
        <v>46167</v>
      </c>
      <c r="P16" s="19">
        <v>46168</v>
      </c>
      <c r="Q16" s="19">
        <v>46177</v>
      </c>
      <c r="R16" s="19">
        <v>46178</v>
      </c>
      <c r="S16" s="19">
        <v>46185</v>
      </c>
      <c r="T16" s="19">
        <v>46197</v>
      </c>
      <c r="U16" s="19">
        <v>46197</v>
      </c>
      <c r="V16" s="230">
        <v>46211</v>
      </c>
      <c r="W16" s="19">
        <v>46218</v>
      </c>
      <c r="X16" s="19">
        <v>46220</v>
      </c>
      <c r="Y16" s="19">
        <v>46227</v>
      </c>
      <c r="Z16" s="19">
        <v>46255</v>
      </c>
      <c r="AA16" s="19">
        <v>46269</v>
      </c>
      <c r="AB16" s="19">
        <v>46329</v>
      </c>
      <c r="AC16" s="19">
        <v>46331</v>
      </c>
      <c r="AD16" s="19">
        <v>46333</v>
      </c>
      <c r="AE16" s="19">
        <v>46408</v>
      </c>
      <c r="AF16" s="19">
        <v>46423</v>
      </c>
      <c r="AG16" s="19">
        <v>46433</v>
      </c>
      <c r="AH16" s="19">
        <v>46436</v>
      </c>
      <c r="AI16" s="19">
        <v>46463</v>
      </c>
      <c r="AJ16" s="58">
        <v>26</v>
      </c>
      <c r="AK16" s="59">
        <v>182</v>
      </c>
      <c r="AL16" s="78">
        <v>46433</v>
      </c>
      <c r="AM16" s="78">
        <v>46438</v>
      </c>
      <c r="AN16" s="77">
        <f>AM16-AL17</f>
        <v>43</v>
      </c>
      <c r="AO16" s="140" t="s">
        <v>531</v>
      </c>
      <c r="AP16" s="431" t="s">
        <v>541</v>
      </c>
      <c r="AQ16" s="21">
        <f>IF(ISERROR(LOOKUP(AQ$10,$O16:$AP16,#REF!)),0,(LOOKUP(AQ$10,$O16:$AP16,#REF!)))</f>
        <v>0</v>
      </c>
      <c r="AR16" s="22">
        <f>IF(ISERROR(LOOKUP(AR$10,$O16:$AP16,#REF!)),0,(LOOKUP(AR$10,$O16:$AP16,#REF!)))</f>
        <v>0</v>
      </c>
      <c r="AS16" s="22">
        <f>IF(ISERROR(LOOKUP(AS$10,$O16:$AP16,#REF!)),0,(LOOKUP(AS$10,$O16:$AP16,#REF!)))</f>
        <v>0</v>
      </c>
      <c r="AT16" s="22">
        <f>IF(ISERROR(LOOKUP(AT$10,$O16:$AP16,#REF!)),0,(LOOKUP(AT$10,$O16:$AP16,#REF!)))</f>
        <v>0</v>
      </c>
      <c r="AU16" s="22">
        <f>IF(ISERROR(LOOKUP(AU$10,$O16:$AP16,#REF!)),0,(LOOKUP(AU$10,$O16:$AP16,#REF!)))</f>
        <v>0</v>
      </c>
      <c r="AV16" s="22">
        <f>IF(ISERROR(LOOKUP(AV$10,$O16:$AP16,#REF!)),0,(LOOKUP(AV$10,$O16:$AP16,#REF!)))</f>
        <v>0</v>
      </c>
      <c r="AW16" s="22">
        <f>IF(ISERROR(LOOKUP(AW$10,$O16:$AP16,#REF!)),0,(LOOKUP(AW$10,$O16:$AP16,#REF!)))</f>
        <v>0</v>
      </c>
      <c r="AX16" s="22">
        <f>IF(ISERROR(LOOKUP(AX$10,$O16:$AP16,#REF!)),0,(LOOKUP(AX$10,$O16:$AP16,#REF!)))</f>
        <v>0</v>
      </c>
      <c r="AY16" s="22">
        <f>IF(ISERROR(LOOKUP(AY$10,$O16:$AP16,#REF!)),0,(LOOKUP(AY$10,$O16:$AP16,#REF!)))</f>
        <v>0</v>
      </c>
      <c r="AZ16" s="22">
        <f>IF(ISERROR(LOOKUP(AZ$10,$O16:$AP16,#REF!)),0,(LOOKUP(AZ$10,$O16:$AP16,#REF!)))</f>
        <v>0</v>
      </c>
      <c r="BA16" s="22">
        <f ca="1">IF(ISERROR(LOOKUP(BA$10,$O16:$AP16,#REF!)),0,(LOOKUP(BA$10,$O16:$AP16,#REF!)))</f>
        <v>0</v>
      </c>
      <c r="BB16" s="425"/>
      <c r="BC16" s="411"/>
      <c r="BD16" s="411"/>
    </row>
    <row r="17" spans="1:56" s="3" customFormat="1" ht="15.4" thickTop="1" thickBot="1" x14ac:dyDescent="0.45">
      <c r="A17" s="441"/>
      <c r="B17" s="93" t="s">
        <v>224</v>
      </c>
      <c r="C17" s="41" t="s">
        <v>507</v>
      </c>
      <c r="D17" s="24" t="s">
        <v>199</v>
      </c>
      <c r="E17" s="155"/>
      <c r="F17" s="155"/>
      <c r="G17" s="62" t="s">
        <v>41</v>
      </c>
      <c r="H17" s="25" t="s">
        <v>32</v>
      </c>
      <c r="I17" s="23" t="s">
        <v>33</v>
      </c>
      <c r="J17" s="23" t="s">
        <v>202</v>
      </c>
      <c r="K17" s="23" t="s">
        <v>343</v>
      </c>
      <c r="L17" s="226"/>
      <c r="M17" s="200" t="s">
        <v>34</v>
      </c>
      <c r="N17" s="26" t="s">
        <v>36</v>
      </c>
      <c r="O17" s="27"/>
      <c r="P17" s="27"/>
      <c r="Q17" s="27"/>
      <c r="R17" s="27"/>
      <c r="S17" s="27"/>
      <c r="T17" s="27"/>
      <c r="U17" s="27"/>
      <c r="V17" s="27">
        <f>WORKDAY(U18, V6, IF(V12="China",'China Holidays'!$A$2:$A$84,'Thai Holidays'!$A$2:$A$65))</f>
        <v>46213</v>
      </c>
      <c r="W17" s="27">
        <f>V17</f>
        <v>46213</v>
      </c>
      <c r="X17" s="27">
        <f>W17+2</f>
        <v>46215</v>
      </c>
      <c r="Y17" s="27">
        <f>WORKDAY(X17, Y6, IF(Y12="China",'China Holidays'!$A$2:$A$84,'Thai Holidays'!$A$2:$A$65))</f>
        <v>46220</v>
      </c>
      <c r="Z17" s="27">
        <f>WORKDAY(Y17, Z6, IF(Z12="China",'China Holidays'!$A$2:$A$84,'Thai Holidays'!$A$2:$A$65))</f>
        <v>46248</v>
      </c>
      <c r="AA17" s="27">
        <f>WORKDAY(Z17, AA6, IF(AA12="China",'China Holidays'!$A$2:$A$84,'Thai Holidays'!$A$2:$A$65))</f>
        <v>46262</v>
      </c>
      <c r="AB17" s="28">
        <f>AA17+60</f>
        <v>46322</v>
      </c>
      <c r="AC17" s="28">
        <f>AB17+2</f>
        <v>46324</v>
      </c>
      <c r="AD17" s="28">
        <f>AC17+2</f>
        <v>46326</v>
      </c>
      <c r="AE17" s="28">
        <f>AF17-15</f>
        <v>46379</v>
      </c>
      <c r="AF17" s="28">
        <f>AG17-1</f>
        <v>46394</v>
      </c>
      <c r="AG17" s="28">
        <f>AL17</f>
        <v>46395</v>
      </c>
      <c r="AH17" s="28">
        <f>AL16+3</f>
        <v>46436</v>
      </c>
      <c r="AI17" s="28">
        <f>AL16+30</f>
        <v>46463</v>
      </c>
      <c r="AJ17" s="89"/>
      <c r="AK17" s="89"/>
      <c r="AL17" s="83">
        <f>W17+AK16</f>
        <v>46395</v>
      </c>
      <c r="AM17" s="83"/>
      <c r="AN17" s="29"/>
      <c r="AO17" s="141"/>
      <c r="AP17" s="438"/>
      <c r="AQ17" s="21">
        <f>IF(ISERROR(LOOKUP(AQ$10,$O17:$AP17,#REF!)),0,(LOOKUP(AQ$10,$O17:$AP17,#REF!)))</f>
        <v>0</v>
      </c>
      <c r="AR17" s="22">
        <f>IF(ISERROR(LOOKUP(AR$10,$O17:$AP17,#REF!)),0,(LOOKUP(AR$10,$O17:$AP17,#REF!)))</f>
        <v>0</v>
      </c>
      <c r="AS17" s="22">
        <f>IF(ISERROR(LOOKUP(AS$10,$O17:$AP17,#REF!)),0,(LOOKUP(AS$10,$O17:$AP17,#REF!)))</f>
        <v>0</v>
      </c>
      <c r="AT17" s="22">
        <f>IF(ISERROR(LOOKUP(AT$10,$O17:$AP17,#REF!)),0,(LOOKUP(AT$10,$O17:$AP17,#REF!)))</f>
        <v>0</v>
      </c>
      <c r="AU17" s="22">
        <f>IF(ISERROR(LOOKUP(AU$10,$O17:$AP17,#REF!)),0,(LOOKUP(AU$10,$O17:$AP17,#REF!)))</f>
        <v>0</v>
      </c>
      <c r="AV17" s="22">
        <f>IF(ISERROR(LOOKUP(AV$10,$O17:$AP17,#REF!)),0,(LOOKUP(AV$10,$O17:$AP17,#REF!)))</f>
        <v>0</v>
      </c>
      <c r="AW17" s="22">
        <f>IF(ISERROR(LOOKUP(AW$10,$O17:$AP17,#REF!)),0,(LOOKUP(AW$10,$O17:$AP17,#REF!)))</f>
        <v>0</v>
      </c>
      <c r="AX17" s="22">
        <f>IF(ISERROR(LOOKUP(AX$10,$O17:$AP17,#REF!)),0,(LOOKUP(AX$10,$O17:$AP17,#REF!)))</f>
        <v>0</v>
      </c>
      <c r="AY17" s="22">
        <f>IF(ISERROR(LOOKUP(AY$10,$O17:$AP17,#REF!)),0,(LOOKUP(AY$10,$O17:$AP17,#REF!)))</f>
        <v>0</v>
      </c>
      <c r="AZ17" s="22">
        <f>IF(ISERROR(LOOKUP(AZ$10,$O17:$AP17,#REF!)),0,(LOOKUP(AZ$10,$O17:$AP17,#REF!)))</f>
        <v>0</v>
      </c>
      <c r="BA17" s="22">
        <f ca="1">IF(ISERROR(LOOKUP(BA$10,$O17:$AP17,#REF!)),0,(LOOKUP(BA$10,$O17:$AP17,#REF!)))</f>
        <v>0</v>
      </c>
      <c r="BB17" s="425"/>
      <c r="BC17" s="411"/>
      <c r="BD17" s="411"/>
    </row>
    <row r="18" spans="1:56" s="3" customFormat="1" ht="15.4" thickTop="1" thickBot="1" x14ac:dyDescent="0.45">
      <c r="A18" s="442"/>
      <c r="B18" s="94" t="s">
        <v>224</v>
      </c>
      <c r="C18" s="32" t="s">
        <v>507</v>
      </c>
      <c r="D18" s="33" t="s">
        <v>40</v>
      </c>
      <c r="E18" s="156"/>
      <c r="F18" s="156"/>
      <c r="G18" s="63" t="s">
        <v>41</v>
      </c>
      <c r="H18" s="34" t="s">
        <v>32</v>
      </c>
      <c r="I18" s="32" t="s">
        <v>33</v>
      </c>
      <c r="J18" s="32" t="s">
        <v>202</v>
      </c>
      <c r="K18" s="32" t="s">
        <v>343</v>
      </c>
      <c r="L18" s="33"/>
      <c r="M18" s="201" t="s">
        <v>34</v>
      </c>
      <c r="N18" s="35" t="s">
        <v>37</v>
      </c>
      <c r="O18" s="36"/>
      <c r="P18" s="36">
        <v>46129</v>
      </c>
      <c r="Q18" s="36">
        <v>46143</v>
      </c>
      <c r="R18" s="36">
        <v>46148</v>
      </c>
      <c r="S18" s="36">
        <f>R18</f>
        <v>46148</v>
      </c>
      <c r="T18" s="36">
        <v>46183</v>
      </c>
      <c r="U18" s="36">
        <v>46200</v>
      </c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82"/>
      <c r="AK18" s="82"/>
      <c r="AL18" s="360"/>
      <c r="AM18" s="37"/>
      <c r="AN18" s="38"/>
      <c r="AO18" s="142"/>
      <c r="AP18" s="439"/>
      <c r="AQ18" s="39">
        <f>IF(ISERROR(LOOKUP(AQ$10,$O18:$AP18,#REF!)),0,(LOOKUP(AQ$10,$O18:$AP18,#REF!)))</f>
        <v>0</v>
      </c>
      <c r="AR18" s="40">
        <f>IF(ISERROR(LOOKUP(AR$10,$O18:$AP18,#REF!)),0,(LOOKUP(AR$10,$O18:$AP18,#REF!)))</f>
        <v>0</v>
      </c>
      <c r="AS18" s="40">
        <f>IF(ISERROR(LOOKUP(AS$10,$O18:$AP18,#REF!)),0,(LOOKUP(AS$10,$O18:$AP18,#REF!)))</f>
        <v>0</v>
      </c>
      <c r="AT18" s="40">
        <f>IF(ISERROR(LOOKUP(AT$10,$O18:$AP18,#REF!)),0,(LOOKUP(AT$10,$O18:$AP18,#REF!)))</f>
        <v>0</v>
      </c>
      <c r="AU18" s="40">
        <f>IF(ISERROR(LOOKUP(AU$10,$O18:$AP18,#REF!)),0,(LOOKUP(AU$10,$O18:$AP18,#REF!)))</f>
        <v>0</v>
      </c>
      <c r="AV18" s="40">
        <f>IF(ISERROR(LOOKUP(AV$10,$O18:$AP18,#REF!)),0,(LOOKUP(AV$10,$O18:$AP18,#REF!)))</f>
        <v>0</v>
      </c>
      <c r="AW18" s="40">
        <f>IF(ISERROR(LOOKUP(AW$10,$O18:$AP18,#REF!)),0,(LOOKUP(AW$10,$O18:$AP18,#REF!)))</f>
        <v>0</v>
      </c>
      <c r="AX18" s="40">
        <f>IF(ISERROR(LOOKUP(AX$10,$O18:$AP18,#REF!)),0,(LOOKUP(AX$10,$O18:$AP18,#REF!)))</f>
        <v>0</v>
      </c>
      <c r="AY18" s="40">
        <f>IF(ISERROR(LOOKUP(AY$10,$O18:$AP18,#REF!)),0,(LOOKUP(AY$10,$O18:$AP18,#REF!)))</f>
        <v>0</v>
      </c>
      <c r="AZ18" s="40">
        <f>IF(ISERROR(LOOKUP(AZ$10,$O18:$AP18,#REF!)),0,(LOOKUP(AZ$10,$O18:$AP18,#REF!)))</f>
        <v>0</v>
      </c>
      <c r="BA18" s="40">
        <f ca="1">IF(ISERROR(LOOKUP(BA$10,$O18:$AP18,#REF!)),0,(LOOKUP(BA$10,$O18:$AP18,#REF!)))</f>
        <v>0</v>
      </c>
      <c r="BB18" s="425"/>
      <c r="BC18" s="411"/>
      <c r="BD18" s="411"/>
    </row>
    <row r="19" spans="1:56" s="3" customFormat="1" ht="17.649999999999999" customHeight="1" thickTop="1" thickBot="1" x14ac:dyDescent="0.45">
      <c r="A19" s="440">
        <f t="shared" ref="A19" si="0">A16+1</f>
        <v>3</v>
      </c>
      <c r="B19" s="92" t="s">
        <v>225</v>
      </c>
      <c r="C19" s="14" t="s">
        <v>510</v>
      </c>
      <c r="D19" s="227" t="s">
        <v>306</v>
      </c>
      <c r="E19" s="150" t="s">
        <v>362</v>
      </c>
      <c r="F19" s="150" t="s">
        <v>454</v>
      </c>
      <c r="G19" s="64" t="s">
        <v>48</v>
      </c>
      <c r="H19" s="16" t="s">
        <v>32</v>
      </c>
      <c r="I19" s="14" t="s">
        <v>33</v>
      </c>
      <c r="J19" s="14" t="s">
        <v>0</v>
      </c>
      <c r="K19" s="14" t="s">
        <v>308</v>
      </c>
      <c r="L19" s="217" t="s">
        <v>567</v>
      </c>
      <c r="M19" s="199" t="s">
        <v>34</v>
      </c>
      <c r="N19" s="18" t="s">
        <v>35</v>
      </c>
      <c r="O19" s="19">
        <v>46135</v>
      </c>
      <c r="P19" s="19">
        <v>46136</v>
      </c>
      <c r="Q19" s="19">
        <v>46147</v>
      </c>
      <c r="R19" s="19">
        <v>46148</v>
      </c>
      <c r="S19" s="19">
        <v>46155</v>
      </c>
      <c r="T19" s="19">
        <v>46197</v>
      </c>
      <c r="U19" s="19">
        <v>46197</v>
      </c>
      <c r="V19" s="230">
        <v>46211</v>
      </c>
      <c r="W19" s="19">
        <v>46218</v>
      </c>
      <c r="X19" s="19">
        <v>46220</v>
      </c>
      <c r="Y19" s="19">
        <v>46227</v>
      </c>
      <c r="Z19" s="19">
        <v>46255</v>
      </c>
      <c r="AA19" s="19">
        <v>46269</v>
      </c>
      <c r="AB19" s="19">
        <v>46329</v>
      </c>
      <c r="AC19" s="19">
        <v>46331</v>
      </c>
      <c r="AD19" s="19">
        <v>46333</v>
      </c>
      <c r="AE19" s="19">
        <v>46429</v>
      </c>
      <c r="AF19" s="19">
        <v>46444</v>
      </c>
      <c r="AG19" s="19">
        <v>46449</v>
      </c>
      <c r="AH19" s="19">
        <v>46452</v>
      </c>
      <c r="AI19" s="19">
        <v>46479</v>
      </c>
      <c r="AJ19" s="58">
        <v>33</v>
      </c>
      <c r="AK19" s="59">
        <v>231</v>
      </c>
      <c r="AL19" s="78">
        <v>46449</v>
      </c>
      <c r="AM19" s="78">
        <v>46466</v>
      </c>
      <c r="AN19" s="77">
        <f>AM19-AL20</f>
        <v>17</v>
      </c>
      <c r="AO19" s="140" t="s">
        <v>530</v>
      </c>
      <c r="AP19" s="431" t="s">
        <v>542</v>
      </c>
      <c r="AQ19" s="21">
        <f>IF(ISERROR(LOOKUP(AQ$10,$O19:$AP19,#REF!)),0,(LOOKUP(AQ$10,$O19:$AP19,#REF!)))</f>
        <v>0</v>
      </c>
      <c r="AR19" s="22">
        <f>IF(ISERROR(LOOKUP(AR$10,$O19:$AP19,#REF!)),0,(LOOKUP(AR$10,$O19:$AP19,#REF!)))</f>
        <v>0</v>
      </c>
      <c r="AS19" s="22">
        <f>IF(ISERROR(LOOKUP(AS$10,$O19:$AP19,#REF!)),0,(LOOKUP(AS$10,$O19:$AP19,#REF!)))</f>
        <v>0</v>
      </c>
      <c r="AT19" s="22">
        <f>IF(ISERROR(LOOKUP(AT$10,$O19:$AP19,#REF!)),0,(LOOKUP(AT$10,$O19:$AP19,#REF!)))</f>
        <v>0</v>
      </c>
      <c r="AU19" s="22">
        <f>IF(ISERROR(LOOKUP(AU$10,$O19:$AP19,#REF!)),0,(LOOKUP(AU$10,$O19:$AP19,#REF!)))</f>
        <v>0</v>
      </c>
      <c r="AV19" s="22">
        <f>IF(ISERROR(LOOKUP(AV$10,$O19:$AP19,#REF!)),0,(LOOKUP(AV$10,$O19:$AP19,#REF!)))</f>
        <v>0</v>
      </c>
      <c r="AW19" s="22">
        <f>IF(ISERROR(LOOKUP(AW$10,$O19:$AP19,#REF!)),0,(LOOKUP(AW$10,$O19:$AP19,#REF!)))</f>
        <v>0</v>
      </c>
      <c r="AX19" s="22">
        <f>IF(ISERROR(LOOKUP(AX$10,$O19:$AP19,#REF!)),0,(LOOKUP(AX$10,$O19:$AP19,#REF!)))</f>
        <v>0</v>
      </c>
      <c r="AY19" s="22">
        <f>IF(ISERROR(LOOKUP(AY$10,$O19:$AP19,#REF!)),0,(LOOKUP(AY$10,$O19:$AP19,#REF!)))</f>
        <v>0</v>
      </c>
      <c r="AZ19" s="22">
        <f>IF(ISERROR(LOOKUP(AZ$10,$O19:$AP19,#REF!)),0,(LOOKUP(AZ$10,$O19:$AP19,#REF!)))</f>
        <v>0</v>
      </c>
      <c r="BA19" s="22">
        <f ca="1">IF(ISERROR(LOOKUP(BA$10,$O19:$AP19,#REF!)),0,(LOOKUP(BA$10,$O19:$AP19,#REF!)))</f>
        <v>0</v>
      </c>
      <c r="BB19" s="425"/>
      <c r="BC19" s="411"/>
      <c r="BD19" s="411"/>
    </row>
    <row r="20" spans="1:56" s="3" customFormat="1" ht="15.4" thickTop="1" thickBot="1" x14ac:dyDescent="0.45">
      <c r="A20" s="441"/>
      <c r="B20" s="93" t="s">
        <v>224</v>
      </c>
      <c r="C20" s="41" t="s">
        <v>509</v>
      </c>
      <c r="D20" s="43" t="s">
        <v>305</v>
      </c>
      <c r="E20" s="157"/>
      <c r="F20" s="157"/>
      <c r="G20" s="65" t="s">
        <v>48</v>
      </c>
      <c r="H20" s="25" t="s">
        <v>32</v>
      </c>
      <c r="I20" s="23" t="s">
        <v>33</v>
      </c>
      <c r="J20" s="23" t="s">
        <v>0</v>
      </c>
      <c r="K20" s="23" t="s">
        <v>308</v>
      </c>
      <c r="L20" s="218"/>
      <c r="M20" s="200" t="s">
        <v>34</v>
      </c>
      <c r="N20" s="26" t="s">
        <v>36</v>
      </c>
      <c r="O20" s="27"/>
      <c r="P20" s="27"/>
      <c r="Q20" s="27"/>
      <c r="R20" s="27"/>
      <c r="S20" s="27"/>
      <c r="T20" s="27"/>
      <c r="U20" s="27"/>
      <c r="V20" s="27">
        <f>WORKDAY(U21, V6, IF(V15="China",'China Holidays'!$A$2:$A$84,'Thai Holidays'!$A$2:$A$65))</f>
        <v>46213</v>
      </c>
      <c r="W20" s="27">
        <f>W19</f>
        <v>46218</v>
      </c>
      <c r="X20" s="27">
        <f>W20+2</f>
        <v>46220</v>
      </c>
      <c r="Y20" s="27">
        <f>WORKDAY(X20,Y6, IF(Y12="China",'China Holidays'!$A$2:$A$84,'Thai Holidays'!$A$2:$A$65))</f>
        <v>46227</v>
      </c>
      <c r="Z20" s="27">
        <f>WORKDAY(Y20,Z6, IF(Z12="China",'China Holidays'!$A$2:$A$84,'Thai Holidays'!$A$2:$A$65))</f>
        <v>46255</v>
      </c>
      <c r="AA20" s="27">
        <f>WORKDAY(Z20,AA6, IF(AA12="China",'China Holidays'!$A$2:$A$84,'Thai Holidays'!$A$2:$A$65))</f>
        <v>46269</v>
      </c>
      <c r="AB20" s="28">
        <f>AA20+60</f>
        <v>46329</v>
      </c>
      <c r="AC20" s="28">
        <f>AB20+2</f>
        <v>46331</v>
      </c>
      <c r="AD20" s="28">
        <f>AC20+2</f>
        <v>46333</v>
      </c>
      <c r="AE20" s="28">
        <f>AF20-15</f>
        <v>46429</v>
      </c>
      <c r="AF20" s="28">
        <f>AG20-5</f>
        <v>46444</v>
      </c>
      <c r="AG20" s="28">
        <f>AL20</f>
        <v>46449</v>
      </c>
      <c r="AH20" s="28">
        <f>AL19+3</f>
        <v>46452</v>
      </c>
      <c r="AI20" s="28">
        <f>AL19+30</f>
        <v>46479</v>
      </c>
      <c r="AJ20" s="89"/>
      <c r="AK20" s="90"/>
      <c r="AL20" s="83">
        <f>W20+AK19</f>
        <v>46449</v>
      </c>
      <c r="AM20" s="83"/>
      <c r="AN20" s="29"/>
      <c r="AO20" s="141"/>
      <c r="AP20" s="438"/>
      <c r="AQ20" s="21">
        <f>IF(ISERROR(LOOKUP(AQ$10,$O20:$AP20,#REF!)),0,(LOOKUP(AQ$10,$O20:$AP20,#REF!)))</f>
        <v>0</v>
      </c>
      <c r="AR20" s="22">
        <f>IF(ISERROR(LOOKUP(AR$10,$O20:$AP20,#REF!)),0,(LOOKUP(AR$10,$O20:$AP20,#REF!)))</f>
        <v>0</v>
      </c>
      <c r="AS20" s="22">
        <f>IF(ISERROR(LOOKUP(AS$10,$O20:$AP20,#REF!)),0,(LOOKUP(AS$10,$O20:$AP20,#REF!)))</f>
        <v>0</v>
      </c>
      <c r="AT20" s="22">
        <f>IF(ISERROR(LOOKUP(AT$10,$O20:$AP20,#REF!)),0,(LOOKUP(AT$10,$O20:$AP20,#REF!)))</f>
        <v>0</v>
      </c>
      <c r="AU20" s="22">
        <f>IF(ISERROR(LOOKUP(AU$10,$O20:$AP20,#REF!)),0,(LOOKUP(AU$10,$O20:$AP20,#REF!)))</f>
        <v>0</v>
      </c>
      <c r="AV20" s="22">
        <f>IF(ISERROR(LOOKUP(AV$10,$O20:$AP20,#REF!)),0,(LOOKUP(AV$10,$O20:$AP20,#REF!)))</f>
        <v>0</v>
      </c>
      <c r="AW20" s="22">
        <f>IF(ISERROR(LOOKUP(AW$10,$O20:$AP20,#REF!)),0,(LOOKUP(AW$10,$O20:$AP20,#REF!)))</f>
        <v>0</v>
      </c>
      <c r="AX20" s="22">
        <f>IF(ISERROR(LOOKUP(AX$10,$O20:$AP20,#REF!)),0,(LOOKUP(AX$10,$O20:$AP20,#REF!)))</f>
        <v>0</v>
      </c>
      <c r="AY20" s="22">
        <f>IF(ISERROR(LOOKUP(AY$10,$O20:$AP20,#REF!)),0,(LOOKUP(AY$10,$O20:$AP20,#REF!)))</f>
        <v>0</v>
      </c>
      <c r="AZ20" s="22">
        <f>IF(ISERROR(LOOKUP(AZ$10,$O20:$AP20,#REF!)),0,(LOOKUP(AZ$10,$O20:$AP20,#REF!)))</f>
        <v>0</v>
      </c>
      <c r="BA20" s="22">
        <f ca="1">IF(ISERROR(LOOKUP(BA$10,$O20:$AP20,#REF!)),0,(LOOKUP(BA$10,$O20:$AP20,#REF!)))</f>
        <v>0</v>
      </c>
      <c r="BB20" s="425"/>
      <c r="BC20" s="411"/>
      <c r="BD20" s="411"/>
    </row>
    <row r="21" spans="1:56" s="3" customFormat="1" ht="15.4" thickTop="1" thickBot="1" x14ac:dyDescent="0.45">
      <c r="A21" s="442"/>
      <c r="B21" s="94" t="s">
        <v>224</v>
      </c>
      <c r="C21" s="32" t="s">
        <v>509</v>
      </c>
      <c r="D21" s="44" t="s">
        <v>305</v>
      </c>
      <c r="E21" s="158"/>
      <c r="F21" s="158"/>
      <c r="G21" s="67" t="s">
        <v>48</v>
      </c>
      <c r="H21" s="34" t="s">
        <v>32</v>
      </c>
      <c r="I21" s="32" t="s">
        <v>33</v>
      </c>
      <c r="J21" s="32" t="s">
        <v>0</v>
      </c>
      <c r="K21" s="32" t="s">
        <v>308</v>
      </c>
      <c r="L21" s="219"/>
      <c r="M21" s="201" t="s">
        <v>34</v>
      </c>
      <c r="N21" s="35" t="s">
        <v>37</v>
      </c>
      <c r="O21" s="36"/>
      <c r="P21" s="36">
        <v>46129</v>
      </c>
      <c r="Q21" s="36">
        <v>46143</v>
      </c>
      <c r="R21" s="36">
        <v>46148</v>
      </c>
      <c r="S21" s="36">
        <f>R21</f>
        <v>46148</v>
      </c>
      <c r="T21" s="36">
        <v>46183</v>
      </c>
      <c r="U21" s="36">
        <v>46200</v>
      </c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82"/>
      <c r="AK21" s="80"/>
      <c r="AL21" s="360"/>
      <c r="AM21" s="37"/>
      <c r="AN21" s="38"/>
      <c r="AO21" s="142"/>
      <c r="AP21" s="439"/>
      <c r="AQ21" s="39">
        <f>IF(ISERROR(LOOKUP(AQ$10,$O21:$AP21,#REF!)),0,(LOOKUP(AQ$10,$O21:$AP21,#REF!)))</f>
        <v>0</v>
      </c>
      <c r="AR21" s="40">
        <f>IF(ISERROR(LOOKUP(AR$10,$O21:$AP21,#REF!)),0,(LOOKUP(AR$10,$O21:$AP21,#REF!)))</f>
        <v>0</v>
      </c>
      <c r="AS21" s="40">
        <f>IF(ISERROR(LOOKUP(AS$10,$O21:$AP21,#REF!)),0,(LOOKUP(AS$10,$O21:$AP21,#REF!)))</f>
        <v>0</v>
      </c>
      <c r="AT21" s="40">
        <f>IF(ISERROR(LOOKUP(AT$10,$O21:$AP21,#REF!)),0,(LOOKUP(AT$10,$O21:$AP21,#REF!)))</f>
        <v>0</v>
      </c>
      <c r="AU21" s="40">
        <f>IF(ISERROR(LOOKUP(AU$10,$O21:$AP21,#REF!)),0,(LOOKUP(AU$10,$O21:$AP21,#REF!)))</f>
        <v>0</v>
      </c>
      <c r="AV21" s="40">
        <f>IF(ISERROR(LOOKUP(AV$10,$O21:$AP21,#REF!)),0,(LOOKUP(AV$10,$O21:$AP21,#REF!)))</f>
        <v>0</v>
      </c>
      <c r="AW21" s="40">
        <f>IF(ISERROR(LOOKUP(AW$10,$O21:$AP21,#REF!)),0,(LOOKUP(AW$10,$O21:$AP21,#REF!)))</f>
        <v>0</v>
      </c>
      <c r="AX21" s="40">
        <f>IF(ISERROR(LOOKUP(AX$10,$O21:$AP21,#REF!)),0,(LOOKUP(AX$10,$O21:$AP21,#REF!)))</f>
        <v>0</v>
      </c>
      <c r="AY21" s="40">
        <f>IF(ISERROR(LOOKUP(AY$10,$O21:$AP21,#REF!)),0,(LOOKUP(AY$10,$O21:$AP21,#REF!)))</f>
        <v>0</v>
      </c>
      <c r="AZ21" s="40">
        <f>IF(ISERROR(LOOKUP(AZ$10,$O21:$AP21,#REF!)),0,(LOOKUP(AZ$10,$O21:$AP21,#REF!)))</f>
        <v>0</v>
      </c>
      <c r="BA21" s="40">
        <f ca="1">IF(ISERROR(LOOKUP(BA$10,$O21:$AP21,#REF!)),0,(LOOKUP(BA$10,$O21:$AP21,#REF!)))</f>
        <v>0</v>
      </c>
      <c r="BB21" s="425"/>
      <c r="BC21" s="411"/>
      <c r="BD21" s="411"/>
    </row>
    <row r="22" spans="1:56" s="3" customFormat="1" ht="17.25" customHeight="1" thickTop="1" thickBot="1" x14ac:dyDescent="0.45">
      <c r="A22" s="440">
        <f t="shared" ref="A22" si="1">A19+1</f>
        <v>4</v>
      </c>
      <c r="B22" s="92" t="s">
        <v>225</v>
      </c>
      <c r="C22" s="14" t="s">
        <v>512</v>
      </c>
      <c r="D22" s="227" t="s">
        <v>195</v>
      </c>
      <c r="E22" s="150" t="s">
        <v>363</v>
      </c>
      <c r="F22" s="150" t="s">
        <v>454</v>
      </c>
      <c r="G22" s="64" t="s">
        <v>51</v>
      </c>
      <c r="H22" s="16" t="s">
        <v>32</v>
      </c>
      <c r="I22" s="14" t="s">
        <v>33</v>
      </c>
      <c r="J22" s="14" t="s">
        <v>0</v>
      </c>
      <c r="K22" s="14" t="s">
        <v>308</v>
      </c>
      <c r="L22" s="217" t="s">
        <v>567</v>
      </c>
      <c r="M22" s="199" t="s">
        <v>34</v>
      </c>
      <c r="N22" s="18" t="s">
        <v>35</v>
      </c>
      <c r="O22" s="19">
        <v>46177</v>
      </c>
      <c r="P22" s="19">
        <v>46178</v>
      </c>
      <c r="Q22" s="19">
        <v>46185</v>
      </c>
      <c r="R22" s="19">
        <v>46188</v>
      </c>
      <c r="S22" s="19">
        <v>46195</v>
      </c>
      <c r="T22" s="19">
        <v>46197</v>
      </c>
      <c r="U22" s="19">
        <v>46197</v>
      </c>
      <c r="V22" s="230">
        <v>46211</v>
      </c>
      <c r="W22" s="19">
        <v>46218</v>
      </c>
      <c r="X22" s="19">
        <v>46220</v>
      </c>
      <c r="Y22" s="19">
        <v>46227</v>
      </c>
      <c r="Z22" s="19">
        <v>46255</v>
      </c>
      <c r="AA22" s="19">
        <v>46269</v>
      </c>
      <c r="AB22" s="19">
        <v>46329</v>
      </c>
      <c r="AC22" s="19">
        <v>46331</v>
      </c>
      <c r="AD22" s="19">
        <v>46333</v>
      </c>
      <c r="AE22" s="19">
        <v>46408</v>
      </c>
      <c r="AF22" s="19">
        <v>46423</v>
      </c>
      <c r="AG22" s="19">
        <v>46438</v>
      </c>
      <c r="AH22" s="19">
        <v>46441</v>
      </c>
      <c r="AI22" s="19">
        <v>46468</v>
      </c>
      <c r="AJ22" s="405">
        <v>26</v>
      </c>
      <c r="AK22" s="406">
        <v>180</v>
      </c>
      <c r="AL22" s="78">
        <v>46438</v>
      </c>
      <c r="AM22" s="78">
        <v>46466</v>
      </c>
      <c r="AN22" s="77">
        <f>AM22-AL23</f>
        <v>75</v>
      </c>
      <c r="AO22" s="140" t="s">
        <v>530</v>
      </c>
      <c r="AP22" s="431" t="s">
        <v>542</v>
      </c>
      <c r="AQ22" s="21">
        <f>IF(ISERROR(LOOKUP(AQ$10,$O22:$AP22,#REF!)),0,(LOOKUP(AQ$10,$O22:$AP22,#REF!)))</f>
        <v>0</v>
      </c>
      <c r="AR22" s="22">
        <f>IF(ISERROR(LOOKUP(AR$10,$O22:$AP22,#REF!)),0,(LOOKUP(AR$10,$O22:$AP22,#REF!)))</f>
        <v>0</v>
      </c>
      <c r="AS22" s="22">
        <f>IF(ISERROR(LOOKUP(AS$10,$O22:$AP22,#REF!)),0,(LOOKUP(AS$10,$O22:$AP22,#REF!)))</f>
        <v>0</v>
      </c>
      <c r="AT22" s="22">
        <f>IF(ISERROR(LOOKUP(AT$10,$O22:$AP22,#REF!)),0,(LOOKUP(AT$10,$O22:$AP22,#REF!)))</f>
        <v>0</v>
      </c>
      <c r="AU22" s="22">
        <f>IF(ISERROR(LOOKUP(AU$10,$O22:$AP22,#REF!)),0,(LOOKUP(AU$10,$O22:$AP22,#REF!)))</f>
        <v>0</v>
      </c>
      <c r="AV22" s="22">
        <f>IF(ISERROR(LOOKUP(AV$10,$O22:$AP22,#REF!)),0,(LOOKUP(AV$10,$O22:$AP22,#REF!)))</f>
        <v>0</v>
      </c>
      <c r="AW22" s="22">
        <f>IF(ISERROR(LOOKUP(AW$10,$O22:$AP22,#REF!)),0,(LOOKUP(AW$10,$O22:$AP22,#REF!)))</f>
        <v>0</v>
      </c>
      <c r="AX22" s="22">
        <f>IF(ISERROR(LOOKUP(AX$10,$O22:$AP22,#REF!)),0,(LOOKUP(AX$10,$O22:$AP22,#REF!)))</f>
        <v>0</v>
      </c>
      <c r="AY22" s="22">
        <f>IF(ISERROR(LOOKUP(AY$10,$O22:$AP22,#REF!)),0,(LOOKUP(AY$10,$O22:$AP22,#REF!)))</f>
        <v>0</v>
      </c>
      <c r="AZ22" s="22">
        <f>IF(ISERROR(LOOKUP(AZ$10,$O22:$AP22,#REF!)),0,(LOOKUP(AZ$10,$O22:$AP22,#REF!)))</f>
        <v>0</v>
      </c>
      <c r="BA22" s="22">
        <f ca="1">IF(ISERROR(LOOKUP(BA$10,$O22:$AP22,#REF!)),0,(LOOKUP(BA$10,$O22:$AP22,#REF!)))</f>
        <v>0</v>
      </c>
      <c r="BB22" s="425"/>
      <c r="BC22" s="411"/>
      <c r="BD22" s="411"/>
    </row>
    <row r="23" spans="1:56" s="3" customFormat="1" ht="15.4" thickTop="1" thickBot="1" x14ac:dyDescent="0.45">
      <c r="A23" s="441"/>
      <c r="B23" s="93" t="s">
        <v>224</v>
      </c>
      <c r="C23" s="41" t="s">
        <v>511</v>
      </c>
      <c r="D23" s="43" t="s">
        <v>50</v>
      </c>
      <c r="E23" s="157"/>
      <c r="F23" s="157"/>
      <c r="G23" s="43" t="s">
        <v>51</v>
      </c>
      <c r="H23" s="25" t="s">
        <v>32</v>
      </c>
      <c r="I23" s="23" t="s">
        <v>33</v>
      </c>
      <c r="J23" s="23" t="s">
        <v>0</v>
      </c>
      <c r="K23" s="23" t="s">
        <v>308</v>
      </c>
      <c r="L23" s="43"/>
      <c r="M23" s="200" t="s">
        <v>34</v>
      </c>
      <c r="N23" s="26" t="s">
        <v>36</v>
      </c>
      <c r="O23" s="27"/>
      <c r="P23" s="28"/>
      <c r="Q23" s="28"/>
      <c r="R23" s="28"/>
      <c r="S23" s="28"/>
      <c r="T23" s="269"/>
      <c r="U23" s="27"/>
      <c r="V23" s="27">
        <f>WORKDAY(U24, V6, IF(V18="China",'China Holidays'!$A$2:$A$84,'Thai Holidays'!$A$2:$A$65))</f>
        <v>46213</v>
      </c>
      <c r="W23" s="27">
        <f>V22</f>
        <v>46211</v>
      </c>
      <c r="X23" s="27">
        <f>W23+2</f>
        <v>46213</v>
      </c>
      <c r="Y23" s="27">
        <v>46227</v>
      </c>
      <c r="Z23" s="27">
        <f>WORKDAY(Y23, Z6, IF(Z12="China",'China Holidays'!$A$2:$A$84,'Thai Holidays'!$A$2:$A$65))</f>
        <v>46255</v>
      </c>
      <c r="AA23" s="27">
        <f>WORKDAY(Z23, AA6, IF(AA12="China",'China Holidays'!$A$2:$A$84,'Thai Holidays'!$A$2:$A$65))</f>
        <v>46269</v>
      </c>
      <c r="AB23" s="28">
        <f>AA23+60</f>
        <v>46329</v>
      </c>
      <c r="AC23" s="28">
        <f>AB23+2</f>
        <v>46331</v>
      </c>
      <c r="AD23" s="28">
        <f>AC23+2</f>
        <v>46333</v>
      </c>
      <c r="AE23" s="28">
        <f>AF23-15</f>
        <v>46408</v>
      </c>
      <c r="AF23" s="28">
        <v>46423</v>
      </c>
      <c r="AG23" s="28">
        <f>AL22</f>
        <v>46438</v>
      </c>
      <c r="AH23" s="28">
        <f>AL22+3</f>
        <v>46441</v>
      </c>
      <c r="AI23" s="28">
        <f>AL22+30</f>
        <v>46468</v>
      </c>
      <c r="AJ23" s="89"/>
      <c r="AK23" s="90"/>
      <c r="AL23" s="83">
        <f>W23+AK22</f>
        <v>46391</v>
      </c>
      <c r="AM23" s="83"/>
      <c r="AN23" s="29"/>
      <c r="AO23" s="141"/>
      <c r="AP23" s="438"/>
      <c r="AQ23" s="21">
        <f>IF(ISERROR(LOOKUP(AQ$10,$O23:$AP23,#REF!)),0,(LOOKUP(AQ$10,$O23:$AP23,#REF!)))</f>
        <v>0</v>
      </c>
      <c r="AR23" s="22">
        <f>IF(ISERROR(LOOKUP(AR$10,$O23:$AP23,#REF!)),0,(LOOKUP(AR$10,$O23:$AP23,#REF!)))</f>
        <v>0</v>
      </c>
      <c r="AS23" s="22">
        <f>IF(ISERROR(LOOKUP(AS$10,$O23:$AP23,#REF!)),0,(LOOKUP(AS$10,$O23:$AP23,#REF!)))</f>
        <v>0</v>
      </c>
      <c r="AT23" s="22">
        <f>IF(ISERROR(LOOKUP(AT$10,$O23:$AP23,#REF!)),0,(LOOKUP(AT$10,$O23:$AP23,#REF!)))</f>
        <v>0</v>
      </c>
      <c r="AU23" s="22">
        <f>IF(ISERROR(LOOKUP(AU$10,$O23:$AP23,#REF!)),0,(LOOKUP(AU$10,$O23:$AP23,#REF!)))</f>
        <v>0</v>
      </c>
      <c r="AV23" s="22">
        <f>IF(ISERROR(LOOKUP(AV$10,$O23:$AP23,#REF!)),0,(LOOKUP(AV$10,$O23:$AP23,#REF!)))</f>
        <v>0</v>
      </c>
      <c r="AW23" s="22">
        <f>IF(ISERROR(LOOKUP(AW$10,$O23:$AP23,#REF!)),0,(LOOKUP(AW$10,$O23:$AP23,#REF!)))</f>
        <v>0</v>
      </c>
      <c r="AX23" s="22">
        <f>IF(ISERROR(LOOKUP(AX$10,$O23:$AP23,#REF!)),0,(LOOKUP(AX$10,$O23:$AP23,#REF!)))</f>
        <v>0</v>
      </c>
      <c r="AY23" s="22">
        <f>IF(ISERROR(LOOKUP(AY$10,$O23:$AP23,#REF!)),0,(LOOKUP(AY$10,$O23:$AP23,#REF!)))</f>
        <v>0</v>
      </c>
      <c r="AZ23" s="22">
        <f>IF(ISERROR(LOOKUP(AZ$10,$O23:$AP23,#REF!)),0,(LOOKUP(AZ$10,$O23:$AP23,#REF!)))</f>
        <v>0</v>
      </c>
      <c r="BA23" s="22">
        <f ca="1">IF(ISERROR(LOOKUP(BA$10,$O23:$AP23,#REF!)),0,(LOOKUP(BA$10,$O23:$AP23,#REF!)))</f>
        <v>0</v>
      </c>
      <c r="BB23" s="425"/>
      <c r="BC23" s="411"/>
      <c r="BD23" s="411"/>
    </row>
    <row r="24" spans="1:56" s="3" customFormat="1" ht="15.4" thickTop="1" thickBot="1" x14ac:dyDescent="0.45">
      <c r="A24" s="442"/>
      <c r="B24" s="94" t="s">
        <v>224</v>
      </c>
      <c r="C24" s="32" t="s">
        <v>511</v>
      </c>
      <c r="D24" s="44" t="s">
        <v>50</v>
      </c>
      <c r="E24" s="151"/>
      <c r="F24" s="151"/>
      <c r="G24" s="66" t="s">
        <v>51</v>
      </c>
      <c r="H24" s="34" t="s">
        <v>32</v>
      </c>
      <c r="I24" s="32" t="s">
        <v>33</v>
      </c>
      <c r="J24" s="32" t="s">
        <v>0</v>
      </c>
      <c r="K24" s="32" t="s">
        <v>308</v>
      </c>
      <c r="L24" s="44"/>
      <c r="M24" s="201" t="s">
        <v>34</v>
      </c>
      <c r="N24" s="35" t="s">
        <v>37</v>
      </c>
      <c r="O24" s="36"/>
      <c r="P24" s="36">
        <v>46141</v>
      </c>
      <c r="Q24" s="36">
        <v>46143</v>
      </c>
      <c r="R24" s="36">
        <v>46148</v>
      </c>
      <c r="S24" s="36">
        <v>46148</v>
      </c>
      <c r="T24" s="36">
        <v>46191</v>
      </c>
      <c r="U24" s="36">
        <v>46200</v>
      </c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82"/>
      <c r="AK24" s="80"/>
      <c r="AL24" s="360"/>
      <c r="AM24" s="37"/>
      <c r="AN24" s="38"/>
      <c r="AO24" s="142"/>
      <c r="AP24" s="439"/>
      <c r="AQ24" s="39">
        <f>IF(ISERROR(LOOKUP(AQ$10,$O24:$AP24,#REF!)),0,(LOOKUP(AQ$10,$O24:$AP24,#REF!)))</f>
        <v>0</v>
      </c>
      <c r="AR24" s="40">
        <f>IF(ISERROR(LOOKUP(AR$10,$O24:$AP24,#REF!)),0,(LOOKUP(AR$10,$O24:$AP24,#REF!)))</f>
        <v>0</v>
      </c>
      <c r="AS24" s="40">
        <f>IF(ISERROR(LOOKUP(AS$10,$O24:$AP24,#REF!)),0,(LOOKUP(AS$10,$O24:$AP24,#REF!)))</f>
        <v>0</v>
      </c>
      <c r="AT24" s="40">
        <f>IF(ISERROR(LOOKUP(AT$10,$O24:$AP24,#REF!)),0,(LOOKUP(AT$10,$O24:$AP24,#REF!)))</f>
        <v>0</v>
      </c>
      <c r="AU24" s="40">
        <f>IF(ISERROR(LOOKUP(AU$10,$O24:$AP24,#REF!)),0,(LOOKUP(AU$10,$O24:$AP24,#REF!)))</f>
        <v>0</v>
      </c>
      <c r="AV24" s="40">
        <f>IF(ISERROR(LOOKUP(AV$10,$O24:$AP24,#REF!)),0,(LOOKUP(AV$10,$O24:$AP24,#REF!)))</f>
        <v>0</v>
      </c>
      <c r="AW24" s="40">
        <f>IF(ISERROR(LOOKUP(AW$10,$O24:$AP24,#REF!)),0,(LOOKUP(AW$10,$O24:$AP24,#REF!)))</f>
        <v>0</v>
      </c>
      <c r="AX24" s="40">
        <f>IF(ISERROR(LOOKUP(AX$10,$O24:$AP24,#REF!)),0,(LOOKUP(AX$10,$O24:$AP24,#REF!)))</f>
        <v>0</v>
      </c>
      <c r="AY24" s="40">
        <f>IF(ISERROR(LOOKUP(AY$10,$O24:$AP24,#REF!)),0,(LOOKUP(AY$10,$O24:$AP24,#REF!)))</f>
        <v>0</v>
      </c>
      <c r="AZ24" s="40">
        <f>IF(ISERROR(LOOKUP(AZ$10,$O24:$AP24,#REF!)),0,(LOOKUP(AZ$10,$O24:$AP24,#REF!)))</f>
        <v>0</v>
      </c>
      <c r="BA24" s="40">
        <f ca="1">IF(ISERROR(LOOKUP(BA$10,$O24:$AP24,#REF!)),0,(LOOKUP(BA$10,$O24:$AP24,#REF!)))</f>
        <v>0</v>
      </c>
      <c r="BB24" s="425"/>
      <c r="BC24" s="411"/>
      <c r="BD24" s="411"/>
    </row>
    <row r="25" spans="1:56" s="3" customFormat="1" ht="20.65" customHeight="1" thickTop="1" thickBot="1" x14ac:dyDescent="0.45">
      <c r="A25" s="440">
        <f t="shared" ref="A25" si="2">A22+1</f>
        <v>5</v>
      </c>
      <c r="B25" s="92" t="s">
        <v>227</v>
      </c>
      <c r="C25" s="14" t="s">
        <v>302</v>
      </c>
      <c r="D25" s="227" t="s">
        <v>393</v>
      </c>
      <c r="E25" s="150"/>
      <c r="F25" s="150" t="s">
        <v>454</v>
      </c>
      <c r="G25" s="64" t="s">
        <v>44</v>
      </c>
      <c r="H25" s="16" t="s">
        <v>32</v>
      </c>
      <c r="I25" s="14" t="s">
        <v>33</v>
      </c>
      <c r="J25" s="14" t="s">
        <v>202</v>
      </c>
      <c r="K25" s="14" t="s">
        <v>308</v>
      </c>
      <c r="L25" s="215"/>
      <c r="M25" s="196" t="s">
        <v>34</v>
      </c>
      <c r="N25" s="18" t="s">
        <v>35</v>
      </c>
      <c r="O25" s="19">
        <v>46140</v>
      </c>
      <c r="P25" s="19">
        <v>46141</v>
      </c>
      <c r="Q25" s="19">
        <v>46150</v>
      </c>
      <c r="R25" s="19">
        <v>46153</v>
      </c>
      <c r="S25" s="19">
        <v>46160</v>
      </c>
      <c r="T25" s="19">
        <v>46168</v>
      </c>
      <c r="U25" s="19">
        <v>46195</v>
      </c>
      <c r="V25" s="230">
        <v>46209</v>
      </c>
      <c r="W25" s="19">
        <v>46220</v>
      </c>
      <c r="X25" s="19">
        <v>46224</v>
      </c>
      <c r="Y25" s="19">
        <v>46231</v>
      </c>
      <c r="Z25" s="19">
        <v>46259</v>
      </c>
      <c r="AA25" s="19">
        <v>46273</v>
      </c>
      <c r="AB25" s="19">
        <v>46363</v>
      </c>
      <c r="AC25" s="19">
        <v>46363</v>
      </c>
      <c r="AD25" s="19">
        <v>46366</v>
      </c>
      <c r="AE25" s="19">
        <v>46401</v>
      </c>
      <c r="AF25" s="19">
        <v>46416</v>
      </c>
      <c r="AG25" s="19">
        <v>46444</v>
      </c>
      <c r="AH25" s="19">
        <v>46447</v>
      </c>
      <c r="AI25" s="19">
        <v>46474</v>
      </c>
      <c r="AJ25" s="58">
        <v>32</v>
      </c>
      <c r="AK25" s="59">
        <v>224</v>
      </c>
      <c r="AL25" s="78">
        <v>46444</v>
      </c>
      <c r="AM25" s="78">
        <v>46476</v>
      </c>
      <c r="AN25" s="77">
        <f>AM25-AL26</f>
        <v>32</v>
      </c>
      <c r="AO25" s="140" t="s">
        <v>561</v>
      </c>
      <c r="AP25" s="431" t="s">
        <v>554</v>
      </c>
      <c r="AQ25" s="21">
        <f>IF(ISERROR(LOOKUP(AQ$10,$O25:$AP25,#REF!)),0,(LOOKUP(AQ$10,$O25:$AP25,#REF!)))</f>
        <v>0</v>
      </c>
      <c r="AR25" s="22">
        <f>IF(ISERROR(LOOKUP(AR$10,$O25:$AP25,#REF!)),0,(LOOKUP(AR$10,$O25:$AP25,#REF!)))</f>
        <v>0</v>
      </c>
      <c r="AS25" s="22">
        <f>IF(ISERROR(LOOKUP(AS$10,$O25:$AP25,#REF!)),0,(LOOKUP(AS$10,$O25:$AP25,#REF!)))</f>
        <v>0</v>
      </c>
      <c r="AT25" s="22">
        <f>IF(ISERROR(LOOKUP(AT$10,$O25:$AP25,#REF!)),0,(LOOKUP(AT$10,$O25:$AP25,#REF!)))</f>
        <v>0</v>
      </c>
      <c r="AU25" s="22">
        <f>IF(ISERROR(LOOKUP(AU$10,$O25:$AP25,#REF!)),0,(LOOKUP(AU$10,$O25:$AP25,#REF!)))</f>
        <v>0</v>
      </c>
      <c r="AV25" s="22">
        <f>IF(ISERROR(LOOKUP(AV$10,$O25:$AP25,#REF!)),0,(LOOKUP(AV$10,$O25:$AP25,#REF!)))</f>
        <v>0</v>
      </c>
      <c r="AW25" s="22">
        <f>IF(ISERROR(LOOKUP(AW$10,$O25:$AP25,#REF!)),0,(LOOKUP(AW$10,$O25:$AP25,#REF!)))</f>
        <v>0</v>
      </c>
      <c r="AX25" s="22">
        <f>IF(ISERROR(LOOKUP(AX$10,$O25:$AP25,#REF!)),0,(LOOKUP(AX$10,$O25:$AP25,#REF!)))</f>
        <v>0</v>
      </c>
      <c r="AY25" s="22">
        <f>IF(ISERROR(LOOKUP(AY$10,$O25:$AP25,#REF!)),0,(LOOKUP(AY$10,$O25:$AP25,#REF!)))</f>
        <v>0</v>
      </c>
      <c r="AZ25" s="22">
        <f>IF(ISERROR(LOOKUP(AZ$10,$O25:$AP25,#REF!)),0,(LOOKUP(AZ$10,$O25:$AP25,#REF!)))</f>
        <v>0</v>
      </c>
      <c r="BA25" s="22">
        <f ca="1">IF(ISERROR(LOOKUP(BA$10,$O25:$AP25,#REF!)),0,(LOOKUP(BA$10,$O25:$AP25,#REF!)))</f>
        <v>0</v>
      </c>
      <c r="BB25" s="425" t="s">
        <v>992</v>
      </c>
      <c r="BC25" s="412" t="s">
        <v>923</v>
      </c>
      <c r="BD25" s="411"/>
    </row>
    <row r="26" spans="1:56" s="3" customFormat="1" ht="15.4" thickTop="1" thickBot="1" x14ac:dyDescent="0.45">
      <c r="A26" s="441"/>
      <c r="B26" s="93" t="s">
        <v>226</v>
      </c>
      <c r="C26" s="41" t="s">
        <v>39</v>
      </c>
      <c r="D26" s="43" t="s">
        <v>393</v>
      </c>
      <c r="E26" s="157"/>
      <c r="F26" s="157"/>
      <c r="G26" s="65" t="s">
        <v>44</v>
      </c>
      <c r="H26" s="25" t="s">
        <v>32</v>
      </c>
      <c r="I26" s="23" t="s">
        <v>33</v>
      </c>
      <c r="J26" s="23" t="s">
        <v>202</v>
      </c>
      <c r="K26" s="23" t="s">
        <v>308</v>
      </c>
      <c r="L26" s="216"/>
      <c r="M26" s="197" t="s">
        <v>34</v>
      </c>
      <c r="N26" s="26" t="s">
        <v>36</v>
      </c>
      <c r="O26" s="27"/>
      <c r="P26" s="27"/>
      <c r="Q26" s="131"/>
      <c r="R26" s="27"/>
      <c r="S26" s="27"/>
      <c r="T26" s="27"/>
      <c r="U26" s="131"/>
      <c r="V26" s="27">
        <f>WORKDAY(U27, V6, IF(V12="China",'China Holidays'!$A$2:$A$84,'Thai Holidays'!$A$2:$A$65))</f>
        <v>46220</v>
      </c>
      <c r="W26" s="27">
        <f>W25</f>
        <v>46220</v>
      </c>
      <c r="X26" s="27">
        <f>WORKDAY(W26, X6, IF(X12="China",'China Holidays'!$A$2:$A$84,'Thai Holidays'!$A$2:$A$65))</f>
        <v>46224</v>
      </c>
      <c r="Y26" s="27">
        <f>WORKDAY(X26, Y6, IF(Y12="China",'China Holidays'!$A$2:$A$84,'Thai Holidays'!$A$2:$A$65))</f>
        <v>46231</v>
      </c>
      <c r="Z26" s="27">
        <f>WORKDAY(Y26, Z6, IF(Z12="China",'China Holidays'!$A$2:$A$84,'Thai Holidays'!$A$2:$A$65))</f>
        <v>46259</v>
      </c>
      <c r="AA26" s="27">
        <f>WORKDAY(Z26,AA6, IF( AA12="China",'China Holidays'!$A$2:$A$84,'Thai Holidays'!$A$2:$A$65))</f>
        <v>46273</v>
      </c>
      <c r="AB26" s="28">
        <f>AA26+90</f>
        <v>46363</v>
      </c>
      <c r="AC26" s="28">
        <f>AB26</f>
        <v>46363</v>
      </c>
      <c r="AD26" s="28">
        <f>AC26+3</f>
        <v>46366</v>
      </c>
      <c r="AE26" s="28">
        <f>AF26-15</f>
        <v>46401</v>
      </c>
      <c r="AF26" s="28">
        <f>AG26-28</f>
        <v>46416</v>
      </c>
      <c r="AG26" s="28">
        <f>AL25</f>
        <v>46444</v>
      </c>
      <c r="AH26" s="28">
        <f>AL25+3</f>
        <v>46447</v>
      </c>
      <c r="AI26" s="28">
        <f>AL25+30</f>
        <v>46474</v>
      </c>
      <c r="AJ26" s="81"/>
      <c r="AK26" s="81"/>
      <c r="AL26" s="83">
        <f>W26+AK25</f>
        <v>46444</v>
      </c>
      <c r="AM26" s="83"/>
      <c r="AN26" s="29"/>
      <c r="AO26" s="141"/>
      <c r="AP26" s="438"/>
      <c r="AQ26" s="21">
        <f>IF(ISERROR(LOOKUP(AQ$10,$O26:$AP26,#REF!)),0,(LOOKUP(AQ$10,$O26:$AP26,#REF!)))</f>
        <v>0</v>
      </c>
      <c r="AR26" s="22">
        <f>IF(ISERROR(LOOKUP(AR$10,$O26:$AP26,#REF!)),0,(LOOKUP(AR$10,$O26:$AP26,#REF!)))</f>
        <v>0</v>
      </c>
      <c r="AS26" s="22">
        <f>IF(ISERROR(LOOKUP(AS$10,$O26:$AP26,#REF!)),0,(LOOKUP(AS$10,$O26:$AP26,#REF!)))</f>
        <v>0</v>
      </c>
      <c r="AT26" s="22">
        <f>IF(ISERROR(LOOKUP(AT$10,$O26:$AP26,#REF!)),0,(LOOKUP(AT$10,$O26:$AP26,#REF!)))</f>
        <v>0</v>
      </c>
      <c r="AU26" s="22">
        <f>IF(ISERROR(LOOKUP(AU$10,$O26:$AP26,#REF!)),0,(LOOKUP(AU$10,$O26:$AP26,#REF!)))</f>
        <v>0</v>
      </c>
      <c r="AV26" s="22">
        <f>IF(ISERROR(LOOKUP(AV$10,$O26:$AP26,#REF!)),0,(LOOKUP(AV$10,$O26:$AP26,#REF!)))</f>
        <v>0</v>
      </c>
      <c r="AW26" s="22">
        <f>IF(ISERROR(LOOKUP(AW$10,$O26:$AP26,#REF!)),0,(LOOKUP(AW$10,$O26:$AP26,#REF!)))</f>
        <v>0</v>
      </c>
      <c r="AX26" s="22">
        <f>IF(ISERROR(LOOKUP(AX$10,$O26:$AP26,#REF!)),0,(LOOKUP(AX$10,$O26:$AP26,#REF!)))</f>
        <v>0</v>
      </c>
      <c r="AY26" s="22">
        <f>IF(ISERROR(LOOKUP(AY$10,$O26:$AP26,#REF!)),0,(LOOKUP(AY$10,$O26:$AP26,#REF!)))</f>
        <v>0</v>
      </c>
      <c r="AZ26" s="22">
        <f>IF(ISERROR(LOOKUP(AZ$10,$O26:$AP26,#REF!)),0,(LOOKUP(AZ$10,$O26:$AP26,#REF!)))</f>
        <v>0</v>
      </c>
      <c r="BA26" s="22">
        <f ca="1">IF(ISERROR(LOOKUP(BA$10,$O26:$AP26,#REF!)),0,(LOOKUP(BA$10,$O26:$AP26,#REF!)))</f>
        <v>0</v>
      </c>
      <c r="BB26" s="425" t="s">
        <v>993</v>
      </c>
      <c r="BC26" s="412" t="s">
        <v>924</v>
      </c>
      <c r="BD26" s="411"/>
    </row>
    <row r="27" spans="1:56" s="3" customFormat="1" ht="15.4" thickTop="1" thickBot="1" x14ac:dyDescent="0.45">
      <c r="A27" s="442"/>
      <c r="B27" s="94" t="s">
        <v>226</v>
      </c>
      <c r="C27" s="32" t="s">
        <v>39</v>
      </c>
      <c r="D27" s="44" t="s">
        <v>43</v>
      </c>
      <c r="E27" s="151"/>
      <c r="F27" s="151"/>
      <c r="G27" s="66" t="s">
        <v>44</v>
      </c>
      <c r="H27" s="34" t="s">
        <v>32</v>
      </c>
      <c r="I27" s="32" t="s">
        <v>33</v>
      </c>
      <c r="J27" s="32" t="s">
        <v>202</v>
      </c>
      <c r="K27" s="32" t="s">
        <v>308</v>
      </c>
      <c r="L27" s="33"/>
      <c r="M27" s="198" t="s">
        <v>34</v>
      </c>
      <c r="N27" s="35" t="s">
        <v>37</v>
      </c>
      <c r="O27" s="36">
        <v>46133</v>
      </c>
      <c r="P27" s="36">
        <v>46130</v>
      </c>
      <c r="Q27" s="36">
        <v>46149</v>
      </c>
      <c r="R27" s="36">
        <v>46150</v>
      </c>
      <c r="S27" s="36">
        <v>46150</v>
      </c>
      <c r="T27" s="36">
        <v>46164</v>
      </c>
      <c r="U27" s="36">
        <v>46206</v>
      </c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82"/>
      <c r="AK27" s="82"/>
      <c r="AL27" s="37"/>
      <c r="AM27" s="37"/>
      <c r="AN27" s="38"/>
      <c r="AO27" s="142"/>
      <c r="AP27" s="439"/>
      <c r="AQ27" s="39">
        <f>IF(ISERROR(LOOKUP(AQ$10,$O27:$AP27,#REF!)),0,(LOOKUP(AQ$10,$O27:$AP27,#REF!)))</f>
        <v>0</v>
      </c>
      <c r="AR27" s="40">
        <f>IF(ISERROR(LOOKUP(AR$10,$O27:$AP27,#REF!)),0,(LOOKUP(AR$10,$O27:$AP27,#REF!)))</f>
        <v>0</v>
      </c>
      <c r="AS27" s="40">
        <f>IF(ISERROR(LOOKUP(AS$10,$O27:$AP27,#REF!)),0,(LOOKUP(AS$10,$O27:$AP27,#REF!)))</f>
        <v>0</v>
      </c>
      <c r="AT27" s="40">
        <f>IF(ISERROR(LOOKUP(AT$10,$O27:$AP27,#REF!)),0,(LOOKUP(AT$10,$O27:$AP27,#REF!)))</f>
        <v>0</v>
      </c>
      <c r="AU27" s="40">
        <f>IF(ISERROR(LOOKUP(AU$10,$O27:$AP27,#REF!)),0,(LOOKUP(AU$10,$O27:$AP27,#REF!)))</f>
        <v>0</v>
      </c>
      <c r="AV27" s="40">
        <f>IF(ISERROR(LOOKUP(AV$10,$O27:$AP27,#REF!)),0,(LOOKUP(AV$10,$O27:$AP27,#REF!)))</f>
        <v>0</v>
      </c>
      <c r="AW27" s="40">
        <f>IF(ISERROR(LOOKUP(AW$10,$O27:$AP27,#REF!)),0,(LOOKUP(AW$10,$O27:$AP27,#REF!)))</f>
        <v>0</v>
      </c>
      <c r="AX27" s="40">
        <f>IF(ISERROR(LOOKUP(AX$10,$O27:$AP27,#REF!)),0,(LOOKUP(AX$10,$O27:$AP27,#REF!)))</f>
        <v>0</v>
      </c>
      <c r="AY27" s="40">
        <f>IF(ISERROR(LOOKUP(AY$10,$O27:$AP27,#REF!)),0,(LOOKUP(AY$10,$O27:$AP27,#REF!)))</f>
        <v>0</v>
      </c>
      <c r="AZ27" s="40">
        <f>IF(ISERROR(LOOKUP(AZ$10,$O27:$AP27,#REF!)),0,(LOOKUP(AZ$10,$O27:$AP27,#REF!)))</f>
        <v>0</v>
      </c>
      <c r="BA27" s="40">
        <f ca="1">IF(ISERROR(LOOKUP(BA$10,$O27:$AP27,#REF!)),0,(LOOKUP(BA$10,$O27:$AP27,#REF!)))</f>
        <v>0</v>
      </c>
      <c r="BB27" s="425"/>
      <c r="BC27" s="411"/>
      <c r="BD27" s="411"/>
    </row>
    <row r="28" spans="1:56" s="3" customFormat="1" ht="19.899999999999999" customHeight="1" thickTop="1" thickBot="1" x14ac:dyDescent="0.45">
      <c r="A28" s="440">
        <f t="shared" ref="A28" si="3">A25+1</f>
        <v>6</v>
      </c>
      <c r="B28" s="92" t="s">
        <v>228</v>
      </c>
      <c r="C28" s="14" t="s">
        <v>303</v>
      </c>
      <c r="D28" s="227" t="s">
        <v>206</v>
      </c>
      <c r="E28" s="150"/>
      <c r="F28" s="150" t="s">
        <v>454</v>
      </c>
      <c r="G28" s="64" t="s">
        <v>46</v>
      </c>
      <c r="H28" s="16" t="s">
        <v>32</v>
      </c>
      <c r="I28" s="14" t="s">
        <v>33</v>
      </c>
      <c r="J28" s="14" t="s">
        <v>202</v>
      </c>
      <c r="K28" s="14" t="s">
        <v>308</v>
      </c>
      <c r="L28" s="215"/>
      <c r="M28" s="196" t="s">
        <v>34</v>
      </c>
      <c r="N28" s="18" t="s">
        <v>35</v>
      </c>
      <c r="O28" s="19">
        <v>46140</v>
      </c>
      <c r="P28" s="19">
        <v>46141</v>
      </c>
      <c r="Q28" s="19">
        <v>46150</v>
      </c>
      <c r="R28" s="19">
        <v>46153</v>
      </c>
      <c r="S28" s="19">
        <v>46160</v>
      </c>
      <c r="T28" s="19">
        <v>46168</v>
      </c>
      <c r="U28" s="19">
        <v>46195</v>
      </c>
      <c r="V28" s="230">
        <v>46209</v>
      </c>
      <c r="W28" s="19">
        <v>46220</v>
      </c>
      <c r="X28" s="19">
        <v>46224</v>
      </c>
      <c r="Y28" s="19">
        <v>46231</v>
      </c>
      <c r="Z28" s="19">
        <v>46259</v>
      </c>
      <c r="AA28" s="19">
        <v>46273</v>
      </c>
      <c r="AB28" s="19">
        <v>46363</v>
      </c>
      <c r="AC28" s="19">
        <v>46363</v>
      </c>
      <c r="AD28" s="19">
        <v>46366</v>
      </c>
      <c r="AE28" s="19">
        <v>46424</v>
      </c>
      <c r="AF28" s="19">
        <v>46439</v>
      </c>
      <c r="AG28" s="19">
        <v>46444</v>
      </c>
      <c r="AH28" s="19">
        <v>46447</v>
      </c>
      <c r="AI28" s="19">
        <v>46474</v>
      </c>
      <c r="AJ28" s="58">
        <v>34</v>
      </c>
      <c r="AK28" s="59">
        <v>238</v>
      </c>
      <c r="AL28" s="78">
        <v>46458</v>
      </c>
      <c r="AM28" s="78">
        <v>46464</v>
      </c>
      <c r="AN28" s="77">
        <f>AM28-AL29</f>
        <v>6</v>
      </c>
      <c r="AO28" s="140" t="s">
        <v>561</v>
      </c>
      <c r="AP28" s="431" t="s">
        <v>582</v>
      </c>
      <c r="AQ28" s="21">
        <f>IF(ISERROR(LOOKUP(AQ$10,$O28:$AP28,#REF!)),0,(LOOKUP(AQ$10,$O28:$AP28,#REF!)))</f>
        <v>0</v>
      </c>
      <c r="AR28" s="22">
        <f>IF(ISERROR(LOOKUP(AR$10,$O28:$AP28,#REF!)),0,(LOOKUP(AR$10,$O28:$AP28,#REF!)))</f>
        <v>0</v>
      </c>
      <c r="AS28" s="22">
        <f>IF(ISERROR(LOOKUP(AS$10,$O28:$AP28,#REF!)),0,(LOOKUP(AS$10,$O28:$AP28,#REF!)))</f>
        <v>0</v>
      </c>
      <c r="AT28" s="22">
        <f>IF(ISERROR(LOOKUP(AT$10,$O28:$AP28,#REF!)),0,(LOOKUP(AT$10,$O28:$AP28,#REF!)))</f>
        <v>0</v>
      </c>
      <c r="AU28" s="22">
        <f>IF(ISERROR(LOOKUP(AU$10,$O28:$AP28,#REF!)),0,(LOOKUP(AU$10,$O28:$AP28,#REF!)))</f>
        <v>0</v>
      </c>
      <c r="AV28" s="22">
        <f>IF(ISERROR(LOOKUP(AV$10,$O28:$AP28,#REF!)),0,(LOOKUP(AV$10,$O28:$AP28,#REF!)))</f>
        <v>0</v>
      </c>
      <c r="AW28" s="22">
        <f>IF(ISERROR(LOOKUP(AW$10,$O28:$AP28,#REF!)),0,(LOOKUP(AW$10,$O28:$AP28,#REF!)))</f>
        <v>0</v>
      </c>
      <c r="AX28" s="22">
        <f>IF(ISERROR(LOOKUP(AX$10,$O28:$AP28,#REF!)),0,(LOOKUP(AX$10,$O28:$AP28,#REF!)))</f>
        <v>0</v>
      </c>
      <c r="AY28" s="22">
        <f>IF(ISERROR(LOOKUP(AY$10,$O28:$AP28,#REF!)),0,(LOOKUP(AY$10,$O28:$AP28,#REF!)))</f>
        <v>0</v>
      </c>
      <c r="AZ28" s="22">
        <f>IF(ISERROR(LOOKUP(AZ$10,$O28:$AP28,#REF!)),0,(LOOKUP(AZ$10,$O28:$AP28,#REF!)))</f>
        <v>0</v>
      </c>
      <c r="BA28" s="22">
        <f ca="1">IF(ISERROR(LOOKUP(BA$10,$O28:$AP28,#REF!)),0,(LOOKUP(BA$10,$O28:$AP28,#REF!)))</f>
        <v>0</v>
      </c>
      <c r="BB28" s="425" t="s">
        <v>992</v>
      </c>
      <c r="BC28" s="412" t="s">
        <v>925</v>
      </c>
      <c r="BD28" s="411"/>
    </row>
    <row r="29" spans="1:56" s="3" customFormat="1" ht="15.4" thickTop="1" thickBot="1" x14ac:dyDescent="0.45">
      <c r="A29" s="441"/>
      <c r="B29" s="93" t="s">
        <v>228</v>
      </c>
      <c r="C29" s="41" t="s">
        <v>42</v>
      </c>
      <c r="D29" s="43" t="s">
        <v>45</v>
      </c>
      <c r="E29" s="157"/>
      <c r="F29" s="157"/>
      <c r="G29" s="65" t="s">
        <v>46</v>
      </c>
      <c r="H29" s="25" t="s">
        <v>32</v>
      </c>
      <c r="I29" s="23" t="s">
        <v>33</v>
      </c>
      <c r="J29" s="23" t="s">
        <v>202</v>
      </c>
      <c r="K29" s="23" t="s">
        <v>308</v>
      </c>
      <c r="L29" s="216"/>
      <c r="M29" s="197" t="s">
        <v>34</v>
      </c>
      <c r="N29" s="26" t="s">
        <v>36</v>
      </c>
      <c r="O29" s="27"/>
      <c r="P29" s="27"/>
      <c r="Q29" s="131"/>
      <c r="R29" s="27"/>
      <c r="S29" s="27"/>
      <c r="T29" s="27"/>
      <c r="U29" s="131"/>
      <c r="V29" s="27">
        <f>WORKDAY(U30, V6, IF(V12="China",'China Holidays'!$A$2:$A$84,'Thai Holidays'!$A$2:$A$65))</f>
        <v>46216</v>
      </c>
      <c r="W29" s="27">
        <f>W28</f>
        <v>46220</v>
      </c>
      <c r="X29" s="27">
        <f>WORKDAY(W29, X6, IF(X12="China",'China Holidays'!$A$2:$A$84,'Thai Holidays'!$A$2:$A$65))</f>
        <v>46224</v>
      </c>
      <c r="Y29" s="27">
        <f>WORKDAY(X29, Y6, IF(Y12="China",'China Holidays'!$A$2:$A$84,'Thai Holidays'!$A$2:$A$65))</f>
        <v>46231</v>
      </c>
      <c r="Z29" s="27">
        <f>WORKDAY(Y29, Z6, IF(Z12="China",'China Holidays'!$A$2:$A$84,'Thai Holidays'!$A$2:$A$65))</f>
        <v>46259</v>
      </c>
      <c r="AA29" s="27">
        <f>WORKDAY(Z29, AA6, IF(AA12="China",'China Holidays'!$A$2:$A$84,'Thai Holidays'!$A$2:$A$65))</f>
        <v>46273</v>
      </c>
      <c r="AB29" s="28">
        <f>AA29+90</f>
        <v>46363</v>
      </c>
      <c r="AC29" s="28">
        <f>AB29</f>
        <v>46363</v>
      </c>
      <c r="AD29" s="28">
        <f>AC29+3</f>
        <v>46366</v>
      </c>
      <c r="AE29" s="28">
        <f>AF29-15</f>
        <v>46415</v>
      </c>
      <c r="AF29" s="28">
        <f>AG29-28</f>
        <v>46430</v>
      </c>
      <c r="AG29" s="28">
        <f>AL28</f>
        <v>46458</v>
      </c>
      <c r="AH29" s="28">
        <f>AL28+3</f>
        <v>46461</v>
      </c>
      <c r="AI29" s="28">
        <f>AL28+30</f>
        <v>46488</v>
      </c>
      <c r="AJ29" s="81"/>
      <c r="AK29" s="81"/>
      <c r="AL29" s="83">
        <f>W29+AK28</f>
        <v>46458</v>
      </c>
      <c r="AM29" s="83"/>
      <c r="AN29" s="29"/>
      <c r="AO29" s="141"/>
      <c r="AP29" s="438"/>
      <c r="AQ29" s="21">
        <f>IF(ISERROR(LOOKUP(AQ$10,$O29:$AP29,#REF!)),0,(LOOKUP(AQ$10,$O29:$AP29,#REF!)))</f>
        <v>0</v>
      </c>
      <c r="AR29" s="22">
        <f>IF(ISERROR(LOOKUP(AR$10,$O29:$AP29,#REF!)),0,(LOOKUP(AR$10,$O29:$AP29,#REF!)))</f>
        <v>0</v>
      </c>
      <c r="AS29" s="22">
        <f>IF(ISERROR(LOOKUP(AS$10,$O29:$AP29,#REF!)),0,(LOOKUP(AS$10,$O29:$AP29,#REF!)))</f>
        <v>0</v>
      </c>
      <c r="AT29" s="22">
        <f>IF(ISERROR(LOOKUP(AT$10,$O29:$AP29,#REF!)),0,(LOOKUP(AT$10,$O29:$AP29,#REF!)))</f>
        <v>0</v>
      </c>
      <c r="AU29" s="22">
        <f>IF(ISERROR(LOOKUP(AU$10,$O29:$AP29,#REF!)),0,(LOOKUP(AU$10,$O29:$AP29,#REF!)))</f>
        <v>0</v>
      </c>
      <c r="AV29" s="22">
        <f>IF(ISERROR(LOOKUP(AV$10,$O29:$AP29,#REF!)),0,(LOOKUP(AV$10,$O29:$AP29,#REF!)))</f>
        <v>0</v>
      </c>
      <c r="AW29" s="22">
        <f>IF(ISERROR(LOOKUP(AW$10,$O29:$AP29,#REF!)),0,(LOOKUP(AW$10,$O29:$AP29,#REF!)))</f>
        <v>0</v>
      </c>
      <c r="AX29" s="22">
        <f>IF(ISERROR(LOOKUP(AX$10,$O29:$AP29,#REF!)),0,(LOOKUP(AX$10,$O29:$AP29,#REF!)))</f>
        <v>0</v>
      </c>
      <c r="AY29" s="22">
        <f>IF(ISERROR(LOOKUP(AY$10,$O29:$AP29,#REF!)),0,(LOOKUP(AY$10,$O29:$AP29,#REF!)))</f>
        <v>0</v>
      </c>
      <c r="AZ29" s="22">
        <f>IF(ISERROR(LOOKUP(AZ$10,$O29:$AP29,#REF!)),0,(LOOKUP(AZ$10,$O29:$AP29,#REF!)))</f>
        <v>0</v>
      </c>
      <c r="BA29" s="22">
        <f ca="1">IF(ISERROR(LOOKUP(BA$10,$O29:$AP29,#REF!)),0,(LOOKUP(BA$10,$O29:$AP29,#REF!)))</f>
        <v>0</v>
      </c>
      <c r="BB29" s="425" t="s">
        <v>993</v>
      </c>
      <c r="BC29" s="412" t="s">
        <v>926</v>
      </c>
      <c r="BD29" s="411"/>
    </row>
    <row r="30" spans="1:56" s="3" customFormat="1" ht="15.4" thickTop="1" thickBot="1" x14ac:dyDescent="0.45">
      <c r="A30" s="442"/>
      <c r="B30" s="94" t="s">
        <v>228</v>
      </c>
      <c r="C30" s="32" t="s">
        <v>42</v>
      </c>
      <c r="D30" s="44" t="s">
        <v>45</v>
      </c>
      <c r="E30" s="151"/>
      <c r="F30" s="151"/>
      <c r="G30" s="66" t="s">
        <v>46</v>
      </c>
      <c r="H30" s="34" t="s">
        <v>32</v>
      </c>
      <c r="I30" s="32" t="s">
        <v>33</v>
      </c>
      <c r="J30" s="32" t="s">
        <v>202</v>
      </c>
      <c r="K30" s="32" t="s">
        <v>308</v>
      </c>
      <c r="L30" s="225"/>
      <c r="M30" s="198" t="s">
        <v>34</v>
      </c>
      <c r="N30" s="35" t="s">
        <v>37</v>
      </c>
      <c r="O30" s="36">
        <v>46133</v>
      </c>
      <c r="P30" s="36">
        <v>46130</v>
      </c>
      <c r="Q30" s="36">
        <v>46149</v>
      </c>
      <c r="R30" s="36">
        <v>46150</v>
      </c>
      <c r="S30" s="36">
        <v>46150</v>
      </c>
      <c r="T30" s="36">
        <v>46164</v>
      </c>
      <c r="U30" s="36">
        <v>46202</v>
      </c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82"/>
      <c r="AK30" s="82"/>
      <c r="AL30" s="37"/>
      <c r="AM30" s="37"/>
      <c r="AN30" s="38"/>
      <c r="AO30" s="142"/>
      <c r="AP30" s="439"/>
      <c r="AQ30" s="39">
        <f>IF(ISERROR(LOOKUP(AQ$10,$O30:$AP30,#REF!)),0,(LOOKUP(AQ$10,$O30:$AP30,#REF!)))</f>
        <v>0</v>
      </c>
      <c r="AR30" s="40">
        <f>IF(ISERROR(LOOKUP(AR$10,$O30:$AP30,#REF!)),0,(LOOKUP(AR$10,$O30:$AP30,#REF!)))</f>
        <v>0</v>
      </c>
      <c r="AS30" s="40">
        <f>IF(ISERROR(LOOKUP(AS$10,$O30:$AP30,#REF!)),0,(LOOKUP(AS$10,$O30:$AP30,#REF!)))</f>
        <v>0</v>
      </c>
      <c r="AT30" s="40">
        <f>IF(ISERROR(LOOKUP(AT$10,$O30:$AP30,#REF!)),0,(LOOKUP(AT$10,$O30:$AP30,#REF!)))</f>
        <v>0</v>
      </c>
      <c r="AU30" s="40">
        <f>IF(ISERROR(LOOKUP(AU$10,$O30:$AP30,#REF!)),0,(LOOKUP(AU$10,$O30:$AP30,#REF!)))</f>
        <v>0</v>
      </c>
      <c r="AV30" s="40">
        <f>IF(ISERROR(LOOKUP(AV$10,$O30:$AP30,#REF!)),0,(LOOKUP(AV$10,$O30:$AP30,#REF!)))</f>
        <v>0</v>
      </c>
      <c r="AW30" s="40">
        <f>IF(ISERROR(LOOKUP(AW$10,$O30:$AP30,#REF!)),0,(LOOKUP(AW$10,$O30:$AP30,#REF!)))</f>
        <v>0</v>
      </c>
      <c r="AX30" s="40">
        <f>IF(ISERROR(LOOKUP(AX$10,$O30:$AP30,#REF!)),0,(LOOKUP(AX$10,$O30:$AP30,#REF!)))</f>
        <v>0</v>
      </c>
      <c r="AY30" s="40">
        <f>IF(ISERROR(LOOKUP(AY$10,$O30:$AP30,#REF!)),0,(LOOKUP(AY$10,$O30:$AP30,#REF!)))</f>
        <v>0</v>
      </c>
      <c r="AZ30" s="40">
        <f>IF(ISERROR(LOOKUP(AZ$10,$O30:$AP30,#REF!)),0,(LOOKUP(AZ$10,$O30:$AP30,#REF!)))</f>
        <v>0</v>
      </c>
      <c r="BA30" s="40">
        <f ca="1">IF(ISERROR(LOOKUP(BA$10,$O30:$AP30,#REF!)),0,(LOOKUP(BA$10,$O30:$AP30,#REF!)))</f>
        <v>0</v>
      </c>
      <c r="BB30" s="425" t="s">
        <v>994</v>
      </c>
      <c r="BC30" s="412" t="s">
        <v>927</v>
      </c>
      <c r="BD30" s="411"/>
    </row>
    <row r="31" spans="1:56" s="3" customFormat="1" ht="15.4" thickTop="1" thickBot="1" x14ac:dyDescent="0.45">
      <c r="A31" s="440">
        <f t="shared" ref="A31" si="4">A28+1</f>
        <v>7</v>
      </c>
      <c r="B31" s="92" t="s">
        <v>229</v>
      </c>
      <c r="C31" s="14" t="s">
        <v>304</v>
      </c>
      <c r="D31" s="227" t="s">
        <v>201</v>
      </c>
      <c r="E31" s="150"/>
      <c r="F31" s="150" t="s">
        <v>451</v>
      </c>
      <c r="G31" s="64" t="s">
        <v>53</v>
      </c>
      <c r="H31" s="16" t="s">
        <v>32</v>
      </c>
      <c r="I31" s="14" t="s">
        <v>33</v>
      </c>
      <c r="J31" s="14" t="s">
        <v>1</v>
      </c>
      <c r="K31" s="14" t="s">
        <v>308</v>
      </c>
      <c r="L31" s="217" t="s">
        <v>567</v>
      </c>
      <c r="M31" s="206" t="s">
        <v>34</v>
      </c>
      <c r="N31" s="18" t="s">
        <v>35</v>
      </c>
      <c r="O31" s="19">
        <v>46153</v>
      </c>
      <c r="P31" s="19">
        <v>46154</v>
      </c>
      <c r="Q31" s="19">
        <v>46166</v>
      </c>
      <c r="R31" s="19">
        <v>46166</v>
      </c>
      <c r="S31" s="19">
        <v>46166</v>
      </c>
      <c r="T31" s="19">
        <v>46203</v>
      </c>
      <c r="U31" s="19">
        <v>46203</v>
      </c>
      <c r="V31" s="230">
        <v>46217</v>
      </c>
      <c r="W31" s="19">
        <v>46230</v>
      </c>
      <c r="X31" s="19">
        <v>46232</v>
      </c>
      <c r="Y31" s="19">
        <v>46239</v>
      </c>
      <c r="Z31" s="19">
        <v>46267</v>
      </c>
      <c r="AA31" s="19">
        <v>46281</v>
      </c>
      <c r="AB31" s="19">
        <v>46311</v>
      </c>
      <c r="AC31" s="19">
        <v>46314</v>
      </c>
      <c r="AD31" s="19">
        <v>46317</v>
      </c>
      <c r="AE31" s="19">
        <v>46387</v>
      </c>
      <c r="AF31" s="19">
        <v>46397</v>
      </c>
      <c r="AG31" s="19">
        <v>46398</v>
      </c>
      <c r="AH31" s="19">
        <v>46401</v>
      </c>
      <c r="AI31" s="19">
        <v>46428</v>
      </c>
      <c r="AJ31" s="58">
        <v>24</v>
      </c>
      <c r="AK31" s="59">
        <v>168</v>
      </c>
      <c r="AL31" s="78">
        <v>46398</v>
      </c>
      <c r="AM31" s="78">
        <v>46433</v>
      </c>
      <c r="AN31" s="77">
        <f>AM31-AL32</f>
        <v>35</v>
      </c>
      <c r="AO31" s="140" t="s">
        <v>530</v>
      </c>
      <c r="AP31" s="431" t="s">
        <v>542</v>
      </c>
      <c r="AQ31" s="21">
        <f>IF(ISERROR(LOOKUP(AQ$10,$O31:$AP31,#REF!)),0,(LOOKUP(AQ$10,$O31:$AP31,#REF!)))</f>
        <v>0</v>
      </c>
      <c r="AR31" s="22">
        <f>IF(ISERROR(LOOKUP(AR$10,$O31:$AP31,#REF!)),0,(LOOKUP(AR$10,$O31:$AP31,#REF!)))</f>
        <v>0</v>
      </c>
      <c r="AS31" s="22">
        <f>IF(ISERROR(LOOKUP(AS$10,$O31:$AP31,#REF!)),0,(LOOKUP(AS$10,$O31:$AP31,#REF!)))</f>
        <v>0</v>
      </c>
      <c r="AT31" s="22">
        <f>IF(ISERROR(LOOKUP(AT$10,$O31:$AP31,#REF!)),0,(LOOKUP(AT$10,$O31:$AP31,#REF!)))</f>
        <v>0</v>
      </c>
      <c r="AU31" s="22">
        <f>IF(ISERROR(LOOKUP(AU$10,$O31:$AP31,#REF!)),0,(LOOKUP(AU$10,$O31:$AP31,#REF!)))</f>
        <v>0</v>
      </c>
      <c r="AV31" s="22">
        <f>IF(ISERROR(LOOKUP(AV$10,$O31:$AP31,#REF!)),0,(LOOKUP(AV$10,$O31:$AP31,#REF!)))</f>
        <v>0</v>
      </c>
      <c r="AW31" s="22">
        <f>IF(ISERROR(LOOKUP(AW$10,$O31:$AP31,#REF!)),0,(LOOKUP(AW$10,$O31:$AP31,#REF!)))</f>
        <v>0</v>
      </c>
      <c r="AX31" s="22">
        <f>IF(ISERROR(LOOKUP(AX$10,$O31:$AP31,#REF!)),0,(LOOKUP(AX$10,$O31:$AP31,#REF!)))</f>
        <v>0</v>
      </c>
      <c r="AY31" s="22">
        <f>IF(ISERROR(LOOKUP(AY$10,$O31:$AP31,#REF!)),0,(LOOKUP(AY$10,$O31:$AP31,#REF!)))</f>
        <v>0</v>
      </c>
      <c r="AZ31" s="22">
        <f>IF(ISERROR(LOOKUP(AZ$10,$O31:$AP31,#REF!)),0,(LOOKUP(AZ$10,$O31:$AP31,#REF!)))</f>
        <v>0</v>
      </c>
      <c r="BA31" s="22">
        <f ca="1">IF(ISERROR(LOOKUP(BA$10,$O31:$AP31,#REF!)),0,(LOOKUP(BA$10,$O31:$AP31,#REF!)))</f>
        <v>0</v>
      </c>
      <c r="BB31" s="425"/>
      <c r="BC31" s="411"/>
      <c r="BD31" s="411"/>
    </row>
    <row r="32" spans="1:56" s="3" customFormat="1" ht="15.4" thickTop="1" thickBot="1" x14ac:dyDescent="0.45">
      <c r="A32" s="441"/>
      <c r="B32" s="93" t="s">
        <v>229</v>
      </c>
      <c r="C32" s="41" t="s">
        <v>47</v>
      </c>
      <c r="D32" s="55" t="s">
        <v>201</v>
      </c>
      <c r="E32" s="157"/>
      <c r="F32" s="157"/>
      <c r="G32" s="65" t="s">
        <v>53</v>
      </c>
      <c r="H32" s="25" t="s">
        <v>32</v>
      </c>
      <c r="I32" s="23" t="s">
        <v>33</v>
      </c>
      <c r="J32" s="23" t="s">
        <v>1</v>
      </c>
      <c r="K32" s="23" t="s">
        <v>308</v>
      </c>
      <c r="L32" s="43"/>
      <c r="M32" s="197" t="s">
        <v>34</v>
      </c>
      <c r="N32" s="26" t="s">
        <v>36</v>
      </c>
      <c r="O32" s="27"/>
      <c r="P32" s="28"/>
      <c r="Q32" s="145"/>
      <c r="R32" s="28"/>
      <c r="S32" s="28"/>
      <c r="T32" s="28"/>
      <c r="U32" s="28"/>
      <c r="V32" s="28">
        <f>WORKDAY(U33, V6, IF(V12="China",'China Holidays'!$A$2:$A$84,'Thai Holidays'!$A$2:$A$65))</f>
        <v>46218</v>
      </c>
      <c r="W32" s="28">
        <f>W31</f>
        <v>46230</v>
      </c>
      <c r="X32" s="28">
        <f>W32</f>
        <v>46230</v>
      </c>
      <c r="Y32" s="28">
        <f>WORKDAY(X32, Y6, IF(Y12="China",'China Holidays'!$A$2:$A$84,'Thai Holidays'!$A$2:$A$65))</f>
        <v>46237</v>
      </c>
      <c r="Z32" s="28">
        <f>WORKDAY(Y32, Z6, IF(Z12="China",'China Holidays'!$A$2:$A$84,'Thai Holidays'!$A$2:$A$65))</f>
        <v>46265</v>
      </c>
      <c r="AA32" s="28">
        <f>WORKDAY(Z32, AA6, IF(AA12="China",'China Holidays'!$A$2:$A$84,'Thai Holidays'!$A$2:$A$65))</f>
        <v>46279</v>
      </c>
      <c r="AB32" s="28">
        <f>AA32+30</f>
        <v>46309</v>
      </c>
      <c r="AC32" s="28">
        <f>AB32+3</f>
        <v>46312</v>
      </c>
      <c r="AD32" s="28">
        <f>AC32+3</f>
        <v>46315</v>
      </c>
      <c r="AE32" s="28">
        <f>AF32-10</f>
        <v>46387</v>
      </c>
      <c r="AF32" s="28">
        <f>AG32-1</f>
        <v>46397</v>
      </c>
      <c r="AG32" s="28">
        <f>AL31</f>
        <v>46398</v>
      </c>
      <c r="AH32" s="28">
        <f>AL31+3</f>
        <v>46401</v>
      </c>
      <c r="AI32" s="28">
        <f>AL31+30</f>
        <v>46428</v>
      </c>
      <c r="AJ32" s="89"/>
      <c r="AK32" s="90"/>
      <c r="AL32" s="83">
        <f>W32+AK31</f>
        <v>46398</v>
      </c>
      <c r="AM32" s="83"/>
      <c r="AN32" s="29"/>
      <c r="AO32" s="141"/>
      <c r="AP32" s="438"/>
      <c r="AQ32" s="21">
        <f>IF(ISERROR(LOOKUP(AQ$10,$O32:$AP32,#REF!)),0,(LOOKUP(AQ$10,$O32:$AP32,#REF!)))</f>
        <v>0</v>
      </c>
      <c r="AR32" s="22">
        <f>IF(ISERROR(LOOKUP(AR$10,$O32:$AP32,#REF!)),0,(LOOKUP(AR$10,$O32:$AP32,#REF!)))</f>
        <v>0</v>
      </c>
      <c r="AS32" s="22">
        <f>IF(ISERROR(LOOKUP(AS$10,$O32:$AP32,#REF!)),0,(LOOKUP(AS$10,$O32:$AP32,#REF!)))</f>
        <v>0</v>
      </c>
      <c r="AT32" s="22">
        <f>IF(ISERROR(LOOKUP(AT$10,$O32:$AP32,#REF!)),0,(LOOKUP(AT$10,$O32:$AP32,#REF!)))</f>
        <v>0</v>
      </c>
      <c r="AU32" s="22">
        <f>IF(ISERROR(LOOKUP(AU$10,$O32:$AP32,#REF!)),0,(LOOKUP(AU$10,$O32:$AP32,#REF!)))</f>
        <v>0</v>
      </c>
      <c r="AV32" s="22">
        <f>IF(ISERROR(LOOKUP(AV$10,$O32:$AP32,#REF!)),0,(LOOKUP(AV$10,$O32:$AP32,#REF!)))</f>
        <v>0</v>
      </c>
      <c r="AW32" s="22">
        <f>IF(ISERROR(LOOKUP(AW$10,$O32:$AP32,#REF!)),0,(LOOKUP(AW$10,$O32:$AP32,#REF!)))</f>
        <v>0</v>
      </c>
      <c r="AX32" s="22">
        <f>IF(ISERROR(LOOKUP(AX$10,$O32:$AP32,#REF!)),0,(LOOKUP(AX$10,$O32:$AP32,#REF!)))</f>
        <v>0</v>
      </c>
      <c r="AY32" s="22">
        <f>IF(ISERROR(LOOKUP(AY$10,$O32:$AP32,#REF!)),0,(LOOKUP(AY$10,$O32:$AP32,#REF!)))</f>
        <v>0</v>
      </c>
      <c r="AZ32" s="22">
        <f>IF(ISERROR(LOOKUP(AZ$10,$O32:$AP32,#REF!)),0,(LOOKUP(AZ$10,$O32:$AP32,#REF!)))</f>
        <v>0</v>
      </c>
      <c r="BA32" s="22">
        <f ca="1">IF(ISERROR(LOOKUP(BA$10,$O32:$AP32,#REF!)),0,(LOOKUP(BA$10,$O32:$AP32,#REF!)))</f>
        <v>0</v>
      </c>
      <c r="BB32" s="425"/>
      <c r="BC32" s="411"/>
      <c r="BD32" s="411"/>
    </row>
    <row r="33" spans="1:56" s="3" customFormat="1" ht="15.4" thickTop="1" thickBot="1" x14ac:dyDescent="0.45">
      <c r="A33" s="442"/>
      <c r="B33" s="94" t="s">
        <v>229</v>
      </c>
      <c r="C33" s="32" t="s">
        <v>47</v>
      </c>
      <c r="D33" s="56" t="s">
        <v>52</v>
      </c>
      <c r="E33" s="151"/>
      <c r="F33" s="151"/>
      <c r="G33" s="44" t="s">
        <v>53</v>
      </c>
      <c r="H33" s="34" t="s">
        <v>32</v>
      </c>
      <c r="I33" s="32" t="s">
        <v>33</v>
      </c>
      <c r="J33" s="32" t="s">
        <v>1</v>
      </c>
      <c r="K33" s="32" t="s">
        <v>308</v>
      </c>
      <c r="L33" s="44"/>
      <c r="M33" s="207" t="s">
        <v>34</v>
      </c>
      <c r="N33" s="35" t="s">
        <v>37</v>
      </c>
      <c r="O33" s="36"/>
      <c r="P33" s="36">
        <v>46133</v>
      </c>
      <c r="Q33" s="36">
        <v>46150</v>
      </c>
      <c r="R33" s="36">
        <v>46150</v>
      </c>
      <c r="S33" s="36">
        <v>46150</v>
      </c>
      <c r="T33" s="36">
        <v>46181</v>
      </c>
      <c r="U33" s="36">
        <v>46204</v>
      </c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82"/>
      <c r="AK33" s="80"/>
      <c r="AL33" s="37"/>
      <c r="AM33" s="37"/>
      <c r="AN33" s="38"/>
      <c r="AO33" s="142"/>
      <c r="AP33" s="439"/>
      <c r="AQ33" s="39">
        <f>IF(ISERROR(LOOKUP(AQ$10,$O33:$AP33,#REF!)),0,(LOOKUP(AQ$10,$O33:$AP33,#REF!)))</f>
        <v>0</v>
      </c>
      <c r="AR33" s="40">
        <f>IF(ISERROR(LOOKUP(AR$10,$O33:$AP33,#REF!)),0,(LOOKUP(AR$10,$O33:$AP33,#REF!)))</f>
        <v>0</v>
      </c>
      <c r="AS33" s="40">
        <f>IF(ISERROR(LOOKUP(AS$10,$O33:$AP33,#REF!)),0,(LOOKUP(AS$10,$O33:$AP33,#REF!)))</f>
        <v>0</v>
      </c>
      <c r="AT33" s="40">
        <f>IF(ISERROR(LOOKUP(AT$10,$O33:$AP33,#REF!)),0,(LOOKUP(AT$10,$O33:$AP33,#REF!)))</f>
        <v>0</v>
      </c>
      <c r="AU33" s="40">
        <f>IF(ISERROR(LOOKUP(AU$10,$O33:$AP33,#REF!)),0,(LOOKUP(AU$10,$O33:$AP33,#REF!)))</f>
        <v>0</v>
      </c>
      <c r="AV33" s="40">
        <f>IF(ISERROR(LOOKUP(AV$10,$O33:$AP33,#REF!)),0,(LOOKUP(AV$10,$O33:$AP33,#REF!)))</f>
        <v>0</v>
      </c>
      <c r="AW33" s="40">
        <f>IF(ISERROR(LOOKUP(AW$10,$O33:$AP33,#REF!)),0,(LOOKUP(AW$10,$O33:$AP33,#REF!)))</f>
        <v>0</v>
      </c>
      <c r="AX33" s="40">
        <f>IF(ISERROR(LOOKUP(AX$10,$O33:$AP33,#REF!)),0,(LOOKUP(AX$10,$O33:$AP33,#REF!)))</f>
        <v>0</v>
      </c>
      <c r="AY33" s="40">
        <f>IF(ISERROR(LOOKUP(AY$10,$O33:$AP33,#REF!)),0,(LOOKUP(AY$10,$O33:$AP33,#REF!)))</f>
        <v>0</v>
      </c>
      <c r="AZ33" s="40">
        <f>IF(ISERROR(LOOKUP(AZ$10,$O33:$AP33,#REF!)),0,(LOOKUP(AZ$10,$O33:$AP33,#REF!)))</f>
        <v>0</v>
      </c>
      <c r="BA33" s="40">
        <f ca="1">IF(ISERROR(LOOKUP(BA$10,$O33:$AP33,#REF!)),0,(LOOKUP(BA$10,$O33:$AP33,#REF!)))</f>
        <v>0</v>
      </c>
      <c r="BB33" s="425"/>
      <c r="BC33" s="411"/>
      <c r="BD33" s="411"/>
    </row>
    <row r="34" spans="1:56" s="3" customFormat="1" ht="15.4" thickTop="1" thickBot="1" x14ac:dyDescent="0.45">
      <c r="A34" s="440">
        <f t="shared" ref="A34" si="5">A31+1</f>
        <v>8</v>
      </c>
      <c r="B34" s="92" t="s">
        <v>230</v>
      </c>
      <c r="C34" s="14" t="s">
        <v>49</v>
      </c>
      <c r="D34" s="228" t="s">
        <v>395</v>
      </c>
      <c r="E34" s="150"/>
      <c r="F34" s="150" t="s">
        <v>466</v>
      </c>
      <c r="G34" s="68" t="s">
        <v>55</v>
      </c>
      <c r="H34" s="16" t="s">
        <v>32</v>
      </c>
      <c r="I34" s="14" t="s">
        <v>56</v>
      </c>
      <c r="J34" s="14" t="s">
        <v>203</v>
      </c>
      <c r="K34" s="14" t="s">
        <v>344</v>
      </c>
      <c r="L34" s="42"/>
      <c r="M34" s="196" t="s">
        <v>34</v>
      </c>
      <c r="N34" s="18" t="s">
        <v>35</v>
      </c>
      <c r="O34" s="19">
        <v>46182</v>
      </c>
      <c r="P34" s="19">
        <v>46182</v>
      </c>
      <c r="Q34" s="57">
        <v>46196</v>
      </c>
      <c r="R34" s="57">
        <v>46196</v>
      </c>
      <c r="S34" s="57">
        <v>46196</v>
      </c>
      <c r="T34" s="230">
        <v>46203</v>
      </c>
      <c r="U34" s="19">
        <v>46212</v>
      </c>
      <c r="V34" s="19">
        <v>46226</v>
      </c>
      <c r="W34" s="19">
        <v>46259</v>
      </c>
      <c r="X34" s="19">
        <v>46261</v>
      </c>
      <c r="Y34" s="19">
        <f>X34</f>
        <v>46261</v>
      </c>
      <c r="Z34" s="19">
        <v>46275</v>
      </c>
      <c r="AA34" s="19">
        <v>46295</v>
      </c>
      <c r="AB34" s="19">
        <v>46325</v>
      </c>
      <c r="AC34" s="19">
        <v>46328</v>
      </c>
      <c r="AD34" s="19">
        <v>46331</v>
      </c>
      <c r="AE34" s="19">
        <v>46391</v>
      </c>
      <c r="AF34" s="19">
        <v>46406</v>
      </c>
      <c r="AG34" s="19">
        <v>46434</v>
      </c>
      <c r="AH34" s="19">
        <v>46437</v>
      </c>
      <c r="AI34" s="19">
        <v>46464</v>
      </c>
      <c r="AJ34" s="58">
        <v>25</v>
      </c>
      <c r="AK34" s="59">
        <v>175</v>
      </c>
      <c r="AL34" s="78">
        <v>46434</v>
      </c>
      <c r="AM34" s="78">
        <v>46469</v>
      </c>
      <c r="AN34" s="77">
        <f>AM34-AL35</f>
        <v>35</v>
      </c>
      <c r="AO34" s="140" t="s">
        <v>561</v>
      </c>
      <c r="AP34" s="437"/>
      <c r="AQ34" s="21">
        <f>IF(ISERROR(LOOKUP(AQ$10,$O34:$AP34,#REF!)),0,(LOOKUP(AQ$10,$O34:$AP34,#REF!)))</f>
        <v>0</v>
      </c>
      <c r="AR34" s="22">
        <f>IF(ISERROR(LOOKUP(AR$10,$O34:$AP34,#REF!)),0,(LOOKUP(AR$10,$O34:$AP34,#REF!)))</f>
        <v>0</v>
      </c>
      <c r="AS34" s="22">
        <f>IF(ISERROR(LOOKUP(AS$10,$O34:$AP34,#REF!)),0,(LOOKUP(AS$10,$O34:$AP34,#REF!)))</f>
        <v>0</v>
      </c>
      <c r="AT34" s="22">
        <f>IF(ISERROR(LOOKUP(AT$10,$O34:$AP34,#REF!)),0,(LOOKUP(AT$10,$O34:$AP34,#REF!)))</f>
        <v>0</v>
      </c>
      <c r="AU34" s="22">
        <f>IF(ISERROR(LOOKUP(AU$10,$O34:$AP34,#REF!)),0,(LOOKUP(AU$10,$O34:$AP34,#REF!)))</f>
        <v>0</v>
      </c>
      <c r="AV34" s="22">
        <f>IF(ISERROR(LOOKUP(AV$10,$O34:$AP34,#REF!)),0,(LOOKUP(AV$10,$O34:$AP34,#REF!)))</f>
        <v>0</v>
      </c>
      <c r="AW34" s="22">
        <f>IF(ISERROR(LOOKUP(AW$10,$O34:$AP34,#REF!)),0,(LOOKUP(AW$10,$O34:$AP34,#REF!)))</f>
        <v>0</v>
      </c>
      <c r="AX34" s="22">
        <f>IF(ISERROR(LOOKUP(AX$10,$O34:$AP34,#REF!)),0,(LOOKUP(AX$10,$O34:$AP34,#REF!)))</f>
        <v>0</v>
      </c>
      <c r="AY34" s="22">
        <f>IF(ISERROR(LOOKUP(AY$10,$O34:$AP34,#REF!)),0,(LOOKUP(AY$10,$O34:$AP34,#REF!)))</f>
        <v>0</v>
      </c>
      <c r="AZ34" s="22">
        <f>IF(ISERROR(LOOKUP(AZ$10,$O34:$AP34,#REF!)),0,(LOOKUP(AZ$10,$O34:$AP34,#REF!)))</f>
        <v>0</v>
      </c>
      <c r="BA34" s="22">
        <f ca="1">IF(ISERROR(LOOKUP(BA$10,$O34:$AP34,#REF!)),0,(LOOKUP(BA$10,$O34:$AP34,#REF!)))</f>
        <v>0</v>
      </c>
      <c r="BB34" s="425" t="s">
        <v>992</v>
      </c>
      <c r="BC34" s="411" t="s">
        <v>984</v>
      </c>
      <c r="BD34" s="411"/>
    </row>
    <row r="35" spans="1:56" s="3" customFormat="1" ht="15.4" thickTop="1" thickBot="1" x14ac:dyDescent="0.45">
      <c r="A35" s="441"/>
      <c r="B35" s="93" t="s">
        <v>230</v>
      </c>
      <c r="C35" s="41" t="s">
        <v>49</v>
      </c>
      <c r="D35" s="24" t="s">
        <v>395</v>
      </c>
      <c r="E35" s="157"/>
      <c r="F35" s="157">
        <v>4</v>
      </c>
      <c r="G35" s="65" t="s">
        <v>55</v>
      </c>
      <c r="H35" s="25" t="s">
        <v>32</v>
      </c>
      <c r="I35" s="23" t="s">
        <v>56</v>
      </c>
      <c r="J35" s="23" t="s">
        <v>203</v>
      </c>
      <c r="K35" s="23" t="s">
        <v>344</v>
      </c>
      <c r="L35" s="43"/>
      <c r="M35" s="197" t="s">
        <v>34</v>
      </c>
      <c r="N35" s="26" t="s">
        <v>36</v>
      </c>
      <c r="O35" s="27"/>
      <c r="P35" s="28"/>
      <c r="Q35" s="28"/>
      <c r="R35" s="28"/>
      <c r="S35" s="28"/>
      <c r="T35" s="28">
        <v>46210</v>
      </c>
      <c r="U35" s="28">
        <f>WORKDAY(T35, U9, IF(U12="China",'China Holidays'!$A$2:$A$84,'Thai Holidays'!$A$2:$A$65))</f>
        <v>46219</v>
      </c>
      <c r="V35" s="28">
        <f>V34</f>
        <v>46226</v>
      </c>
      <c r="W35" s="28">
        <f>W34</f>
        <v>46259</v>
      </c>
      <c r="X35" s="28">
        <f>WORKDAY(W35, X9, IF(X12="China",'China Holidays'!$A$2:$A$84,'Thai Holidays'!$A$2:$A$65))</f>
        <v>46261</v>
      </c>
      <c r="Y35" s="28">
        <f>WORKDAY(X35, Y9, IF(Y12="China",'China Holidays'!$A$2:$A$84,'Thai Holidays'!$A$2:$A$65))</f>
        <v>46268</v>
      </c>
      <c r="Z35" s="28">
        <f>WORKDAY(Y35, Z9, IF(Z12="China",'China Holidays'!$A$2:$A$84,'Thai Holidays'!$A$2:$A$65))</f>
        <v>46282</v>
      </c>
      <c r="AA35" s="28">
        <f>WORKDAY(Z35, AA9, IF(AA12="China",'China Holidays'!$A$2:$A$84,'Thai Holidays'!$A$2:$A$65))</f>
        <v>46296</v>
      </c>
      <c r="AB35" s="28">
        <f>AA35+30</f>
        <v>46326</v>
      </c>
      <c r="AC35" s="28">
        <f>AB35+3</f>
        <v>46329</v>
      </c>
      <c r="AD35" s="28">
        <f>AC35+3</f>
        <v>46332</v>
      </c>
      <c r="AE35" s="28">
        <f>AF35-15</f>
        <v>46391</v>
      </c>
      <c r="AF35" s="28">
        <f>AG35-28</f>
        <v>46406</v>
      </c>
      <c r="AG35" s="28">
        <f>AL34</f>
        <v>46434</v>
      </c>
      <c r="AH35" s="28">
        <f>AL34+3</f>
        <v>46437</v>
      </c>
      <c r="AI35" s="28">
        <f>AL34+30</f>
        <v>46464</v>
      </c>
      <c r="AJ35" s="89"/>
      <c r="AK35" s="90"/>
      <c r="AL35" s="83">
        <f>W35+AK34</f>
        <v>46434</v>
      </c>
      <c r="AM35" s="83"/>
      <c r="AN35" s="29"/>
      <c r="AO35" s="141"/>
      <c r="AP35" s="438"/>
      <c r="AQ35" s="21">
        <f>IF(ISERROR(LOOKUP(AQ$10,$O35:$AP35,#REF!)),0,(LOOKUP(AQ$10,$O35:$AP35,#REF!)))</f>
        <v>0</v>
      </c>
      <c r="AR35" s="22">
        <f>IF(ISERROR(LOOKUP(AR$10,$O35:$AP35,#REF!)),0,(LOOKUP(AR$10,$O35:$AP35,#REF!)))</f>
        <v>0</v>
      </c>
      <c r="AS35" s="22">
        <f>IF(ISERROR(LOOKUP(AS$10,$O35:$AP35,#REF!)),0,(LOOKUP(AS$10,$O35:$AP35,#REF!)))</f>
        <v>0</v>
      </c>
      <c r="AT35" s="22">
        <f>IF(ISERROR(LOOKUP(AT$10,$O35:$AP35,#REF!)),0,(LOOKUP(AT$10,$O35:$AP35,#REF!)))</f>
        <v>0</v>
      </c>
      <c r="AU35" s="22">
        <f>IF(ISERROR(LOOKUP(AU$10,$O35:$AP35,#REF!)),0,(LOOKUP(AU$10,$O35:$AP35,#REF!)))</f>
        <v>0</v>
      </c>
      <c r="AV35" s="22">
        <f>IF(ISERROR(LOOKUP(AV$10,$O35:$AP35,#REF!)),0,(LOOKUP(AV$10,$O35:$AP35,#REF!)))</f>
        <v>0</v>
      </c>
      <c r="AW35" s="22">
        <f>IF(ISERROR(LOOKUP(AW$10,$O35:$AP35,#REF!)),0,(LOOKUP(AW$10,$O35:$AP35,#REF!)))</f>
        <v>0</v>
      </c>
      <c r="AX35" s="22">
        <f>IF(ISERROR(LOOKUP(AX$10,$O35:$AP35,#REF!)),0,(LOOKUP(AX$10,$O35:$AP35,#REF!)))</f>
        <v>0</v>
      </c>
      <c r="AY35" s="22">
        <f>IF(ISERROR(LOOKUP(AY$10,$O35:$AP35,#REF!)),0,(LOOKUP(AY$10,$O35:$AP35,#REF!)))</f>
        <v>0</v>
      </c>
      <c r="AZ35" s="22">
        <f>IF(ISERROR(LOOKUP(AZ$10,$O35:$AP35,#REF!)),0,(LOOKUP(AZ$10,$O35:$AP35,#REF!)))</f>
        <v>0</v>
      </c>
      <c r="BA35" s="22">
        <f ca="1">IF(ISERROR(LOOKUP(BA$10,$O35:$AP35,#REF!)),0,(LOOKUP(BA$10,$O35:$AP35,#REF!)))</f>
        <v>0</v>
      </c>
      <c r="BB35" s="425" t="s">
        <v>993</v>
      </c>
      <c r="BC35" s="411" t="s">
        <v>983</v>
      </c>
      <c r="BD35" s="411"/>
    </row>
    <row r="36" spans="1:56" s="3" customFormat="1" ht="15.4" thickTop="1" thickBot="1" x14ac:dyDescent="0.45">
      <c r="A36" s="442"/>
      <c r="B36" s="94" t="s">
        <v>230</v>
      </c>
      <c r="C36" s="32" t="s">
        <v>49</v>
      </c>
      <c r="D36" s="33" t="s">
        <v>54</v>
      </c>
      <c r="E36" s="151"/>
      <c r="F36" s="151"/>
      <c r="G36" s="66" t="s">
        <v>55</v>
      </c>
      <c r="H36" s="34" t="s">
        <v>32</v>
      </c>
      <c r="I36" s="32" t="s">
        <v>56</v>
      </c>
      <c r="J36" s="32" t="s">
        <v>203</v>
      </c>
      <c r="K36" s="32" t="s">
        <v>344</v>
      </c>
      <c r="L36" s="44"/>
      <c r="M36" s="198" t="s">
        <v>34</v>
      </c>
      <c r="N36" s="35" t="s">
        <v>37</v>
      </c>
      <c r="O36" s="36">
        <v>46192</v>
      </c>
      <c r="P36" s="36">
        <v>46154</v>
      </c>
      <c r="Q36" s="36">
        <v>46170</v>
      </c>
      <c r="R36" s="36">
        <v>46196</v>
      </c>
      <c r="S36" s="36">
        <v>46196</v>
      </c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82"/>
      <c r="AK36" s="80"/>
      <c r="AL36" s="37"/>
      <c r="AM36" s="37"/>
      <c r="AN36" s="38"/>
      <c r="AO36" s="142"/>
      <c r="AP36" s="439"/>
      <c r="AQ36" s="39">
        <f>IF(ISERROR(LOOKUP(AQ$10,$O36:$AP36,#REF!)),0,(LOOKUP(AQ$10,$O36:$AP36,#REF!)))</f>
        <v>0</v>
      </c>
      <c r="AR36" s="40">
        <f>IF(ISERROR(LOOKUP(AR$10,$O36:$AP36,#REF!)),0,(LOOKUP(AR$10,$O36:$AP36,#REF!)))</f>
        <v>0</v>
      </c>
      <c r="AS36" s="40">
        <f>IF(ISERROR(LOOKUP(AS$10,$O36:$AP36,#REF!)),0,(LOOKUP(AS$10,$O36:$AP36,#REF!)))</f>
        <v>0</v>
      </c>
      <c r="AT36" s="40">
        <f>IF(ISERROR(LOOKUP(AT$10,$O36:$AP36,#REF!)),0,(LOOKUP(AT$10,$O36:$AP36,#REF!)))</f>
        <v>0</v>
      </c>
      <c r="AU36" s="40">
        <f>IF(ISERROR(LOOKUP(AU$10,$O36:$AP36,#REF!)),0,(LOOKUP(AU$10,$O36:$AP36,#REF!)))</f>
        <v>0</v>
      </c>
      <c r="AV36" s="40">
        <f>IF(ISERROR(LOOKUP(AV$10,$O36:$AP36,#REF!)),0,(LOOKUP(AV$10,$O36:$AP36,#REF!)))</f>
        <v>0</v>
      </c>
      <c r="AW36" s="40">
        <f>IF(ISERROR(LOOKUP(AW$10,$O36:$AP36,#REF!)),0,(LOOKUP(AW$10,$O36:$AP36,#REF!)))</f>
        <v>0</v>
      </c>
      <c r="AX36" s="40">
        <f>IF(ISERROR(LOOKUP(AX$10,$O36:$AP36,#REF!)),0,(LOOKUP(AX$10,$O36:$AP36,#REF!)))</f>
        <v>0</v>
      </c>
      <c r="AY36" s="40">
        <f>IF(ISERROR(LOOKUP(AY$10,$O36:$AP36,#REF!)),0,(LOOKUP(AY$10,$O36:$AP36,#REF!)))</f>
        <v>0</v>
      </c>
      <c r="AZ36" s="40">
        <f>IF(ISERROR(LOOKUP(AZ$10,$O36:$AP36,#REF!)),0,(LOOKUP(AZ$10,$O36:$AP36,#REF!)))</f>
        <v>0</v>
      </c>
      <c r="BA36" s="40">
        <f ca="1">IF(ISERROR(LOOKUP(BA$10,$O36:$AP36,#REF!)),0,(LOOKUP(BA$10,$O36:$AP36,#REF!)))</f>
        <v>0</v>
      </c>
      <c r="BB36" s="425"/>
      <c r="BC36" s="411"/>
      <c r="BD36" s="411"/>
    </row>
    <row r="37" spans="1:56" s="3" customFormat="1" ht="21" thickTop="1" thickBot="1" x14ac:dyDescent="0.45">
      <c r="A37" s="440">
        <f t="shared" ref="A37" si="6">A34+1</f>
        <v>9</v>
      </c>
      <c r="B37" s="92" t="s">
        <v>231</v>
      </c>
      <c r="C37" s="14" t="s">
        <v>57</v>
      </c>
      <c r="D37" s="268" t="s">
        <v>232</v>
      </c>
      <c r="E37" s="150"/>
      <c r="F37" s="150"/>
      <c r="G37" s="64" t="s">
        <v>58</v>
      </c>
      <c r="H37" s="16" t="s">
        <v>59</v>
      </c>
      <c r="I37" s="14" t="s">
        <v>56</v>
      </c>
      <c r="J37" s="369" t="s">
        <v>202</v>
      </c>
      <c r="K37" s="14" t="s">
        <v>345</v>
      </c>
      <c r="L37" s="42"/>
      <c r="M37" s="196" t="s">
        <v>34</v>
      </c>
      <c r="N37" s="18" t="s">
        <v>35</v>
      </c>
      <c r="O37" s="230">
        <v>46201</v>
      </c>
      <c r="P37" s="19">
        <v>46201</v>
      </c>
      <c r="Q37" s="19">
        <v>46213</v>
      </c>
      <c r="R37" s="19">
        <v>46213</v>
      </c>
      <c r="S37" s="19">
        <v>46213</v>
      </c>
      <c r="T37" s="19">
        <v>46220</v>
      </c>
      <c r="U37" s="19">
        <v>46233</v>
      </c>
      <c r="V37" s="19">
        <v>46248</v>
      </c>
      <c r="W37" s="19">
        <v>46255</v>
      </c>
      <c r="X37" s="19">
        <v>46259</v>
      </c>
      <c r="Y37" s="19">
        <f>X37</f>
        <v>46259</v>
      </c>
      <c r="Z37" s="19">
        <v>46273</v>
      </c>
      <c r="AA37" s="19">
        <v>46287</v>
      </c>
      <c r="AB37" s="19">
        <v>46347</v>
      </c>
      <c r="AC37" s="19">
        <v>46347</v>
      </c>
      <c r="AD37" s="19">
        <v>46350</v>
      </c>
      <c r="AE37" s="19">
        <v>46420</v>
      </c>
      <c r="AF37" s="19">
        <v>46435</v>
      </c>
      <c r="AG37" s="19">
        <v>46465</v>
      </c>
      <c r="AH37" s="19">
        <v>46468</v>
      </c>
      <c r="AI37" s="19">
        <v>46495</v>
      </c>
      <c r="AJ37" s="58">
        <v>30</v>
      </c>
      <c r="AK37" s="59">
        <v>210</v>
      </c>
      <c r="AL37" s="78">
        <v>46465</v>
      </c>
      <c r="AM37" s="78">
        <v>46517</v>
      </c>
      <c r="AN37" s="20">
        <f>AM37-AL38</f>
        <v>52</v>
      </c>
      <c r="AO37" s="140" t="s">
        <v>561</v>
      </c>
      <c r="AP37" s="437"/>
      <c r="AQ37" s="21">
        <f>IF(ISERROR(LOOKUP(AQ$10,$O37:$AP37,#REF!)),0,(LOOKUP(AQ$10,$O37:$AP37,#REF!)))</f>
        <v>0</v>
      </c>
      <c r="AR37" s="22">
        <f>IF(ISERROR(LOOKUP(AR$10,$O37:$AP37,#REF!)),0,(LOOKUP(AR$10,$O37:$AP37,#REF!)))</f>
        <v>0</v>
      </c>
      <c r="AS37" s="22">
        <f>IF(ISERROR(LOOKUP(AS$10,$O37:$AP37,#REF!)),0,(LOOKUP(AS$10,$O37:$AP37,#REF!)))</f>
        <v>0</v>
      </c>
      <c r="AT37" s="22">
        <f>IF(ISERROR(LOOKUP(AT$10,$O37:$AP37,#REF!)),0,(LOOKUP(AT$10,$O37:$AP37,#REF!)))</f>
        <v>0</v>
      </c>
      <c r="AU37" s="22">
        <f>IF(ISERROR(LOOKUP(AU$10,$O37:$AP37,#REF!)),0,(LOOKUP(AU$10,$O37:$AP37,#REF!)))</f>
        <v>0</v>
      </c>
      <c r="AV37" s="22">
        <f>IF(ISERROR(LOOKUP(AV$10,$O37:$AP37,#REF!)),0,(LOOKUP(AV$10,$O37:$AP37,#REF!)))</f>
        <v>0</v>
      </c>
      <c r="AW37" s="22">
        <f>IF(ISERROR(LOOKUP(AW$10,$O37:$AP37,#REF!)),0,(LOOKUP(AW$10,$O37:$AP37,#REF!)))</f>
        <v>0</v>
      </c>
      <c r="AX37" s="22">
        <f>IF(ISERROR(LOOKUP(AX$10,$O37:$AP37,#REF!)),0,(LOOKUP(AX$10,$O37:$AP37,#REF!)))</f>
        <v>0</v>
      </c>
      <c r="AY37" s="22">
        <f>IF(ISERROR(LOOKUP(AY$10,$O37:$AP37,#REF!)),0,(LOOKUP(AY$10,$O37:$AP37,#REF!)))</f>
        <v>0</v>
      </c>
      <c r="AZ37" s="22">
        <f>IF(ISERROR(LOOKUP(AZ$10,$O37:$AP37,#REF!)),0,(LOOKUP(AZ$10,$O37:$AP37,#REF!)))</f>
        <v>0</v>
      </c>
      <c r="BA37" s="22">
        <f ca="1">IF(ISERROR(LOOKUP(BA$10,$O37:$AP37,#REF!)),0,(LOOKUP(BA$10,$O37:$AP37,#REF!)))</f>
        <v>0</v>
      </c>
      <c r="BB37" s="425"/>
      <c r="BC37" s="411"/>
      <c r="BD37" s="411"/>
    </row>
    <row r="38" spans="1:56" s="3" customFormat="1" ht="21" thickTop="1" thickBot="1" x14ac:dyDescent="0.45">
      <c r="A38" s="441"/>
      <c r="B38" s="93" t="s">
        <v>231</v>
      </c>
      <c r="C38" s="41" t="s">
        <v>57</v>
      </c>
      <c r="D38" s="98" t="s">
        <v>232</v>
      </c>
      <c r="E38" s="181"/>
      <c r="F38" s="181"/>
      <c r="G38" s="43" t="s">
        <v>58</v>
      </c>
      <c r="H38" s="46" t="s">
        <v>59</v>
      </c>
      <c r="I38" s="23" t="s">
        <v>56</v>
      </c>
      <c r="J38" s="370" t="s">
        <v>202</v>
      </c>
      <c r="K38" s="23" t="s">
        <v>314</v>
      </c>
      <c r="L38" s="43"/>
      <c r="M38" s="197" t="s">
        <v>34</v>
      </c>
      <c r="N38" s="26" t="s">
        <v>36</v>
      </c>
      <c r="O38" s="27">
        <v>46210</v>
      </c>
      <c r="P38" s="28"/>
      <c r="Q38" s="28"/>
      <c r="R38" s="28">
        <f>R37</f>
        <v>46213</v>
      </c>
      <c r="S38" s="28">
        <f>WORKDAY(R38,S9,IF(S12="China",'China Holidays'!$A$2:$A$84,'Thai Holidays'!$A$2:$A$65))</f>
        <v>46213</v>
      </c>
      <c r="T38" s="28">
        <f>WORKDAY(S38,T9,IF(T12="China",'China Holidays'!$A$2:$A$84,'Thai Holidays'!$A$2:$A$65))</f>
        <v>46220</v>
      </c>
      <c r="U38" s="28">
        <f>WORKDAY(T38,U9,IF(U12="China",'China Holidays'!$A$2:$A$84,'Thai Holidays'!$A$2:$A$65))</f>
        <v>46233</v>
      </c>
      <c r="V38" s="28">
        <f>WORKDAY(U38,V9,IF(V12="China",'China Holidays'!$A$2:$A$84,'Thai Holidays'!$A$2:$A$65))</f>
        <v>46248</v>
      </c>
      <c r="W38" s="28">
        <f>WORKDAY(V38,W9,IF(W12="China",'China Holidays'!$A$2:$A$84,'Thai Holidays'!$A$2:$A$65))</f>
        <v>46255</v>
      </c>
      <c r="X38" s="28">
        <f>WORKDAY(W38,X9,IF(X12="China",'China Holidays'!$A$2:$A$84,'Thai Holidays'!$A$2:$A$65))</f>
        <v>46259</v>
      </c>
      <c r="Y38" s="28">
        <f>X38</f>
        <v>46259</v>
      </c>
      <c r="Z38" s="28">
        <f>WORKDAY(Y38,Z9,IF(Z12="China",'China Holidays'!$A$2:$A$84,'Thai Holidays'!$A$2:$A$65))</f>
        <v>46273</v>
      </c>
      <c r="AA38" s="28">
        <f>WORKDAY(Z38,AA9,IF(AA12="China",'China Holidays'!$A$2:$A$84,'Thai Holidays'!$A$2:$A$65))</f>
        <v>46287</v>
      </c>
      <c r="AB38" s="28">
        <f>AA38+60</f>
        <v>46347</v>
      </c>
      <c r="AC38" s="28">
        <f>AB38</f>
        <v>46347</v>
      </c>
      <c r="AD38" s="28">
        <f>AC38+3</f>
        <v>46350</v>
      </c>
      <c r="AE38" s="28">
        <f>AF38-15</f>
        <v>46420</v>
      </c>
      <c r="AF38" s="28">
        <f>AG38-30</f>
        <v>46435</v>
      </c>
      <c r="AG38" s="28">
        <f>AL37</f>
        <v>46465</v>
      </c>
      <c r="AH38" s="28">
        <f>AL37+3</f>
        <v>46468</v>
      </c>
      <c r="AI38" s="28">
        <f>AL37+30</f>
        <v>46495</v>
      </c>
      <c r="AJ38" s="81"/>
      <c r="AK38" s="79"/>
      <c r="AL38" s="83">
        <f>W38+AK37</f>
        <v>46465</v>
      </c>
      <c r="AM38" s="83"/>
      <c r="AN38" s="29"/>
      <c r="AO38" s="141"/>
      <c r="AP38" s="438"/>
      <c r="AQ38" s="21">
        <f>IF(ISERROR(LOOKUP(AQ$10,$O38:$AP38,#REF!)),0,(LOOKUP(AQ$10,$O38:$AP38,#REF!)))</f>
        <v>0</v>
      </c>
      <c r="AR38" s="22">
        <f>IF(ISERROR(LOOKUP(AR$10,$O38:$AP38,#REF!)),0,(LOOKUP(AR$10,$O38:$AP38,#REF!)))</f>
        <v>0</v>
      </c>
      <c r="AS38" s="22">
        <f>IF(ISERROR(LOOKUP(AS$10,$O38:$AP38,#REF!)),0,(LOOKUP(AS$10,$O38:$AP38,#REF!)))</f>
        <v>0</v>
      </c>
      <c r="AT38" s="22">
        <f>IF(ISERROR(LOOKUP(AT$10,$O38:$AP38,#REF!)),0,(LOOKUP(AT$10,$O38:$AP38,#REF!)))</f>
        <v>0</v>
      </c>
      <c r="AU38" s="22">
        <f>IF(ISERROR(LOOKUP(AU$10,$O38:$AP38,#REF!)),0,(LOOKUP(AU$10,$O38:$AP38,#REF!)))</f>
        <v>0</v>
      </c>
      <c r="AV38" s="22">
        <f>IF(ISERROR(LOOKUP(AV$10,$O38:$AP38,#REF!)),0,(LOOKUP(AV$10,$O38:$AP38,#REF!)))</f>
        <v>0</v>
      </c>
      <c r="AW38" s="22">
        <f>IF(ISERROR(LOOKUP(AW$10,$O38:$AP38,#REF!)),0,(LOOKUP(AW$10,$O38:$AP38,#REF!)))</f>
        <v>0</v>
      </c>
      <c r="AX38" s="22">
        <f>IF(ISERROR(LOOKUP(AX$10,$O38:$AP38,#REF!)),0,(LOOKUP(AX$10,$O38:$AP38,#REF!)))</f>
        <v>0</v>
      </c>
      <c r="AY38" s="22">
        <f>IF(ISERROR(LOOKUP(AY$10,$O38:$AP38,#REF!)),0,(LOOKUP(AY$10,$O38:$AP38,#REF!)))</f>
        <v>0</v>
      </c>
      <c r="AZ38" s="22">
        <f>IF(ISERROR(LOOKUP(AZ$10,$O38:$AP38,#REF!)),0,(LOOKUP(AZ$10,$O38:$AP38,#REF!)))</f>
        <v>0</v>
      </c>
      <c r="BA38" s="22">
        <f ca="1">IF(ISERROR(LOOKUP(BA$10,$O38:$AP38,#REF!)),0,(LOOKUP(BA$10,$O38:$AP38,#REF!)))</f>
        <v>0</v>
      </c>
      <c r="BB38" s="425"/>
      <c r="BC38" s="411"/>
      <c r="BD38" s="411"/>
    </row>
    <row r="39" spans="1:56" s="3" customFormat="1" ht="18" customHeight="1" thickTop="1" thickBot="1" x14ac:dyDescent="0.45">
      <c r="A39" s="442"/>
      <c r="B39" s="94" t="s">
        <v>231</v>
      </c>
      <c r="C39" s="32" t="s">
        <v>57</v>
      </c>
      <c r="D39" s="94" t="s">
        <v>232</v>
      </c>
      <c r="E39" s="151"/>
      <c r="F39" s="151"/>
      <c r="G39" s="44" t="s">
        <v>58</v>
      </c>
      <c r="H39" s="34" t="s">
        <v>59</v>
      </c>
      <c r="I39" s="32" t="s">
        <v>56</v>
      </c>
      <c r="J39" s="371" t="s">
        <v>202</v>
      </c>
      <c r="K39" s="32" t="s">
        <v>314</v>
      </c>
      <c r="L39" s="44"/>
      <c r="M39" s="198" t="s">
        <v>34</v>
      </c>
      <c r="N39" s="35" t="s">
        <v>37</v>
      </c>
      <c r="O39" s="36"/>
      <c r="P39" s="36">
        <v>46183</v>
      </c>
      <c r="Q39" s="36">
        <v>46197</v>
      </c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82"/>
      <c r="AK39" s="80"/>
      <c r="AL39" s="37"/>
      <c r="AM39" s="37"/>
      <c r="AN39" s="38"/>
      <c r="AO39" s="142"/>
      <c r="AP39" s="439"/>
      <c r="AQ39" s="39">
        <f>IF(ISERROR(LOOKUP(AQ$10,$O39:$AP39,#REF!)),0,(LOOKUP(AQ$10,$O39:$AP39,#REF!)))</f>
        <v>0</v>
      </c>
      <c r="AR39" s="40">
        <f>IF(ISERROR(LOOKUP(AR$10,$O39:$AP39,#REF!)),0,(LOOKUP(AR$10,$O39:$AP39,#REF!)))</f>
        <v>0</v>
      </c>
      <c r="AS39" s="40">
        <f>IF(ISERROR(LOOKUP(AS$10,$O39:$AP39,#REF!)),0,(LOOKUP(AS$10,$O39:$AP39,#REF!)))</f>
        <v>0</v>
      </c>
      <c r="AT39" s="40">
        <f>IF(ISERROR(LOOKUP(AT$10,$O39:$AP39,#REF!)),0,(LOOKUP(AT$10,$O39:$AP39,#REF!)))</f>
        <v>0</v>
      </c>
      <c r="AU39" s="40">
        <f>IF(ISERROR(LOOKUP(AU$10,$O39:$AP39,#REF!)),0,(LOOKUP(AU$10,$O39:$AP39,#REF!)))</f>
        <v>0</v>
      </c>
      <c r="AV39" s="40">
        <f>IF(ISERROR(LOOKUP(AV$10,$O39:$AP39,#REF!)),0,(LOOKUP(AV$10,$O39:$AP39,#REF!)))</f>
        <v>0</v>
      </c>
      <c r="AW39" s="40">
        <f>IF(ISERROR(LOOKUP(AW$10,$O39:$AP39,#REF!)),0,(LOOKUP(AW$10,$O39:$AP39,#REF!)))</f>
        <v>0</v>
      </c>
      <c r="AX39" s="40">
        <f>IF(ISERROR(LOOKUP(AX$10,$O39:$AP39,#REF!)),0,(LOOKUP(AX$10,$O39:$AP39,#REF!)))</f>
        <v>0</v>
      </c>
      <c r="AY39" s="40">
        <f>IF(ISERROR(LOOKUP(AY$10,$O39:$AP39,#REF!)),0,(LOOKUP(AY$10,$O39:$AP39,#REF!)))</f>
        <v>0</v>
      </c>
      <c r="AZ39" s="40">
        <f>IF(ISERROR(LOOKUP(AZ$10,$O39:$AP39,#REF!)),0,(LOOKUP(AZ$10,$O39:$AP39,#REF!)))</f>
        <v>0</v>
      </c>
      <c r="BA39" s="40">
        <f ca="1">IF(ISERROR(LOOKUP(BA$10,$O39:$AP39,#REF!)),0,(LOOKUP(BA$10,$O39:$AP39,#REF!)))</f>
        <v>0</v>
      </c>
      <c r="BB39" s="425"/>
      <c r="BC39" s="411"/>
      <c r="BD39" s="411"/>
    </row>
    <row r="40" spans="1:56" s="3" customFormat="1" ht="14.25" customHeight="1" thickTop="1" thickBot="1" x14ac:dyDescent="0.45">
      <c r="A40" s="440">
        <f t="shared" ref="A40" si="7">A37+1</f>
        <v>10</v>
      </c>
      <c r="B40" s="92" t="s">
        <v>234</v>
      </c>
      <c r="C40" s="14" t="s">
        <v>703</v>
      </c>
      <c r="D40" s="229" t="s">
        <v>376</v>
      </c>
      <c r="E40" s="150"/>
      <c r="F40" s="150"/>
      <c r="G40" s="64" t="s">
        <v>58</v>
      </c>
      <c r="H40" s="16" t="s">
        <v>59</v>
      </c>
      <c r="I40" s="14" t="s">
        <v>56</v>
      </c>
      <c r="J40" s="369" t="s">
        <v>1</v>
      </c>
      <c r="K40" s="14" t="s">
        <v>314</v>
      </c>
      <c r="L40" s="42"/>
      <c r="M40" s="196" t="s">
        <v>386</v>
      </c>
      <c r="N40" s="18" t="s">
        <v>35</v>
      </c>
      <c r="O40" s="230">
        <f>P40</f>
        <v>46381</v>
      </c>
      <c r="P40" s="19">
        <v>46381</v>
      </c>
      <c r="Q40" s="19">
        <v>46399</v>
      </c>
      <c r="R40" s="19">
        <v>46399</v>
      </c>
      <c r="S40" s="19">
        <v>46399</v>
      </c>
      <c r="T40" s="19">
        <v>46406</v>
      </c>
      <c r="U40" s="19">
        <v>46415</v>
      </c>
      <c r="V40" s="19">
        <v>46429</v>
      </c>
      <c r="W40" s="19">
        <v>46437</v>
      </c>
      <c r="X40" s="19">
        <v>46441</v>
      </c>
      <c r="Y40" s="19">
        <v>46448</v>
      </c>
      <c r="Z40" s="19">
        <v>46462</v>
      </c>
      <c r="AA40" s="19">
        <v>46476</v>
      </c>
      <c r="AB40" s="19">
        <v>46491</v>
      </c>
      <c r="AC40" s="19">
        <v>46491</v>
      </c>
      <c r="AD40" s="19">
        <v>46493</v>
      </c>
      <c r="AE40" s="19">
        <v>46523</v>
      </c>
      <c r="AF40" s="19">
        <v>46525</v>
      </c>
      <c r="AG40" s="19">
        <v>46530</v>
      </c>
      <c r="AH40" s="19">
        <v>46533</v>
      </c>
      <c r="AI40" s="19">
        <v>46560</v>
      </c>
      <c r="AJ40" s="58">
        <v>5</v>
      </c>
      <c r="AK40" s="59">
        <v>35</v>
      </c>
      <c r="AL40" s="78">
        <v>46530</v>
      </c>
      <c r="AM40" s="78">
        <v>46530</v>
      </c>
      <c r="AN40" s="77">
        <f>AM40-AL41</f>
        <v>58</v>
      </c>
      <c r="AO40" s="140" t="s">
        <v>738</v>
      </c>
      <c r="AP40" s="431" t="s">
        <v>702</v>
      </c>
      <c r="AQ40" s="21">
        <f>IF(ISERROR(LOOKUP(AQ$10,$O40:$AP40,#REF!)),0,(LOOKUP(AQ$10,$O40:$AP40,#REF!)))</f>
        <v>0</v>
      </c>
      <c r="AR40" s="22">
        <f>IF(ISERROR(LOOKUP(AR$10,$O40:$AP40,#REF!)),0,(LOOKUP(AR$10,$O40:$AP40,#REF!)))</f>
        <v>0</v>
      </c>
      <c r="AS40" s="22">
        <f>IF(ISERROR(LOOKUP(AS$10,$O40:$AP40,#REF!)),0,(LOOKUP(AS$10,$O40:$AP40,#REF!)))</f>
        <v>0</v>
      </c>
      <c r="AT40" s="22">
        <f>IF(ISERROR(LOOKUP(AT$10,$O40:$AP40,#REF!)),0,(LOOKUP(AT$10,$O40:$AP40,#REF!)))</f>
        <v>0</v>
      </c>
      <c r="AU40" s="22">
        <f>IF(ISERROR(LOOKUP(AU$10,$O40:$AP40,#REF!)),0,(LOOKUP(AU$10,$O40:$AP40,#REF!)))</f>
        <v>0</v>
      </c>
      <c r="AV40" s="22">
        <f>IF(ISERROR(LOOKUP(AV$10,$O40:$AP40,#REF!)),0,(LOOKUP(AV$10,$O40:$AP40,#REF!)))</f>
        <v>0</v>
      </c>
      <c r="AW40" s="22">
        <f>IF(ISERROR(LOOKUP(AW$10,$O40:$AP40,#REF!)),0,(LOOKUP(AW$10,$O40:$AP40,#REF!)))</f>
        <v>0</v>
      </c>
      <c r="AX40" s="22">
        <f>IF(ISERROR(LOOKUP(AX$10,$O40:$AP40,#REF!)),0,(LOOKUP(AX$10,$O40:$AP40,#REF!)))</f>
        <v>0</v>
      </c>
      <c r="AY40" s="22">
        <f>IF(ISERROR(LOOKUP(AY$10,$O40:$AP40,#REF!)),0,(LOOKUP(AY$10,$O40:$AP40,#REF!)))</f>
        <v>0</v>
      </c>
      <c r="AZ40" s="22">
        <f>IF(ISERROR(LOOKUP(AZ$10,$O40:$AP40,#REF!)),0,(LOOKUP(AZ$10,$O40:$AP40,#REF!)))</f>
        <v>0</v>
      </c>
      <c r="BA40" s="22">
        <f ca="1">IF(ISERROR(LOOKUP(BA$10,$O40:$AP40,#REF!)),0,(LOOKUP(BA$10,$O40:$AP40,#REF!)))</f>
        <v>0</v>
      </c>
      <c r="BB40" s="425"/>
      <c r="BC40" s="411"/>
      <c r="BD40" s="411"/>
    </row>
    <row r="41" spans="1:56" s="3" customFormat="1" ht="15.4" customHeight="1" thickTop="1" thickBot="1" x14ac:dyDescent="0.45">
      <c r="A41" s="441"/>
      <c r="B41" s="93" t="s">
        <v>234</v>
      </c>
      <c r="C41" s="41" t="s">
        <v>60</v>
      </c>
      <c r="D41" s="88" t="s">
        <v>233</v>
      </c>
      <c r="E41" s="181"/>
      <c r="F41" s="181"/>
      <c r="G41" s="43" t="s">
        <v>58</v>
      </c>
      <c r="H41" s="46" t="s">
        <v>59</v>
      </c>
      <c r="I41" s="23" t="s">
        <v>56</v>
      </c>
      <c r="J41" s="370" t="s">
        <v>1</v>
      </c>
      <c r="K41" s="23" t="s">
        <v>314</v>
      </c>
      <c r="L41" s="43"/>
      <c r="M41" s="197" t="s">
        <v>386</v>
      </c>
      <c r="N41" s="26" t="s">
        <v>36</v>
      </c>
      <c r="O41" s="27">
        <f>O40</f>
        <v>46381</v>
      </c>
      <c r="P41" s="28"/>
      <c r="Q41" s="28"/>
      <c r="R41" s="28">
        <f>R40</f>
        <v>46399</v>
      </c>
      <c r="S41" s="28">
        <f>WORKDAY(R41, S9, IF(S12="China",'China Holidays'!$A$2:$A$84,'Thai Holidays'!$A$2:$A$65))</f>
        <v>46399</v>
      </c>
      <c r="T41" s="28">
        <f>WORKDAY(S41, T9, IF(T12="China",'China Holidays'!$A$2:$A$84,'Thai Holidays'!$A$2:$A$65))</f>
        <v>46406</v>
      </c>
      <c r="U41" s="28">
        <f>WORKDAY(T41, U9, IF(U12="China",'China Holidays'!$A$2:$A$84,'Thai Holidays'!$A$2:$A$65))</f>
        <v>46415</v>
      </c>
      <c r="V41" s="28">
        <f>WORKDAY(U41, V9, IF(V12="China",'China Holidays'!$A$2:$A$84,'Thai Holidays'!$A$2:$A$65))</f>
        <v>46429</v>
      </c>
      <c r="W41" s="28">
        <f>WORKDAY(V41, W9, IF(W12="China",'China Holidays'!$A$2:$A$84,'Thai Holidays'!$A$2:$A$65))</f>
        <v>46437</v>
      </c>
      <c r="X41" s="28">
        <f>WORKDAY(W41, X9, IF(X12="China",'China Holidays'!$A$2:$A$84,'Thai Holidays'!$A$2:$A$65))</f>
        <v>46441</v>
      </c>
      <c r="Y41" s="28">
        <f>WORKDAY(X41, Y9, IF(Y12="China",'China Holidays'!$A$2:$A$84,'Thai Holidays'!$A$2:$A$65))</f>
        <v>46448</v>
      </c>
      <c r="Z41" s="28">
        <f>WORKDAY(Y41, Z9, IF(Z12="China",'China Holidays'!$A$2:$A$84,'Thai Holidays'!$A$2:$A$65))</f>
        <v>46462</v>
      </c>
      <c r="AA41" s="28">
        <f>WORKDAY(Z41, AA9, IF(AA12="China",'China Holidays'!$A$2:$A$84,'Thai Holidays'!$A$2:$A$65))</f>
        <v>46476</v>
      </c>
      <c r="AB41" s="28">
        <f>AA41+15</f>
        <v>46491</v>
      </c>
      <c r="AC41" s="28">
        <f>AB41</f>
        <v>46491</v>
      </c>
      <c r="AD41" s="28">
        <f>AC41+2</f>
        <v>46493</v>
      </c>
      <c r="AE41" s="28">
        <f>AD41+30</f>
        <v>46523</v>
      </c>
      <c r="AF41" s="28">
        <f>AE41+2</f>
        <v>46525</v>
      </c>
      <c r="AG41" s="28">
        <f>AF41+5</f>
        <v>46530</v>
      </c>
      <c r="AH41" s="28">
        <f>AL40+3</f>
        <v>46533</v>
      </c>
      <c r="AI41" s="28">
        <f>AL40+30</f>
        <v>46560</v>
      </c>
      <c r="AJ41" s="81"/>
      <c r="AK41" s="79"/>
      <c r="AL41" s="83">
        <f>W41+AK40</f>
        <v>46472</v>
      </c>
      <c r="AM41" s="83"/>
      <c r="AN41" s="29"/>
      <c r="AO41" s="141"/>
      <c r="AP41" s="438"/>
      <c r="AQ41" s="21">
        <f>IF(ISERROR(LOOKUP(AQ$10,$O41:$AP41,#REF!)),0,(LOOKUP(AQ$10,$O41:$AP41,#REF!)))</f>
        <v>0</v>
      </c>
      <c r="AR41" s="22">
        <f>IF(ISERROR(LOOKUP(AR$10,$O41:$AP41,#REF!)),0,(LOOKUP(AR$10,$O41:$AP41,#REF!)))</f>
        <v>0</v>
      </c>
      <c r="AS41" s="22">
        <f>IF(ISERROR(LOOKUP(AS$10,$O41:$AP41,#REF!)),0,(LOOKUP(AS$10,$O41:$AP41,#REF!)))</f>
        <v>0</v>
      </c>
      <c r="AT41" s="22">
        <f>IF(ISERROR(LOOKUP(AT$10,$O41:$AP41,#REF!)),0,(LOOKUP(AT$10,$O41:$AP41,#REF!)))</f>
        <v>0</v>
      </c>
      <c r="AU41" s="22">
        <f>IF(ISERROR(LOOKUP(AU$10,$O41:$AP41,#REF!)),0,(LOOKUP(AU$10,$O41:$AP41,#REF!)))</f>
        <v>0</v>
      </c>
      <c r="AV41" s="22">
        <f>IF(ISERROR(LOOKUP(AV$10,$O41:$AP41,#REF!)),0,(LOOKUP(AV$10,$O41:$AP41,#REF!)))</f>
        <v>0</v>
      </c>
      <c r="AW41" s="22">
        <f>IF(ISERROR(LOOKUP(AW$10,$O41:$AP41,#REF!)),0,(LOOKUP(AW$10,$O41:$AP41,#REF!)))</f>
        <v>0</v>
      </c>
      <c r="AX41" s="22">
        <f>IF(ISERROR(LOOKUP(AX$10,$O41:$AP41,#REF!)),0,(LOOKUP(AX$10,$O41:$AP41,#REF!)))</f>
        <v>0</v>
      </c>
      <c r="AY41" s="22">
        <f>IF(ISERROR(LOOKUP(AY$10,$O41:$AP41,#REF!)),0,(LOOKUP(AY$10,$O41:$AP41,#REF!)))</f>
        <v>0</v>
      </c>
      <c r="AZ41" s="22">
        <f>IF(ISERROR(LOOKUP(AZ$10,$O41:$AP41,#REF!)),0,(LOOKUP(AZ$10,$O41:$AP41,#REF!)))</f>
        <v>0</v>
      </c>
      <c r="BA41" s="22">
        <f ca="1">IF(ISERROR(LOOKUP(BA$10,$O41:$AP41,#REF!)),0,(LOOKUP(BA$10,$O41:$AP41,#REF!)))</f>
        <v>0</v>
      </c>
      <c r="BB41" s="425"/>
      <c r="BC41" s="411"/>
      <c r="BD41" s="411"/>
    </row>
    <row r="42" spans="1:56" s="3" customFormat="1" ht="15.75" customHeight="1" thickTop="1" thickBot="1" x14ac:dyDescent="0.45">
      <c r="A42" s="442"/>
      <c r="B42" s="94" t="s">
        <v>234</v>
      </c>
      <c r="C42" s="32" t="s">
        <v>60</v>
      </c>
      <c r="D42" s="44" t="s">
        <v>233</v>
      </c>
      <c r="E42" s="151"/>
      <c r="F42" s="151"/>
      <c r="G42" s="45" t="s">
        <v>58</v>
      </c>
      <c r="H42" s="34" t="s">
        <v>59</v>
      </c>
      <c r="I42" s="32" t="s">
        <v>56</v>
      </c>
      <c r="J42" s="371" t="s">
        <v>1</v>
      </c>
      <c r="K42" s="32" t="s">
        <v>314</v>
      </c>
      <c r="L42" s="45"/>
      <c r="M42" s="198" t="s">
        <v>386</v>
      </c>
      <c r="N42" s="35" t="s">
        <v>37</v>
      </c>
      <c r="O42" s="36"/>
      <c r="P42" s="36">
        <v>46174</v>
      </c>
      <c r="Q42" s="36">
        <v>46182</v>
      </c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82"/>
      <c r="AK42" s="80"/>
      <c r="AL42" s="37"/>
      <c r="AM42" s="37"/>
      <c r="AN42" s="38"/>
      <c r="AO42" s="142"/>
      <c r="AP42" s="439"/>
      <c r="AQ42" s="39">
        <f>IF(ISERROR(LOOKUP(AQ$10,$O42:$AP42,#REF!)),0,(LOOKUP(AQ$10,$O42:$AP42,#REF!)))</f>
        <v>0</v>
      </c>
      <c r="AR42" s="40">
        <f>IF(ISERROR(LOOKUP(AR$10,$O42:$AP42,#REF!)),0,(LOOKUP(AR$10,$O42:$AP42,#REF!)))</f>
        <v>0</v>
      </c>
      <c r="AS42" s="40">
        <f>IF(ISERROR(LOOKUP(AS$10,$O42:$AP42,#REF!)),0,(LOOKUP(AS$10,$O42:$AP42,#REF!)))</f>
        <v>0</v>
      </c>
      <c r="AT42" s="40">
        <f>IF(ISERROR(LOOKUP(AT$10,$O42:$AP42,#REF!)),0,(LOOKUP(AT$10,$O42:$AP42,#REF!)))</f>
        <v>0</v>
      </c>
      <c r="AU42" s="40">
        <f>IF(ISERROR(LOOKUP(AU$10,$O42:$AP42,#REF!)),0,(LOOKUP(AU$10,$O42:$AP42,#REF!)))</f>
        <v>0</v>
      </c>
      <c r="AV42" s="40">
        <f>IF(ISERROR(LOOKUP(AV$10,$O42:$AP42,#REF!)),0,(LOOKUP(AV$10,$O42:$AP42,#REF!)))</f>
        <v>0</v>
      </c>
      <c r="AW42" s="40">
        <f>IF(ISERROR(LOOKUP(AW$10,$O42:$AP42,#REF!)),0,(LOOKUP(AW$10,$O42:$AP42,#REF!)))</f>
        <v>0</v>
      </c>
      <c r="AX42" s="40">
        <f>IF(ISERROR(LOOKUP(AX$10,$O42:$AP42,#REF!)),0,(LOOKUP(AX$10,$O42:$AP42,#REF!)))</f>
        <v>0</v>
      </c>
      <c r="AY42" s="40">
        <f>IF(ISERROR(LOOKUP(AY$10,$O42:$AP42,#REF!)),0,(LOOKUP(AY$10,$O42:$AP42,#REF!)))</f>
        <v>0</v>
      </c>
      <c r="AZ42" s="40">
        <f>IF(ISERROR(LOOKUP(AZ$10,$O42:$AP42,#REF!)),0,(LOOKUP(AZ$10,$O42:$AP42,#REF!)))</f>
        <v>0</v>
      </c>
      <c r="BA42" s="40">
        <f ca="1">IF(ISERROR(LOOKUP(BA$10,$O42:$AP42,#REF!)),0,(LOOKUP(BA$10,$O42:$AP42,#REF!)))</f>
        <v>0</v>
      </c>
      <c r="BB42" s="425"/>
      <c r="BC42" s="411"/>
      <c r="BD42" s="411"/>
    </row>
    <row r="43" spans="1:56" s="3" customFormat="1" ht="15.4" thickTop="1" thickBot="1" x14ac:dyDescent="0.45">
      <c r="A43" s="440">
        <f t="shared" ref="A43" si="8">A40+1</f>
        <v>11</v>
      </c>
      <c r="B43" s="92" t="s">
        <v>543</v>
      </c>
      <c r="C43" s="14" t="s">
        <v>678</v>
      </c>
      <c r="D43" s="227" t="s">
        <v>469</v>
      </c>
      <c r="E43" s="150" t="s">
        <v>661</v>
      </c>
      <c r="F43" s="150">
        <v>355</v>
      </c>
      <c r="G43" s="64" t="s">
        <v>62</v>
      </c>
      <c r="H43" s="16" t="s">
        <v>63</v>
      </c>
      <c r="I43" s="14" t="s">
        <v>56</v>
      </c>
      <c r="J43" s="14" t="s">
        <v>202</v>
      </c>
      <c r="K43" s="14" t="s">
        <v>344</v>
      </c>
      <c r="L43" s="231"/>
      <c r="M43" s="196" t="s">
        <v>34</v>
      </c>
      <c r="N43" s="18" t="s">
        <v>35</v>
      </c>
      <c r="O43" s="19">
        <v>46174</v>
      </c>
      <c r="P43" s="19">
        <v>46177</v>
      </c>
      <c r="Q43" s="19">
        <v>46185</v>
      </c>
      <c r="R43" s="19">
        <v>46185</v>
      </c>
      <c r="S43" s="19">
        <v>46185</v>
      </c>
      <c r="T43" s="19">
        <v>46202</v>
      </c>
      <c r="U43" s="230">
        <v>46219</v>
      </c>
      <c r="V43" s="19">
        <v>46237</v>
      </c>
      <c r="W43" s="19">
        <v>46248</v>
      </c>
      <c r="X43" s="19">
        <v>46252</v>
      </c>
      <c r="Y43" s="19">
        <v>46259</v>
      </c>
      <c r="Z43" s="19">
        <v>46280</v>
      </c>
      <c r="AA43" s="19">
        <v>46294</v>
      </c>
      <c r="AB43" s="19">
        <v>46324</v>
      </c>
      <c r="AC43" s="19">
        <v>46327</v>
      </c>
      <c r="AD43" s="19">
        <v>46330</v>
      </c>
      <c r="AE43" s="19">
        <v>46422</v>
      </c>
      <c r="AF43" s="19">
        <v>46437</v>
      </c>
      <c r="AG43" s="19">
        <v>46444</v>
      </c>
      <c r="AH43" s="19">
        <v>46447</v>
      </c>
      <c r="AI43" s="19">
        <v>46474</v>
      </c>
      <c r="AJ43" s="58">
        <v>28</v>
      </c>
      <c r="AK43" s="59">
        <v>196</v>
      </c>
      <c r="AL43" s="78">
        <v>46444</v>
      </c>
      <c r="AM43" s="78">
        <v>46476</v>
      </c>
      <c r="AN43" s="20">
        <f>AM43-AL44</f>
        <v>32</v>
      </c>
      <c r="AO43" s="143" t="s">
        <v>566</v>
      </c>
      <c r="AP43" s="437"/>
      <c r="AQ43" s="21">
        <f>IF(ISERROR(LOOKUP(AQ$10,$O43:$AP43,#REF!)),0,(LOOKUP(AQ$10,$O43:$AP43,#REF!)))</f>
        <v>0</v>
      </c>
      <c r="AR43" s="22">
        <f>IF(ISERROR(LOOKUP(AR$10,$O43:$AP43,#REF!)),0,(LOOKUP(AR$10,$O43:$AP43,#REF!)))</f>
        <v>0</v>
      </c>
      <c r="AS43" s="22">
        <f>IF(ISERROR(LOOKUP(AS$10,$O43:$AP43,#REF!)),0,(LOOKUP(AS$10,$O43:$AP43,#REF!)))</f>
        <v>0</v>
      </c>
      <c r="AT43" s="22">
        <f>IF(ISERROR(LOOKUP(AT$10,$O43:$AP43,#REF!)),0,(LOOKUP(AT$10,$O43:$AP43,#REF!)))</f>
        <v>0</v>
      </c>
      <c r="AU43" s="22">
        <f>IF(ISERROR(LOOKUP(AU$10,$O43:$AP43,#REF!)),0,(LOOKUP(AU$10,$O43:$AP43,#REF!)))</f>
        <v>0</v>
      </c>
      <c r="AV43" s="22">
        <f>IF(ISERROR(LOOKUP(AV$10,$O43:$AP43,#REF!)),0,(LOOKUP(AV$10,$O43:$AP43,#REF!)))</f>
        <v>0</v>
      </c>
      <c r="AW43" s="22">
        <f>IF(ISERROR(LOOKUP(AW$10,$O43:$AP43,#REF!)),0,(LOOKUP(AW$10,$O43:$AP43,#REF!)))</f>
        <v>0</v>
      </c>
      <c r="AX43" s="22">
        <f>IF(ISERROR(LOOKUP(AX$10,$O43:$AP43,#REF!)),0,(LOOKUP(AX$10,$O43:$AP43,#REF!)))</f>
        <v>0</v>
      </c>
      <c r="AY43" s="22">
        <f>IF(ISERROR(LOOKUP(AY$10,$O43:$AP43,#REF!)),0,(LOOKUP(AY$10,$O43:$AP43,#REF!)))</f>
        <v>0</v>
      </c>
      <c r="AZ43" s="22">
        <f>IF(ISERROR(LOOKUP(AZ$10,$O43:$AP43,#REF!)),0,(LOOKUP(AZ$10,$O43:$AP43,#REF!)))</f>
        <v>0</v>
      </c>
      <c r="BA43" s="22">
        <f ca="1">IF(ISERROR(LOOKUP(BA$10,$O43:$AP43,#REF!)),0,(LOOKUP(BA$10,$O43:$AP43,#REF!)))</f>
        <v>0</v>
      </c>
      <c r="BB43" s="425"/>
      <c r="BC43" s="411"/>
      <c r="BD43" s="411"/>
    </row>
    <row r="44" spans="1:56" s="3" customFormat="1" ht="15.4" thickTop="1" thickBot="1" x14ac:dyDescent="0.45">
      <c r="A44" s="441"/>
      <c r="B44" s="93" t="s">
        <v>292</v>
      </c>
      <c r="C44" s="41" t="s">
        <v>61</v>
      </c>
      <c r="D44" s="24" t="s">
        <v>468</v>
      </c>
      <c r="E44" s="157" t="s">
        <v>662</v>
      </c>
      <c r="F44" s="157"/>
      <c r="G44" s="43" t="s">
        <v>62</v>
      </c>
      <c r="H44" s="46" t="s">
        <v>63</v>
      </c>
      <c r="I44" s="23" t="s">
        <v>56</v>
      </c>
      <c r="J44" s="23" t="s">
        <v>202</v>
      </c>
      <c r="K44" s="23" t="s">
        <v>312</v>
      </c>
      <c r="L44" s="246"/>
      <c r="M44" s="197" t="s">
        <v>34</v>
      </c>
      <c r="N44" s="26" t="s">
        <v>36</v>
      </c>
      <c r="O44" s="27"/>
      <c r="P44" s="28"/>
      <c r="Q44" s="28"/>
      <c r="R44" s="28"/>
      <c r="S44" s="28"/>
      <c r="T44" s="28"/>
      <c r="U44" s="28">
        <f>U43</f>
        <v>46219</v>
      </c>
      <c r="V44" s="28">
        <f>WORKDAY(U44, V8, IF(V12="China",'China Holidays'!$A$2:$A$84,'Thai Holidays'!$A$2:$A$65))</f>
        <v>46237</v>
      </c>
      <c r="W44" s="28">
        <f>WORKDAY(V44, W8, IF(W12="China",'China Holidays'!$A$2:$A$84,'Thai Holidays'!$A$2:$A$65))</f>
        <v>46248</v>
      </c>
      <c r="X44" s="28">
        <f>WORKDAY(W44, X8, IF(X12="China",'China Holidays'!$A$2:$A$84,'Thai Holidays'!$A$2:$A$65))</f>
        <v>46252</v>
      </c>
      <c r="Y44" s="28">
        <f>WORKDAY(X44, Y8, IF(Y12="China",'China Holidays'!$A$2:$A$84,'Thai Holidays'!$A$2:$A$65))</f>
        <v>46259</v>
      </c>
      <c r="Z44" s="28">
        <f>WORKDAY(Y44, Z8, IF(Z12="China",'China Holidays'!$A$2:$A$84,'Thai Holidays'!$A$2:$A$65))</f>
        <v>46280</v>
      </c>
      <c r="AA44" s="28">
        <f>WORKDAY(Z44, AA8, IF(AA12="China",'China Holidays'!$A$2:$A$84,'Thai Holidays'!$A$2:$A$65))</f>
        <v>46294</v>
      </c>
      <c r="AB44" s="28">
        <f>AA44+40</f>
        <v>46334</v>
      </c>
      <c r="AC44" s="28">
        <f>AB44+3</f>
        <v>46337</v>
      </c>
      <c r="AD44" s="28">
        <f>AC44+3</f>
        <v>46340</v>
      </c>
      <c r="AE44" s="28">
        <f>AF44-15</f>
        <v>46422</v>
      </c>
      <c r="AF44" s="28">
        <f>AG44-7</f>
        <v>46437</v>
      </c>
      <c r="AG44" s="28">
        <f>AL44</f>
        <v>46444</v>
      </c>
      <c r="AH44" s="28">
        <f>AL43+3</f>
        <v>46447</v>
      </c>
      <c r="AI44" s="28">
        <f>AL43+30</f>
        <v>46474</v>
      </c>
      <c r="AJ44" s="81"/>
      <c r="AK44" s="79"/>
      <c r="AL44" s="83">
        <f>W44+AK43</f>
        <v>46444</v>
      </c>
      <c r="AM44" s="83"/>
      <c r="AN44" s="29"/>
      <c r="AO44" s="141"/>
      <c r="AP44" s="438"/>
      <c r="AQ44" s="21">
        <f>IF(ISERROR(LOOKUP(AQ$10,$O44:$AP44,#REF!)),0,(LOOKUP(AQ$10,$O44:$AP44,#REF!)))</f>
        <v>0</v>
      </c>
      <c r="AR44" s="22">
        <f>IF(ISERROR(LOOKUP(AR$10,$O44:$AP44,#REF!)),0,(LOOKUP(AR$10,$O44:$AP44,#REF!)))</f>
        <v>0</v>
      </c>
      <c r="AS44" s="22">
        <f>IF(ISERROR(LOOKUP(AS$10,$O44:$AP44,#REF!)),0,(LOOKUP(AS$10,$O44:$AP44,#REF!)))</f>
        <v>0</v>
      </c>
      <c r="AT44" s="22">
        <f>IF(ISERROR(LOOKUP(AT$10,$O44:$AP44,#REF!)),0,(LOOKUP(AT$10,$O44:$AP44,#REF!)))</f>
        <v>0</v>
      </c>
      <c r="AU44" s="22">
        <f>IF(ISERROR(LOOKUP(AU$10,$O44:$AP44,#REF!)),0,(LOOKUP(AU$10,$O44:$AP44,#REF!)))</f>
        <v>0</v>
      </c>
      <c r="AV44" s="22">
        <f>IF(ISERROR(LOOKUP(AV$10,$O44:$AP44,#REF!)),0,(LOOKUP(AV$10,$O44:$AP44,#REF!)))</f>
        <v>0</v>
      </c>
      <c r="AW44" s="22">
        <f>IF(ISERROR(LOOKUP(AW$10,$O44:$AP44,#REF!)),0,(LOOKUP(AW$10,$O44:$AP44,#REF!)))</f>
        <v>0</v>
      </c>
      <c r="AX44" s="22">
        <f>IF(ISERROR(LOOKUP(AX$10,$O44:$AP44,#REF!)),0,(LOOKUP(AX$10,$O44:$AP44,#REF!)))</f>
        <v>0</v>
      </c>
      <c r="AY44" s="22">
        <f>IF(ISERROR(LOOKUP(AY$10,$O44:$AP44,#REF!)),0,(LOOKUP(AY$10,$O44:$AP44,#REF!)))</f>
        <v>0</v>
      </c>
      <c r="AZ44" s="22">
        <f>IF(ISERROR(LOOKUP(AZ$10,$O44:$AP44,#REF!)),0,(LOOKUP(AZ$10,$O44:$AP44,#REF!)))</f>
        <v>0</v>
      </c>
      <c r="BA44" s="22">
        <f ca="1">IF(ISERROR(LOOKUP(BA$10,$O44:$AP44,#REF!)),0,(LOOKUP(BA$10,$O44:$AP44,#REF!)))</f>
        <v>0</v>
      </c>
      <c r="BB44" s="425"/>
      <c r="BC44" s="411"/>
      <c r="BD44" s="411"/>
    </row>
    <row r="45" spans="1:56" s="3" customFormat="1" ht="15.4" thickTop="1" thickBot="1" x14ac:dyDescent="0.45">
      <c r="A45" s="442"/>
      <c r="B45" s="94" t="s">
        <v>292</v>
      </c>
      <c r="C45" s="32" t="s">
        <v>61</v>
      </c>
      <c r="D45" s="48" t="s">
        <v>468</v>
      </c>
      <c r="E45" s="158"/>
      <c r="F45" s="158"/>
      <c r="G45" s="45" t="s">
        <v>62</v>
      </c>
      <c r="H45" s="34" t="s">
        <v>63</v>
      </c>
      <c r="I45" s="32" t="s">
        <v>56</v>
      </c>
      <c r="J45" s="32" t="s">
        <v>202</v>
      </c>
      <c r="K45" s="32" t="s">
        <v>312</v>
      </c>
      <c r="L45" s="247"/>
      <c r="M45" s="198" t="s">
        <v>34</v>
      </c>
      <c r="N45" s="35" t="s">
        <v>37</v>
      </c>
      <c r="O45" s="36">
        <v>46174</v>
      </c>
      <c r="P45" s="36">
        <v>46148</v>
      </c>
      <c r="Q45" s="36">
        <v>46165</v>
      </c>
      <c r="R45" s="36">
        <v>46174</v>
      </c>
      <c r="S45" s="36">
        <v>46174</v>
      </c>
      <c r="T45" s="36">
        <v>46191</v>
      </c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82"/>
      <c r="AK45" s="80"/>
      <c r="AL45" s="37"/>
      <c r="AM45" s="37"/>
      <c r="AN45" s="38"/>
      <c r="AO45" s="142"/>
      <c r="AP45" s="439"/>
      <c r="AQ45" s="39">
        <f>IF(ISERROR(LOOKUP(AQ$10,$O45:$AP45,#REF!)),0,(LOOKUP(AQ$10,$O45:$AP45,#REF!)))</f>
        <v>0</v>
      </c>
      <c r="AR45" s="40">
        <f>IF(ISERROR(LOOKUP(AR$10,$O45:$AP45,#REF!)),0,(LOOKUP(AR$10,$O45:$AP45,#REF!)))</f>
        <v>0</v>
      </c>
      <c r="AS45" s="40">
        <f>IF(ISERROR(LOOKUP(AS$10,$O45:$AP45,#REF!)),0,(LOOKUP(AS$10,$O45:$AP45,#REF!)))</f>
        <v>0</v>
      </c>
      <c r="AT45" s="40">
        <f>IF(ISERROR(LOOKUP(AT$10,$O45:$AP45,#REF!)),0,(LOOKUP(AT$10,$O45:$AP45,#REF!)))</f>
        <v>0</v>
      </c>
      <c r="AU45" s="40">
        <f>IF(ISERROR(LOOKUP(AU$10,$O45:$AP45,#REF!)),0,(LOOKUP(AU$10,$O45:$AP45,#REF!)))</f>
        <v>0</v>
      </c>
      <c r="AV45" s="40">
        <f>IF(ISERROR(LOOKUP(AV$10,$O45:$AP45,#REF!)),0,(LOOKUP(AV$10,$O45:$AP45,#REF!)))</f>
        <v>0</v>
      </c>
      <c r="AW45" s="40">
        <f>IF(ISERROR(LOOKUP(AW$10,$O45:$AP45,#REF!)),0,(LOOKUP(AW$10,$O45:$AP45,#REF!)))</f>
        <v>0</v>
      </c>
      <c r="AX45" s="40">
        <f>IF(ISERROR(LOOKUP(AX$10,$O45:$AP45,#REF!)),0,(LOOKUP(AX$10,$O45:$AP45,#REF!)))</f>
        <v>0</v>
      </c>
      <c r="AY45" s="40">
        <f>IF(ISERROR(LOOKUP(AY$10,$O45:$AP45,#REF!)),0,(LOOKUP(AY$10,$O45:$AP45,#REF!)))</f>
        <v>0</v>
      </c>
      <c r="AZ45" s="40">
        <f>IF(ISERROR(LOOKUP(AZ$10,$O45:$AP45,#REF!)),0,(LOOKUP(AZ$10,$O45:$AP45,#REF!)))</f>
        <v>0</v>
      </c>
      <c r="BA45" s="40">
        <f ca="1">IF(ISERROR(LOOKUP(BA$10,$O45:$AP45,#REF!)),0,(LOOKUP(BA$10,$O45:$AP45,#REF!)))</f>
        <v>0</v>
      </c>
      <c r="BB45" s="425"/>
      <c r="BC45" s="411"/>
      <c r="BD45" s="411"/>
    </row>
    <row r="46" spans="1:56" s="3" customFormat="1" ht="15.4" thickTop="1" thickBot="1" x14ac:dyDescent="0.45">
      <c r="A46" s="440">
        <f t="shared" ref="A46" si="9">A43+1</f>
        <v>12</v>
      </c>
      <c r="B46" s="92" t="s">
        <v>292</v>
      </c>
      <c r="C46" s="47" t="s">
        <v>365</v>
      </c>
      <c r="D46" s="227" t="s">
        <v>471</v>
      </c>
      <c r="E46" s="154" t="s">
        <v>663</v>
      </c>
      <c r="F46" s="154">
        <v>649</v>
      </c>
      <c r="G46" s="64" t="s">
        <v>62</v>
      </c>
      <c r="H46" s="16" t="s">
        <v>63</v>
      </c>
      <c r="I46" s="14" t="s">
        <v>56</v>
      </c>
      <c r="J46" s="14" t="s">
        <v>202</v>
      </c>
      <c r="K46" s="14" t="s">
        <v>312</v>
      </c>
      <c r="L46" s="323" t="s">
        <v>727</v>
      </c>
      <c r="M46" s="196" t="s">
        <v>34</v>
      </c>
      <c r="N46" s="18" t="s">
        <v>35</v>
      </c>
      <c r="O46" s="19">
        <v>46174</v>
      </c>
      <c r="P46" s="19">
        <v>46177</v>
      </c>
      <c r="Q46" s="19">
        <v>46185</v>
      </c>
      <c r="R46" s="19">
        <v>46185</v>
      </c>
      <c r="S46" s="19">
        <v>46185</v>
      </c>
      <c r="T46" s="19">
        <v>46202</v>
      </c>
      <c r="U46" s="230">
        <v>46219</v>
      </c>
      <c r="V46" s="19">
        <v>46237</v>
      </c>
      <c r="W46" s="19">
        <v>46248</v>
      </c>
      <c r="X46" s="19">
        <v>46252</v>
      </c>
      <c r="Y46" s="19">
        <v>46259</v>
      </c>
      <c r="Z46" s="19">
        <v>46280</v>
      </c>
      <c r="AA46" s="19">
        <v>46294</v>
      </c>
      <c r="AB46" s="19">
        <v>46324</v>
      </c>
      <c r="AC46" s="19">
        <v>46327</v>
      </c>
      <c r="AD46" s="19">
        <v>46330</v>
      </c>
      <c r="AE46" s="19">
        <v>46422</v>
      </c>
      <c r="AF46" s="19">
        <v>46437</v>
      </c>
      <c r="AG46" s="19">
        <v>46444</v>
      </c>
      <c r="AH46" s="19">
        <v>46447</v>
      </c>
      <c r="AI46" s="19">
        <v>46474</v>
      </c>
      <c r="AJ46" s="58">
        <v>28</v>
      </c>
      <c r="AK46" s="59">
        <v>196</v>
      </c>
      <c r="AL46" s="78">
        <v>46444</v>
      </c>
      <c r="AM46" s="78">
        <v>46476</v>
      </c>
      <c r="AN46" s="20">
        <f>AM46-AL47</f>
        <v>32</v>
      </c>
      <c r="AO46" s="143" t="s">
        <v>566</v>
      </c>
      <c r="AP46" s="437"/>
      <c r="AQ46" s="21">
        <f>IF(ISERROR(LOOKUP(AQ$10,$O46:$AP46,#REF!)),0,(LOOKUP(AQ$10,$O46:$AP46,#REF!)))</f>
        <v>0</v>
      </c>
      <c r="AR46" s="22">
        <f>IF(ISERROR(LOOKUP(AR$10,$O46:$AP46,#REF!)),0,(LOOKUP(AR$10,$O46:$AP46,#REF!)))</f>
        <v>0</v>
      </c>
      <c r="AS46" s="22">
        <f>IF(ISERROR(LOOKUP(AS$10,$O46:$AP46,#REF!)),0,(LOOKUP(AS$10,$O46:$AP46,#REF!)))</f>
        <v>0</v>
      </c>
      <c r="AT46" s="22">
        <f>IF(ISERROR(LOOKUP(AT$10,$O46:$AP46,#REF!)),0,(LOOKUP(AT$10,$O46:$AP46,#REF!)))</f>
        <v>0</v>
      </c>
      <c r="AU46" s="22">
        <f>IF(ISERROR(LOOKUP(AU$10,$O46:$AP46,#REF!)),0,(LOOKUP(AU$10,$O46:$AP46,#REF!)))</f>
        <v>0</v>
      </c>
      <c r="AV46" s="22">
        <f>IF(ISERROR(LOOKUP(AV$10,$O46:$AP46,#REF!)),0,(LOOKUP(AV$10,$O46:$AP46,#REF!)))</f>
        <v>0</v>
      </c>
      <c r="AW46" s="22">
        <f>IF(ISERROR(LOOKUP(AW$10,$O46:$AP46,#REF!)),0,(LOOKUP(AW$10,$O46:$AP46,#REF!)))</f>
        <v>0</v>
      </c>
      <c r="AX46" s="22">
        <f>IF(ISERROR(LOOKUP(AX$10,$O46:$AP46,#REF!)),0,(LOOKUP(AX$10,$O46:$AP46,#REF!)))</f>
        <v>0</v>
      </c>
      <c r="AY46" s="22">
        <f>IF(ISERROR(LOOKUP(AY$10,$O46:$AP46,#REF!)),0,(LOOKUP(AY$10,$O46:$AP46,#REF!)))</f>
        <v>0</v>
      </c>
      <c r="AZ46" s="22">
        <f>IF(ISERROR(LOOKUP(AZ$10,$O46:$AP46,#REF!)),0,(LOOKUP(AZ$10,$O46:$AP46,#REF!)))</f>
        <v>0</v>
      </c>
      <c r="BA46" s="22">
        <f ca="1">IF(ISERROR(LOOKUP(BA$10,$O46:$AP46,#REF!)),0,(LOOKUP(BA$10,$O46:$AP46,#REF!)))</f>
        <v>0</v>
      </c>
      <c r="BB46" s="425"/>
      <c r="BC46" s="411"/>
      <c r="BD46" s="411"/>
    </row>
    <row r="47" spans="1:56" s="3" customFormat="1" ht="15.4" thickTop="1" thickBot="1" x14ac:dyDescent="0.45">
      <c r="A47" s="441"/>
      <c r="B47" s="93" t="s">
        <v>292</v>
      </c>
      <c r="C47" s="114" t="s">
        <v>365</v>
      </c>
      <c r="D47" s="24" t="s">
        <v>470</v>
      </c>
      <c r="E47" s="155" t="s">
        <v>664</v>
      </c>
      <c r="F47" s="155"/>
      <c r="G47" s="43" t="s">
        <v>62</v>
      </c>
      <c r="H47" s="46" t="s">
        <v>63</v>
      </c>
      <c r="I47" s="23" t="s">
        <v>56</v>
      </c>
      <c r="J47" s="23" t="s">
        <v>202</v>
      </c>
      <c r="K47" s="23" t="s">
        <v>312</v>
      </c>
      <c r="L47" s="324" t="s">
        <v>679</v>
      </c>
      <c r="M47" s="197" t="s">
        <v>34</v>
      </c>
      <c r="N47" s="26" t="s">
        <v>36</v>
      </c>
      <c r="O47" s="27"/>
      <c r="P47" s="28"/>
      <c r="Q47" s="28"/>
      <c r="R47" s="28"/>
      <c r="S47" s="28"/>
      <c r="T47" s="28"/>
      <c r="U47" s="28">
        <f>U46</f>
        <v>46219</v>
      </c>
      <c r="V47" s="28">
        <f>WORKDAY(U47, V8, IF(V12="China",'China Holidays'!$A$2:$A$84,'Thai Holidays'!$A$2:$A$65))</f>
        <v>46237</v>
      </c>
      <c r="W47" s="28">
        <f>WORKDAY(V47, W8, IF(W12="China",'China Holidays'!$A$2:$A$84,'Thai Holidays'!$A$2:$A$65))</f>
        <v>46248</v>
      </c>
      <c r="X47" s="28">
        <f>WORKDAY(W47, X8, IF(X12="China",'China Holidays'!$A$2:$A$84,'Thai Holidays'!$A$2:$A$65))</f>
        <v>46252</v>
      </c>
      <c r="Y47" s="28">
        <f>WORKDAY(X47, Y8, IF(Y12="China",'China Holidays'!$A$2:$A$84,'Thai Holidays'!$A$2:$A$65))</f>
        <v>46259</v>
      </c>
      <c r="Z47" s="28">
        <f>WORKDAY(Y47, Z8, IF(Z12="China",'China Holidays'!$A$2:$A$84,'Thai Holidays'!$A$2:$A$65))</f>
        <v>46280</v>
      </c>
      <c r="AA47" s="28">
        <f>WORKDAY(Z47, AA8, IF(AA12="China",'China Holidays'!$A$2:$A$84,'Thai Holidays'!$A$2:$A$65))</f>
        <v>46294</v>
      </c>
      <c r="AB47" s="28">
        <f>AA47+40</f>
        <v>46334</v>
      </c>
      <c r="AC47" s="28">
        <f>AB47+3</f>
        <v>46337</v>
      </c>
      <c r="AD47" s="28">
        <f>AC47+3</f>
        <v>46340</v>
      </c>
      <c r="AE47" s="28">
        <f>AF47-15</f>
        <v>46422</v>
      </c>
      <c r="AF47" s="28">
        <f>AG47-7</f>
        <v>46437</v>
      </c>
      <c r="AG47" s="28">
        <f>AL47</f>
        <v>46444</v>
      </c>
      <c r="AH47" s="28">
        <f>AL46+3</f>
        <v>46447</v>
      </c>
      <c r="AI47" s="28">
        <f>AL46+30</f>
        <v>46474</v>
      </c>
      <c r="AJ47" s="81"/>
      <c r="AK47" s="79"/>
      <c r="AL47" s="83">
        <f>W47+AK46</f>
        <v>46444</v>
      </c>
      <c r="AM47" s="83"/>
      <c r="AN47" s="29"/>
      <c r="AO47" s="141"/>
      <c r="AP47" s="438"/>
      <c r="AQ47" s="21">
        <f>IF(ISERROR(LOOKUP(AQ$10,$O47:$AP47,#REF!)),0,(LOOKUP(AQ$10,$O47:$AP47,#REF!)))</f>
        <v>0</v>
      </c>
      <c r="AR47" s="22">
        <f>IF(ISERROR(LOOKUP(AR$10,$O47:$AP47,#REF!)),0,(LOOKUP(AR$10,$O47:$AP47,#REF!)))</f>
        <v>0</v>
      </c>
      <c r="AS47" s="22">
        <f>IF(ISERROR(LOOKUP(AS$10,$O47:$AP47,#REF!)),0,(LOOKUP(AS$10,$O47:$AP47,#REF!)))</f>
        <v>0</v>
      </c>
      <c r="AT47" s="22">
        <f>IF(ISERROR(LOOKUP(AT$10,$O47:$AP47,#REF!)),0,(LOOKUP(AT$10,$O47:$AP47,#REF!)))</f>
        <v>0</v>
      </c>
      <c r="AU47" s="22">
        <f>IF(ISERROR(LOOKUP(AU$10,$O47:$AP47,#REF!)),0,(LOOKUP(AU$10,$O47:$AP47,#REF!)))</f>
        <v>0</v>
      </c>
      <c r="AV47" s="22">
        <f>IF(ISERROR(LOOKUP(AV$10,$O47:$AP47,#REF!)),0,(LOOKUP(AV$10,$O47:$AP47,#REF!)))</f>
        <v>0</v>
      </c>
      <c r="AW47" s="22">
        <f>IF(ISERROR(LOOKUP(AW$10,$O47:$AP47,#REF!)),0,(LOOKUP(AW$10,$O47:$AP47,#REF!)))</f>
        <v>0</v>
      </c>
      <c r="AX47" s="22">
        <f>IF(ISERROR(LOOKUP(AX$10,$O47:$AP47,#REF!)),0,(LOOKUP(AX$10,$O47:$AP47,#REF!)))</f>
        <v>0</v>
      </c>
      <c r="AY47" s="22">
        <f>IF(ISERROR(LOOKUP(AY$10,$O47:$AP47,#REF!)),0,(LOOKUP(AY$10,$O47:$AP47,#REF!)))</f>
        <v>0</v>
      </c>
      <c r="AZ47" s="22">
        <f>IF(ISERROR(LOOKUP(AZ$10,$O47:$AP47,#REF!)),0,(LOOKUP(AZ$10,$O47:$AP47,#REF!)))</f>
        <v>0</v>
      </c>
      <c r="BA47" s="22">
        <f ca="1">IF(ISERROR(LOOKUP(BA$10,$O47:$AP47,#REF!)),0,(LOOKUP(BA$10,$O47:$AP47,#REF!)))</f>
        <v>0</v>
      </c>
      <c r="BB47" s="425"/>
      <c r="BC47" s="411"/>
      <c r="BD47" s="411"/>
    </row>
    <row r="48" spans="1:56" s="3" customFormat="1" ht="15.4" thickTop="1" thickBot="1" x14ac:dyDescent="0.45">
      <c r="A48" s="442"/>
      <c r="B48" s="94" t="s">
        <v>292</v>
      </c>
      <c r="C48" s="48" t="s">
        <v>365</v>
      </c>
      <c r="D48" s="48" t="s">
        <v>470</v>
      </c>
      <c r="E48" s="182"/>
      <c r="F48" s="182"/>
      <c r="G48" s="45" t="s">
        <v>62</v>
      </c>
      <c r="H48" s="34" t="s">
        <v>63</v>
      </c>
      <c r="I48" s="32" t="s">
        <v>56</v>
      </c>
      <c r="J48" s="32" t="s">
        <v>202</v>
      </c>
      <c r="K48" s="32" t="s">
        <v>312</v>
      </c>
      <c r="L48" s="325" t="s">
        <v>726</v>
      </c>
      <c r="M48" s="198" t="s">
        <v>34</v>
      </c>
      <c r="N48" s="35" t="s">
        <v>37</v>
      </c>
      <c r="O48" s="36">
        <v>46174</v>
      </c>
      <c r="P48" s="36">
        <v>46148</v>
      </c>
      <c r="Q48" s="36">
        <v>46165</v>
      </c>
      <c r="R48" s="36">
        <v>46174</v>
      </c>
      <c r="S48" s="36">
        <v>46174</v>
      </c>
      <c r="T48" s="36">
        <v>46200</v>
      </c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82"/>
      <c r="AK48" s="80"/>
      <c r="AL48" s="37"/>
      <c r="AM48" s="37"/>
      <c r="AN48" s="38"/>
      <c r="AO48" s="142"/>
      <c r="AP48" s="439"/>
      <c r="AQ48" s="39">
        <f>IF(ISERROR(LOOKUP(AQ$10,$O48:$AP48,#REF!)),0,(LOOKUP(AQ$10,$O48:$AP48,#REF!)))</f>
        <v>0</v>
      </c>
      <c r="AR48" s="40">
        <f>IF(ISERROR(LOOKUP(AR$10,$O48:$AP48,#REF!)),0,(LOOKUP(AR$10,$O48:$AP48,#REF!)))</f>
        <v>0</v>
      </c>
      <c r="AS48" s="40">
        <f>IF(ISERROR(LOOKUP(AS$10,$O48:$AP48,#REF!)),0,(LOOKUP(AS$10,$O48:$AP48,#REF!)))</f>
        <v>0</v>
      </c>
      <c r="AT48" s="40">
        <f>IF(ISERROR(LOOKUP(AT$10,$O48:$AP48,#REF!)),0,(LOOKUP(AT$10,$O48:$AP48,#REF!)))</f>
        <v>0</v>
      </c>
      <c r="AU48" s="40">
        <f>IF(ISERROR(LOOKUP(AU$10,$O48:$AP48,#REF!)),0,(LOOKUP(AU$10,$O48:$AP48,#REF!)))</f>
        <v>0</v>
      </c>
      <c r="AV48" s="40">
        <f>IF(ISERROR(LOOKUP(AV$10,$O48:$AP48,#REF!)),0,(LOOKUP(AV$10,$O48:$AP48,#REF!)))</f>
        <v>0</v>
      </c>
      <c r="AW48" s="40">
        <f>IF(ISERROR(LOOKUP(AW$10,$O48:$AP48,#REF!)),0,(LOOKUP(AW$10,$O48:$AP48,#REF!)))</f>
        <v>0</v>
      </c>
      <c r="AX48" s="40">
        <f>IF(ISERROR(LOOKUP(AX$10,$O48:$AP48,#REF!)),0,(LOOKUP(AX$10,$O48:$AP48,#REF!)))</f>
        <v>0</v>
      </c>
      <c r="AY48" s="40">
        <f>IF(ISERROR(LOOKUP(AY$10,$O48:$AP48,#REF!)),0,(LOOKUP(AY$10,$O48:$AP48,#REF!)))</f>
        <v>0</v>
      </c>
      <c r="AZ48" s="40">
        <f>IF(ISERROR(LOOKUP(AZ$10,$O48:$AP48,#REF!)),0,(LOOKUP(AZ$10,$O48:$AP48,#REF!)))</f>
        <v>0</v>
      </c>
      <c r="BA48" s="40">
        <f ca="1">IF(ISERROR(LOOKUP(BA$10,$O48:$AP48,#REF!)),0,(LOOKUP(BA$10,$O48:$AP48,#REF!)))</f>
        <v>0</v>
      </c>
      <c r="BB48" s="425"/>
      <c r="BC48" s="411"/>
      <c r="BD48" s="411"/>
    </row>
    <row r="49" spans="1:56" s="3" customFormat="1" ht="16.5" customHeight="1" thickTop="1" thickBot="1" x14ac:dyDescent="0.45">
      <c r="A49" s="440">
        <f t="shared" ref="A49" si="10">A46+1</f>
        <v>13</v>
      </c>
      <c r="B49" s="92" t="s">
        <v>292</v>
      </c>
      <c r="C49" s="14" t="s">
        <v>64</v>
      </c>
      <c r="D49" s="227" t="s">
        <v>473</v>
      </c>
      <c r="E49" s="150"/>
      <c r="F49" s="150" t="s">
        <v>466</v>
      </c>
      <c r="G49" s="64" t="s">
        <v>65</v>
      </c>
      <c r="H49" s="16" t="s">
        <v>63</v>
      </c>
      <c r="I49" s="14" t="s">
        <v>56</v>
      </c>
      <c r="J49" s="14" t="s">
        <v>202</v>
      </c>
      <c r="K49" s="14" t="s">
        <v>312</v>
      </c>
      <c r="L49" s="323" t="s">
        <v>721</v>
      </c>
      <c r="M49" s="196" t="s">
        <v>34</v>
      </c>
      <c r="N49" s="18" t="s">
        <v>35</v>
      </c>
      <c r="O49" s="19">
        <v>46174</v>
      </c>
      <c r="P49" s="19">
        <v>46177</v>
      </c>
      <c r="Q49" s="19">
        <v>46185</v>
      </c>
      <c r="R49" s="19">
        <v>46185</v>
      </c>
      <c r="S49" s="19">
        <v>46185</v>
      </c>
      <c r="T49" s="19">
        <v>46202</v>
      </c>
      <c r="U49" s="230">
        <v>46219</v>
      </c>
      <c r="V49" s="19">
        <v>46237</v>
      </c>
      <c r="W49" s="19">
        <v>46248</v>
      </c>
      <c r="X49" s="19">
        <v>46252</v>
      </c>
      <c r="Y49" s="19">
        <v>46259</v>
      </c>
      <c r="Z49" s="19">
        <v>46280</v>
      </c>
      <c r="AA49" s="19">
        <v>46294</v>
      </c>
      <c r="AB49" s="19">
        <v>46324</v>
      </c>
      <c r="AC49" s="19">
        <v>46327</v>
      </c>
      <c r="AD49" s="19">
        <v>46330</v>
      </c>
      <c r="AE49" s="19">
        <v>46422</v>
      </c>
      <c r="AF49" s="19">
        <v>46437</v>
      </c>
      <c r="AG49" s="19">
        <v>46444</v>
      </c>
      <c r="AH49" s="19">
        <v>46447</v>
      </c>
      <c r="AI49" s="19">
        <v>46474</v>
      </c>
      <c r="AJ49" s="58">
        <v>28</v>
      </c>
      <c r="AK49" s="59">
        <v>196</v>
      </c>
      <c r="AL49" s="78">
        <v>46444</v>
      </c>
      <c r="AM49" s="78">
        <v>46476</v>
      </c>
      <c r="AN49" s="20">
        <f>AM49-AL50</f>
        <v>32</v>
      </c>
      <c r="AO49" s="143" t="s">
        <v>392</v>
      </c>
      <c r="AP49" s="437"/>
      <c r="AQ49" s="21">
        <f>IF(ISERROR(LOOKUP(AQ$10,$O49:$AP49,#REF!)),0,(LOOKUP(AQ$10,$O49:$AP49,#REF!)))</f>
        <v>0</v>
      </c>
      <c r="AR49" s="22">
        <f>IF(ISERROR(LOOKUP(AR$10,$O49:$AP49,#REF!)),0,(LOOKUP(AR$10,$O49:$AP49,#REF!)))</f>
        <v>0</v>
      </c>
      <c r="AS49" s="22">
        <f>IF(ISERROR(LOOKUP(AS$10,$O49:$AP49,#REF!)),0,(LOOKUP(AS$10,$O49:$AP49,#REF!)))</f>
        <v>0</v>
      </c>
      <c r="AT49" s="22">
        <f>IF(ISERROR(LOOKUP(AT$10,$O49:$AP49,#REF!)),0,(LOOKUP(AT$10,$O49:$AP49,#REF!)))</f>
        <v>0</v>
      </c>
      <c r="AU49" s="22">
        <f>IF(ISERROR(LOOKUP(AU$10,$O49:$AP49,#REF!)),0,(LOOKUP(AU$10,$O49:$AP49,#REF!)))</f>
        <v>0</v>
      </c>
      <c r="AV49" s="22">
        <f>IF(ISERROR(LOOKUP(AV$10,$O49:$AP49,#REF!)),0,(LOOKUP(AV$10,$O49:$AP49,#REF!)))</f>
        <v>0</v>
      </c>
      <c r="AW49" s="22">
        <f>IF(ISERROR(LOOKUP(AW$10,$O49:$AP49,#REF!)),0,(LOOKUP(AW$10,$O49:$AP49,#REF!)))</f>
        <v>0</v>
      </c>
      <c r="AX49" s="22">
        <f>IF(ISERROR(LOOKUP(AX$10,$O49:$AP49,#REF!)),0,(LOOKUP(AX$10,$O49:$AP49,#REF!)))</f>
        <v>0</v>
      </c>
      <c r="AY49" s="22">
        <f>IF(ISERROR(LOOKUP(AY$10,$O49:$AP49,#REF!)),0,(LOOKUP(AY$10,$O49:$AP49,#REF!)))</f>
        <v>0</v>
      </c>
      <c r="AZ49" s="22">
        <f>IF(ISERROR(LOOKUP(AZ$10,$O49:$AP49,#REF!)),0,(LOOKUP(AZ$10,$O49:$AP49,#REF!)))</f>
        <v>0</v>
      </c>
      <c r="BA49" s="22">
        <f ca="1">IF(ISERROR(LOOKUP(BA$10,$O49:$AP49,#REF!)),0,(LOOKUP(BA$10,$O49:$AP49,#REF!)))</f>
        <v>0</v>
      </c>
      <c r="BB49" s="425" t="s">
        <v>992</v>
      </c>
      <c r="BC49" s="411" t="s">
        <v>928</v>
      </c>
      <c r="BD49" s="411"/>
    </row>
    <row r="50" spans="1:56" s="3" customFormat="1" ht="15.4" thickTop="1" thickBot="1" x14ac:dyDescent="0.45">
      <c r="A50" s="441"/>
      <c r="B50" s="93" t="s">
        <v>292</v>
      </c>
      <c r="C50" s="41" t="s">
        <v>64</v>
      </c>
      <c r="D50" s="24" t="s">
        <v>472</v>
      </c>
      <c r="E50" s="157"/>
      <c r="F50" s="157"/>
      <c r="G50" s="43" t="s">
        <v>65</v>
      </c>
      <c r="H50" s="46" t="s">
        <v>63</v>
      </c>
      <c r="I50" s="23" t="s">
        <v>56</v>
      </c>
      <c r="J50" s="23" t="s">
        <v>202</v>
      </c>
      <c r="K50" s="23" t="s">
        <v>312</v>
      </c>
      <c r="L50" s="326" t="s">
        <v>722</v>
      </c>
      <c r="M50" s="197" t="s">
        <v>34</v>
      </c>
      <c r="N50" s="26" t="s">
        <v>36</v>
      </c>
      <c r="O50" s="27"/>
      <c r="P50" s="28"/>
      <c r="Q50" s="28"/>
      <c r="R50" s="28"/>
      <c r="S50" s="28"/>
      <c r="T50" s="28"/>
      <c r="U50" s="28">
        <f>U49</f>
        <v>46219</v>
      </c>
      <c r="V50" s="28">
        <f>WORKDAY(U50, V8, IF(V12="China",'China Holidays'!$A$2:$A$84,'Thai Holidays'!$A$2:$A$65))</f>
        <v>46237</v>
      </c>
      <c r="W50" s="28">
        <f>WORKDAY(V50, W8, IF(W12="China",'China Holidays'!$A$2:$A$84,'Thai Holidays'!$A$2:$A$65))</f>
        <v>46248</v>
      </c>
      <c r="X50" s="28">
        <f>WORKDAY(W50, X8, IF(X12="China",'China Holidays'!$A$2:$A$84,'Thai Holidays'!$A$2:$A$65))</f>
        <v>46252</v>
      </c>
      <c r="Y50" s="28">
        <f>WORKDAY(X50, Y8, IF(Y12="China",'China Holidays'!$A$2:$A$84,'Thai Holidays'!$A$2:$A$65))</f>
        <v>46259</v>
      </c>
      <c r="Z50" s="28">
        <f>WORKDAY(Y50, Z8, IF(Z12="China",'China Holidays'!$A$2:$A$84,'Thai Holidays'!$A$2:$A$65))</f>
        <v>46280</v>
      </c>
      <c r="AA50" s="28">
        <f>WORKDAY(Z50, AA8, IF(AA12="China",'China Holidays'!$A$2:$A$84,'Thai Holidays'!$A$2:$A$65))</f>
        <v>46294</v>
      </c>
      <c r="AB50" s="28">
        <f>AA50+40</f>
        <v>46334</v>
      </c>
      <c r="AC50" s="28">
        <f>AB50+3</f>
        <v>46337</v>
      </c>
      <c r="AD50" s="28">
        <f>AC50+3</f>
        <v>46340</v>
      </c>
      <c r="AE50" s="28">
        <f>AF50-15</f>
        <v>46422</v>
      </c>
      <c r="AF50" s="28">
        <f>AG50-7</f>
        <v>46437</v>
      </c>
      <c r="AG50" s="28">
        <f>AL50</f>
        <v>46444</v>
      </c>
      <c r="AH50" s="28">
        <f>AL49+3</f>
        <v>46447</v>
      </c>
      <c r="AI50" s="28">
        <f>AL49+30</f>
        <v>46474</v>
      </c>
      <c r="AJ50" s="89"/>
      <c r="AK50" s="90"/>
      <c r="AL50" s="83">
        <f>W50+AK49</f>
        <v>46444</v>
      </c>
      <c r="AM50" s="83"/>
      <c r="AN50" s="29"/>
      <c r="AO50" s="141"/>
      <c r="AP50" s="438"/>
      <c r="AQ50" s="21">
        <f>IF(ISERROR(LOOKUP(AQ$10,$O50:$AP50,#REF!)),0,(LOOKUP(AQ$10,$O50:$AP50,#REF!)))</f>
        <v>0</v>
      </c>
      <c r="AR50" s="22">
        <f>IF(ISERROR(LOOKUP(AR$10,$O50:$AP50,#REF!)),0,(LOOKUP(AR$10,$O50:$AP50,#REF!)))</f>
        <v>0</v>
      </c>
      <c r="AS50" s="22">
        <f>IF(ISERROR(LOOKUP(AS$10,$O50:$AP50,#REF!)),0,(LOOKUP(AS$10,$O50:$AP50,#REF!)))</f>
        <v>0</v>
      </c>
      <c r="AT50" s="22">
        <f>IF(ISERROR(LOOKUP(AT$10,$O50:$AP50,#REF!)),0,(LOOKUP(AT$10,$O50:$AP50,#REF!)))</f>
        <v>0</v>
      </c>
      <c r="AU50" s="22">
        <f>IF(ISERROR(LOOKUP(AU$10,$O50:$AP50,#REF!)),0,(LOOKUP(AU$10,$O50:$AP50,#REF!)))</f>
        <v>0</v>
      </c>
      <c r="AV50" s="22">
        <f>IF(ISERROR(LOOKUP(AV$10,$O50:$AP50,#REF!)),0,(LOOKUP(AV$10,$O50:$AP50,#REF!)))</f>
        <v>0</v>
      </c>
      <c r="AW50" s="22">
        <f>IF(ISERROR(LOOKUP(AW$10,$O50:$AP50,#REF!)),0,(LOOKUP(AW$10,$O50:$AP50,#REF!)))</f>
        <v>0</v>
      </c>
      <c r="AX50" s="22">
        <f>IF(ISERROR(LOOKUP(AX$10,$O50:$AP50,#REF!)),0,(LOOKUP(AX$10,$O50:$AP50,#REF!)))</f>
        <v>0</v>
      </c>
      <c r="AY50" s="22">
        <f>IF(ISERROR(LOOKUP(AY$10,$O50:$AP50,#REF!)),0,(LOOKUP(AY$10,$O50:$AP50,#REF!)))</f>
        <v>0</v>
      </c>
      <c r="AZ50" s="22">
        <f>IF(ISERROR(LOOKUP(AZ$10,$O50:$AP50,#REF!)),0,(LOOKUP(AZ$10,$O50:$AP50,#REF!)))</f>
        <v>0</v>
      </c>
      <c r="BA50" s="22">
        <f ca="1">IF(ISERROR(LOOKUP(BA$10,$O50:$AP50,#REF!)),0,(LOOKUP(BA$10,$O50:$AP50,#REF!)))</f>
        <v>0</v>
      </c>
      <c r="BB50" s="425" t="s">
        <v>993</v>
      </c>
      <c r="BC50" s="411" t="s">
        <v>929</v>
      </c>
      <c r="BD50" s="411"/>
    </row>
    <row r="51" spans="1:56" s="3" customFormat="1" ht="15.4" thickTop="1" thickBot="1" x14ac:dyDescent="0.45">
      <c r="A51" s="442"/>
      <c r="B51" s="94" t="s">
        <v>292</v>
      </c>
      <c r="C51" s="32" t="s">
        <v>64</v>
      </c>
      <c r="D51" s="48" t="s">
        <v>472</v>
      </c>
      <c r="E51" s="158"/>
      <c r="F51" s="158"/>
      <c r="G51" s="45" t="s">
        <v>65</v>
      </c>
      <c r="H51" s="34" t="s">
        <v>63</v>
      </c>
      <c r="I51" s="32" t="s">
        <v>56</v>
      </c>
      <c r="J51" s="32" t="s">
        <v>202</v>
      </c>
      <c r="K51" s="32" t="s">
        <v>312</v>
      </c>
      <c r="L51" s="325" t="s">
        <v>723</v>
      </c>
      <c r="M51" s="198" t="s">
        <v>34</v>
      </c>
      <c r="N51" s="35" t="s">
        <v>37</v>
      </c>
      <c r="O51" s="36">
        <v>46174</v>
      </c>
      <c r="P51" s="36">
        <v>46148</v>
      </c>
      <c r="Q51" s="36">
        <v>46165</v>
      </c>
      <c r="R51" s="36">
        <v>46178</v>
      </c>
      <c r="S51" s="36">
        <v>46178</v>
      </c>
      <c r="T51" s="36">
        <v>46198</v>
      </c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82"/>
      <c r="AK51" s="80"/>
      <c r="AL51" s="37"/>
      <c r="AM51" s="37"/>
      <c r="AN51" s="38"/>
      <c r="AO51" s="142"/>
      <c r="AP51" s="439"/>
      <c r="AQ51" s="39">
        <f>IF(ISERROR(LOOKUP(AQ$10,$O51:$AP51,#REF!)),0,(LOOKUP(AQ$10,$O51:$AP51,#REF!)))</f>
        <v>0</v>
      </c>
      <c r="AR51" s="40">
        <f>IF(ISERROR(LOOKUP(AR$10,$O51:$AP51,#REF!)),0,(LOOKUP(AR$10,$O51:$AP51,#REF!)))</f>
        <v>0</v>
      </c>
      <c r="AS51" s="40">
        <f>IF(ISERROR(LOOKUP(AS$10,$O51:$AP51,#REF!)),0,(LOOKUP(AS$10,$O51:$AP51,#REF!)))</f>
        <v>0</v>
      </c>
      <c r="AT51" s="40">
        <f>IF(ISERROR(LOOKUP(AT$10,$O51:$AP51,#REF!)),0,(LOOKUP(AT$10,$O51:$AP51,#REF!)))</f>
        <v>0</v>
      </c>
      <c r="AU51" s="40">
        <f>IF(ISERROR(LOOKUP(AU$10,$O51:$AP51,#REF!)),0,(LOOKUP(AU$10,$O51:$AP51,#REF!)))</f>
        <v>0</v>
      </c>
      <c r="AV51" s="40">
        <f>IF(ISERROR(LOOKUP(AV$10,$O51:$AP51,#REF!)),0,(LOOKUP(AV$10,$O51:$AP51,#REF!)))</f>
        <v>0</v>
      </c>
      <c r="AW51" s="40">
        <f>IF(ISERROR(LOOKUP(AW$10,$O51:$AP51,#REF!)),0,(LOOKUP(AW$10,$O51:$AP51,#REF!)))</f>
        <v>0</v>
      </c>
      <c r="AX51" s="40">
        <f>IF(ISERROR(LOOKUP(AX$10,$O51:$AP51,#REF!)),0,(LOOKUP(AX$10,$O51:$AP51,#REF!)))</f>
        <v>0</v>
      </c>
      <c r="AY51" s="40">
        <f>IF(ISERROR(LOOKUP(AY$10,$O51:$AP51,#REF!)),0,(LOOKUP(AY$10,$O51:$AP51,#REF!)))</f>
        <v>0</v>
      </c>
      <c r="AZ51" s="40">
        <f>IF(ISERROR(LOOKUP(AZ$10,$O51:$AP51,#REF!)),0,(LOOKUP(AZ$10,$O51:$AP51,#REF!)))</f>
        <v>0</v>
      </c>
      <c r="BA51" s="40">
        <f ca="1">IF(ISERROR(LOOKUP(BA$10,$O51:$AP51,#REF!)),0,(LOOKUP(BA$10,$O51:$AP51,#REF!)))</f>
        <v>0</v>
      </c>
      <c r="BB51" s="425" t="s">
        <v>994</v>
      </c>
      <c r="BC51" s="411" t="s">
        <v>930</v>
      </c>
      <c r="BD51" s="411"/>
    </row>
    <row r="52" spans="1:56" s="3" customFormat="1" ht="15.4" thickTop="1" thickBot="1" x14ac:dyDescent="0.45">
      <c r="A52" s="440"/>
      <c r="B52" s="254" t="s">
        <v>292</v>
      </c>
      <c r="C52" s="255" t="s">
        <v>513</v>
      </c>
      <c r="D52" s="256" t="s">
        <v>475</v>
      </c>
      <c r="E52" s="150"/>
      <c r="F52" s="150" t="s">
        <v>476</v>
      </c>
      <c r="G52" s="64" t="s">
        <v>65</v>
      </c>
      <c r="H52" s="16" t="s">
        <v>63</v>
      </c>
      <c r="I52" s="14" t="s">
        <v>56</v>
      </c>
      <c r="J52" s="14" t="s">
        <v>202</v>
      </c>
      <c r="K52" s="14" t="s">
        <v>312</v>
      </c>
      <c r="L52" s="150" t="s">
        <v>685</v>
      </c>
      <c r="M52" s="196" t="s">
        <v>34</v>
      </c>
      <c r="N52" s="18" t="s">
        <v>35</v>
      </c>
      <c r="O52" s="19">
        <v>46174</v>
      </c>
      <c r="P52" s="19">
        <v>46177</v>
      </c>
      <c r="Q52" s="19">
        <v>46185</v>
      </c>
      <c r="R52" s="19">
        <v>46185</v>
      </c>
      <c r="S52" s="19">
        <v>46185</v>
      </c>
      <c r="T52" s="19">
        <v>46202</v>
      </c>
      <c r="U52" s="19">
        <v>46219</v>
      </c>
      <c r="V52" s="19">
        <v>46237</v>
      </c>
      <c r="W52" s="19">
        <v>46248</v>
      </c>
      <c r="X52" s="19">
        <v>46252</v>
      </c>
      <c r="Y52" s="19">
        <v>46259</v>
      </c>
      <c r="Z52" s="19">
        <v>46280</v>
      </c>
      <c r="AA52" s="19">
        <v>46294</v>
      </c>
      <c r="AB52" s="19">
        <v>46324</v>
      </c>
      <c r="AC52" s="19">
        <v>46327</v>
      </c>
      <c r="AD52" s="19">
        <v>46330</v>
      </c>
      <c r="AE52" s="19">
        <v>46422</v>
      </c>
      <c r="AF52" s="19">
        <v>46437</v>
      </c>
      <c r="AG52" s="19">
        <v>46444</v>
      </c>
      <c r="AH52" s="19">
        <v>46447</v>
      </c>
      <c r="AI52" s="19">
        <v>46474</v>
      </c>
      <c r="AJ52" s="58">
        <v>28</v>
      </c>
      <c r="AK52" s="59">
        <v>196</v>
      </c>
      <c r="AL52" s="78">
        <v>46444</v>
      </c>
      <c r="AM52" s="78">
        <v>46476</v>
      </c>
      <c r="AN52" s="20">
        <f>AM52-AL53</f>
        <v>32</v>
      </c>
      <c r="AO52" s="143" t="s">
        <v>392</v>
      </c>
      <c r="AP52" s="437"/>
      <c r="AQ52" s="21">
        <f>IF(ISERROR(LOOKUP(AQ$10,$O52:$AP52,#REF!)),0,(LOOKUP(AQ$10,$O52:$AP52,#REF!)))</f>
        <v>0</v>
      </c>
      <c r="AR52" s="22">
        <f>IF(ISERROR(LOOKUP(AR$10,$O52:$AP52,#REF!)),0,(LOOKUP(AR$10,$O52:$AP52,#REF!)))</f>
        <v>0</v>
      </c>
      <c r="AS52" s="22">
        <f>IF(ISERROR(LOOKUP(AS$10,$O52:$AP52,#REF!)),0,(LOOKUP(AS$10,$O52:$AP52,#REF!)))</f>
        <v>0</v>
      </c>
      <c r="AT52" s="22">
        <f>IF(ISERROR(LOOKUP(AT$10,$O52:$AP52,#REF!)),0,(LOOKUP(AT$10,$O52:$AP52,#REF!)))</f>
        <v>0</v>
      </c>
      <c r="AU52" s="22">
        <f>IF(ISERROR(LOOKUP(AU$10,$O52:$AP52,#REF!)),0,(LOOKUP(AU$10,$O52:$AP52,#REF!)))</f>
        <v>0</v>
      </c>
      <c r="AV52" s="22">
        <f>IF(ISERROR(LOOKUP(AV$10,$O52:$AP52,#REF!)),0,(LOOKUP(AV$10,$O52:$AP52,#REF!)))</f>
        <v>0</v>
      </c>
      <c r="AW52" s="22">
        <f>IF(ISERROR(LOOKUP(AW$10,$O52:$AP52,#REF!)),0,(LOOKUP(AW$10,$O52:$AP52,#REF!)))</f>
        <v>0</v>
      </c>
      <c r="AX52" s="22">
        <f>IF(ISERROR(LOOKUP(AX$10,$O52:$AP52,#REF!)),0,(LOOKUP(AX$10,$O52:$AP52,#REF!)))</f>
        <v>0</v>
      </c>
      <c r="AY52" s="22">
        <f>IF(ISERROR(LOOKUP(AY$10,$O52:$AP52,#REF!)),0,(LOOKUP(AY$10,$O52:$AP52,#REF!)))</f>
        <v>0</v>
      </c>
      <c r="AZ52" s="22">
        <f>IF(ISERROR(LOOKUP(AZ$10,$O52:$AP52,#REF!)),0,(LOOKUP(AZ$10,$O52:$AP52,#REF!)))</f>
        <v>0</v>
      </c>
      <c r="BA52" s="22">
        <f ca="1">IF(ISERROR(LOOKUP(BA$10,$O52:$AP52,#REF!)),0,(LOOKUP(BA$10,$O52:$AP52,#REF!)))</f>
        <v>0</v>
      </c>
      <c r="BB52" s="425"/>
      <c r="BC52" s="411"/>
      <c r="BD52" s="411"/>
    </row>
    <row r="53" spans="1:56" s="3" customFormat="1" ht="15.4" thickTop="1" thickBot="1" x14ac:dyDescent="0.45">
      <c r="A53" s="441"/>
      <c r="B53" s="257" t="s">
        <v>292</v>
      </c>
      <c r="C53" s="258" t="s">
        <v>513</v>
      </c>
      <c r="D53" s="259" t="s">
        <v>474</v>
      </c>
      <c r="E53" s="157"/>
      <c r="F53" s="157"/>
      <c r="G53" s="43" t="s">
        <v>65</v>
      </c>
      <c r="H53" s="46" t="s">
        <v>63</v>
      </c>
      <c r="I53" s="23" t="s">
        <v>56</v>
      </c>
      <c r="J53" s="23" t="s">
        <v>202</v>
      </c>
      <c r="K53" s="23" t="s">
        <v>312</v>
      </c>
      <c r="L53" s="43"/>
      <c r="M53" s="197" t="s">
        <v>34</v>
      </c>
      <c r="N53" s="26" t="s">
        <v>36</v>
      </c>
      <c r="O53" s="27"/>
      <c r="P53" s="28"/>
      <c r="Q53" s="28"/>
      <c r="R53" s="28"/>
      <c r="S53" s="28"/>
      <c r="T53" s="28"/>
      <c r="U53" s="28">
        <f>U52</f>
        <v>46219</v>
      </c>
      <c r="V53" s="28">
        <f>WORKDAY(U53, V8, IF(V12="China",'China Holidays'!$A$2:$A$84,'Thai Holidays'!$A$2:$A$65))</f>
        <v>46237</v>
      </c>
      <c r="W53" s="28">
        <f>WORKDAY(V53, W8, IF(W12="China",'China Holidays'!$A$2:$A$84,'Thai Holidays'!$A$2:$A$65))</f>
        <v>46248</v>
      </c>
      <c r="X53" s="28">
        <f>WORKDAY(W53, X8, IF(X12="China",'China Holidays'!$A$2:$A$84,'Thai Holidays'!$A$2:$A$65))</f>
        <v>46252</v>
      </c>
      <c r="Y53" s="28">
        <f>WORKDAY(X53, Y17, IF(Y21="China",'China Holidays'!$A$2:$A$84,'Thai Holidays'!$A$2:$A$65))</f>
        <v>111002</v>
      </c>
      <c r="Z53" s="28">
        <f>WORKDAY(Y53, Z17, IF(Z21="China",'China Holidays'!$A$2:$A$84,'Thai Holidays'!$A$2:$A$65))</f>
        <v>175748</v>
      </c>
      <c r="AA53" s="28">
        <f>WORKDAY(Z53, AA17, IF(AA21="China",'China Holidays'!$A$2:$A$84,'Thai Holidays'!$A$2:$A$65))</f>
        <v>240516</v>
      </c>
      <c r="AB53" s="28">
        <f>AA53+30</f>
        <v>240546</v>
      </c>
      <c r="AC53" s="28">
        <f>AB53+3</f>
        <v>240549</v>
      </c>
      <c r="AD53" s="28">
        <f>AC53+3</f>
        <v>240552</v>
      </c>
      <c r="AE53" s="28">
        <f>AF53-15</f>
        <v>46422</v>
      </c>
      <c r="AF53" s="28">
        <f>AG53-7</f>
        <v>46437</v>
      </c>
      <c r="AG53" s="28">
        <f>AL53</f>
        <v>46444</v>
      </c>
      <c r="AH53" s="28">
        <f>AL52+3</f>
        <v>46447</v>
      </c>
      <c r="AI53" s="28">
        <f>AL52+30</f>
        <v>46474</v>
      </c>
      <c r="AJ53" s="89"/>
      <c r="AK53" s="90"/>
      <c r="AL53" s="83">
        <f>W53+AK52</f>
        <v>46444</v>
      </c>
      <c r="AM53" s="83"/>
      <c r="AN53" s="29"/>
      <c r="AO53" s="141"/>
      <c r="AP53" s="438"/>
      <c r="AQ53" s="21">
        <f>IF(ISERROR(LOOKUP(AQ$10,$O53:$AP53,#REF!)),0,(LOOKUP(AQ$10,$O53:$AP53,#REF!)))</f>
        <v>0</v>
      </c>
      <c r="AR53" s="22">
        <f>IF(ISERROR(LOOKUP(AR$10,$O53:$AP53,#REF!)),0,(LOOKUP(AR$10,$O53:$AP53,#REF!)))</f>
        <v>0</v>
      </c>
      <c r="AS53" s="22">
        <f>IF(ISERROR(LOOKUP(AS$10,$O53:$AP53,#REF!)),0,(LOOKUP(AS$10,$O53:$AP53,#REF!)))</f>
        <v>0</v>
      </c>
      <c r="AT53" s="22">
        <f>IF(ISERROR(LOOKUP(AT$10,$O53:$AP53,#REF!)),0,(LOOKUP(AT$10,$O53:$AP53,#REF!)))</f>
        <v>0</v>
      </c>
      <c r="AU53" s="22">
        <f>IF(ISERROR(LOOKUP(AU$10,$O53:$AP53,#REF!)),0,(LOOKUP(AU$10,$O53:$AP53,#REF!)))</f>
        <v>0</v>
      </c>
      <c r="AV53" s="22">
        <f>IF(ISERROR(LOOKUP(AV$10,$O53:$AP53,#REF!)),0,(LOOKUP(AV$10,$O53:$AP53,#REF!)))</f>
        <v>0</v>
      </c>
      <c r="AW53" s="22">
        <f>IF(ISERROR(LOOKUP(AW$10,$O53:$AP53,#REF!)),0,(LOOKUP(AW$10,$O53:$AP53,#REF!)))</f>
        <v>0</v>
      </c>
      <c r="AX53" s="22">
        <f>IF(ISERROR(LOOKUP(AX$10,$O53:$AP53,#REF!)),0,(LOOKUP(AX$10,$O53:$AP53,#REF!)))</f>
        <v>0</v>
      </c>
      <c r="AY53" s="22">
        <f>IF(ISERROR(LOOKUP(AY$10,$O53:$AP53,#REF!)),0,(LOOKUP(AY$10,$O53:$AP53,#REF!)))</f>
        <v>0</v>
      </c>
      <c r="AZ53" s="22">
        <f>IF(ISERROR(LOOKUP(AZ$10,$O53:$AP53,#REF!)),0,(LOOKUP(AZ$10,$O53:$AP53,#REF!)))</f>
        <v>0</v>
      </c>
      <c r="BA53" s="22">
        <f ca="1">IF(ISERROR(LOOKUP(BA$10,$O53:$AP53,#REF!)),0,(LOOKUP(BA$10,$O53:$AP53,#REF!)))</f>
        <v>0</v>
      </c>
      <c r="BB53" s="425"/>
      <c r="BC53" s="411"/>
      <c r="BD53" s="411"/>
    </row>
    <row r="54" spans="1:56" s="3" customFormat="1" ht="15.4" thickTop="1" thickBot="1" x14ac:dyDescent="0.45">
      <c r="A54" s="442"/>
      <c r="B54" s="260" t="s">
        <v>292</v>
      </c>
      <c r="C54" s="261" t="s">
        <v>513</v>
      </c>
      <c r="D54" s="262" t="s">
        <v>474</v>
      </c>
      <c r="E54" s="158"/>
      <c r="F54" s="158"/>
      <c r="G54" s="45" t="s">
        <v>65</v>
      </c>
      <c r="H54" s="34" t="s">
        <v>63</v>
      </c>
      <c r="I54" s="32" t="s">
        <v>56</v>
      </c>
      <c r="J54" s="32" t="s">
        <v>202</v>
      </c>
      <c r="K54" s="32" t="s">
        <v>312</v>
      </c>
      <c r="L54" s="45"/>
      <c r="M54" s="198" t="s">
        <v>34</v>
      </c>
      <c r="N54" s="35" t="s">
        <v>37</v>
      </c>
      <c r="O54" s="36">
        <v>46174</v>
      </c>
      <c r="P54" s="36">
        <v>46148</v>
      </c>
      <c r="Q54" s="36">
        <v>46165</v>
      </c>
      <c r="R54" s="36">
        <v>46178</v>
      </c>
      <c r="S54" s="36">
        <v>46178</v>
      </c>
      <c r="T54" s="36">
        <v>46198</v>
      </c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82"/>
      <c r="AK54" s="80"/>
      <c r="AL54" s="37"/>
      <c r="AM54" s="37"/>
      <c r="AN54" s="38"/>
      <c r="AO54" s="142"/>
      <c r="AP54" s="439"/>
      <c r="AQ54" s="39">
        <f>IF(ISERROR(LOOKUP(AQ$10,$O54:$AP54,#REF!)),0,(LOOKUP(AQ$10,$O54:$AP54,#REF!)))</f>
        <v>0</v>
      </c>
      <c r="AR54" s="40">
        <f>IF(ISERROR(LOOKUP(AR$10,$O54:$AP54,#REF!)),0,(LOOKUP(AR$10,$O54:$AP54,#REF!)))</f>
        <v>0</v>
      </c>
      <c r="AS54" s="40">
        <f>IF(ISERROR(LOOKUP(AS$10,$O54:$AP54,#REF!)),0,(LOOKUP(AS$10,$O54:$AP54,#REF!)))</f>
        <v>0</v>
      </c>
      <c r="AT54" s="40">
        <f>IF(ISERROR(LOOKUP(AT$10,$O54:$AP54,#REF!)),0,(LOOKUP(AT$10,$O54:$AP54,#REF!)))</f>
        <v>0</v>
      </c>
      <c r="AU54" s="40">
        <f>IF(ISERROR(LOOKUP(AU$10,$O54:$AP54,#REF!)),0,(LOOKUP(AU$10,$O54:$AP54,#REF!)))</f>
        <v>0</v>
      </c>
      <c r="AV54" s="40">
        <f>IF(ISERROR(LOOKUP(AV$10,$O54:$AP54,#REF!)),0,(LOOKUP(AV$10,$O54:$AP54,#REF!)))</f>
        <v>0</v>
      </c>
      <c r="AW54" s="40">
        <f>IF(ISERROR(LOOKUP(AW$10,$O54:$AP54,#REF!)),0,(LOOKUP(AW$10,$O54:$AP54,#REF!)))</f>
        <v>0</v>
      </c>
      <c r="AX54" s="40">
        <f>IF(ISERROR(LOOKUP(AX$10,$O54:$AP54,#REF!)),0,(LOOKUP(AX$10,$O54:$AP54,#REF!)))</f>
        <v>0</v>
      </c>
      <c r="AY54" s="40">
        <f>IF(ISERROR(LOOKUP(AY$10,$O54:$AP54,#REF!)),0,(LOOKUP(AY$10,$O54:$AP54,#REF!)))</f>
        <v>0</v>
      </c>
      <c r="AZ54" s="40">
        <f>IF(ISERROR(LOOKUP(AZ$10,$O54:$AP54,#REF!)),0,(LOOKUP(AZ$10,$O54:$AP54,#REF!)))</f>
        <v>0</v>
      </c>
      <c r="BA54" s="40">
        <f ca="1">IF(ISERROR(LOOKUP(BA$10,$O54:$AP54,#REF!)),0,(LOOKUP(BA$10,$O54:$AP54,#REF!)))</f>
        <v>0</v>
      </c>
      <c r="BB54" s="425"/>
      <c r="BC54" s="411"/>
      <c r="BD54" s="411"/>
    </row>
    <row r="55" spans="1:56" s="3" customFormat="1" ht="15.4" thickTop="1" thickBot="1" x14ac:dyDescent="0.45">
      <c r="A55" s="440"/>
      <c r="B55" s="254" t="s">
        <v>292</v>
      </c>
      <c r="C55" s="255" t="s">
        <v>680</v>
      </c>
      <c r="D55" s="256" t="s">
        <v>478</v>
      </c>
      <c r="E55" s="150"/>
      <c r="F55" s="150" t="s">
        <v>455</v>
      </c>
      <c r="G55" s="64" t="s">
        <v>67</v>
      </c>
      <c r="H55" s="16" t="s">
        <v>63</v>
      </c>
      <c r="I55" s="14" t="s">
        <v>56</v>
      </c>
      <c r="J55" s="14" t="s">
        <v>202</v>
      </c>
      <c r="K55" s="14" t="s">
        <v>312</v>
      </c>
      <c r="L55" s="150" t="s">
        <v>677</v>
      </c>
      <c r="M55" s="196" t="s">
        <v>34</v>
      </c>
      <c r="N55" s="18" t="s">
        <v>35</v>
      </c>
      <c r="O55" s="19">
        <v>46174</v>
      </c>
      <c r="P55" s="19">
        <v>46177</v>
      </c>
      <c r="Q55" s="19">
        <v>46185</v>
      </c>
      <c r="R55" s="19">
        <v>46185</v>
      </c>
      <c r="S55" s="19">
        <v>46185</v>
      </c>
      <c r="T55" s="19">
        <v>46202</v>
      </c>
      <c r="U55" s="19">
        <v>46219</v>
      </c>
      <c r="V55" s="19">
        <v>46237</v>
      </c>
      <c r="W55" s="19">
        <v>46248</v>
      </c>
      <c r="X55" s="19">
        <v>46252</v>
      </c>
      <c r="Y55" s="19">
        <v>46259</v>
      </c>
      <c r="Z55" s="19">
        <v>46280</v>
      </c>
      <c r="AA55" s="19">
        <v>46294</v>
      </c>
      <c r="AB55" s="19">
        <v>46324</v>
      </c>
      <c r="AC55" s="19">
        <v>46327</v>
      </c>
      <c r="AD55" s="19">
        <v>46330</v>
      </c>
      <c r="AE55" s="19">
        <v>46422</v>
      </c>
      <c r="AF55" s="19">
        <v>46437</v>
      </c>
      <c r="AG55" s="19">
        <v>46444</v>
      </c>
      <c r="AH55" s="19">
        <v>46447</v>
      </c>
      <c r="AI55" s="19">
        <v>46474</v>
      </c>
      <c r="AJ55" s="58">
        <v>28</v>
      </c>
      <c r="AK55" s="59">
        <v>196</v>
      </c>
      <c r="AL55" s="78">
        <v>46444</v>
      </c>
      <c r="AM55" s="78">
        <v>46476</v>
      </c>
      <c r="AN55" s="20">
        <f>AM55-AL56</f>
        <v>32</v>
      </c>
      <c r="AO55" s="143" t="s">
        <v>392</v>
      </c>
      <c r="AP55" s="437"/>
      <c r="AQ55" s="21">
        <f>IF(ISERROR(LOOKUP(AQ$10,$O55:$AP55,#REF!)),0,(LOOKUP(AQ$10,$O55:$AP55,#REF!)))</f>
        <v>0</v>
      </c>
      <c r="AR55" s="22">
        <f>IF(ISERROR(LOOKUP(AR$10,$O55:$AP55,#REF!)),0,(LOOKUP(AR$10,$O55:$AP55,#REF!)))</f>
        <v>0</v>
      </c>
      <c r="AS55" s="22">
        <f>IF(ISERROR(LOOKUP(AS$10,$O55:$AP55,#REF!)),0,(LOOKUP(AS$10,$O55:$AP55,#REF!)))</f>
        <v>0</v>
      </c>
      <c r="AT55" s="22">
        <f>IF(ISERROR(LOOKUP(AT$10,$O55:$AP55,#REF!)),0,(LOOKUP(AT$10,$O55:$AP55,#REF!)))</f>
        <v>0</v>
      </c>
      <c r="AU55" s="22">
        <f>IF(ISERROR(LOOKUP(AU$10,$O55:$AP55,#REF!)),0,(LOOKUP(AU$10,$O55:$AP55,#REF!)))</f>
        <v>0</v>
      </c>
      <c r="AV55" s="22">
        <f>IF(ISERROR(LOOKUP(AV$10,$O55:$AP55,#REF!)),0,(LOOKUP(AV$10,$O55:$AP55,#REF!)))</f>
        <v>0</v>
      </c>
      <c r="AW55" s="22">
        <f>IF(ISERROR(LOOKUP(AW$10,$O55:$AP55,#REF!)),0,(LOOKUP(AW$10,$O55:$AP55,#REF!)))</f>
        <v>0</v>
      </c>
      <c r="AX55" s="22">
        <f>IF(ISERROR(LOOKUP(AX$10,$O55:$AP55,#REF!)),0,(LOOKUP(AX$10,$O55:$AP55,#REF!)))</f>
        <v>0</v>
      </c>
      <c r="AY55" s="22">
        <f>IF(ISERROR(LOOKUP(AY$10,$O55:$AP55,#REF!)),0,(LOOKUP(AY$10,$O55:$AP55,#REF!)))</f>
        <v>0</v>
      </c>
      <c r="AZ55" s="22">
        <f>IF(ISERROR(LOOKUP(AZ$10,$O55:$AP55,#REF!)),0,(LOOKUP(AZ$10,$O55:$AP55,#REF!)))</f>
        <v>0</v>
      </c>
      <c r="BA55" s="22">
        <f ca="1">IF(ISERROR(LOOKUP(BA$10,$O55:$AP55,#REF!)),0,(LOOKUP(BA$10,$O55:$AP55,#REF!)))</f>
        <v>0</v>
      </c>
      <c r="BB55" s="425"/>
      <c r="BC55" s="411"/>
      <c r="BD55" s="411"/>
    </row>
    <row r="56" spans="1:56" s="3" customFormat="1" ht="15.4" thickTop="1" thickBot="1" x14ac:dyDescent="0.45">
      <c r="A56" s="441"/>
      <c r="B56" s="257" t="s">
        <v>292</v>
      </c>
      <c r="C56" s="258" t="s">
        <v>66</v>
      </c>
      <c r="D56" s="259" t="s">
        <v>477</v>
      </c>
      <c r="E56" s="157"/>
      <c r="F56" s="157"/>
      <c r="G56" s="43" t="s">
        <v>67</v>
      </c>
      <c r="H56" s="46" t="s">
        <v>63</v>
      </c>
      <c r="I56" s="23" t="s">
        <v>56</v>
      </c>
      <c r="J56" s="23" t="s">
        <v>202</v>
      </c>
      <c r="K56" s="23" t="s">
        <v>312</v>
      </c>
      <c r="L56" s="157"/>
      <c r="M56" s="197" t="s">
        <v>34</v>
      </c>
      <c r="N56" s="26" t="s">
        <v>36</v>
      </c>
      <c r="O56" s="27"/>
      <c r="P56" s="28"/>
      <c r="Q56" s="28"/>
      <c r="R56" s="28"/>
      <c r="S56" s="28"/>
      <c r="T56" s="28"/>
      <c r="U56" s="28">
        <f>U55</f>
        <v>46219</v>
      </c>
      <c r="V56" s="28">
        <f>WORKDAY(U56, V8, IF(V12="China",'China Holidays'!$A$2:$A$84,'Thai Holidays'!$A$2:$A$65))</f>
        <v>46237</v>
      </c>
      <c r="W56" s="28">
        <f>WORKDAY(V56, W8, IF(W12="China",'China Holidays'!$A$2:$A$84,'Thai Holidays'!$A$2:$A$65))</f>
        <v>46248</v>
      </c>
      <c r="X56" s="28">
        <f>WORKDAY(W56, X8, IF(X12="China",'China Holidays'!$A$2:$A$84,'Thai Holidays'!$A$2:$A$65))</f>
        <v>46252</v>
      </c>
      <c r="Y56" s="28">
        <f>WORKDAY(X56, Y8, IF(Y12="China",'China Holidays'!$A$2:$A$84,'Thai Holidays'!$A$2:$A$65))</f>
        <v>46259</v>
      </c>
      <c r="Z56" s="28">
        <f>WORKDAY(Y56, Z8, IF(Z12="China",'China Holidays'!$A$2:$A$84,'Thai Holidays'!$A$2:$A$65))</f>
        <v>46280</v>
      </c>
      <c r="AA56" s="28">
        <f>WORKDAY(Z56, AA8, IF(AA12="China",'China Holidays'!$A$2:$A$84,'Thai Holidays'!$A$2:$A$65))</f>
        <v>46294</v>
      </c>
      <c r="AB56" s="28">
        <f>AA56+30</f>
        <v>46324</v>
      </c>
      <c r="AC56" s="28">
        <f>AB56+3</f>
        <v>46327</v>
      </c>
      <c r="AD56" s="28">
        <f>AC56+3</f>
        <v>46330</v>
      </c>
      <c r="AE56" s="28">
        <f>AF56-15</f>
        <v>46422</v>
      </c>
      <c r="AF56" s="28">
        <f>AG56-7</f>
        <v>46437</v>
      </c>
      <c r="AG56" s="28">
        <f>AL56</f>
        <v>46444</v>
      </c>
      <c r="AH56" s="28">
        <f>AL55+3</f>
        <v>46447</v>
      </c>
      <c r="AI56" s="28">
        <f>AL55+30</f>
        <v>46474</v>
      </c>
      <c r="AJ56" s="89"/>
      <c r="AK56" s="90"/>
      <c r="AL56" s="83">
        <f>W56+AK55</f>
        <v>46444</v>
      </c>
      <c r="AM56" s="83"/>
      <c r="AN56" s="29"/>
      <c r="AO56" s="141"/>
      <c r="AP56" s="438"/>
      <c r="AQ56" s="21">
        <f>IF(ISERROR(LOOKUP(AQ$10,$O56:$AP56,#REF!)),0,(LOOKUP(AQ$10,$O56:$AP56,#REF!)))</f>
        <v>0</v>
      </c>
      <c r="AR56" s="22">
        <f>IF(ISERROR(LOOKUP(AR$10,$O56:$AP56,#REF!)),0,(LOOKUP(AR$10,$O56:$AP56,#REF!)))</f>
        <v>0</v>
      </c>
      <c r="AS56" s="22">
        <f>IF(ISERROR(LOOKUP(AS$10,$O56:$AP56,#REF!)),0,(LOOKUP(AS$10,$O56:$AP56,#REF!)))</f>
        <v>0</v>
      </c>
      <c r="AT56" s="22">
        <f>IF(ISERROR(LOOKUP(AT$10,$O56:$AP56,#REF!)),0,(LOOKUP(AT$10,$O56:$AP56,#REF!)))</f>
        <v>0</v>
      </c>
      <c r="AU56" s="22">
        <f>IF(ISERROR(LOOKUP(AU$10,$O56:$AP56,#REF!)),0,(LOOKUP(AU$10,$O56:$AP56,#REF!)))</f>
        <v>0</v>
      </c>
      <c r="AV56" s="22">
        <f>IF(ISERROR(LOOKUP(AV$10,$O56:$AP56,#REF!)),0,(LOOKUP(AV$10,$O56:$AP56,#REF!)))</f>
        <v>0</v>
      </c>
      <c r="AW56" s="22">
        <f>IF(ISERROR(LOOKUP(AW$10,$O56:$AP56,#REF!)),0,(LOOKUP(AW$10,$O56:$AP56,#REF!)))</f>
        <v>0</v>
      </c>
      <c r="AX56" s="22">
        <f>IF(ISERROR(LOOKUP(AX$10,$O56:$AP56,#REF!)),0,(LOOKUP(AX$10,$O56:$AP56,#REF!)))</f>
        <v>0</v>
      </c>
      <c r="AY56" s="22">
        <f>IF(ISERROR(LOOKUP(AY$10,$O56:$AP56,#REF!)),0,(LOOKUP(AY$10,$O56:$AP56,#REF!)))</f>
        <v>0</v>
      </c>
      <c r="AZ56" s="22">
        <f>IF(ISERROR(LOOKUP(AZ$10,$O56:$AP56,#REF!)),0,(LOOKUP(AZ$10,$O56:$AP56,#REF!)))</f>
        <v>0</v>
      </c>
      <c r="BA56" s="22">
        <f ca="1">IF(ISERROR(LOOKUP(BA$10,$O56:$AP56,#REF!)),0,(LOOKUP(BA$10,$O56:$AP56,#REF!)))</f>
        <v>0</v>
      </c>
      <c r="BB56" s="425"/>
      <c r="BC56" s="411"/>
      <c r="BD56" s="411"/>
    </row>
    <row r="57" spans="1:56" s="3" customFormat="1" ht="15.4" thickTop="1" thickBot="1" x14ac:dyDescent="0.45">
      <c r="A57" s="442"/>
      <c r="B57" s="260" t="s">
        <v>292</v>
      </c>
      <c r="C57" s="261" t="s">
        <v>66</v>
      </c>
      <c r="D57" s="262" t="s">
        <v>477</v>
      </c>
      <c r="E57" s="158"/>
      <c r="F57" s="158"/>
      <c r="G57" s="45" t="s">
        <v>67</v>
      </c>
      <c r="H57" s="34" t="s">
        <v>63</v>
      </c>
      <c r="I57" s="32" t="s">
        <v>56</v>
      </c>
      <c r="J57" s="32" t="s">
        <v>202</v>
      </c>
      <c r="K57" s="32" t="s">
        <v>312</v>
      </c>
      <c r="L57" s="158"/>
      <c r="M57" s="198" t="s">
        <v>34</v>
      </c>
      <c r="N57" s="35" t="s">
        <v>37</v>
      </c>
      <c r="O57" s="36">
        <v>46174</v>
      </c>
      <c r="P57" s="36">
        <v>46148</v>
      </c>
      <c r="Q57" s="36">
        <v>46165</v>
      </c>
      <c r="R57" s="36">
        <v>46182</v>
      </c>
      <c r="S57" s="36">
        <v>46182</v>
      </c>
      <c r="T57" s="36">
        <v>46202</v>
      </c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82"/>
      <c r="AK57" s="80"/>
      <c r="AL57" s="37"/>
      <c r="AM57" s="37"/>
      <c r="AN57" s="38"/>
      <c r="AO57" s="142"/>
      <c r="AP57" s="439"/>
      <c r="AQ57" s="39">
        <f>IF(ISERROR(LOOKUP(AQ$10,$O57:$AP57,#REF!)),0,(LOOKUP(AQ$10,$O57:$AP57,#REF!)))</f>
        <v>0</v>
      </c>
      <c r="AR57" s="40">
        <f>IF(ISERROR(LOOKUP(AR$10,$O57:$AP57,#REF!)),0,(LOOKUP(AR$10,$O57:$AP57,#REF!)))</f>
        <v>0</v>
      </c>
      <c r="AS57" s="40">
        <f>IF(ISERROR(LOOKUP(AS$10,$O57:$AP57,#REF!)),0,(LOOKUP(AS$10,$O57:$AP57,#REF!)))</f>
        <v>0</v>
      </c>
      <c r="AT57" s="40">
        <f>IF(ISERROR(LOOKUP(AT$10,$O57:$AP57,#REF!)),0,(LOOKUP(AT$10,$O57:$AP57,#REF!)))</f>
        <v>0</v>
      </c>
      <c r="AU57" s="40">
        <f>IF(ISERROR(LOOKUP(AU$10,$O57:$AP57,#REF!)),0,(LOOKUP(AU$10,$O57:$AP57,#REF!)))</f>
        <v>0</v>
      </c>
      <c r="AV57" s="40">
        <f>IF(ISERROR(LOOKUP(AV$10,$O57:$AP57,#REF!)),0,(LOOKUP(AV$10,$O57:$AP57,#REF!)))</f>
        <v>0</v>
      </c>
      <c r="AW57" s="40">
        <f>IF(ISERROR(LOOKUP(AW$10,$O57:$AP57,#REF!)),0,(LOOKUP(AW$10,$O57:$AP57,#REF!)))</f>
        <v>0</v>
      </c>
      <c r="AX57" s="40">
        <f>IF(ISERROR(LOOKUP(AX$10,$O57:$AP57,#REF!)),0,(LOOKUP(AX$10,$O57:$AP57,#REF!)))</f>
        <v>0</v>
      </c>
      <c r="AY57" s="40">
        <f>IF(ISERROR(LOOKUP(AY$10,$O57:$AP57,#REF!)),0,(LOOKUP(AY$10,$O57:$AP57,#REF!)))</f>
        <v>0</v>
      </c>
      <c r="AZ57" s="40">
        <f>IF(ISERROR(LOOKUP(AZ$10,$O57:$AP57,#REF!)),0,(LOOKUP(AZ$10,$O57:$AP57,#REF!)))</f>
        <v>0</v>
      </c>
      <c r="BA57" s="40">
        <f ca="1">IF(ISERROR(LOOKUP(BA$10,$O57:$AP57,#REF!)),0,(LOOKUP(BA$10,$O57:$AP57,#REF!)))</f>
        <v>0</v>
      </c>
      <c r="BB57" s="425"/>
      <c r="BC57" s="411"/>
      <c r="BD57" s="411"/>
    </row>
    <row r="58" spans="1:56" s="3" customFormat="1" ht="15.4" thickTop="1" thickBot="1" x14ac:dyDescent="0.45">
      <c r="A58" s="440"/>
      <c r="B58" s="254" t="s">
        <v>292</v>
      </c>
      <c r="C58" s="255" t="s">
        <v>514</v>
      </c>
      <c r="D58" s="256" t="s">
        <v>480</v>
      </c>
      <c r="E58" s="150"/>
      <c r="F58" s="150" t="s">
        <v>455</v>
      </c>
      <c r="G58" s="64" t="s">
        <v>67</v>
      </c>
      <c r="H58" s="16" t="s">
        <v>63</v>
      </c>
      <c r="I58" s="14" t="s">
        <v>56</v>
      </c>
      <c r="J58" s="14" t="s">
        <v>202</v>
      </c>
      <c r="K58" s="14" t="s">
        <v>312</v>
      </c>
      <c r="L58" s="150" t="s">
        <v>677</v>
      </c>
      <c r="M58" s="196" t="s">
        <v>34</v>
      </c>
      <c r="N58" s="18" t="s">
        <v>35</v>
      </c>
      <c r="O58" s="19">
        <v>46174</v>
      </c>
      <c r="P58" s="19">
        <v>46177</v>
      </c>
      <c r="Q58" s="19">
        <v>46185</v>
      </c>
      <c r="R58" s="19">
        <v>46185</v>
      </c>
      <c r="S58" s="19">
        <v>46185</v>
      </c>
      <c r="T58" s="19">
        <v>46202</v>
      </c>
      <c r="U58" s="19">
        <v>46219</v>
      </c>
      <c r="V58" s="19">
        <v>46237</v>
      </c>
      <c r="W58" s="19">
        <v>46248</v>
      </c>
      <c r="X58" s="19">
        <v>46252</v>
      </c>
      <c r="Y58" s="19">
        <v>46259</v>
      </c>
      <c r="Z58" s="19">
        <v>46280</v>
      </c>
      <c r="AA58" s="19">
        <v>46294</v>
      </c>
      <c r="AB58" s="19">
        <v>46324</v>
      </c>
      <c r="AC58" s="19">
        <v>46327</v>
      </c>
      <c r="AD58" s="19">
        <v>46330</v>
      </c>
      <c r="AE58" s="19">
        <v>46422</v>
      </c>
      <c r="AF58" s="19">
        <v>46437</v>
      </c>
      <c r="AG58" s="19">
        <v>46444</v>
      </c>
      <c r="AH58" s="19">
        <v>46447</v>
      </c>
      <c r="AI58" s="19">
        <v>46474</v>
      </c>
      <c r="AJ58" s="58">
        <v>28</v>
      </c>
      <c r="AK58" s="59">
        <v>196</v>
      </c>
      <c r="AL58" s="78">
        <v>46444</v>
      </c>
      <c r="AM58" s="78">
        <v>46476</v>
      </c>
      <c r="AN58" s="20">
        <f>AM58-AL59</f>
        <v>32</v>
      </c>
      <c r="AO58" s="143" t="s">
        <v>392</v>
      </c>
      <c r="AP58" s="437"/>
      <c r="AQ58" s="21">
        <f>IF(ISERROR(LOOKUP(AQ$10,$O58:$AP58,#REF!)),0,(LOOKUP(AQ$10,$O58:$AP58,#REF!)))</f>
        <v>0</v>
      </c>
      <c r="AR58" s="22">
        <f>IF(ISERROR(LOOKUP(AR$10,$O58:$AP58,#REF!)),0,(LOOKUP(AR$10,$O58:$AP58,#REF!)))</f>
        <v>0</v>
      </c>
      <c r="AS58" s="22">
        <f>IF(ISERROR(LOOKUP(AS$10,$O58:$AP58,#REF!)),0,(LOOKUP(AS$10,$O58:$AP58,#REF!)))</f>
        <v>0</v>
      </c>
      <c r="AT58" s="22">
        <f>IF(ISERROR(LOOKUP(AT$10,$O58:$AP58,#REF!)),0,(LOOKUP(AT$10,$O58:$AP58,#REF!)))</f>
        <v>0</v>
      </c>
      <c r="AU58" s="22">
        <f>IF(ISERROR(LOOKUP(AU$10,$O58:$AP58,#REF!)),0,(LOOKUP(AU$10,$O58:$AP58,#REF!)))</f>
        <v>0</v>
      </c>
      <c r="AV58" s="22">
        <f>IF(ISERROR(LOOKUP(AV$10,$O58:$AP58,#REF!)),0,(LOOKUP(AV$10,$O58:$AP58,#REF!)))</f>
        <v>0</v>
      </c>
      <c r="AW58" s="22">
        <f>IF(ISERROR(LOOKUP(AW$10,$O58:$AP58,#REF!)),0,(LOOKUP(AW$10,$O58:$AP58,#REF!)))</f>
        <v>0</v>
      </c>
      <c r="AX58" s="22">
        <f>IF(ISERROR(LOOKUP(AX$10,$O58:$AP58,#REF!)),0,(LOOKUP(AX$10,$O58:$AP58,#REF!)))</f>
        <v>0</v>
      </c>
      <c r="AY58" s="22">
        <f>IF(ISERROR(LOOKUP(AY$10,$O58:$AP58,#REF!)),0,(LOOKUP(AY$10,$O58:$AP58,#REF!)))</f>
        <v>0</v>
      </c>
      <c r="AZ58" s="22">
        <f>IF(ISERROR(LOOKUP(AZ$10,$O58:$AP58,#REF!)),0,(LOOKUP(AZ$10,$O58:$AP58,#REF!)))</f>
        <v>0</v>
      </c>
      <c r="BA58" s="22">
        <f ca="1">IF(ISERROR(LOOKUP(BA$10,$O58:$AP58,#REF!)),0,(LOOKUP(BA$10,$O58:$AP58,#REF!)))</f>
        <v>0</v>
      </c>
      <c r="BB58" s="425"/>
      <c r="BC58" s="413"/>
      <c r="BD58" s="411"/>
    </row>
    <row r="59" spans="1:56" s="3" customFormat="1" ht="15.4" thickTop="1" thickBot="1" x14ac:dyDescent="0.45">
      <c r="A59" s="441"/>
      <c r="B59" s="257" t="s">
        <v>292</v>
      </c>
      <c r="C59" s="258" t="s">
        <v>514</v>
      </c>
      <c r="D59" s="259" t="s">
        <v>479</v>
      </c>
      <c r="E59" s="157"/>
      <c r="F59" s="157"/>
      <c r="G59" s="43" t="s">
        <v>67</v>
      </c>
      <c r="H59" s="46" t="s">
        <v>63</v>
      </c>
      <c r="I59" s="23" t="s">
        <v>56</v>
      </c>
      <c r="J59" s="23" t="s">
        <v>202</v>
      </c>
      <c r="K59" s="23" t="s">
        <v>312</v>
      </c>
      <c r="L59" s="43"/>
      <c r="M59" s="197" t="s">
        <v>34</v>
      </c>
      <c r="N59" s="26" t="s">
        <v>36</v>
      </c>
      <c r="O59" s="27"/>
      <c r="P59" s="28"/>
      <c r="Q59" s="28"/>
      <c r="R59" s="28"/>
      <c r="S59" s="28"/>
      <c r="T59" s="28"/>
      <c r="U59" s="28">
        <f>U58</f>
        <v>46219</v>
      </c>
      <c r="V59" s="28">
        <f>WORKDAY(U59, V8, IF(V12="China",'China Holidays'!$A$2:$A$84,'Thai Holidays'!$A$2:$A$65))</f>
        <v>46237</v>
      </c>
      <c r="W59" s="28">
        <f>WORKDAY(V59, W8, IF(W12="China",'China Holidays'!$A$2:$A$84,'Thai Holidays'!$A$2:$A$65))</f>
        <v>46248</v>
      </c>
      <c r="X59" s="28">
        <f>WORKDAY(W59, X8, IF(X12="China",'China Holidays'!$A$2:$A$84,'Thai Holidays'!$A$2:$A$65))</f>
        <v>46252</v>
      </c>
      <c r="Y59" s="28">
        <f>WORKDAY(X59, Y8, IF(Y12="China",'China Holidays'!$A$2:$A$84,'Thai Holidays'!$A$2:$A$65))</f>
        <v>46259</v>
      </c>
      <c r="Z59" s="28">
        <f>WORKDAY(Y59, Z8, IF(Z12="China",'China Holidays'!$A$2:$A$84,'Thai Holidays'!$A$2:$A$65))</f>
        <v>46280</v>
      </c>
      <c r="AA59" s="28">
        <f>WORKDAY(Z59, AA8, IF(AA12="China",'China Holidays'!$A$2:$A$84,'Thai Holidays'!$A$2:$A$65))</f>
        <v>46294</v>
      </c>
      <c r="AB59" s="28">
        <f>AA59+30</f>
        <v>46324</v>
      </c>
      <c r="AC59" s="28">
        <f>AB59+3</f>
        <v>46327</v>
      </c>
      <c r="AD59" s="28">
        <f>AC59+3</f>
        <v>46330</v>
      </c>
      <c r="AE59" s="28">
        <f>AF59-15</f>
        <v>46422</v>
      </c>
      <c r="AF59" s="28">
        <f>AG59-7</f>
        <v>46437</v>
      </c>
      <c r="AG59" s="28">
        <f>AL59</f>
        <v>46444</v>
      </c>
      <c r="AH59" s="28">
        <f>AL58+3</f>
        <v>46447</v>
      </c>
      <c r="AI59" s="28">
        <f>AL58+30</f>
        <v>46474</v>
      </c>
      <c r="AJ59" s="89"/>
      <c r="AK59" s="90"/>
      <c r="AL59" s="83">
        <f>W59+AK58</f>
        <v>46444</v>
      </c>
      <c r="AM59" s="83"/>
      <c r="AN59" s="29"/>
      <c r="AO59" s="141"/>
      <c r="AP59" s="438"/>
      <c r="AQ59" s="21">
        <f>IF(ISERROR(LOOKUP(AQ$10,$O59:$AP59,#REF!)),0,(LOOKUP(AQ$10,$O59:$AP59,#REF!)))</f>
        <v>0</v>
      </c>
      <c r="AR59" s="22">
        <f>IF(ISERROR(LOOKUP(AR$10,$O59:$AP59,#REF!)),0,(LOOKUP(AR$10,$O59:$AP59,#REF!)))</f>
        <v>0</v>
      </c>
      <c r="AS59" s="22">
        <f>IF(ISERROR(LOOKUP(AS$10,$O59:$AP59,#REF!)),0,(LOOKUP(AS$10,$O59:$AP59,#REF!)))</f>
        <v>0</v>
      </c>
      <c r="AT59" s="22">
        <f>IF(ISERROR(LOOKUP(AT$10,$O59:$AP59,#REF!)),0,(LOOKUP(AT$10,$O59:$AP59,#REF!)))</f>
        <v>0</v>
      </c>
      <c r="AU59" s="22">
        <f>IF(ISERROR(LOOKUP(AU$10,$O59:$AP59,#REF!)),0,(LOOKUP(AU$10,$O59:$AP59,#REF!)))</f>
        <v>0</v>
      </c>
      <c r="AV59" s="22">
        <f>IF(ISERROR(LOOKUP(AV$10,$O59:$AP59,#REF!)),0,(LOOKUP(AV$10,$O59:$AP59,#REF!)))</f>
        <v>0</v>
      </c>
      <c r="AW59" s="22">
        <f>IF(ISERROR(LOOKUP(AW$10,$O59:$AP59,#REF!)),0,(LOOKUP(AW$10,$O59:$AP59,#REF!)))</f>
        <v>0</v>
      </c>
      <c r="AX59" s="22">
        <f>IF(ISERROR(LOOKUP(AX$10,$O59:$AP59,#REF!)),0,(LOOKUP(AX$10,$O59:$AP59,#REF!)))</f>
        <v>0</v>
      </c>
      <c r="AY59" s="22">
        <f>IF(ISERROR(LOOKUP(AY$10,$O59:$AP59,#REF!)),0,(LOOKUP(AY$10,$O59:$AP59,#REF!)))</f>
        <v>0</v>
      </c>
      <c r="AZ59" s="22">
        <f>IF(ISERROR(LOOKUP(AZ$10,$O59:$AP59,#REF!)),0,(LOOKUP(AZ$10,$O59:$AP59,#REF!)))</f>
        <v>0</v>
      </c>
      <c r="BA59" s="22">
        <f ca="1">IF(ISERROR(LOOKUP(BA$10,$O59:$AP59,#REF!)),0,(LOOKUP(BA$10,$O59:$AP59,#REF!)))</f>
        <v>0</v>
      </c>
      <c r="BB59" s="425"/>
      <c r="BC59" s="413"/>
      <c r="BD59" s="411"/>
    </row>
    <row r="60" spans="1:56" s="3" customFormat="1" ht="15.4" thickTop="1" thickBot="1" x14ac:dyDescent="0.45">
      <c r="A60" s="442"/>
      <c r="B60" s="260" t="s">
        <v>292</v>
      </c>
      <c r="C60" s="261" t="s">
        <v>514</v>
      </c>
      <c r="D60" s="262" t="s">
        <v>479</v>
      </c>
      <c r="E60" s="158"/>
      <c r="F60" s="158"/>
      <c r="G60" s="45" t="s">
        <v>67</v>
      </c>
      <c r="H60" s="34" t="s">
        <v>63</v>
      </c>
      <c r="I60" s="32" t="s">
        <v>56</v>
      </c>
      <c r="J60" s="32" t="s">
        <v>202</v>
      </c>
      <c r="K60" s="32" t="s">
        <v>312</v>
      </c>
      <c r="L60" s="45"/>
      <c r="M60" s="198" t="s">
        <v>34</v>
      </c>
      <c r="N60" s="35" t="s">
        <v>37</v>
      </c>
      <c r="O60" s="36">
        <v>46174</v>
      </c>
      <c r="P60" s="36">
        <v>46148</v>
      </c>
      <c r="Q60" s="36">
        <v>46165</v>
      </c>
      <c r="R60" s="36">
        <v>46182</v>
      </c>
      <c r="S60" s="36">
        <v>46182</v>
      </c>
      <c r="T60" s="36">
        <v>46202</v>
      </c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82"/>
      <c r="AK60" s="80"/>
      <c r="AL60" s="37"/>
      <c r="AM60" s="37"/>
      <c r="AN60" s="38"/>
      <c r="AO60" s="142"/>
      <c r="AP60" s="439"/>
      <c r="AQ60" s="39">
        <f>IF(ISERROR(LOOKUP(AQ$10,$O60:$AP60,#REF!)),0,(LOOKUP(AQ$10,$O60:$AP60,#REF!)))</f>
        <v>0</v>
      </c>
      <c r="AR60" s="40">
        <f>IF(ISERROR(LOOKUP(AR$10,$O60:$AP60,#REF!)),0,(LOOKUP(AR$10,$O60:$AP60,#REF!)))</f>
        <v>0</v>
      </c>
      <c r="AS60" s="40">
        <f>IF(ISERROR(LOOKUP(AS$10,$O60:$AP60,#REF!)),0,(LOOKUP(AS$10,$O60:$AP60,#REF!)))</f>
        <v>0</v>
      </c>
      <c r="AT60" s="40">
        <f>IF(ISERROR(LOOKUP(AT$10,$O60:$AP60,#REF!)),0,(LOOKUP(AT$10,$O60:$AP60,#REF!)))</f>
        <v>0</v>
      </c>
      <c r="AU60" s="40">
        <f>IF(ISERROR(LOOKUP(AU$10,$O60:$AP60,#REF!)),0,(LOOKUP(AU$10,$O60:$AP60,#REF!)))</f>
        <v>0</v>
      </c>
      <c r="AV60" s="40">
        <f>IF(ISERROR(LOOKUP(AV$10,$O60:$AP60,#REF!)),0,(LOOKUP(AV$10,$O60:$AP60,#REF!)))</f>
        <v>0</v>
      </c>
      <c r="AW60" s="40">
        <f>IF(ISERROR(LOOKUP(AW$10,$O60:$AP60,#REF!)),0,(LOOKUP(AW$10,$O60:$AP60,#REF!)))</f>
        <v>0</v>
      </c>
      <c r="AX60" s="40">
        <f>IF(ISERROR(LOOKUP(AX$10,$O60:$AP60,#REF!)),0,(LOOKUP(AX$10,$O60:$AP60,#REF!)))</f>
        <v>0</v>
      </c>
      <c r="AY60" s="40">
        <f>IF(ISERROR(LOOKUP(AY$10,$O60:$AP60,#REF!)),0,(LOOKUP(AY$10,$O60:$AP60,#REF!)))</f>
        <v>0</v>
      </c>
      <c r="AZ60" s="40">
        <f>IF(ISERROR(LOOKUP(AZ$10,$O60:$AP60,#REF!)),0,(LOOKUP(AZ$10,$O60:$AP60,#REF!)))</f>
        <v>0</v>
      </c>
      <c r="BA60" s="40">
        <f ca="1">IF(ISERROR(LOOKUP(BA$10,$O60:$AP60,#REF!)),0,(LOOKUP(BA$10,$O60:$AP60,#REF!)))</f>
        <v>0</v>
      </c>
      <c r="BB60" s="425"/>
      <c r="BC60" s="413"/>
      <c r="BD60" s="411"/>
    </row>
    <row r="61" spans="1:56" s="3" customFormat="1" ht="15.4" thickTop="1" thickBot="1" x14ac:dyDescent="0.45">
      <c r="A61" s="440">
        <f>A49+1</f>
        <v>14</v>
      </c>
      <c r="B61" s="92" t="s">
        <v>292</v>
      </c>
      <c r="C61" s="17" t="s">
        <v>515</v>
      </c>
      <c r="D61" s="227" t="s">
        <v>483</v>
      </c>
      <c r="E61" s="150"/>
      <c r="F61" s="150" t="s">
        <v>481</v>
      </c>
      <c r="G61" s="64" t="s">
        <v>67</v>
      </c>
      <c r="H61" s="16" t="s">
        <v>63</v>
      </c>
      <c r="I61" s="14" t="s">
        <v>56</v>
      </c>
      <c r="J61" s="14" t="s">
        <v>202</v>
      </c>
      <c r="K61" s="14" t="s">
        <v>312</v>
      </c>
      <c r="L61" s="327" t="s">
        <v>856</v>
      </c>
      <c r="M61" s="196" t="s">
        <v>34</v>
      </c>
      <c r="N61" s="18" t="s">
        <v>35</v>
      </c>
      <c r="O61" s="19">
        <v>46174</v>
      </c>
      <c r="P61" s="19">
        <v>46177</v>
      </c>
      <c r="Q61" s="19">
        <v>46185</v>
      </c>
      <c r="R61" s="19">
        <v>46185</v>
      </c>
      <c r="S61" s="19">
        <v>46185</v>
      </c>
      <c r="T61" s="19">
        <v>46202</v>
      </c>
      <c r="U61" s="230">
        <v>46219</v>
      </c>
      <c r="V61" s="19">
        <v>46237</v>
      </c>
      <c r="W61" s="19">
        <v>46248</v>
      </c>
      <c r="X61" s="19">
        <v>46252</v>
      </c>
      <c r="Y61" s="19">
        <v>46259</v>
      </c>
      <c r="Z61" s="19">
        <v>46280</v>
      </c>
      <c r="AA61" s="19">
        <v>46294</v>
      </c>
      <c r="AB61" s="19">
        <v>46324</v>
      </c>
      <c r="AC61" s="19">
        <v>46327</v>
      </c>
      <c r="AD61" s="19">
        <v>46330</v>
      </c>
      <c r="AE61" s="19">
        <v>46422</v>
      </c>
      <c r="AF61" s="19">
        <v>46437</v>
      </c>
      <c r="AG61" s="19">
        <v>46444</v>
      </c>
      <c r="AH61" s="19">
        <v>46447</v>
      </c>
      <c r="AI61" s="19">
        <v>46474</v>
      </c>
      <c r="AJ61" s="58">
        <v>28</v>
      </c>
      <c r="AK61" s="59">
        <v>196</v>
      </c>
      <c r="AL61" s="78">
        <v>46444</v>
      </c>
      <c r="AM61" s="78">
        <v>46476</v>
      </c>
      <c r="AN61" s="20">
        <f>AM61-AL62</f>
        <v>32</v>
      </c>
      <c r="AO61" s="143" t="s">
        <v>392</v>
      </c>
      <c r="AP61" s="437"/>
      <c r="AQ61" s="21">
        <f>IF(ISERROR(LOOKUP(AQ$10,$O61:$AP61,#REF!)),0,(LOOKUP(AQ$10,$O61:$AP61,#REF!)))</f>
        <v>0</v>
      </c>
      <c r="AR61" s="22">
        <f>IF(ISERROR(LOOKUP(AR$10,$O61:$AP61,#REF!)),0,(LOOKUP(AR$10,$O61:$AP61,#REF!)))</f>
        <v>0</v>
      </c>
      <c r="AS61" s="22">
        <f>IF(ISERROR(LOOKUP(AS$10,$O61:$AP61,#REF!)),0,(LOOKUP(AS$10,$O61:$AP61,#REF!)))</f>
        <v>0</v>
      </c>
      <c r="AT61" s="22">
        <f>IF(ISERROR(LOOKUP(AT$10,$O61:$AP61,#REF!)),0,(LOOKUP(AT$10,$O61:$AP61,#REF!)))</f>
        <v>0</v>
      </c>
      <c r="AU61" s="22">
        <f>IF(ISERROR(LOOKUP(AU$10,$O61:$AP61,#REF!)),0,(LOOKUP(AU$10,$O61:$AP61,#REF!)))</f>
        <v>0</v>
      </c>
      <c r="AV61" s="22">
        <f>IF(ISERROR(LOOKUP(AV$10,$O61:$AP61,#REF!)),0,(LOOKUP(AV$10,$O61:$AP61,#REF!)))</f>
        <v>0</v>
      </c>
      <c r="AW61" s="22">
        <f>IF(ISERROR(LOOKUP(AW$10,$O61:$AP61,#REF!)),0,(LOOKUP(AW$10,$O61:$AP61,#REF!)))</f>
        <v>0</v>
      </c>
      <c r="AX61" s="22">
        <f>IF(ISERROR(LOOKUP(AX$10,$O61:$AP61,#REF!)),0,(LOOKUP(AX$10,$O61:$AP61,#REF!)))</f>
        <v>0</v>
      </c>
      <c r="AY61" s="22">
        <f>IF(ISERROR(LOOKUP(AY$10,$O61:$AP61,#REF!)),0,(LOOKUP(AY$10,$O61:$AP61,#REF!)))</f>
        <v>0</v>
      </c>
      <c r="AZ61" s="22">
        <f>IF(ISERROR(LOOKUP(AZ$10,$O61:$AP61,#REF!)),0,(LOOKUP(AZ$10,$O61:$AP61,#REF!)))</f>
        <v>0</v>
      </c>
      <c r="BA61" s="22">
        <f ca="1">IF(ISERROR(LOOKUP(BA$10,$O61:$AP61,#REF!)),0,(LOOKUP(BA$10,$O61:$AP61,#REF!)))</f>
        <v>0</v>
      </c>
      <c r="BB61" s="425" t="s">
        <v>992</v>
      </c>
      <c r="BC61" s="411" t="s">
        <v>928</v>
      </c>
      <c r="BD61" s="411"/>
    </row>
    <row r="62" spans="1:56" s="3" customFormat="1" ht="15.4" thickTop="1" thickBot="1" x14ac:dyDescent="0.45">
      <c r="A62" s="441"/>
      <c r="B62" s="93" t="s">
        <v>292</v>
      </c>
      <c r="C62" s="71" t="s">
        <v>515</v>
      </c>
      <c r="D62" s="24" t="s">
        <v>482</v>
      </c>
      <c r="E62" s="157"/>
      <c r="F62" s="157"/>
      <c r="G62" s="43" t="s">
        <v>67</v>
      </c>
      <c r="H62" s="46" t="s">
        <v>63</v>
      </c>
      <c r="I62" s="23" t="s">
        <v>56</v>
      </c>
      <c r="J62" s="23" t="s">
        <v>202</v>
      </c>
      <c r="K62" s="23" t="s">
        <v>312</v>
      </c>
      <c r="L62" s="328" t="s">
        <v>728</v>
      </c>
      <c r="M62" s="197" t="s">
        <v>34</v>
      </c>
      <c r="N62" s="26" t="s">
        <v>36</v>
      </c>
      <c r="O62" s="27"/>
      <c r="P62" s="28"/>
      <c r="Q62" s="28"/>
      <c r="R62" s="28"/>
      <c r="S62" s="28"/>
      <c r="T62" s="28"/>
      <c r="U62" s="28">
        <f>U61</f>
        <v>46219</v>
      </c>
      <c r="V62" s="28">
        <f>WORKDAY(U62, V8, IF(V12="China",'China Holidays'!$A$2:$A$84,'Thai Holidays'!$A$2:$A$65))</f>
        <v>46237</v>
      </c>
      <c r="W62" s="28">
        <f>WORKDAY(V62, W8, IF(W12="China",'China Holidays'!$A$2:$A$84,'Thai Holidays'!$A$2:$A$65))</f>
        <v>46248</v>
      </c>
      <c r="X62" s="28">
        <f>WORKDAY(W62, X8, IF(X12="China",'China Holidays'!$A$2:$A$84,'Thai Holidays'!$A$2:$A$65))</f>
        <v>46252</v>
      </c>
      <c r="Y62" s="28">
        <f>WORKDAY(X62, Y8, IF(Y12="China",'China Holidays'!$A$2:$A$84,'Thai Holidays'!$A$2:$A$65))</f>
        <v>46259</v>
      </c>
      <c r="Z62" s="28">
        <f>WORKDAY(Y62, Z8, IF(Z12="China",'China Holidays'!$A$2:$A$84,'Thai Holidays'!$A$2:$A$65))</f>
        <v>46280</v>
      </c>
      <c r="AA62" s="28">
        <f>WORKDAY(Z62, AA8, IF(AA12="China",'China Holidays'!$A$2:$A$84,'Thai Holidays'!$A$2:$A$65))</f>
        <v>46294</v>
      </c>
      <c r="AB62" s="28">
        <f>AA62+30</f>
        <v>46324</v>
      </c>
      <c r="AC62" s="28">
        <f>AB62+3</f>
        <v>46327</v>
      </c>
      <c r="AD62" s="28">
        <f>AC62+3</f>
        <v>46330</v>
      </c>
      <c r="AE62" s="28">
        <f>AF62-15</f>
        <v>46422</v>
      </c>
      <c r="AF62" s="28">
        <f>AG62-7</f>
        <v>46437</v>
      </c>
      <c r="AG62" s="28">
        <f>AL62</f>
        <v>46444</v>
      </c>
      <c r="AH62" s="28">
        <f>AL61+3</f>
        <v>46447</v>
      </c>
      <c r="AI62" s="28">
        <f>AL61+30</f>
        <v>46474</v>
      </c>
      <c r="AJ62" s="89"/>
      <c r="AK62" s="90"/>
      <c r="AL62" s="83">
        <f>W62+AK61</f>
        <v>46444</v>
      </c>
      <c r="AM62" s="83"/>
      <c r="AN62" s="29"/>
      <c r="AO62" s="141"/>
      <c r="AP62" s="438"/>
      <c r="AQ62" s="21">
        <f>IF(ISERROR(LOOKUP(AQ$10,$O62:$AP62,#REF!)),0,(LOOKUP(AQ$10,$O62:$AP62,#REF!)))</f>
        <v>0</v>
      </c>
      <c r="AR62" s="22">
        <f>IF(ISERROR(LOOKUP(AR$10,$O62:$AP62,#REF!)),0,(LOOKUP(AR$10,$O62:$AP62,#REF!)))</f>
        <v>0</v>
      </c>
      <c r="AS62" s="22">
        <f>IF(ISERROR(LOOKUP(AS$10,$O62:$AP62,#REF!)),0,(LOOKUP(AS$10,$O62:$AP62,#REF!)))</f>
        <v>0</v>
      </c>
      <c r="AT62" s="22">
        <f>IF(ISERROR(LOOKUP(AT$10,$O62:$AP62,#REF!)),0,(LOOKUP(AT$10,$O62:$AP62,#REF!)))</f>
        <v>0</v>
      </c>
      <c r="AU62" s="22">
        <f>IF(ISERROR(LOOKUP(AU$10,$O62:$AP62,#REF!)),0,(LOOKUP(AU$10,$O62:$AP62,#REF!)))</f>
        <v>0</v>
      </c>
      <c r="AV62" s="22">
        <f>IF(ISERROR(LOOKUP(AV$10,$O62:$AP62,#REF!)),0,(LOOKUP(AV$10,$O62:$AP62,#REF!)))</f>
        <v>0</v>
      </c>
      <c r="AW62" s="22">
        <f>IF(ISERROR(LOOKUP(AW$10,$O62:$AP62,#REF!)),0,(LOOKUP(AW$10,$O62:$AP62,#REF!)))</f>
        <v>0</v>
      </c>
      <c r="AX62" s="22">
        <f>IF(ISERROR(LOOKUP(AX$10,$O62:$AP62,#REF!)),0,(LOOKUP(AX$10,$O62:$AP62,#REF!)))</f>
        <v>0</v>
      </c>
      <c r="AY62" s="22">
        <f>IF(ISERROR(LOOKUP(AY$10,$O62:$AP62,#REF!)),0,(LOOKUP(AY$10,$O62:$AP62,#REF!)))</f>
        <v>0</v>
      </c>
      <c r="AZ62" s="22">
        <f>IF(ISERROR(LOOKUP(AZ$10,$O62:$AP62,#REF!)),0,(LOOKUP(AZ$10,$O62:$AP62,#REF!)))</f>
        <v>0</v>
      </c>
      <c r="BA62" s="22">
        <f ca="1">IF(ISERROR(LOOKUP(BA$10,$O62:$AP62,#REF!)),0,(LOOKUP(BA$10,$O62:$AP62,#REF!)))</f>
        <v>0</v>
      </c>
      <c r="BB62" s="425" t="s">
        <v>993</v>
      </c>
      <c r="BC62" s="411" t="s">
        <v>929</v>
      </c>
      <c r="BD62" s="411"/>
    </row>
    <row r="63" spans="1:56" s="3" customFormat="1" ht="15.4" thickTop="1" thickBot="1" x14ac:dyDescent="0.45">
      <c r="A63" s="442"/>
      <c r="B63" s="94" t="s">
        <v>292</v>
      </c>
      <c r="C63" s="72" t="s">
        <v>515</v>
      </c>
      <c r="D63" s="33" t="s">
        <v>482</v>
      </c>
      <c r="E63" s="158"/>
      <c r="F63" s="158"/>
      <c r="G63" s="45" t="s">
        <v>67</v>
      </c>
      <c r="H63" s="34" t="s">
        <v>63</v>
      </c>
      <c r="I63" s="32" t="s">
        <v>56</v>
      </c>
      <c r="J63" s="32" t="s">
        <v>202</v>
      </c>
      <c r="K63" s="32" t="s">
        <v>312</v>
      </c>
      <c r="L63" s="329"/>
      <c r="M63" s="198" t="s">
        <v>34</v>
      </c>
      <c r="N63" s="35" t="s">
        <v>37</v>
      </c>
      <c r="O63" s="36">
        <v>46174</v>
      </c>
      <c r="P63" s="36">
        <v>46148</v>
      </c>
      <c r="Q63" s="36">
        <v>46165</v>
      </c>
      <c r="R63" s="36">
        <v>46182</v>
      </c>
      <c r="S63" s="36">
        <v>46182</v>
      </c>
      <c r="T63" s="36">
        <v>46202</v>
      </c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82"/>
      <c r="AK63" s="80"/>
      <c r="AL63" s="37"/>
      <c r="AM63" s="37"/>
      <c r="AN63" s="38"/>
      <c r="AO63" s="142"/>
      <c r="AP63" s="439"/>
      <c r="AQ63" s="39">
        <f>IF(ISERROR(LOOKUP(AQ$10,$O63:$AP63,#REF!)),0,(LOOKUP(AQ$10,$O63:$AP63,#REF!)))</f>
        <v>0</v>
      </c>
      <c r="AR63" s="40">
        <f>IF(ISERROR(LOOKUP(AR$10,$O63:$AP63,#REF!)),0,(LOOKUP(AR$10,$O63:$AP63,#REF!)))</f>
        <v>0</v>
      </c>
      <c r="AS63" s="40">
        <f>IF(ISERROR(LOOKUP(AS$10,$O63:$AP63,#REF!)),0,(LOOKUP(AS$10,$O63:$AP63,#REF!)))</f>
        <v>0</v>
      </c>
      <c r="AT63" s="40">
        <f>IF(ISERROR(LOOKUP(AT$10,$O63:$AP63,#REF!)),0,(LOOKUP(AT$10,$O63:$AP63,#REF!)))</f>
        <v>0</v>
      </c>
      <c r="AU63" s="40">
        <f>IF(ISERROR(LOOKUP(AU$10,$O63:$AP63,#REF!)),0,(LOOKUP(AU$10,$O63:$AP63,#REF!)))</f>
        <v>0</v>
      </c>
      <c r="AV63" s="40">
        <f>IF(ISERROR(LOOKUP(AV$10,$O63:$AP63,#REF!)),0,(LOOKUP(AV$10,$O63:$AP63,#REF!)))</f>
        <v>0</v>
      </c>
      <c r="AW63" s="40">
        <f>IF(ISERROR(LOOKUP(AW$10,$O63:$AP63,#REF!)),0,(LOOKUP(AW$10,$O63:$AP63,#REF!)))</f>
        <v>0</v>
      </c>
      <c r="AX63" s="40">
        <f>IF(ISERROR(LOOKUP(AX$10,$O63:$AP63,#REF!)),0,(LOOKUP(AX$10,$O63:$AP63,#REF!)))</f>
        <v>0</v>
      </c>
      <c r="AY63" s="40">
        <f>IF(ISERROR(LOOKUP(AY$10,$O63:$AP63,#REF!)),0,(LOOKUP(AY$10,$O63:$AP63,#REF!)))</f>
        <v>0</v>
      </c>
      <c r="AZ63" s="40">
        <f>IF(ISERROR(LOOKUP(AZ$10,$O63:$AP63,#REF!)),0,(LOOKUP(AZ$10,$O63:$AP63,#REF!)))</f>
        <v>0</v>
      </c>
      <c r="BA63" s="40">
        <f ca="1">IF(ISERROR(LOOKUP(BA$10,$O63:$AP63,#REF!)),0,(LOOKUP(BA$10,$O63:$AP63,#REF!)))</f>
        <v>0</v>
      </c>
      <c r="BB63" s="425" t="s">
        <v>994</v>
      </c>
      <c r="BC63" s="411" t="s">
        <v>930</v>
      </c>
      <c r="BD63" s="411"/>
    </row>
    <row r="64" spans="1:56" s="3" customFormat="1" ht="15.4" thickTop="1" thickBot="1" x14ac:dyDescent="0.45">
      <c r="A64" s="440">
        <f t="shared" ref="A64" si="11">A61+1</f>
        <v>15</v>
      </c>
      <c r="B64" s="92" t="s">
        <v>292</v>
      </c>
      <c r="C64" s="17" t="s">
        <v>660</v>
      </c>
      <c r="D64" s="227" t="s">
        <v>485</v>
      </c>
      <c r="E64" s="150"/>
      <c r="F64" s="150" t="s">
        <v>453</v>
      </c>
      <c r="G64" s="64" t="s">
        <v>69</v>
      </c>
      <c r="H64" s="16" t="s">
        <v>63</v>
      </c>
      <c r="I64" s="14" t="s">
        <v>56</v>
      </c>
      <c r="J64" s="14" t="s">
        <v>0</v>
      </c>
      <c r="K64" s="14" t="s">
        <v>346</v>
      </c>
      <c r="L64" s="327" t="s">
        <v>675</v>
      </c>
      <c r="M64" s="196" t="s">
        <v>34</v>
      </c>
      <c r="N64" s="18" t="s">
        <v>35</v>
      </c>
      <c r="O64" s="19">
        <v>46174</v>
      </c>
      <c r="P64" s="19">
        <v>46177</v>
      </c>
      <c r="Q64" s="19">
        <v>46185</v>
      </c>
      <c r="R64" s="19">
        <v>46185</v>
      </c>
      <c r="S64" s="19">
        <v>46177</v>
      </c>
      <c r="T64" s="19">
        <v>46191</v>
      </c>
      <c r="U64" s="230">
        <v>46216</v>
      </c>
      <c r="V64" s="19">
        <v>46230</v>
      </c>
      <c r="W64" s="19">
        <v>46244</v>
      </c>
      <c r="X64" s="19">
        <v>46246</v>
      </c>
      <c r="Y64" s="19">
        <v>46253</v>
      </c>
      <c r="Z64" s="19">
        <v>46281</v>
      </c>
      <c r="AA64" s="19">
        <v>46295</v>
      </c>
      <c r="AB64" s="19">
        <v>46325</v>
      </c>
      <c r="AC64" s="19">
        <v>46328</v>
      </c>
      <c r="AD64" s="19">
        <v>46331</v>
      </c>
      <c r="AE64" s="19">
        <v>46420</v>
      </c>
      <c r="AF64" s="19">
        <v>46435</v>
      </c>
      <c r="AG64" s="19">
        <v>46440</v>
      </c>
      <c r="AH64" s="19">
        <v>46443</v>
      </c>
      <c r="AI64" s="19">
        <v>46470</v>
      </c>
      <c r="AJ64" s="58">
        <v>28</v>
      </c>
      <c r="AK64" s="59">
        <v>196</v>
      </c>
      <c r="AL64" s="78">
        <v>46440</v>
      </c>
      <c r="AM64" s="78">
        <v>46466</v>
      </c>
      <c r="AN64" s="20">
        <f>AM64-AL65</f>
        <v>26</v>
      </c>
      <c r="AO64" s="143" t="s">
        <v>566</v>
      </c>
      <c r="AP64" s="437"/>
      <c r="AQ64" s="21">
        <f>IF(ISERROR(LOOKUP(AQ$10,$O64:$AP64,#REF!)),0,(LOOKUP(AQ$10,$O64:$AP64,#REF!)))</f>
        <v>0</v>
      </c>
      <c r="AR64" s="22">
        <f>IF(ISERROR(LOOKUP(AR$10,$O64:$AP64,#REF!)),0,(LOOKUP(AR$10,$O64:$AP64,#REF!)))</f>
        <v>0</v>
      </c>
      <c r="AS64" s="22">
        <f>IF(ISERROR(LOOKUP(AS$10,$O64:$AP64,#REF!)),0,(LOOKUP(AS$10,$O64:$AP64,#REF!)))</f>
        <v>0</v>
      </c>
      <c r="AT64" s="22">
        <f>IF(ISERROR(LOOKUP(AT$10,$O64:$AP64,#REF!)),0,(LOOKUP(AT$10,$O64:$AP64,#REF!)))</f>
        <v>0</v>
      </c>
      <c r="AU64" s="22">
        <f>IF(ISERROR(LOOKUP(AU$10,$O64:$AP64,#REF!)),0,(LOOKUP(AU$10,$O64:$AP64,#REF!)))</f>
        <v>0</v>
      </c>
      <c r="AV64" s="22">
        <f>IF(ISERROR(LOOKUP(AV$10,$O64:$AP64,#REF!)),0,(LOOKUP(AV$10,$O64:$AP64,#REF!)))</f>
        <v>0</v>
      </c>
      <c r="AW64" s="22">
        <f>IF(ISERROR(LOOKUP(AW$10,$O64:$AP64,#REF!)),0,(LOOKUP(AW$10,$O64:$AP64,#REF!)))</f>
        <v>0</v>
      </c>
      <c r="AX64" s="22">
        <f>IF(ISERROR(LOOKUP(AX$10,$O64:$AP64,#REF!)),0,(LOOKUP(AX$10,$O64:$AP64,#REF!)))</f>
        <v>0</v>
      </c>
      <c r="AY64" s="22">
        <f>IF(ISERROR(LOOKUP(AY$10,$O64:$AP64,#REF!)),0,(LOOKUP(AY$10,$O64:$AP64,#REF!)))</f>
        <v>0</v>
      </c>
      <c r="AZ64" s="22">
        <f>IF(ISERROR(LOOKUP(AZ$10,$O64:$AP64,#REF!)),0,(LOOKUP(AZ$10,$O64:$AP64,#REF!)))</f>
        <v>0</v>
      </c>
      <c r="BA64" s="22">
        <f ca="1">IF(ISERROR(LOOKUP(BA$10,$O64:$AP64,#REF!)),0,(LOOKUP(BA$10,$O64:$AP64,#REF!)))</f>
        <v>0</v>
      </c>
      <c r="BB64" s="425"/>
      <c r="BC64" s="411"/>
      <c r="BD64" s="411"/>
    </row>
    <row r="65" spans="1:56" s="3" customFormat="1" ht="15.4" thickTop="1" thickBot="1" x14ac:dyDescent="0.45">
      <c r="A65" s="441"/>
      <c r="B65" s="93" t="s">
        <v>292</v>
      </c>
      <c r="C65" s="41" t="s">
        <v>68</v>
      </c>
      <c r="D65" s="24" t="s">
        <v>484</v>
      </c>
      <c r="E65" s="157"/>
      <c r="F65" s="157"/>
      <c r="G65" s="43" t="s">
        <v>69</v>
      </c>
      <c r="H65" s="46" t="s">
        <v>63</v>
      </c>
      <c r="I65" s="23" t="s">
        <v>56</v>
      </c>
      <c r="J65" s="41" t="s">
        <v>0</v>
      </c>
      <c r="K65" s="41" t="s">
        <v>310</v>
      </c>
      <c r="L65" s="330" t="s">
        <v>687</v>
      </c>
      <c r="M65" s="197" t="s">
        <v>34</v>
      </c>
      <c r="N65" s="26" t="s">
        <v>36</v>
      </c>
      <c r="O65" s="27"/>
      <c r="P65" s="28"/>
      <c r="Q65" s="28"/>
      <c r="R65" s="28"/>
      <c r="S65" s="28"/>
      <c r="T65" s="28"/>
      <c r="U65" s="28">
        <f>U64</f>
        <v>46216</v>
      </c>
      <c r="V65" s="28">
        <f>WORKDAY(U65, V7, IF(V12="China",'China Holidays'!$A$2:$A$84,'Thai Holidays'!$A$2:$A$65))</f>
        <v>46230</v>
      </c>
      <c r="W65" s="28">
        <f>W64</f>
        <v>46244</v>
      </c>
      <c r="X65" s="28">
        <f>WORKDAY(W65, X7, IF(X12="China",'China Holidays'!$A$2:$A$84,'Thai Holidays'!$A$2:$A$65))</f>
        <v>46246</v>
      </c>
      <c r="Y65" s="28">
        <f>WORKDAY(X65, Y7, IF(Y12="China",'China Holidays'!$A$2:$A$84,'Thai Holidays'!$A$2:$A$65))</f>
        <v>46253</v>
      </c>
      <c r="Z65" s="28">
        <f>WORKDAY(Y65, Z7, IF(Z12="China",'China Holidays'!$A$2:$A$84,'Thai Holidays'!$A$2:$A$65))</f>
        <v>46281</v>
      </c>
      <c r="AA65" s="28">
        <f>WORKDAY(Z65, AA7, IF(AA12="China",'China Holidays'!$A$2:$A$84,'Thai Holidays'!$A$2:$A$65))</f>
        <v>46295</v>
      </c>
      <c r="AB65" s="28">
        <f>AA65+30</f>
        <v>46325</v>
      </c>
      <c r="AC65" s="28">
        <f>AB65+3</f>
        <v>46328</v>
      </c>
      <c r="AD65" s="28">
        <f>AC65+3</f>
        <v>46331</v>
      </c>
      <c r="AE65" s="28">
        <f>AF65-10</f>
        <v>46425</v>
      </c>
      <c r="AF65" s="28">
        <f>AG65-5</f>
        <v>46435</v>
      </c>
      <c r="AG65" s="28">
        <f>AL65</f>
        <v>46440</v>
      </c>
      <c r="AH65" s="28">
        <f>AL64+3</f>
        <v>46443</v>
      </c>
      <c r="AI65" s="28">
        <f>AL64+30</f>
        <v>46470</v>
      </c>
      <c r="AJ65" s="81"/>
      <c r="AK65" s="79"/>
      <c r="AL65" s="83">
        <f>W65+AK64</f>
        <v>46440</v>
      </c>
      <c r="AM65" s="83"/>
      <c r="AN65" s="29"/>
      <c r="AO65" s="141"/>
      <c r="AP65" s="438"/>
      <c r="AQ65" s="21">
        <f>IF(ISERROR(LOOKUP(AQ$10,$O65:$AP65,#REF!)),0,(LOOKUP(AQ$10,$O65:$AP65,#REF!)))</f>
        <v>0</v>
      </c>
      <c r="AR65" s="22">
        <f>IF(ISERROR(LOOKUP(AR$10,$O65:$AP65,#REF!)),0,(LOOKUP(AR$10,$O65:$AP65,#REF!)))</f>
        <v>0</v>
      </c>
      <c r="AS65" s="22">
        <f>IF(ISERROR(LOOKUP(AS$10,$O65:$AP65,#REF!)),0,(LOOKUP(AS$10,$O65:$AP65,#REF!)))</f>
        <v>0</v>
      </c>
      <c r="AT65" s="22">
        <f>IF(ISERROR(LOOKUP(AT$10,$O65:$AP65,#REF!)),0,(LOOKUP(AT$10,$O65:$AP65,#REF!)))</f>
        <v>0</v>
      </c>
      <c r="AU65" s="22">
        <f>IF(ISERROR(LOOKUP(AU$10,$O65:$AP65,#REF!)),0,(LOOKUP(AU$10,$O65:$AP65,#REF!)))</f>
        <v>0</v>
      </c>
      <c r="AV65" s="22">
        <f>IF(ISERROR(LOOKUP(AV$10,$O65:$AP65,#REF!)),0,(LOOKUP(AV$10,$O65:$AP65,#REF!)))</f>
        <v>0</v>
      </c>
      <c r="AW65" s="22">
        <f>IF(ISERROR(LOOKUP(AW$10,$O65:$AP65,#REF!)),0,(LOOKUP(AW$10,$O65:$AP65,#REF!)))</f>
        <v>0</v>
      </c>
      <c r="AX65" s="22">
        <f>IF(ISERROR(LOOKUP(AX$10,$O65:$AP65,#REF!)),0,(LOOKUP(AX$10,$O65:$AP65,#REF!)))</f>
        <v>0</v>
      </c>
      <c r="AY65" s="22">
        <f>IF(ISERROR(LOOKUP(AY$10,$O65:$AP65,#REF!)),0,(LOOKUP(AY$10,$O65:$AP65,#REF!)))</f>
        <v>0</v>
      </c>
      <c r="AZ65" s="22">
        <f>IF(ISERROR(LOOKUP(AZ$10,$O65:$AP65,#REF!)),0,(LOOKUP(AZ$10,$O65:$AP65,#REF!)))</f>
        <v>0</v>
      </c>
      <c r="BA65" s="22">
        <f ca="1">IF(ISERROR(LOOKUP(BA$10,$O65:$AP65,#REF!)),0,(LOOKUP(BA$10,$O65:$AP65,#REF!)))</f>
        <v>0</v>
      </c>
      <c r="BB65" s="425"/>
      <c r="BC65" s="411"/>
      <c r="BD65" s="411"/>
    </row>
    <row r="66" spans="1:56" s="3" customFormat="1" ht="15.4" thickTop="1" thickBot="1" x14ac:dyDescent="0.45">
      <c r="A66" s="442"/>
      <c r="B66" s="94" t="s">
        <v>292</v>
      </c>
      <c r="C66" s="32" t="s">
        <v>68</v>
      </c>
      <c r="D66" s="33" t="s">
        <v>484</v>
      </c>
      <c r="E66" s="158"/>
      <c r="F66" s="158"/>
      <c r="G66" s="45" t="s">
        <v>69</v>
      </c>
      <c r="H66" s="34" t="s">
        <v>63</v>
      </c>
      <c r="I66" s="32" t="s">
        <v>56</v>
      </c>
      <c r="J66" s="32" t="s">
        <v>0</v>
      </c>
      <c r="K66" s="32" t="s">
        <v>310</v>
      </c>
      <c r="L66" s="331" t="s">
        <v>676</v>
      </c>
      <c r="M66" s="198" t="s">
        <v>34</v>
      </c>
      <c r="N66" s="35" t="s">
        <v>37</v>
      </c>
      <c r="O66" s="36">
        <v>46174</v>
      </c>
      <c r="P66" s="36">
        <v>46148</v>
      </c>
      <c r="Q66" s="36">
        <v>46165</v>
      </c>
      <c r="R66" s="36">
        <v>46174</v>
      </c>
      <c r="S66" s="36">
        <v>46174</v>
      </c>
      <c r="T66" s="36">
        <v>46188</v>
      </c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82"/>
      <c r="AK66" s="80"/>
      <c r="AL66" s="37"/>
      <c r="AM66" s="37"/>
      <c r="AN66" s="38"/>
      <c r="AO66" s="142"/>
      <c r="AP66" s="439"/>
      <c r="AQ66" s="39">
        <f>IF(ISERROR(LOOKUP(AQ$10,$O66:$AP66,#REF!)),0,(LOOKUP(AQ$10,$O66:$AP66,#REF!)))</f>
        <v>0</v>
      </c>
      <c r="AR66" s="40">
        <f>IF(ISERROR(LOOKUP(AR$10,$O66:$AP66,#REF!)),0,(LOOKUP(AR$10,$O66:$AP66,#REF!)))</f>
        <v>0</v>
      </c>
      <c r="AS66" s="40">
        <f>IF(ISERROR(LOOKUP(AS$10,$O66:$AP66,#REF!)),0,(LOOKUP(AS$10,$O66:$AP66,#REF!)))</f>
        <v>0</v>
      </c>
      <c r="AT66" s="40">
        <f>IF(ISERROR(LOOKUP(AT$10,$O66:$AP66,#REF!)),0,(LOOKUP(AT$10,$O66:$AP66,#REF!)))</f>
        <v>0</v>
      </c>
      <c r="AU66" s="40">
        <f>IF(ISERROR(LOOKUP(AU$10,$O66:$AP66,#REF!)),0,(LOOKUP(AU$10,$O66:$AP66,#REF!)))</f>
        <v>0</v>
      </c>
      <c r="AV66" s="40">
        <f>IF(ISERROR(LOOKUP(AV$10,$O66:$AP66,#REF!)),0,(LOOKUP(AV$10,$O66:$AP66,#REF!)))</f>
        <v>0</v>
      </c>
      <c r="AW66" s="40">
        <f>IF(ISERROR(LOOKUP(AW$10,$O66:$AP66,#REF!)),0,(LOOKUP(AW$10,$O66:$AP66,#REF!)))</f>
        <v>0</v>
      </c>
      <c r="AX66" s="40">
        <f>IF(ISERROR(LOOKUP(AX$10,$O66:$AP66,#REF!)),0,(LOOKUP(AX$10,$O66:$AP66,#REF!)))</f>
        <v>0</v>
      </c>
      <c r="AY66" s="40">
        <f>IF(ISERROR(LOOKUP(AY$10,$O66:$AP66,#REF!)),0,(LOOKUP(AY$10,$O66:$AP66,#REF!)))</f>
        <v>0</v>
      </c>
      <c r="AZ66" s="40">
        <f>IF(ISERROR(LOOKUP(AZ$10,$O66:$AP66,#REF!)),0,(LOOKUP(AZ$10,$O66:$AP66,#REF!)))</f>
        <v>0</v>
      </c>
      <c r="BA66" s="40">
        <f ca="1">IF(ISERROR(LOOKUP(BA$10,$O66:$AP66,#REF!)),0,(LOOKUP(BA$10,$O66:$AP66,#REF!)))</f>
        <v>0</v>
      </c>
      <c r="BB66" s="425"/>
      <c r="BC66" s="411"/>
      <c r="BD66" s="411"/>
    </row>
    <row r="67" spans="1:56" s="3" customFormat="1" ht="15.4" thickTop="1" thickBot="1" x14ac:dyDescent="0.45">
      <c r="A67" s="440">
        <f t="shared" ref="A67" si="12">A64+1</f>
        <v>16</v>
      </c>
      <c r="B67" s="92" t="s">
        <v>292</v>
      </c>
      <c r="C67" s="47" t="s">
        <v>366</v>
      </c>
      <c r="D67" s="227" t="s">
        <v>300</v>
      </c>
      <c r="E67" s="154"/>
      <c r="F67" s="154" t="s">
        <v>455</v>
      </c>
      <c r="G67" s="64" t="s">
        <v>67</v>
      </c>
      <c r="H67" s="16" t="s">
        <v>63</v>
      </c>
      <c r="I67" s="14" t="s">
        <v>56</v>
      </c>
      <c r="J67" s="14" t="s">
        <v>202</v>
      </c>
      <c r="K67" s="14" t="s">
        <v>312</v>
      </c>
      <c r="L67" s="150" t="s">
        <v>686</v>
      </c>
      <c r="M67" s="196" t="s">
        <v>34</v>
      </c>
      <c r="N67" s="18" t="s">
        <v>35</v>
      </c>
      <c r="O67" s="19">
        <v>46174</v>
      </c>
      <c r="P67" s="19">
        <v>46177</v>
      </c>
      <c r="Q67" s="19">
        <v>46184</v>
      </c>
      <c r="R67" s="19">
        <v>46185</v>
      </c>
      <c r="S67" s="19">
        <v>46192</v>
      </c>
      <c r="T67" s="19">
        <v>46206</v>
      </c>
      <c r="U67" s="230">
        <v>46227</v>
      </c>
      <c r="V67" s="19">
        <v>46234</v>
      </c>
      <c r="W67" s="19">
        <v>46248</v>
      </c>
      <c r="X67" s="19">
        <v>46252</v>
      </c>
      <c r="Y67" s="19">
        <v>46259</v>
      </c>
      <c r="Z67" s="19">
        <v>46280</v>
      </c>
      <c r="AA67" s="19">
        <v>46294</v>
      </c>
      <c r="AB67" s="19">
        <v>46324</v>
      </c>
      <c r="AC67" s="19">
        <v>46327</v>
      </c>
      <c r="AD67" s="19">
        <v>46330</v>
      </c>
      <c r="AE67" s="19">
        <v>46422</v>
      </c>
      <c r="AF67" s="19">
        <v>46437</v>
      </c>
      <c r="AG67" s="19">
        <v>46444</v>
      </c>
      <c r="AH67" s="19">
        <v>46447</v>
      </c>
      <c r="AI67" s="19">
        <v>46474</v>
      </c>
      <c r="AJ67" s="58">
        <v>28</v>
      </c>
      <c r="AK67" s="59">
        <v>196</v>
      </c>
      <c r="AL67" s="78">
        <v>46444</v>
      </c>
      <c r="AM67" s="78">
        <v>46476</v>
      </c>
      <c r="AN67" s="20">
        <f>AM67-AL68</f>
        <v>32</v>
      </c>
      <c r="AO67" s="143" t="s">
        <v>392</v>
      </c>
      <c r="AP67" s="437" t="s">
        <v>700</v>
      </c>
      <c r="AQ67" s="21">
        <f>IF(ISERROR(LOOKUP(AQ$10,$O67:$AP67,#REF!)),0,(LOOKUP(AQ$10,$O67:$AP67,#REF!)))</f>
        <v>0</v>
      </c>
      <c r="AR67" s="22">
        <f>IF(ISERROR(LOOKUP(AR$10,$O67:$AP67,#REF!)),0,(LOOKUP(AR$10,$O67:$AP67,#REF!)))</f>
        <v>0</v>
      </c>
      <c r="AS67" s="22">
        <f>IF(ISERROR(LOOKUP(AS$10,$O67:$AP67,#REF!)),0,(LOOKUP(AS$10,$O67:$AP67,#REF!)))</f>
        <v>0</v>
      </c>
      <c r="AT67" s="22">
        <f>IF(ISERROR(LOOKUP(AT$10,$O67:$AP67,#REF!)),0,(LOOKUP(AT$10,$O67:$AP67,#REF!)))</f>
        <v>0</v>
      </c>
      <c r="AU67" s="22">
        <f>IF(ISERROR(LOOKUP(AU$10,$O67:$AP67,#REF!)),0,(LOOKUP(AU$10,$O67:$AP67,#REF!)))</f>
        <v>0</v>
      </c>
      <c r="AV67" s="22">
        <f>IF(ISERROR(LOOKUP(AV$10,$O67:$AP67,#REF!)),0,(LOOKUP(AV$10,$O67:$AP67,#REF!)))</f>
        <v>0</v>
      </c>
      <c r="AW67" s="22">
        <f>IF(ISERROR(LOOKUP(AW$10,$O67:$AP67,#REF!)),0,(LOOKUP(AW$10,$O67:$AP67,#REF!)))</f>
        <v>0</v>
      </c>
      <c r="AX67" s="22">
        <f>IF(ISERROR(LOOKUP(AX$10,$O67:$AP67,#REF!)),0,(LOOKUP(AX$10,$O67:$AP67,#REF!)))</f>
        <v>0</v>
      </c>
      <c r="AY67" s="22">
        <f>IF(ISERROR(LOOKUP(AY$10,$O67:$AP67,#REF!)),0,(LOOKUP(AY$10,$O67:$AP67,#REF!)))</f>
        <v>0</v>
      </c>
      <c r="AZ67" s="22">
        <f>IF(ISERROR(LOOKUP(AZ$10,$O67:$AP67,#REF!)),0,(LOOKUP(AZ$10,$O67:$AP67,#REF!)))</f>
        <v>0</v>
      </c>
      <c r="BA67" s="22">
        <f ca="1">IF(ISERROR(LOOKUP(BA$10,$O67:$AP67,#REF!)),0,(LOOKUP(BA$10,$O67:$AP67,#REF!)))</f>
        <v>0</v>
      </c>
      <c r="BB67" s="425" t="s">
        <v>992</v>
      </c>
      <c r="BC67" s="411" t="s">
        <v>928</v>
      </c>
      <c r="BD67" s="411"/>
    </row>
    <row r="68" spans="1:56" s="3" customFormat="1" ht="15.4" thickTop="1" thickBot="1" x14ac:dyDescent="0.45">
      <c r="A68" s="441"/>
      <c r="B68" s="93" t="s">
        <v>292</v>
      </c>
      <c r="C68" s="114" t="s">
        <v>366</v>
      </c>
      <c r="D68" s="24" t="s">
        <v>299</v>
      </c>
      <c r="E68" s="155"/>
      <c r="F68" s="155"/>
      <c r="G68" s="43" t="s">
        <v>67</v>
      </c>
      <c r="H68" s="46" t="s">
        <v>63</v>
      </c>
      <c r="I68" s="23" t="s">
        <v>56</v>
      </c>
      <c r="J68" s="23" t="s">
        <v>202</v>
      </c>
      <c r="K68" s="23" t="s">
        <v>312</v>
      </c>
      <c r="L68" s="223"/>
      <c r="M68" s="197" t="s">
        <v>34</v>
      </c>
      <c r="N68" s="26" t="s">
        <v>36</v>
      </c>
      <c r="O68" s="27">
        <v>46183</v>
      </c>
      <c r="P68" s="28"/>
      <c r="Q68" s="28"/>
      <c r="R68" s="28"/>
      <c r="S68" s="28"/>
      <c r="T68" s="28"/>
      <c r="U68" s="28">
        <v>46219</v>
      </c>
      <c r="V68" s="28">
        <f>WORKDAY(U68,V8, IF(V12="China",'China Holidays'!$A$2:$A$84,'Thai Holidays'!$A$2:$A$65))</f>
        <v>46237</v>
      </c>
      <c r="W68" s="28">
        <f>W67</f>
        <v>46248</v>
      </c>
      <c r="X68" s="28">
        <f>WORKDAY(W68,X8, IF(X12="China",'China Holidays'!$A$2:$A$84,'Thai Holidays'!$A$2:$A$65))</f>
        <v>46252</v>
      </c>
      <c r="Y68" s="28">
        <f>WORKDAY(X68,Y8, IF(Y12="China",'China Holidays'!$A$2:$A$84,'Thai Holidays'!$A$2:$A$65))</f>
        <v>46259</v>
      </c>
      <c r="Z68" s="28">
        <f>WORKDAY(Y68,Z8, IF(Z12="China",'China Holidays'!$A$2:$A$84,'Thai Holidays'!$A$2:$A$65))</f>
        <v>46280</v>
      </c>
      <c r="AA68" s="28">
        <f>WORKDAY(Z68,AA8, IF(AA12="China",'China Holidays'!$A$2:$A$84,'Thai Holidays'!$A$2:$A$65))</f>
        <v>46294</v>
      </c>
      <c r="AB68" s="28">
        <f>AA68+30</f>
        <v>46324</v>
      </c>
      <c r="AC68" s="28">
        <f>AB68+3</f>
        <v>46327</v>
      </c>
      <c r="AD68" s="28">
        <f>AC68+3</f>
        <v>46330</v>
      </c>
      <c r="AE68" s="28">
        <f>AF68-10</f>
        <v>46427</v>
      </c>
      <c r="AF68" s="28">
        <f>AG68-7</f>
        <v>46437</v>
      </c>
      <c r="AG68" s="28">
        <f>AL68</f>
        <v>46444</v>
      </c>
      <c r="AH68" s="28">
        <f>AL67+3</f>
        <v>46447</v>
      </c>
      <c r="AI68" s="28">
        <f>AL67+30</f>
        <v>46474</v>
      </c>
      <c r="AJ68" s="89"/>
      <c r="AK68" s="90"/>
      <c r="AL68" s="83">
        <f>W68+AK67</f>
        <v>46444</v>
      </c>
      <c r="AM68" s="83"/>
      <c r="AN68" s="29"/>
      <c r="AO68" s="141"/>
      <c r="AP68" s="438"/>
      <c r="AQ68" s="21">
        <f>IF(ISERROR(LOOKUP(AQ$10,$O68:$AP68,#REF!)),0,(LOOKUP(AQ$10,$O68:$AP68,#REF!)))</f>
        <v>0</v>
      </c>
      <c r="AR68" s="22">
        <f>IF(ISERROR(LOOKUP(AR$10,$O68:$AP68,#REF!)),0,(LOOKUP(AR$10,$O68:$AP68,#REF!)))</f>
        <v>0</v>
      </c>
      <c r="AS68" s="22">
        <f>IF(ISERROR(LOOKUP(AS$10,$O68:$AP68,#REF!)),0,(LOOKUP(AS$10,$O68:$AP68,#REF!)))</f>
        <v>0</v>
      </c>
      <c r="AT68" s="22">
        <f>IF(ISERROR(LOOKUP(AT$10,$O68:$AP68,#REF!)),0,(LOOKUP(AT$10,$O68:$AP68,#REF!)))</f>
        <v>0</v>
      </c>
      <c r="AU68" s="22">
        <f>IF(ISERROR(LOOKUP(AU$10,$O68:$AP68,#REF!)),0,(LOOKUP(AU$10,$O68:$AP68,#REF!)))</f>
        <v>0</v>
      </c>
      <c r="AV68" s="22">
        <f>IF(ISERROR(LOOKUP(AV$10,$O68:$AP68,#REF!)),0,(LOOKUP(AV$10,$O68:$AP68,#REF!)))</f>
        <v>0</v>
      </c>
      <c r="AW68" s="22">
        <f>IF(ISERROR(LOOKUP(AW$10,$O68:$AP68,#REF!)),0,(LOOKUP(AW$10,$O68:$AP68,#REF!)))</f>
        <v>0</v>
      </c>
      <c r="AX68" s="22">
        <f>IF(ISERROR(LOOKUP(AX$10,$O68:$AP68,#REF!)),0,(LOOKUP(AX$10,$O68:$AP68,#REF!)))</f>
        <v>0</v>
      </c>
      <c r="AY68" s="22">
        <f>IF(ISERROR(LOOKUP(AY$10,$O68:$AP68,#REF!)),0,(LOOKUP(AY$10,$O68:$AP68,#REF!)))</f>
        <v>0</v>
      </c>
      <c r="AZ68" s="22">
        <f>IF(ISERROR(LOOKUP(AZ$10,$O68:$AP68,#REF!)),0,(LOOKUP(AZ$10,$O68:$AP68,#REF!)))</f>
        <v>0</v>
      </c>
      <c r="BA68" s="22">
        <f ca="1">IF(ISERROR(LOOKUP(BA$10,$O68:$AP68,#REF!)),0,(LOOKUP(BA$10,$O68:$AP68,#REF!)))</f>
        <v>0</v>
      </c>
      <c r="BB68" s="425" t="s">
        <v>993</v>
      </c>
      <c r="BC68" s="411" t="s">
        <v>929</v>
      </c>
      <c r="BD68" s="411"/>
    </row>
    <row r="69" spans="1:56" s="3" customFormat="1" ht="15.4" thickTop="1" thickBot="1" x14ac:dyDescent="0.45">
      <c r="A69" s="442"/>
      <c r="B69" s="94" t="s">
        <v>292</v>
      </c>
      <c r="C69" s="48" t="s">
        <v>366</v>
      </c>
      <c r="D69" s="33" t="s">
        <v>299</v>
      </c>
      <c r="E69" s="182"/>
      <c r="F69" s="182"/>
      <c r="G69" s="45" t="s">
        <v>67</v>
      </c>
      <c r="H69" s="34" t="s">
        <v>63</v>
      </c>
      <c r="I69" s="32" t="s">
        <v>56</v>
      </c>
      <c r="J69" s="32" t="s">
        <v>202</v>
      </c>
      <c r="K69" s="32" t="s">
        <v>312</v>
      </c>
      <c r="L69" s="266"/>
      <c r="M69" s="198" t="s">
        <v>34</v>
      </c>
      <c r="N69" s="35" t="s">
        <v>37</v>
      </c>
      <c r="O69" s="36"/>
      <c r="P69" s="36">
        <v>46148</v>
      </c>
      <c r="Q69" s="36">
        <v>46165</v>
      </c>
      <c r="R69" s="36">
        <v>46182</v>
      </c>
      <c r="S69" s="36">
        <v>46182</v>
      </c>
      <c r="T69" s="36">
        <v>46202</v>
      </c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82"/>
      <c r="AK69" s="80"/>
      <c r="AL69" s="37"/>
      <c r="AM69" s="37"/>
      <c r="AN69" s="38"/>
      <c r="AO69" s="142"/>
      <c r="AP69" s="439"/>
      <c r="AQ69" s="39">
        <f>IF(ISERROR(LOOKUP(AQ$10,$O69:$AP69,#REF!)),0,(LOOKUP(AQ$10,$O69:$AP69,#REF!)))</f>
        <v>0</v>
      </c>
      <c r="AR69" s="40">
        <f>IF(ISERROR(LOOKUP(AR$10,$O69:$AP69,#REF!)),0,(LOOKUP(AR$10,$O69:$AP69,#REF!)))</f>
        <v>0</v>
      </c>
      <c r="AS69" s="40">
        <f>IF(ISERROR(LOOKUP(AS$10,$O69:$AP69,#REF!)),0,(LOOKUP(AS$10,$O69:$AP69,#REF!)))</f>
        <v>0</v>
      </c>
      <c r="AT69" s="40">
        <f>IF(ISERROR(LOOKUP(AT$10,$O69:$AP69,#REF!)),0,(LOOKUP(AT$10,$O69:$AP69,#REF!)))</f>
        <v>0</v>
      </c>
      <c r="AU69" s="40">
        <f>IF(ISERROR(LOOKUP(AU$10,$O69:$AP69,#REF!)),0,(LOOKUP(AU$10,$O69:$AP69,#REF!)))</f>
        <v>0</v>
      </c>
      <c r="AV69" s="40">
        <f>IF(ISERROR(LOOKUP(AV$10,$O69:$AP69,#REF!)),0,(LOOKUP(AV$10,$O69:$AP69,#REF!)))</f>
        <v>0</v>
      </c>
      <c r="AW69" s="40">
        <f>IF(ISERROR(LOOKUP(AW$10,$O69:$AP69,#REF!)),0,(LOOKUP(AW$10,$O69:$AP69,#REF!)))</f>
        <v>0</v>
      </c>
      <c r="AX69" s="40">
        <f>IF(ISERROR(LOOKUP(AX$10,$O69:$AP69,#REF!)),0,(LOOKUP(AX$10,$O69:$AP69,#REF!)))</f>
        <v>0</v>
      </c>
      <c r="AY69" s="40">
        <f>IF(ISERROR(LOOKUP(AY$10,$O69:$AP69,#REF!)),0,(LOOKUP(AY$10,$O69:$AP69,#REF!)))</f>
        <v>0</v>
      </c>
      <c r="AZ69" s="40">
        <f>IF(ISERROR(LOOKUP(AZ$10,$O69:$AP69,#REF!)),0,(LOOKUP(AZ$10,$O69:$AP69,#REF!)))</f>
        <v>0</v>
      </c>
      <c r="BA69" s="40">
        <f ca="1">IF(ISERROR(LOOKUP(BA$10,$O69:$AP69,#REF!)),0,(LOOKUP(BA$10,$O69:$AP69,#REF!)))</f>
        <v>0</v>
      </c>
      <c r="BB69" s="425" t="s">
        <v>994</v>
      </c>
      <c r="BC69" s="411" t="s">
        <v>930</v>
      </c>
      <c r="BD69" s="411"/>
    </row>
    <row r="70" spans="1:56" s="3" customFormat="1" ht="15.4" thickTop="1" thickBot="1" x14ac:dyDescent="0.45">
      <c r="A70" s="440">
        <f>A67+1</f>
        <v>17</v>
      </c>
      <c r="B70" s="92" t="s">
        <v>293</v>
      </c>
      <c r="C70" s="14" t="s">
        <v>681</v>
      </c>
      <c r="D70" s="227" t="s">
        <v>410</v>
      </c>
      <c r="E70" s="150" t="s">
        <v>422</v>
      </c>
      <c r="F70" s="150" t="s">
        <v>451</v>
      </c>
      <c r="G70" s="64" t="s">
        <v>71</v>
      </c>
      <c r="H70" s="16" t="s">
        <v>63</v>
      </c>
      <c r="I70" s="14" t="s">
        <v>56</v>
      </c>
      <c r="J70" s="14" t="s">
        <v>1</v>
      </c>
      <c r="K70" s="14" t="s">
        <v>308</v>
      </c>
      <c r="L70" s="42"/>
      <c r="M70" s="196" t="s">
        <v>34</v>
      </c>
      <c r="N70" s="18" t="s">
        <v>35</v>
      </c>
      <c r="O70" s="19">
        <v>46174</v>
      </c>
      <c r="P70" s="19">
        <v>46177</v>
      </c>
      <c r="Q70" s="19">
        <v>46184</v>
      </c>
      <c r="R70" s="19">
        <v>46185</v>
      </c>
      <c r="S70" s="19">
        <v>46192</v>
      </c>
      <c r="T70" s="230">
        <v>46206</v>
      </c>
      <c r="U70" s="19">
        <v>46227</v>
      </c>
      <c r="V70" s="19">
        <v>46234</v>
      </c>
      <c r="W70" s="19">
        <v>46248</v>
      </c>
      <c r="X70" s="19">
        <v>46252</v>
      </c>
      <c r="Y70" s="19">
        <v>46259</v>
      </c>
      <c r="Z70" s="19">
        <v>46280</v>
      </c>
      <c r="AA70" s="19">
        <v>46294</v>
      </c>
      <c r="AB70" s="19">
        <v>46324</v>
      </c>
      <c r="AC70" s="19">
        <v>46327</v>
      </c>
      <c r="AD70" s="19">
        <v>46330</v>
      </c>
      <c r="AE70" s="19">
        <v>46401</v>
      </c>
      <c r="AF70" s="19">
        <v>46411</v>
      </c>
      <c r="AG70" s="19">
        <v>46416</v>
      </c>
      <c r="AH70" s="19">
        <v>46419</v>
      </c>
      <c r="AI70" s="19">
        <v>46446</v>
      </c>
      <c r="AJ70" s="58">
        <v>24</v>
      </c>
      <c r="AK70" s="59">
        <v>168</v>
      </c>
      <c r="AL70" s="78">
        <v>46416</v>
      </c>
      <c r="AM70" s="78">
        <v>46485</v>
      </c>
      <c r="AN70" s="20">
        <f>AM70-AL71</f>
        <v>56</v>
      </c>
      <c r="AO70" s="143" t="s">
        <v>392</v>
      </c>
      <c r="AP70" s="437"/>
      <c r="AQ70" s="21">
        <f>IF(ISERROR(LOOKUP(AQ$10,$O70:$AP70,#REF!)),0,(LOOKUP(AQ$10,$O70:$AP70,#REF!)))</f>
        <v>0</v>
      </c>
      <c r="AR70" s="22">
        <f>IF(ISERROR(LOOKUP(AR$10,$O70:$AP70,#REF!)),0,(LOOKUP(AR$10,$O70:$AP70,#REF!)))</f>
        <v>0</v>
      </c>
      <c r="AS70" s="22">
        <f>IF(ISERROR(LOOKUP(AS$10,$O70:$AP70,#REF!)),0,(LOOKUP(AS$10,$O70:$AP70,#REF!)))</f>
        <v>0</v>
      </c>
      <c r="AT70" s="22">
        <f>IF(ISERROR(LOOKUP(AT$10,$O70:$AP70,#REF!)),0,(LOOKUP(AT$10,$O70:$AP70,#REF!)))</f>
        <v>0</v>
      </c>
      <c r="AU70" s="22">
        <f>IF(ISERROR(LOOKUP(AU$10,$O70:$AP70,#REF!)),0,(LOOKUP(AU$10,$O70:$AP70,#REF!)))</f>
        <v>0</v>
      </c>
      <c r="AV70" s="22">
        <f>IF(ISERROR(LOOKUP(AV$10,$O70:$AP70,#REF!)),0,(LOOKUP(AV$10,$O70:$AP70,#REF!)))</f>
        <v>0</v>
      </c>
      <c r="AW70" s="22">
        <f>IF(ISERROR(LOOKUP(AW$10,$O70:$AP70,#REF!)),0,(LOOKUP(AW$10,$O70:$AP70,#REF!)))</f>
        <v>0</v>
      </c>
      <c r="AX70" s="22">
        <f>IF(ISERROR(LOOKUP(AX$10,$O70:$AP70,#REF!)),0,(LOOKUP(AX$10,$O70:$AP70,#REF!)))</f>
        <v>0</v>
      </c>
      <c r="AY70" s="22">
        <f>IF(ISERROR(LOOKUP(AY$10,$O70:$AP70,#REF!)),0,(LOOKUP(AY$10,$O70:$AP70,#REF!)))</f>
        <v>0</v>
      </c>
      <c r="AZ70" s="22">
        <f>IF(ISERROR(LOOKUP(AZ$10,$O70:$AP70,#REF!)),0,(LOOKUP(AZ$10,$O70:$AP70,#REF!)))</f>
        <v>0</v>
      </c>
      <c r="BA70" s="22">
        <f ca="1">IF(ISERROR(LOOKUP(BA$10,$O70:$AP70,#REF!)),0,(LOOKUP(BA$10,$O70:$AP70,#REF!)))</f>
        <v>0</v>
      </c>
      <c r="BB70" s="425"/>
      <c r="BC70" s="411"/>
      <c r="BD70" s="411"/>
    </row>
    <row r="71" spans="1:56" s="3" customFormat="1" ht="15.4" thickTop="1" thickBot="1" x14ac:dyDescent="0.45">
      <c r="A71" s="441"/>
      <c r="B71" s="93" t="s">
        <v>293</v>
      </c>
      <c r="C71" s="41" t="s">
        <v>70</v>
      </c>
      <c r="D71" s="24" t="s">
        <v>410</v>
      </c>
      <c r="E71" s="157" t="s">
        <v>423</v>
      </c>
      <c r="F71" s="157" t="s">
        <v>451</v>
      </c>
      <c r="G71" s="43" t="s">
        <v>71</v>
      </c>
      <c r="H71" s="46" t="s">
        <v>63</v>
      </c>
      <c r="I71" s="23" t="s">
        <v>56</v>
      </c>
      <c r="J71" s="41" t="s">
        <v>1</v>
      </c>
      <c r="K71" s="41" t="s">
        <v>308</v>
      </c>
      <c r="L71" s="43"/>
      <c r="M71" s="197" t="s">
        <v>34</v>
      </c>
      <c r="N71" s="26" t="s">
        <v>36</v>
      </c>
      <c r="O71" s="27"/>
      <c r="P71" s="28"/>
      <c r="Q71" s="28"/>
      <c r="R71" s="28"/>
      <c r="S71" s="28"/>
      <c r="T71" s="28">
        <v>46219</v>
      </c>
      <c r="U71" s="28">
        <f>WORKDAY(T71, U6, IF(U12="China",'China Holidays'!$A$2:$A$84,'Thai Holidays'!$A$2:$A$65))</f>
        <v>46247</v>
      </c>
      <c r="V71" s="28">
        <f>WORKDAY(U71, V6, IF(V12="China",'China Holidays'!$A$2:$A$84,'Thai Holidays'!$A$2:$A$65))</f>
        <v>46261</v>
      </c>
      <c r="W71" s="28">
        <f>V71</f>
        <v>46261</v>
      </c>
      <c r="X71" s="28">
        <f>WORKDAY(W71, X6, IF(X12="China",'China Holidays'!$A$2:$A$84,'Thai Holidays'!$A$2:$A$65))</f>
        <v>46265</v>
      </c>
      <c r="Y71" s="28">
        <f>WORKDAY(X71, Y6, IF(Y12="China",'China Holidays'!$A$2:$A$84,'Thai Holidays'!$A$2:$A$65))</f>
        <v>46272</v>
      </c>
      <c r="Z71" s="28">
        <f>WORKDAY(Y71, Z6, IF(Z12="China",'China Holidays'!$A$2:$A$84,'Thai Holidays'!$A$2:$A$65))</f>
        <v>46308</v>
      </c>
      <c r="AA71" s="28">
        <f>WORKDAY(Z71, AA6, IF(AA12="China",'China Holidays'!$A$2:$A$84,'Thai Holidays'!$A$2:$A$65))</f>
        <v>46323</v>
      </c>
      <c r="AB71" s="28">
        <f>AA71+23</f>
        <v>46346</v>
      </c>
      <c r="AC71" s="28">
        <f>AB71</f>
        <v>46346</v>
      </c>
      <c r="AD71" s="28">
        <f>AC71+3</f>
        <v>46349</v>
      </c>
      <c r="AE71" s="28">
        <f>AF71-10</f>
        <v>46414</v>
      </c>
      <c r="AF71" s="28">
        <f>AG71-5</f>
        <v>46424</v>
      </c>
      <c r="AG71" s="28">
        <f>AL71</f>
        <v>46429</v>
      </c>
      <c r="AH71" s="28">
        <f>AL70+3</f>
        <v>46419</v>
      </c>
      <c r="AI71" s="28">
        <f>AL70+30</f>
        <v>46446</v>
      </c>
      <c r="AJ71" s="81"/>
      <c r="AK71" s="79"/>
      <c r="AL71" s="83">
        <f>W71+AK70</f>
        <v>46429</v>
      </c>
      <c r="AM71" s="83"/>
      <c r="AN71" s="29"/>
      <c r="AO71" s="141"/>
      <c r="AP71" s="438"/>
      <c r="AQ71" s="21">
        <f>IF(ISERROR(LOOKUP(AQ$10,$O71:$AP71,#REF!)),0,(LOOKUP(AQ$10,$O71:$AP71,#REF!)))</f>
        <v>0</v>
      </c>
      <c r="AR71" s="22">
        <f>IF(ISERROR(LOOKUP(AR$10,$O71:$AP71,#REF!)),0,(LOOKUP(AR$10,$O71:$AP71,#REF!)))</f>
        <v>0</v>
      </c>
      <c r="AS71" s="22">
        <f>IF(ISERROR(LOOKUP(AS$10,$O71:$AP71,#REF!)),0,(LOOKUP(AS$10,$O71:$AP71,#REF!)))</f>
        <v>0</v>
      </c>
      <c r="AT71" s="22">
        <f>IF(ISERROR(LOOKUP(AT$10,$O71:$AP71,#REF!)),0,(LOOKUP(AT$10,$O71:$AP71,#REF!)))</f>
        <v>0</v>
      </c>
      <c r="AU71" s="22">
        <f>IF(ISERROR(LOOKUP(AU$10,$O71:$AP71,#REF!)),0,(LOOKUP(AU$10,$O71:$AP71,#REF!)))</f>
        <v>0</v>
      </c>
      <c r="AV71" s="22">
        <f>IF(ISERROR(LOOKUP(AV$10,$O71:$AP71,#REF!)),0,(LOOKUP(AV$10,$O71:$AP71,#REF!)))</f>
        <v>0</v>
      </c>
      <c r="AW71" s="22">
        <f>IF(ISERROR(LOOKUP(AW$10,$O71:$AP71,#REF!)),0,(LOOKUP(AW$10,$O71:$AP71,#REF!)))</f>
        <v>0</v>
      </c>
      <c r="AX71" s="22">
        <f>IF(ISERROR(LOOKUP(AX$10,$O71:$AP71,#REF!)),0,(LOOKUP(AX$10,$O71:$AP71,#REF!)))</f>
        <v>0</v>
      </c>
      <c r="AY71" s="22">
        <f>IF(ISERROR(LOOKUP(AY$10,$O71:$AP71,#REF!)),0,(LOOKUP(AY$10,$O71:$AP71,#REF!)))</f>
        <v>0</v>
      </c>
      <c r="AZ71" s="22">
        <f>IF(ISERROR(LOOKUP(AZ$10,$O71:$AP71,#REF!)),0,(LOOKUP(AZ$10,$O71:$AP71,#REF!)))</f>
        <v>0</v>
      </c>
      <c r="BA71" s="22">
        <f ca="1">IF(ISERROR(LOOKUP(BA$10,$O71:$AP71,#REF!)),0,(LOOKUP(BA$10,$O71:$AP71,#REF!)))</f>
        <v>0</v>
      </c>
      <c r="BB71" s="425"/>
      <c r="BC71" s="411"/>
      <c r="BD71" s="411"/>
    </row>
    <row r="72" spans="1:56" s="3" customFormat="1" ht="15.4" thickTop="1" thickBot="1" x14ac:dyDescent="0.45">
      <c r="A72" s="442"/>
      <c r="B72" s="94" t="s">
        <v>293</v>
      </c>
      <c r="C72" s="32" t="s">
        <v>70</v>
      </c>
      <c r="D72" s="33" t="s">
        <v>410</v>
      </c>
      <c r="E72" s="158" t="s">
        <v>424</v>
      </c>
      <c r="F72" s="158" t="s">
        <v>451</v>
      </c>
      <c r="G72" s="45" t="s">
        <v>71</v>
      </c>
      <c r="H72" s="34" t="s">
        <v>63</v>
      </c>
      <c r="I72" s="32" t="s">
        <v>56</v>
      </c>
      <c r="J72" s="32" t="s">
        <v>1</v>
      </c>
      <c r="K72" s="32" t="s">
        <v>308</v>
      </c>
      <c r="L72" s="45"/>
      <c r="M72" s="198" t="s">
        <v>34</v>
      </c>
      <c r="N72" s="35" t="s">
        <v>37</v>
      </c>
      <c r="O72" s="36">
        <v>46174</v>
      </c>
      <c r="P72" s="36">
        <v>46148</v>
      </c>
      <c r="Q72" s="36">
        <v>46166</v>
      </c>
      <c r="R72" s="36">
        <v>46182</v>
      </c>
      <c r="S72" s="36">
        <v>46185</v>
      </c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82"/>
      <c r="AK72" s="80"/>
      <c r="AL72" s="37"/>
      <c r="AM72" s="37"/>
      <c r="AN72" s="38"/>
      <c r="AO72" s="142"/>
      <c r="AP72" s="439"/>
      <c r="AQ72" s="39">
        <f>IF(ISERROR(LOOKUP(AQ$10,$O72:$AP72,#REF!)),0,(LOOKUP(AQ$10,$O72:$AP72,#REF!)))</f>
        <v>0</v>
      </c>
      <c r="AR72" s="40">
        <f>IF(ISERROR(LOOKUP(AR$10,$O72:$AP72,#REF!)),0,(LOOKUP(AR$10,$O72:$AP72,#REF!)))</f>
        <v>0</v>
      </c>
      <c r="AS72" s="40">
        <f>IF(ISERROR(LOOKUP(AS$10,$O72:$AP72,#REF!)),0,(LOOKUP(AS$10,$O72:$AP72,#REF!)))</f>
        <v>0</v>
      </c>
      <c r="AT72" s="40">
        <f>IF(ISERROR(LOOKUP(AT$10,$O72:$AP72,#REF!)),0,(LOOKUP(AT$10,$O72:$AP72,#REF!)))</f>
        <v>0</v>
      </c>
      <c r="AU72" s="40">
        <f>IF(ISERROR(LOOKUP(AU$10,$O72:$AP72,#REF!)),0,(LOOKUP(AU$10,$O72:$AP72,#REF!)))</f>
        <v>0</v>
      </c>
      <c r="AV72" s="40">
        <f>IF(ISERROR(LOOKUP(AV$10,$O72:$AP72,#REF!)),0,(LOOKUP(AV$10,$O72:$AP72,#REF!)))</f>
        <v>0</v>
      </c>
      <c r="AW72" s="40">
        <f>IF(ISERROR(LOOKUP(AW$10,$O72:$AP72,#REF!)),0,(LOOKUP(AW$10,$O72:$AP72,#REF!)))</f>
        <v>0</v>
      </c>
      <c r="AX72" s="40">
        <f>IF(ISERROR(LOOKUP(AX$10,$O72:$AP72,#REF!)),0,(LOOKUP(AX$10,$O72:$AP72,#REF!)))</f>
        <v>0</v>
      </c>
      <c r="AY72" s="40">
        <f>IF(ISERROR(LOOKUP(AY$10,$O72:$AP72,#REF!)),0,(LOOKUP(AY$10,$O72:$AP72,#REF!)))</f>
        <v>0</v>
      </c>
      <c r="AZ72" s="40">
        <f>IF(ISERROR(LOOKUP(AZ$10,$O72:$AP72,#REF!)),0,(LOOKUP(AZ$10,$O72:$AP72,#REF!)))</f>
        <v>0</v>
      </c>
      <c r="BA72" s="40">
        <f ca="1">IF(ISERROR(LOOKUP(BA$10,$O72:$AP72,#REF!)),0,(LOOKUP(BA$10,$O72:$AP72,#REF!)))</f>
        <v>0</v>
      </c>
      <c r="BB72" s="425"/>
      <c r="BC72" s="411"/>
      <c r="BD72" s="411"/>
    </row>
    <row r="73" spans="1:56" s="3" customFormat="1" ht="15.4" thickTop="1" thickBot="1" x14ac:dyDescent="0.45">
      <c r="A73" s="440">
        <f t="shared" ref="A73" si="13">A70+1</f>
        <v>18</v>
      </c>
      <c r="B73" s="92" t="s">
        <v>293</v>
      </c>
      <c r="C73" s="14" t="s">
        <v>388</v>
      </c>
      <c r="D73" s="227" t="s">
        <v>383</v>
      </c>
      <c r="E73" s="150" t="s">
        <v>425</v>
      </c>
      <c r="F73" s="150">
        <v>2</v>
      </c>
      <c r="G73" s="64" t="s">
        <v>71</v>
      </c>
      <c r="H73" s="16" t="s">
        <v>63</v>
      </c>
      <c r="I73" s="14" t="s">
        <v>56</v>
      </c>
      <c r="J73" s="14" t="s">
        <v>202</v>
      </c>
      <c r="K73" s="14" t="s">
        <v>343</v>
      </c>
      <c r="L73" s="42"/>
      <c r="M73" s="196" t="s">
        <v>34</v>
      </c>
      <c r="N73" s="18" t="s">
        <v>35</v>
      </c>
      <c r="O73" s="19">
        <v>46164</v>
      </c>
      <c r="P73" s="19">
        <v>46167</v>
      </c>
      <c r="Q73" s="19">
        <v>46175</v>
      </c>
      <c r="R73" s="19">
        <v>46176</v>
      </c>
      <c r="S73" s="19">
        <v>46183</v>
      </c>
      <c r="T73" s="19">
        <v>46198</v>
      </c>
      <c r="U73" s="230">
        <v>46226</v>
      </c>
      <c r="V73" s="19">
        <v>46233</v>
      </c>
      <c r="W73" s="57">
        <v>46247</v>
      </c>
      <c r="X73" s="19">
        <v>46251</v>
      </c>
      <c r="Y73" s="19">
        <v>46258</v>
      </c>
      <c r="Z73" s="19">
        <v>46286</v>
      </c>
      <c r="AA73" s="19">
        <v>46300</v>
      </c>
      <c r="AB73" s="19">
        <v>46330</v>
      </c>
      <c r="AC73" s="19">
        <v>46330</v>
      </c>
      <c r="AD73" s="19">
        <v>46332</v>
      </c>
      <c r="AE73" s="19">
        <v>46421</v>
      </c>
      <c r="AF73" s="19">
        <v>46441</v>
      </c>
      <c r="AG73" s="19">
        <v>46471</v>
      </c>
      <c r="AH73" s="19">
        <v>46474</v>
      </c>
      <c r="AI73" s="19">
        <v>46501</v>
      </c>
      <c r="AJ73" s="58">
        <v>24</v>
      </c>
      <c r="AK73" s="59">
        <f>AJ73*7</f>
        <v>168</v>
      </c>
      <c r="AL73" s="78">
        <v>46471</v>
      </c>
      <c r="AM73" s="78">
        <v>46485</v>
      </c>
      <c r="AN73" s="20">
        <f>AM73-AL74</f>
        <v>70</v>
      </c>
      <c r="AO73" s="143" t="s">
        <v>392</v>
      </c>
      <c r="AP73" s="437" t="s">
        <v>705</v>
      </c>
      <c r="AQ73" s="21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425"/>
      <c r="BC73" s="411"/>
      <c r="BD73" s="411"/>
    </row>
    <row r="74" spans="1:56" s="3" customFormat="1" ht="15.4" thickTop="1" thickBot="1" x14ac:dyDescent="0.45">
      <c r="A74" s="441"/>
      <c r="B74" s="93" t="s">
        <v>293</v>
      </c>
      <c r="C74" s="41" t="s">
        <v>388</v>
      </c>
      <c r="D74" s="24" t="s">
        <v>383</v>
      </c>
      <c r="E74" s="157" t="s">
        <v>426</v>
      </c>
      <c r="F74" s="157"/>
      <c r="G74" s="43" t="s">
        <v>71</v>
      </c>
      <c r="H74" s="46" t="s">
        <v>63</v>
      </c>
      <c r="I74" s="23" t="s">
        <v>56</v>
      </c>
      <c r="J74" s="41" t="s">
        <v>202</v>
      </c>
      <c r="K74" s="23" t="s">
        <v>343</v>
      </c>
      <c r="L74" s="43"/>
      <c r="M74" s="197" t="s">
        <v>34</v>
      </c>
      <c r="N74" s="26" t="s">
        <v>36</v>
      </c>
      <c r="O74" s="27"/>
      <c r="P74" s="28"/>
      <c r="Q74" s="28"/>
      <c r="R74" s="28"/>
      <c r="S74" s="28"/>
      <c r="T74" s="28"/>
      <c r="U74" s="28">
        <f>U73</f>
        <v>46226</v>
      </c>
      <c r="V74" s="28">
        <f>WORKDAY(U74, V6, IF(V12="China",'China Holidays'!$A$2:$A$84,'Thai Holidays'!$A$2:$A$65))</f>
        <v>46244</v>
      </c>
      <c r="W74" s="28">
        <v>46247</v>
      </c>
      <c r="X74" s="28">
        <f>WORKDAY(W74, X6, IF(X12="China",'China Holidays'!$A$2:$A$84,'Thai Holidays'!$A$2:$A$65))</f>
        <v>46251</v>
      </c>
      <c r="Y74" s="28">
        <f>WORKDAY(X74, Y6, IF(Y12="China",'China Holidays'!$A$2:$A$84,'Thai Holidays'!$A$2:$A$65))</f>
        <v>46258</v>
      </c>
      <c r="Z74" s="28">
        <f>WORKDAY(Y74, Z6, IF(Z12="China",'China Holidays'!$A$2:$A$84,'Thai Holidays'!$A$2:$A$65))</f>
        <v>46286</v>
      </c>
      <c r="AA74" s="28">
        <f>WORKDAY(Z74, AA6, IF(AA12="China",'China Holidays'!$A$2:$A$84,'Thai Holidays'!$A$2:$A$65))</f>
        <v>46300</v>
      </c>
      <c r="AB74" s="28">
        <f>AA74+30</f>
        <v>46330</v>
      </c>
      <c r="AC74" s="28">
        <f>WORKDAY(AB74, AC9, IF(AC15="China",'China Holidays'!$A$2:$A$84,'Thai Holidays'!$A$2:$A$65))</f>
        <v>46330</v>
      </c>
      <c r="AD74" s="28">
        <f>WORKDAY(AC74, AD9, IF(AD15="China",'China Holidays'!$A$2:$A$84,'Thai Holidays'!$A$2:$A$65))</f>
        <v>46330</v>
      </c>
      <c r="AE74" s="28">
        <f>AF74-20</f>
        <v>46365</v>
      </c>
      <c r="AF74" s="28">
        <f>AG74-30</f>
        <v>46385</v>
      </c>
      <c r="AG74" s="28">
        <f>AL74</f>
        <v>46415</v>
      </c>
      <c r="AH74" s="28">
        <f>AL73+3</f>
        <v>46474</v>
      </c>
      <c r="AI74" s="28">
        <f>AL73+30</f>
        <v>46501</v>
      </c>
      <c r="AJ74" s="81"/>
      <c r="AK74" s="79"/>
      <c r="AL74" s="83">
        <f>W74+AK73</f>
        <v>46415</v>
      </c>
      <c r="AM74" s="83"/>
      <c r="AN74" s="79"/>
      <c r="AO74" s="125"/>
      <c r="AP74" s="438"/>
      <c r="AQ74" s="21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425"/>
      <c r="BC74" s="411"/>
      <c r="BD74" s="411"/>
    </row>
    <row r="75" spans="1:56" s="3" customFormat="1" ht="15.4" thickTop="1" thickBot="1" x14ac:dyDescent="0.45">
      <c r="A75" s="442"/>
      <c r="B75" s="94" t="s">
        <v>293</v>
      </c>
      <c r="C75" s="32" t="s">
        <v>388</v>
      </c>
      <c r="D75" s="33" t="s">
        <v>383</v>
      </c>
      <c r="E75" s="158"/>
      <c r="F75" s="158"/>
      <c r="G75" s="45" t="s">
        <v>71</v>
      </c>
      <c r="H75" s="34" t="s">
        <v>63</v>
      </c>
      <c r="I75" s="32" t="s">
        <v>56</v>
      </c>
      <c r="J75" s="32" t="s">
        <v>202</v>
      </c>
      <c r="K75" s="32" t="s">
        <v>343</v>
      </c>
      <c r="L75" s="45"/>
      <c r="M75" s="198" t="s">
        <v>34</v>
      </c>
      <c r="N75" s="35" t="s">
        <v>37</v>
      </c>
      <c r="O75" s="36">
        <v>46184</v>
      </c>
      <c r="P75" s="36">
        <v>46148</v>
      </c>
      <c r="Q75" s="36">
        <v>46166</v>
      </c>
      <c r="R75" s="36">
        <v>46185</v>
      </c>
      <c r="S75" s="36">
        <v>46185</v>
      </c>
      <c r="T75" s="36">
        <v>46199</v>
      </c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82"/>
      <c r="AK75" s="80"/>
      <c r="AL75" s="37"/>
      <c r="AM75" s="37"/>
      <c r="AN75" s="80"/>
      <c r="AO75" s="144"/>
      <c r="AP75" s="439"/>
      <c r="AQ75" s="39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25"/>
      <c r="BC75" s="411"/>
      <c r="BD75" s="411"/>
    </row>
    <row r="76" spans="1:56" s="3" customFormat="1" ht="15.4" thickTop="1" thickBot="1" x14ac:dyDescent="0.45">
      <c r="A76" s="440">
        <f t="shared" ref="A76" si="14">A73+1</f>
        <v>19</v>
      </c>
      <c r="B76" s="92" t="s">
        <v>293</v>
      </c>
      <c r="C76" s="14" t="s">
        <v>569</v>
      </c>
      <c r="D76" s="227" t="s">
        <v>407</v>
      </c>
      <c r="E76" s="150" t="s">
        <v>430</v>
      </c>
      <c r="F76" s="150">
        <v>1</v>
      </c>
      <c r="G76" s="64" t="s">
        <v>71</v>
      </c>
      <c r="H76" s="16" t="s">
        <v>63</v>
      </c>
      <c r="I76" s="14" t="s">
        <v>56</v>
      </c>
      <c r="J76" s="14" t="s">
        <v>202</v>
      </c>
      <c r="K76" s="14" t="s">
        <v>343</v>
      </c>
      <c r="L76" s="42"/>
      <c r="M76" s="196" t="s">
        <v>34</v>
      </c>
      <c r="N76" s="18" t="s">
        <v>35</v>
      </c>
      <c r="O76" s="19">
        <v>46164</v>
      </c>
      <c r="P76" s="19">
        <v>46167</v>
      </c>
      <c r="Q76" s="19">
        <v>46175</v>
      </c>
      <c r="R76" s="19">
        <v>46176</v>
      </c>
      <c r="S76" s="19">
        <v>46183</v>
      </c>
      <c r="T76" s="19">
        <v>46198</v>
      </c>
      <c r="U76" s="230">
        <v>46226</v>
      </c>
      <c r="V76" s="19">
        <v>46233</v>
      </c>
      <c r="W76" s="57">
        <v>46247</v>
      </c>
      <c r="X76" s="19">
        <v>46251</v>
      </c>
      <c r="Y76" s="19">
        <v>46258</v>
      </c>
      <c r="Z76" s="19">
        <v>46286</v>
      </c>
      <c r="AA76" s="19">
        <v>46300</v>
      </c>
      <c r="AB76" s="19">
        <v>46330</v>
      </c>
      <c r="AC76" s="19">
        <v>46330</v>
      </c>
      <c r="AD76" s="19">
        <v>46332</v>
      </c>
      <c r="AE76" s="19">
        <v>46421</v>
      </c>
      <c r="AF76" s="19">
        <v>46441</v>
      </c>
      <c r="AG76" s="19">
        <v>46471</v>
      </c>
      <c r="AH76" s="19">
        <v>46474</v>
      </c>
      <c r="AI76" s="19">
        <v>46501</v>
      </c>
      <c r="AJ76" s="58">
        <v>24</v>
      </c>
      <c r="AK76" s="59">
        <f>AJ76*7</f>
        <v>168</v>
      </c>
      <c r="AL76" s="78">
        <v>46471</v>
      </c>
      <c r="AM76" s="78">
        <v>46485</v>
      </c>
      <c r="AN76" s="20">
        <f>AM76-AL77</f>
        <v>70</v>
      </c>
      <c r="AO76" s="143" t="s">
        <v>392</v>
      </c>
      <c r="AP76" s="437"/>
      <c r="AQ76" s="21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425"/>
      <c r="BC76" s="411"/>
      <c r="BD76" s="411"/>
    </row>
    <row r="77" spans="1:56" s="3" customFormat="1" ht="15.4" thickTop="1" thickBot="1" x14ac:dyDescent="0.45">
      <c r="A77" s="441"/>
      <c r="B77" s="93" t="s">
        <v>293</v>
      </c>
      <c r="C77" s="41" t="s">
        <v>387</v>
      </c>
      <c r="D77" s="24" t="s">
        <v>406</v>
      </c>
      <c r="E77" s="157" t="s">
        <v>429</v>
      </c>
      <c r="F77" s="157">
        <v>1</v>
      </c>
      <c r="G77" s="43" t="s">
        <v>71</v>
      </c>
      <c r="H77" s="46" t="s">
        <v>63</v>
      </c>
      <c r="I77" s="23" t="s">
        <v>56</v>
      </c>
      <c r="J77" s="41" t="s">
        <v>202</v>
      </c>
      <c r="K77" s="23" t="s">
        <v>343</v>
      </c>
      <c r="L77" s="43"/>
      <c r="M77" s="197" t="s">
        <v>34</v>
      </c>
      <c r="N77" s="26" t="s">
        <v>36</v>
      </c>
      <c r="O77" s="27"/>
      <c r="P77" s="28"/>
      <c r="Q77" s="28"/>
      <c r="R77" s="28"/>
      <c r="S77" s="28"/>
      <c r="T77" s="28"/>
      <c r="U77" s="28">
        <f>U76</f>
        <v>46226</v>
      </c>
      <c r="V77" s="28">
        <f>WORKDAY(U77, V6, IF(V12="China",'China Holidays'!$A$2:$A$84,'Thai Holidays'!$A$2:$A$65))</f>
        <v>46244</v>
      </c>
      <c r="W77" s="28">
        <v>46247</v>
      </c>
      <c r="X77" s="28">
        <f>WORKDAY(W77, X6, IF(X12="China",'China Holidays'!$A$2:$A$84,'Thai Holidays'!$A$2:$A$65))</f>
        <v>46251</v>
      </c>
      <c r="Y77" s="28">
        <f>WORKDAY(X77, Y6, IF(Y12="China",'China Holidays'!$A$2:$A$84,'Thai Holidays'!$A$2:$A$65))</f>
        <v>46258</v>
      </c>
      <c r="Z77" s="28">
        <f>WORKDAY(Y77, Z6, IF(Z12="China",'China Holidays'!$A$2:$A$84,'Thai Holidays'!$A$2:$A$65))</f>
        <v>46286</v>
      </c>
      <c r="AA77" s="28">
        <f>WORKDAY(Z77, AA6, IF(AA12="China",'China Holidays'!$A$2:$A$84,'Thai Holidays'!$A$2:$A$65))</f>
        <v>46300</v>
      </c>
      <c r="AB77" s="28">
        <f>AA77+30</f>
        <v>46330</v>
      </c>
      <c r="AC77" s="28">
        <f>WORKDAY(AB77, AC6, IF(AC12="China",'China Holidays'!$A$2:$A$84,'Thai Holidays'!$A$2:$A$65))</f>
        <v>46330</v>
      </c>
      <c r="AD77" s="28">
        <f>WORKDAY(AC77, AD6, IF(AD12="China",'China Holidays'!$A$2:$A$84,'Thai Holidays'!$A$2:$A$65))</f>
        <v>46330</v>
      </c>
      <c r="AE77" s="28">
        <f>AF77-20</f>
        <v>46365</v>
      </c>
      <c r="AF77" s="28">
        <f>AG77-30</f>
        <v>46385</v>
      </c>
      <c r="AG77" s="28">
        <f>AL77</f>
        <v>46415</v>
      </c>
      <c r="AH77" s="28">
        <f>AL76+3</f>
        <v>46474</v>
      </c>
      <c r="AI77" s="28">
        <f>AL76+30</f>
        <v>46501</v>
      </c>
      <c r="AJ77" s="81"/>
      <c r="AK77" s="79"/>
      <c r="AL77" s="83">
        <f>W77+AK76</f>
        <v>46415</v>
      </c>
      <c r="AM77" s="83"/>
      <c r="AN77" s="79"/>
      <c r="AO77" s="125"/>
      <c r="AP77" s="438"/>
      <c r="AQ77" s="21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425"/>
      <c r="BC77" s="411"/>
      <c r="BD77" s="411"/>
    </row>
    <row r="78" spans="1:56" s="3" customFormat="1" ht="15.4" thickTop="1" thickBot="1" x14ac:dyDescent="0.45">
      <c r="A78" s="442"/>
      <c r="B78" s="94" t="s">
        <v>293</v>
      </c>
      <c r="C78" s="32" t="s">
        <v>387</v>
      </c>
      <c r="D78" s="33" t="s">
        <v>406</v>
      </c>
      <c r="E78" s="158"/>
      <c r="F78" s="158"/>
      <c r="G78" s="45" t="s">
        <v>71</v>
      </c>
      <c r="H78" s="34" t="s">
        <v>63</v>
      </c>
      <c r="I78" s="32" t="s">
        <v>56</v>
      </c>
      <c r="J78" s="32" t="s">
        <v>202</v>
      </c>
      <c r="K78" s="32" t="s">
        <v>343</v>
      </c>
      <c r="L78" s="45"/>
      <c r="M78" s="198" t="s">
        <v>34</v>
      </c>
      <c r="N78" s="35" t="s">
        <v>37</v>
      </c>
      <c r="O78" s="36">
        <v>46174</v>
      </c>
      <c r="P78" s="36">
        <v>46148</v>
      </c>
      <c r="Q78" s="36">
        <v>46166</v>
      </c>
      <c r="R78" s="36">
        <v>46183</v>
      </c>
      <c r="S78" s="36">
        <v>46183</v>
      </c>
      <c r="T78" s="36">
        <v>46199</v>
      </c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82"/>
      <c r="AK78" s="80"/>
      <c r="AL78" s="37"/>
      <c r="AM78" s="37"/>
      <c r="AN78" s="80"/>
      <c r="AO78" s="144"/>
      <c r="AP78" s="439"/>
      <c r="AQ78" s="39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25"/>
      <c r="BC78" s="411"/>
      <c r="BD78" s="411"/>
    </row>
    <row r="79" spans="1:56" s="3" customFormat="1" ht="21" thickTop="1" thickBot="1" x14ac:dyDescent="0.45">
      <c r="A79" s="440">
        <f t="shared" ref="A79" si="15">A76+1</f>
        <v>20</v>
      </c>
      <c r="B79" s="92" t="s">
        <v>293</v>
      </c>
      <c r="C79" s="17" t="s">
        <v>526</v>
      </c>
      <c r="D79" s="265" t="s">
        <v>412</v>
      </c>
      <c r="E79" s="150" t="s">
        <v>431</v>
      </c>
      <c r="F79" s="150" t="s">
        <v>433</v>
      </c>
      <c r="G79" s="64" t="s">
        <v>71</v>
      </c>
      <c r="H79" s="16" t="s">
        <v>63</v>
      </c>
      <c r="I79" s="14" t="s">
        <v>56</v>
      </c>
      <c r="J79" s="14" t="s">
        <v>202</v>
      </c>
      <c r="K79" s="14" t="s">
        <v>343</v>
      </c>
      <c r="L79" s="42"/>
      <c r="M79" s="196" t="s">
        <v>34</v>
      </c>
      <c r="N79" s="18" t="s">
        <v>35</v>
      </c>
      <c r="O79" s="19">
        <v>46164</v>
      </c>
      <c r="P79" s="19">
        <v>46167</v>
      </c>
      <c r="Q79" s="19">
        <v>46175</v>
      </c>
      <c r="R79" s="19">
        <v>46176</v>
      </c>
      <c r="S79" s="19">
        <v>46183</v>
      </c>
      <c r="T79" s="230">
        <v>46198</v>
      </c>
      <c r="U79" s="19">
        <v>46226</v>
      </c>
      <c r="V79" s="19">
        <v>46233</v>
      </c>
      <c r="W79" s="57">
        <v>46247</v>
      </c>
      <c r="X79" s="19">
        <v>46251</v>
      </c>
      <c r="Y79" s="19">
        <v>46258</v>
      </c>
      <c r="Z79" s="19">
        <v>46286</v>
      </c>
      <c r="AA79" s="19">
        <v>46300</v>
      </c>
      <c r="AB79" s="19">
        <v>46330</v>
      </c>
      <c r="AC79" s="19">
        <v>46330</v>
      </c>
      <c r="AD79" s="19">
        <v>46332</v>
      </c>
      <c r="AE79" s="19">
        <v>46421</v>
      </c>
      <c r="AF79" s="19">
        <v>46441</v>
      </c>
      <c r="AG79" s="19">
        <v>46471</v>
      </c>
      <c r="AH79" s="19">
        <v>46474</v>
      </c>
      <c r="AI79" s="19">
        <v>46501</v>
      </c>
      <c r="AJ79" s="58">
        <v>24</v>
      </c>
      <c r="AK79" s="59">
        <f>AJ79*7</f>
        <v>168</v>
      </c>
      <c r="AL79" s="78">
        <v>46471</v>
      </c>
      <c r="AM79" s="78">
        <v>46485</v>
      </c>
      <c r="AN79" s="20">
        <f>AM79-AL80</f>
        <v>56</v>
      </c>
      <c r="AO79" s="143" t="s">
        <v>392</v>
      </c>
      <c r="AP79" s="437" t="s">
        <v>706</v>
      </c>
      <c r="AQ79" s="21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425"/>
      <c r="BC79" s="411"/>
      <c r="BD79" s="411"/>
    </row>
    <row r="80" spans="1:56" s="3" customFormat="1" ht="21" thickTop="1" thickBot="1" x14ac:dyDescent="0.45">
      <c r="A80" s="441"/>
      <c r="B80" s="93" t="s">
        <v>293</v>
      </c>
      <c r="C80" s="71" t="s">
        <v>526</v>
      </c>
      <c r="D80" s="98" t="s">
        <v>411</v>
      </c>
      <c r="E80" s="157" t="s">
        <v>432</v>
      </c>
      <c r="F80" s="157" t="s">
        <v>433</v>
      </c>
      <c r="G80" s="43" t="s">
        <v>71</v>
      </c>
      <c r="H80" s="46" t="s">
        <v>63</v>
      </c>
      <c r="I80" s="23" t="s">
        <v>56</v>
      </c>
      <c r="J80" s="41" t="s">
        <v>202</v>
      </c>
      <c r="K80" s="23" t="s">
        <v>343</v>
      </c>
      <c r="L80" s="43"/>
      <c r="M80" s="197" t="s">
        <v>34</v>
      </c>
      <c r="N80" s="26" t="s">
        <v>36</v>
      </c>
      <c r="O80" s="27"/>
      <c r="P80" s="28"/>
      <c r="Q80" s="28"/>
      <c r="R80" s="28"/>
      <c r="S80" s="28"/>
      <c r="T80" s="28">
        <v>46219</v>
      </c>
      <c r="U80" s="28">
        <f>WORKDAY(T80, U6, IF(U12="China",'China Holidays'!$A$2:$A$84,'Thai Holidays'!$A$2:$A$65))</f>
        <v>46247</v>
      </c>
      <c r="V80" s="28">
        <f>WORKDAY(U80, V6, IF(V12="China",'China Holidays'!$A$2:$A$84,'Thai Holidays'!$A$2:$A$65))</f>
        <v>46261</v>
      </c>
      <c r="W80" s="28">
        <f>V80</f>
        <v>46261</v>
      </c>
      <c r="X80" s="28">
        <f>WORKDAY(W80, X6, IF(X12="China",'China Holidays'!$A$2:$A$84,'Thai Holidays'!$A$2:$A$65))</f>
        <v>46265</v>
      </c>
      <c r="Y80" s="28">
        <f>WORKDAY(X80, Y6, IF(Y12="China",'China Holidays'!$A$2:$A$84,'Thai Holidays'!$A$2:$A$65))</f>
        <v>46272</v>
      </c>
      <c r="Z80" s="28">
        <f>WORKDAY(Y80, Z6, IF(Z12="China",'China Holidays'!$A$2:$A$84,'Thai Holidays'!$A$2:$A$65))</f>
        <v>46308</v>
      </c>
      <c r="AA80" s="28">
        <f>WORKDAY(Z80, AA6, IF(AA12="China",'China Holidays'!$A$2:$A$84,'Thai Holidays'!$A$2:$A$65))</f>
        <v>46323</v>
      </c>
      <c r="AB80" s="28">
        <f>WORKDAY(AA80, AB9, IF(AB15="China",'China Holidays'!$A$2:$A$84,'Thai Holidays'!$A$2:$A$65))</f>
        <v>46323</v>
      </c>
      <c r="AC80" s="28">
        <f>WORKDAY(AB80, AC9, IF(AC15="China",'China Holidays'!$A$2:$A$84,'Thai Holidays'!$A$2:$A$65))</f>
        <v>46323</v>
      </c>
      <c r="AD80" s="28">
        <f>WORKDAY(AC80, AD9, IF(AD15="China",'China Holidays'!$A$2:$A$84,'Thai Holidays'!$A$2:$A$65))</f>
        <v>46323</v>
      </c>
      <c r="AE80" s="28">
        <f>AF80-20</f>
        <v>46379</v>
      </c>
      <c r="AF80" s="28">
        <f>AG80-30</f>
        <v>46399</v>
      </c>
      <c r="AG80" s="28">
        <f>AL80</f>
        <v>46429</v>
      </c>
      <c r="AH80" s="28">
        <f>AL79+3</f>
        <v>46474</v>
      </c>
      <c r="AI80" s="28">
        <f>AL79+30</f>
        <v>46501</v>
      </c>
      <c r="AJ80" s="81"/>
      <c r="AK80" s="79"/>
      <c r="AL80" s="83">
        <f>W80+AK79</f>
        <v>46429</v>
      </c>
      <c r="AM80" s="83"/>
      <c r="AN80" s="79"/>
      <c r="AO80" s="125"/>
      <c r="AP80" s="438"/>
      <c r="AQ80" s="21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425"/>
      <c r="BC80" s="411"/>
      <c r="BD80" s="411"/>
    </row>
    <row r="81" spans="1:56" s="3" customFormat="1" ht="21" thickTop="1" thickBot="1" x14ac:dyDescent="0.45">
      <c r="A81" s="442"/>
      <c r="B81" s="94" t="s">
        <v>293</v>
      </c>
      <c r="C81" s="72" t="s">
        <v>526</v>
      </c>
      <c r="D81" s="94" t="s">
        <v>411</v>
      </c>
      <c r="E81" s="158"/>
      <c r="F81" s="158"/>
      <c r="G81" s="45" t="s">
        <v>71</v>
      </c>
      <c r="H81" s="34" t="s">
        <v>63</v>
      </c>
      <c r="I81" s="32" t="s">
        <v>56</v>
      </c>
      <c r="J81" s="32" t="s">
        <v>202</v>
      </c>
      <c r="K81" s="32" t="s">
        <v>343</v>
      </c>
      <c r="L81" s="45"/>
      <c r="M81" s="198" t="s">
        <v>34</v>
      </c>
      <c r="N81" s="35" t="s">
        <v>37</v>
      </c>
      <c r="O81" s="36">
        <v>46184</v>
      </c>
      <c r="P81" s="36">
        <v>46148</v>
      </c>
      <c r="Q81" s="36">
        <v>46166</v>
      </c>
      <c r="R81" s="36">
        <v>46185</v>
      </c>
      <c r="S81" s="36">
        <v>46185</v>
      </c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82"/>
      <c r="AK81" s="80"/>
      <c r="AL81" s="37"/>
      <c r="AM81" s="37"/>
      <c r="AN81" s="80"/>
      <c r="AO81" s="144"/>
      <c r="AP81" s="439"/>
      <c r="AQ81" s="39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25"/>
      <c r="BC81" s="411"/>
      <c r="BD81" s="411"/>
    </row>
    <row r="82" spans="1:56" s="3" customFormat="1" ht="21" thickTop="1" thickBot="1" x14ac:dyDescent="0.45">
      <c r="A82" s="440">
        <f t="shared" ref="A82" si="16">A79+1</f>
        <v>21</v>
      </c>
      <c r="B82" s="92" t="s">
        <v>293</v>
      </c>
      <c r="C82" s="17" t="s">
        <v>527</v>
      </c>
      <c r="D82" s="265" t="s">
        <v>409</v>
      </c>
      <c r="E82" s="150" t="s">
        <v>435</v>
      </c>
      <c r="F82" s="150" t="s">
        <v>436</v>
      </c>
      <c r="G82" s="64" t="s">
        <v>71</v>
      </c>
      <c r="H82" s="16" t="s">
        <v>63</v>
      </c>
      <c r="I82" s="14" t="s">
        <v>56</v>
      </c>
      <c r="J82" s="14" t="s">
        <v>202</v>
      </c>
      <c r="K82" s="14" t="s">
        <v>343</v>
      </c>
      <c r="L82" s="222" t="s">
        <v>699</v>
      </c>
      <c r="M82" s="196" t="s">
        <v>34</v>
      </c>
      <c r="N82" s="18" t="s">
        <v>35</v>
      </c>
      <c r="O82" s="19">
        <v>46164</v>
      </c>
      <c r="P82" s="19">
        <v>46167</v>
      </c>
      <c r="Q82" s="19">
        <v>46175</v>
      </c>
      <c r="R82" s="19">
        <v>46176</v>
      </c>
      <c r="S82" s="19">
        <v>46183</v>
      </c>
      <c r="T82" s="230">
        <v>46198</v>
      </c>
      <c r="U82" s="19">
        <v>46226</v>
      </c>
      <c r="V82" s="19">
        <v>46233</v>
      </c>
      <c r="W82" s="57">
        <v>46247</v>
      </c>
      <c r="X82" s="19">
        <v>46251</v>
      </c>
      <c r="Y82" s="19">
        <v>46258</v>
      </c>
      <c r="Z82" s="19">
        <v>46286</v>
      </c>
      <c r="AA82" s="19">
        <v>46300</v>
      </c>
      <c r="AB82" s="19">
        <v>46330</v>
      </c>
      <c r="AC82" s="19">
        <v>46330</v>
      </c>
      <c r="AD82" s="19">
        <v>46332</v>
      </c>
      <c r="AE82" s="19">
        <v>46421</v>
      </c>
      <c r="AF82" s="19">
        <v>46441</v>
      </c>
      <c r="AG82" s="19">
        <v>46471</v>
      </c>
      <c r="AH82" s="19">
        <v>46474</v>
      </c>
      <c r="AI82" s="19">
        <v>46501</v>
      </c>
      <c r="AJ82" s="58">
        <v>24</v>
      </c>
      <c r="AK82" s="59">
        <f>AJ82*7</f>
        <v>168</v>
      </c>
      <c r="AL82" s="78">
        <v>46471</v>
      </c>
      <c r="AM82" s="78">
        <v>46485</v>
      </c>
      <c r="AN82" s="20">
        <f>AM82-AL83</f>
        <v>56</v>
      </c>
      <c r="AO82" s="143" t="s">
        <v>392</v>
      </c>
      <c r="AP82" s="437"/>
      <c r="AQ82" s="21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425"/>
      <c r="BC82" s="411"/>
      <c r="BD82" s="411"/>
    </row>
    <row r="83" spans="1:56" s="3" customFormat="1" ht="15" customHeight="1" thickTop="1" thickBot="1" x14ac:dyDescent="0.45">
      <c r="A83" s="441"/>
      <c r="B83" s="93" t="s">
        <v>293</v>
      </c>
      <c r="C83" s="71" t="s">
        <v>527</v>
      </c>
      <c r="D83" s="98" t="s">
        <v>408</v>
      </c>
      <c r="E83" s="157" t="s">
        <v>437</v>
      </c>
      <c r="F83" s="157"/>
      <c r="G83" s="43" t="s">
        <v>71</v>
      </c>
      <c r="H83" s="46" t="s">
        <v>63</v>
      </c>
      <c r="I83" s="23" t="s">
        <v>56</v>
      </c>
      <c r="J83" s="41" t="s">
        <v>202</v>
      </c>
      <c r="K83" s="23" t="s">
        <v>343</v>
      </c>
      <c r="L83" s="43"/>
      <c r="M83" s="197" t="s">
        <v>34</v>
      </c>
      <c r="N83" s="26" t="s">
        <v>36</v>
      </c>
      <c r="O83" s="27"/>
      <c r="P83" s="28"/>
      <c r="Q83" s="28"/>
      <c r="R83" s="28"/>
      <c r="S83" s="28"/>
      <c r="T83" s="28">
        <v>46219</v>
      </c>
      <c r="U83" s="28">
        <f>WORKDAY(T83, U6, IF(U12="China",'China Holidays'!$A$2:$A$84,'Thai Holidays'!$A$2:$A$65))</f>
        <v>46247</v>
      </c>
      <c r="V83" s="28">
        <f>WORKDAY(U83, V6, IF(V12="China",'China Holidays'!$A$2:$A$84,'Thai Holidays'!$A$2:$A$65))</f>
        <v>46261</v>
      </c>
      <c r="W83" s="28">
        <f>V83</f>
        <v>46261</v>
      </c>
      <c r="X83" s="28">
        <f>WORKDAY(W83, X6, IF(X12="China",'China Holidays'!$A$2:$A$84,'Thai Holidays'!$A$2:$A$65))</f>
        <v>46265</v>
      </c>
      <c r="Y83" s="28">
        <f>WORKDAY(X83, Y6, IF(Y12="China",'China Holidays'!$A$2:$A$84,'Thai Holidays'!$A$2:$A$65))</f>
        <v>46272</v>
      </c>
      <c r="Z83" s="28">
        <f>WORKDAY(Y83, Z6, IF(Z12="China",'China Holidays'!$A$2:$A$84,'Thai Holidays'!$A$2:$A$65))</f>
        <v>46308</v>
      </c>
      <c r="AA83" s="28">
        <f>WORKDAY(Z83, AA6, IF(AA12="China",'China Holidays'!$A$2:$A$84,'Thai Holidays'!$A$2:$A$65))</f>
        <v>46323</v>
      </c>
      <c r="AB83" s="28">
        <f>AA83+30</f>
        <v>46353</v>
      </c>
      <c r="AC83" s="28">
        <f>AB83</f>
        <v>46353</v>
      </c>
      <c r="AD83" s="28">
        <f>AC83+2</f>
        <v>46355</v>
      </c>
      <c r="AE83" s="28">
        <f>AF83-20</f>
        <v>46379</v>
      </c>
      <c r="AF83" s="28">
        <f>AG83-30</f>
        <v>46399</v>
      </c>
      <c r="AG83" s="28">
        <f>AL83</f>
        <v>46429</v>
      </c>
      <c r="AH83" s="28">
        <f>AL82+3</f>
        <v>46474</v>
      </c>
      <c r="AI83" s="28">
        <f>AL82+30</f>
        <v>46501</v>
      </c>
      <c r="AJ83" s="81"/>
      <c r="AK83" s="79"/>
      <c r="AL83" s="83">
        <f>W83+AK82</f>
        <v>46429</v>
      </c>
      <c r="AM83" s="83"/>
      <c r="AN83" s="79"/>
      <c r="AO83" s="125"/>
      <c r="AP83" s="438"/>
      <c r="AQ83" s="21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425"/>
      <c r="BC83" s="411"/>
      <c r="BD83" s="411"/>
    </row>
    <row r="84" spans="1:56" s="3" customFormat="1" ht="15.4" thickTop="1" thickBot="1" x14ac:dyDescent="0.45">
      <c r="A84" s="442"/>
      <c r="B84" s="94" t="s">
        <v>413</v>
      </c>
      <c r="C84" s="72" t="s">
        <v>527</v>
      </c>
      <c r="D84" s="94" t="s">
        <v>408</v>
      </c>
      <c r="E84" s="158"/>
      <c r="F84" s="158"/>
      <c r="G84" s="45" t="s">
        <v>71</v>
      </c>
      <c r="H84" s="34" t="s">
        <v>63</v>
      </c>
      <c r="I84" s="32" t="s">
        <v>56</v>
      </c>
      <c r="J84" s="32" t="s">
        <v>202</v>
      </c>
      <c r="K84" s="32" t="s">
        <v>343</v>
      </c>
      <c r="L84" s="45"/>
      <c r="M84" s="198" t="s">
        <v>34</v>
      </c>
      <c r="N84" s="35" t="s">
        <v>37</v>
      </c>
      <c r="O84" s="36">
        <v>46174</v>
      </c>
      <c r="P84" s="36">
        <v>46148</v>
      </c>
      <c r="Q84" s="36">
        <v>46166</v>
      </c>
      <c r="R84" s="36">
        <v>46185</v>
      </c>
      <c r="S84" s="36">
        <v>46185</v>
      </c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82"/>
      <c r="AK84" s="80"/>
      <c r="AL84" s="37"/>
      <c r="AM84" s="37"/>
      <c r="AN84" s="80"/>
      <c r="AO84" s="144"/>
      <c r="AP84" s="439"/>
      <c r="AQ84" s="39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25"/>
      <c r="BC84" s="411"/>
      <c r="BD84" s="411"/>
    </row>
    <row r="85" spans="1:56" s="3" customFormat="1" ht="15.4" thickTop="1" thickBot="1" x14ac:dyDescent="0.45">
      <c r="A85" s="440">
        <f t="shared" ref="A85" si="17">A82+1</f>
        <v>22</v>
      </c>
      <c r="B85" s="92" t="s">
        <v>293</v>
      </c>
      <c r="C85" s="17" t="s">
        <v>389</v>
      </c>
      <c r="D85" s="229" t="s">
        <v>385</v>
      </c>
      <c r="E85" s="150"/>
      <c r="F85" s="150">
        <v>2</v>
      </c>
      <c r="G85" s="64" t="s">
        <v>71</v>
      </c>
      <c r="H85" s="16" t="s">
        <v>63</v>
      </c>
      <c r="I85" s="14" t="s">
        <v>56</v>
      </c>
      <c r="J85" s="14" t="s">
        <v>202</v>
      </c>
      <c r="K85" s="14" t="s">
        <v>343</v>
      </c>
      <c r="L85" s="42"/>
      <c r="M85" s="196" t="s">
        <v>34</v>
      </c>
      <c r="N85" s="18" t="s">
        <v>35</v>
      </c>
      <c r="O85" s="230">
        <v>46164</v>
      </c>
      <c r="P85" s="19">
        <v>46167</v>
      </c>
      <c r="Q85" s="19">
        <v>46175</v>
      </c>
      <c r="R85" s="19">
        <v>46176</v>
      </c>
      <c r="S85" s="19">
        <v>46183</v>
      </c>
      <c r="T85" s="19">
        <v>46198</v>
      </c>
      <c r="U85" s="19">
        <v>46226</v>
      </c>
      <c r="V85" s="19">
        <v>46233</v>
      </c>
      <c r="W85" s="57">
        <v>46247</v>
      </c>
      <c r="X85" s="19">
        <v>46251</v>
      </c>
      <c r="Y85" s="19">
        <v>46258</v>
      </c>
      <c r="Z85" s="19">
        <v>46286</v>
      </c>
      <c r="AA85" s="19">
        <v>46300</v>
      </c>
      <c r="AB85" s="19">
        <v>46330</v>
      </c>
      <c r="AC85" s="19">
        <v>46330</v>
      </c>
      <c r="AD85" s="19">
        <v>46332</v>
      </c>
      <c r="AE85" s="19">
        <v>46421</v>
      </c>
      <c r="AF85" s="19">
        <v>46441</v>
      </c>
      <c r="AG85" s="19">
        <v>46471</v>
      </c>
      <c r="AH85" s="19">
        <v>46474</v>
      </c>
      <c r="AI85" s="19">
        <v>46501</v>
      </c>
      <c r="AJ85" s="58">
        <v>24</v>
      </c>
      <c r="AK85" s="59">
        <f>AJ85*7</f>
        <v>168</v>
      </c>
      <c r="AL85" s="78">
        <v>46471</v>
      </c>
      <c r="AM85" s="78">
        <v>46485</v>
      </c>
      <c r="AN85" s="20">
        <f>AM85-AL86</f>
        <v>70</v>
      </c>
      <c r="AO85" s="143" t="s">
        <v>392</v>
      </c>
      <c r="AP85" s="437"/>
      <c r="AQ85" s="21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425"/>
      <c r="BC85" s="411"/>
      <c r="BD85" s="411"/>
    </row>
    <row r="86" spans="1:56" s="3" customFormat="1" ht="15.4" thickTop="1" thickBot="1" x14ac:dyDescent="0.45">
      <c r="A86" s="441"/>
      <c r="B86" s="93" t="s">
        <v>293</v>
      </c>
      <c r="C86" s="71" t="s">
        <v>389</v>
      </c>
      <c r="D86" s="24" t="s">
        <v>384</v>
      </c>
      <c r="E86" s="157"/>
      <c r="F86" s="157"/>
      <c r="G86" s="43" t="s">
        <v>71</v>
      </c>
      <c r="H86" s="46" t="s">
        <v>63</v>
      </c>
      <c r="I86" s="23" t="s">
        <v>56</v>
      </c>
      <c r="J86" s="41" t="s">
        <v>202</v>
      </c>
      <c r="K86" s="23" t="s">
        <v>343</v>
      </c>
      <c r="L86" s="43"/>
      <c r="M86" s="197" t="s">
        <v>34</v>
      </c>
      <c r="N86" s="26" t="s">
        <v>36</v>
      </c>
      <c r="O86" s="131">
        <v>46213</v>
      </c>
      <c r="P86" s="28"/>
      <c r="Q86" s="28"/>
      <c r="R86" s="28">
        <v>46213</v>
      </c>
      <c r="S86" s="28">
        <f>WORKDAY(R86, S6, IF(S12="China",'China Holidays'!$A$2:$A$84,'Thai Holidays'!$A$2:$A$65))</f>
        <v>46213</v>
      </c>
      <c r="T86" s="28">
        <v>46220</v>
      </c>
      <c r="U86" s="28">
        <f>WORKDAY(T86, U6, IF(U12="China",'China Holidays'!$A$2:$A$84,'Thai Holidays'!$A$2:$A$65))</f>
        <v>46248</v>
      </c>
      <c r="V86" s="28">
        <f>WORKDAY(T86, V6, IF(V12="China",'China Holidays'!$A$2:$A$84,'Thai Holidays'!$A$2:$A$65))</f>
        <v>46238</v>
      </c>
      <c r="W86" s="28">
        <f>W85</f>
        <v>46247</v>
      </c>
      <c r="X86" s="28">
        <f>WORKDAY(W86, X6, IF(X12="China",'China Holidays'!$A$2:$A$84,'Thai Holidays'!$A$2:$A$65))</f>
        <v>46251</v>
      </c>
      <c r="Y86" s="28">
        <f>WORKDAY(X86, Y6, IF(Y12="China",'China Holidays'!$A$2:$A$84,'Thai Holidays'!$A$2:$A$65))</f>
        <v>46258</v>
      </c>
      <c r="Z86" s="28">
        <f>WORKDAY(Y86, Z6, IF(Z12="China",'China Holidays'!$A$2:$A$84,'Thai Holidays'!$A$2:$A$65))</f>
        <v>46286</v>
      </c>
      <c r="AA86" s="28">
        <f>WORKDAY(Z86, AA6, IF(AA12="China",'China Holidays'!$A$2:$A$84,'Thai Holidays'!$A$2:$A$65))</f>
        <v>46300</v>
      </c>
      <c r="AB86" s="28">
        <f>AA86+30</f>
        <v>46330</v>
      </c>
      <c r="AC86" s="28">
        <f>WORKDAY(AB86, AC6, IF(AC12="China",'China Holidays'!$A$2:$A$84,'Thai Holidays'!$A$2:$A$65))</f>
        <v>46330</v>
      </c>
      <c r="AD86" s="28">
        <f>WORKDAY(AC86, AD6, IF(AD12="China",'China Holidays'!$A$2:$A$84,'Thai Holidays'!$A$2:$A$65))</f>
        <v>46330</v>
      </c>
      <c r="AE86" s="28">
        <f>AF86-20</f>
        <v>46365</v>
      </c>
      <c r="AF86" s="28">
        <f>AG86-30</f>
        <v>46385</v>
      </c>
      <c r="AG86" s="28">
        <f>AL86</f>
        <v>46415</v>
      </c>
      <c r="AH86" s="28">
        <f>AL85+3</f>
        <v>46474</v>
      </c>
      <c r="AI86" s="28">
        <f>AL85+30</f>
        <v>46501</v>
      </c>
      <c r="AJ86" s="81"/>
      <c r="AK86" s="79"/>
      <c r="AL86" s="83">
        <f>W86+AK85</f>
        <v>46415</v>
      </c>
      <c r="AM86" s="83"/>
      <c r="AN86" s="79"/>
      <c r="AO86" s="125"/>
      <c r="AP86" s="438"/>
      <c r="AQ86" s="21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425"/>
      <c r="BC86" s="411"/>
      <c r="BD86" s="411"/>
    </row>
    <row r="87" spans="1:56" s="3" customFormat="1" ht="15.4" thickTop="1" thickBot="1" x14ac:dyDescent="0.45">
      <c r="A87" s="442"/>
      <c r="B87" s="94" t="s">
        <v>293</v>
      </c>
      <c r="C87" s="72" t="s">
        <v>389</v>
      </c>
      <c r="D87" s="33" t="s">
        <v>384</v>
      </c>
      <c r="E87" s="158"/>
      <c r="F87" s="158"/>
      <c r="G87" s="45" t="s">
        <v>71</v>
      </c>
      <c r="H87" s="34" t="s">
        <v>63</v>
      </c>
      <c r="I87" s="32" t="s">
        <v>56</v>
      </c>
      <c r="J87" s="32" t="s">
        <v>202</v>
      </c>
      <c r="K87" s="32" t="s">
        <v>343</v>
      </c>
      <c r="L87" s="45"/>
      <c r="M87" s="198" t="s">
        <v>34</v>
      </c>
      <c r="N87" s="35" t="s">
        <v>37</v>
      </c>
      <c r="O87" s="36"/>
      <c r="P87" s="36">
        <v>46148</v>
      </c>
      <c r="Q87" s="36">
        <v>46166</v>
      </c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82"/>
      <c r="AK87" s="80"/>
      <c r="AL87" s="37"/>
      <c r="AM87" s="37"/>
      <c r="AN87" s="80"/>
      <c r="AO87" s="144"/>
      <c r="AP87" s="439"/>
      <c r="AQ87" s="39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25"/>
      <c r="BC87" s="411"/>
      <c r="BD87" s="411"/>
    </row>
    <row r="88" spans="1:56" s="3" customFormat="1" ht="15.4" thickTop="1" thickBot="1" x14ac:dyDescent="0.45">
      <c r="A88" s="440">
        <f t="shared" ref="A88" si="18">A85+1</f>
        <v>23</v>
      </c>
      <c r="B88" s="92" t="s">
        <v>293</v>
      </c>
      <c r="C88" s="14" t="s">
        <v>682</v>
      </c>
      <c r="D88" s="227" t="s">
        <v>382</v>
      </c>
      <c r="E88" s="150" t="s">
        <v>427</v>
      </c>
      <c r="F88" s="150">
        <v>1</v>
      </c>
      <c r="G88" s="64" t="s">
        <v>71</v>
      </c>
      <c r="H88" s="16" t="s">
        <v>63</v>
      </c>
      <c r="I88" s="14" t="s">
        <v>56</v>
      </c>
      <c r="J88" s="14" t="s">
        <v>202</v>
      </c>
      <c r="K88" s="14" t="s">
        <v>343</v>
      </c>
      <c r="L88" s="42"/>
      <c r="M88" s="196" t="s">
        <v>34</v>
      </c>
      <c r="N88" s="18" t="s">
        <v>35</v>
      </c>
      <c r="O88" s="19">
        <v>46164</v>
      </c>
      <c r="P88" s="19">
        <v>46167</v>
      </c>
      <c r="Q88" s="19">
        <v>46175</v>
      </c>
      <c r="R88" s="19">
        <v>46176</v>
      </c>
      <c r="S88" s="19">
        <v>46183</v>
      </c>
      <c r="T88" s="230">
        <v>46198</v>
      </c>
      <c r="U88" s="19">
        <v>46226</v>
      </c>
      <c r="V88" s="19">
        <v>46233</v>
      </c>
      <c r="W88" s="57">
        <v>46247</v>
      </c>
      <c r="X88" s="19">
        <v>46251</v>
      </c>
      <c r="Y88" s="19">
        <v>46258</v>
      </c>
      <c r="Z88" s="19">
        <v>46286</v>
      </c>
      <c r="AA88" s="19">
        <v>46300</v>
      </c>
      <c r="AB88" s="19">
        <v>46330</v>
      </c>
      <c r="AC88" s="19">
        <v>46330</v>
      </c>
      <c r="AD88" s="19">
        <v>46332</v>
      </c>
      <c r="AE88" s="19">
        <v>46421</v>
      </c>
      <c r="AF88" s="19">
        <v>46441</v>
      </c>
      <c r="AG88" s="19">
        <v>46471</v>
      </c>
      <c r="AH88" s="19">
        <v>46474</v>
      </c>
      <c r="AI88" s="19">
        <v>46501</v>
      </c>
      <c r="AJ88" s="58">
        <v>32</v>
      </c>
      <c r="AK88" s="59">
        <v>224</v>
      </c>
      <c r="AL88" s="78">
        <v>46471</v>
      </c>
      <c r="AM88" s="78">
        <v>46485</v>
      </c>
      <c r="AN88" s="20">
        <f>AM88-AL89</f>
        <v>-13</v>
      </c>
      <c r="AO88" s="143" t="s">
        <v>701</v>
      </c>
      <c r="AP88" s="437"/>
      <c r="AQ88" s="21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425"/>
      <c r="BC88" s="411"/>
      <c r="BD88" s="411"/>
    </row>
    <row r="89" spans="1:56" s="3" customFormat="1" ht="15.4" thickTop="1" thickBot="1" x14ac:dyDescent="0.45">
      <c r="A89" s="441"/>
      <c r="B89" s="93" t="s">
        <v>293</v>
      </c>
      <c r="C89" s="41" t="s">
        <v>301</v>
      </c>
      <c r="D89" s="24" t="s">
        <v>381</v>
      </c>
      <c r="E89" s="157" t="s">
        <v>428</v>
      </c>
      <c r="F89" s="157">
        <v>1</v>
      </c>
      <c r="G89" s="43" t="s">
        <v>71</v>
      </c>
      <c r="H89" s="46" t="s">
        <v>63</v>
      </c>
      <c r="I89" s="23" t="s">
        <v>56</v>
      </c>
      <c r="J89" s="41" t="s">
        <v>202</v>
      </c>
      <c r="K89" s="23" t="s">
        <v>343</v>
      </c>
      <c r="L89" s="43"/>
      <c r="M89" s="197" t="s">
        <v>34</v>
      </c>
      <c r="N89" s="26" t="s">
        <v>36</v>
      </c>
      <c r="O89" s="27"/>
      <c r="P89" s="28"/>
      <c r="Q89" s="28"/>
      <c r="R89" s="28"/>
      <c r="S89" s="28"/>
      <c r="T89" s="28">
        <v>46219</v>
      </c>
      <c r="U89" s="28">
        <f>WORKDAY(T89, U6, IF(U12="China",'China Holidays'!$A$2:$A$84,'Thai Holidays'!$A$2:$A$65))</f>
        <v>46247</v>
      </c>
      <c r="V89" s="28">
        <f>WORKDAY(U89, V6, IF(V12="China",'China Holidays'!$A$2:$A$84,'Thai Holidays'!$A$2:$A$65))</f>
        <v>46261</v>
      </c>
      <c r="W89" s="28">
        <f>WORKDAY(V89, W6, IF(W12="China",'China Holidays'!$A$2:$A$84,'Thai Holidays'!$A$2:$A$65))</f>
        <v>46274</v>
      </c>
      <c r="X89" s="28">
        <f>WORKDAY(W89, X6, IF(X12="China",'China Holidays'!$A$2:$A$84,'Thai Holidays'!$A$2:$A$65))</f>
        <v>46276</v>
      </c>
      <c r="Y89" s="28">
        <f>WORKDAY(X89, Y6, IF(Y12="China",'China Holidays'!$A$2:$A$84,'Thai Holidays'!$A$2:$A$65))</f>
        <v>46283</v>
      </c>
      <c r="Z89" s="28">
        <f>WORKDAY(Y89, Z6, IF(Z12="China",'China Holidays'!$A$2:$A$84,'Thai Holidays'!$A$2:$A$65))</f>
        <v>46321</v>
      </c>
      <c r="AA89" s="28">
        <f>WORKDAY(Z89, AA6, IF(AA12="China",'China Holidays'!$A$2:$A$84,'Thai Holidays'!$A$2:$A$65))</f>
        <v>46335</v>
      </c>
      <c r="AB89" s="28">
        <f>AA89+30</f>
        <v>46365</v>
      </c>
      <c r="AC89" s="28">
        <f>AB89</f>
        <v>46365</v>
      </c>
      <c r="AD89" s="28">
        <f>AC89+2</f>
        <v>46367</v>
      </c>
      <c r="AE89" s="28">
        <f>AF89-20</f>
        <v>46448</v>
      </c>
      <c r="AF89" s="28">
        <f>AG89-30</f>
        <v>46468</v>
      </c>
      <c r="AG89" s="28">
        <f>AL89</f>
        <v>46498</v>
      </c>
      <c r="AH89" s="28">
        <f>AL88+3</f>
        <v>46474</v>
      </c>
      <c r="AI89" s="28">
        <f>AL88+30</f>
        <v>46501</v>
      </c>
      <c r="AJ89" s="81"/>
      <c r="AK89" s="79"/>
      <c r="AL89" s="83">
        <f>W89+AK88</f>
        <v>46498</v>
      </c>
      <c r="AM89" s="83"/>
      <c r="AN89" s="79"/>
      <c r="AO89" s="125"/>
      <c r="AP89" s="438"/>
      <c r="AQ89" s="21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425"/>
      <c r="BC89" s="411"/>
      <c r="BD89" s="411"/>
    </row>
    <row r="90" spans="1:56" s="3" customFormat="1" ht="15.4" thickTop="1" thickBot="1" x14ac:dyDescent="0.45">
      <c r="A90" s="442"/>
      <c r="B90" s="94" t="s">
        <v>293</v>
      </c>
      <c r="C90" s="32" t="s">
        <v>301</v>
      </c>
      <c r="D90" s="48" t="s">
        <v>381</v>
      </c>
      <c r="E90" s="158"/>
      <c r="F90" s="158"/>
      <c r="G90" s="45" t="s">
        <v>71</v>
      </c>
      <c r="H90" s="34" t="s">
        <v>63</v>
      </c>
      <c r="I90" s="32" t="s">
        <v>56</v>
      </c>
      <c r="J90" s="32" t="s">
        <v>202</v>
      </c>
      <c r="K90" s="32" t="s">
        <v>343</v>
      </c>
      <c r="L90" s="45"/>
      <c r="M90" s="198" t="s">
        <v>34</v>
      </c>
      <c r="N90" s="35" t="s">
        <v>37</v>
      </c>
      <c r="O90" s="36">
        <v>46174</v>
      </c>
      <c r="P90" s="36">
        <v>46148</v>
      </c>
      <c r="Q90" s="36">
        <v>46166</v>
      </c>
      <c r="R90" s="36">
        <v>46183</v>
      </c>
      <c r="S90" s="36">
        <v>46183</v>
      </c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82"/>
      <c r="AK90" s="80"/>
      <c r="AL90" s="37"/>
      <c r="AM90" s="37"/>
      <c r="AN90" s="80"/>
      <c r="AO90" s="144"/>
      <c r="AP90" s="439"/>
      <c r="AQ90" s="39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25"/>
      <c r="BC90" s="411"/>
      <c r="BD90" s="411"/>
    </row>
    <row r="91" spans="1:56" s="3" customFormat="1" ht="15.4" thickTop="1" thickBot="1" x14ac:dyDescent="0.45">
      <c r="A91" s="440">
        <f t="shared" ref="A91" si="19">A88+1</f>
        <v>24</v>
      </c>
      <c r="B91" s="92" t="s">
        <v>293</v>
      </c>
      <c r="C91" s="47" t="s">
        <v>416</v>
      </c>
      <c r="D91" s="227" t="s">
        <v>415</v>
      </c>
      <c r="E91" s="154" t="s">
        <v>438</v>
      </c>
      <c r="F91" s="154">
        <v>2</v>
      </c>
      <c r="G91" s="64" t="s">
        <v>71</v>
      </c>
      <c r="H91" s="16" t="s">
        <v>63</v>
      </c>
      <c r="I91" s="14" t="s">
        <v>56</v>
      </c>
      <c r="J91" s="14" t="s">
        <v>1</v>
      </c>
      <c r="K91" s="14" t="s">
        <v>308</v>
      </c>
      <c r="L91" s="42"/>
      <c r="M91" s="196" t="s">
        <v>34</v>
      </c>
      <c r="N91" s="18" t="s">
        <v>35</v>
      </c>
      <c r="O91" s="19">
        <v>46220</v>
      </c>
      <c r="P91" s="19">
        <v>46223</v>
      </c>
      <c r="Q91" s="19">
        <v>46230</v>
      </c>
      <c r="R91" s="19">
        <v>46231</v>
      </c>
      <c r="S91" s="19">
        <v>46239</v>
      </c>
      <c r="T91" s="19">
        <v>46253</v>
      </c>
      <c r="U91" s="230">
        <v>46281</v>
      </c>
      <c r="V91" s="19">
        <v>46286</v>
      </c>
      <c r="W91" s="19">
        <v>46308</v>
      </c>
      <c r="X91" s="19">
        <v>46310</v>
      </c>
      <c r="Y91" s="19">
        <v>46317</v>
      </c>
      <c r="Z91" s="19">
        <v>46345</v>
      </c>
      <c r="AA91" s="19">
        <v>46359</v>
      </c>
      <c r="AB91" s="19">
        <v>46389</v>
      </c>
      <c r="AC91" s="19">
        <v>46389</v>
      </c>
      <c r="AD91" s="19">
        <v>46391</v>
      </c>
      <c r="AE91" s="19">
        <v>46454</v>
      </c>
      <c r="AF91" s="19">
        <v>46474</v>
      </c>
      <c r="AG91" s="19">
        <v>46504</v>
      </c>
      <c r="AH91" s="19">
        <v>46507</v>
      </c>
      <c r="AI91" s="19">
        <v>46534</v>
      </c>
      <c r="AJ91" s="58">
        <v>28</v>
      </c>
      <c r="AK91" s="59">
        <v>196</v>
      </c>
      <c r="AL91" s="78">
        <v>46504</v>
      </c>
      <c r="AM91" s="78">
        <v>46515</v>
      </c>
      <c r="AN91" s="20">
        <f>AM91-AL92</f>
        <v>11</v>
      </c>
      <c r="AO91" s="143" t="s">
        <v>701</v>
      </c>
      <c r="AP91" s="437" t="s">
        <v>707</v>
      </c>
      <c r="AQ91" s="21">
        <f>IF(ISERROR(LOOKUP(AQ$10,$O91:$AP91,#REF!)),0,(LOOKUP(AQ$10,$O91:$AP91,#REF!)))</f>
        <v>0</v>
      </c>
      <c r="AR91" s="22">
        <f>IF(ISERROR(LOOKUP(AR$10,$O91:$AP91,#REF!)),0,(LOOKUP(AR$10,$O91:$AP91,#REF!)))</f>
        <v>0</v>
      </c>
      <c r="AS91" s="22">
        <f>IF(ISERROR(LOOKUP(AS$10,$O91:$AP91,#REF!)),0,(LOOKUP(AS$10,$O91:$AP91,#REF!)))</f>
        <v>0</v>
      </c>
      <c r="AT91" s="22">
        <f>IF(ISERROR(LOOKUP(AT$10,$O91:$AP91,#REF!)),0,(LOOKUP(AT$10,$O91:$AP91,#REF!)))</f>
        <v>0</v>
      </c>
      <c r="AU91" s="22">
        <f>IF(ISERROR(LOOKUP(AU$10,$O91:$AP91,#REF!)),0,(LOOKUP(AU$10,$O91:$AP91,#REF!)))</f>
        <v>0</v>
      </c>
      <c r="AV91" s="22">
        <f>IF(ISERROR(LOOKUP(AV$10,$O91:$AP91,#REF!)),0,(LOOKUP(AV$10,$O91:$AP91,#REF!)))</f>
        <v>0</v>
      </c>
      <c r="AW91" s="22">
        <f>IF(ISERROR(LOOKUP(AW$10,$O91:$AP91,#REF!)),0,(LOOKUP(AW$10,$O91:$AP91,#REF!)))</f>
        <v>0</v>
      </c>
      <c r="AX91" s="22">
        <f>IF(ISERROR(LOOKUP(AX$10,$O91:$AP91,#REF!)),0,(LOOKUP(AX$10,$O91:$AP91,#REF!)))</f>
        <v>0</v>
      </c>
      <c r="AY91" s="22">
        <f>IF(ISERROR(LOOKUP(AY$10,$O91:$AP91,#REF!)),0,(LOOKUP(AY$10,$O91:$AP91,#REF!)))</f>
        <v>0</v>
      </c>
      <c r="AZ91" s="22">
        <f>IF(ISERROR(LOOKUP(AZ$10,$O91:$AP91,#REF!)),0,(LOOKUP(AZ$10,$O91:$AP91,#REF!)))</f>
        <v>0</v>
      </c>
      <c r="BA91" s="22">
        <f ca="1">IF(ISERROR(LOOKUP(BA$10,$O91:$AP91,#REF!)),0,(LOOKUP(BA$10,$O91:$AP91,#REF!)))</f>
        <v>0</v>
      </c>
      <c r="BB91" s="425"/>
      <c r="BC91" s="411"/>
      <c r="BD91" s="411"/>
    </row>
    <row r="92" spans="1:56" s="3" customFormat="1" ht="15.4" thickTop="1" thickBot="1" x14ac:dyDescent="0.45">
      <c r="A92" s="441"/>
      <c r="B92" s="93" t="s">
        <v>293</v>
      </c>
      <c r="C92" s="114" t="s">
        <v>416</v>
      </c>
      <c r="D92" s="24" t="s">
        <v>414</v>
      </c>
      <c r="E92" s="155" t="s">
        <v>439</v>
      </c>
      <c r="F92" s="155">
        <v>2</v>
      </c>
      <c r="G92" s="43" t="s">
        <v>71</v>
      </c>
      <c r="H92" s="46" t="s">
        <v>63</v>
      </c>
      <c r="I92" s="23" t="s">
        <v>56</v>
      </c>
      <c r="J92" s="41" t="s">
        <v>1</v>
      </c>
      <c r="K92" s="41" t="s">
        <v>308</v>
      </c>
      <c r="L92" s="43"/>
      <c r="M92" s="197" t="s">
        <v>34</v>
      </c>
      <c r="N92" s="26" t="s">
        <v>36</v>
      </c>
      <c r="O92" s="27"/>
      <c r="P92" s="28"/>
      <c r="Q92" s="28"/>
      <c r="R92" s="28"/>
      <c r="S92" s="28"/>
      <c r="T92" s="28"/>
      <c r="U92" s="28">
        <f>U91</f>
        <v>46281</v>
      </c>
      <c r="V92" s="28">
        <f>WORKDAY(U92, V6, IF(V12="China",'China Holidays'!$A$2:$A$84,'Thai Holidays'!$A$2:$A$65))</f>
        <v>46295</v>
      </c>
      <c r="W92" s="28">
        <f>W91</f>
        <v>46308</v>
      </c>
      <c r="X92" s="28">
        <f>WORKDAY(W92, X6, IF(X12="China",'China Holidays'!$A$2:$A$84,'Thai Holidays'!$A$2:$A$65))</f>
        <v>46310</v>
      </c>
      <c r="Y92" s="28">
        <f>WORKDAY(X92, Y6, IF(Y12="China",'China Holidays'!$A$2:$A$84,'Thai Holidays'!$A$2:$A$65))</f>
        <v>46317</v>
      </c>
      <c r="Z92" s="28">
        <f>WORKDAY(Y92, Z6, IF(Z12="China",'China Holidays'!$A$2:$A$84,'Thai Holidays'!$A$2:$A$65))</f>
        <v>46345</v>
      </c>
      <c r="AA92" s="28">
        <f>WORKDAY(Z92, AA6, IF(AA12="China",'China Holidays'!$A$2:$A$84,'Thai Holidays'!$A$2:$A$65))</f>
        <v>46359</v>
      </c>
      <c r="AB92" s="28">
        <f>AA92+30</f>
        <v>46389</v>
      </c>
      <c r="AC92" s="28">
        <f>AB92</f>
        <v>46389</v>
      </c>
      <c r="AD92" s="28">
        <f>AC92+2</f>
        <v>46391</v>
      </c>
      <c r="AE92" s="28">
        <f>AF92-15</f>
        <v>46459</v>
      </c>
      <c r="AF92" s="28">
        <f>AG92-30</f>
        <v>46474</v>
      </c>
      <c r="AG92" s="28">
        <f>AL92</f>
        <v>46504</v>
      </c>
      <c r="AH92" s="28">
        <f>AL91+3</f>
        <v>46507</v>
      </c>
      <c r="AI92" s="28">
        <f>AL91+30</f>
        <v>46534</v>
      </c>
      <c r="AJ92" s="89"/>
      <c r="AK92" s="89"/>
      <c r="AL92" s="83">
        <f>W92+AK91</f>
        <v>46504</v>
      </c>
      <c r="AM92" s="83"/>
      <c r="AN92" s="29"/>
      <c r="AO92" s="141"/>
      <c r="AP92" s="438"/>
      <c r="AQ92" s="21">
        <f>IF(ISERROR(LOOKUP(AQ$10,$O92:$AP92,#REF!)),0,(LOOKUP(AQ$10,$O92:$AP92,#REF!)))</f>
        <v>0</v>
      </c>
      <c r="AR92" s="22">
        <f>IF(ISERROR(LOOKUP(AR$10,$O92:$AP92,#REF!)),0,(LOOKUP(AR$10,$O92:$AP92,#REF!)))</f>
        <v>0</v>
      </c>
      <c r="AS92" s="22">
        <f>IF(ISERROR(LOOKUP(AS$10,$O92:$AP92,#REF!)),0,(LOOKUP(AS$10,$O92:$AP92,#REF!)))</f>
        <v>0</v>
      </c>
      <c r="AT92" s="22">
        <f>IF(ISERROR(LOOKUP(AT$10,$O92:$AP92,#REF!)),0,(LOOKUP(AT$10,$O92:$AP92,#REF!)))</f>
        <v>0</v>
      </c>
      <c r="AU92" s="22">
        <f>IF(ISERROR(LOOKUP(AU$10,$O92:$AP92,#REF!)),0,(LOOKUP(AU$10,$O92:$AP92,#REF!)))</f>
        <v>0</v>
      </c>
      <c r="AV92" s="22">
        <f>IF(ISERROR(LOOKUP(AV$10,$O92:$AP92,#REF!)),0,(LOOKUP(AV$10,$O92:$AP92,#REF!)))</f>
        <v>0</v>
      </c>
      <c r="AW92" s="22">
        <f>IF(ISERROR(LOOKUP(AW$10,$O92:$AP92,#REF!)),0,(LOOKUP(AW$10,$O92:$AP92,#REF!)))</f>
        <v>0</v>
      </c>
      <c r="AX92" s="22">
        <f>IF(ISERROR(LOOKUP(AX$10,$O92:$AP92,#REF!)),0,(LOOKUP(AX$10,$O92:$AP92,#REF!)))</f>
        <v>0</v>
      </c>
      <c r="AY92" s="22">
        <f>IF(ISERROR(LOOKUP(AY$10,$O92:$AP92,#REF!)),0,(LOOKUP(AY$10,$O92:$AP92,#REF!)))</f>
        <v>0</v>
      </c>
      <c r="AZ92" s="22">
        <f>IF(ISERROR(LOOKUP(AZ$10,$O92:$AP92,#REF!)),0,(LOOKUP(AZ$10,$O92:$AP92,#REF!)))</f>
        <v>0</v>
      </c>
      <c r="BA92" s="22">
        <f ca="1">IF(ISERROR(LOOKUP(BA$10,$O92:$AP92,#REF!)),0,(LOOKUP(BA$10,$O92:$AP92,#REF!)))</f>
        <v>0</v>
      </c>
      <c r="BB92" s="425"/>
      <c r="BC92" s="411"/>
      <c r="BD92" s="411"/>
    </row>
    <row r="93" spans="1:56" s="3" customFormat="1" ht="15.4" thickTop="1" thickBot="1" x14ac:dyDescent="0.45">
      <c r="A93" s="442"/>
      <c r="B93" s="94" t="s">
        <v>293</v>
      </c>
      <c r="C93" s="48" t="s">
        <v>416</v>
      </c>
      <c r="D93" s="48" t="s">
        <v>414</v>
      </c>
      <c r="E93" s="182" t="s">
        <v>440</v>
      </c>
      <c r="F93" s="182">
        <v>1</v>
      </c>
      <c r="G93" s="45" t="s">
        <v>71</v>
      </c>
      <c r="H93" s="34" t="s">
        <v>63</v>
      </c>
      <c r="I93" s="32" t="s">
        <v>56</v>
      </c>
      <c r="J93" s="32" t="s">
        <v>1</v>
      </c>
      <c r="K93" s="32" t="s">
        <v>308</v>
      </c>
      <c r="L93" s="45"/>
      <c r="M93" s="198" t="s">
        <v>34</v>
      </c>
      <c r="N93" s="35" t="s">
        <v>37</v>
      </c>
      <c r="O93" s="36">
        <v>46184</v>
      </c>
      <c r="P93" s="36">
        <v>46148</v>
      </c>
      <c r="Q93" s="36">
        <v>46166</v>
      </c>
      <c r="R93" s="36">
        <v>46184</v>
      </c>
      <c r="S93" s="36">
        <v>46184</v>
      </c>
      <c r="T93" s="36">
        <v>46195</v>
      </c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82"/>
      <c r="AK93" s="80"/>
      <c r="AL93" s="37"/>
      <c r="AM93" s="37"/>
      <c r="AN93" s="38"/>
      <c r="AO93" s="142"/>
      <c r="AP93" s="439"/>
      <c r="AQ93" s="39">
        <f>IF(ISERROR(LOOKUP(AQ$10,$O93:$AP93,#REF!)),0,(LOOKUP(AQ$10,$O93:$AP93,#REF!)))</f>
        <v>0</v>
      </c>
      <c r="AR93" s="40">
        <f>IF(ISERROR(LOOKUP(AR$10,$O93:$AP93,#REF!)),0,(LOOKUP(AR$10,$O93:$AP93,#REF!)))</f>
        <v>0</v>
      </c>
      <c r="AS93" s="40">
        <f>IF(ISERROR(LOOKUP(AS$10,$O93:$AP93,#REF!)),0,(LOOKUP(AS$10,$O93:$AP93,#REF!)))</f>
        <v>0</v>
      </c>
      <c r="AT93" s="40">
        <f>IF(ISERROR(LOOKUP(AT$10,$O93:$AP93,#REF!)),0,(LOOKUP(AT$10,$O93:$AP93,#REF!)))</f>
        <v>0</v>
      </c>
      <c r="AU93" s="40">
        <f>IF(ISERROR(LOOKUP(AU$10,$O93:$AP93,#REF!)),0,(LOOKUP(AU$10,$O93:$AP93,#REF!)))</f>
        <v>0</v>
      </c>
      <c r="AV93" s="40">
        <f>IF(ISERROR(LOOKUP(AV$10,$O93:$AP93,#REF!)),0,(LOOKUP(AV$10,$O93:$AP93,#REF!)))</f>
        <v>0</v>
      </c>
      <c r="AW93" s="40">
        <f>IF(ISERROR(LOOKUP(AW$10,$O93:$AP93,#REF!)),0,(LOOKUP(AW$10,$O93:$AP93,#REF!)))</f>
        <v>0</v>
      </c>
      <c r="AX93" s="40">
        <f>IF(ISERROR(LOOKUP(AX$10,$O93:$AP93,#REF!)),0,(LOOKUP(AX$10,$O93:$AP93,#REF!)))</f>
        <v>0</v>
      </c>
      <c r="AY93" s="40">
        <f>IF(ISERROR(LOOKUP(AY$10,$O93:$AP93,#REF!)),0,(LOOKUP(AY$10,$O93:$AP93,#REF!)))</f>
        <v>0</v>
      </c>
      <c r="AZ93" s="40">
        <f>IF(ISERROR(LOOKUP(AZ$10,$O93:$AP93,#REF!)),0,(LOOKUP(AZ$10,$O93:$AP93,#REF!)))</f>
        <v>0</v>
      </c>
      <c r="BA93" s="40">
        <f ca="1">IF(ISERROR(LOOKUP(BA$10,$O93:$AP93,#REF!)),0,(LOOKUP(BA$10,$O93:$AP93,#REF!)))</f>
        <v>0</v>
      </c>
      <c r="BB93" s="425"/>
      <c r="BC93" s="411"/>
      <c r="BD93" s="411"/>
    </row>
    <row r="94" spans="1:56" s="3" customFormat="1" ht="24" thickTop="1" thickBot="1" x14ac:dyDescent="0.45">
      <c r="A94" s="440">
        <f t="shared" ref="A94" si="20">A91+1</f>
        <v>25</v>
      </c>
      <c r="B94" s="92" t="s">
        <v>293</v>
      </c>
      <c r="C94" s="47" t="s">
        <v>417</v>
      </c>
      <c r="D94" s="227" t="s">
        <v>830</v>
      </c>
      <c r="E94" s="154" t="s">
        <v>441</v>
      </c>
      <c r="F94" s="154">
        <v>4</v>
      </c>
      <c r="G94" s="64" t="s">
        <v>71</v>
      </c>
      <c r="H94" s="16" t="s">
        <v>63</v>
      </c>
      <c r="I94" s="14" t="s">
        <v>56</v>
      </c>
      <c r="J94" s="14" t="s">
        <v>1</v>
      </c>
      <c r="K94" s="14" t="s">
        <v>308</v>
      </c>
      <c r="L94" s="42" t="s">
        <v>914</v>
      </c>
      <c r="M94" s="196" t="s">
        <v>34</v>
      </c>
      <c r="N94" s="18" t="s">
        <v>35</v>
      </c>
      <c r="O94" s="230">
        <v>46220</v>
      </c>
      <c r="P94" s="19">
        <v>46223</v>
      </c>
      <c r="Q94" s="19">
        <v>46230</v>
      </c>
      <c r="R94" s="19">
        <v>46231</v>
      </c>
      <c r="S94" s="19">
        <v>46239</v>
      </c>
      <c r="T94" s="19">
        <v>46253</v>
      </c>
      <c r="U94" s="19">
        <v>46281</v>
      </c>
      <c r="V94" s="19">
        <v>46286</v>
      </c>
      <c r="W94" s="19">
        <v>46308</v>
      </c>
      <c r="X94" s="19">
        <v>46310</v>
      </c>
      <c r="Y94" s="19">
        <v>46317</v>
      </c>
      <c r="Z94" s="19">
        <v>46345</v>
      </c>
      <c r="AA94" s="19">
        <v>46359</v>
      </c>
      <c r="AB94" s="19">
        <v>46389</v>
      </c>
      <c r="AC94" s="19">
        <v>46389</v>
      </c>
      <c r="AD94" s="19">
        <v>46391</v>
      </c>
      <c r="AE94" s="19">
        <v>46454</v>
      </c>
      <c r="AF94" s="19">
        <v>46474</v>
      </c>
      <c r="AG94" s="19">
        <v>46504</v>
      </c>
      <c r="AH94" s="19">
        <v>46507</v>
      </c>
      <c r="AI94" s="19">
        <v>46534</v>
      </c>
      <c r="AJ94" s="58">
        <v>28</v>
      </c>
      <c r="AK94" s="59">
        <v>196</v>
      </c>
      <c r="AL94" s="78">
        <v>46504</v>
      </c>
      <c r="AM94" s="78">
        <v>46515</v>
      </c>
      <c r="AN94" s="20">
        <f>AM94-AL95</f>
        <v>11</v>
      </c>
      <c r="AO94" s="143"/>
      <c r="AP94" s="437"/>
      <c r="AQ94" s="21">
        <f>IF(ISERROR(LOOKUP(AQ$10,$O94:$AP94,#REF!)),0,(LOOKUP(AQ$10,$O94:$AP94,#REF!)))</f>
        <v>0</v>
      </c>
      <c r="AR94" s="22">
        <f>IF(ISERROR(LOOKUP(AR$10,$O94:$AP94,#REF!)),0,(LOOKUP(AR$10,$O94:$AP94,#REF!)))</f>
        <v>0</v>
      </c>
      <c r="AS94" s="22">
        <f>IF(ISERROR(LOOKUP(AS$10,$O94:$AP94,#REF!)),0,(LOOKUP(AS$10,$O94:$AP94,#REF!)))</f>
        <v>0</v>
      </c>
      <c r="AT94" s="22">
        <f>IF(ISERROR(LOOKUP(AT$10,$O94:$AP94,#REF!)),0,(LOOKUP(AT$10,$O94:$AP94,#REF!)))</f>
        <v>0</v>
      </c>
      <c r="AU94" s="22">
        <f>IF(ISERROR(LOOKUP(AU$10,$O94:$AP94,#REF!)),0,(LOOKUP(AU$10,$O94:$AP94,#REF!)))</f>
        <v>0</v>
      </c>
      <c r="AV94" s="22">
        <f>IF(ISERROR(LOOKUP(AV$10,$O94:$AP94,#REF!)),0,(LOOKUP(AV$10,$O94:$AP94,#REF!)))</f>
        <v>0</v>
      </c>
      <c r="AW94" s="22">
        <f>IF(ISERROR(LOOKUP(AW$10,$O94:$AP94,#REF!)),0,(LOOKUP(AW$10,$O94:$AP94,#REF!)))</f>
        <v>0</v>
      </c>
      <c r="AX94" s="22">
        <f>IF(ISERROR(LOOKUP(AX$10,$O94:$AP94,#REF!)),0,(LOOKUP(AX$10,$O94:$AP94,#REF!)))</f>
        <v>0</v>
      </c>
      <c r="AY94" s="22">
        <f>IF(ISERROR(LOOKUP(AY$10,$O94:$AP94,#REF!)),0,(LOOKUP(AY$10,$O94:$AP94,#REF!)))</f>
        <v>0</v>
      </c>
      <c r="AZ94" s="22">
        <f>IF(ISERROR(LOOKUP(AZ$10,$O94:$AP94,#REF!)),0,(LOOKUP(AZ$10,$O94:$AP94,#REF!)))</f>
        <v>0</v>
      </c>
      <c r="BA94" s="22">
        <f ca="1">IF(ISERROR(LOOKUP(BA$10,$O94:$AP94,#REF!)),0,(LOOKUP(BA$10,$O94:$AP94,#REF!)))</f>
        <v>0</v>
      </c>
      <c r="BB94" s="425"/>
      <c r="BC94" s="411"/>
      <c r="BD94" s="411"/>
    </row>
    <row r="95" spans="1:56" s="3" customFormat="1" ht="24" thickTop="1" thickBot="1" x14ac:dyDescent="0.45">
      <c r="A95" s="441"/>
      <c r="B95" s="93" t="s">
        <v>293</v>
      </c>
      <c r="C95" s="114" t="s">
        <v>417</v>
      </c>
      <c r="D95" s="209" t="s">
        <v>830</v>
      </c>
      <c r="E95" s="155" t="s">
        <v>442</v>
      </c>
      <c r="F95" s="155">
        <v>1</v>
      </c>
      <c r="G95" s="43" t="s">
        <v>71</v>
      </c>
      <c r="H95" s="46" t="s">
        <v>63</v>
      </c>
      <c r="I95" s="23" t="s">
        <v>56</v>
      </c>
      <c r="J95" s="41" t="s">
        <v>1</v>
      </c>
      <c r="K95" s="41" t="s">
        <v>308</v>
      </c>
      <c r="L95" s="43"/>
      <c r="M95" s="197" t="s">
        <v>34</v>
      </c>
      <c r="N95" s="26" t="s">
        <v>36</v>
      </c>
      <c r="O95" s="27">
        <v>46202</v>
      </c>
      <c r="P95" s="28"/>
      <c r="Q95" s="28"/>
      <c r="R95" s="28">
        <f>R94</f>
        <v>46231</v>
      </c>
      <c r="S95" s="28">
        <f>WORKDAY(R95, S6, IF(S12="China",'China Holidays'!$A$2:$A$84,'Thai Holidays'!$A$2:$A$65))</f>
        <v>46231</v>
      </c>
      <c r="T95" s="28">
        <f>WORKDAY(S95, T6, IF(T12="China",'China Holidays'!$A$2:$A$84,'Thai Holidays'!$A$2:$A$65))</f>
        <v>46245</v>
      </c>
      <c r="U95" s="28">
        <f>WORKDAY(T95, U6, IF(U12="China",'China Holidays'!$A$2:$A$84,'Thai Holidays'!$A$2:$A$65))</f>
        <v>46269</v>
      </c>
      <c r="V95" s="28">
        <f>WORKDAY(U95, V6, IF(V12="China",'China Holidays'!$A$2:$A$84,'Thai Holidays'!$A$2:$A$65))</f>
        <v>46283</v>
      </c>
      <c r="W95" s="28">
        <f>W94</f>
        <v>46308</v>
      </c>
      <c r="X95" s="28">
        <f>WORKDAY(W95, X6, IF(X12="China",'China Holidays'!$A$2:$A$84,'Thai Holidays'!$A$2:$A$65))</f>
        <v>46310</v>
      </c>
      <c r="Y95" s="28">
        <f>WORKDAY(X95, Y6, IF(Y12="China",'China Holidays'!$A$2:$A$84,'Thai Holidays'!$A$2:$A$65))</f>
        <v>46317</v>
      </c>
      <c r="Z95" s="28">
        <f>WORKDAY(Y95, Z6, IF(Z12="China",'China Holidays'!$A$2:$A$84,'Thai Holidays'!$A$2:$A$65))</f>
        <v>46345</v>
      </c>
      <c r="AA95" s="28">
        <f>WORKDAY(Z95, AA6, IF(AA12="China",'China Holidays'!$A$2:$A$84,'Thai Holidays'!$A$2:$A$65))</f>
        <v>46359</v>
      </c>
      <c r="AB95" s="28">
        <f>AA95+30</f>
        <v>46389</v>
      </c>
      <c r="AC95" s="28">
        <f>AB95</f>
        <v>46389</v>
      </c>
      <c r="AD95" s="28">
        <f>AC95+2</f>
        <v>46391</v>
      </c>
      <c r="AE95" s="28">
        <f>AF95-15</f>
        <v>46459</v>
      </c>
      <c r="AF95" s="28">
        <f>AG95-30</f>
        <v>46474</v>
      </c>
      <c r="AG95" s="28">
        <f>AL95</f>
        <v>46504</v>
      </c>
      <c r="AH95" s="28">
        <f>AL94+3</f>
        <v>46507</v>
      </c>
      <c r="AI95" s="28">
        <f>AL94+30</f>
        <v>46534</v>
      </c>
      <c r="AJ95" s="89"/>
      <c r="AK95" s="89"/>
      <c r="AL95" s="83">
        <f>W95+AK94</f>
        <v>46504</v>
      </c>
      <c r="AM95" s="83"/>
      <c r="AN95" s="29"/>
      <c r="AO95" s="141"/>
      <c r="AP95" s="438"/>
      <c r="AQ95" s="21">
        <f>IF(ISERROR(LOOKUP(AQ$10,$O95:$AP95,#REF!)),0,(LOOKUP(AQ$10,$O95:$AP95,#REF!)))</f>
        <v>0</v>
      </c>
      <c r="AR95" s="22">
        <f>IF(ISERROR(LOOKUP(AR$10,$O95:$AP95,#REF!)),0,(LOOKUP(AR$10,$O95:$AP95,#REF!)))</f>
        <v>0</v>
      </c>
      <c r="AS95" s="22">
        <f>IF(ISERROR(LOOKUP(AS$10,$O95:$AP95,#REF!)),0,(LOOKUP(AS$10,$O95:$AP95,#REF!)))</f>
        <v>0</v>
      </c>
      <c r="AT95" s="22">
        <f>IF(ISERROR(LOOKUP(AT$10,$O95:$AP95,#REF!)),0,(LOOKUP(AT$10,$O95:$AP95,#REF!)))</f>
        <v>0</v>
      </c>
      <c r="AU95" s="22">
        <f>IF(ISERROR(LOOKUP(AU$10,$O95:$AP95,#REF!)),0,(LOOKUP(AU$10,$O95:$AP95,#REF!)))</f>
        <v>0</v>
      </c>
      <c r="AV95" s="22">
        <f>IF(ISERROR(LOOKUP(AV$10,$O95:$AP95,#REF!)),0,(LOOKUP(AV$10,$O95:$AP95,#REF!)))</f>
        <v>0</v>
      </c>
      <c r="AW95" s="22">
        <f>IF(ISERROR(LOOKUP(AW$10,$O95:$AP95,#REF!)),0,(LOOKUP(AW$10,$O95:$AP95,#REF!)))</f>
        <v>0</v>
      </c>
      <c r="AX95" s="22">
        <f>IF(ISERROR(LOOKUP(AX$10,$O95:$AP95,#REF!)),0,(LOOKUP(AX$10,$O95:$AP95,#REF!)))</f>
        <v>0</v>
      </c>
      <c r="AY95" s="22">
        <f>IF(ISERROR(LOOKUP(AY$10,$O95:$AP95,#REF!)),0,(LOOKUP(AY$10,$O95:$AP95,#REF!)))</f>
        <v>0</v>
      </c>
      <c r="AZ95" s="22">
        <f>IF(ISERROR(LOOKUP(AZ$10,$O95:$AP95,#REF!)),0,(LOOKUP(AZ$10,$O95:$AP95,#REF!)))</f>
        <v>0</v>
      </c>
      <c r="BA95" s="22">
        <f ca="1">IF(ISERROR(LOOKUP(BA$10,$O95:$AP95,#REF!)),0,(LOOKUP(BA$10,$O95:$AP95,#REF!)))</f>
        <v>0</v>
      </c>
      <c r="BB95" s="425"/>
      <c r="BC95" s="411"/>
      <c r="BD95" s="411"/>
    </row>
    <row r="96" spans="1:56" s="3" customFormat="1" ht="24" thickTop="1" thickBot="1" x14ac:dyDescent="0.45">
      <c r="A96" s="442"/>
      <c r="B96" s="94" t="s">
        <v>293</v>
      </c>
      <c r="C96" s="48" t="s">
        <v>417</v>
      </c>
      <c r="D96" s="33" t="s">
        <v>829</v>
      </c>
      <c r="E96" s="182" t="s">
        <v>443</v>
      </c>
      <c r="F96" s="182">
        <v>2</v>
      </c>
      <c r="G96" s="45" t="s">
        <v>71</v>
      </c>
      <c r="H96" s="34" t="s">
        <v>63</v>
      </c>
      <c r="I96" s="32" t="s">
        <v>56</v>
      </c>
      <c r="J96" s="32" t="s">
        <v>1</v>
      </c>
      <c r="K96" s="32" t="s">
        <v>308</v>
      </c>
      <c r="L96" s="45"/>
      <c r="M96" s="198" t="s">
        <v>34</v>
      </c>
      <c r="N96" s="35" t="s">
        <v>37</v>
      </c>
      <c r="O96" s="36"/>
      <c r="P96" s="36">
        <v>46148</v>
      </c>
      <c r="Q96" s="36">
        <v>46166</v>
      </c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82"/>
      <c r="AK96" s="80"/>
      <c r="AL96" s="37"/>
      <c r="AM96" s="37"/>
      <c r="AN96" s="38"/>
      <c r="AO96" s="142"/>
      <c r="AP96" s="439"/>
      <c r="AQ96" s="39">
        <f>IF(ISERROR(LOOKUP(AQ$10,$O96:$AP96,#REF!)),0,(LOOKUP(AQ$10,$O96:$AP96,#REF!)))</f>
        <v>0</v>
      </c>
      <c r="AR96" s="40">
        <f>IF(ISERROR(LOOKUP(AR$10,$O96:$AP96,#REF!)),0,(LOOKUP(AR$10,$O96:$AP96,#REF!)))</f>
        <v>0</v>
      </c>
      <c r="AS96" s="40">
        <f>IF(ISERROR(LOOKUP(AS$10,$O96:$AP96,#REF!)),0,(LOOKUP(AS$10,$O96:$AP96,#REF!)))</f>
        <v>0</v>
      </c>
      <c r="AT96" s="40">
        <f>IF(ISERROR(LOOKUP(AT$10,$O96:$AP96,#REF!)),0,(LOOKUP(AT$10,$O96:$AP96,#REF!)))</f>
        <v>0</v>
      </c>
      <c r="AU96" s="40">
        <f>IF(ISERROR(LOOKUP(AU$10,$O96:$AP96,#REF!)),0,(LOOKUP(AU$10,$O96:$AP96,#REF!)))</f>
        <v>0</v>
      </c>
      <c r="AV96" s="40">
        <f>IF(ISERROR(LOOKUP(AV$10,$O96:$AP96,#REF!)),0,(LOOKUP(AV$10,$O96:$AP96,#REF!)))</f>
        <v>0</v>
      </c>
      <c r="AW96" s="40">
        <f>IF(ISERROR(LOOKUP(AW$10,$O96:$AP96,#REF!)),0,(LOOKUP(AW$10,$O96:$AP96,#REF!)))</f>
        <v>0</v>
      </c>
      <c r="AX96" s="40">
        <f>IF(ISERROR(LOOKUP(AX$10,$O96:$AP96,#REF!)),0,(LOOKUP(AX$10,$O96:$AP96,#REF!)))</f>
        <v>0</v>
      </c>
      <c r="AY96" s="40">
        <f>IF(ISERROR(LOOKUP(AY$10,$O96:$AP96,#REF!)),0,(LOOKUP(AY$10,$O96:$AP96,#REF!)))</f>
        <v>0</v>
      </c>
      <c r="AZ96" s="40">
        <f>IF(ISERROR(LOOKUP(AZ$10,$O96:$AP96,#REF!)),0,(LOOKUP(AZ$10,$O96:$AP96,#REF!)))</f>
        <v>0</v>
      </c>
      <c r="BA96" s="40">
        <f ca="1">IF(ISERROR(LOOKUP(BA$10,$O96:$AP96,#REF!)),0,(LOOKUP(BA$10,$O96:$AP96,#REF!)))</f>
        <v>0</v>
      </c>
      <c r="BB96" s="425"/>
      <c r="BC96" s="411"/>
      <c r="BD96" s="411"/>
    </row>
    <row r="97" spans="1:56" s="3" customFormat="1" ht="15.4" thickTop="1" thickBot="1" x14ac:dyDescent="0.45">
      <c r="A97" s="440">
        <f t="shared" ref="A97" si="21">A94+1</f>
        <v>26</v>
      </c>
      <c r="B97" s="92" t="s">
        <v>293</v>
      </c>
      <c r="C97" s="47" t="s">
        <v>417</v>
      </c>
      <c r="D97" s="229" t="s">
        <v>734</v>
      </c>
      <c r="E97" s="154" t="s">
        <v>441</v>
      </c>
      <c r="F97" s="154">
        <v>4</v>
      </c>
      <c r="G97" s="64" t="s">
        <v>71</v>
      </c>
      <c r="H97" s="16" t="s">
        <v>63</v>
      </c>
      <c r="I97" s="14" t="s">
        <v>56</v>
      </c>
      <c r="J97" s="14" t="s">
        <v>1</v>
      </c>
      <c r="K97" s="14" t="s">
        <v>308</v>
      </c>
      <c r="L97" s="42"/>
      <c r="M97" s="196" t="s">
        <v>34</v>
      </c>
      <c r="N97" s="18" t="s">
        <v>35</v>
      </c>
      <c r="O97" s="230">
        <v>46220</v>
      </c>
      <c r="P97" s="19">
        <v>46223</v>
      </c>
      <c r="Q97" s="19">
        <v>46230</v>
      </c>
      <c r="R97" s="19">
        <v>46231</v>
      </c>
      <c r="S97" s="19">
        <v>46239</v>
      </c>
      <c r="T97" s="19">
        <v>46253</v>
      </c>
      <c r="U97" s="19">
        <v>46281</v>
      </c>
      <c r="V97" s="19">
        <v>46286</v>
      </c>
      <c r="W97" s="19">
        <v>46308</v>
      </c>
      <c r="X97" s="19">
        <v>46310</v>
      </c>
      <c r="Y97" s="19">
        <v>46317</v>
      </c>
      <c r="Z97" s="19">
        <v>46345</v>
      </c>
      <c r="AA97" s="19">
        <v>46359</v>
      </c>
      <c r="AB97" s="19">
        <v>46389</v>
      </c>
      <c r="AC97" s="19">
        <v>46389</v>
      </c>
      <c r="AD97" s="19">
        <v>46391</v>
      </c>
      <c r="AE97" s="19">
        <v>46454</v>
      </c>
      <c r="AF97" s="19">
        <v>46474</v>
      </c>
      <c r="AG97" s="19">
        <v>46504</v>
      </c>
      <c r="AH97" s="19">
        <v>46507</v>
      </c>
      <c r="AI97" s="19">
        <v>46534</v>
      </c>
      <c r="AJ97" s="58">
        <v>28</v>
      </c>
      <c r="AK97" s="59">
        <v>196</v>
      </c>
      <c r="AL97" s="78">
        <v>46504</v>
      </c>
      <c r="AM97" s="78">
        <v>46515</v>
      </c>
      <c r="AN97" s="20">
        <f>AM97-AL98</f>
        <v>26</v>
      </c>
      <c r="AO97" s="143"/>
      <c r="AP97" s="437"/>
      <c r="AQ97" s="21">
        <f>IF(ISERROR(LOOKUP(AQ$10,$O97:$AP97,#REF!)),0,(LOOKUP(AQ$10,$O97:$AP97,#REF!)))</f>
        <v>0</v>
      </c>
      <c r="AR97" s="22">
        <f>IF(ISERROR(LOOKUP(AR$10,$O97:$AP97,#REF!)),0,(LOOKUP(AR$10,$O97:$AP97,#REF!)))</f>
        <v>0</v>
      </c>
      <c r="AS97" s="22">
        <f>IF(ISERROR(LOOKUP(AS$10,$O97:$AP97,#REF!)),0,(LOOKUP(AS$10,$O97:$AP97,#REF!)))</f>
        <v>0</v>
      </c>
      <c r="AT97" s="22">
        <f>IF(ISERROR(LOOKUP(AT$10,$O97:$AP97,#REF!)),0,(LOOKUP(AT$10,$O97:$AP97,#REF!)))</f>
        <v>0</v>
      </c>
      <c r="AU97" s="22">
        <f>IF(ISERROR(LOOKUP(AU$10,$O97:$AP97,#REF!)),0,(LOOKUP(AU$10,$O97:$AP97,#REF!)))</f>
        <v>0</v>
      </c>
      <c r="AV97" s="22">
        <f>IF(ISERROR(LOOKUP(AV$10,$O97:$AP97,#REF!)),0,(LOOKUP(AV$10,$O97:$AP97,#REF!)))</f>
        <v>0</v>
      </c>
      <c r="AW97" s="22">
        <f>IF(ISERROR(LOOKUP(AW$10,$O97:$AP97,#REF!)),0,(LOOKUP(AW$10,$O97:$AP97,#REF!)))</f>
        <v>0</v>
      </c>
      <c r="AX97" s="22">
        <f>IF(ISERROR(LOOKUP(AX$10,$O97:$AP97,#REF!)),0,(LOOKUP(AX$10,$O97:$AP97,#REF!)))</f>
        <v>0</v>
      </c>
      <c r="AY97" s="22">
        <f>IF(ISERROR(LOOKUP(AY$10,$O97:$AP97,#REF!)),0,(LOOKUP(AY$10,$O97:$AP97,#REF!)))</f>
        <v>0</v>
      </c>
      <c r="AZ97" s="22">
        <f>IF(ISERROR(LOOKUP(AZ$10,$O97:$AP97,#REF!)),0,(LOOKUP(AZ$10,$O97:$AP97,#REF!)))</f>
        <v>0</v>
      </c>
      <c r="BA97" s="22">
        <f ca="1">IF(ISERROR(LOOKUP(BA$10,$O97:$AP97,#REF!)),0,(LOOKUP(BA$10,$O97:$AP97,#REF!)))</f>
        <v>0</v>
      </c>
      <c r="BB97" s="425"/>
      <c r="BC97" s="411"/>
      <c r="BD97" s="411"/>
    </row>
    <row r="98" spans="1:56" s="3" customFormat="1" ht="15.4" thickTop="1" thickBot="1" x14ac:dyDescent="0.45">
      <c r="A98" s="441"/>
      <c r="B98" s="93" t="s">
        <v>293</v>
      </c>
      <c r="C98" s="114" t="s">
        <v>417</v>
      </c>
      <c r="D98" s="24" t="s">
        <v>733</v>
      </c>
      <c r="E98" s="155" t="s">
        <v>442</v>
      </c>
      <c r="F98" s="155">
        <v>1</v>
      </c>
      <c r="G98" s="43" t="s">
        <v>71</v>
      </c>
      <c r="H98" s="46" t="s">
        <v>63</v>
      </c>
      <c r="I98" s="23" t="s">
        <v>56</v>
      </c>
      <c r="J98" s="41" t="s">
        <v>1</v>
      </c>
      <c r="K98" s="41" t="s">
        <v>308</v>
      </c>
      <c r="L98" s="43"/>
      <c r="M98" s="197" t="s">
        <v>34</v>
      </c>
      <c r="N98" s="26" t="s">
        <v>36</v>
      </c>
      <c r="O98" s="27">
        <f>O97</f>
        <v>46220</v>
      </c>
      <c r="P98" s="28"/>
      <c r="Q98" s="28"/>
      <c r="R98" s="28">
        <f>R97</f>
        <v>46231</v>
      </c>
      <c r="S98" s="28">
        <f>WORKDAY(R98, S9, IF(S15="China",'China Holidays'!$A$2:$A$84,'Thai Holidays'!$A$2:$A$65))</f>
        <v>46231</v>
      </c>
      <c r="T98" s="28">
        <f>WORKDAY(S98, T9, IF(T15="China",'China Holidays'!$A$2:$A$84,'Thai Holidays'!$A$2:$A$65))</f>
        <v>46239</v>
      </c>
      <c r="U98" s="28">
        <v>46272</v>
      </c>
      <c r="V98" s="28">
        <f>WORKDAY(U98, V9, IF(V15="China",'China Holidays'!$A$2:$A$84,'Thai Holidays'!$A$2:$A$65))</f>
        <v>46286</v>
      </c>
      <c r="W98" s="28">
        <f>WORKDAY(V98, W9, IF(W15="China",'China Holidays'!$A$2:$A$84,'Thai Holidays'!$A$2:$A$65))</f>
        <v>46293</v>
      </c>
      <c r="X98" s="28">
        <f>WORKDAY(W98, X9, IF(X15="China",'China Holidays'!$A$2:$A$84,'Thai Holidays'!$A$2:$A$65))</f>
        <v>46295</v>
      </c>
      <c r="Y98" s="28">
        <f>WORKDAY(X98, Y9, IF(Y15="China",'China Holidays'!$A$2:$A$84,'Thai Holidays'!$A$2:$A$65))</f>
        <v>46302</v>
      </c>
      <c r="Z98" s="28">
        <f>WORKDAY(Y98, Z9, IF(Z15="China",'China Holidays'!$A$2:$A$84,'Thai Holidays'!$A$2:$A$65))</f>
        <v>46317</v>
      </c>
      <c r="AA98" s="28">
        <f>WORKDAY(Z98, AA9, IF(AA15="China",'China Holidays'!$A$2:$A$84,'Thai Holidays'!$A$2:$A$65))</f>
        <v>46332</v>
      </c>
      <c r="AB98" s="28">
        <f>AA98+30</f>
        <v>46362</v>
      </c>
      <c r="AC98" s="28">
        <f>AB98</f>
        <v>46362</v>
      </c>
      <c r="AD98" s="28">
        <f>AC98+2</f>
        <v>46364</v>
      </c>
      <c r="AE98" s="28">
        <f>AF98-15</f>
        <v>46444</v>
      </c>
      <c r="AF98" s="28">
        <f>AG98-30</f>
        <v>46459</v>
      </c>
      <c r="AG98" s="28">
        <f>AL98</f>
        <v>46489</v>
      </c>
      <c r="AH98" s="28">
        <f>AL97+3</f>
        <v>46507</v>
      </c>
      <c r="AI98" s="28">
        <f>AL97+30</f>
        <v>46534</v>
      </c>
      <c r="AJ98" s="89"/>
      <c r="AK98" s="89"/>
      <c r="AL98" s="83">
        <f>W98+AK97</f>
        <v>46489</v>
      </c>
      <c r="AM98" s="83"/>
      <c r="AN98" s="29"/>
      <c r="AO98" s="141"/>
      <c r="AP98" s="438"/>
      <c r="AQ98" s="21">
        <f>IF(ISERROR(LOOKUP(AQ$10,$O98:$AP98,#REF!)),0,(LOOKUP(AQ$10,$O98:$AP98,#REF!)))</f>
        <v>0</v>
      </c>
      <c r="AR98" s="22">
        <f>IF(ISERROR(LOOKUP(AR$10,$O98:$AP98,#REF!)),0,(LOOKUP(AR$10,$O98:$AP98,#REF!)))</f>
        <v>0</v>
      </c>
      <c r="AS98" s="22">
        <f>IF(ISERROR(LOOKUP(AS$10,$O98:$AP98,#REF!)),0,(LOOKUP(AS$10,$O98:$AP98,#REF!)))</f>
        <v>0</v>
      </c>
      <c r="AT98" s="22">
        <f>IF(ISERROR(LOOKUP(AT$10,$O98:$AP98,#REF!)),0,(LOOKUP(AT$10,$O98:$AP98,#REF!)))</f>
        <v>0</v>
      </c>
      <c r="AU98" s="22">
        <f>IF(ISERROR(LOOKUP(AU$10,$O98:$AP98,#REF!)),0,(LOOKUP(AU$10,$O98:$AP98,#REF!)))</f>
        <v>0</v>
      </c>
      <c r="AV98" s="22">
        <f>IF(ISERROR(LOOKUP(AV$10,$O98:$AP98,#REF!)),0,(LOOKUP(AV$10,$O98:$AP98,#REF!)))</f>
        <v>0</v>
      </c>
      <c r="AW98" s="22">
        <f>IF(ISERROR(LOOKUP(AW$10,$O98:$AP98,#REF!)),0,(LOOKUP(AW$10,$O98:$AP98,#REF!)))</f>
        <v>0</v>
      </c>
      <c r="AX98" s="22">
        <f>IF(ISERROR(LOOKUP(AX$10,$O98:$AP98,#REF!)),0,(LOOKUP(AX$10,$O98:$AP98,#REF!)))</f>
        <v>0</v>
      </c>
      <c r="AY98" s="22">
        <f>IF(ISERROR(LOOKUP(AY$10,$O98:$AP98,#REF!)),0,(LOOKUP(AY$10,$O98:$AP98,#REF!)))</f>
        <v>0</v>
      </c>
      <c r="AZ98" s="22">
        <f>IF(ISERROR(LOOKUP(AZ$10,$O98:$AP98,#REF!)),0,(LOOKUP(AZ$10,$O98:$AP98,#REF!)))</f>
        <v>0</v>
      </c>
      <c r="BA98" s="22">
        <f ca="1">IF(ISERROR(LOOKUP(BA$10,$O98:$AP98,#REF!)),0,(LOOKUP(BA$10,$O98:$AP98,#REF!)))</f>
        <v>0</v>
      </c>
      <c r="BB98" s="425"/>
      <c r="BC98" s="411"/>
      <c r="BD98" s="411"/>
    </row>
    <row r="99" spans="1:56" s="3" customFormat="1" ht="15.4" thickTop="1" thickBot="1" x14ac:dyDescent="0.45">
      <c r="A99" s="442"/>
      <c r="B99" s="94" t="s">
        <v>293</v>
      </c>
      <c r="C99" s="48" t="s">
        <v>417</v>
      </c>
      <c r="D99" s="48" t="s">
        <v>733</v>
      </c>
      <c r="E99" s="182" t="s">
        <v>443</v>
      </c>
      <c r="F99" s="182">
        <v>2</v>
      </c>
      <c r="G99" s="45" t="s">
        <v>71</v>
      </c>
      <c r="H99" s="34" t="s">
        <v>63</v>
      </c>
      <c r="I99" s="32" t="s">
        <v>56</v>
      </c>
      <c r="J99" s="32" t="s">
        <v>1</v>
      </c>
      <c r="K99" s="32" t="s">
        <v>308</v>
      </c>
      <c r="L99" s="45"/>
      <c r="M99" s="198" t="s">
        <v>34</v>
      </c>
      <c r="N99" s="35" t="s">
        <v>37</v>
      </c>
      <c r="O99" s="36"/>
      <c r="P99" s="36">
        <v>46148</v>
      </c>
      <c r="Q99" s="36">
        <v>46166</v>
      </c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82"/>
      <c r="AK99" s="80"/>
      <c r="AL99" s="37"/>
      <c r="AM99" s="37"/>
      <c r="AN99" s="38"/>
      <c r="AO99" s="142"/>
      <c r="AP99" s="439"/>
      <c r="AQ99" s="39">
        <f>IF(ISERROR(LOOKUP(AQ$10,$O99:$AP99,#REF!)),0,(LOOKUP(AQ$10,$O99:$AP99,#REF!)))</f>
        <v>0</v>
      </c>
      <c r="AR99" s="40">
        <f>IF(ISERROR(LOOKUP(AR$10,$O99:$AP99,#REF!)),0,(LOOKUP(AR$10,$O99:$AP99,#REF!)))</f>
        <v>0</v>
      </c>
      <c r="AS99" s="40">
        <f>IF(ISERROR(LOOKUP(AS$10,$O99:$AP99,#REF!)),0,(LOOKUP(AS$10,$O99:$AP99,#REF!)))</f>
        <v>0</v>
      </c>
      <c r="AT99" s="40">
        <f>IF(ISERROR(LOOKUP(AT$10,$O99:$AP99,#REF!)),0,(LOOKUP(AT$10,$O99:$AP99,#REF!)))</f>
        <v>0</v>
      </c>
      <c r="AU99" s="40">
        <f>IF(ISERROR(LOOKUP(AU$10,$O99:$AP99,#REF!)),0,(LOOKUP(AU$10,$O99:$AP99,#REF!)))</f>
        <v>0</v>
      </c>
      <c r="AV99" s="40">
        <f>IF(ISERROR(LOOKUP(AV$10,$O99:$AP99,#REF!)),0,(LOOKUP(AV$10,$O99:$AP99,#REF!)))</f>
        <v>0</v>
      </c>
      <c r="AW99" s="40">
        <f>IF(ISERROR(LOOKUP(AW$10,$O99:$AP99,#REF!)),0,(LOOKUP(AW$10,$O99:$AP99,#REF!)))</f>
        <v>0</v>
      </c>
      <c r="AX99" s="40">
        <f>IF(ISERROR(LOOKUP(AX$10,$O99:$AP99,#REF!)),0,(LOOKUP(AX$10,$O99:$AP99,#REF!)))</f>
        <v>0</v>
      </c>
      <c r="AY99" s="40">
        <f>IF(ISERROR(LOOKUP(AY$10,$O99:$AP99,#REF!)),0,(LOOKUP(AY$10,$O99:$AP99,#REF!)))</f>
        <v>0</v>
      </c>
      <c r="AZ99" s="40">
        <f>IF(ISERROR(LOOKUP(AZ$10,$O99:$AP99,#REF!)),0,(LOOKUP(AZ$10,$O99:$AP99,#REF!)))</f>
        <v>0</v>
      </c>
      <c r="BA99" s="40">
        <f ca="1">IF(ISERROR(LOOKUP(BA$10,$O99:$AP99,#REF!)),0,(LOOKUP(BA$10,$O99:$AP99,#REF!)))</f>
        <v>0</v>
      </c>
      <c r="BB99" s="425"/>
      <c r="BC99" s="411"/>
      <c r="BD99" s="411"/>
    </row>
    <row r="100" spans="1:56" s="3" customFormat="1" ht="15.75" thickTop="1" thickBot="1" x14ac:dyDescent="0.45">
      <c r="A100" s="440"/>
      <c r="B100" s="92"/>
      <c r="C100" s="291" t="s">
        <v>72</v>
      </c>
      <c r="D100" s="256" t="s">
        <v>444</v>
      </c>
      <c r="E100" s="150"/>
      <c r="F100" s="150"/>
      <c r="G100" s="64" t="s">
        <v>71</v>
      </c>
      <c r="H100" s="16" t="s">
        <v>63</v>
      </c>
      <c r="I100" s="14" t="s">
        <v>56</v>
      </c>
      <c r="J100" s="14" t="s">
        <v>3</v>
      </c>
      <c r="K100" s="14" t="s">
        <v>312</v>
      </c>
      <c r="L100" s="267" t="s">
        <v>729</v>
      </c>
      <c r="M100" s="199" t="s">
        <v>34</v>
      </c>
      <c r="N100" s="18" t="s">
        <v>35</v>
      </c>
      <c r="O100" s="373">
        <v>46174</v>
      </c>
      <c r="P100" s="373">
        <v>46177</v>
      </c>
      <c r="Q100" s="421">
        <v>46184</v>
      </c>
      <c r="R100" s="373">
        <v>46185</v>
      </c>
      <c r="S100" s="373">
        <v>46192</v>
      </c>
      <c r="T100" s="373">
        <v>46206</v>
      </c>
      <c r="U100" s="373">
        <v>46227</v>
      </c>
      <c r="V100" s="373">
        <v>46234</v>
      </c>
      <c r="W100" s="373">
        <v>46248</v>
      </c>
      <c r="X100" s="373">
        <v>46252</v>
      </c>
      <c r="Y100" s="373">
        <v>46259</v>
      </c>
      <c r="Z100" s="373">
        <v>46280</v>
      </c>
      <c r="AA100" s="373">
        <v>46294</v>
      </c>
      <c r="AB100" s="373">
        <v>46324</v>
      </c>
      <c r="AC100" s="373">
        <v>46324</v>
      </c>
      <c r="AD100" s="373">
        <v>46327</v>
      </c>
      <c r="AE100" s="373">
        <v>46399</v>
      </c>
      <c r="AF100" s="373">
        <v>46409</v>
      </c>
      <c r="AG100" s="373">
        <v>46416</v>
      </c>
      <c r="AH100" s="373">
        <v>46419</v>
      </c>
      <c r="AI100" s="373">
        <v>46446</v>
      </c>
      <c r="AJ100" s="58">
        <v>24</v>
      </c>
      <c r="AK100" s="59">
        <v>168</v>
      </c>
      <c r="AL100" s="78"/>
      <c r="AM100" s="78"/>
      <c r="AN100" s="20"/>
      <c r="AO100" s="143"/>
      <c r="AP100" s="437"/>
      <c r="AQ100" s="21">
        <f>IF(ISERROR(LOOKUP(AQ$10,$O100:$AP100,#REF!)),0,(LOOKUP(AQ$10,$O100:$AP100,#REF!)))</f>
        <v>0</v>
      </c>
      <c r="AR100" s="22">
        <f>IF(ISERROR(LOOKUP(AR$10,$O100:$AP100,#REF!)),0,(LOOKUP(AR$10,$O100:$AP100,#REF!)))</f>
        <v>0</v>
      </c>
      <c r="AS100" s="22">
        <f>IF(ISERROR(LOOKUP(AS$10,$O100:$AP100,#REF!)),0,(LOOKUP(AS$10,$O100:$AP100,#REF!)))</f>
        <v>0</v>
      </c>
      <c r="AT100" s="22">
        <f>IF(ISERROR(LOOKUP(AT$10,$O100:$AP100,#REF!)),0,(LOOKUP(AT$10,$O100:$AP100,#REF!)))</f>
        <v>0</v>
      </c>
      <c r="AU100" s="22">
        <f>IF(ISERROR(LOOKUP(AU$10,$O100:$AP100,#REF!)),0,(LOOKUP(AU$10,$O100:$AP100,#REF!)))</f>
        <v>0</v>
      </c>
      <c r="AV100" s="22">
        <f>IF(ISERROR(LOOKUP(AV$10,$O100:$AP100,#REF!)),0,(LOOKUP(AV$10,$O100:$AP100,#REF!)))</f>
        <v>0</v>
      </c>
      <c r="AW100" s="22">
        <f>IF(ISERROR(LOOKUP(AW$10,$O100:$AP100,#REF!)),0,(LOOKUP(AW$10,$O100:$AP100,#REF!)))</f>
        <v>0</v>
      </c>
      <c r="AX100" s="22">
        <f>IF(ISERROR(LOOKUP(AX$10,$O100:$AP100,#REF!)),0,(LOOKUP(AX$10,$O100:$AP100,#REF!)))</f>
        <v>0</v>
      </c>
      <c r="AY100" s="22">
        <f>IF(ISERROR(LOOKUP(AY$10,$O100:$AP100,#REF!)),0,(LOOKUP(AY$10,$O100:$AP100,#REF!)))</f>
        <v>0</v>
      </c>
      <c r="AZ100" s="22">
        <f>IF(ISERROR(LOOKUP(AZ$10,$O100:$AP100,#REF!)),0,(LOOKUP(AZ$10,$O100:$AP100,#REF!)))</f>
        <v>0</v>
      </c>
      <c r="BA100" s="22">
        <f ca="1">IF(ISERROR(LOOKUP(BA$10,$O100:$AP100,#REF!)),0,(LOOKUP(BA$10,$O100:$AP100,#REF!)))</f>
        <v>0</v>
      </c>
      <c r="BB100" s="425"/>
      <c r="BC100" s="411"/>
      <c r="BD100" s="411"/>
    </row>
    <row r="101" spans="1:56" s="3" customFormat="1" ht="15.4" thickTop="1" thickBot="1" x14ac:dyDescent="0.45">
      <c r="A101" s="441"/>
      <c r="B101" s="93"/>
      <c r="C101" s="292" t="s">
        <v>72</v>
      </c>
      <c r="D101" s="259" t="s">
        <v>73</v>
      </c>
      <c r="E101" s="157"/>
      <c r="F101" s="157"/>
      <c r="G101" s="43" t="s">
        <v>71</v>
      </c>
      <c r="H101" s="46" t="s">
        <v>63</v>
      </c>
      <c r="I101" s="23" t="s">
        <v>56</v>
      </c>
      <c r="J101" s="41" t="s">
        <v>3</v>
      </c>
      <c r="K101" s="41" t="s">
        <v>312</v>
      </c>
      <c r="L101" s="43"/>
      <c r="M101" s="200" t="s">
        <v>34</v>
      </c>
      <c r="N101" s="26" t="s">
        <v>36</v>
      </c>
      <c r="O101" s="375">
        <v>46193</v>
      </c>
      <c r="P101" s="375">
        <v>46183</v>
      </c>
      <c r="Q101" s="422">
        <f>WORKDAY(P101, Q9, IF(S12="China",'[1]China Holidays'!$A$2:$A$84,'[1]Thai Holidays'!$A$2:$A$65))</f>
        <v>46197</v>
      </c>
      <c r="R101" s="375">
        <f>WORKDAY(Q101, R9, IF(T12="China",'[1]China Holidays'!$A$2:$A$84,'[1]Thai Holidays'!$A$2:$A$65))</f>
        <v>46197</v>
      </c>
      <c r="S101" s="375">
        <f>WORKDAY(R101, S9, IF(U12="China",'[1]China Holidays'!$A$2:$A$84,'[1]Thai Holidays'!$A$2:$A$65))</f>
        <v>46197</v>
      </c>
      <c r="T101" s="375">
        <f>WORKDAY(S101, T9, IF(V12="China",'[1]China Holidays'!$A$2:$A$84,'[1]Thai Holidays'!$A$2:$A$65))</f>
        <v>46204</v>
      </c>
      <c r="U101" s="375">
        <f>WORKDAY(T101, U9, IF(W12="China",'[1]China Holidays'!$A$2:$A$84,'[1]Thai Holidays'!$A$2:$A$65))</f>
        <v>46213</v>
      </c>
      <c r="V101" s="375">
        <f>WORKDAY(U101, V9, IF(X12="China",'[1]China Holidays'!$A$2:$A$84,'[1]Thai Holidays'!$A$2:$A$65))</f>
        <v>46227</v>
      </c>
      <c r="W101" s="375">
        <f>WORKDAY(V101, W9, IF(Y12="China",'[1]China Holidays'!$A$2:$A$84,'[1]Thai Holidays'!$A$2:$A$65))</f>
        <v>46234</v>
      </c>
      <c r="X101" s="375">
        <f>WORKDAY(W101, X9, IF(Z12="China",'[1]China Holidays'!$A$2:$A$84,'[1]Thai Holidays'!$A$2:$A$65))</f>
        <v>46238</v>
      </c>
      <c r="Y101" s="375">
        <f>WORKDAY(X101, Y9, IF(AA12="China",'[1]China Holidays'!$A$2:$A$84,'[1]Thai Holidays'!$A$2:$A$65))</f>
        <v>46245</v>
      </c>
      <c r="Z101" s="375">
        <f>WORKDAY(Y101, Z9, IF(AB12="China",'[1]China Holidays'!$A$2:$A$84,'[1]Thai Holidays'!$A$2:$A$65))</f>
        <v>46260</v>
      </c>
      <c r="AA101" s="375">
        <f>WORKDAY(Z101, AA9, IF(AC12="China",'[1]China Holidays'!$A$2:$A$84,'[1]Thai Holidays'!$A$2:$A$65))</f>
        <v>46274</v>
      </c>
      <c r="AB101" s="375">
        <f>AA101+30</f>
        <v>46304</v>
      </c>
      <c r="AC101" s="375">
        <f>AB101</f>
        <v>46304</v>
      </c>
      <c r="AD101" s="375">
        <f>AC101+3</f>
        <v>46307</v>
      </c>
      <c r="AE101" s="375">
        <f>AF101-10</f>
        <v>-17</v>
      </c>
      <c r="AF101" s="375">
        <f>AG101-7</f>
        <v>-7</v>
      </c>
      <c r="AG101" s="375">
        <f>AL101</f>
        <v>0</v>
      </c>
      <c r="AH101" s="375">
        <f>AL100+3</f>
        <v>3</v>
      </c>
      <c r="AI101" s="375">
        <f>AL100+30</f>
        <v>30</v>
      </c>
      <c r="AJ101" s="81"/>
      <c r="AK101" s="79"/>
      <c r="AL101" s="83"/>
      <c r="AM101" s="83"/>
      <c r="AN101" s="29"/>
      <c r="AO101" s="141"/>
      <c r="AP101" s="438"/>
      <c r="AQ101" s="21">
        <f>IF(ISERROR(LOOKUP(AQ$10,$O101:$AP101,#REF!)),0,(LOOKUP(AQ$10,$O101:$AP101,#REF!)))</f>
        <v>0</v>
      </c>
      <c r="AR101" s="22">
        <f>IF(ISERROR(LOOKUP(AR$10,$O101:$AP101,#REF!)),0,(LOOKUP(AR$10,$O101:$AP101,#REF!)))</f>
        <v>0</v>
      </c>
      <c r="AS101" s="22">
        <f>IF(ISERROR(LOOKUP(AS$10,$O101:$AP101,#REF!)),0,(LOOKUP(AS$10,$O101:$AP101,#REF!)))</f>
        <v>0</v>
      </c>
      <c r="AT101" s="22">
        <f>IF(ISERROR(LOOKUP(AT$10,$O101:$AP101,#REF!)),0,(LOOKUP(AT$10,$O101:$AP101,#REF!)))</f>
        <v>0</v>
      </c>
      <c r="AU101" s="22">
        <f>IF(ISERROR(LOOKUP(AU$10,$O101:$AP101,#REF!)),0,(LOOKUP(AU$10,$O101:$AP101,#REF!)))</f>
        <v>0</v>
      </c>
      <c r="AV101" s="22">
        <f>IF(ISERROR(LOOKUP(AV$10,$O101:$AP101,#REF!)),0,(LOOKUP(AV$10,$O101:$AP101,#REF!)))</f>
        <v>0</v>
      </c>
      <c r="AW101" s="22">
        <f>IF(ISERROR(LOOKUP(AW$10,$O101:$AP101,#REF!)),0,(LOOKUP(AW$10,$O101:$AP101,#REF!)))</f>
        <v>0</v>
      </c>
      <c r="AX101" s="22">
        <f>IF(ISERROR(LOOKUP(AX$10,$O101:$AP101,#REF!)),0,(LOOKUP(AX$10,$O101:$AP101,#REF!)))</f>
        <v>0</v>
      </c>
      <c r="AY101" s="22">
        <f>IF(ISERROR(LOOKUP(AY$10,$O101:$AP101,#REF!)),0,(LOOKUP(AY$10,$O101:$AP101,#REF!)))</f>
        <v>0</v>
      </c>
      <c r="AZ101" s="22">
        <f>IF(ISERROR(LOOKUP(AZ$10,$O101:$AP101,#REF!)),0,(LOOKUP(AZ$10,$O101:$AP101,#REF!)))</f>
        <v>0</v>
      </c>
      <c r="BA101" s="22">
        <f ca="1">IF(ISERROR(LOOKUP(BA$10,$O101:$AP101,#REF!)),0,(LOOKUP(BA$10,$O101:$AP101,#REF!)))</f>
        <v>0</v>
      </c>
      <c r="BB101" s="425"/>
      <c r="BC101" s="411"/>
      <c r="BD101" s="411"/>
    </row>
    <row r="102" spans="1:56" s="3" customFormat="1" ht="15.4" thickTop="1" thickBot="1" x14ac:dyDescent="0.45">
      <c r="A102" s="442"/>
      <c r="B102" s="94"/>
      <c r="C102" s="293" t="s">
        <v>72</v>
      </c>
      <c r="D102" s="294" t="s">
        <v>73</v>
      </c>
      <c r="E102" s="158"/>
      <c r="F102" s="158"/>
      <c r="G102" s="45" t="s">
        <v>71</v>
      </c>
      <c r="H102" s="34" t="s">
        <v>63</v>
      </c>
      <c r="I102" s="32" t="s">
        <v>56</v>
      </c>
      <c r="J102" s="32" t="s">
        <v>3</v>
      </c>
      <c r="K102" s="32" t="s">
        <v>312</v>
      </c>
      <c r="L102" s="45"/>
      <c r="M102" s="201" t="s">
        <v>34</v>
      </c>
      <c r="N102" s="35" t="s">
        <v>37</v>
      </c>
      <c r="O102" s="382"/>
      <c r="P102" s="382"/>
      <c r="Q102" s="382"/>
      <c r="R102" s="382"/>
      <c r="S102" s="382"/>
      <c r="T102" s="382"/>
      <c r="U102" s="382"/>
      <c r="V102" s="382"/>
      <c r="W102" s="382"/>
      <c r="X102" s="382"/>
      <c r="Y102" s="382"/>
      <c r="Z102" s="382"/>
      <c r="AA102" s="382"/>
      <c r="AB102" s="382"/>
      <c r="AC102" s="382"/>
      <c r="AD102" s="382"/>
      <c r="AE102" s="382"/>
      <c r="AF102" s="382"/>
      <c r="AG102" s="382"/>
      <c r="AH102" s="382"/>
      <c r="AI102" s="382"/>
      <c r="AJ102" s="82"/>
      <c r="AK102" s="80"/>
      <c r="AL102" s="37"/>
      <c r="AM102" s="37"/>
      <c r="AN102" s="38"/>
      <c r="AO102" s="142"/>
      <c r="AP102" s="439"/>
      <c r="AQ102" s="39">
        <f>IF(ISERROR(LOOKUP(AQ$10,$O102:$AP102,#REF!)),0,(LOOKUP(AQ$10,$O102:$AP102,#REF!)))</f>
        <v>0</v>
      </c>
      <c r="AR102" s="40">
        <f>IF(ISERROR(LOOKUP(AR$10,$O102:$AP102,#REF!)),0,(LOOKUP(AR$10,$O102:$AP102,#REF!)))</f>
        <v>0</v>
      </c>
      <c r="AS102" s="40">
        <f>IF(ISERROR(LOOKUP(AS$10,$O102:$AP102,#REF!)),0,(LOOKUP(AS$10,$O102:$AP102,#REF!)))</f>
        <v>0</v>
      </c>
      <c r="AT102" s="40">
        <f>IF(ISERROR(LOOKUP(AT$10,$O102:$AP102,#REF!)),0,(LOOKUP(AT$10,$O102:$AP102,#REF!)))</f>
        <v>0</v>
      </c>
      <c r="AU102" s="40">
        <f>IF(ISERROR(LOOKUP(AU$10,$O102:$AP102,#REF!)),0,(LOOKUP(AU$10,$O102:$AP102,#REF!)))</f>
        <v>0</v>
      </c>
      <c r="AV102" s="40">
        <f>IF(ISERROR(LOOKUP(AV$10,$O102:$AP102,#REF!)),0,(LOOKUP(AV$10,$O102:$AP102,#REF!)))</f>
        <v>0</v>
      </c>
      <c r="AW102" s="40">
        <f>IF(ISERROR(LOOKUP(AW$10,$O102:$AP102,#REF!)),0,(LOOKUP(AW$10,$O102:$AP102,#REF!)))</f>
        <v>0</v>
      </c>
      <c r="AX102" s="40">
        <f>IF(ISERROR(LOOKUP(AX$10,$O102:$AP102,#REF!)),0,(LOOKUP(AX$10,$O102:$AP102,#REF!)))</f>
        <v>0</v>
      </c>
      <c r="AY102" s="40">
        <f>IF(ISERROR(LOOKUP(AY$10,$O102:$AP102,#REF!)),0,(LOOKUP(AY$10,$O102:$AP102,#REF!)))</f>
        <v>0</v>
      </c>
      <c r="AZ102" s="40">
        <f>IF(ISERROR(LOOKUP(AZ$10,$O102:$AP102,#REF!)),0,(LOOKUP(AZ$10,$O102:$AP102,#REF!)))</f>
        <v>0</v>
      </c>
      <c r="BA102" s="40">
        <f ca="1">IF(ISERROR(LOOKUP(BA$10,$O102:$AP102,#REF!)),0,(LOOKUP(BA$10,$O102:$AP102,#REF!)))</f>
        <v>0</v>
      </c>
      <c r="BB102" s="425"/>
      <c r="BC102" s="411"/>
      <c r="BD102" s="411"/>
    </row>
    <row r="103" spans="1:56" s="3" customFormat="1" ht="15.4" thickTop="1" thickBot="1" x14ac:dyDescent="0.45">
      <c r="A103" s="440">
        <f>A97+1</f>
        <v>27</v>
      </c>
      <c r="B103" s="92" t="s">
        <v>295</v>
      </c>
      <c r="C103" s="14" t="s">
        <v>75</v>
      </c>
      <c r="D103" s="229" t="s">
        <v>915</v>
      </c>
      <c r="E103" s="150"/>
      <c r="F103" s="150"/>
      <c r="G103" s="64" t="s">
        <v>71</v>
      </c>
      <c r="H103" s="16" t="s">
        <v>63</v>
      </c>
      <c r="I103" s="14" t="s">
        <v>56</v>
      </c>
      <c r="J103" s="14" t="s">
        <v>202</v>
      </c>
      <c r="K103" s="14" t="s">
        <v>314</v>
      </c>
      <c r="L103" s="42"/>
      <c r="M103" s="196" t="s">
        <v>74</v>
      </c>
      <c r="N103" s="18" t="s">
        <v>35</v>
      </c>
      <c r="O103" s="19">
        <v>46189</v>
      </c>
      <c r="P103" s="19">
        <v>46192</v>
      </c>
      <c r="Q103" s="19">
        <v>46199</v>
      </c>
      <c r="R103" s="19">
        <v>46202</v>
      </c>
      <c r="S103" s="19">
        <v>46205</v>
      </c>
      <c r="T103" s="230">
        <v>46212</v>
      </c>
      <c r="U103" s="19">
        <v>46223</v>
      </c>
      <c r="V103" s="19">
        <v>46225</v>
      </c>
      <c r="W103" s="19">
        <v>46232</v>
      </c>
      <c r="X103" s="19">
        <v>46234</v>
      </c>
      <c r="Y103" s="19">
        <v>46241</v>
      </c>
      <c r="Z103" s="19">
        <v>46255</v>
      </c>
      <c r="AA103" s="19">
        <v>46269</v>
      </c>
      <c r="AB103" s="19">
        <v>46276</v>
      </c>
      <c r="AC103" s="19">
        <v>46276</v>
      </c>
      <c r="AD103" s="19">
        <v>46278</v>
      </c>
      <c r="AE103" s="19">
        <v>46312</v>
      </c>
      <c r="AF103" s="19">
        <v>46317</v>
      </c>
      <c r="AG103" s="19">
        <v>46322</v>
      </c>
      <c r="AH103" s="19">
        <v>46325</v>
      </c>
      <c r="AI103" s="19">
        <v>46352</v>
      </c>
      <c r="AJ103" s="58">
        <v>12.857142857142858</v>
      </c>
      <c r="AK103" s="59">
        <v>90</v>
      </c>
      <c r="AL103" s="78">
        <v>46322</v>
      </c>
      <c r="AM103" s="78">
        <v>46364</v>
      </c>
      <c r="AN103" s="20">
        <f>AM103-AL104</f>
        <v>37</v>
      </c>
      <c r="AO103" s="143"/>
      <c r="AP103" s="437"/>
      <c r="AQ103" s="21">
        <f>IF(ISERROR(LOOKUP(AQ$10,$O103:$AP103,#REF!)),0,(LOOKUP(AQ$10,$O103:$AP103,#REF!)))</f>
        <v>0</v>
      </c>
      <c r="AR103" s="22">
        <f>IF(ISERROR(LOOKUP(AR$10,$O103:$AP103,#REF!)),0,(LOOKUP(AR$10,$O103:$AP103,#REF!)))</f>
        <v>0</v>
      </c>
      <c r="AS103" s="22">
        <f>IF(ISERROR(LOOKUP(AS$10,$O103:$AP103,#REF!)),0,(LOOKUP(AS$10,$O103:$AP103,#REF!)))</f>
        <v>0</v>
      </c>
      <c r="AT103" s="22">
        <f>IF(ISERROR(LOOKUP(AT$10,$O103:$AP103,#REF!)),0,(LOOKUP(AT$10,$O103:$AP103,#REF!)))</f>
        <v>0</v>
      </c>
      <c r="AU103" s="22">
        <f>IF(ISERROR(LOOKUP(AU$10,$O103:$AP103,#REF!)),0,(LOOKUP(AU$10,$O103:$AP103,#REF!)))</f>
        <v>0</v>
      </c>
      <c r="AV103" s="22">
        <f>IF(ISERROR(LOOKUP(AV$10,$O103:$AP103,#REF!)),0,(LOOKUP(AV$10,$O103:$AP103,#REF!)))</f>
        <v>0</v>
      </c>
      <c r="AW103" s="22">
        <f>IF(ISERROR(LOOKUP(AW$10,$O103:$AP103,#REF!)),0,(LOOKUP(AW$10,$O103:$AP103,#REF!)))</f>
        <v>0</v>
      </c>
      <c r="AX103" s="22">
        <f>IF(ISERROR(LOOKUP(AX$10,$O103:$AP103,#REF!)),0,(LOOKUP(AX$10,$O103:$AP103,#REF!)))</f>
        <v>0</v>
      </c>
      <c r="AY103" s="22">
        <f>IF(ISERROR(LOOKUP(AY$10,$O103:$AP103,#REF!)),0,(LOOKUP(AY$10,$O103:$AP103,#REF!)))</f>
        <v>0</v>
      </c>
      <c r="AZ103" s="22">
        <f>IF(ISERROR(LOOKUP(AZ$10,$O103:$AP103,#REF!)),0,(LOOKUP(AZ$10,$O103:$AP103,#REF!)))</f>
        <v>0</v>
      </c>
      <c r="BA103" s="22">
        <f ca="1">IF(ISERROR(LOOKUP(BA$10,$O103:$AP103,#REF!)),0,(LOOKUP(BA$10,$O103:$AP103,#REF!)))</f>
        <v>0</v>
      </c>
      <c r="BB103" s="425"/>
      <c r="BC103" s="411"/>
      <c r="BD103" s="411"/>
    </row>
    <row r="104" spans="1:56" s="3" customFormat="1" ht="15.4" thickTop="1" thickBot="1" x14ac:dyDescent="0.45">
      <c r="A104" s="441"/>
      <c r="B104" s="93" t="s">
        <v>294</v>
      </c>
      <c r="C104" s="41" t="s">
        <v>75</v>
      </c>
      <c r="D104" s="43" t="s">
        <v>76</v>
      </c>
      <c r="E104" s="157"/>
      <c r="F104" s="157"/>
      <c r="G104" s="43" t="s">
        <v>71</v>
      </c>
      <c r="H104" s="46" t="s">
        <v>63</v>
      </c>
      <c r="I104" s="23" t="s">
        <v>56</v>
      </c>
      <c r="J104" s="41" t="s">
        <v>202</v>
      </c>
      <c r="K104" s="41" t="s">
        <v>314</v>
      </c>
      <c r="L104" s="43"/>
      <c r="M104" s="197" t="s">
        <v>74</v>
      </c>
      <c r="N104" s="26" t="s">
        <v>36</v>
      </c>
      <c r="O104" s="27"/>
      <c r="P104" s="28"/>
      <c r="Q104" s="28"/>
      <c r="R104" s="28"/>
      <c r="S104" s="28"/>
      <c r="T104" s="28">
        <v>46210</v>
      </c>
      <c r="U104" s="28">
        <f>WORKDAY(T104, U9, IF(U12="China",'China Holidays'!$A$2:$A$84,'Thai Holidays'!$A$2:$A$65))</f>
        <v>46219</v>
      </c>
      <c r="V104" s="28">
        <f>WORKDAY(U104, V9, IF(V12="China",'China Holidays'!$A$2:$A$84,'Thai Holidays'!$A$2:$A$65))</f>
        <v>46237</v>
      </c>
      <c r="W104" s="28">
        <f>V104</f>
        <v>46237</v>
      </c>
      <c r="X104" s="28">
        <f>WORKDAY(W104, X9, IF(X12="China",'China Holidays'!$A$2:$A$84,'Thai Holidays'!$A$2:$A$65))</f>
        <v>46239</v>
      </c>
      <c r="Y104" s="28">
        <f>WORKDAY(X104, Y9, IF(Y12="China",'China Holidays'!$A$2:$A$84,'Thai Holidays'!$A$2:$A$65))</f>
        <v>46246</v>
      </c>
      <c r="Z104" s="28">
        <f>WORKDAY(Y104, Z9, IF(Z12="China",'China Holidays'!$A$2:$A$84,'Thai Holidays'!$A$2:$A$65))</f>
        <v>46260</v>
      </c>
      <c r="AA104" s="28">
        <f>WORKDAY(Z104, AA9, IF(AA12="China",'China Holidays'!$A$2:$A$84,'Thai Holidays'!$A$2:$A$65))</f>
        <v>46274</v>
      </c>
      <c r="AB104" s="28">
        <f>AA104+7</f>
        <v>46281</v>
      </c>
      <c r="AC104" s="28">
        <f>AB104</f>
        <v>46281</v>
      </c>
      <c r="AD104" s="28">
        <f>AC104+2</f>
        <v>46283</v>
      </c>
      <c r="AE104" s="28">
        <f>AF104-5</f>
        <v>46317</v>
      </c>
      <c r="AF104" s="28">
        <f>AG104-5</f>
        <v>46322</v>
      </c>
      <c r="AG104" s="28">
        <f>AL104</f>
        <v>46327</v>
      </c>
      <c r="AH104" s="28">
        <f>AL103+3</f>
        <v>46325</v>
      </c>
      <c r="AI104" s="28">
        <f>AL103+30</f>
        <v>46352</v>
      </c>
      <c r="AJ104" s="81"/>
      <c r="AK104" s="79"/>
      <c r="AL104" s="83">
        <f>W104+AK103</f>
        <v>46327</v>
      </c>
      <c r="AM104" s="83"/>
      <c r="AN104" s="29"/>
      <c r="AO104" s="141"/>
      <c r="AP104" s="438"/>
      <c r="AQ104" s="21">
        <f>IF(ISERROR(LOOKUP(AQ$10,$O104:$AP104,#REF!)),0,(LOOKUP(AQ$10,$O104:$AP104,#REF!)))</f>
        <v>0</v>
      </c>
      <c r="AR104" s="22">
        <f>IF(ISERROR(LOOKUP(AR$10,$O104:$AP104,#REF!)),0,(LOOKUP(AR$10,$O104:$AP104,#REF!)))</f>
        <v>0</v>
      </c>
      <c r="AS104" s="22">
        <f>IF(ISERROR(LOOKUP(AS$10,$O104:$AP104,#REF!)),0,(LOOKUP(AS$10,$O104:$AP104,#REF!)))</f>
        <v>0</v>
      </c>
      <c r="AT104" s="22">
        <f>IF(ISERROR(LOOKUP(AT$10,$O104:$AP104,#REF!)),0,(LOOKUP(AT$10,$O104:$AP104,#REF!)))</f>
        <v>0</v>
      </c>
      <c r="AU104" s="22">
        <f>IF(ISERROR(LOOKUP(AU$10,$O104:$AP104,#REF!)),0,(LOOKUP(AU$10,$O104:$AP104,#REF!)))</f>
        <v>0</v>
      </c>
      <c r="AV104" s="22">
        <f>IF(ISERROR(LOOKUP(AV$10,$O104:$AP104,#REF!)),0,(LOOKUP(AV$10,$O104:$AP104,#REF!)))</f>
        <v>0</v>
      </c>
      <c r="AW104" s="22">
        <f>IF(ISERROR(LOOKUP(AW$10,$O104:$AP104,#REF!)),0,(LOOKUP(AW$10,$O104:$AP104,#REF!)))</f>
        <v>0</v>
      </c>
      <c r="AX104" s="22">
        <f>IF(ISERROR(LOOKUP(AX$10,$O104:$AP104,#REF!)),0,(LOOKUP(AX$10,$O104:$AP104,#REF!)))</f>
        <v>0</v>
      </c>
      <c r="AY104" s="22">
        <f>IF(ISERROR(LOOKUP(AY$10,$O104:$AP104,#REF!)),0,(LOOKUP(AY$10,$O104:$AP104,#REF!)))</f>
        <v>0</v>
      </c>
      <c r="AZ104" s="22">
        <f>IF(ISERROR(LOOKUP(AZ$10,$O104:$AP104,#REF!)),0,(LOOKUP(AZ$10,$O104:$AP104,#REF!)))</f>
        <v>0</v>
      </c>
      <c r="BA104" s="22">
        <f ca="1">IF(ISERROR(LOOKUP(BA$10,$O104:$AP104,#REF!)),0,(LOOKUP(BA$10,$O104:$AP104,#REF!)))</f>
        <v>0</v>
      </c>
      <c r="BB104" s="425"/>
      <c r="BC104" s="411"/>
      <c r="BD104" s="411"/>
    </row>
    <row r="105" spans="1:56" s="3" customFormat="1" ht="15.4" thickTop="1" thickBot="1" x14ac:dyDescent="0.45">
      <c r="A105" s="442"/>
      <c r="B105" s="94" t="s">
        <v>294</v>
      </c>
      <c r="C105" s="32" t="s">
        <v>75</v>
      </c>
      <c r="D105" s="45" t="s">
        <v>76</v>
      </c>
      <c r="E105" s="158"/>
      <c r="F105" s="158"/>
      <c r="G105" s="45" t="s">
        <v>71</v>
      </c>
      <c r="H105" s="34" t="s">
        <v>63</v>
      </c>
      <c r="I105" s="32" t="s">
        <v>56</v>
      </c>
      <c r="J105" s="32" t="s">
        <v>202</v>
      </c>
      <c r="K105" s="32" t="s">
        <v>314</v>
      </c>
      <c r="L105" s="45"/>
      <c r="M105" s="198" t="s">
        <v>74</v>
      </c>
      <c r="N105" s="35" t="s">
        <v>37</v>
      </c>
      <c r="O105" s="36">
        <v>46184</v>
      </c>
      <c r="P105" s="36">
        <v>46148</v>
      </c>
      <c r="Q105" s="36">
        <v>46165</v>
      </c>
      <c r="R105" s="36">
        <v>46184</v>
      </c>
      <c r="S105" s="36">
        <v>46184</v>
      </c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82"/>
      <c r="AK105" s="80"/>
      <c r="AL105" s="37"/>
      <c r="AM105" s="37"/>
      <c r="AN105" s="38"/>
      <c r="AO105" s="142"/>
      <c r="AP105" s="439"/>
      <c r="AQ105" s="39">
        <f>IF(ISERROR(LOOKUP(AQ$10,$O105:$AP105,#REF!)),0,(LOOKUP(AQ$10,$O105:$AP105,#REF!)))</f>
        <v>0</v>
      </c>
      <c r="AR105" s="40">
        <f>IF(ISERROR(LOOKUP(AR$10,$O105:$AP105,#REF!)),0,(LOOKUP(AR$10,$O105:$AP105,#REF!)))</f>
        <v>0</v>
      </c>
      <c r="AS105" s="40">
        <f>IF(ISERROR(LOOKUP(AS$10,$O105:$AP105,#REF!)),0,(LOOKUP(AS$10,$O105:$AP105,#REF!)))</f>
        <v>0</v>
      </c>
      <c r="AT105" s="40">
        <f>IF(ISERROR(LOOKUP(AT$10,$O105:$AP105,#REF!)),0,(LOOKUP(AT$10,$O105:$AP105,#REF!)))</f>
        <v>0</v>
      </c>
      <c r="AU105" s="40">
        <f>IF(ISERROR(LOOKUP(AU$10,$O105:$AP105,#REF!)),0,(LOOKUP(AU$10,$O105:$AP105,#REF!)))</f>
        <v>0</v>
      </c>
      <c r="AV105" s="40">
        <f>IF(ISERROR(LOOKUP(AV$10,$O105:$AP105,#REF!)),0,(LOOKUP(AV$10,$O105:$AP105,#REF!)))</f>
        <v>0</v>
      </c>
      <c r="AW105" s="40">
        <f>IF(ISERROR(LOOKUP(AW$10,$O105:$AP105,#REF!)),0,(LOOKUP(AW$10,$O105:$AP105,#REF!)))</f>
        <v>0</v>
      </c>
      <c r="AX105" s="40">
        <f>IF(ISERROR(LOOKUP(AX$10,$O105:$AP105,#REF!)),0,(LOOKUP(AX$10,$O105:$AP105,#REF!)))</f>
        <v>0</v>
      </c>
      <c r="AY105" s="40">
        <f>IF(ISERROR(LOOKUP(AY$10,$O105:$AP105,#REF!)),0,(LOOKUP(AY$10,$O105:$AP105,#REF!)))</f>
        <v>0</v>
      </c>
      <c r="AZ105" s="40">
        <f>IF(ISERROR(LOOKUP(AZ$10,$O105:$AP105,#REF!)),0,(LOOKUP(AZ$10,$O105:$AP105,#REF!)))</f>
        <v>0</v>
      </c>
      <c r="BA105" s="40">
        <f ca="1">IF(ISERROR(LOOKUP(BA$10,$O105:$AP105,#REF!)),0,(LOOKUP(BA$10,$O105:$AP105,#REF!)))</f>
        <v>0</v>
      </c>
      <c r="BB105" s="425"/>
      <c r="BC105" s="411"/>
      <c r="BD105" s="411"/>
    </row>
    <row r="106" spans="1:56" s="3" customFormat="1" ht="15.4" thickTop="1" thickBot="1" x14ac:dyDescent="0.45">
      <c r="A106" s="440">
        <f t="shared" ref="A106" si="22">A103+1</f>
        <v>28</v>
      </c>
      <c r="B106" s="92" t="s">
        <v>294</v>
      </c>
      <c r="C106" s="14" t="s">
        <v>77</v>
      </c>
      <c r="D106" s="227" t="s">
        <v>570</v>
      </c>
      <c r="E106" s="150"/>
      <c r="F106" s="150"/>
      <c r="G106" s="64" t="s">
        <v>71</v>
      </c>
      <c r="H106" s="16" t="s">
        <v>63</v>
      </c>
      <c r="I106" s="14" t="s">
        <v>56</v>
      </c>
      <c r="J106" s="14" t="s">
        <v>205</v>
      </c>
      <c r="K106" s="14" t="s">
        <v>312</v>
      </c>
      <c r="L106" s="42"/>
      <c r="M106" s="196" t="s">
        <v>74</v>
      </c>
      <c r="N106" s="18" t="s">
        <v>35</v>
      </c>
      <c r="O106" s="19">
        <v>46168</v>
      </c>
      <c r="P106" s="19">
        <v>46171</v>
      </c>
      <c r="Q106" s="19">
        <v>46182</v>
      </c>
      <c r="R106" s="19">
        <v>46183</v>
      </c>
      <c r="S106" s="19">
        <v>46190</v>
      </c>
      <c r="T106" s="230">
        <v>46205</v>
      </c>
      <c r="U106" s="19">
        <v>46226</v>
      </c>
      <c r="V106" s="19">
        <v>46233</v>
      </c>
      <c r="W106" s="19">
        <v>46247</v>
      </c>
      <c r="X106" s="19">
        <v>46251</v>
      </c>
      <c r="Y106" s="19">
        <v>46258</v>
      </c>
      <c r="Z106" s="19">
        <v>46279</v>
      </c>
      <c r="AA106" s="19">
        <v>46293</v>
      </c>
      <c r="AB106" s="19">
        <v>46323</v>
      </c>
      <c r="AC106" s="19">
        <v>46323</v>
      </c>
      <c r="AD106" s="19">
        <v>46325</v>
      </c>
      <c r="AE106" s="19">
        <v>46380</v>
      </c>
      <c r="AF106" s="19">
        <v>46385</v>
      </c>
      <c r="AG106" s="19">
        <v>46415</v>
      </c>
      <c r="AH106" s="19">
        <v>46418</v>
      </c>
      <c r="AI106" s="19">
        <v>46445</v>
      </c>
      <c r="AJ106" s="58">
        <v>24</v>
      </c>
      <c r="AK106" s="59">
        <v>168</v>
      </c>
      <c r="AL106" s="78">
        <v>46415</v>
      </c>
      <c r="AM106" s="78">
        <v>46426</v>
      </c>
      <c r="AN106" s="20">
        <f>AM106-AL107</f>
        <v>4</v>
      </c>
      <c r="AO106" s="143" t="s">
        <v>693</v>
      </c>
      <c r="AP106" s="437" t="s">
        <v>670</v>
      </c>
      <c r="AQ106" s="21">
        <f>IF(ISERROR(LOOKUP(AQ$10,$O106:$AP106,#REF!)),0,(LOOKUP(AQ$10,$O106:$AP106,#REF!)))</f>
        <v>0</v>
      </c>
      <c r="AR106" s="22">
        <f>IF(ISERROR(LOOKUP(AR$10,$O106:$AP106,#REF!)),0,(LOOKUP(AR$10,$O106:$AP106,#REF!)))</f>
        <v>0</v>
      </c>
      <c r="AS106" s="22">
        <f>IF(ISERROR(LOOKUP(AS$10,$O106:$AP106,#REF!)),0,(LOOKUP(AS$10,$O106:$AP106,#REF!)))</f>
        <v>0</v>
      </c>
      <c r="AT106" s="22">
        <f>IF(ISERROR(LOOKUP(AT$10,$O106:$AP106,#REF!)),0,(LOOKUP(AT$10,$O106:$AP106,#REF!)))</f>
        <v>0</v>
      </c>
      <c r="AU106" s="22">
        <f>IF(ISERROR(LOOKUP(AU$10,$O106:$AP106,#REF!)),0,(LOOKUP(AU$10,$O106:$AP106,#REF!)))</f>
        <v>0</v>
      </c>
      <c r="AV106" s="22">
        <f>IF(ISERROR(LOOKUP(AV$10,$O106:$AP106,#REF!)),0,(LOOKUP(AV$10,$O106:$AP106,#REF!)))</f>
        <v>0</v>
      </c>
      <c r="AW106" s="22">
        <f>IF(ISERROR(LOOKUP(AW$10,$O106:$AP106,#REF!)),0,(LOOKUP(AW$10,$O106:$AP106,#REF!)))</f>
        <v>0</v>
      </c>
      <c r="AX106" s="22">
        <f>IF(ISERROR(LOOKUP(AX$10,$O106:$AP106,#REF!)),0,(LOOKUP(AX$10,$O106:$AP106,#REF!)))</f>
        <v>0</v>
      </c>
      <c r="AY106" s="22">
        <f>IF(ISERROR(LOOKUP(AY$10,$O106:$AP106,#REF!)),0,(LOOKUP(AY$10,$O106:$AP106,#REF!)))</f>
        <v>0</v>
      </c>
      <c r="AZ106" s="22">
        <f>IF(ISERROR(LOOKUP(AZ$10,$O106:$AP106,#REF!)),0,(LOOKUP(AZ$10,$O106:$AP106,#REF!)))</f>
        <v>0</v>
      </c>
      <c r="BA106" s="22">
        <f ca="1">IF(ISERROR(LOOKUP(BA$10,$O106:$AP106,#REF!)),0,(LOOKUP(BA$10,$O106:$AP106,#REF!)))</f>
        <v>0</v>
      </c>
      <c r="BB106" s="425"/>
      <c r="BC106" s="411"/>
      <c r="BD106" s="411"/>
    </row>
    <row r="107" spans="1:56" s="3" customFormat="1" ht="15.4" thickTop="1" thickBot="1" x14ac:dyDescent="0.45">
      <c r="A107" s="441"/>
      <c r="B107" s="93" t="s">
        <v>294</v>
      </c>
      <c r="C107" s="41" t="s">
        <v>77</v>
      </c>
      <c r="D107" s="43" t="s">
        <v>78</v>
      </c>
      <c r="E107" s="157"/>
      <c r="F107" s="157"/>
      <c r="G107" s="43" t="s">
        <v>71</v>
      </c>
      <c r="H107" s="46" t="s">
        <v>63</v>
      </c>
      <c r="I107" s="23" t="s">
        <v>56</v>
      </c>
      <c r="J107" s="41" t="s">
        <v>205</v>
      </c>
      <c r="K107" s="41" t="s">
        <v>312</v>
      </c>
      <c r="L107" s="43"/>
      <c r="M107" s="197" t="s">
        <v>74</v>
      </c>
      <c r="N107" s="26" t="s">
        <v>36</v>
      </c>
      <c r="O107" s="27"/>
      <c r="P107" s="28"/>
      <c r="Q107" s="28"/>
      <c r="R107" s="28"/>
      <c r="S107" s="28"/>
      <c r="T107" s="28">
        <v>46218</v>
      </c>
      <c r="U107" s="28">
        <f>WORKDAY(T107, U8, IF(U12="China",'China Holidays'!$A$2:$A$84,'Thai Holidays'!$A$2:$A$65))</f>
        <v>46239</v>
      </c>
      <c r="V107" s="28">
        <f>WORKDAY(U107, V8, IF(V12="China",'China Holidays'!$A$2:$A$84,'Thai Holidays'!$A$2:$A$65))</f>
        <v>46254</v>
      </c>
      <c r="W107" s="28">
        <f>V107</f>
        <v>46254</v>
      </c>
      <c r="X107" s="28">
        <f>WORKDAY(W107, X8, IF(X12="China",'China Holidays'!$A$2:$A$84,'Thai Holidays'!$A$2:$A$65))</f>
        <v>46258</v>
      </c>
      <c r="Y107" s="28">
        <f>WORKDAY(X107, Y8, IF(Y12="China",'China Holidays'!$A$2:$A$84,'Thai Holidays'!$A$2:$A$65))</f>
        <v>46265</v>
      </c>
      <c r="Z107" s="28">
        <f>WORKDAY(Y107, Z8, IF(Z12="China",'China Holidays'!$A$2:$A$84,'Thai Holidays'!$A$2:$A$65))</f>
        <v>46286</v>
      </c>
      <c r="AA107" s="28">
        <f>WORKDAY(Z107, AA8, IF(AA12="China",'China Holidays'!$A$2:$A$84,'Thai Holidays'!$A$2:$A$65))</f>
        <v>46300</v>
      </c>
      <c r="AB107" s="28">
        <f>AA107+30</f>
        <v>46330</v>
      </c>
      <c r="AC107" s="28">
        <f>AB107</f>
        <v>46330</v>
      </c>
      <c r="AD107" s="28">
        <f>AC107+2</f>
        <v>46332</v>
      </c>
      <c r="AE107" s="28">
        <f>AF107-5</f>
        <v>46387</v>
      </c>
      <c r="AF107" s="28">
        <f>AG107-30</f>
        <v>46392</v>
      </c>
      <c r="AG107" s="28">
        <f>AL107</f>
        <v>46422</v>
      </c>
      <c r="AH107" s="28">
        <f>AL106+3</f>
        <v>46418</v>
      </c>
      <c r="AI107" s="28">
        <f>AL106+30</f>
        <v>46445</v>
      </c>
      <c r="AJ107" s="89"/>
      <c r="AK107" s="89"/>
      <c r="AL107" s="83">
        <f>W107+AK106</f>
        <v>46422</v>
      </c>
      <c r="AM107" s="83"/>
      <c r="AN107" s="29"/>
      <c r="AO107" s="141"/>
      <c r="AP107" s="438"/>
      <c r="AQ107" s="21">
        <f>IF(ISERROR(LOOKUP(AQ$10,$O107:$AP107,#REF!)),0,(LOOKUP(AQ$10,$O107:$AP107,#REF!)))</f>
        <v>0</v>
      </c>
      <c r="AR107" s="22">
        <f>IF(ISERROR(LOOKUP(AR$10,$O107:$AP107,#REF!)),0,(LOOKUP(AR$10,$O107:$AP107,#REF!)))</f>
        <v>0</v>
      </c>
      <c r="AS107" s="22">
        <f>IF(ISERROR(LOOKUP(AS$10,$O107:$AP107,#REF!)),0,(LOOKUP(AS$10,$O107:$AP107,#REF!)))</f>
        <v>0</v>
      </c>
      <c r="AT107" s="22">
        <f>IF(ISERROR(LOOKUP(AT$10,$O107:$AP107,#REF!)),0,(LOOKUP(AT$10,$O107:$AP107,#REF!)))</f>
        <v>0</v>
      </c>
      <c r="AU107" s="22">
        <f>IF(ISERROR(LOOKUP(AU$10,$O107:$AP107,#REF!)),0,(LOOKUP(AU$10,$O107:$AP107,#REF!)))</f>
        <v>0</v>
      </c>
      <c r="AV107" s="22">
        <f>IF(ISERROR(LOOKUP(AV$10,$O107:$AP107,#REF!)),0,(LOOKUP(AV$10,$O107:$AP107,#REF!)))</f>
        <v>0</v>
      </c>
      <c r="AW107" s="22">
        <f>IF(ISERROR(LOOKUP(AW$10,$O107:$AP107,#REF!)),0,(LOOKUP(AW$10,$O107:$AP107,#REF!)))</f>
        <v>0</v>
      </c>
      <c r="AX107" s="22">
        <f>IF(ISERROR(LOOKUP(AX$10,$O107:$AP107,#REF!)),0,(LOOKUP(AX$10,$O107:$AP107,#REF!)))</f>
        <v>0</v>
      </c>
      <c r="AY107" s="22">
        <f>IF(ISERROR(LOOKUP(AY$10,$O107:$AP107,#REF!)),0,(LOOKUP(AY$10,$O107:$AP107,#REF!)))</f>
        <v>0</v>
      </c>
      <c r="AZ107" s="22">
        <f>IF(ISERROR(LOOKUP(AZ$10,$O107:$AP107,#REF!)),0,(LOOKUP(AZ$10,$O107:$AP107,#REF!)))</f>
        <v>0</v>
      </c>
      <c r="BA107" s="22">
        <f ca="1">IF(ISERROR(LOOKUP(BA$10,$O107:$AP107,#REF!)),0,(LOOKUP(BA$10,$O107:$AP107,#REF!)))</f>
        <v>0</v>
      </c>
      <c r="BB107" s="425"/>
      <c r="BC107" s="411"/>
      <c r="BD107" s="411"/>
    </row>
    <row r="108" spans="1:56" s="3" customFormat="1" ht="15.4" thickTop="1" thickBot="1" x14ac:dyDescent="0.45">
      <c r="A108" s="442"/>
      <c r="B108" s="94" t="s">
        <v>294</v>
      </c>
      <c r="C108" s="32" t="s">
        <v>77</v>
      </c>
      <c r="D108" s="45" t="s">
        <v>78</v>
      </c>
      <c r="E108" s="158"/>
      <c r="F108" s="158"/>
      <c r="G108" s="45" t="s">
        <v>71</v>
      </c>
      <c r="H108" s="34" t="s">
        <v>63</v>
      </c>
      <c r="I108" s="32" t="s">
        <v>56</v>
      </c>
      <c r="J108" s="32" t="s">
        <v>205</v>
      </c>
      <c r="K108" s="32" t="s">
        <v>312</v>
      </c>
      <c r="L108" s="45"/>
      <c r="M108" s="198" t="s">
        <v>74</v>
      </c>
      <c r="N108" s="35" t="s">
        <v>37</v>
      </c>
      <c r="O108" s="36">
        <v>46184</v>
      </c>
      <c r="P108" s="36">
        <v>46148</v>
      </c>
      <c r="Q108" s="36">
        <v>46165</v>
      </c>
      <c r="R108" s="36">
        <v>46184</v>
      </c>
      <c r="S108" s="36">
        <v>46184</v>
      </c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82"/>
      <c r="AK108" s="80"/>
      <c r="AL108" s="37"/>
      <c r="AM108" s="37"/>
      <c r="AN108" s="38"/>
      <c r="AO108" s="142"/>
      <c r="AP108" s="439"/>
      <c r="AQ108" s="39">
        <f>IF(ISERROR(LOOKUP(AQ$10,$O108:$AP108,#REF!)),0,(LOOKUP(AQ$10,$O108:$AP108,#REF!)))</f>
        <v>0</v>
      </c>
      <c r="AR108" s="40">
        <f>IF(ISERROR(LOOKUP(AR$10,$O108:$AP108,#REF!)),0,(LOOKUP(AR$10,$O108:$AP108,#REF!)))</f>
        <v>0</v>
      </c>
      <c r="AS108" s="40">
        <f>IF(ISERROR(LOOKUP(AS$10,$O108:$AP108,#REF!)),0,(LOOKUP(AS$10,$O108:$AP108,#REF!)))</f>
        <v>0</v>
      </c>
      <c r="AT108" s="40">
        <f>IF(ISERROR(LOOKUP(AT$10,$O108:$AP108,#REF!)),0,(LOOKUP(AT$10,$O108:$AP108,#REF!)))</f>
        <v>0</v>
      </c>
      <c r="AU108" s="40">
        <f>IF(ISERROR(LOOKUP(AU$10,$O108:$AP108,#REF!)),0,(LOOKUP(AU$10,$O108:$AP108,#REF!)))</f>
        <v>0</v>
      </c>
      <c r="AV108" s="40">
        <f>IF(ISERROR(LOOKUP(AV$10,$O108:$AP108,#REF!)),0,(LOOKUP(AV$10,$O108:$AP108,#REF!)))</f>
        <v>0</v>
      </c>
      <c r="AW108" s="40">
        <f>IF(ISERROR(LOOKUP(AW$10,$O108:$AP108,#REF!)),0,(LOOKUP(AW$10,$O108:$AP108,#REF!)))</f>
        <v>0</v>
      </c>
      <c r="AX108" s="40">
        <f>IF(ISERROR(LOOKUP(AX$10,$O108:$AP108,#REF!)),0,(LOOKUP(AX$10,$O108:$AP108,#REF!)))</f>
        <v>0</v>
      </c>
      <c r="AY108" s="40">
        <f>IF(ISERROR(LOOKUP(AY$10,$O108:$AP108,#REF!)),0,(LOOKUP(AY$10,$O108:$AP108,#REF!)))</f>
        <v>0</v>
      </c>
      <c r="AZ108" s="40">
        <f>IF(ISERROR(LOOKUP(AZ$10,$O108:$AP108,#REF!)),0,(LOOKUP(AZ$10,$O108:$AP108,#REF!)))</f>
        <v>0</v>
      </c>
      <c r="BA108" s="40">
        <f ca="1">IF(ISERROR(LOOKUP(BA$10,$O108:$AP108,#REF!)),0,(LOOKUP(BA$10,$O108:$AP108,#REF!)))</f>
        <v>0</v>
      </c>
      <c r="BB108" s="425"/>
      <c r="BC108" s="411"/>
      <c r="BD108" s="411"/>
    </row>
    <row r="109" spans="1:56" s="3" customFormat="1" ht="15.4" thickTop="1" thickBot="1" x14ac:dyDescent="0.45">
      <c r="A109" s="440">
        <f t="shared" ref="A109" si="23">A106+1</f>
        <v>29</v>
      </c>
      <c r="B109" s="92" t="s">
        <v>294</v>
      </c>
      <c r="C109" s="14" t="s">
        <v>79</v>
      </c>
      <c r="D109" s="229" t="s">
        <v>730</v>
      </c>
      <c r="E109" s="150"/>
      <c r="F109" s="150"/>
      <c r="G109" s="64" t="s">
        <v>71</v>
      </c>
      <c r="H109" s="16" t="s">
        <v>63</v>
      </c>
      <c r="I109" s="14" t="s">
        <v>56</v>
      </c>
      <c r="J109" s="14" t="s">
        <v>202</v>
      </c>
      <c r="K109" s="14" t="s">
        <v>314</v>
      </c>
      <c r="L109" s="42"/>
      <c r="M109" s="196" t="s">
        <v>74</v>
      </c>
      <c r="N109" s="18" t="s">
        <v>35</v>
      </c>
      <c r="O109" s="19">
        <v>46254</v>
      </c>
      <c r="P109" s="19">
        <v>46259</v>
      </c>
      <c r="Q109" s="19">
        <v>46266</v>
      </c>
      <c r="R109" s="230">
        <v>46267</v>
      </c>
      <c r="S109" s="19">
        <v>46272</v>
      </c>
      <c r="T109" s="19">
        <v>46279</v>
      </c>
      <c r="U109" s="19">
        <v>46288</v>
      </c>
      <c r="V109" s="19">
        <v>46290</v>
      </c>
      <c r="W109" s="19">
        <v>46304</v>
      </c>
      <c r="X109" s="19">
        <v>46308</v>
      </c>
      <c r="Y109" s="19">
        <v>46315</v>
      </c>
      <c r="Z109" s="19">
        <v>46329</v>
      </c>
      <c r="AA109" s="19">
        <v>46343</v>
      </c>
      <c r="AB109" s="19">
        <v>46353</v>
      </c>
      <c r="AC109" s="19">
        <v>46353</v>
      </c>
      <c r="AD109" s="19">
        <v>46355</v>
      </c>
      <c r="AE109" s="19">
        <v>46385</v>
      </c>
      <c r="AF109" s="19">
        <v>46390</v>
      </c>
      <c r="AG109" s="19">
        <v>46394</v>
      </c>
      <c r="AH109" s="19">
        <v>46397</v>
      </c>
      <c r="AI109" s="19">
        <v>46424</v>
      </c>
      <c r="AJ109" s="58">
        <v>12.857142857142858</v>
      </c>
      <c r="AK109" s="59">
        <v>90</v>
      </c>
      <c r="AL109" s="78">
        <v>46394</v>
      </c>
      <c r="AM109" s="78">
        <v>46410</v>
      </c>
      <c r="AN109" s="20">
        <f>AM109-AL110</f>
        <v>31</v>
      </c>
      <c r="AO109" s="143" t="s">
        <v>693</v>
      </c>
      <c r="AP109" s="437"/>
      <c r="AQ109" s="21">
        <f>IF(ISERROR(LOOKUP(AQ$10,$O109:$AP109,#REF!)),0,(LOOKUP(AQ$10,$O109:$AP109,#REF!)))</f>
        <v>0</v>
      </c>
      <c r="AR109" s="22">
        <f>IF(ISERROR(LOOKUP(AR$10,$O109:$AP109,#REF!)),0,(LOOKUP(AR$10,$O109:$AP109,#REF!)))</f>
        <v>0</v>
      </c>
      <c r="AS109" s="22">
        <f>IF(ISERROR(LOOKUP(AS$10,$O109:$AP109,#REF!)),0,(LOOKUP(AS$10,$O109:$AP109,#REF!)))</f>
        <v>0</v>
      </c>
      <c r="AT109" s="22">
        <f>IF(ISERROR(LOOKUP(AT$10,$O109:$AP109,#REF!)),0,(LOOKUP(AT$10,$O109:$AP109,#REF!)))</f>
        <v>0</v>
      </c>
      <c r="AU109" s="22">
        <f>IF(ISERROR(LOOKUP(AU$10,$O109:$AP109,#REF!)),0,(LOOKUP(AU$10,$O109:$AP109,#REF!)))</f>
        <v>0</v>
      </c>
      <c r="AV109" s="22">
        <f>IF(ISERROR(LOOKUP(AV$10,$O109:$AP109,#REF!)),0,(LOOKUP(AV$10,$O109:$AP109,#REF!)))</f>
        <v>0</v>
      </c>
      <c r="AW109" s="22">
        <f>IF(ISERROR(LOOKUP(AW$10,$O109:$AP109,#REF!)),0,(LOOKUP(AW$10,$O109:$AP109,#REF!)))</f>
        <v>0</v>
      </c>
      <c r="AX109" s="22">
        <f>IF(ISERROR(LOOKUP(AX$10,$O109:$AP109,#REF!)),0,(LOOKUP(AX$10,$O109:$AP109,#REF!)))</f>
        <v>0</v>
      </c>
      <c r="AY109" s="22">
        <f>IF(ISERROR(LOOKUP(AY$10,$O109:$AP109,#REF!)),0,(LOOKUP(AY$10,$O109:$AP109,#REF!)))</f>
        <v>0</v>
      </c>
      <c r="AZ109" s="22">
        <f>IF(ISERROR(LOOKUP(AZ$10,$O109:$AP109,#REF!)),0,(LOOKUP(AZ$10,$O109:$AP109,#REF!)))</f>
        <v>0</v>
      </c>
      <c r="BA109" s="22">
        <f ca="1">IF(ISERROR(LOOKUP(BA$10,$O109:$AP109,#REF!)),0,(LOOKUP(BA$10,$O109:$AP109,#REF!)))</f>
        <v>0</v>
      </c>
      <c r="BB109" s="425"/>
      <c r="BC109" s="411"/>
      <c r="BD109" s="411"/>
    </row>
    <row r="110" spans="1:56" s="3" customFormat="1" ht="15.4" thickTop="1" thickBot="1" x14ac:dyDescent="0.45">
      <c r="A110" s="441"/>
      <c r="B110" s="93" t="s">
        <v>294</v>
      </c>
      <c r="C110" s="41" t="s">
        <v>79</v>
      </c>
      <c r="D110" s="43" t="s">
        <v>80</v>
      </c>
      <c r="E110" s="157"/>
      <c r="F110" s="157"/>
      <c r="G110" s="43" t="s">
        <v>71</v>
      </c>
      <c r="H110" s="46" t="s">
        <v>63</v>
      </c>
      <c r="I110" s="23" t="s">
        <v>56</v>
      </c>
      <c r="J110" s="41" t="s">
        <v>202</v>
      </c>
      <c r="K110" s="41" t="s">
        <v>314</v>
      </c>
      <c r="L110" s="43"/>
      <c r="M110" s="197" t="s">
        <v>74</v>
      </c>
      <c r="N110" s="26" t="s">
        <v>36</v>
      </c>
      <c r="O110" s="27"/>
      <c r="P110" s="28"/>
      <c r="Q110" s="28"/>
      <c r="R110" s="28">
        <f>R109</f>
        <v>46267</v>
      </c>
      <c r="S110" s="28">
        <f>WORKDAY(R110, S9, IF(S12="China",'China Holidays'!$A$2:$A$84,'Thai Holidays'!$A$2:$A$65))</f>
        <v>46267</v>
      </c>
      <c r="T110" s="28">
        <f>WORKDAY(S110, T9, IF(T12="China",'China Holidays'!$A$2:$A$84,'Thai Holidays'!$A$2:$A$65))</f>
        <v>46274</v>
      </c>
      <c r="U110" s="28">
        <v>46275</v>
      </c>
      <c r="V110" s="28">
        <f>WORKDAY(U110, V9, IF(V12="China",'China Holidays'!$A$2:$A$84,'Thai Holidays'!$A$2:$A$65))</f>
        <v>46289</v>
      </c>
      <c r="W110" s="28">
        <f>V110</f>
        <v>46289</v>
      </c>
      <c r="X110" s="28">
        <f>WORKDAY(W110, X9, IF(X12="China",'China Holidays'!$A$2:$A$84,'Thai Holidays'!$A$2:$A$65))</f>
        <v>46294</v>
      </c>
      <c r="Y110" s="28">
        <f>WORKDAY(X110, Y9, IF(Y12="China",'China Holidays'!$A$2:$A$84,'Thai Holidays'!$A$2:$A$65))</f>
        <v>46308</v>
      </c>
      <c r="Z110" s="28">
        <f>WORKDAY(Y110, Z9, IF(Z12="China",'China Holidays'!$A$2:$A$84,'Thai Holidays'!$A$2:$A$65))</f>
        <v>46322</v>
      </c>
      <c r="AA110" s="28">
        <f>WORKDAY(Z110, AA9, IF(AA12="China",'China Holidays'!$A$2:$A$84,'Thai Holidays'!$A$2:$A$65))</f>
        <v>46336</v>
      </c>
      <c r="AB110" s="28">
        <f>AA110+10</f>
        <v>46346</v>
      </c>
      <c r="AC110" s="28">
        <f>AB110</f>
        <v>46346</v>
      </c>
      <c r="AD110" s="28">
        <f>AC110+2</f>
        <v>46348</v>
      </c>
      <c r="AE110" s="28">
        <f>AF110-5</f>
        <v>46370</v>
      </c>
      <c r="AF110" s="28">
        <f>AG110-4</f>
        <v>46375</v>
      </c>
      <c r="AG110" s="28">
        <f>AL110</f>
        <v>46379</v>
      </c>
      <c r="AH110" s="28">
        <f>AL109+3</f>
        <v>46397</v>
      </c>
      <c r="AI110" s="28">
        <f>AL109+30</f>
        <v>46424</v>
      </c>
      <c r="AJ110" s="89"/>
      <c r="AK110" s="90"/>
      <c r="AL110" s="83">
        <f>W110+AK109</f>
        <v>46379</v>
      </c>
      <c r="AM110" s="83"/>
      <c r="AN110" s="29"/>
      <c r="AO110" s="141"/>
      <c r="AP110" s="438"/>
      <c r="AQ110" s="21">
        <f>IF(ISERROR(LOOKUP(AQ$10,$O110:$AP110,#REF!)),0,(LOOKUP(AQ$10,$O110:$AP110,#REF!)))</f>
        <v>0</v>
      </c>
      <c r="AR110" s="22">
        <f>IF(ISERROR(LOOKUP(AR$10,$O110:$AP110,#REF!)),0,(LOOKUP(AR$10,$O110:$AP110,#REF!)))</f>
        <v>0</v>
      </c>
      <c r="AS110" s="22">
        <f>IF(ISERROR(LOOKUP(AS$10,$O110:$AP110,#REF!)),0,(LOOKUP(AS$10,$O110:$AP110,#REF!)))</f>
        <v>0</v>
      </c>
      <c r="AT110" s="22">
        <f>IF(ISERROR(LOOKUP(AT$10,$O110:$AP110,#REF!)),0,(LOOKUP(AT$10,$O110:$AP110,#REF!)))</f>
        <v>0</v>
      </c>
      <c r="AU110" s="22">
        <f>IF(ISERROR(LOOKUP(AU$10,$O110:$AP110,#REF!)),0,(LOOKUP(AU$10,$O110:$AP110,#REF!)))</f>
        <v>0</v>
      </c>
      <c r="AV110" s="22">
        <f>IF(ISERROR(LOOKUP(AV$10,$O110:$AP110,#REF!)),0,(LOOKUP(AV$10,$O110:$AP110,#REF!)))</f>
        <v>0</v>
      </c>
      <c r="AW110" s="22">
        <f>IF(ISERROR(LOOKUP(AW$10,$O110:$AP110,#REF!)),0,(LOOKUP(AW$10,$O110:$AP110,#REF!)))</f>
        <v>0</v>
      </c>
      <c r="AX110" s="22">
        <f>IF(ISERROR(LOOKUP(AX$10,$O110:$AP110,#REF!)),0,(LOOKUP(AX$10,$O110:$AP110,#REF!)))</f>
        <v>0</v>
      </c>
      <c r="AY110" s="22">
        <f>IF(ISERROR(LOOKUP(AY$10,$O110:$AP110,#REF!)),0,(LOOKUP(AY$10,$O110:$AP110,#REF!)))</f>
        <v>0</v>
      </c>
      <c r="AZ110" s="22">
        <f>IF(ISERROR(LOOKUP(AZ$10,$O110:$AP110,#REF!)),0,(LOOKUP(AZ$10,$O110:$AP110,#REF!)))</f>
        <v>0</v>
      </c>
      <c r="BA110" s="22">
        <f ca="1">IF(ISERROR(LOOKUP(BA$10,$O110:$AP110,#REF!)),0,(LOOKUP(BA$10,$O110:$AP110,#REF!)))</f>
        <v>0</v>
      </c>
      <c r="BB110" s="425"/>
      <c r="BC110" s="411"/>
      <c r="BD110" s="411"/>
    </row>
    <row r="111" spans="1:56" s="3" customFormat="1" ht="15.4" thickTop="1" thickBot="1" x14ac:dyDescent="0.45">
      <c r="A111" s="442"/>
      <c r="B111" s="94" t="s">
        <v>294</v>
      </c>
      <c r="C111" s="32" t="s">
        <v>79</v>
      </c>
      <c r="D111" s="45" t="s">
        <v>80</v>
      </c>
      <c r="E111" s="158"/>
      <c r="F111" s="158"/>
      <c r="G111" s="45" t="s">
        <v>71</v>
      </c>
      <c r="H111" s="34" t="s">
        <v>63</v>
      </c>
      <c r="I111" s="32" t="s">
        <v>56</v>
      </c>
      <c r="J111" s="32" t="s">
        <v>202</v>
      </c>
      <c r="K111" s="32" t="s">
        <v>314</v>
      </c>
      <c r="L111" s="45"/>
      <c r="M111" s="198" t="s">
        <v>74</v>
      </c>
      <c r="N111" s="35" t="s">
        <v>37</v>
      </c>
      <c r="O111" s="36">
        <v>46184</v>
      </c>
      <c r="P111" s="36">
        <v>46148</v>
      </c>
      <c r="Q111" s="36">
        <v>46165</v>
      </c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82"/>
      <c r="AK111" s="80"/>
      <c r="AL111" s="37"/>
      <c r="AM111" s="37"/>
      <c r="AN111" s="38"/>
      <c r="AO111" s="142"/>
      <c r="AP111" s="439"/>
      <c r="AQ111" s="39">
        <f>IF(ISERROR(LOOKUP(AQ$10,$O111:$AP111,#REF!)),0,(LOOKUP(AQ$10,$O111:$AP111,#REF!)))</f>
        <v>0</v>
      </c>
      <c r="AR111" s="40">
        <f>IF(ISERROR(LOOKUP(AR$10,$O111:$AP111,#REF!)),0,(LOOKUP(AR$10,$O111:$AP111,#REF!)))</f>
        <v>0</v>
      </c>
      <c r="AS111" s="40">
        <f>IF(ISERROR(LOOKUP(AS$10,$O111:$AP111,#REF!)),0,(LOOKUP(AS$10,$O111:$AP111,#REF!)))</f>
        <v>0</v>
      </c>
      <c r="AT111" s="40">
        <f>IF(ISERROR(LOOKUP(AT$10,$O111:$AP111,#REF!)),0,(LOOKUP(AT$10,$O111:$AP111,#REF!)))</f>
        <v>0</v>
      </c>
      <c r="AU111" s="40">
        <f>IF(ISERROR(LOOKUP(AU$10,$O111:$AP111,#REF!)),0,(LOOKUP(AU$10,$O111:$AP111,#REF!)))</f>
        <v>0</v>
      </c>
      <c r="AV111" s="40">
        <f>IF(ISERROR(LOOKUP(AV$10,$O111:$AP111,#REF!)),0,(LOOKUP(AV$10,$O111:$AP111,#REF!)))</f>
        <v>0</v>
      </c>
      <c r="AW111" s="40">
        <f>IF(ISERROR(LOOKUP(AW$10,$O111:$AP111,#REF!)),0,(LOOKUP(AW$10,$O111:$AP111,#REF!)))</f>
        <v>0</v>
      </c>
      <c r="AX111" s="40">
        <f>IF(ISERROR(LOOKUP(AX$10,$O111:$AP111,#REF!)),0,(LOOKUP(AX$10,$O111:$AP111,#REF!)))</f>
        <v>0</v>
      </c>
      <c r="AY111" s="40">
        <f>IF(ISERROR(LOOKUP(AY$10,$O111:$AP111,#REF!)),0,(LOOKUP(AY$10,$O111:$AP111,#REF!)))</f>
        <v>0</v>
      </c>
      <c r="AZ111" s="40">
        <f>IF(ISERROR(LOOKUP(AZ$10,$O111:$AP111,#REF!)),0,(LOOKUP(AZ$10,$O111:$AP111,#REF!)))</f>
        <v>0</v>
      </c>
      <c r="BA111" s="40">
        <f ca="1">IF(ISERROR(LOOKUP(BA$10,$O111:$AP111,#REF!)),0,(LOOKUP(BA$10,$O111:$AP111,#REF!)))</f>
        <v>0</v>
      </c>
      <c r="BB111" s="425"/>
      <c r="BC111" s="411"/>
      <c r="BD111" s="411"/>
    </row>
    <row r="112" spans="1:56" s="3" customFormat="1" ht="15.4" thickTop="1" thickBot="1" x14ac:dyDescent="0.45">
      <c r="A112" s="440">
        <f t="shared" ref="A112" si="24">A109+1</f>
        <v>30</v>
      </c>
      <c r="B112" s="92" t="s">
        <v>294</v>
      </c>
      <c r="C112" s="14" t="s">
        <v>81</v>
      </c>
      <c r="D112" s="227" t="s">
        <v>571</v>
      </c>
      <c r="E112" s="150"/>
      <c r="F112" s="150"/>
      <c r="G112" s="64" t="s">
        <v>71</v>
      </c>
      <c r="H112" s="16" t="s">
        <v>63</v>
      </c>
      <c r="I112" s="14" t="s">
        <v>56</v>
      </c>
      <c r="J112" s="14" t="s">
        <v>205</v>
      </c>
      <c r="K112" s="14" t="s">
        <v>312</v>
      </c>
      <c r="L112" s="42"/>
      <c r="M112" s="196" t="s">
        <v>74</v>
      </c>
      <c r="N112" s="18" t="s">
        <v>35</v>
      </c>
      <c r="O112" s="19">
        <v>46191</v>
      </c>
      <c r="P112" s="19">
        <v>46197</v>
      </c>
      <c r="Q112" s="19">
        <v>46204</v>
      </c>
      <c r="R112" s="19">
        <v>46205</v>
      </c>
      <c r="S112" s="19">
        <v>46212</v>
      </c>
      <c r="T112" s="19">
        <v>46226</v>
      </c>
      <c r="U112" s="230">
        <v>46252</v>
      </c>
      <c r="V112" s="19">
        <v>46255</v>
      </c>
      <c r="W112" s="19">
        <v>46269</v>
      </c>
      <c r="X112" s="19">
        <v>46273</v>
      </c>
      <c r="Y112" s="19">
        <v>46280</v>
      </c>
      <c r="Z112" s="19">
        <v>46309</v>
      </c>
      <c r="AA112" s="19">
        <v>46324</v>
      </c>
      <c r="AB112" s="19">
        <v>46354</v>
      </c>
      <c r="AC112" s="19">
        <v>46354</v>
      </c>
      <c r="AD112" s="19">
        <v>46356</v>
      </c>
      <c r="AE112" s="19">
        <v>46355.4</v>
      </c>
      <c r="AF112" s="19">
        <v>46360.4</v>
      </c>
      <c r="AG112" s="19">
        <v>46390.400000000001</v>
      </c>
      <c r="AH112" s="19">
        <v>46393.4</v>
      </c>
      <c r="AI112" s="19">
        <v>46420.4</v>
      </c>
      <c r="AJ112" s="58">
        <v>17.2</v>
      </c>
      <c r="AK112" s="59">
        <v>120.39999999999999</v>
      </c>
      <c r="AL112" s="78">
        <v>46390.400000000001</v>
      </c>
      <c r="AM112" s="78">
        <v>46426</v>
      </c>
      <c r="AN112" s="20">
        <f>AM112-AL113</f>
        <v>38.599999999998545</v>
      </c>
      <c r="AO112" s="143" t="s">
        <v>693</v>
      </c>
      <c r="AP112" s="437" t="s">
        <v>670</v>
      </c>
      <c r="AQ112" s="21">
        <f>IF(ISERROR(LOOKUP(AQ$10,$O112:$AP112,#REF!)),0,(LOOKUP(AQ$10,$O112:$AP112,#REF!)))</f>
        <v>0</v>
      </c>
      <c r="AR112" s="22">
        <f>IF(ISERROR(LOOKUP(AR$10,$O112:$AP112,#REF!)),0,(LOOKUP(AR$10,$O112:$AP112,#REF!)))</f>
        <v>0</v>
      </c>
      <c r="AS112" s="22">
        <f>IF(ISERROR(LOOKUP(AS$10,$O112:$AP112,#REF!)),0,(LOOKUP(AS$10,$O112:$AP112,#REF!)))</f>
        <v>0</v>
      </c>
      <c r="AT112" s="22">
        <f>IF(ISERROR(LOOKUP(AT$10,$O112:$AP112,#REF!)),0,(LOOKUP(AT$10,$O112:$AP112,#REF!)))</f>
        <v>0</v>
      </c>
      <c r="AU112" s="22">
        <f>IF(ISERROR(LOOKUP(AU$10,$O112:$AP112,#REF!)),0,(LOOKUP(AU$10,$O112:$AP112,#REF!)))</f>
        <v>0</v>
      </c>
      <c r="AV112" s="22">
        <f>IF(ISERROR(LOOKUP(AV$10,$O112:$AP112,#REF!)),0,(LOOKUP(AV$10,$O112:$AP112,#REF!)))</f>
        <v>0</v>
      </c>
      <c r="AW112" s="22">
        <f>IF(ISERROR(LOOKUP(AW$10,$O112:$AP112,#REF!)),0,(LOOKUP(AW$10,$O112:$AP112,#REF!)))</f>
        <v>0</v>
      </c>
      <c r="AX112" s="22">
        <f>IF(ISERROR(LOOKUP(AX$10,$O112:$AP112,#REF!)),0,(LOOKUP(AX$10,$O112:$AP112,#REF!)))</f>
        <v>0</v>
      </c>
      <c r="AY112" s="22">
        <f>IF(ISERROR(LOOKUP(AY$10,$O112:$AP112,#REF!)),0,(LOOKUP(AY$10,$O112:$AP112,#REF!)))</f>
        <v>0</v>
      </c>
      <c r="AZ112" s="22">
        <f>IF(ISERROR(LOOKUP(AZ$10,$O112:$AP112,#REF!)),0,(LOOKUP(AZ$10,$O112:$AP112,#REF!)))</f>
        <v>0</v>
      </c>
      <c r="BA112" s="22">
        <f ca="1">IF(ISERROR(LOOKUP(BA$10,$O112:$AP112,#REF!)),0,(LOOKUP(BA$10,$O112:$AP112,#REF!)))</f>
        <v>0</v>
      </c>
      <c r="BB112" s="425"/>
      <c r="BC112" s="411"/>
      <c r="BD112" s="411"/>
    </row>
    <row r="113" spans="1:56" s="3" customFormat="1" ht="15.4" thickTop="1" thickBot="1" x14ac:dyDescent="0.45">
      <c r="A113" s="441"/>
      <c r="B113" s="93" t="s">
        <v>294</v>
      </c>
      <c r="C113" s="41" t="s">
        <v>81</v>
      </c>
      <c r="D113" s="43" t="s">
        <v>82</v>
      </c>
      <c r="E113" s="157"/>
      <c r="F113" s="157"/>
      <c r="G113" s="43" t="s">
        <v>71</v>
      </c>
      <c r="H113" s="46" t="s">
        <v>63</v>
      </c>
      <c r="I113" s="23" t="s">
        <v>56</v>
      </c>
      <c r="J113" s="41" t="s">
        <v>205</v>
      </c>
      <c r="K113" s="41" t="s">
        <v>312</v>
      </c>
      <c r="L113" s="43"/>
      <c r="M113" s="197" t="s">
        <v>74</v>
      </c>
      <c r="N113" s="26" t="s">
        <v>36</v>
      </c>
      <c r="O113" s="27"/>
      <c r="P113" s="28"/>
      <c r="Q113" s="28"/>
      <c r="R113" s="28"/>
      <c r="S113" s="28"/>
      <c r="T113" s="28"/>
      <c r="U113" s="28">
        <f>U112</f>
        <v>46252</v>
      </c>
      <c r="V113" s="28">
        <f>WORKDAY(U113, V8, IF(V12="China",'China Holidays'!$A$2:$A$84,'Thai Holidays'!$A$2:$A$65))</f>
        <v>46266</v>
      </c>
      <c r="W113" s="28">
        <f>V113</f>
        <v>46266</v>
      </c>
      <c r="X113" s="28">
        <f>WORKDAY(W113, X8, IF(X12="China",'China Holidays'!$A$2:$A$84,'Thai Holidays'!$A$2:$A$65))</f>
        <v>46268</v>
      </c>
      <c r="Y113" s="28">
        <f>WORKDAY(X113, Y8, IF(Y12="China",'China Holidays'!$A$2:$A$84,'Thai Holidays'!$A$2:$A$65))</f>
        <v>46275</v>
      </c>
      <c r="Z113" s="28">
        <f>WORKDAY(Y113, Z8, IF(Z12="China",'China Holidays'!$A$2:$A$84,'Thai Holidays'!$A$2:$A$65))</f>
        <v>46304</v>
      </c>
      <c r="AA113" s="28">
        <f>WORKDAY(Z113, AA8, IF(AA12="China",'China Holidays'!$A$2:$A$84,'Thai Holidays'!$A$2:$A$65))</f>
        <v>46322</v>
      </c>
      <c r="AB113" s="28">
        <f>AA113+30</f>
        <v>46352</v>
      </c>
      <c r="AC113" s="28">
        <f>AB113</f>
        <v>46352</v>
      </c>
      <c r="AD113" s="28">
        <f>AC113+2</f>
        <v>46354</v>
      </c>
      <c r="AE113" s="28">
        <f>AF113-5</f>
        <v>46352.4</v>
      </c>
      <c r="AF113" s="28">
        <f>AG113-30</f>
        <v>46357.4</v>
      </c>
      <c r="AG113" s="28">
        <f>AL113</f>
        <v>46387.4</v>
      </c>
      <c r="AH113" s="28">
        <f>AL112+3</f>
        <v>46393.4</v>
      </c>
      <c r="AI113" s="28">
        <f>AL112+30</f>
        <v>46420.4</v>
      </c>
      <c r="AJ113" s="89"/>
      <c r="AK113" s="90"/>
      <c r="AL113" s="83">
        <f>W113+AK112+1</f>
        <v>46387.4</v>
      </c>
      <c r="AM113" s="83"/>
      <c r="AN113" s="29"/>
      <c r="AO113" s="141"/>
      <c r="AP113" s="438"/>
      <c r="AQ113" s="21">
        <f>IF(ISERROR(LOOKUP(AQ$10,$O113:$AP113,#REF!)),0,(LOOKUP(AQ$10,$O113:$AP113,#REF!)))</f>
        <v>0</v>
      </c>
      <c r="AR113" s="22">
        <f>IF(ISERROR(LOOKUP(AR$10,$O113:$AP113,#REF!)),0,(LOOKUP(AR$10,$O113:$AP113,#REF!)))</f>
        <v>0</v>
      </c>
      <c r="AS113" s="22">
        <f>IF(ISERROR(LOOKUP(AS$10,$O113:$AP113,#REF!)),0,(LOOKUP(AS$10,$O113:$AP113,#REF!)))</f>
        <v>0</v>
      </c>
      <c r="AT113" s="22">
        <f>IF(ISERROR(LOOKUP(AT$10,$O113:$AP113,#REF!)),0,(LOOKUP(AT$10,$O113:$AP113,#REF!)))</f>
        <v>0</v>
      </c>
      <c r="AU113" s="22">
        <f>IF(ISERROR(LOOKUP(AU$10,$O113:$AP113,#REF!)),0,(LOOKUP(AU$10,$O113:$AP113,#REF!)))</f>
        <v>0</v>
      </c>
      <c r="AV113" s="22">
        <f>IF(ISERROR(LOOKUP(AV$10,$O113:$AP113,#REF!)),0,(LOOKUP(AV$10,$O113:$AP113,#REF!)))</f>
        <v>0</v>
      </c>
      <c r="AW113" s="22">
        <f>IF(ISERROR(LOOKUP(AW$10,$O113:$AP113,#REF!)),0,(LOOKUP(AW$10,$O113:$AP113,#REF!)))</f>
        <v>0</v>
      </c>
      <c r="AX113" s="22">
        <f>IF(ISERROR(LOOKUP(AX$10,$O113:$AP113,#REF!)),0,(LOOKUP(AX$10,$O113:$AP113,#REF!)))</f>
        <v>0</v>
      </c>
      <c r="AY113" s="22">
        <f>IF(ISERROR(LOOKUP(AY$10,$O113:$AP113,#REF!)),0,(LOOKUP(AY$10,$O113:$AP113,#REF!)))</f>
        <v>0</v>
      </c>
      <c r="AZ113" s="22">
        <f>IF(ISERROR(LOOKUP(AZ$10,$O113:$AP113,#REF!)),0,(LOOKUP(AZ$10,$O113:$AP113,#REF!)))</f>
        <v>0</v>
      </c>
      <c r="BA113" s="22">
        <f ca="1">IF(ISERROR(LOOKUP(BA$10,$O113:$AP113,#REF!)),0,(LOOKUP(BA$10,$O113:$AP113,#REF!)))</f>
        <v>0</v>
      </c>
      <c r="BB113" s="425"/>
      <c r="BC113" s="411"/>
      <c r="BD113" s="411"/>
    </row>
    <row r="114" spans="1:56" s="3" customFormat="1" ht="15.4" thickTop="1" thickBot="1" x14ac:dyDescent="0.45">
      <c r="A114" s="442"/>
      <c r="B114" s="94" t="s">
        <v>294</v>
      </c>
      <c r="C114" s="32" t="s">
        <v>81</v>
      </c>
      <c r="D114" s="45" t="s">
        <v>82</v>
      </c>
      <c r="E114" s="158"/>
      <c r="F114" s="158"/>
      <c r="G114" s="45" t="s">
        <v>71</v>
      </c>
      <c r="H114" s="34" t="s">
        <v>63</v>
      </c>
      <c r="I114" s="32" t="s">
        <v>56</v>
      </c>
      <c r="J114" s="32" t="s">
        <v>205</v>
      </c>
      <c r="K114" s="32" t="s">
        <v>312</v>
      </c>
      <c r="L114" s="45"/>
      <c r="M114" s="198" t="s">
        <v>74</v>
      </c>
      <c r="N114" s="35" t="s">
        <v>37</v>
      </c>
      <c r="O114" s="36">
        <v>46184</v>
      </c>
      <c r="P114" s="36">
        <v>46148</v>
      </c>
      <c r="Q114" s="36">
        <v>46165</v>
      </c>
      <c r="R114" s="36">
        <v>46184</v>
      </c>
      <c r="S114" s="36">
        <v>46184</v>
      </c>
      <c r="T114" s="36">
        <v>46199</v>
      </c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82"/>
      <c r="AK114" s="80"/>
      <c r="AL114" s="37"/>
      <c r="AM114" s="37"/>
      <c r="AN114" s="38"/>
      <c r="AO114" s="142"/>
      <c r="AP114" s="439"/>
      <c r="AQ114" s="39">
        <f>IF(ISERROR(LOOKUP(AQ$10,$O114:$AP114,#REF!)),0,(LOOKUP(AQ$10,$O114:$AP114,#REF!)))</f>
        <v>0</v>
      </c>
      <c r="AR114" s="40">
        <f>IF(ISERROR(LOOKUP(AR$10,$O114:$AP114,#REF!)),0,(LOOKUP(AR$10,$O114:$AP114,#REF!)))</f>
        <v>0</v>
      </c>
      <c r="AS114" s="40">
        <f>IF(ISERROR(LOOKUP(AS$10,$O114:$AP114,#REF!)),0,(LOOKUP(AS$10,$O114:$AP114,#REF!)))</f>
        <v>0</v>
      </c>
      <c r="AT114" s="40">
        <f>IF(ISERROR(LOOKUP(AT$10,$O114:$AP114,#REF!)),0,(LOOKUP(AT$10,$O114:$AP114,#REF!)))</f>
        <v>0</v>
      </c>
      <c r="AU114" s="40">
        <f>IF(ISERROR(LOOKUP(AU$10,$O114:$AP114,#REF!)),0,(LOOKUP(AU$10,$O114:$AP114,#REF!)))</f>
        <v>0</v>
      </c>
      <c r="AV114" s="40">
        <f>IF(ISERROR(LOOKUP(AV$10,$O114:$AP114,#REF!)),0,(LOOKUP(AV$10,$O114:$AP114,#REF!)))</f>
        <v>0</v>
      </c>
      <c r="AW114" s="40">
        <f>IF(ISERROR(LOOKUP(AW$10,$O114:$AP114,#REF!)),0,(LOOKUP(AW$10,$O114:$AP114,#REF!)))</f>
        <v>0</v>
      </c>
      <c r="AX114" s="40">
        <f>IF(ISERROR(LOOKUP(AX$10,$O114:$AP114,#REF!)),0,(LOOKUP(AX$10,$O114:$AP114,#REF!)))</f>
        <v>0</v>
      </c>
      <c r="AY114" s="40">
        <f>IF(ISERROR(LOOKUP(AY$10,$O114:$AP114,#REF!)),0,(LOOKUP(AY$10,$O114:$AP114,#REF!)))</f>
        <v>0</v>
      </c>
      <c r="AZ114" s="40">
        <f>IF(ISERROR(LOOKUP(AZ$10,$O114:$AP114,#REF!)),0,(LOOKUP(AZ$10,$O114:$AP114,#REF!)))</f>
        <v>0</v>
      </c>
      <c r="BA114" s="40">
        <f ca="1">IF(ISERROR(LOOKUP(BA$10,$O114:$AP114,#REF!)),0,(LOOKUP(BA$10,$O114:$AP114,#REF!)))</f>
        <v>0</v>
      </c>
      <c r="BB114" s="425"/>
      <c r="BC114" s="411"/>
      <c r="BD114" s="411"/>
    </row>
    <row r="115" spans="1:56" s="3" customFormat="1" ht="24" thickTop="1" thickBot="1" x14ac:dyDescent="0.45">
      <c r="A115" s="440">
        <f t="shared" ref="A115" si="25">A112+1</f>
        <v>31</v>
      </c>
      <c r="B115" s="92" t="s">
        <v>294</v>
      </c>
      <c r="C115" s="14" t="s">
        <v>83</v>
      </c>
      <c r="D115" s="227" t="s">
        <v>842</v>
      </c>
      <c r="E115" s="150"/>
      <c r="F115" s="150"/>
      <c r="G115" s="64" t="s">
        <v>71</v>
      </c>
      <c r="H115" s="16" t="s">
        <v>63</v>
      </c>
      <c r="I115" s="14" t="s">
        <v>56</v>
      </c>
      <c r="J115" s="14" t="s">
        <v>202</v>
      </c>
      <c r="K115" s="14" t="s">
        <v>314</v>
      </c>
      <c r="L115" s="42"/>
      <c r="M115" s="196" t="s">
        <v>74</v>
      </c>
      <c r="N115" s="18" t="s">
        <v>35</v>
      </c>
      <c r="O115" s="57">
        <v>46199</v>
      </c>
      <c r="P115" s="57">
        <v>46204</v>
      </c>
      <c r="Q115" s="57">
        <v>46211</v>
      </c>
      <c r="R115" s="57">
        <v>46212</v>
      </c>
      <c r="S115" s="57">
        <v>46217</v>
      </c>
      <c r="T115" s="230">
        <v>46224</v>
      </c>
      <c r="U115" s="57">
        <v>46237</v>
      </c>
      <c r="V115" s="57">
        <v>46239</v>
      </c>
      <c r="W115" s="57">
        <v>46246</v>
      </c>
      <c r="X115" s="57">
        <v>46248</v>
      </c>
      <c r="Y115" s="57">
        <v>46255</v>
      </c>
      <c r="Z115" s="57">
        <v>46269</v>
      </c>
      <c r="AA115" s="57">
        <v>46283</v>
      </c>
      <c r="AB115" s="57">
        <v>46293</v>
      </c>
      <c r="AC115" s="57">
        <v>46293</v>
      </c>
      <c r="AD115" s="57">
        <v>46295</v>
      </c>
      <c r="AE115" s="57">
        <v>46324</v>
      </c>
      <c r="AF115" s="57">
        <v>46329</v>
      </c>
      <c r="AG115" s="57">
        <v>46336</v>
      </c>
      <c r="AH115" s="57">
        <v>46339</v>
      </c>
      <c r="AI115" s="57">
        <v>46366</v>
      </c>
      <c r="AJ115" s="59">
        <v>12.857142857142858</v>
      </c>
      <c r="AK115" s="59">
        <v>90</v>
      </c>
      <c r="AL115" s="78">
        <v>46336</v>
      </c>
      <c r="AM115" s="78">
        <v>46364</v>
      </c>
      <c r="AN115" s="20">
        <f>AM115-AL116</f>
        <v>28</v>
      </c>
      <c r="AO115" s="143"/>
      <c r="AP115" s="437"/>
      <c r="AQ115" s="21">
        <f>IF(ISERROR(LOOKUP(AQ$10,$O115:$AP115,#REF!)),0,(LOOKUP(AQ$10,$O115:$AP115,#REF!)))</f>
        <v>0</v>
      </c>
      <c r="AR115" s="22">
        <f>IF(ISERROR(LOOKUP(AR$10,$O115:$AP115,#REF!)),0,(LOOKUP(AR$10,$O115:$AP115,#REF!)))</f>
        <v>0</v>
      </c>
      <c r="AS115" s="22">
        <f>IF(ISERROR(LOOKUP(AS$10,$O115:$AP115,#REF!)),0,(LOOKUP(AS$10,$O115:$AP115,#REF!)))</f>
        <v>0</v>
      </c>
      <c r="AT115" s="22">
        <f>IF(ISERROR(LOOKUP(AT$10,$O115:$AP115,#REF!)),0,(LOOKUP(AT$10,$O115:$AP115,#REF!)))</f>
        <v>0</v>
      </c>
      <c r="AU115" s="22">
        <f>IF(ISERROR(LOOKUP(AU$10,$O115:$AP115,#REF!)),0,(LOOKUP(AU$10,$O115:$AP115,#REF!)))</f>
        <v>0</v>
      </c>
      <c r="AV115" s="22">
        <f>IF(ISERROR(LOOKUP(AV$10,$O115:$AP115,#REF!)),0,(LOOKUP(AV$10,$O115:$AP115,#REF!)))</f>
        <v>0</v>
      </c>
      <c r="AW115" s="22">
        <f>IF(ISERROR(LOOKUP(AW$10,$O115:$AP115,#REF!)),0,(LOOKUP(AW$10,$O115:$AP115,#REF!)))</f>
        <v>0</v>
      </c>
      <c r="AX115" s="22">
        <f>IF(ISERROR(LOOKUP(AX$10,$O115:$AP115,#REF!)),0,(LOOKUP(AX$10,$O115:$AP115,#REF!)))</f>
        <v>0</v>
      </c>
      <c r="AY115" s="22">
        <f>IF(ISERROR(LOOKUP(AY$10,$O115:$AP115,#REF!)),0,(LOOKUP(AY$10,$O115:$AP115,#REF!)))</f>
        <v>0</v>
      </c>
      <c r="AZ115" s="22">
        <f>IF(ISERROR(LOOKUP(AZ$10,$O115:$AP115,#REF!)),0,(LOOKUP(AZ$10,$O115:$AP115,#REF!)))</f>
        <v>0</v>
      </c>
      <c r="BA115" s="22">
        <f ca="1">IF(ISERROR(LOOKUP(BA$10,$O115:$AP115,#REF!)),0,(LOOKUP(BA$10,$O115:$AP115,#REF!)))</f>
        <v>0</v>
      </c>
      <c r="BB115" s="425"/>
      <c r="BC115" s="411"/>
      <c r="BD115" s="411"/>
    </row>
    <row r="116" spans="1:56" s="3" customFormat="1" ht="15.4" thickTop="1" thickBot="1" x14ac:dyDescent="0.45">
      <c r="A116" s="441"/>
      <c r="B116" s="93" t="s">
        <v>294</v>
      </c>
      <c r="C116" s="41" t="s">
        <v>83</v>
      </c>
      <c r="D116" s="43" t="s">
        <v>831</v>
      </c>
      <c r="E116" s="157"/>
      <c r="F116" s="157"/>
      <c r="G116" s="43" t="s">
        <v>71</v>
      </c>
      <c r="H116" s="46" t="s">
        <v>63</v>
      </c>
      <c r="I116" s="23" t="s">
        <v>56</v>
      </c>
      <c r="J116" s="41" t="s">
        <v>202</v>
      </c>
      <c r="K116" s="41" t="s">
        <v>314</v>
      </c>
      <c r="L116" s="43"/>
      <c r="M116" s="197" t="s">
        <v>74</v>
      </c>
      <c r="N116" s="26" t="s">
        <v>36</v>
      </c>
      <c r="O116" s="27"/>
      <c r="P116" s="28"/>
      <c r="Q116" s="28"/>
      <c r="R116" s="28"/>
      <c r="S116" s="28"/>
      <c r="T116" s="28">
        <v>46213</v>
      </c>
      <c r="U116" s="28">
        <f>WORKDAY(T116, U9, IF(U12="China",'China Holidays'!$A$2:$A$84,'Thai Holidays'!$A$2:$A$65))</f>
        <v>46224</v>
      </c>
      <c r="V116" s="28">
        <f>WORKDAY(U116, V9, IF(V12="China",'China Holidays'!$A$2:$A$84,'Thai Holidays'!$A$2:$A$65))</f>
        <v>46240</v>
      </c>
      <c r="W116" s="28">
        <f>W115</f>
        <v>46246</v>
      </c>
      <c r="X116" s="28">
        <f>WORKDAY(W116, X9, IF(X12="China",'China Holidays'!$A$2:$A$84,'Thai Holidays'!$A$2:$A$65))</f>
        <v>46248</v>
      </c>
      <c r="Y116" s="28">
        <f>WORKDAY(X116, Y9, IF(Y12="China",'China Holidays'!$A$2:$A$84,'Thai Holidays'!$A$2:$A$65))</f>
        <v>46255</v>
      </c>
      <c r="Z116" s="28">
        <f>WORKDAY(Y116, Z9, IF(Z12="China",'China Holidays'!$A$2:$A$84,'Thai Holidays'!$A$2:$A$65))</f>
        <v>46269</v>
      </c>
      <c r="AA116" s="28">
        <f>WORKDAY(Z116, AA9, IF(AA12="China",'China Holidays'!$A$2:$A$84,'Thai Holidays'!$A$2:$A$65))</f>
        <v>46283</v>
      </c>
      <c r="AB116" s="28">
        <f>AA116+10</f>
        <v>46293</v>
      </c>
      <c r="AC116" s="28">
        <f>AB116</f>
        <v>46293</v>
      </c>
      <c r="AD116" s="28">
        <f>AC116+2</f>
        <v>46295</v>
      </c>
      <c r="AE116" s="28">
        <f>AF116-5</f>
        <v>46324</v>
      </c>
      <c r="AF116" s="28">
        <f>AG116-7</f>
        <v>46329</v>
      </c>
      <c r="AG116" s="28">
        <f>AL116</f>
        <v>46336</v>
      </c>
      <c r="AH116" s="28">
        <f>AL115+3</f>
        <v>46339</v>
      </c>
      <c r="AI116" s="28">
        <f>AL115+30</f>
        <v>46366</v>
      </c>
      <c r="AJ116" s="81"/>
      <c r="AK116" s="79"/>
      <c r="AL116" s="83">
        <f>W116+AK115</f>
        <v>46336</v>
      </c>
      <c r="AM116" s="83"/>
      <c r="AN116" s="29"/>
      <c r="AO116" s="141"/>
      <c r="AP116" s="438"/>
      <c r="AQ116" s="21">
        <f>IF(ISERROR(LOOKUP(AQ$10,$O116:$AP116,#REF!)),0,(LOOKUP(AQ$10,$O116:$AP116,#REF!)))</f>
        <v>0</v>
      </c>
      <c r="AR116" s="22">
        <f>IF(ISERROR(LOOKUP(AR$10,$O116:$AP116,#REF!)),0,(LOOKUP(AR$10,$O116:$AP116,#REF!)))</f>
        <v>0</v>
      </c>
      <c r="AS116" s="22">
        <f>IF(ISERROR(LOOKUP(AS$10,$O116:$AP116,#REF!)),0,(LOOKUP(AS$10,$O116:$AP116,#REF!)))</f>
        <v>0</v>
      </c>
      <c r="AT116" s="22">
        <f>IF(ISERROR(LOOKUP(AT$10,$O116:$AP116,#REF!)),0,(LOOKUP(AT$10,$O116:$AP116,#REF!)))</f>
        <v>0</v>
      </c>
      <c r="AU116" s="22">
        <f>IF(ISERROR(LOOKUP(AU$10,$O116:$AP116,#REF!)),0,(LOOKUP(AU$10,$O116:$AP116,#REF!)))</f>
        <v>0</v>
      </c>
      <c r="AV116" s="22">
        <f>IF(ISERROR(LOOKUP(AV$10,$O116:$AP116,#REF!)),0,(LOOKUP(AV$10,$O116:$AP116,#REF!)))</f>
        <v>0</v>
      </c>
      <c r="AW116" s="22">
        <f>IF(ISERROR(LOOKUP(AW$10,$O116:$AP116,#REF!)),0,(LOOKUP(AW$10,$O116:$AP116,#REF!)))</f>
        <v>0</v>
      </c>
      <c r="AX116" s="22">
        <f>IF(ISERROR(LOOKUP(AX$10,$O116:$AP116,#REF!)),0,(LOOKUP(AX$10,$O116:$AP116,#REF!)))</f>
        <v>0</v>
      </c>
      <c r="AY116" s="22">
        <f>IF(ISERROR(LOOKUP(AY$10,$O116:$AP116,#REF!)),0,(LOOKUP(AY$10,$O116:$AP116,#REF!)))</f>
        <v>0</v>
      </c>
      <c r="AZ116" s="22">
        <f>IF(ISERROR(LOOKUP(AZ$10,$O116:$AP116,#REF!)),0,(LOOKUP(AZ$10,$O116:$AP116,#REF!)))</f>
        <v>0</v>
      </c>
      <c r="BA116" s="22">
        <f ca="1">IF(ISERROR(LOOKUP(BA$10,$O116:$AP116,#REF!)),0,(LOOKUP(BA$10,$O116:$AP116,#REF!)))</f>
        <v>0</v>
      </c>
      <c r="BB116" s="425"/>
      <c r="BC116" s="411"/>
      <c r="BD116" s="411"/>
    </row>
    <row r="117" spans="1:56" s="3" customFormat="1" ht="24" thickTop="1" thickBot="1" x14ac:dyDescent="0.45">
      <c r="A117" s="442"/>
      <c r="B117" s="94" t="s">
        <v>294</v>
      </c>
      <c r="C117" s="32" t="s">
        <v>83</v>
      </c>
      <c r="D117" s="44" t="s">
        <v>831</v>
      </c>
      <c r="E117" s="158"/>
      <c r="F117" s="158"/>
      <c r="G117" s="45" t="s">
        <v>71</v>
      </c>
      <c r="H117" s="34" t="s">
        <v>63</v>
      </c>
      <c r="I117" s="32" t="s">
        <v>56</v>
      </c>
      <c r="J117" s="32" t="s">
        <v>202</v>
      </c>
      <c r="K117" s="32" t="s">
        <v>314</v>
      </c>
      <c r="L117" s="45"/>
      <c r="M117" s="198" t="s">
        <v>74</v>
      </c>
      <c r="N117" s="35" t="s">
        <v>37</v>
      </c>
      <c r="O117" s="36">
        <v>46185</v>
      </c>
      <c r="P117" s="36">
        <v>46148</v>
      </c>
      <c r="Q117" s="36">
        <v>46165</v>
      </c>
      <c r="R117" s="36">
        <v>46197</v>
      </c>
      <c r="S117" s="36">
        <v>46197</v>
      </c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82"/>
      <c r="AK117" s="80"/>
      <c r="AL117" s="37"/>
      <c r="AM117" s="37"/>
      <c r="AN117" s="38"/>
      <c r="AO117" s="142"/>
      <c r="AP117" s="439"/>
      <c r="AQ117" s="39">
        <f>IF(ISERROR(LOOKUP(AQ$10,$O117:$AP117,#REF!)),0,(LOOKUP(AQ$10,$O117:$AP117,#REF!)))</f>
        <v>0</v>
      </c>
      <c r="AR117" s="40">
        <f>IF(ISERROR(LOOKUP(AR$10,$O117:$AP117,#REF!)),0,(LOOKUP(AR$10,$O117:$AP117,#REF!)))</f>
        <v>0</v>
      </c>
      <c r="AS117" s="40">
        <f>IF(ISERROR(LOOKUP(AS$10,$O117:$AP117,#REF!)),0,(LOOKUP(AS$10,$O117:$AP117,#REF!)))</f>
        <v>0</v>
      </c>
      <c r="AT117" s="40">
        <f>IF(ISERROR(LOOKUP(AT$10,$O117:$AP117,#REF!)),0,(LOOKUP(AT$10,$O117:$AP117,#REF!)))</f>
        <v>0</v>
      </c>
      <c r="AU117" s="40">
        <f>IF(ISERROR(LOOKUP(AU$10,$O117:$AP117,#REF!)),0,(LOOKUP(AU$10,$O117:$AP117,#REF!)))</f>
        <v>0</v>
      </c>
      <c r="AV117" s="40">
        <f>IF(ISERROR(LOOKUP(AV$10,$O117:$AP117,#REF!)),0,(LOOKUP(AV$10,$O117:$AP117,#REF!)))</f>
        <v>0</v>
      </c>
      <c r="AW117" s="40">
        <f>IF(ISERROR(LOOKUP(AW$10,$O117:$AP117,#REF!)),0,(LOOKUP(AW$10,$O117:$AP117,#REF!)))</f>
        <v>0</v>
      </c>
      <c r="AX117" s="40">
        <f>IF(ISERROR(LOOKUP(AX$10,$O117:$AP117,#REF!)),0,(LOOKUP(AX$10,$O117:$AP117,#REF!)))</f>
        <v>0</v>
      </c>
      <c r="AY117" s="40">
        <f>IF(ISERROR(LOOKUP(AY$10,$O117:$AP117,#REF!)),0,(LOOKUP(AY$10,$O117:$AP117,#REF!)))</f>
        <v>0</v>
      </c>
      <c r="AZ117" s="40">
        <f>IF(ISERROR(LOOKUP(AZ$10,$O117:$AP117,#REF!)),0,(LOOKUP(AZ$10,$O117:$AP117,#REF!)))</f>
        <v>0</v>
      </c>
      <c r="BA117" s="40">
        <f ca="1">IF(ISERROR(LOOKUP(BA$10,$O117:$AP117,#REF!)),0,(LOOKUP(BA$10,$O117:$AP117,#REF!)))</f>
        <v>0</v>
      </c>
      <c r="BB117" s="425"/>
      <c r="BC117" s="411"/>
      <c r="BD117" s="411"/>
    </row>
    <row r="118" spans="1:56" s="3" customFormat="1" ht="24" thickTop="1" thickBot="1" x14ac:dyDescent="0.45">
      <c r="A118" s="440">
        <f t="shared" ref="A118" si="26">A115+1</f>
        <v>32</v>
      </c>
      <c r="B118" s="92" t="s">
        <v>294</v>
      </c>
      <c r="C118" s="14" t="s">
        <v>84</v>
      </c>
      <c r="D118" s="227" t="s">
        <v>833</v>
      </c>
      <c r="E118" s="150"/>
      <c r="F118" s="150"/>
      <c r="G118" s="64" t="s">
        <v>71</v>
      </c>
      <c r="H118" s="16" t="s">
        <v>63</v>
      </c>
      <c r="I118" s="14" t="s">
        <v>56</v>
      </c>
      <c r="J118" s="14" t="s">
        <v>202</v>
      </c>
      <c r="K118" s="14" t="s">
        <v>314</v>
      </c>
      <c r="L118" s="42"/>
      <c r="M118" s="196" t="s">
        <v>74</v>
      </c>
      <c r="N118" s="18" t="s">
        <v>35</v>
      </c>
      <c r="O118" s="19">
        <v>46189</v>
      </c>
      <c r="P118" s="19">
        <v>46192</v>
      </c>
      <c r="Q118" s="19">
        <v>46199</v>
      </c>
      <c r="R118" s="57">
        <v>46202</v>
      </c>
      <c r="S118" s="19">
        <v>46205</v>
      </c>
      <c r="T118" s="230">
        <v>46212</v>
      </c>
      <c r="U118" s="19">
        <v>46223</v>
      </c>
      <c r="V118" s="19">
        <v>46225</v>
      </c>
      <c r="W118" s="19">
        <v>46232</v>
      </c>
      <c r="X118" s="19">
        <v>46234</v>
      </c>
      <c r="Y118" s="19">
        <v>46241</v>
      </c>
      <c r="Z118" s="19">
        <v>46255</v>
      </c>
      <c r="AA118" s="19">
        <v>46269</v>
      </c>
      <c r="AB118" s="19">
        <v>46279</v>
      </c>
      <c r="AC118" s="19">
        <v>46279</v>
      </c>
      <c r="AD118" s="19">
        <v>46281</v>
      </c>
      <c r="AE118" s="19">
        <v>46313</v>
      </c>
      <c r="AF118" s="19">
        <v>46318</v>
      </c>
      <c r="AG118" s="19">
        <v>46322</v>
      </c>
      <c r="AH118" s="19">
        <v>46325</v>
      </c>
      <c r="AI118" s="19">
        <v>46352</v>
      </c>
      <c r="AJ118" s="58">
        <v>12.857142857142858</v>
      </c>
      <c r="AK118" s="59">
        <v>90</v>
      </c>
      <c r="AL118" s="78">
        <v>46322</v>
      </c>
      <c r="AM118" s="78">
        <v>46347</v>
      </c>
      <c r="AN118" s="20">
        <f>AM118-AL119</f>
        <v>20</v>
      </c>
      <c r="AO118" s="143"/>
      <c r="AP118" s="437"/>
      <c r="AQ118" s="21">
        <f>IF(ISERROR(LOOKUP(AQ$10,$O118:$AP118,#REF!)),0,(LOOKUP(AQ$10,$O118:$AP118,#REF!)))</f>
        <v>0</v>
      </c>
      <c r="AR118" s="22">
        <f>IF(ISERROR(LOOKUP(AR$10,$O118:$AP118,#REF!)),0,(LOOKUP(AR$10,$O118:$AP118,#REF!)))</f>
        <v>0</v>
      </c>
      <c r="AS118" s="22">
        <f>IF(ISERROR(LOOKUP(AS$10,$O118:$AP118,#REF!)),0,(LOOKUP(AS$10,$O118:$AP118,#REF!)))</f>
        <v>0</v>
      </c>
      <c r="AT118" s="22">
        <f>IF(ISERROR(LOOKUP(AT$10,$O118:$AP118,#REF!)),0,(LOOKUP(AT$10,$O118:$AP118,#REF!)))</f>
        <v>0</v>
      </c>
      <c r="AU118" s="22">
        <f>IF(ISERROR(LOOKUP(AU$10,$O118:$AP118,#REF!)),0,(LOOKUP(AU$10,$O118:$AP118,#REF!)))</f>
        <v>0</v>
      </c>
      <c r="AV118" s="22">
        <f>IF(ISERROR(LOOKUP(AV$10,$O118:$AP118,#REF!)),0,(LOOKUP(AV$10,$O118:$AP118,#REF!)))</f>
        <v>0</v>
      </c>
      <c r="AW118" s="22">
        <f>IF(ISERROR(LOOKUP(AW$10,$O118:$AP118,#REF!)),0,(LOOKUP(AW$10,$O118:$AP118,#REF!)))</f>
        <v>0</v>
      </c>
      <c r="AX118" s="22">
        <f>IF(ISERROR(LOOKUP(AX$10,$O118:$AP118,#REF!)),0,(LOOKUP(AX$10,$O118:$AP118,#REF!)))</f>
        <v>0</v>
      </c>
      <c r="AY118" s="22">
        <f>IF(ISERROR(LOOKUP(AY$10,$O118:$AP118,#REF!)),0,(LOOKUP(AY$10,$O118:$AP118,#REF!)))</f>
        <v>0</v>
      </c>
      <c r="AZ118" s="22">
        <f>IF(ISERROR(LOOKUP(AZ$10,$O118:$AP118,#REF!)),0,(LOOKUP(AZ$10,$O118:$AP118,#REF!)))</f>
        <v>0</v>
      </c>
      <c r="BA118" s="22">
        <f ca="1">IF(ISERROR(LOOKUP(BA$10,$O118:$AP118,#REF!)),0,(LOOKUP(BA$10,$O118:$AP118,#REF!)))</f>
        <v>0</v>
      </c>
      <c r="BB118" s="425"/>
      <c r="BC118" s="411"/>
      <c r="BD118" s="411"/>
    </row>
    <row r="119" spans="1:56" s="3" customFormat="1" ht="24" thickTop="1" thickBot="1" x14ac:dyDescent="0.45">
      <c r="A119" s="441"/>
      <c r="B119" s="93" t="s">
        <v>294</v>
      </c>
      <c r="C119" s="41" t="s">
        <v>84</v>
      </c>
      <c r="D119" s="88" t="s">
        <v>833</v>
      </c>
      <c r="E119" s="157"/>
      <c r="F119" s="157"/>
      <c r="G119" s="43" t="s">
        <v>71</v>
      </c>
      <c r="H119" s="46" t="s">
        <v>63</v>
      </c>
      <c r="I119" s="23" t="s">
        <v>56</v>
      </c>
      <c r="J119" s="41" t="s">
        <v>202</v>
      </c>
      <c r="K119" s="41" t="s">
        <v>314</v>
      </c>
      <c r="L119" s="43"/>
      <c r="M119" s="197" t="s">
        <v>74</v>
      </c>
      <c r="N119" s="26" t="s">
        <v>36</v>
      </c>
      <c r="O119" s="27"/>
      <c r="P119" s="28"/>
      <c r="Q119" s="28"/>
      <c r="R119" s="28"/>
      <c r="S119" s="28"/>
      <c r="T119" s="28">
        <v>46210</v>
      </c>
      <c r="U119" s="28">
        <f>WORKDAY(T119, U9, IF(U12="China",'China Holidays'!$A$2:$A$84,'Thai Holidays'!$A$2:$A$65))</f>
        <v>46219</v>
      </c>
      <c r="V119" s="28">
        <f>WORKDAY(U119, V9, IF(V12="China",'China Holidays'!$A$2:$A$84,'Thai Holidays'!$A$2:$A$65))</f>
        <v>46237</v>
      </c>
      <c r="W119" s="28">
        <f>V119</f>
        <v>46237</v>
      </c>
      <c r="X119" s="28">
        <f>WORKDAY(W119, X9, IF(X12="China",'China Holidays'!$A$2:$A$84,'Thai Holidays'!$A$2:$A$65))</f>
        <v>46239</v>
      </c>
      <c r="Y119" s="28">
        <f>WORKDAY(X119, Y9, IF(Y12="China",'China Holidays'!$A$2:$A$84,'Thai Holidays'!$A$2:$A$65))</f>
        <v>46246</v>
      </c>
      <c r="Z119" s="28">
        <f>WORKDAY(Y119, Z9, IF(Z12="China",'China Holidays'!$A$2:$A$84,'Thai Holidays'!$A$2:$A$65))</f>
        <v>46260</v>
      </c>
      <c r="AA119" s="28">
        <f>WORKDAY(Z119, AA9, IF(AA12="China",'China Holidays'!$A$2:$A$84,'Thai Holidays'!$A$2:$A$65))</f>
        <v>46274</v>
      </c>
      <c r="AB119" s="28">
        <f>AA119+10</f>
        <v>46284</v>
      </c>
      <c r="AC119" s="28">
        <f>AB119</f>
        <v>46284</v>
      </c>
      <c r="AD119" s="28">
        <f>AC119+2</f>
        <v>46286</v>
      </c>
      <c r="AE119" s="28">
        <f>AF119-5</f>
        <v>46318</v>
      </c>
      <c r="AF119" s="28">
        <f>AG119-4</f>
        <v>46323</v>
      </c>
      <c r="AG119" s="28">
        <f>AL119</f>
        <v>46327</v>
      </c>
      <c r="AH119" s="28">
        <f>AL118+3</f>
        <v>46325</v>
      </c>
      <c r="AI119" s="28">
        <f>AL118+30</f>
        <v>46352</v>
      </c>
      <c r="AJ119" s="81"/>
      <c r="AK119" s="79"/>
      <c r="AL119" s="83">
        <f>W119+AK118</f>
        <v>46327</v>
      </c>
      <c r="AM119" s="83"/>
      <c r="AN119" s="29"/>
      <c r="AO119" s="141"/>
      <c r="AP119" s="438"/>
      <c r="AQ119" s="21">
        <f>IF(ISERROR(LOOKUP(AQ$10,$O119:$AP119,#REF!)),0,(LOOKUP(AQ$10,$O119:$AP119,#REF!)))</f>
        <v>0</v>
      </c>
      <c r="AR119" s="22">
        <f>IF(ISERROR(LOOKUP(AR$10,$O119:$AP119,#REF!)),0,(LOOKUP(AR$10,$O119:$AP119,#REF!)))</f>
        <v>0</v>
      </c>
      <c r="AS119" s="22">
        <f>IF(ISERROR(LOOKUP(AS$10,$O119:$AP119,#REF!)),0,(LOOKUP(AS$10,$O119:$AP119,#REF!)))</f>
        <v>0</v>
      </c>
      <c r="AT119" s="22">
        <f>IF(ISERROR(LOOKUP(AT$10,$O119:$AP119,#REF!)),0,(LOOKUP(AT$10,$O119:$AP119,#REF!)))</f>
        <v>0</v>
      </c>
      <c r="AU119" s="22">
        <f>IF(ISERROR(LOOKUP(AU$10,$O119:$AP119,#REF!)),0,(LOOKUP(AU$10,$O119:$AP119,#REF!)))</f>
        <v>0</v>
      </c>
      <c r="AV119" s="22">
        <f>IF(ISERROR(LOOKUP(AV$10,$O119:$AP119,#REF!)),0,(LOOKUP(AV$10,$O119:$AP119,#REF!)))</f>
        <v>0</v>
      </c>
      <c r="AW119" s="22">
        <f>IF(ISERROR(LOOKUP(AW$10,$O119:$AP119,#REF!)),0,(LOOKUP(AW$10,$O119:$AP119,#REF!)))</f>
        <v>0</v>
      </c>
      <c r="AX119" s="22">
        <f>IF(ISERROR(LOOKUP(AX$10,$O119:$AP119,#REF!)),0,(LOOKUP(AX$10,$O119:$AP119,#REF!)))</f>
        <v>0</v>
      </c>
      <c r="AY119" s="22">
        <f>IF(ISERROR(LOOKUP(AY$10,$O119:$AP119,#REF!)),0,(LOOKUP(AY$10,$O119:$AP119,#REF!)))</f>
        <v>0</v>
      </c>
      <c r="AZ119" s="22">
        <f>IF(ISERROR(LOOKUP(AZ$10,$O119:$AP119,#REF!)),0,(LOOKUP(AZ$10,$O119:$AP119,#REF!)))</f>
        <v>0</v>
      </c>
      <c r="BA119" s="22">
        <f ca="1">IF(ISERROR(LOOKUP(BA$10,$O119:$AP119,#REF!)),0,(LOOKUP(BA$10,$O119:$AP119,#REF!)))</f>
        <v>0</v>
      </c>
      <c r="BB119" s="425"/>
      <c r="BC119" s="411"/>
      <c r="BD119" s="411"/>
    </row>
    <row r="120" spans="1:56" s="3" customFormat="1" ht="24" thickTop="1" thickBot="1" x14ac:dyDescent="0.45">
      <c r="A120" s="442"/>
      <c r="B120" s="94" t="s">
        <v>294</v>
      </c>
      <c r="C120" s="32" t="s">
        <v>84</v>
      </c>
      <c r="D120" s="44" t="s">
        <v>832</v>
      </c>
      <c r="E120" s="158"/>
      <c r="F120" s="158"/>
      <c r="G120" s="45" t="s">
        <v>71</v>
      </c>
      <c r="H120" s="34" t="s">
        <v>63</v>
      </c>
      <c r="I120" s="32" t="s">
        <v>56</v>
      </c>
      <c r="J120" s="32" t="s">
        <v>202</v>
      </c>
      <c r="K120" s="32" t="s">
        <v>314</v>
      </c>
      <c r="L120" s="45"/>
      <c r="M120" s="198" t="s">
        <v>74</v>
      </c>
      <c r="N120" s="35" t="s">
        <v>37</v>
      </c>
      <c r="O120" s="36">
        <v>46185</v>
      </c>
      <c r="P120" s="36">
        <v>46148</v>
      </c>
      <c r="Q120" s="36">
        <v>46165</v>
      </c>
      <c r="R120" s="36">
        <v>46197</v>
      </c>
      <c r="S120" s="36">
        <v>46197</v>
      </c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82"/>
      <c r="AK120" s="80"/>
      <c r="AL120" s="37"/>
      <c r="AM120" s="37"/>
      <c r="AN120" s="38"/>
      <c r="AO120" s="142"/>
      <c r="AP120" s="439"/>
      <c r="AQ120" s="39">
        <f>IF(ISERROR(LOOKUP(AQ$10,$O120:$AP120,#REF!)),0,(LOOKUP(AQ$10,$O120:$AP120,#REF!)))</f>
        <v>0</v>
      </c>
      <c r="AR120" s="40">
        <f>IF(ISERROR(LOOKUP(AR$10,$O120:$AP120,#REF!)),0,(LOOKUP(AR$10,$O120:$AP120,#REF!)))</f>
        <v>0</v>
      </c>
      <c r="AS120" s="40">
        <f>IF(ISERROR(LOOKUP(AS$10,$O120:$AP120,#REF!)),0,(LOOKUP(AS$10,$O120:$AP120,#REF!)))</f>
        <v>0</v>
      </c>
      <c r="AT120" s="40">
        <f>IF(ISERROR(LOOKUP(AT$10,$O120:$AP120,#REF!)),0,(LOOKUP(AT$10,$O120:$AP120,#REF!)))</f>
        <v>0</v>
      </c>
      <c r="AU120" s="40">
        <f>IF(ISERROR(LOOKUP(AU$10,$O120:$AP120,#REF!)),0,(LOOKUP(AU$10,$O120:$AP120,#REF!)))</f>
        <v>0</v>
      </c>
      <c r="AV120" s="40">
        <f>IF(ISERROR(LOOKUP(AV$10,$O120:$AP120,#REF!)),0,(LOOKUP(AV$10,$O120:$AP120,#REF!)))</f>
        <v>0</v>
      </c>
      <c r="AW120" s="40">
        <f>IF(ISERROR(LOOKUP(AW$10,$O120:$AP120,#REF!)),0,(LOOKUP(AW$10,$O120:$AP120,#REF!)))</f>
        <v>0</v>
      </c>
      <c r="AX120" s="40">
        <f>IF(ISERROR(LOOKUP(AX$10,$O120:$AP120,#REF!)),0,(LOOKUP(AX$10,$O120:$AP120,#REF!)))</f>
        <v>0</v>
      </c>
      <c r="AY120" s="40">
        <f>IF(ISERROR(LOOKUP(AY$10,$O120:$AP120,#REF!)),0,(LOOKUP(AY$10,$O120:$AP120,#REF!)))</f>
        <v>0</v>
      </c>
      <c r="AZ120" s="40">
        <f>IF(ISERROR(LOOKUP(AZ$10,$O120:$AP120,#REF!)),0,(LOOKUP(AZ$10,$O120:$AP120,#REF!)))</f>
        <v>0</v>
      </c>
      <c r="BA120" s="40">
        <f ca="1">IF(ISERROR(LOOKUP(BA$10,$O120:$AP120,#REF!)),0,(LOOKUP(BA$10,$O120:$AP120,#REF!)))</f>
        <v>0</v>
      </c>
      <c r="BB120" s="425"/>
      <c r="BC120" s="411"/>
      <c r="BD120" s="411"/>
    </row>
    <row r="121" spans="1:56" s="3" customFormat="1" ht="15.4" thickTop="1" thickBot="1" x14ac:dyDescent="0.45">
      <c r="A121" s="440">
        <f t="shared" ref="A121" si="27">A118+1</f>
        <v>33</v>
      </c>
      <c r="B121" s="92" t="s">
        <v>294</v>
      </c>
      <c r="C121" s="14" t="s">
        <v>85</v>
      </c>
      <c r="D121" s="227" t="s">
        <v>572</v>
      </c>
      <c r="E121" s="150"/>
      <c r="F121" s="150"/>
      <c r="G121" s="64" t="s">
        <v>71</v>
      </c>
      <c r="H121" s="16" t="s">
        <v>63</v>
      </c>
      <c r="I121" s="14" t="s">
        <v>56</v>
      </c>
      <c r="J121" s="14" t="s">
        <v>202</v>
      </c>
      <c r="K121" s="14" t="s">
        <v>312</v>
      </c>
      <c r="L121" s="42"/>
      <c r="M121" s="196" t="s">
        <v>74</v>
      </c>
      <c r="N121" s="18" t="s">
        <v>35</v>
      </c>
      <c r="O121" s="19">
        <v>46168</v>
      </c>
      <c r="P121" s="19">
        <v>46171</v>
      </c>
      <c r="Q121" s="19">
        <v>46182</v>
      </c>
      <c r="R121" s="19">
        <v>46183</v>
      </c>
      <c r="S121" s="19">
        <v>46190</v>
      </c>
      <c r="T121" s="230">
        <v>46205</v>
      </c>
      <c r="U121" s="19">
        <v>46226</v>
      </c>
      <c r="V121" s="19">
        <v>46233</v>
      </c>
      <c r="W121" s="19">
        <v>46247</v>
      </c>
      <c r="X121" s="19">
        <v>46251</v>
      </c>
      <c r="Y121" s="19">
        <v>46258</v>
      </c>
      <c r="Z121" s="19">
        <v>46279</v>
      </c>
      <c r="AA121" s="19">
        <v>46293</v>
      </c>
      <c r="AB121" s="19">
        <v>46323</v>
      </c>
      <c r="AC121" s="19">
        <v>46323</v>
      </c>
      <c r="AD121" s="19">
        <v>46325</v>
      </c>
      <c r="AE121" s="19">
        <v>46380</v>
      </c>
      <c r="AF121" s="19">
        <v>46385</v>
      </c>
      <c r="AG121" s="19">
        <v>46415</v>
      </c>
      <c r="AH121" s="19">
        <v>46418</v>
      </c>
      <c r="AI121" s="19">
        <v>46445</v>
      </c>
      <c r="AJ121" s="58">
        <v>24</v>
      </c>
      <c r="AK121" s="59">
        <v>168</v>
      </c>
      <c r="AL121" s="78">
        <v>46415</v>
      </c>
      <c r="AM121" s="78">
        <v>46426</v>
      </c>
      <c r="AN121" s="20">
        <f>AM121-AL122</f>
        <v>13</v>
      </c>
      <c r="AO121" s="143" t="s">
        <v>693</v>
      </c>
      <c r="AP121" s="437" t="s">
        <v>670</v>
      </c>
      <c r="AQ121" s="21">
        <f>IF(ISERROR(LOOKUP(AQ$10,$O121:$AP121,#REF!)),0,(LOOKUP(AQ$10,$O121:$AP121,#REF!)))</f>
        <v>0</v>
      </c>
      <c r="AR121" s="22">
        <f>IF(ISERROR(LOOKUP(AR$10,$O121:$AP121,#REF!)),0,(LOOKUP(AR$10,$O121:$AP121,#REF!)))</f>
        <v>0</v>
      </c>
      <c r="AS121" s="22">
        <f>IF(ISERROR(LOOKUP(AS$10,$O121:$AP121,#REF!)),0,(LOOKUP(AS$10,$O121:$AP121,#REF!)))</f>
        <v>0</v>
      </c>
      <c r="AT121" s="22">
        <f>IF(ISERROR(LOOKUP(AT$10,$O121:$AP121,#REF!)),0,(LOOKUP(AT$10,$O121:$AP121,#REF!)))</f>
        <v>0</v>
      </c>
      <c r="AU121" s="22">
        <f>IF(ISERROR(LOOKUP(AU$10,$O121:$AP121,#REF!)),0,(LOOKUP(AU$10,$O121:$AP121,#REF!)))</f>
        <v>0</v>
      </c>
      <c r="AV121" s="22">
        <f>IF(ISERROR(LOOKUP(AV$10,$O121:$AP121,#REF!)),0,(LOOKUP(AV$10,$O121:$AP121,#REF!)))</f>
        <v>0</v>
      </c>
      <c r="AW121" s="22">
        <f>IF(ISERROR(LOOKUP(AW$10,$O121:$AP121,#REF!)),0,(LOOKUP(AW$10,$O121:$AP121,#REF!)))</f>
        <v>0</v>
      </c>
      <c r="AX121" s="22">
        <f>IF(ISERROR(LOOKUP(AX$10,$O121:$AP121,#REF!)),0,(LOOKUP(AX$10,$O121:$AP121,#REF!)))</f>
        <v>0</v>
      </c>
      <c r="AY121" s="22">
        <f>IF(ISERROR(LOOKUP(AY$10,$O121:$AP121,#REF!)),0,(LOOKUP(AY$10,$O121:$AP121,#REF!)))</f>
        <v>0</v>
      </c>
      <c r="AZ121" s="22">
        <f>IF(ISERROR(LOOKUP(AZ$10,$O121:$AP121,#REF!)),0,(LOOKUP(AZ$10,$O121:$AP121,#REF!)))</f>
        <v>0</v>
      </c>
      <c r="BA121" s="22">
        <f ca="1">IF(ISERROR(LOOKUP(BA$10,$O121:$AP121,#REF!)),0,(LOOKUP(BA$10,$O121:$AP121,#REF!)))</f>
        <v>0</v>
      </c>
      <c r="BB121" s="425"/>
      <c r="BC121" s="411"/>
      <c r="BD121" s="411"/>
    </row>
    <row r="122" spans="1:56" s="3" customFormat="1" ht="15.4" thickTop="1" thickBot="1" x14ac:dyDescent="0.45">
      <c r="A122" s="441"/>
      <c r="B122" s="93" t="s">
        <v>294</v>
      </c>
      <c r="C122" s="41" t="s">
        <v>85</v>
      </c>
      <c r="D122" s="43" t="s">
        <v>86</v>
      </c>
      <c r="E122" s="157"/>
      <c r="F122" s="157"/>
      <c r="G122" s="43" t="s">
        <v>71</v>
      </c>
      <c r="H122" s="46" t="s">
        <v>63</v>
      </c>
      <c r="I122" s="23" t="s">
        <v>56</v>
      </c>
      <c r="J122" s="41" t="s">
        <v>202</v>
      </c>
      <c r="K122" s="41" t="s">
        <v>312</v>
      </c>
      <c r="L122" s="43"/>
      <c r="M122" s="197" t="s">
        <v>74</v>
      </c>
      <c r="N122" s="26" t="s">
        <v>36</v>
      </c>
      <c r="O122" s="27"/>
      <c r="P122" s="28"/>
      <c r="Q122" s="28"/>
      <c r="R122" s="28"/>
      <c r="S122" s="28"/>
      <c r="T122" s="28">
        <v>46210</v>
      </c>
      <c r="U122" s="28">
        <f>WORKDAY(T122, U8, IF(U12="China",'China Holidays'!$A$2:$A$84,'Thai Holidays'!$A$2:$A$65))</f>
        <v>46227</v>
      </c>
      <c r="V122" s="28">
        <f>WORKDAY(U122, V8, IF(V12="China",'China Holidays'!$A$2:$A$84,'Thai Holidays'!$A$2:$A$65))</f>
        <v>46245</v>
      </c>
      <c r="W122" s="28">
        <f>V122</f>
        <v>46245</v>
      </c>
      <c r="X122" s="28">
        <f>WORKDAY(W122, X8, IF(X12="China",'China Holidays'!$A$2:$A$84,'Thai Holidays'!$A$2:$A$65))</f>
        <v>46247</v>
      </c>
      <c r="Y122" s="28">
        <f>WORKDAY(X122, Y8, IF(Y12="China",'China Holidays'!$A$2:$A$84,'Thai Holidays'!$A$2:$A$65))</f>
        <v>46254</v>
      </c>
      <c r="Z122" s="28">
        <f>WORKDAY(Y122, Z8, IF(Z12="China",'China Holidays'!$A$2:$A$84,'Thai Holidays'!$A$2:$A$65))</f>
        <v>46275</v>
      </c>
      <c r="AA122" s="28">
        <f>WORKDAY(Z122, AA8, IF(AA12="China",'China Holidays'!$A$2:$A$84,'Thai Holidays'!$A$2:$A$65))</f>
        <v>46289</v>
      </c>
      <c r="AB122" s="28">
        <f>AA122+30</f>
        <v>46319</v>
      </c>
      <c r="AC122" s="28">
        <f>AB122</f>
        <v>46319</v>
      </c>
      <c r="AD122" s="28">
        <f>AC122+2</f>
        <v>46321</v>
      </c>
      <c r="AE122" s="28">
        <f>AF122-5</f>
        <v>46378</v>
      </c>
      <c r="AF122" s="28">
        <f>AG122-30</f>
        <v>46383</v>
      </c>
      <c r="AG122" s="28">
        <f>AL122</f>
        <v>46413</v>
      </c>
      <c r="AH122" s="28">
        <f>AL121+3</f>
        <v>46418</v>
      </c>
      <c r="AI122" s="28">
        <f>AL121+30</f>
        <v>46445</v>
      </c>
      <c r="AJ122" s="81"/>
      <c r="AK122" s="79"/>
      <c r="AL122" s="83">
        <f>W122+AK121</f>
        <v>46413</v>
      </c>
      <c r="AM122" s="83"/>
      <c r="AN122" s="29"/>
      <c r="AO122" s="141"/>
      <c r="AP122" s="438"/>
      <c r="AQ122" s="21">
        <f>IF(ISERROR(LOOKUP(AQ$10,$O122:$AP122,#REF!)),0,(LOOKUP(AQ$10,$O122:$AP122,#REF!)))</f>
        <v>0</v>
      </c>
      <c r="AR122" s="22">
        <f>IF(ISERROR(LOOKUP(AR$10,$O122:$AP122,#REF!)),0,(LOOKUP(AR$10,$O122:$AP122,#REF!)))</f>
        <v>0</v>
      </c>
      <c r="AS122" s="22">
        <f>IF(ISERROR(LOOKUP(AS$10,$O122:$AP122,#REF!)),0,(LOOKUP(AS$10,$O122:$AP122,#REF!)))</f>
        <v>0</v>
      </c>
      <c r="AT122" s="22">
        <f>IF(ISERROR(LOOKUP(AT$10,$O122:$AP122,#REF!)),0,(LOOKUP(AT$10,$O122:$AP122,#REF!)))</f>
        <v>0</v>
      </c>
      <c r="AU122" s="22">
        <f>IF(ISERROR(LOOKUP(AU$10,$O122:$AP122,#REF!)),0,(LOOKUP(AU$10,$O122:$AP122,#REF!)))</f>
        <v>0</v>
      </c>
      <c r="AV122" s="22">
        <f>IF(ISERROR(LOOKUP(AV$10,$O122:$AP122,#REF!)),0,(LOOKUP(AV$10,$O122:$AP122,#REF!)))</f>
        <v>0</v>
      </c>
      <c r="AW122" s="22">
        <f>IF(ISERROR(LOOKUP(AW$10,$O122:$AP122,#REF!)),0,(LOOKUP(AW$10,$O122:$AP122,#REF!)))</f>
        <v>0</v>
      </c>
      <c r="AX122" s="22">
        <f>IF(ISERROR(LOOKUP(AX$10,$O122:$AP122,#REF!)),0,(LOOKUP(AX$10,$O122:$AP122,#REF!)))</f>
        <v>0</v>
      </c>
      <c r="AY122" s="22">
        <f>IF(ISERROR(LOOKUP(AY$10,$O122:$AP122,#REF!)),0,(LOOKUP(AY$10,$O122:$AP122,#REF!)))</f>
        <v>0</v>
      </c>
      <c r="AZ122" s="22">
        <f>IF(ISERROR(LOOKUP(AZ$10,$O122:$AP122,#REF!)),0,(LOOKUP(AZ$10,$O122:$AP122,#REF!)))</f>
        <v>0</v>
      </c>
      <c r="BA122" s="22">
        <f ca="1">IF(ISERROR(LOOKUP(BA$10,$O122:$AP122,#REF!)),0,(LOOKUP(BA$10,$O122:$AP122,#REF!)))</f>
        <v>0</v>
      </c>
      <c r="BB122" s="425"/>
      <c r="BC122" s="411"/>
      <c r="BD122" s="411"/>
    </row>
    <row r="123" spans="1:56" s="3" customFormat="1" ht="15.4" thickTop="1" thickBot="1" x14ac:dyDescent="0.45">
      <c r="A123" s="442"/>
      <c r="B123" s="94" t="s">
        <v>294</v>
      </c>
      <c r="C123" s="32" t="s">
        <v>85</v>
      </c>
      <c r="D123" s="45" t="s">
        <v>86</v>
      </c>
      <c r="E123" s="158"/>
      <c r="F123" s="158"/>
      <c r="G123" s="45" t="s">
        <v>71</v>
      </c>
      <c r="H123" s="34" t="s">
        <v>63</v>
      </c>
      <c r="I123" s="32" t="s">
        <v>56</v>
      </c>
      <c r="J123" s="32" t="s">
        <v>202</v>
      </c>
      <c r="K123" s="32" t="s">
        <v>312</v>
      </c>
      <c r="L123" s="45"/>
      <c r="M123" s="198" t="s">
        <v>74</v>
      </c>
      <c r="N123" s="35" t="s">
        <v>37</v>
      </c>
      <c r="O123" s="36">
        <v>46184</v>
      </c>
      <c r="P123" s="36">
        <v>46148</v>
      </c>
      <c r="Q123" s="36">
        <v>46165</v>
      </c>
      <c r="R123" s="36">
        <v>46185</v>
      </c>
      <c r="S123" s="36">
        <v>46185</v>
      </c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82"/>
      <c r="AK123" s="80"/>
      <c r="AL123" s="37"/>
      <c r="AM123" s="37"/>
      <c r="AN123" s="38"/>
      <c r="AO123" s="142"/>
      <c r="AP123" s="439"/>
      <c r="AQ123" s="39">
        <f>IF(ISERROR(LOOKUP(AQ$10,$O123:$AP123,#REF!)),0,(LOOKUP(AQ$10,$O123:$AP123,#REF!)))</f>
        <v>0</v>
      </c>
      <c r="AR123" s="40">
        <f>IF(ISERROR(LOOKUP(AR$10,$O123:$AP123,#REF!)),0,(LOOKUP(AR$10,$O123:$AP123,#REF!)))</f>
        <v>0</v>
      </c>
      <c r="AS123" s="40">
        <f>IF(ISERROR(LOOKUP(AS$10,$O123:$AP123,#REF!)),0,(LOOKUP(AS$10,$O123:$AP123,#REF!)))</f>
        <v>0</v>
      </c>
      <c r="AT123" s="40">
        <f>IF(ISERROR(LOOKUP(AT$10,$O123:$AP123,#REF!)),0,(LOOKUP(AT$10,$O123:$AP123,#REF!)))</f>
        <v>0</v>
      </c>
      <c r="AU123" s="40">
        <f>IF(ISERROR(LOOKUP(AU$10,$O123:$AP123,#REF!)),0,(LOOKUP(AU$10,$O123:$AP123,#REF!)))</f>
        <v>0</v>
      </c>
      <c r="AV123" s="40">
        <f>IF(ISERROR(LOOKUP(AV$10,$O123:$AP123,#REF!)),0,(LOOKUP(AV$10,$O123:$AP123,#REF!)))</f>
        <v>0</v>
      </c>
      <c r="AW123" s="40">
        <f>IF(ISERROR(LOOKUP(AW$10,$O123:$AP123,#REF!)),0,(LOOKUP(AW$10,$O123:$AP123,#REF!)))</f>
        <v>0</v>
      </c>
      <c r="AX123" s="40">
        <f>IF(ISERROR(LOOKUP(AX$10,$O123:$AP123,#REF!)),0,(LOOKUP(AX$10,$O123:$AP123,#REF!)))</f>
        <v>0</v>
      </c>
      <c r="AY123" s="40">
        <f>IF(ISERROR(LOOKUP(AY$10,$O123:$AP123,#REF!)),0,(LOOKUP(AY$10,$O123:$AP123,#REF!)))</f>
        <v>0</v>
      </c>
      <c r="AZ123" s="40">
        <f>IF(ISERROR(LOOKUP(AZ$10,$O123:$AP123,#REF!)),0,(LOOKUP(AZ$10,$O123:$AP123,#REF!)))</f>
        <v>0</v>
      </c>
      <c r="BA123" s="40">
        <f ca="1">IF(ISERROR(LOOKUP(BA$10,$O123:$AP123,#REF!)),0,(LOOKUP(BA$10,$O123:$AP123,#REF!)))</f>
        <v>0</v>
      </c>
      <c r="BB123" s="425"/>
      <c r="BC123" s="411"/>
      <c r="BD123" s="411"/>
    </row>
    <row r="124" spans="1:56" s="3" customFormat="1" ht="15.4" thickTop="1" thickBot="1" x14ac:dyDescent="0.45">
      <c r="A124" s="440">
        <f t="shared" ref="A124" si="28">A121+1</f>
        <v>34</v>
      </c>
      <c r="B124" s="92" t="s">
        <v>294</v>
      </c>
      <c r="C124" s="14" t="s">
        <v>87</v>
      </c>
      <c r="D124" s="227" t="s">
        <v>380</v>
      </c>
      <c r="E124" s="150"/>
      <c r="F124" s="150"/>
      <c r="G124" s="64" t="s">
        <v>71</v>
      </c>
      <c r="H124" s="16" t="s">
        <v>63</v>
      </c>
      <c r="I124" s="14" t="s">
        <v>56</v>
      </c>
      <c r="J124" s="14" t="s">
        <v>202</v>
      </c>
      <c r="K124" s="14" t="s">
        <v>314</v>
      </c>
      <c r="L124" s="42"/>
      <c r="M124" s="196" t="s">
        <v>74</v>
      </c>
      <c r="N124" s="18" t="s">
        <v>35</v>
      </c>
      <c r="O124" s="19">
        <v>46199</v>
      </c>
      <c r="P124" s="19">
        <v>46204</v>
      </c>
      <c r="Q124" s="19">
        <v>46211</v>
      </c>
      <c r="R124" s="19">
        <v>46212</v>
      </c>
      <c r="S124" s="19">
        <v>46217</v>
      </c>
      <c r="T124" s="230">
        <v>46224</v>
      </c>
      <c r="U124" s="19">
        <v>46237</v>
      </c>
      <c r="V124" s="19">
        <v>46239</v>
      </c>
      <c r="W124" s="19">
        <v>46246</v>
      </c>
      <c r="X124" s="19">
        <v>46248</v>
      </c>
      <c r="Y124" s="19">
        <v>46255</v>
      </c>
      <c r="Z124" s="19">
        <v>46269</v>
      </c>
      <c r="AA124" s="19">
        <v>46283</v>
      </c>
      <c r="AB124" s="19">
        <v>46303</v>
      </c>
      <c r="AC124" s="19">
        <v>46303</v>
      </c>
      <c r="AD124" s="19">
        <v>46305</v>
      </c>
      <c r="AE124" s="19">
        <v>46326</v>
      </c>
      <c r="AF124" s="19">
        <v>46331</v>
      </c>
      <c r="AG124" s="19">
        <v>46336</v>
      </c>
      <c r="AH124" s="19">
        <v>46339</v>
      </c>
      <c r="AI124" s="19">
        <v>46366</v>
      </c>
      <c r="AJ124" s="58">
        <v>12.857142857142858</v>
      </c>
      <c r="AK124" s="59">
        <v>90</v>
      </c>
      <c r="AL124" s="78">
        <v>46336</v>
      </c>
      <c r="AM124" s="78">
        <v>46364</v>
      </c>
      <c r="AN124" s="20">
        <f>AM124-AL125</f>
        <v>34</v>
      </c>
      <c r="AO124" s="143" t="s">
        <v>693</v>
      </c>
      <c r="AP124" s="437" t="s">
        <v>670</v>
      </c>
      <c r="AQ124" s="21">
        <f>IF(ISERROR(LOOKUP(AQ$10,$O124:$AP124,#REF!)),0,(LOOKUP(AQ$10,$O124:$AP124,#REF!)))</f>
        <v>0</v>
      </c>
      <c r="AR124" s="22">
        <f>IF(ISERROR(LOOKUP(AR$10,$O124:$AP124,#REF!)),0,(LOOKUP(AR$10,$O124:$AP124,#REF!)))</f>
        <v>0</v>
      </c>
      <c r="AS124" s="22">
        <f>IF(ISERROR(LOOKUP(AS$10,$O124:$AP124,#REF!)),0,(LOOKUP(AS$10,$O124:$AP124,#REF!)))</f>
        <v>0</v>
      </c>
      <c r="AT124" s="22">
        <f>IF(ISERROR(LOOKUP(AT$10,$O124:$AP124,#REF!)),0,(LOOKUP(AT$10,$O124:$AP124,#REF!)))</f>
        <v>0</v>
      </c>
      <c r="AU124" s="22">
        <f>IF(ISERROR(LOOKUP(AU$10,$O124:$AP124,#REF!)),0,(LOOKUP(AU$10,$O124:$AP124,#REF!)))</f>
        <v>0</v>
      </c>
      <c r="AV124" s="22">
        <f>IF(ISERROR(LOOKUP(AV$10,$O124:$AP124,#REF!)),0,(LOOKUP(AV$10,$O124:$AP124,#REF!)))</f>
        <v>0</v>
      </c>
      <c r="AW124" s="22">
        <f>IF(ISERROR(LOOKUP(AW$10,$O124:$AP124,#REF!)),0,(LOOKUP(AW$10,$O124:$AP124,#REF!)))</f>
        <v>0</v>
      </c>
      <c r="AX124" s="22">
        <f>IF(ISERROR(LOOKUP(AX$10,$O124:$AP124,#REF!)),0,(LOOKUP(AX$10,$O124:$AP124,#REF!)))</f>
        <v>0</v>
      </c>
      <c r="AY124" s="22">
        <f>IF(ISERROR(LOOKUP(AY$10,$O124:$AP124,#REF!)),0,(LOOKUP(AY$10,$O124:$AP124,#REF!)))</f>
        <v>0</v>
      </c>
      <c r="AZ124" s="22">
        <f>IF(ISERROR(LOOKUP(AZ$10,$O124:$AP124,#REF!)),0,(LOOKUP(AZ$10,$O124:$AP124,#REF!)))</f>
        <v>0</v>
      </c>
      <c r="BA124" s="22">
        <f ca="1">IF(ISERROR(LOOKUP(BA$10,$O124:$AP124,#REF!)),0,(LOOKUP(BA$10,$O124:$AP124,#REF!)))</f>
        <v>0</v>
      </c>
      <c r="BB124" s="425"/>
      <c r="BC124" s="411"/>
      <c r="BD124" s="411"/>
    </row>
    <row r="125" spans="1:56" s="3" customFormat="1" ht="15.4" thickTop="1" thickBot="1" x14ac:dyDescent="0.45">
      <c r="A125" s="441"/>
      <c r="B125" s="93" t="s">
        <v>294</v>
      </c>
      <c r="C125" s="41" t="s">
        <v>87</v>
      </c>
      <c r="D125" s="43" t="s">
        <v>380</v>
      </c>
      <c r="E125" s="157"/>
      <c r="F125" s="157"/>
      <c r="G125" s="43" t="s">
        <v>71</v>
      </c>
      <c r="H125" s="46" t="s">
        <v>63</v>
      </c>
      <c r="I125" s="23" t="s">
        <v>56</v>
      </c>
      <c r="J125" s="41" t="s">
        <v>202</v>
      </c>
      <c r="K125" s="41" t="s">
        <v>314</v>
      </c>
      <c r="L125" s="43"/>
      <c r="M125" s="197" t="s">
        <v>74</v>
      </c>
      <c r="N125" s="26" t="s">
        <v>36</v>
      </c>
      <c r="O125" s="27"/>
      <c r="P125" s="28"/>
      <c r="Q125" s="28"/>
      <c r="R125" s="28"/>
      <c r="S125" s="28"/>
      <c r="T125" s="28">
        <v>46213</v>
      </c>
      <c r="U125" s="28">
        <f>WORKDAY(T125, U9, IF(U12="China",'China Holidays'!$A$2:$A$84,'Thai Holidays'!$A$2:$A$65))</f>
        <v>46224</v>
      </c>
      <c r="V125" s="28">
        <f>WORKDAY(U125, V9, IF(V12="China",'China Holidays'!$A$2:$A$84,'Thai Holidays'!$A$2:$A$65))</f>
        <v>46240</v>
      </c>
      <c r="W125" s="28">
        <f>V125</f>
        <v>46240</v>
      </c>
      <c r="X125" s="28">
        <f>WORKDAY(W125, X9, IF(X12="China",'China Holidays'!$A$2:$A$84,'Thai Holidays'!$A$2:$A$65))</f>
        <v>46244</v>
      </c>
      <c r="Y125" s="28">
        <f>WORKDAY(X125, Y9, IF(Y12="China",'China Holidays'!$A$2:$A$84,'Thai Holidays'!$A$2:$A$65))</f>
        <v>46251</v>
      </c>
      <c r="Z125" s="28">
        <f>WORKDAY(Y125, Z9, IF(Z12="China",'China Holidays'!$A$2:$A$84,'Thai Holidays'!$A$2:$A$65))</f>
        <v>46265</v>
      </c>
      <c r="AA125" s="28">
        <f>WORKDAY(Z125, AA9, IF(AA12="China",'China Holidays'!$A$2:$A$84,'Thai Holidays'!$A$2:$A$65))</f>
        <v>46279</v>
      </c>
      <c r="AB125" s="28">
        <f>AA125+20</f>
        <v>46299</v>
      </c>
      <c r="AC125" s="28">
        <f>AB125</f>
        <v>46299</v>
      </c>
      <c r="AD125" s="28">
        <f>AC125+2</f>
        <v>46301</v>
      </c>
      <c r="AE125" s="28">
        <f>AF125-5</f>
        <v>46320</v>
      </c>
      <c r="AF125" s="28">
        <f>AG125-5</f>
        <v>46325</v>
      </c>
      <c r="AG125" s="28">
        <f>AL125</f>
        <v>46330</v>
      </c>
      <c r="AH125" s="28">
        <f>AL124+3</f>
        <v>46339</v>
      </c>
      <c r="AI125" s="28">
        <f>AL124+30</f>
        <v>46366</v>
      </c>
      <c r="AJ125" s="81"/>
      <c r="AK125" s="79"/>
      <c r="AL125" s="83">
        <f>W125+AK124</f>
        <v>46330</v>
      </c>
      <c r="AM125" s="83"/>
      <c r="AN125" s="29"/>
      <c r="AO125" s="141"/>
      <c r="AP125" s="438"/>
      <c r="AQ125" s="21">
        <f>IF(ISERROR(LOOKUP(AQ$10,$O125:$AP125,#REF!)),0,(LOOKUP(AQ$10,$O125:$AP125,#REF!)))</f>
        <v>0</v>
      </c>
      <c r="AR125" s="22">
        <f>IF(ISERROR(LOOKUP(AR$10,$O125:$AP125,#REF!)),0,(LOOKUP(AR$10,$O125:$AP125,#REF!)))</f>
        <v>0</v>
      </c>
      <c r="AS125" s="22">
        <f>IF(ISERROR(LOOKUP(AS$10,$O125:$AP125,#REF!)),0,(LOOKUP(AS$10,$O125:$AP125,#REF!)))</f>
        <v>0</v>
      </c>
      <c r="AT125" s="22">
        <f>IF(ISERROR(LOOKUP(AT$10,$O125:$AP125,#REF!)),0,(LOOKUP(AT$10,$O125:$AP125,#REF!)))</f>
        <v>0</v>
      </c>
      <c r="AU125" s="22">
        <f>IF(ISERROR(LOOKUP(AU$10,$O125:$AP125,#REF!)),0,(LOOKUP(AU$10,$O125:$AP125,#REF!)))</f>
        <v>0</v>
      </c>
      <c r="AV125" s="22">
        <f>IF(ISERROR(LOOKUP(AV$10,$O125:$AP125,#REF!)),0,(LOOKUP(AV$10,$O125:$AP125,#REF!)))</f>
        <v>0</v>
      </c>
      <c r="AW125" s="22">
        <f>IF(ISERROR(LOOKUP(AW$10,$O125:$AP125,#REF!)),0,(LOOKUP(AW$10,$O125:$AP125,#REF!)))</f>
        <v>0</v>
      </c>
      <c r="AX125" s="22">
        <f>IF(ISERROR(LOOKUP(AX$10,$O125:$AP125,#REF!)),0,(LOOKUP(AX$10,$O125:$AP125,#REF!)))</f>
        <v>0</v>
      </c>
      <c r="AY125" s="22">
        <f>IF(ISERROR(LOOKUP(AY$10,$O125:$AP125,#REF!)),0,(LOOKUP(AY$10,$O125:$AP125,#REF!)))</f>
        <v>0</v>
      </c>
      <c r="AZ125" s="22">
        <f>IF(ISERROR(LOOKUP(AZ$10,$O125:$AP125,#REF!)),0,(LOOKUP(AZ$10,$O125:$AP125,#REF!)))</f>
        <v>0</v>
      </c>
      <c r="BA125" s="22">
        <f ca="1">IF(ISERROR(LOOKUP(BA$10,$O125:$AP125,#REF!)),0,(LOOKUP(BA$10,$O125:$AP125,#REF!)))</f>
        <v>0</v>
      </c>
      <c r="BB125" s="425"/>
      <c r="BC125" s="411"/>
      <c r="BD125" s="411"/>
    </row>
    <row r="126" spans="1:56" s="3" customFormat="1" ht="15.4" thickTop="1" thickBot="1" x14ac:dyDescent="0.45">
      <c r="A126" s="442"/>
      <c r="B126" s="94" t="s">
        <v>294</v>
      </c>
      <c r="C126" s="32" t="s">
        <v>87</v>
      </c>
      <c r="D126" s="45" t="s">
        <v>380</v>
      </c>
      <c r="E126" s="158"/>
      <c r="F126" s="158"/>
      <c r="G126" s="45" t="s">
        <v>71</v>
      </c>
      <c r="H126" s="34" t="s">
        <v>63</v>
      </c>
      <c r="I126" s="32" t="s">
        <v>56</v>
      </c>
      <c r="J126" s="32" t="s">
        <v>202</v>
      </c>
      <c r="K126" s="32" t="s">
        <v>314</v>
      </c>
      <c r="L126" s="45"/>
      <c r="M126" s="198" t="s">
        <v>74</v>
      </c>
      <c r="N126" s="35" t="s">
        <v>37</v>
      </c>
      <c r="O126" s="36">
        <v>46185</v>
      </c>
      <c r="P126" s="36">
        <v>46148</v>
      </c>
      <c r="Q126" s="36">
        <v>46165</v>
      </c>
      <c r="R126" s="36">
        <v>46191</v>
      </c>
      <c r="S126" s="36">
        <v>46191</v>
      </c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82"/>
      <c r="AK126" s="80"/>
      <c r="AL126" s="37"/>
      <c r="AM126" s="37"/>
      <c r="AN126" s="38"/>
      <c r="AO126" s="142"/>
      <c r="AP126" s="439"/>
      <c r="AQ126" s="39">
        <f>IF(ISERROR(LOOKUP(AQ$10,$O126:$AP126,#REF!)),0,(LOOKUP(AQ$10,$O126:$AP126,#REF!)))</f>
        <v>0</v>
      </c>
      <c r="AR126" s="40">
        <f>IF(ISERROR(LOOKUP(AR$10,$O126:$AP126,#REF!)),0,(LOOKUP(AR$10,$O126:$AP126,#REF!)))</f>
        <v>0</v>
      </c>
      <c r="AS126" s="40">
        <f>IF(ISERROR(LOOKUP(AS$10,$O126:$AP126,#REF!)),0,(LOOKUP(AS$10,$O126:$AP126,#REF!)))</f>
        <v>0</v>
      </c>
      <c r="AT126" s="40">
        <f>IF(ISERROR(LOOKUP(AT$10,$O126:$AP126,#REF!)),0,(LOOKUP(AT$10,$O126:$AP126,#REF!)))</f>
        <v>0</v>
      </c>
      <c r="AU126" s="40">
        <f>IF(ISERROR(LOOKUP(AU$10,$O126:$AP126,#REF!)),0,(LOOKUP(AU$10,$O126:$AP126,#REF!)))</f>
        <v>0</v>
      </c>
      <c r="AV126" s="40">
        <f>IF(ISERROR(LOOKUP(AV$10,$O126:$AP126,#REF!)),0,(LOOKUP(AV$10,$O126:$AP126,#REF!)))</f>
        <v>0</v>
      </c>
      <c r="AW126" s="40">
        <f>IF(ISERROR(LOOKUP(AW$10,$O126:$AP126,#REF!)),0,(LOOKUP(AW$10,$O126:$AP126,#REF!)))</f>
        <v>0</v>
      </c>
      <c r="AX126" s="40">
        <f>IF(ISERROR(LOOKUP(AX$10,$O126:$AP126,#REF!)),0,(LOOKUP(AX$10,$O126:$AP126,#REF!)))</f>
        <v>0</v>
      </c>
      <c r="AY126" s="40">
        <f>IF(ISERROR(LOOKUP(AY$10,$O126:$AP126,#REF!)),0,(LOOKUP(AY$10,$O126:$AP126,#REF!)))</f>
        <v>0</v>
      </c>
      <c r="AZ126" s="40">
        <f>IF(ISERROR(LOOKUP(AZ$10,$O126:$AP126,#REF!)),0,(LOOKUP(AZ$10,$O126:$AP126,#REF!)))</f>
        <v>0</v>
      </c>
      <c r="BA126" s="40">
        <f ca="1">IF(ISERROR(LOOKUP(BA$10,$O126:$AP126,#REF!)),0,(LOOKUP(BA$10,$O126:$AP126,#REF!)))</f>
        <v>0</v>
      </c>
      <c r="BB126" s="425"/>
      <c r="BC126" s="411"/>
      <c r="BD126" s="411"/>
    </row>
    <row r="127" spans="1:56" s="3" customFormat="1" ht="21" customHeight="1" thickTop="1" thickBot="1" x14ac:dyDescent="0.45">
      <c r="A127" s="440"/>
      <c r="B127" s="254" t="s">
        <v>668</v>
      </c>
      <c r="C127" s="291" t="s">
        <v>716</v>
      </c>
      <c r="D127" s="256" t="s">
        <v>666</v>
      </c>
      <c r="E127" s="308" t="s">
        <v>550</v>
      </c>
      <c r="F127" s="308" t="s">
        <v>455</v>
      </c>
      <c r="G127" s="309" t="s">
        <v>38</v>
      </c>
      <c r="H127" s="299" t="s">
        <v>63</v>
      </c>
      <c r="I127" s="291" t="s">
        <v>394</v>
      </c>
      <c r="J127" s="291" t="s">
        <v>205</v>
      </c>
      <c r="K127" s="14" t="s">
        <v>343</v>
      </c>
      <c r="L127" s="319" t="s">
        <v>840</v>
      </c>
      <c r="M127" s="199" t="s">
        <v>367</v>
      </c>
      <c r="N127" s="372" t="s">
        <v>35</v>
      </c>
      <c r="O127" s="373">
        <v>46164</v>
      </c>
      <c r="P127" s="373">
        <v>46167</v>
      </c>
      <c r="Q127" s="373">
        <v>46175</v>
      </c>
      <c r="R127" s="373">
        <v>46176</v>
      </c>
      <c r="S127" s="373">
        <v>46183</v>
      </c>
      <c r="T127" s="373">
        <v>46198</v>
      </c>
      <c r="U127" s="373">
        <v>46226</v>
      </c>
      <c r="V127" s="373">
        <v>46233</v>
      </c>
      <c r="W127" s="373">
        <v>46247</v>
      </c>
      <c r="X127" s="373">
        <v>46251</v>
      </c>
      <c r="Y127" s="373">
        <v>46258</v>
      </c>
      <c r="Z127" s="373">
        <v>46286</v>
      </c>
      <c r="AA127" s="373">
        <v>46300</v>
      </c>
      <c r="AB127" s="373">
        <v>46335</v>
      </c>
      <c r="AC127" s="373">
        <v>46338</v>
      </c>
      <c r="AD127" s="373">
        <v>46341</v>
      </c>
      <c r="AE127" s="373">
        <v>46441</v>
      </c>
      <c r="AF127" s="373">
        <v>46456</v>
      </c>
      <c r="AG127" s="373">
        <v>46471</v>
      </c>
      <c r="AH127" s="373">
        <v>46474</v>
      </c>
      <c r="AI127" s="373">
        <v>46501</v>
      </c>
      <c r="AJ127" s="377">
        <v>32</v>
      </c>
      <c r="AK127" s="378">
        <v>224</v>
      </c>
      <c r="AL127" s="379">
        <v>46471</v>
      </c>
      <c r="AM127" s="379">
        <v>46500</v>
      </c>
      <c r="AN127" s="20"/>
      <c r="AO127" s="143" t="s">
        <v>531</v>
      </c>
      <c r="AP127" s="437"/>
      <c r="AQ127" s="21">
        <f>IF(ISERROR(LOOKUP(AQ$10,$O127:$AP127,#REF!)),0,(LOOKUP(AQ$10,$O127:$AP127,#REF!)))</f>
        <v>0</v>
      </c>
      <c r="AR127" s="22">
        <f>IF(ISERROR(LOOKUP(AR$10,$O127:$AP127,#REF!)),0,(LOOKUP(AR$10,$O127:$AP127,#REF!)))</f>
        <v>0</v>
      </c>
      <c r="AS127" s="22">
        <f>IF(ISERROR(LOOKUP(AS$10,$O127:$AP127,#REF!)),0,(LOOKUP(AS$10,$O127:$AP127,#REF!)))</f>
        <v>0</v>
      </c>
      <c r="AT127" s="22">
        <f>IF(ISERROR(LOOKUP(AT$10,$O127:$AP127,#REF!)),0,(LOOKUP(AT$10,$O127:$AP127,#REF!)))</f>
        <v>0</v>
      </c>
      <c r="AU127" s="22">
        <f>IF(ISERROR(LOOKUP(AU$10,$O127:$AP127,#REF!)),0,(LOOKUP(AU$10,$O127:$AP127,#REF!)))</f>
        <v>0</v>
      </c>
      <c r="AV127" s="22">
        <f>IF(ISERROR(LOOKUP(AV$10,$O127:$AP127,#REF!)),0,(LOOKUP(AV$10,$O127:$AP127,#REF!)))</f>
        <v>0</v>
      </c>
      <c r="AW127" s="22">
        <f>IF(ISERROR(LOOKUP(AW$10,$O127:$AP127,#REF!)),0,(LOOKUP(AW$10,$O127:$AP127,#REF!)))</f>
        <v>0</v>
      </c>
      <c r="AX127" s="22">
        <f>IF(ISERROR(LOOKUP(AX$10,$O127:$AP127,#REF!)),0,(LOOKUP(AX$10,$O127:$AP127,#REF!)))</f>
        <v>0</v>
      </c>
      <c r="AY127" s="22">
        <f>IF(ISERROR(LOOKUP(AY$10,$O127:$AP127,#REF!)),0,(LOOKUP(AY$10,$O127:$AP127,#REF!)))</f>
        <v>0</v>
      </c>
      <c r="AZ127" s="22">
        <f>IF(ISERROR(LOOKUP(AZ$10,$O127:$AP127,#REF!)),0,(LOOKUP(AZ$10,$O127:$AP127,#REF!)))</f>
        <v>0</v>
      </c>
      <c r="BA127" s="22">
        <f ca="1">IF(ISERROR(LOOKUP(BA$10,$O127:$AP127,#REF!)),0,(LOOKUP(BA$10,$O127:$AP127,#REF!)))</f>
        <v>0</v>
      </c>
      <c r="BB127" s="425"/>
      <c r="BC127" s="411"/>
      <c r="BD127" s="411"/>
    </row>
    <row r="128" spans="1:56" s="3" customFormat="1" ht="15.75" thickTop="1" thickBot="1" x14ac:dyDescent="0.45">
      <c r="A128" s="441"/>
      <c r="B128" s="310" t="s">
        <v>667</v>
      </c>
      <c r="C128" s="292" t="s">
        <v>716</v>
      </c>
      <c r="D128" s="311" t="s">
        <v>665</v>
      </c>
      <c r="E128" s="312" t="s">
        <v>551</v>
      </c>
      <c r="F128" s="313">
        <v>2</v>
      </c>
      <c r="G128" s="314" t="s">
        <v>38</v>
      </c>
      <c r="H128" s="315" t="s">
        <v>63</v>
      </c>
      <c r="I128" s="303" t="s">
        <v>56</v>
      </c>
      <c r="J128" s="303" t="s">
        <v>205</v>
      </c>
      <c r="K128" s="23" t="s">
        <v>343</v>
      </c>
      <c r="L128" s="93"/>
      <c r="M128" s="200" t="s">
        <v>367</v>
      </c>
      <c r="N128" s="374" t="s">
        <v>36</v>
      </c>
      <c r="O128" s="375">
        <v>46164</v>
      </c>
      <c r="P128" s="381">
        <v>46167</v>
      </c>
      <c r="Q128" s="376">
        <v>46175</v>
      </c>
      <c r="R128" s="376">
        <v>46176</v>
      </c>
      <c r="S128" s="376">
        <v>46183</v>
      </c>
      <c r="T128" s="376">
        <v>46198</v>
      </c>
      <c r="U128" s="376">
        <v>46226</v>
      </c>
      <c r="V128" s="376">
        <v>46233</v>
      </c>
      <c r="W128" s="376">
        <f>W127</f>
        <v>46247</v>
      </c>
      <c r="X128" s="376">
        <f>WORKDAY(W128, X6, IF(X12="China",'China Holidays'!$A$2:$A$84,'Thai Holidays'!$A$2:$A$65))</f>
        <v>46251</v>
      </c>
      <c r="Y128" s="376">
        <f>WORKDAY(X128, Y6, IF(Y12="China",'China Holidays'!$A$2:$A$84,'Thai Holidays'!$A$2:$A$65))</f>
        <v>46258</v>
      </c>
      <c r="Z128" s="376">
        <f>WORKDAY(Y128, Z6, IF(Z12="China",'China Holidays'!$A$2:$A$84,'Thai Holidays'!$A$2:$A$65))</f>
        <v>46286</v>
      </c>
      <c r="AA128" s="376">
        <f>WORKDAY(Z128, AA6, IF(AA12="China",'China Holidays'!$A$2:$A$84,'Thai Holidays'!$A$2:$A$65))</f>
        <v>46300</v>
      </c>
      <c r="AB128" s="376">
        <f>AA128+35</f>
        <v>46335</v>
      </c>
      <c r="AC128" s="376">
        <f>AB128+3</f>
        <v>46338</v>
      </c>
      <c r="AD128" s="376">
        <f>AC128+3</f>
        <v>46341</v>
      </c>
      <c r="AE128" s="376">
        <f>AF128-15</f>
        <v>46446</v>
      </c>
      <c r="AF128" s="376">
        <f>AG128-15</f>
        <v>46461</v>
      </c>
      <c r="AG128" s="376">
        <f>AL128</f>
        <v>46476</v>
      </c>
      <c r="AH128" s="376">
        <f>AL127+3</f>
        <v>46474</v>
      </c>
      <c r="AI128" s="376">
        <f>AL127+30</f>
        <v>46501</v>
      </c>
      <c r="AJ128" s="380"/>
      <c r="AK128" s="380"/>
      <c r="AL128" s="381">
        <v>46476</v>
      </c>
      <c r="AM128" s="381"/>
      <c r="AN128" s="29"/>
      <c r="AO128" s="141"/>
      <c r="AP128" s="438"/>
      <c r="AQ128" s="21">
        <f>IF(ISERROR(LOOKUP(AQ$10,$O128:$AP128,#REF!)),0,(LOOKUP(AQ$10,$O128:$AP128,#REF!)))</f>
        <v>0</v>
      </c>
      <c r="AR128" s="22">
        <f>IF(ISERROR(LOOKUP(AR$10,$O128:$AP128,#REF!)),0,(LOOKUP(AR$10,$O128:$AP128,#REF!)))</f>
        <v>0</v>
      </c>
      <c r="AS128" s="22">
        <f>IF(ISERROR(LOOKUP(AS$10,$O128:$AP128,#REF!)),0,(LOOKUP(AS$10,$O128:$AP128,#REF!)))</f>
        <v>0</v>
      </c>
      <c r="AT128" s="22">
        <f>IF(ISERROR(LOOKUP(AT$10,$O128:$AP128,#REF!)),0,(LOOKUP(AT$10,$O128:$AP128,#REF!)))</f>
        <v>0</v>
      </c>
      <c r="AU128" s="22">
        <f>IF(ISERROR(LOOKUP(AU$10,$O128:$AP128,#REF!)),0,(LOOKUP(AU$10,$O128:$AP128,#REF!)))</f>
        <v>0</v>
      </c>
      <c r="AV128" s="22">
        <f>IF(ISERROR(LOOKUP(AV$10,$O128:$AP128,#REF!)),0,(LOOKUP(AV$10,$O128:$AP128,#REF!)))</f>
        <v>0</v>
      </c>
      <c r="AW128" s="22">
        <f>IF(ISERROR(LOOKUP(AW$10,$O128:$AP128,#REF!)),0,(LOOKUP(AW$10,$O128:$AP128,#REF!)))</f>
        <v>0</v>
      </c>
      <c r="AX128" s="22">
        <f>IF(ISERROR(LOOKUP(AX$10,$O128:$AP128,#REF!)),0,(LOOKUP(AX$10,$O128:$AP128,#REF!)))</f>
        <v>0</v>
      </c>
      <c r="AY128" s="22">
        <f>IF(ISERROR(LOOKUP(AY$10,$O128:$AP128,#REF!)),0,(LOOKUP(AY$10,$O128:$AP128,#REF!)))</f>
        <v>0</v>
      </c>
      <c r="AZ128" s="22">
        <f>IF(ISERROR(LOOKUP(AZ$10,$O128:$AP128,#REF!)),0,(LOOKUP(AZ$10,$O128:$AP128,#REF!)))</f>
        <v>0</v>
      </c>
      <c r="BA128" s="22">
        <f ca="1">IF(ISERROR(LOOKUP(BA$10,$O128:$AP128,#REF!)),0,(LOOKUP(BA$10,$O128:$AP128,#REF!)))</f>
        <v>0</v>
      </c>
      <c r="BB128" s="425"/>
      <c r="BC128" s="411"/>
      <c r="BD128" s="411"/>
    </row>
    <row r="129" spans="1:56" s="3" customFormat="1" ht="15.75" thickTop="1" thickBot="1" x14ac:dyDescent="0.45">
      <c r="A129" s="442"/>
      <c r="B129" s="260" t="s">
        <v>667</v>
      </c>
      <c r="C129" s="293" t="s">
        <v>716</v>
      </c>
      <c r="D129" s="316" t="s">
        <v>665</v>
      </c>
      <c r="E129" s="317" t="s">
        <v>552</v>
      </c>
      <c r="F129" s="317">
        <v>2</v>
      </c>
      <c r="G129" s="318" t="s">
        <v>38</v>
      </c>
      <c r="H129" s="306" t="s">
        <v>63</v>
      </c>
      <c r="I129" s="293" t="s">
        <v>56</v>
      </c>
      <c r="J129" s="293" t="s">
        <v>205</v>
      </c>
      <c r="K129" s="32" t="s">
        <v>343</v>
      </c>
      <c r="L129" s="94"/>
      <c r="M129" s="201" t="s">
        <v>367</v>
      </c>
      <c r="N129" s="35" t="s">
        <v>37</v>
      </c>
      <c r="O129" s="382"/>
      <c r="P129" s="382"/>
      <c r="Q129" s="382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82"/>
      <c r="AK129" s="82"/>
      <c r="AL129" s="37"/>
      <c r="AM129" s="37"/>
      <c r="AN129" s="38"/>
      <c r="AO129" s="142"/>
      <c r="AP129" s="439"/>
      <c r="AQ129" s="39">
        <f>IF(ISERROR(LOOKUP(AQ$10,$O129:$AP129,#REF!)),0,(LOOKUP(AQ$10,$O129:$AP129,#REF!)))</f>
        <v>0</v>
      </c>
      <c r="AR129" s="40">
        <f>IF(ISERROR(LOOKUP(AR$10,$O129:$AP129,#REF!)),0,(LOOKUP(AR$10,$O129:$AP129,#REF!)))</f>
        <v>0</v>
      </c>
      <c r="AS129" s="40">
        <f>IF(ISERROR(LOOKUP(AS$10,$O129:$AP129,#REF!)),0,(LOOKUP(AS$10,$O129:$AP129,#REF!)))</f>
        <v>0</v>
      </c>
      <c r="AT129" s="40">
        <f>IF(ISERROR(LOOKUP(AT$10,$O129:$AP129,#REF!)),0,(LOOKUP(AT$10,$O129:$AP129,#REF!)))</f>
        <v>0</v>
      </c>
      <c r="AU129" s="40">
        <f>IF(ISERROR(LOOKUP(AU$10,$O129:$AP129,#REF!)),0,(LOOKUP(AU$10,$O129:$AP129,#REF!)))</f>
        <v>0</v>
      </c>
      <c r="AV129" s="40">
        <f>IF(ISERROR(LOOKUP(AV$10,$O129:$AP129,#REF!)),0,(LOOKUP(AV$10,$O129:$AP129,#REF!)))</f>
        <v>0</v>
      </c>
      <c r="AW129" s="40">
        <f>IF(ISERROR(LOOKUP(AW$10,$O129:$AP129,#REF!)),0,(LOOKUP(AW$10,$O129:$AP129,#REF!)))</f>
        <v>0</v>
      </c>
      <c r="AX129" s="40">
        <f>IF(ISERROR(LOOKUP(AX$10,$O129:$AP129,#REF!)),0,(LOOKUP(AX$10,$O129:$AP129,#REF!)))</f>
        <v>0</v>
      </c>
      <c r="AY129" s="40">
        <f>IF(ISERROR(LOOKUP(AY$10,$O129:$AP129,#REF!)),0,(LOOKUP(AY$10,$O129:$AP129,#REF!)))</f>
        <v>0</v>
      </c>
      <c r="AZ129" s="40">
        <f>IF(ISERROR(LOOKUP(AZ$10,$O129:$AP129,#REF!)),0,(LOOKUP(AZ$10,$O129:$AP129,#REF!)))</f>
        <v>0</v>
      </c>
      <c r="BA129" s="40">
        <f ca="1">IF(ISERROR(LOOKUP(BA$10,$O129:$AP129,#REF!)),0,(LOOKUP(BA$10,$O129:$AP129,#REF!)))</f>
        <v>0</v>
      </c>
      <c r="BB129" s="425"/>
      <c r="BC129" s="411"/>
      <c r="BD129" s="411"/>
    </row>
    <row r="130" spans="1:56" s="3" customFormat="1" ht="24" thickTop="1" thickBot="1" x14ac:dyDescent="0.45">
      <c r="A130" s="440">
        <f>A124+1</f>
        <v>35</v>
      </c>
      <c r="B130" s="92" t="s">
        <v>413</v>
      </c>
      <c r="C130" s="14" t="s">
        <v>717</v>
      </c>
      <c r="D130" s="227" t="s">
        <v>839</v>
      </c>
      <c r="E130" s="154" t="s">
        <v>550</v>
      </c>
      <c r="F130" s="154" t="s">
        <v>455</v>
      </c>
      <c r="G130" s="61" t="s">
        <v>38</v>
      </c>
      <c r="H130" s="16" t="s">
        <v>63</v>
      </c>
      <c r="I130" s="14" t="s">
        <v>394</v>
      </c>
      <c r="J130" s="14" t="s">
        <v>205</v>
      </c>
      <c r="K130" s="14" t="s">
        <v>343</v>
      </c>
      <c r="L130" s="15"/>
      <c r="M130" s="196" t="s">
        <v>74</v>
      </c>
      <c r="N130" s="18" t="s">
        <v>35</v>
      </c>
      <c r="O130" s="19">
        <v>46164</v>
      </c>
      <c r="P130" s="19">
        <v>46167</v>
      </c>
      <c r="Q130" s="19">
        <v>46175</v>
      </c>
      <c r="R130" s="19">
        <v>46176</v>
      </c>
      <c r="S130" s="19">
        <v>46183</v>
      </c>
      <c r="T130" s="19">
        <v>46198</v>
      </c>
      <c r="U130" s="230">
        <v>46226</v>
      </c>
      <c r="V130" s="19">
        <v>46233</v>
      </c>
      <c r="W130" s="19">
        <v>46247</v>
      </c>
      <c r="X130" s="19">
        <v>46251</v>
      </c>
      <c r="Y130" s="19">
        <v>46258</v>
      </c>
      <c r="Z130" s="19">
        <v>46286</v>
      </c>
      <c r="AA130" s="19">
        <v>46300</v>
      </c>
      <c r="AB130" s="19">
        <v>46335</v>
      </c>
      <c r="AC130" s="19">
        <v>46338</v>
      </c>
      <c r="AD130" s="19">
        <v>46341</v>
      </c>
      <c r="AE130" s="19">
        <v>46441</v>
      </c>
      <c r="AF130" s="19">
        <v>46456</v>
      </c>
      <c r="AG130" s="19">
        <v>46471</v>
      </c>
      <c r="AH130" s="19">
        <v>46474</v>
      </c>
      <c r="AI130" s="19">
        <v>46501</v>
      </c>
      <c r="AJ130" s="58">
        <v>32</v>
      </c>
      <c r="AK130" s="59">
        <v>224</v>
      </c>
      <c r="AL130" s="78">
        <v>46471</v>
      </c>
      <c r="AM130" s="78">
        <v>46500</v>
      </c>
      <c r="AN130" s="20">
        <f>AM130-AL131</f>
        <v>32</v>
      </c>
      <c r="AO130" s="143" t="s">
        <v>720</v>
      </c>
      <c r="AP130" s="437" t="s">
        <v>704</v>
      </c>
      <c r="AQ130" s="21">
        <f>IF(ISERROR(LOOKUP(AQ$10,$O130:$AP130,#REF!)),0,(LOOKUP(AQ$10,$O130:$AP130,#REF!)))</f>
        <v>0</v>
      </c>
      <c r="AR130" s="22">
        <f>IF(ISERROR(LOOKUP(AR$10,$O130:$AP130,#REF!)),0,(LOOKUP(AR$10,$O130:$AP130,#REF!)))</f>
        <v>0</v>
      </c>
      <c r="AS130" s="22">
        <f>IF(ISERROR(LOOKUP(AS$10,$O130:$AP130,#REF!)),0,(LOOKUP(AS$10,$O130:$AP130,#REF!)))</f>
        <v>0</v>
      </c>
      <c r="AT130" s="22">
        <f>IF(ISERROR(LOOKUP(AT$10,$O130:$AP130,#REF!)),0,(LOOKUP(AT$10,$O130:$AP130,#REF!)))</f>
        <v>0</v>
      </c>
      <c r="AU130" s="22">
        <f>IF(ISERROR(LOOKUP(AU$10,$O130:$AP130,#REF!)),0,(LOOKUP(AU$10,$O130:$AP130,#REF!)))</f>
        <v>0</v>
      </c>
      <c r="AV130" s="22">
        <f>IF(ISERROR(LOOKUP(AV$10,$O130:$AP130,#REF!)),0,(LOOKUP(AV$10,$O130:$AP130,#REF!)))</f>
        <v>0</v>
      </c>
      <c r="AW130" s="22">
        <f>IF(ISERROR(LOOKUP(AW$10,$O130:$AP130,#REF!)),0,(LOOKUP(AW$10,$O130:$AP130,#REF!)))</f>
        <v>0</v>
      </c>
      <c r="AX130" s="22">
        <f>IF(ISERROR(LOOKUP(AX$10,$O130:$AP130,#REF!)),0,(LOOKUP(AX$10,$O130:$AP130,#REF!)))</f>
        <v>0</v>
      </c>
      <c r="AY130" s="22">
        <f>IF(ISERROR(LOOKUP(AY$10,$O130:$AP130,#REF!)),0,(LOOKUP(AY$10,$O130:$AP130,#REF!)))</f>
        <v>0</v>
      </c>
      <c r="AZ130" s="22">
        <f>IF(ISERROR(LOOKUP(AZ$10,$O130:$AP130,#REF!)),0,(LOOKUP(AZ$10,$O130:$AP130,#REF!)))</f>
        <v>0</v>
      </c>
      <c r="BA130" s="22">
        <f ca="1">IF(ISERROR(LOOKUP(BA$10,$O130:$AP130,#REF!)),0,(LOOKUP(BA$10,$O130:$AP130,#REF!)))</f>
        <v>0</v>
      </c>
      <c r="BB130" s="425"/>
      <c r="BC130" s="411"/>
      <c r="BD130" s="411"/>
    </row>
    <row r="131" spans="1:56" s="3" customFormat="1" ht="24" thickTop="1" thickBot="1" x14ac:dyDescent="0.45">
      <c r="A131" s="441"/>
      <c r="B131" s="98" t="s">
        <v>293</v>
      </c>
      <c r="C131" s="41" t="s">
        <v>717</v>
      </c>
      <c r="D131" s="209" t="s">
        <v>839</v>
      </c>
      <c r="E131" s="210" t="s">
        <v>551</v>
      </c>
      <c r="F131" s="155">
        <v>2</v>
      </c>
      <c r="G131" s="62" t="s">
        <v>38</v>
      </c>
      <c r="H131" s="25" t="s">
        <v>63</v>
      </c>
      <c r="I131" s="23" t="s">
        <v>56</v>
      </c>
      <c r="J131" s="23" t="s">
        <v>205</v>
      </c>
      <c r="K131" s="23" t="s">
        <v>343</v>
      </c>
      <c r="L131" s="24"/>
      <c r="M131" s="197" t="s">
        <v>74</v>
      </c>
      <c r="N131" s="26" t="s">
        <v>36</v>
      </c>
      <c r="O131" s="27"/>
      <c r="P131" s="145"/>
      <c r="Q131" s="28"/>
      <c r="R131" s="28"/>
      <c r="S131" s="28"/>
      <c r="T131" s="28"/>
      <c r="U131" s="28">
        <f>U130</f>
        <v>46226</v>
      </c>
      <c r="V131" s="28">
        <f>WORKDAY(U131, V6, IF(V12="China",'China Holidays'!$A$2:$A$84,'Thai Holidays'!$A$2:$A$65))</f>
        <v>46244</v>
      </c>
      <c r="W131" s="28">
        <f>V131</f>
        <v>46244</v>
      </c>
      <c r="X131" s="28">
        <f>WORKDAY(W131, X6, IF(X12="China",'China Holidays'!$A$2:$A$84,'Thai Holidays'!$A$2:$A$65))</f>
        <v>46246</v>
      </c>
      <c r="Y131" s="28">
        <f>Y130</f>
        <v>46258</v>
      </c>
      <c r="Z131" s="28">
        <f>WORKDAY(Y131, Z6, IF(Z12="China",'China Holidays'!$A$2:$A$84,'Thai Holidays'!$A$2:$A$65))</f>
        <v>46286</v>
      </c>
      <c r="AA131" s="28">
        <f>WORKDAY(Z131, AA6, IF(AA12="China",'China Holidays'!$A$2:$A$84,'Thai Holidays'!$A$2:$A$65))</f>
        <v>46300</v>
      </c>
      <c r="AB131" s="28">
        <f>AA131+30</f>
        <v>46330</v>
      </c>
      <c r="AC131" s="28">
        <f>AB131+3</f>
        <v>46333</v>
      </c>
      <c r="AD131" s="28">
        <f>AC131+3</f>
        <v>46336</v>
      </c>
      <c r="AE131" s="28">
        <f>AF131-15</f>
        <v>46438</v>
      </c>
      <c r="AF131" s="28">
        <f>AG131-15</f>
        <v>46453</v>
      </c>
      <c r="AG131" s="28">
        <f>AL131</f>
        <v>46468</v>
      </c>
      <c r="AH131" s="28">
        <f>AL130+3</f>
        <v>46474</v>
      </c>
      <c r="AI131" s="28">
        <f>AL130+30</f>
        <v>46501</v>
      </c>
      <c r="AJ131" s="89"/>
      <c r="AK131" s="89"/>
      <c r="AL131" s="83">
        <f>W131+AK130</f>
        <v>46468</v>
      </c>
      <c r="AM131" s="83"/>
      <c r="AN131" s="29"/>
      <c r="AO131" s="141"/>
      <c r="AP131" s="438"/>
      <c r="AQ131" s="21">
        <f>IF(ISERROR(LOOKUP(AQ$10,$O131:$AP131,#REF!)),0,(LOOKUP(AQ$10,$O131:$AP131,#REF!)))</f>
        <v>0</v>
      </c>
      <c r="AR131" s="22">
        <f>IF(ISERROR(LOOKUP(AR$10,$O131:$AP131,#REF!)),0,(LOOKUP(AR$10,$O131:$AP131,#REF!)))</f>
        <v>0</v>
      </c>
      <c r="AS131" s="22">
        <f>IF(ISERROR(LOOKUP(AS$10,$O131:$AP131,#REF!)),0,(LOOKUP(AS$10,$O131:$AP131,#REF!)))</f>
        <v>0</v>
      </c>
      <c r="AT131" s="22">
        <f>IF(ISERROR(LOOKUP(AT$10,$O131:$AP131,#REF!)),0,(LOOKUP(AT$10,$O131:$AP131,#REF!)))</f>
        <v>0</v>
      </c>
      <c r="AU131" s="22">
        <f>IF(ISERROR(LOOKUP(AU$10,$O131:$AP131,#REF!)),0,(LOOKUP(AU$10,$O131:$AP131,#REF!)))</f>
        <v>0</v>
      </c>
      <c r="AV131" s="22">
        <f>IF(ISERROR(LOOKUP(AV$10,$O131:$AP131,#REF!)),0,(LOOKUP(AV$10,$O131:$AP131,#REF!)))</f>
        <v>0</v>
      </c>
      <c r="AW131" s="22">
        <f>IF(ISERROR(LOOKUP(AW$10,$O131:$AP131,#REF!)),0,(LOOKUP(AW$10,$O131:$AP131,#REF!)))</f>
        <v>0</v>
      </c>
      <c r="AX131" s="22">
        <f>IF(ISERROR(LOOKUP(AX$10,$O131:$AP131,#REF!)),0,(LOOKUP(AX$10,$O131:$AP131,#REF!)))</f>
        <v>0</v>
      </c>
      <c r="AY131" s="22">
        <f>IF(ISERROR(LOOKUP(AY$10,$O131:$AP131,#REF!)),0,(LOOKUP(AY$10,$O131:$AP131,#REF!)))</f>
        <v>0</v>
      </c>
      <c r="AZ131" s="22">
        <f>IF(ISERROR(LOOKUP(AZ$10,$O131:$AP131,#REF!)),0,(LOOKUP(AZ$10,$O131:$AP131,#REF!)))</f>
        <v>0</v>
      </c>
      <c r="BA131" s="22">
        <f ca="1">IF(ISERROR(LOOKUP(BA$10,$O131:$AP131,#REF!)),0,(LOOKUP(BA$10,$O131:$AP131,#REF!)))</f>
        <v>0</v>
      </c>
      <c r="BB131" s="425"/>
      <c r="BC131" s="411"/>
      <c r="BD131" s="411"/>
    </row>
    <row r="132" spans="1:56" s="3" customFormat="1" ht="24" thickTop="1" thickBot="1" x14ac:dyDescent="0.45">
      <c r="A132" s="442"/>
      <c r="B132" s="94" t="s">
        <v>293</v>
      </c>
      <c r="C132" s="32" t="s">
        <v>717</v>
      </c>
      <c r="D132" s="248" t="s">
        <v>839</v>
      </c>
      <c r="E132" s="156" t="s">
        <v>552</v>
      </c>
      <c r="F132" s="156">
        <v>2</v>
      </c>
      <c r="G132" s="63" t="s">
        <v>38</v>
      </c>
      <c r="H132" s="34" t="s">
        <v>63</v>
      </c>
      <c r="I132" s="32" t="s">
        <v>56</v>
      </c>
      <c r="J132" s="32" t="s">
        <v>205</v>
      </c>
      <c r="K132" s="32" t="s">
        <v>343</v>
      </c>
      <c r="L132" s="33"/>
      <c r="M132" s="198" t="s">
        <v>74</v>
      </c>
      <c r="N132" s="35" t="s">
        <v>37</v>
      </c>
      <c r="O132" s="36">
        <v>46174</v>
      </c>
      <c r="P132" s="36">
        <v>46148</v>
      </c>
      <c r="Q132" s="36">
        <v>46165</v>
      </c>
      <c r="R132" s="36">
        <v>46183</v>
      </c>
      <c r="S132" s="36">
        <v>46183</v>
      </c>
      <c r="T132" s="36">
        <v>46198</v>
      </c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82"/>
      <c r="AK132" s="82"/>
      <c r="AL132" s="37"/>
      <c r="AM132" s="37"/>
      <c r="AN132" s="38"/>
      <c r="AO132" s="142"/>
      <c r="AP132" s="439"/>
      <c r="AQ132" s="39">
        <f>IF(ISERROR(LOOKUP(AQ$10,$O132:$AP132,#REF!)),0,(LOOKUP(AQ$10,$O132:$AP132,#REF!)))</f>
        <v>0</v>
      </c>
      <c r="AR132" s="40">
        <f>IF(ISERROR(LOOKUP(AR$10,$O132:$AP132,#REF!)),0,(LOOKUP(AR$10,$O132:$AP132,#REF!)))</f>
        <v>0</v>
      </c>
      <c r="AS132" s="40">
        <f>IF(ISERROR(LOOKUP(AS$10,$O132:$AP132,#REF!)),0,(LOOKUP(AS$10,$O132:$AP132,#REF!)))</f>
        <v>0</v>
      </c>
      <c r="AT132" s="40">
        <f>IF(ISERROR(LOOKUP(AT$10,$O132:$AP132,#REF!)),0,(LOOKUP(AT$10,$O132:$AP132,#REF!)))</f>
        <v>0</v>
      </c>
      <c r="AU132" s="40">
        <f>IF(ISERROR(LOOKUP(AU$10,$O132:$AP132,#REF!)),0,(LOOKUP(AU$10,$O132:$AP132,#REF!)))</f>
        <v>0</v>
      </c>
      <c r="AV132" s="40">
        <f>IF(ISERROR(LOOKUP(AV$10,$O132:$AP132,#REF!)),0,(LOOKUP(AV$10,$O132:$AP132,#REF!)))</f>
        <v>0</v>
      </c>
      <c r="AW132" s="40">
        <f>IF(ISERROR(LOOKUP(AW$10,$O132:$AP132,#REF!)),0,(LOOKUP(AW$10,$O132:$AP132,#REF!)))</f>
        <v>0</v>
      </c>
      <c r="AX132" s="40">
        <f>IF(ISERROR(LOOKUP(AX$10,$O132:$AP132,#REF!)),0,(LOOKUP(AX$10,$O132:$AP132,#REF!)))</f>
        <v>0</v>
      </c>
      <c r="AY132" s="40">
        <f>IF(ISERROR(LOOKUP(AY$10,$O132:$AP132,#REF!)),0,(LOOKUP(AY$10,$O132:$AP132,#REF!)))</f>
        <v>0</v>
      </c>
      <c r="AZ132" s="40">
        <f>IF(ISERROR(LOOKUP(AZ$10,$O132:$AP132,#REF!)),0,(LOOKUP(AZ$10,$O132:$AP132,#REF!)))</f>
        <v>0</v>
      </c>
      <c r="BA132" s="40">
        <f ca="1">IF(ISERROR(LOOKUP(BA$10,$O132:$AP132,#REF!)),0,(LOOKUP(BA$10,$O132:$AP132,#REF!)))</f>
        <v>0</v>
      </c>
      <c r="BB132" s="425"/>
      <c r="BC132" s="411"/>
      <c r="BD132" s="411"/>
    </row>
    <row r="133" spans="1:56" s="3" customFormat="1" ht="15.4" thickTop="1" thickBot="1" x14ac:dyDescent="0.45">
      <c r="A133" s="440">
        <f>A130+1</f>
        <v>36</v>
      </c>
      <c r="B133" s="92"/>
      <c r="C133" s="14" t="s">
        <v>418</v>
      </c>
      <c r="D133" s="42" t="s">
        <v>176</v>
      </c>
      <c r="E133" s="150"/>
      <c r="F133" s="150"/>
      <c r="G133" s="64" t="s">
        <v>170</v>
      </c>
      <c r="H133" s="16" t="s">
        <v>63</v>
      </c>
      <c r="I133" s="14" t="s">
        <v>56</v>
      </c>
      <c r="J133" s="14" t="s">
        <v>3</v>
      </c>
      <c r="K133" s="14" t="s">
        <v>345</v>
      </c>
      <c r="L133" s="42"/>
      <c r="M133" s="196" t="s">
        <v>74</v>
      </c>
      <c r="N133" s="18" t="s">
        <v>35</v>
      </c>
      <c r="O133" s="230">
        <v>46224</v>
      </c>
      <c r="P133" s="19">
        <v>46216</v>
      </c>
      <c r="Q133" s="19">
        <v>46230</v>
      </c>
      <c r="R133" s="19">
        <v>46230</v>
      </c>
      <c r="S133" s="19">
        <v>46230</v>
      </c>
      <c r="T133" s="19">
        <v>46237</v>
      </c>
      <c r="U133" s="19">
        <v>46247</v>
      </c>
      <c r="V133" s="19">
        <v>46261</v>
      </c>
      <c r="W133" s="57">
        <v>46269</v>
      </c>
      <c r="X133" s="19">
        <v>46273</v>
      </c>
      <c r="Y133" s="19">
        <v>46280</v>
      </c>
      <c r="Z133" s="19">
        <v>46295</v>
      </c>
      <c r="AA133" s="19">
        <v>46310</v>
      </c>
      <c r="AB133" s="19"/>
      <c r="AC133" s="19"/>
      <c r="AD133" s="19"/>
      <c r="AE133" s="19"/>
      <c r="AF133" s="19">
        <v>46320</v>
      </c>
      <c r="AG133" s="19">
        <v>46325</v>
      </c>
      <c r="AH133" s="19">
        <v>46328</v>
      </c>
      <c r="AI133" s="19">
        <v>46355</v>
      </c>
      <c r="AJ133" s="58">
        <v>8</v>
      </c>
      <c r="AK133" s="59">
        <v>56</v>
      </c>
      <c r="AL133" s="78">
        <v>46325</v>
      </c>
      <c r="AM133" s="78">
        <v>46342</v>
      </c>
      <c r="AN133" s="20">
        <f>AM133-AL134</f>
        <v>17</v>
      </c>
      <c r="AO133" s="143"/>
      <c r="AP133" s="437"/>
      <c r="AQ133" s="21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425"/>
      <c r="BC133" s="411"/>
      <c r="BD133" s="411"/>
    </row>
    <row r="134" spans="1:56" s="3" customFormat="1" ht="15.4" thickTop="1" thickBot="1" x14ac:dyDescent="0.45">
      <c r="A134" s="441"/>
      <c r="B134" s="93"/>
      <c r="C134" s="41" t="s">
        <v>418</v>
      </c>
      <c r="D134" s="43" t="s">
        <v>176</v>
      </c>
      <c r="E134" s="157"/>
      <c r="F134" s="157"/>
      <c r="G134" s="43" t="s">
        <v>170</v>
      </c>
      <c r="H134" s="46" t="s">
        <v>63</v>
      </c>
      <c r="I134" s="23" t="s">
        <v>56</v>
      </c>
      <c r="J134" s="41" t="s">
        <v>3</v>
      </c>
      <c r="K134" s="41" t="s">
        <v>345</v>
      </c>
      <c r="L134" s="43"/>
      <c r="M134" s="197" t="s">
        <v>74</v>
      </c>
      <c r="N134" s="26" t="s">
        <v>36</v>
      </c>
      <c r="O134" s="27">
        <f>O133</f>
        <v>46224</v>
      </c>
      <c r="P134" s="28">
        <f>P133</f>
        <v>46216</v>
      </c>
      <c r="Q134" s="28">
        <f>WORKDAY(P134, Q9, IF(Q12="China",'China Holidays'!$A$2:$A$84,'Thai Holidays'!$A$2:$A$65))</f>
        <v>46230</v>
      </c>
      <c r="R134" s="28">
        <f>WORKDAY(Q134, R9, IF(R12="China",'China Holidays'!$A$2:$A$84,'Thai Holidays'!$A$2:$A$65))</f>
        <v>46230</v>
      </c>
      <c r="S134" s="28">
        <f>WORKDAY(R134, S9, IF(S12="China",'China Holidays'!$A$2:$A$84,'Thai Holidays'!$A$2:$A$65))</f>
        <v>46230</v>
      </c>
      <c r="T134" s="28">
        <f>WORKDAY(S134, T9, IF(T12="China",'China Holidays'!$A$2:$A$84,'Thai Holidays'!$A$2:$A$65))</f>
        <v>46237</v>
      </c>
      <c r="U134" s="28">
        <f>WORKDAY(T134, U9, IF(U12="China",'China Holidays'!$A$2:$A$84,'Thai Holidays'!$A$2:$A$65))</f>
        <v>46247</v>
      </c>
      <c r="V134" s="28">
        <f>WORKDAY(U134, V9, IF(V12="China",'China Holidays'!$A$2:$A$84,'Thai Holidays'!$A$2:$A$65))</f>
        <v>46261</v>
      </c>
      <c r="W134" s="28">
        <f>WORKDAY(V134, W9, IF(W12="China",'China Holidays'!$A$2:$A$84,'Thai Holidays'!$A$2:$A$65))</f>
        <v>46268</v>
      </c>
      <c r="X134" s="28">
        <f>WORKDAY(W134, X9, IF(X12="China",'China Holidays'!$A$2:$A$84,'Thai Holidays'!$A$2:$A$65))</f>
        <v>46272</v>
      </c>
      <c r="Y134" s="28">
        <f>WORKDAY(X134, Y9, IF(Y12="China",'China Holidays'!$A$2:$A$84,'Thai Holidays'!$A$2:$A$65))</f>
        <v>46279</v>
      </c>
      <c r="Z134" s="28">
        <f>WORKDAY(Y134, Z9, IF(Z12="China",'China Holidays'!$A$2:$A$84,'Thai Holidays'!$A$2:$A$65))</f>
        <v>46294</v>
      </c>
      <c r="AA134" s="28">
        <f>WORKDAY(Z134, AA9, IF(AA12="China",'China Holidays'!$A$2:$A$84,'Thai Holidays'!$A$2:$A$65))</f>
        <v>46309</v>
      </c>
      <c r="AB134" s="28"/>
      <c r="AC134" s="28"/>
      <c r="AD134" s="28"/>
      <c r="AE134" s="28"/>
      <c r="AF134" s="28">
        <f>AG134-5</f>
        <v>46320</v>
      </c>
      <c r="AG134" s="28">
        <f>AL133</f>
        <v>46325</v>
      </c>
      <c r="AH134" s="28">
        <f>AL133+3</f>
        <v>46328</v>
      </c>
      <c r="AI134" s="28">
        <f>AL133+30</f>
        <v>46355</v>
      </c>
      <c r="AJ134" s="81"/>
      <c r="AK134" s="79"/>
      <c r="AL134" s="83">
        <f>AG134</f>
        <v>46325</v>
      </c>
      <c r="AM134" s="83"/>
      <c r="AN134" s="79"/>
      <c r="AO134" s="125"/>
      <c r="AP134" s="438"/>
      <c r="AQ134" s="21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425"/>
      <c r="BC134" s="411"/>
      <c r="BD134" s="411"/>
    </row>
    <row r="135" spans="1:56" s="3" customFormat="1" ht="15.4" thickTop="1" thickBot="1" x14ac:dyDescent="0.45">
      <c r="A135" s="442"/>
      <c r="B135" s="94"/>
      <c r="C135" s="32" t="s">
        <v>418</v>
      </c>
      <c r="D135" s="44" t="s">
        <v>176</v>
      </c>
      <c r="E135" s="158"/>
      <c r="F135" s="158"/>
      <c r="G135" s="45" t="s">
        <v>170</v>
      </c>
      <c r="H135" s="34" t="s">
        <v>63</v>
      </c>
      <c r="I135" s="32" t="s">
        <v>56</v>
      </c>
      <c r="J135" s="32" t="s">
        <v>3</v>
      </c>
      <c r="K135" s="32" t="s">
        <v>345</v>
      </c>
      <c r="L135" s="45"/>
      <c r="M135" s="198" t="s">
        <v>74</v>
      </c>
      <c r="N135" s="35" t="s">
        <v>37</v>
      </c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82"/>
      <c r="AK135" s="80"/>
      <c r="AL135" s="37"/>
      <c r="AM135" s="37"/>
      <c r="AN135" s="80"/>
      <c r="AO135" s="144"/>
      <c r="AP135" s="439"/>
      <c r="AQ135" s="39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25"/>
      <c r="BC135" s="411"/>
      <c r="BD135" s="411"/>
    </row>
    <row r="136" spans="1:56" s="3" customFormat="1" ht="15.4" thickTop="1" thickBot="1" x14ac:dyDescent="0.45">
      <c r="A136" s="440">
        <f>A133+1</f>
        <v>37</v>
      </c>
      <c r="B136" s="92" t="s">
        <v>236</v>
      </c>
      <c r="C136" s="14" t="s">
        <v>390</v>
      </c>
      <c r="D136" s="264" t="s">
        <v>235</v>
      </c>
      <c r="E136" s="183" t="s">
        <v>400</v>
      </c>
      <c r="F136" s="183">
        <v>4</v>
      </c>
      <c r="G136" s="69" t="s">
        <v>99</v>
      </c>
      <c r="H136" s="16" t="s">
        <v>94</v>
      </c>
      <c r="I136" s="14" t="s">
        <v>56</v>
      </c>
      <c r="J136" s="14" t="s">
        <v>1</v>
      </c>
      <c r="K136" s="14" t="s">
        <v>308</v>
      </c>
      <c r="L136" s="252"/>
      <c r="M136" s="196" t="s">
        <v>34</v>
      </c>
      <c r="N136" s="18" t="s">
        <v>35</v>
      </c>
      <c r="O136" s="19">
        <v>46136</v>
      </c>
      <c r="P136" s="19">
        <v>46139</v>
      </c>
      <c r="Q136" s="19">
        <v>46148</v>
      </c>
      <c r="R136" s="19">
        <v>46149</v>
      </c>
      <c r="S136" s="19">
        <v>46156</v>
      </c>
      <c r="T136" s="19">
        <v>46170</v>
      </c>
      <c r="U136" s="19">
        <v>46202</v>
      </c>
      <c r="V136" s="230">
        <v>46205</v>
      </c>
      <c r="W136" s="19">
        <v>46219</v>
      </c>
      <c r="X136" s="19">
        <v>46223</v>
      </c>
      <c r="Y136" s="19">
        <v>46230</v>
      </c>
      <c r="Z136" s="19">
        <v>46258</v>
      </c>
      <c r="AA136" s="19">
        <v>46272</v>
      </c>
      <c r="AB136" s="19">
        <v>46292</v>
      </c>
      <c r="AC136" s="19">
        <v>46292</v>
      </c>
      <c r="AD136" s="19">
        <v>46295</v>
      </c>
      <c r="AE136" s="19">
        <v>46446</v>
      </c>
      <c r="AF136" s="19">
        <v>46461</v>
      </c>
      <c r="AG136" s="19">
        <v>46471</v>
      </c>
      <c r="AH136" s="19">
        <v>46474</v>
      </c>
      <c r="AI136" s="19">
        <v>46501</v>
      </c>
      <c r="AJ136" s="58">
        <v>36</v>
      </c>
      <c r="AK136" s="59">
        <v>252</v>
      </c>
      <c r="AL136" s="78">
        <v>46471</v>
      </c>
      <c r="AM136" s="78">
        <v>46492</v>
      </c>
      <c r="AN136" s="20">
        <f>AM136-AL137</f>
        <v>21</v>
      </c>
      <c r="AO136" s="143" t="s">
        <v>392</v>
      </c>
      <c r="AP136" s="431" t="s">
        <v>544</v>
      </c>
      <c r="AQ136" s="21">
        <f>IF(ISERROR(LOOKUP(AQ$10,$O136:$AP136,#REF!)),0,(LOOKUP(AQ$10,$O136:$AP136,#REF!)))</f>
        <v>0</v>
      </c>
      <c r="AR136" s="22">
        <f>IF(ISERROR(LOOKUP(AR$10,$O136:$AP136,#REF!)),0,(LOOKUP(AR$10,$O136:$AP136,#REF!)))</f>
        <v>0</v>
      </c>
      <c r="AS136" s="22">
        <f>IF(ISERROR(LOOKUP(AS$10,$O136:$AP136,#REF!)),0,(LOOKUP(AS$10,$O136:$AP136,#REF!)))</f>
        <v>0</v>
      </c>
      <c r="AT136" s="22">
        <f>IF(ISERROR(LOOKUP(AT$10,$O136:$AP136,#REF!)),0,(LOOKUP(AT$10,$O136:$AP136,#REF!)))</f>
        <v>0</v>
      </c>
      <c r="AU136" s="22">
        <f>IF(ISERROR(LOOKUP(AU$10,$O136:$AP136,#REF!)),0,(LOOKUP(AU$10,$O136:$AP136,#REF!)))</f>
        <v>0</v>
      </c>
      <c r="AV136" s="22">
        <f>IF(ISERROR(LOOKUP(AV$10,$O136:$AP136,#REF!)),0,(LOOKUP(AV$10,$O136:$AP136,#REF!)))</f>
        <v>0</v>
      </c>
      <c r="AW136" s="22">
        <f>IF(ISERROR(LOOKUP(AW$10,$O136:$AP136,#REF!)),0,(LOOKUP(AW$10,$O136:$AP136,#REF!)))</f>
        <v>0</v>
      </c>
      <c r="AX136" s="22">
        <f>IF(ISERROR(LOOKUP(AX$10,$O136:$AP136,#REF!)),0,(LOOKUP(AX$10,$O136:$AP136,#REF!)))</f>
        <v>0</v>
      </c>
      <c r="AY136" s="22">
        <f>IF(ISERROR(LOOKUP(AY$10,$O136:$AP136,#REF!)),0,(LOOKUP(AY$10,$O136:$AP136,#REF!)))</f>
        <v>0</v>
      </c>
      <c r="AZ136" s="22">
        <f>IF(ISERROR(LOOKUP(AZ$10,$O136:$AP136,#REF!)),0,(LOOKUP(AZ$10,$O136:$AP136,#REF!)))</f>
        <v>0</v>
      </c>
      <c r="BA136" s="22">
        <f ca="1">IF(ISERROR(LOOKUP(BA$10,$O136:$AP136,#REF!)),0,(LOOKUP(BA$10,$O136:$AP136,#REF!)))</f>
        <v>0</v>
      </c>
      <c r="BB136" s="425" t="s">
        <v>992</v>
      </c>
      <c r="BC136" s="412" t="s">
        <v>931</v>
      </c>
      <c r="BD136" s="411"/>
    </row>
    <row r="137" spans="1:56" s="3" customFormat="1" ht="15.4" thickTop="1" thickBot="1" x14ac:dyDescent="0.45">
      <c r="A137" s="441"/>
      <c r="B137" s="93" t="s">
        <v>236</v>
      </c>
      <c r="C137" s="41" t="s">
        <v>92</v>
      </c>
      <c r="D137" s="24" t="s">
        <v>235</v>
      </c>
      <c r="E137" s="157" t="s">
        <v>401</v>
      </c>
      <c r="F137" s="157">
        <v>4</v>
      </c>
      <c r="G137" s="43" t="s">
        <v>99</v>
      </c>
      <c r="H137" s="46" t="s">
        <v>94</v>
      </c>
      <c r="I137" s="23" t="s">
        <v>56</v>
      </c>
      <c r="J137" s="41" t="s">
        <v>1</v>
      </c>
      <c r="K137" s="41" t="s">
        <v>308</v>
      </c>
      <c r="L137" s="240"/>
      <c r="M137" s="197" t="s">
        <v>34</v>
      </c>
      <c r="N137" s="26" t="s">
        <v>36</v>
      </c>
      <c r="O137" s="27"/>
      <c r="P137" s="28"/>
      <c r="Q137" s="28"/>
      <c r="R137" s="28"/>
      <c r="S137" s="28"/>
      <c r="T137" s="28"/>
      <c r="U137" s="28"/>
      <c r="V137" s="28">
        <f>WORKDAY(U138, V6, IF(V12="China",'China Holidays'!$A$2:$A$84,'Thai Holidays'!$A$2:$A$65))</f>
        <v>46219</v>
      </c>
      <c r="W137" s="28">
        <f>W136</f>
        <v>46219</v>
      </c>
      <c r="X137" s="28">
        <f>WORKDAY(W137, X6, IF(X12="China",'China Holidays'!$A$2:$A$84,'Thai Holidays'!$A$2:$A$65))</f>
        <v>46223</v>
      </c>
      <c r="Y137" s="28">
        <f>WORKDAY(X137, Y6, IF(Y12="China",'China Holidays'!$A$2:$A$84,'Thai Holidays'!$A$2:$A$65))</f>
        <v>46230</v>
      </c>
      <c r="Z137" s="28">
        <f>WORKDAY(Y137, Z6, IF(Z12="China",'China Holidays'!$A$2:$A$84,'Thai Holidays'!$A$2:$A$65))</f>
        <v>46258</v>
      </c>
      <c r="AA137" s="28">
        <f>WORKDAY(Z137, AA6, IF(AA12="China",'China Holidays'!$A$2:$A$84,'Thai Holidays'!$A$2:$A$65))</f>
        <v>46272</v>
      </c>
      <c r="AB137" s="28">
        <f>AA137+20</f>
        <v>46292</v>
      </c>
      <c r="AC137" s="28">
        <f>AB137</f>
        <v>46292</v>
      </c>
      <c r="AD137" s="28">
        <f>AC137+3</f>
        <v>46295</v>
      </c>
      <c r="AE137" s="28">
        <f>AF137-20</f>
        <v>46441</v>
      </c>
      <c r="AF137" s="28">
        <f>AG137-10</f>
        <v>46461</v>
      </c>
      <c r="AG137" s="28">
        <f>AL137</f>
        <v>46471</v>
      </c>
      <c r="AH137" s="28">
        <f>AL136+3</f>
        <v>46474</v>
      </c>
      <c r="AI137" s="28">
        <f>AL136+30</f>
        <v>46501</v>
      </c>
      <c r="AJ137" s="89"/>
      <c r="AK137" s="90"/>
      <c r="AL137" s="83">
        <f>W137+AK136</f>
        <v>46471</v>
      </c>
      <c r="AM137" s="83"/>
      <c r="AN137" s="29"/>
      <c r="AO137" s="141"/>
      <c r="AP137" s="438"/>
      <c r="AQ137" s="21">
        <f>IF(ISERROR(LOOKUP(AQ$10,$O137:$AP137,#REF!)),0,(LOOKUP(AQ$10,$O137:$AP137,#REF!)))</f>
        <v>0</v>
      </c>
      <c r="AR137" s="22">
        <f>IF(ISERROR(LOOKUP(AR$10,$O137:$AP137,#REF!)),0,(LOOKUP(AR$10,$O137:$AP137,#REF!)))</f>
        <v>0</v>
      </c>
      <c r="AS137" s="22">
        <f>IF(ISERROR(LOOKUP(AS$10,$O137:$AP137,#REF!)),0,(LOOKUP(AS$10,$O137:$AP137,#REF!)))</f>
        <v>0</v>
      </c>
      <c r="AT137" s="22">
        <f>IF(ISERROR(LOOKUP(AT$10,$O137:$AP137,#REF!)),0,(LOOKUP(AT$10,$O137:$AP137,#REF!)))</f>
        <v>0</v>
      </c>
      <c r="AU137" s="22">
        <f>IF(ISERROR(LOOKUP(AU$10,$O137:$AP137,#REF!)),0,(LOOKUP(AU$10,$O137:$AP137,#REF!)))</f>
        <v>0</v>
      </c>
      <c r="AV137" s="22">
        <f>IF(ISERROR(LOOKUP(AV$10,$O137:$AP137,#REF!)),0,(LOOKUP(AV$10,$O137:$AP137,#REF!)))</f>
        <v>0</v>
      </c>
      <c r="AW137" s="22">
        <f>IF(ISERROR(LOOKUP(AW$10,$O137:$AP137,#REF!)),0,(LOOKUP(AW$10,$O137:$AP137,#REF!)))</f>
        <v>0</v>
      </c>
      <c r="AX137" s="22">
        <f>IF(ISERROR(LOOKUP(AX$10,$O137:$AP137,#REF!)),0,(LOOKUP(AX$10,$O137:$AP137,#REF!)))</f>
        <v>0</v>
      </c>
      <c r="AY137" s="22">
        <f>IF(ISERROR(LOOKUP(AY$10,$O137:$AP137,#REF!)),0,(LOOKUP(AY$10,$O137:$AP137,#REF!)))</f>
        <v>0</v>
      </c>
      <c r="AZ137" s="22">
        <f>IF(ISERROR(LOOKUP(AZ$10,$O137:$AP137,#REF!)),0,(LOOKUP(AZ$10,$O137:$AP137,#REF!)))</f>
        <v>0</v>
      </c>
      <c r="BA137" s="22">
        <f ca="1">IF(ISERROR(LOOKUP(BA$10,$O137:$AP137,#REF!)),0,(LOOKUP(BA$10,$O137:$AP137,#REF!)))</f>
        <v>0</v>
      </c>
      <c r="BB137" s="425" t="s">
        <v>993</v>
      </c>
      <c r="BC137" s="412" t="s">
        <v>932</v>
      </c>
      <c r="BD137" s="411"/>
    </row>
    <row r="138" spans="1:56" s="3" customFormat="1" ht="15.4" thickTop="1" thickBot="1" x14ac:dyDescent="0.45">
      <c r="A138" s="442"/>
      <c r="B138" s="94" t="s">
        <v>236</v>
      </c>
      <c r="C138" s="32" t="s">
        <v>92</v>
      </c>
      <c r="D138" s="33" t="s">
        <v>235</v>
      </c>
      <c r="E138" s="151" t="s">
        <v>402</v>
      </c>
      <c r="F138" s="151">
        <v>12</v>
      </c>
      <c r="G138" s="45" t="s">
        <v>99</v>
      </c>
      <c r="H138" s="34" t="s">
        <v>94</v>
      </c>
      <c r="I138" s="32" t="s">
        <v>56</v>
      </c>
      <c r="J138" s="32" t="s">
        <v>1</v>
      </c>
      <c r="K138" s="32" t="s">
        <v>308</v>
      </c>
      <c r="L138" s="241"/>
      <c r="M138" s="198" t="s">
        <v>34</v>
      </c>
      <c r="N138" s="35" t="s">
        <v>37</v>
      </c>
      <c r="O138" s="36">
        <v>46133</v>
      </c>
      <c r="P138" s="36">
        <v>46136</v>
      </c>
      <c r="Q138" s="36">
        <v>46153</v>
      </c>
      <c r="R138" s="36">
        <v>46153</v>
      </c>
      <c r="S138" s="36">
        <v>46153</v>
      </c>
      <c r="T138" s="36">
        <v>46164</v>
      </c>
      <c r="U138" s="36">
        <v>46205</v>
      </c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82"/>
      <c r="AK138" s="80"/>
      <c r="AL138" s="37"/>
      <c r="AM138" s="37"/>
      <c r="AN138" s="38"/>
      <c r="AO138" s="142"/>
      <c r="AP138" s="439"/>
      <c r="AQ138" s="39">
        <f>IF(ISERROR(LOOKUP(AQ$10,$O138:$AP138,#REF!)),0,(LOOKUP(AQ$10,$O138:$AP138,#REF!)))</f>
        <v>0</v>
      </c>
      <c r="AR138" s="40">
        <f>IF(ISERROR(LOOKUP(AR$10,$O138:$AP138,#REF!)),0,(LOOKUP(AR$10,$O138:$AP138,#REF!)))</f>
        <v>0</v>
      </c>
      <c r="AS138" s="40">
        <f>IF(ISERROR(LOOKUP(AS$10,$O138:$AP138,#REF!)),0,(LOOKUP(AS$10,$O138:$AP138,#REF!)))</f>
        <v>0</v>
      </c>
      <c r="AT138" s="40">
        <f>IF(ISERROR(LOOKUP(AT$10,$O138:$AP138,#REF!)),0,(LOOKUP(AT$10,$O138:$AP138,#REF!)))</f>
        <v>0</v>
      </c>
      <c r="AU138" s="40">
        <f>IF(ISERROR(LOOKUP(AU$10,$O138:$AP138,#REF!)),0,(LOOKUP(AU$10,$O138:$AP138,#REF!)))</f>
        <v>0</v>
      </c>
      <c r="AV138" s="40">
        <f>IF(ISERROR(LOOKUP(AV$10,$O138:$AP138,#REF!)),0,(LOOKUP(AV$10,$O138:$AP138,#REF!)))</f>
        <v>0</v>
      </c>
      <c r="AW138" s="40">
        <f>IF(ISERROR(LOOKUP(AW$10,$O138:$AP138,#REF!)),0,(LOOKUP(AW$10,$O138:$AP138,#REF!)))</f>
        <v>0</v>
      </c>
      <c r="AX138" s="40">
        <f>IF(ISERROR(LOOKUP(AX$10,$O138:$AP138,#REF!)),0,(LOOKUP(AX$10,$O138:$AP138,#REF!)))</f>
        <v>0</v>
      </c>
      <c r="AY138" s="40">
        <f>IF(ISERROR(LOOKUP(AY$10,$O138:$AP138,#REF!)),0,(LOOKUP(AY$10,$O138:$AP138,#REF!)))</f>
        <v>0</v>
      </c>
      <c r="AZ138" s="40">
        <f>IF(ISERROR(LOOKUP(AZ$10,$O138:$AP138,#REF!)),0,(LOOKUP(AZ$10,$O138:$AP138,#REF!)))</f>
        <v>0</v>
      </c>
      <c r="BA138" s="40">
        <f ca="1">IF(ISERROR(LOOKUP(BA$10,$O138:$AP138,#REF!)),0,(LOOKUP(BA$10,$O138:$AP138,#REF!)))</f>
        <v>0</v>
      </c>
      <c r="BB138" s="425" t="s">
        <v>994</v>
      </c>
      <c r="BC138" s="412" t="s">
        <v>933</v>
      </c>
      <c r="BD138" s="411"/>
    </row>
    <row r="139" spans="1:56" s="3" customFormat="1" ht="15.4" thickTop="1" thickBot="1" x14ac:dyDescent="0.45">
      <c r="A139" s="440">
        <f t="shared" ref="A139" si="29">A136+1</f>
        <v>38</v>
      </c>
      <c r="B139" s="92" t="s">
        <v>238</v>
      </c>
      <c r="C139" s="14" t="s">
        <v>396</v>
      </c>
      <c r="D139" s="227" t="s">
        <v>237</v>
      </c>
      <c r="E139" s="154" t="s">
        <v>398</v>
      </c>
      <c r="F139" s="154">
        <v>4</v>
      </c>
      <c r="G139" s="64"/>
      <c r="H139" s="16" t="s">
        <v>94</v>
      </c>
      <c r="I139" s="14" t="s">
        <v>193</v>
      </c>
      <c r="J139" s="14" t="s">
        <v>1</v>
      </c>
      <c r="K139" s="14" t="s">
        <v>346</v>
      </c>
      <c r="L139" s="252"/>
      <c r="M139" s="196" t="s">
        <v>34</v>
      </c>
      <c r="N139" s="18" t="s">
        <v>35</v>
      </c>
      <c r="O139" s="19">
        <v>46136</v>
      </c>
      <c r="P139" s="19">
        <v>46139</v>
      </c>
      <c r="Q139" s="19">
        <v>46148</v>
      </c>
      <c r="R139" s="19">
        <v>46149</v>
      </c>
      <c r="S139" s="19">
        <v>46156</v>
      </c>
      <c r="T139" s="19">
        <v>46170</v>
      </c>
      <c r="U139" s="230">
        <v>46202</v>
      </c>
      <c r="V139" s="19">
        <v>46205</v>
      </c>
      <c r="W139" s="19">
        <v>46219</v>
      </c>
      <c r="X139" s="19">
        <v>46223</v>
      </c>
      <c r="Y139" s="19">
        <v>46230</v>
      </c>
      <c r="Z139" s="19">
        <v>46258</v>
      </c>
      <c r="AA139" s="19">
        <v>46272</v>
      </c>
      <c r="AB139" s="19">
        <v>46292</v>
      </c>
      <c r="AC139" s="19">
        <v>46292</v>
      </c>
      <c r="AD139" s="19">
        <v>46295</v>
      </c>
      <c r="AE139" s="19">
        <v>46469</v>
      </c>
      <c r="AF139" s="19">
        <v>46489</v>
      </c>
      <c r="AG139" s="19">
        <v>46499</v>
      </c>
      <c r="AH139" s="19">
        <v>46502</v>
      </c>
      <c r="AI139" s="19">
        <v>46529</v>
      </c>
      <c r="AJ139" s="58">
        <v>40</v>
      </c>
      <c r="AK139" s="59">
        <v>280</v>
      </c>
      <c r="AL139" s="78">
        <v>46493</v>
      </c>
      <c r="AM139" s="78">
        <v>46498</v>
      </c>
      <c r="AN139" s="20">
        <f>AM139-AL140</f>
        <v>-7</v>
      </c>
      <c r="AO139" s="143" t="s">
        <v>392</v>
      </c>
      <c r="AP139" s="431" t="s">
        <v>545</v>
      </c>
      <c r="AQ139" s="21">
        <f>IF(ISERROR(LOOKUP(AQ$10,$O139:$AP139,#REF!)),0,(LOOKUP(AQ$10,$O139:$AP139,#REF!)))</f>
        <v>0</v>
      </c>
      <c r="AR139" s="22">
        <f>IF(ISERROR(LOOKUP(AR$10,$O139:$AP139,#REF!)),0,(LOOKUP(AR$10,$O139:$AP139,#REF!)))</f>
        <v>0</v>
      </c>
      <c r="AS139" s="22">
        <f>IF(ISERROR(LOOKUP(AS$10,$O139:$AP139,#REF!)),0,(LOOKUP(AS$10,$O139:$AP139,#REF!)))</f>
        <v>0</v>
      </c>
      <c r="AT139" s="22">
        <f>IF(ISERROR(LOOKUP(AT$10,$O139:$AP139,#REF!)),0,(LOOKUP(AT$10,$O139:$AP139,#REF!)))</f>
        <v>0</v>
      </c>
      <c r="AU139" s="22">
        <f>IF(ISERROR(LOOKUP(AU$10,$O139:$AP139,#REF!)),0,(LOOKUP(AU$10,$O139:$AP139,#REF!)))</f>
        <v>0</v>
      </c>
      <c r="AV139" s="22">
        <f>IF(ISERROR(LOOKUP(AV$10,$O139:$AP139,#REF!)),0,(LOOKUP(AV$10,$O139:$AP139,#REF!)))</f>
        <v>0</v>
      </c>
      <c r="AW139" s="22">
        <f>IF(ISERROR(LOOKUP(AW$10,$O139:$AP139,#REF!)),0,(LOOKUP(AW$10,$O139:$AP139,#REF!)))</f>
        <v>0</v>
      </c>
      <c r="AX139" s="22">
        <f>IF(ISERROR(LOOKUP(AX$10,$O139:$AP139,#REF!)),0,(LOOKUP(AX$10,$O139:$AP139,#REF!)))</f>
        <v>0</v>
      </c>
      <c r="AY139" s="22">
        <f>IF(ISERROR(LOOKUP(AY$10,$O139:$AP139,#REF!)),0,(LOOKUP(AY$10,$O139:$AP139,#REF!)))</f>
        <v>0</v>
      </c>
      <c r="AZ139" s="22">
        <f>IF(ISERROR(LOOKUP(AZ$10,$O139:$AP139,#REF!)),0,(LOOKUP(AZ$10,$O139:$AP139,#REF!)))</f>
        <v>0</v>
      </c>
      <c r="BA139" s="22">
        <f ca="1">IF(ISERROR(LOOKUP(BA$10,$O139:$AP139,#REF!)),0,(LOOKUP(BA$10,$O139:$AP139,#REF!)))</f>
        <v>0</v>
      </c>
      <c r="BB139" s="425" t="s">
        <v>992</v>
      </c>
      <c r="BC139" s="412" t="s">
        <v>934</v>
      </c>
      <c r="BD139" s="411"/>
    </row>
    <row r="140" spans="1:56" s="3" customFormat="1" ht="15.4" thickTop="1" thickBot="1" x14ac:dyDescent="0.45">
      <c r="A140" s="441"/>
      <c r="B140" s="93" t="s">
        <v>238</v>
      </c>
      <c r="C140" s="41" t="s">
        <v>95</v>
      </c>
      <c r="D140" s="24" t="s">
        <v>237</v>
      </c>
      <c r="E140" s="155" t="s">
        <v>399</v>
      </c>
      <c r="F140" s="155">
        <v>4</v>
      </c>
      <c r="G140" s="43"/>
      <c r="H140" s="46" t="s">
        <v>94</v>
      </c>
      <c r="I140" s="23" t="s">
        <v>33</v>
      </c>
      <c r="J140" s="41" t="s">
        <v>1</v>
      </c>
      <c r="K140" s="41" t="s">
        <v>346</v>
      </c>
      <c r="L140" s="240"/>
      <c r="M140" s="197" t="s">
        <v>34</v>
      </c>
      <c r="N140" s="26" t="s">
        <v>36</v>
      </c>
      <c r="O140" s="27"/>
      <c r="P140" s="28"/>
      <c r="Q140" s="28"/>
      <c r="R140" s="28"/>
      <c r="S140" s="28"/>
      <c r="T140" s="28"/>
      <c r="U140" s="28">
        <v>46211</v>
      </c>
      <c r="V140" s="28">
        <f>WORKDAY(U140, V7, IF(V12="China",'China Holidays'!$A$2:$A$84,'Thai Holidays'!$A$2:$A$65))</f>
        <v>46225</v>
      </c>
      <c r="W140" s="28">
        <f>V140</f>
        <v>46225</v>
      </c>
      <c r="X140" s="28">
        <f>WORKDAY(W140, X7, IF(X12="China",'China Holidays'!$A$2:$A$84,'Thai Holidays'!$A$2:$A$65))</f>
        <v>46227</v>
      </c>
      <c r="Y140" s="28">
        <f>WORKDAY(X140, Y7, IF(Y12="China",'China Holidays'!$A$2:$A$84,'Thai Holidays'!$A$2:$A$65))</f>
        <v>46234</v>
      </c>
      <c r="Z140" s="28">
        <f>WORKDAY(Y140, Z7, IF(Z12="China",'China Holidays'!$A$2:$A$84,'Thai Holidays'!$A$2:$A$65))</f>
        <v>46262</v>
      </c>
      <c r="AA140" s="28">
        <f>WORKDAY(Z140, AA7, IF(AA12="China",'China Holidays'!$A$2:$A$84,'Thai Holidays'!$A$2:$A$65))</f>
        <v>46276</v>
      </c>
      <c r="AB140" s="28">
        <f>AA140+20</f>
        <v>46296</v>
      </c>
      <c r="AC140" s="28">
        <f>AB140</f>
        <v>46296</v>
      </c>
      <c r="AD140" s="28">
        <f>AC140+3</f>
        <v>46299</v>
      </c>
      <c r="AE140" s="28">
        <f>AF140-20</f>
        <v>46475</v>
      </c>
      <c r="AF140" s="28">
        <f>AG140-10</f>
        <v>46495</v>
      </c>
      <c r="AG140" s="28">
        <f>AL140</f>
        <v>46505</v>
      </c>
      <c r="AH140" s="28">
        <f>AL139+3</f>
        <v>46496</v>
      </c>
      <c r="AI140" s="28">
        <f>AL139+30</f>
        <v>46523</v>
      </c>
      <c r="AJ140" s="89"/>
      <c r="AK140" s="90"/>
      <c r="AL140" s="83">
        <f>W140+AK139</f>
        <v>46505</v>
      </c>
      <c r="AM140" s="83"/>
      <c r="AN140" s="29"/>
      <c r="AO140" s="141"/>
      <c r="AP140" s="438"/>
      <c r="AQ140" s="21">
        <f>IF(ISERROR(LOOKUP(AQ$10,$O140:$AP140,#REF!)),0,(LOOKUP(AQ$10,$O140:$AP140,#REF!)))</f>
        <v>0</v>
      </c>
      <c r="AR140" s="22">
        <f>IF(ISERROR(LOOKUP(AR$10,$O140:$AP140,#REF!)),0,(LOOKUP(AR$10,$O140:$AP140,#REF!)))</f>
        <v>0</v>
      </c>
      <c r="AS140" s="22">
        <f>IF(ISERROR(LOOKUP(AS$10,$O140:$AP140,#REF!)),0,(LOOKUP(AS$10,$O140:$AP140,#REF!)))</f>
        <v>0</v>
      </c>
      <c r="AT140" s="22">
        <f>IF(ISERROR(LOOKUP(AT$10,$O140:$AP140,#REF!)),0,(LOOKUP(AT$10,$O140:$AP140,#REF!)))</f>
        <v>0</v>
      </c>
      <c r="AU140" s="22">
        <f>IF(ISERROR(LOOKUP(AU$10,$O140:$AP140,#REF!)),0,(LOOKUP(AU$10,$O140:$AP140,#REF!)))</f>
        <v>0</v>
      </c>
      <c r="AV140" s="22">
        <f>IF(ISERROR(LOOKUP(AV$10,$O140:$AP140,#REF!)),0,(LOOKUP(AV$10,$O140:$AP140,#REF!)))</f>
        <v>0</v>
      </c>
      <c r="AW140" s="22">
        <f>IF(ISERROR(LOOKUP(AW$10,$O140:$AP140,#REF!)),0,(LOOKUP(AW$10,$O140:$AP140,#REF!)))</f>
        <v>0</v>
      </c>
      <c r="AX140" s="22">
        <f>IF(ISERROR(LOOKUP(AX$10,$O140:$AP140,#REF!)),0,(LOOKUP(AX$10,$O140:$AP140,#REF!)))</f>
        <v>0</v>
      </c>
      <c r="AY140" s="22">
        <f>IF(ISERROR(LOOKUP(AY$10,$O140:$AP140,#REF!)),0,(LOOKUP(AY$10,$O140:$AP140,#REF!)))</f>
        <v>0</v>
      </c>
      <c r="AZ140" s="22">
        <f>IF(ISERROR(LOOKUP(AZ$10,$O140:$AP140,#REF!)),0,(LOOKUP(AZ$10,$O140:$AP140,#REF!)))</f>
        <v>0</v>
      </c>
      <c r="BA140" s="22">
        <f ca="1">IF(ISERROR(LOOKUP(BA$10,$O140:$AP140,#REF!)),0,(LOOKUP(BA$10,$O140:$AP140,#REF!)))</f>
        <v>0</v>
      </c>
      <c r="BB140" s="425" t="s">
        <v>993</v>
      </c>
      <c r="BC140" s="411" t="s">
        <v>935</v>
      </c>
      <c r="BD140" s="411"/>
    </row>
    <row r="141" spans="1:56" s="3" customFormat="1" ht="15.4" thickTop="1" thickBot="1" x14ac:dyDescent="0.45">
      <c r="A141" s="442"/>
      <c r="B141" s="94" t="s">
        <v>238</v>
      </c>
      <c r="C141" s="32" t="s">
        <v>95</v>
      </c>
      <c r="D141" s="33" t="s">
        <v>237</v>
      </c>
      <c r="E141" s="156"/>
      <c r="F141" s="156"/>
      <c r="G141" s="44"/>
      <c r="H141" s="34" t="s">
        <v>94</v>
      </c>
      <c r="I141" s="32" t="s">
        <v>33</v>
      </c>
      <c r="J141" s="32" t="s">
        <v>1</v>
      </c>
      <c r="K141" s="32" t="s">
        <v>346</v>
      </c>
      <c r="L141" s="241"/>
      <c r="M141" s="198" t="s">
        <v>34</v>
      </c>
      <c r="N141" s="35" t="s">
        <v>37</v>
      </c>
      <c r="O141" s="36">
        <v>46133</v>
      </c>
      <c r="P141" s="36">
        <v>46140</v>
      </c>
      <c r="Q141" s="36">
        <v>46153</v>
      </c>
      <c r="R141" s="36">
        <v>46153</v>
      </c>
      <c r="S141" s="36">
        <v>46153</v>
      </c>
      <c r="T141" s="36">
        <v>46164</v>
      </c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82"/>
      <c r="AK141" s="80"/>
      <c r="AL141" s="37"/>
      <c r="AM141" s="37"/>
      <c r="AN141" s="38"/>
      <c r="AO141" s="142"/>
      <c r="AP141" s="439"/>
      <c r="AQ141" s="39">
        <f>IF(ISERROR(LOOKUP(AQ$10,$O141:$AP141,#REF!)),0,(LOOKUP(AQ$10,$O141:$AP141,#REF!)))</f>
        <v>0</v>
      </c>
      <c r="AR141" s="40">
        <f>IF(ISERROR(LOOKUP(AR$10,$O141:$AP141,#REF!)),0,(LOOKUP(AR$10,$O141:$AP141,#REF!)))</f>
        <v>0</v>
      </c>
      <c r="AS141" s="40">
        <f>IF(ISERROR(LOOKUP(AS$10,$O141:$AP141,#REF!)),0,(LOOKUP(AS$10,$O141:$AP141,#REF!)))</f>
        <v>0</v>
      </c>
      <c r="AT141" s="40">
        <f>IF(ISERROR(LOOKUP(AT$10,$O141:$AP141,#REF!)),0,(LOOKUP(AT$10,$O141:$AP141,#REF!)))</f>
        <v>0</v>
      </c>
      <c r="AU141" s="40">
        <f>IF(ISERROR(LOOKUP(AU$10,$O141:$AP141,#REF!)),0,(LOOKUP(AU$10,$O141:$AP141,#REF!)))</f>
        <v>0</v>
      </c>
      <c r="AV141" s="40">
        <f>IF(ISERROR(LOOKUP(AV$10,$O141:$AP141,#REF!)),0,(LOOKUP(AV$10,$O141:$AP141,#REF!)))</f>
        <v>0</v>
      </c>
      <c r="AW141" s="40">
        <f>IF(ISERROR(LOOKUP(AW$10,$O141:$AP141,#REF!)),0,(LOOKUP(AW$10,$O141:$AP141,#REF!)))</f>
        <v>0</v>
      </c>
      <c r="AX141" s="40">
        <f>IF(ISERROR(LOOKUP(AX$10,$O141:$AP141,#REF!)),0,(LOOKUP(AX$10,$O141:$AP141,#REF!)))</f>
        <v>0</v>
      </c>
      <c r="AY141" s="40">
        <f>IF(ISERROR(LOOKUP(AY$10,$O141:$AP141,#REF!)),0,(LOOKUP(AY$10,$O141:$AP141,#REF!)))</f>
        <v>0</v>
      </c>
      <c r="AZ141" s="40">
        <f>IF(ISERROR(LOOKUP(AZ$10,$O141:$AP141,#REF!)),0,(LOOKUP(AZ$10,$O141:$AP141,#REF!)))</f>
        <v>0</v>
      </c>
      <c r="BA141" s="40">
        <f ca="1">IF(ISERROR(LOOKUP(BA$10,$O141:$AP141,#REF!)),0,(LOOKUP(BA$10,$O141:$AP141,#REF!)))</f>
        <v>0</v>
      </c>
      <c r="BB141" s="425" t="s">
        <v>994</v>
      </c>
      <c r="BC141" s="412" t="s">
        <v>936</v>
      </c>
      <c r="BD141" s="411"/>
    </row>
    <row r="142" spans="1:56" s="3" customFormat="1" ht="15.4" thickTop="1" thickBot="1" x14ac:dyDescent="0.45">
      <c r="A142" s="440">
        <f t="shared" ref="A142" si="30">A139+1</f>
        <v>39</v>
      </c>
      <c r="B142" s="92" t="s">
        <v>239</v>
      </c>
      <c r="C142" s="14" t="s">
        <v>98</v>
      </c>
      <c r="D142" s="227" t="s">
        <v>96</v>
      </c>
      <c r="E142" s="150" t="s">
        <v>397</v>
      </c>
      <c r="F142" s="150">
        <v>4</v>
      </c>
      <c r="G142" s="64" t="s">
        <v>97</v>
      </c>
      <c r="H142" s="16" t="s">
        <v>94</v>
      </c>
      <c r="I142" s="14" t="s">
        <v>33</v>
      </c>
      <c r="J142" s="14" t="s">
        <v>1</v>
      </c>
      <c r="K142" s="14" t="s">
        <v>310</v>
      </c>
      <c r="L142" s="252"/>
      <c r="M142" s="196" t="s">
        <v>34</v>
      </c>
      <c r="N142" s="18" t="s">
        <v>35</v>
      </c>
      <c r="O142" s="19">
        <v>46136</v>
      </c>
      <c r="P142" s="19">
        <v>46139</v>
      </c>
      <c r="Q142" s="19">
        <v>46148</v>
      </c>
      <c r="R142" s="19">
        <v>46149</v>
      </c>
      <c r="S142" s="19">
        <v>46156</v>
      </c>
      <c r="T142" s="19">
        <v>46170</v>
      </c>
      <c r="U142" s="230">
        <v>46202</v>
      </c>
      <c r="V142" s="19">
        <v>46205</v>
      </c>
      <c r="W142" s="19">
        <v>46219</v>
      </c>
      <c r="X142" s="19">
        <v>46223</v>
      </c>
      <c r="Y142" s="19">
        <v>46230</v>
      </c>
      <c r="Z142" s="19">
        <v>46258</v>
      </c>
      <c r="AA142" s="19">
        <v>46272</v>
      </c>
      <c r="AB142" s="19">
        <v>46292</v>
      </c>
      <c r="AC142" s="19">
        <v>46292</v>
      </c>
      <c r="AD142" s="19">
        <v>46295</v>
      </c>
      <c r="AE142" s="19">
        <v>46469</v>
      </c>
      <c r="AF142" s="19">
        <v>46489</v>
      </c>
      <c r="AG142" s="19">
        <v>46499</v>
      </c>
      <c r="AH142" s="19">
        <v>46502</v>
      </c>
      <c r="AI142" s="19">
        <v>46529</v>
      </c>
      <c r="AJ142" s="58">
        <v>40</v>
      </c>
      <c r="AK142" s="59">
        <v>280</v>
      </c>
      <c r="AL142" s="78">
        <v>46493</v>
      </c>
      <c r="AM142" s="78">
        <v>46498</v>
      </c>
      <c r="AN142" s="20">
        <f>AM142-AL143</f>
        <v>-7</v>
      </c>
      <c r="AO142" s="143" t="s">
        <v>392</v>
      </c>
      <c r="AP142" s="431" t="s">
        <v>545</v>
      </c>
      <c r="AQ142" s="21">
        <f>IF(ISERROR(LOOKUP(AQ$10,$O142:$AP142,#REF!)),0,(LOOKUP(AQ$10,$O142:$AP142,#REF!)))</f>
        <v>0</v>
      </c>
      <c r="AR142" s="22">
        <f>IF(ISERROR(LOOKUP(AR$10,$O142:$AP142,#REF!)),0,(LOOKUP(AR$10,$O142:$AP142,#REF!)))</f>
        <v>0</v>
      </c>
      <c r="AS142" s="22">
        <f>IF(ISERROR(LOOKUP(AS$10,$O142:$AP142,#REF!)),0,(LOOKUP(AS$10,$O142:$AP142,#REF!)))</f>
        <v>0</v>
      </c>
      <c r="AT142" s="22">
        <f>IF(ISERROR(LOOKUP(AT$10,$O142:$AP142,#REF!)),0,(LOOKUP(AT$10,$O142:$AP142,#REF!)))</f>
        <v>0</v>
      </c>
      <c r="AU142" s="22">
        <f>IF(ISERROR(LOOKUP(AU$10,$O142:$AP142,#REF!)),0,(LOOKUP(AU$10,$O142:$AP142,#REF!)))</f>
        <v>0</v>
      </c>
      <c r="AV142" s="22">
        <f>IF(ISERROR(LOOKUP(AV$10,$O142:$AP142,#REF!)),0,(LOOKUP(AV$10,$O142:$AP142,#REF!)))</f>
        <v>0</v>
      </c>
      <c r="AW142" s="22">
        <f>IF(ISERROR(LOOKUP(AW$10,$O142:$AP142,#REF!)),0,(LOOKUP(AW$10,$O142:$AP142,#REF!)))</f>
        <v>0</v>
      </c>
      <c r="AX142" s="22">
        <f>IF(ISERROR(LOOKUP(AX$10,$O142:$AP142,#REF!)),0,(LOOKUP(AX$10,$O142:$AP142,#REF!)))</f>
        <v>0</v>
      </c>
      <c r="AY142" s="22">
        <f>IF(ISERROR(LOOKUP(AY$10,$O142:$AP142,#REF!)),0,(LOOKUP(AY$10,$O142:$AP142,#REF!)))</f>
        <v>0</v>
      </c>
      <c r="AZ142" s="22">
        <f>IF(ISERROR(LOOKUP(AZ$10,$O142:$AP142,#REF!)),0,(LOOKUP(AZ$10,$O142:$AP142,#REF!)))</f>
        <v>0</v>
      </c>
      <c r="BA142" s="22">
        <f ca="1">IF(ISERROR(LOOKUP(BA$10,$O142:$AP142,#REF!)),0,(LOOKUP(BA$10,$O142:$AP142,#REF!)))</f>
        <v>0</v>
      </c>
      <c r="BB142" s="425" t="s">
        <v>992</v>
      </c>
      <c r="BC142" s="412" t="s">
        <v>934</v>
      </c>
      <c r="BD142" s="411"/>
    </row>
    <row r="143" spans="1:56" s="3" customFormat="1" ht="15.4" thickTop="1" thickBot="1" x14ac:dyDescent="0.45">
      <c r="A143" s="441"/>
      <c r="B143" s="93" t="s">
        <v>239</v>
      </c>
      <c r="C143" s="41" t="s">
        <v>98</v>
      </c>
      <c r="D143" s="24" t="s">
        <v>96</v>
      </c>
      <c r="E143" s="157"/>
      <c r="F143" s="157"/>
      <c r="G143" s="43" t="s">
        <v>97</v>
      </c>
      <c r="H143" s="46" t="s">
        <v>94</v>
      </c>
      <c r="I143" s="23" t="s">
        <v>33</v>
      </c>
      <c r="J143" s="41" t="s">
        <v>1</v>
      </c>
      <c r="K143" s="41" t="s">
        <v>310</v>
      </c>
      <c r="L143" s="240"/>
      <c r="M143" s="197" t="s">
        <v>34</v>
      </c>
      <c r="N143" s="26" t="s">
        <v>36</v>
      </c>
      <c r="O143" s="27"/>
      <c r="P143" s="28"/>
      <c r="Q143" s="28"/>
      <c r="R143" s="28"/>
      <c r="S143" s="28"/>
      <c r="T143" s="28"/>
      <c r="U143" s="28">
        <v>46211</v>
      </c>
      <c r="V143" s="28">
        <f>WORKDAY(U143, V7, IF(V12="China",'China Holidays'!$A$2:$A$84,'Thai Holidays'!$A$2:$A$65))</f>
        <v>46225</v>
      </c>
      <c r="W143" s="28">
        <f>V143</f>
        <v>46225</v>
      </c>
      <c r="X143" s="28">
        <f>WORKDAY(W143, X7, IF(X12="China",'China Holidays'!$A$2:$A$84,'Thai Holidays'!$A$2:$A$65))</f>
        <v>46227</v>
      </c>
      <c r="Y143" s="28">
        <f>WORKDAY(X143, Y7, IF(Y12="China",'China Holidays'!$A$2:$A$84,'Thai Holidays'!$A$2:$A$65))</f>
        <v>46234</v>
      </c>
      <c r="Z143" s="28">
        <f>WORKDAY(Y143, Z7, IF(Z12="China",'China Holidays'!$A$2:$A$84,'Thai Holidays'!$A$2:$A$65))</f>
        <v>46262</v>
      </c>
      <c r="AA143" s="28">
        <f>WORKDAY(Z143, AA7, IF(AA12="China",'China Holidays'!$A$2:$A$84,'Thai Holidays'!$A$2:$A$65))</f>
        <v>46276</v>
      </c>
      <c r="AB143" s="28">
        <f>AA143+20</f>
        <v>46296</v>
      </c>
      <c r="AC143" s="28">
        <f>AB143</f>
        <v>46296</v>
      </c>
      <c r="AD143" s="28">
        <f>AC143+3</f>
        <v>46299</v>
      </c>
      <c r="AE143" s="28">
        <f>AF143-20</f>
        <v>46475</v>
      </c>
      <c r="AF143" s="28">
        <f>AG143-10</f>
        <v>46495</v>
      </c>
      <c r="AG143" s="28">
        <f>AL143</f>
        <v>46505</v>
      </c>
      <c r="AH143" s="28">
        <f>AL142+3</f>
        <v>46496</v>
      </c>
      <c r="AI143" s="28">
        <f>AL142+30</f>
        <v>46523</v>
      </c>
      <c r="AJ143" s="89"/>
      <c r="AK143" s="90"/>
      <c r="AL143" s="83">
        <f>W143+AK142</f>
        <v>46505</v>
      </c>
      <c r="AM143" s="83"/>
      <c r="AN143" s="29"/>
      <c r="AO143" s="141"/>
      <c r="AP143" s="438"/>
      <c r="AQ143" s="21">
        <f>IF(ISERROR(LOOKUP(AQ$10,$O143:$AP143,#REF!)),0,(LOOKUP(AQ$10,$O143:$AP143,#REF!)))</f>
        <v>0</v>
      </c>
      <c r="AR143" s="22">
        <f>IF(ISERROR(LOOKUP(AR$10,$O143:$AP143,#REF!)),0,(LOOKUP(AR$10,$O143:$AP143,#REF!)))</f>
        <v>0</v>
      </c>
      <c r="AS143" s="22">
        <f>IF(ISERROR(LOOKUP(AS$10,$O143:$AP143,#REF!)),0,(LOOKUP(AS$10,$O143:$AP143,#REF!)))</f>
        <v>0</v>
      </c>
      <c r="AT143" s="22">
        <f>IF(ISERROR(LOOKUP(AT$10,$O143:$AP143,#REF!)),0,(LOOKUP(AT$10,$O143:$AP143,#REF!)))</f>
        <v>0</v>
      </c>
      <c r="AU143" s="22">
        <f>IF(ISERROR(LOOKUP(AU$10,$O143:$AP143,#REF!)),0,(LOOKUP(AU$10,$O143:$AP143,#REF!)))</f>
        <v>0</v>
      </c>
      <c r="AV143" s="22">
        <f>IF(ISERROR(LOOKUP(AV$10,$O143:$AP143,#REF!)),0,(LOOKUP(AV$10,$O143:$AP143,#REF!)))</f>
        <v>0</v>
      </c>
      <c r="AW143" s="22">
        <f>IF(ISERROR(LOOKUP(AW$10,$O143:$AP143,#REF!)),0,(LOOKUP(AW$10,$O143:$AP143,#REF!)))</f>
        <v>0</v>
      </c>
      <c r="AX143" s="22">
        <f>IF(ISERROR(LOOKUP(AX$10,$O143:$AP143,#REF!)),0,(LOOKUP(AX$10,$O143:$AP143,#REF!)))</f>
        <v>0</v>
      </c>
      <c r="AY143" s="22">
        <f>IF(ISERROR(LOOKUP(AY$10,$O143:$AP143,#REF!)),0,(LOOKUP(AY$10,$O143:$AP143,#REF!)))</f>
        <v>0</v>
      </c>
      <c r="AZ143" s="22">
        <f>IF(ISERROR(LOOKUP(AZ$10,$O143:$AP143,#REF!)),0,(LOOKUP(AZ$10,$O143:$AP143,#REF!)))</f>
        <v>0</v>
      </c>
      <c r="BA143" s="22">
        <f ca="1">IF(ISERROR(LOOKUP(BA$10,$O143:$AP143,#REF!)),0,(LOOKUP(BA$10,$O143:$AP143,#REF!)))</f>
        <v>0</v>
      </c>
      <c r="BB143" s="425" t="s">
        <v>993</v>
      </c>
      <c r="BC143" s="411" t="s">
        <v>935</v>
      </c>
      <c r="BD143" s="411"/>
    </row>
    <row r="144" spans="1:56" s="3" customFormat="1" ht="15.4" thickTop="1" thickBot="1" x14ac:dyDescent="0.45">
      <c r="A144" s="442"/>
      <c r="B144" s="94" t="s">
        <v>239</v>
      </c>
      <c r="C144" s="32" t="s">
        <v>98</v>
      </c>
      <c r="D144" s="33" t="s">
        <v>96</v>
      </c>
      <c r="E144" s="151"/>
      <c r="F144" s="151"/>
      <c r="G144" s="44" t="s">
        <v>97</v>
      </c>
      <c r="H144" s="34" t="s">
        <v>94</v>
      </c>
      <c r="I144" s="32" t="s">
        <v>33</v>
      </c>
      <c r="J144" s="32" t="s">
        <v>1</v>
      </c>
      <c r="K144" s="32" t="s">
        <v>310</v>
      </c>
      <c r="L144" s="241"/>
      <c r="M144" s="198" t="s">
        <v>34</v>
      </c>
      <c r="N144" s="35" t="s">
        <v>37</v>
      </c>
      <c r="O144" s="36">
        <v>46133</v>
      </c>
      <c r="P144" s="36">
        <v>46140</v>
      </c>
      <c r="Q144" s="36">
        <v>46153</v>
      </c>
      <c r="R144" s="36">
        <v>46153</v>
      </c>
      <c r="S144" s="36">
        <v>46153</v>
      </c>
      <c r="T144" s="36">
        <v>46164</v>
      </c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82"/>
      <c r="AK144" s="80"/>
      <c r="AL144" s="37"/>
      <c r="AM144" s="37"/>
      <c r="AN144" s="38"/>
      <c r="AO144" s="142"/>
      <c r="AP144" s="439"/>
      <c r="AQ144" s="39">
        <f>IF(ISERROR(LOOKUP(AQ$10,$O144:$AP144,#REF!)),0,(LOOKUP(AQ$10,$O144:$AP144,#REF!)))</f>
        <v>0</v>
      </c>
      <c r="AR144" s="40">
        <f>IF(ISERROR(LOOKUP(AR$10,$O144:$AP144,#REF!)),0,(LOOKUP(AR$10,$O144:$AP144,#REF!)))</f>
        <v>0</v>
      </c>
      <c r="AS144" s="40">
        <f>IF(ISERROR(LOOKUP(AS$10,$O144:$AP144,#REF!)),0,(LOOKUP(AS$10,$O144:$AP144,#REF!)))</f>
        <v>0</v>
      </c>
      <c r="AT144" s="40">
        <f>IF(ISERROR(LOOKUP(AT$10,$O144:$AP144,#REF!)),0,(LOOKUP(AT$10,$O144:$AP144,#REF!)))</f>
        <v>0</v>
      </c>
      <c r="AU144" s="40">
        <f>IF(ISERROR(LOOKUP(AU$10,$O144:$AP144,#REF!)),0,(LOOKUP(AU$10,$O144:$AP144,#REF!)))</f>
        <v>0</v>
      </c>
      <c r="AV144" s="40">
        <f>IF(ISERROR(LOOKUP(AV$10,$O144:$AP144,#REF!)),0,(LOOKUP(AV$10,$O144:$AP144,#REF!)))</f>
        <v>0</v>
      </c>
      <c r="AW144" s="40">
        <f>IF(ISERROR(LOOKUP(AW$10,$O144:$AP144,#REF!)),0,(LOOKUP(AW$10,$O144:$AP144,#REF!)))</f>
        <v>0</v>
      </c>
      <c r="AX144" s="40">
        <f>IF(ISERROR(LOOKUP(AX$10,$O144:$AP144,#REF!)),0,(LOOKUP(AX$10,$O144:$AP144,#REF!)))</f>
        <v>0</v>
      </c>
      <c r="AY144" s="40">
        <f>IF(ISERROR(LOOKUP(AY$10,$O144:$AP144,#REF!)),0,(LOOKUP(AY$10,$O144:$AP144,#REF!)))</f>
        <v>0</v>
      </c>
      <c r="AZ144" s="40">
        <f>IF(ISERROR(LOOKUP(AZ$10,$O144:$AP144,#REF!)),0,(LOOKUP(AZ$10,$O144:$AP144,#REF!)))</f>
        <v>0</v>
      </c>
      <c r="BA144" s="40">
        <f ca="1">IF(ISERROR(LOOKUP(BA$10,$O144:$AP144,#REF!)),0,(LOOKUP(BA$10,$O144:$AP144,#REF!)))</f>
        <v>0</v>
      </c>
      <c r="BB144" s="425" t="s">
        <v>994</v>
      </c>
      <c r="BC144" s="412" t="s">
        <v>936</v>
      </c>
      <c r="BD144" s="411"/>
    </row>
    <row r="145" spans="1:56" s="3" customFormat="1" ht="23.25" thickTop="1" thickBot="1" x14ac:dyDescent="0.45">
      <c r="A145" s="440">
        <f t="shared" ref="A145" si="31">A142+1</f>
        <v>40</v>
      </c>
      <c r="B145" s="92" t="s">
        <v>242</v>
      </c>
      <c r="C145" s="14" t="s">
        <v>100</v>
      </c>
      <c r="D145" s="265" t="s">
        <v>241</v>
      </c>
      <c r="E145" s="150" t="s">
        <v>404</v>
      </c>
      <c r="F145" s="150">
        <v>24</v>
      </c>
      <c r="G145" s="64" t="s">
        <v>93</v>
      </c>
      <c r="H145" s="16" t="s">
        <v>94</v>
      </c>
      <c r="I145" s="14" t="s">
        <v>33</v>
      </c>
      <c r="J145" s="14" t="s">
        <v>3</v>
      </c>
      <c r="K145" s="14" t="s">
        <v>310</v>
      </c>
      <c r="L145" s="252"/>
      <c r="M145" s="196" t="s">
        <v>34</v>
      </c>
      <c r="N145" s="18" t="s">
        <v>35</v>
      </c>
      <c r="O145" s="57">
        <v>46149</v>
      </c>
      <c r="P145" s="57">
        <v>46150</v>
      </c>
      <c r="Q145" s="57">
        <v>46157</v>
      </c>
      <c r="R145" s="57">
        <v>46160</v>
      </c>
      <c r="S145" s="57">
        <v>46167</v>
      </c>
      <c r="T145" s="57">
        <v>46181</v>
      </c>
      <c r="U145" s="230">
        <v>46209</v>
      </c>
      <c r="V145" s="57">
        <v>46212</v>
      </c>
      <c r="W145" s="19">
        <v>46226</v>
      </c>
      <c r="X145" s="19">
        <v>46230</v>
      </c>
      <c r="Y145" s="19">
        <v>46237</v>
      </c>
      <c r="Z145" s="19">
        <v>46265</v>
      </c>
      <c r="AA145" s="19">
        <v>46279</v>
      </c>
      <c r="AB145" s="19">
        <v>46309</v>
      </c>
      <c r="AC145" s="19">
        <v>46309</v>
      </c>
      <c r="AD145" s="19">
        <v>46312</v>
      </c>
      <c r="AE145" s="19">
        <v>46470</v>
      </c>
      <c r="AF145" s="19">
        <v>46490</v>
      </c>
      <c r="AG145" s="19">
        <v>46520</v>
      </c>
      <c r="AH145" s="19">
        <v>46523</v>
      </c>
      <c r="AI145" s="19">
        <v>46550</v>
      </c>
      <c r="AJ145" s="58">
        <v>42</v>
      </c>
      <c r="AK145" s="59">
        <v>294</v>
      </c>
      <c r="AL145" s="78">
        <v>46520</v>
      </c>
      <c r="AM145" s="78">
        <v>46530</v>
      </c>
      <c r="AN145" s="20">
        <f>AM145-AL146</f>
        <v>10</v>
      </c>
      <c r="AO145" s="143" t="s">
        <v>392</v>
      </c>
      <c r="AP145" s="431" t="s">
        <v>553</v>
      </c>
      <c r="AQ145" s="21">
        <f>IF(ISERROR(LOOKUP(AQ$10,$O145:$AP145,#REF!)),0,(LOOKUP(AQ$10,$O145:$AP145,#REF!)))</f>
        <v>0</v>
      </c>
      <c r="AR145" s="22">
        <f>IF(ISERROR(LOOKUP(AR$10,$O145:$AP145,#REF!)),0,(LOOKUP(AR$10,$O145:$AP145,#REF!)))</f>
        <v>0</v>
      </c>
      <c r="AS145" s="22">
        <f>IF(ISERROR(LOOKUP(AS$10,$O145:$AP145,#REF!)),0,(LOOKUP(AS$10,$O145:$AP145,#REF!)))</f>
        <v>0</v>
      </c>
      <c r="AT145" s="22">
        <f>IF(ISERROR(LOOKUP(AT$10,$O145:$AP145,#REF!)),0,(LOOKUP(AT$10,$O145:$AP145,#REF!)))</f>
        <v>0</v>
      </c>
      <c r="AU145" s="22">
        <f>IF(ISERROR(LOOKUP(AU$10,$O145:$AP145,#REF!)),0,(LOOKUP(AU$10,$O145:$AP145,#REF!)))</f>
        <v>0</v>
      </c>
      <c r="AV145" s="22">
        <f>IF(ISERROR(LOOKUP(AV$10,$O145:$AP145,#REF!)),0,(LOOKUP(AV$10,$O145:$AP145,#REF!)))</f>
        <v>0</v>
      </c>
      <c r="AW145" s="22">
        <f>IF(ISERROR(LOOKUP(AW$10,$O145:$AP145,#REF!)),0,(LOOKUP(AW$10,$O145:$AP145,#REF!)))</f>
        <v>0</v>
      </c>
      <c r="AX145" s="22">
        <f>IF(ISERROR(LOOKUP(AX$10,$O145:$AP145,#REF!)),0,(LOOKUP(AX$10,$O145:$AP145,#REF!)))</f>
        <v>0</v>
      </c>
      <c r="AY145" s="22">
        <f>IF(ISERROR(LOOKUP(AY$10,$O145:$AP145,#REF!)),0,(LOOKUP(AY$10,$O145:$AP145,#REF!)))</f>
        <v>0</v>
      </c>
      <c r="AZ145" s="22">
        <f>IF(ISERROR(LOOKUP(AZ$10,$O145:$AP145,#REF!)),0,(LOOKUP(AZ$10,$O145:$AP145,#REF!)))</f>
        <v>0</v>
      </c>
      <c r="BA145" s="22">
        <f ca="1">IF(ISERROR(LOOKUP(BA$10,$O145:$AP145,#REF!)),0,(LOOKUP(BA$10,$O145:$AP145,#REF!)))</f>
        <v>0</v>
      </c>
      <c r="BB145" s="425" t="s">
        <v>992</v>
      </c>
      <c r="BC145" s="412" t="s">
        <v>937</v>
      </c>
      <c r="BD145" s="411"/>
    </row>
    <row r="146" spans="1:56" s="3" customFormat="1" ht="21" thickTop="1" thickBot="1" x14ac:dyDescent="0.45">
      <c r="A146" s="441"/>
      <c r="B146" s="93" t="s">
        <v>242</v>
      </c>
      <c r="C146" s="41" t="s">
        <v>100</v>
      </c>
      <c r="D146" s="98" t="s">
        <v>241</v>
      </c>
      <c r="E146" s="181" t="s">
        <v>403</v>
      </c>
      <c r="F146" s="181">
        <v>12</v>
      </c>
      <c r="G146" s="43" t="s">
        <v>93</v>
      </c>
      <c r="H146" s="46" t="s">
        <v>94</v>
      </c>
      <c r="I146" s="23" t="s">
        <v>33</v>
      </c>
      <c r="J146" s="41" t="s">
        <v>3</v>
      </c>
      <c r="K146" s="41" t="s">
        <v>310</v>
      </c>
      <c r="L146" s="242"/>
      <c r="M146" s="197" t="s">
        <v>34</v>
      </c>
      <c r="N146" s="26" t="s">
        <v>36</v>
      </c>
      <c r="O146" s="27"/>
      <c r="P146" s="28"/>
      <c r="Q146" s="145"/>
      <c r="R146" s="28"/>
      <c r="S146" s="28"/>
      <c r="T146" s="28"/>
      <c r="U146" s="28">
        <v>46209</v>
      </c>
      <c r="V146" s="28">
        <f>WORKDAY(U146, V7, IF(V12="China",'China Holidays'!$A$2:$A$84,'Thai Holidays'!$A$2:$A$65))</f>
        <v>46223</v>
      </c>
      <c r="W146" s="28">
        <f>W145</f>
        <v>46226</v>
      </c>
      <c r="X146" s="28">
        <f>WORKDAY(W146, X7, IF(X12="China",'China Holidays'!$A$2:$A$84,'Thai Holidays'!$A$2:$A$65))</f>
        <v>46230</v>
      </c>
      <c r="Y146" s="28">
        <f>WORKDAY(X146, Z7, IF(Y12="China",'China Holidays'!$A$2:$A$84,'Thai Holidays'!$A$2:$A$65))</f>
        <v>46258</v>
      </c>
      <c r="Z146" s="28">
        <f>WORKDAY(Y146, AA7, IF(Z12="China",'China Holidays'!$A$2:$A$84,'Thai Holidays'!$A$2:$A$65))</f>
        <v>46272</v>
      </c>
      <c r="AA146" s="28">
        <f>WORKDAY(Z146, AB7, IF(AA12="China",'China Holidays'!$A$2:$A$84,'Thai Holidays'!$A$2:$A$65))</f>
        <v>46272</v>
      </c>
      <c r="AB146" s="28">
        <f>AA146+30</f>
        <v>46302</v>
      </c>
      <c r="AC146" s="28">
        <f>AB146</f>
        <v>46302</v>
      </c>
      <c r="AD146" s="28">
        <f>AC146+3</f>
        <v>46305</v>
      </c>
      <c r="AE146" s="28">
        <f>AF146-20</f>
        <v>46470</v>
      </c>
      <c r="AF146" s="28">
        <f>AG146-30</f>
        <v>46490</v>
      </c>
      <c r="AG146" s="28">
        <f>AL146</f>
        <v>46520</v>
      </c>
      <c r="AH146" s="28">
        <f>AL145+3</f>
        <v>46523</v>
      </c>
      <c r="AI146" s="28">
        <f>AL145+30</f>
        <v>46550</v>
      </c>
      <c r="AJ146" s="89"/>
      <c r="AK146" s="90"/>
      <c r="AL146" s="83">
        <f>W146+AK145</f>
        <v>46520</v>
      </c>
      <c r="AM146" s="83"/>
      <c r="AN146" s="29"/>
      <c r="AO146" s="141"/>
      <c r="AP146" s="438"/>
      <c r="AQ146" s="21">
        <f>IF(ISERROR(LOOKUP(AQ$10,$O146:$AP146,#REF!)),0,(LOOKUP(AQ$10,$O146:$AP146,#REF!)))</f>
        <v>0</v>
      </c>
      <c r="AR146" s="22">
        <f>IF(ISERROR(LOOKUP(AR$10,$O146:$AP146,#REF!)),0,(LOOKUP(AR$10,$O146:$AP146,#REF!)))</f>
        <v>0</v>
      </c>
      <c r="AS146" s="22">
        <f>IF(ISERROR(LOOKUP(AS$10,$O146:$AP146,#REF!)),0,(LOOKUP(AS$10,$O146:$AP146,#REF!)))</f>
        <v>0</v>
      </c>
      <c r="AT146" s="22">
        <f>IF(ISERROR(LOOKUP(AT$10,$O146:$AP146,#REF!)),0,(LOOKUP(AT$10,$O146:$AP146,#REF!)))</f>
        <v>0</v>
      </c>
      <c r="AU146" s="22">
        <f>IF(ISERROR(LOOKUP(AU$10,$O146:$AP146,#REF!)),0,(LOOKUP(AU$10,$O146:$AP146,#REF!)))</f>
        <v>0</v>
      </c>
      <c r="AV146" s="22">
        <f>IF(ISERROR(LOOKUP(AV$10,$O146:$AP146,#REF!)),0,(LOOKUP(AV$10,$O146:$AP146,#REF!)))</f>
        <v>0</v>
      </c>
      <c r="AW146" s="22">
        <f>IF(ISERROR(LOOKUP(AW$10,$O146:$AP146,#REF!)),0,(LOOKUP(AW$10,$O146:$AP146,#REF!)))</f>
        <v>0</v>
      </c>
      <c r="AX146" s="22">
        <f>IF(ISERROR(LOOKUP(AX$10,$O146:$AP146,#REF!)),0,(LOOKUP(AX$10,$O146:$AP146,#REF!)))</f>
        <v>0</v>
      </c>
      <c r="AY146" s="22">
        <f>IF(ISERROR(LOOKUP(AY$10,$O146:$AP146,#REF!)),0,(LOOKUP(AY$10,$O146:$AP146,#REF!)))</f>
        <v>0</v>
      </c>
      <c r="AZ146" s="22">
        <f>IF(ISERROR(LOOKUP(AZ$10,$O146:$AP146,#REF!)),0,(LOOKUP(AZ$10,$O146:$AP146,#REF!)))</f>
        <v>0</v>
      </c>
      <c r="BA146" s="22">
        <f ca="1">IF(ISERROR(LOOKUP(BA$10,$O146:$AP146,#REF!)),0,(LOOKUP(BA$10,$O146:$AP146,#REF!)))</f>
        <v>0</v>
      </c>
      <c r="BB146" s="425" t="s">
        <v>993</v>
      </c>
      <c r="BC146" s="412" t="s">
        <v>938</v>
      </c>
      <c r="BD146" s="411"/>
    </row>
    <row r="147" spans="1:56" s="3" customFormat="1" ht="21" thickTop="1" thickBot="1" x14ac:dyDescent="0.45">
      <c r="A147" s="442"/>
      <c r="B147" s="94" t="s">
        <v>242</v>
      </c>
      <c r="C147" s="32" t="s">
        <v>100</v>
      </c>
      <c r="D147" s="97" t="s">
        <v>240</v>
      </c>
      <c r="E147" s="158" t="s">
        <v>405</v>
      </c>
      <c r="F147" s="158">
        <v>8</v>
      </c>
      <c r="G147" s="45" t="s">
        <v>93</v>
      </c>
      <c r="H147" s="34" t="s">
        <v>94</v>
      </c>
      <c r="I147" s="32" t="s">
        <v>33</v>
      </c>
      <c r="J147" s="32" t="s">
        <v>3</v>
      </c>
      <c r="K147" s="32" t="s">
        <v>310</v>
      </c>
      <c r="L147" s="243"/>
      <c r="M147" s="198" t="s">
        <v>34</v>
      </c>
      <c r="N147" s="35" t="s">
        <v>37</v>
      </c>
      <c r="O147" s="36">
        <v>46133</v>
      </c>
      <c r="P147" s="36">
        <v>46142</v>
      </c>
      <c r="Q147" s="36">
        <v>46160</v>
      </c>
      <c r="R147" s="36">
        <v>46160</v>
      </c>
      <c r="S147" s="36">
        <v>46160</v>
      </c>
      <c r="T147" s="36">
        <v>46163</v>
      </c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82"/>
      <c r="AK147" s="80"/>
      <c r="AL147" s="37"/>
      <c r="AM147" s="37"/>
      <c r="AN147" s="38"/>
      <c r="AO147" s="142"/>
      <c r="AP147" s="439"/>
      <c r="AQ147" s="39">
        <f>IF(ISERROR(LOOKUP(AQ$10,$O147:$AP147,#REF!)),0,(LOOKUP(AQ$10,$O147:$AP147,#REF!)))</f>
        <v>0</v>
      </c>
      <c r="AR147" s="40">
        <f>IF(ISERROR(LOOKUP(AR$10,$O147:$AP147,#REF!)),0,(LOOKUP(AR$10,$O147:$AP147,#REF!)))</f>
        <v>0</v>
      </c>
      <c r="AS147" s="40">
        <f>IF(ISERROR(LOOKUP(AS$10,$O147:$AP147,#REF!)),0,(LOOKUP(AS$10,$O147:$AP147,#REF!)))</f>
        <v>0</v>
      </c>
      <c r="AT147" s="40">
        <f>IF(ISERROR(LOOKUP(AT$10,$O147:$AP147,#REF!)),0,(LOOKUP(AT$10,$O147:$AP147,#REF!)))</f>
        <v>0</v>
      </c>
      <c r="AU147" s="40">
        <f>IF(ISERROR(LOOKUP(AU$10,$O147:$AP147,#REF!)),0,(LOOKUP(AU$10,$O147:$AP147,#REF!)))</f>
        <v>0</v>
      </c>
      <c r="AV147" s="40">
        <f>IF(ISERROR(LOOKUP(AV$10,$O147:$AP147,#REF!)),0,(LOOKUP(AV$10,$O147:$AP147,#REF!)))</f>
        <v>0</v>
      </c>
      <c r="AW147" s="40">
        <f>IF(ISERROR(LOOKUP(AW$10,$O147:$AP147,#REF!)),0,(LOOKUP(AW$10,$O147:$AP147,#REF!)))</f>
        <v>0</v>
      </c>
      <c r="AX147" s="40">
        <f>IF(ISERROR(LOOKUP(AX$10,$O147:$AP147,#REF!)),0,(LOOKUP(AX$10,$O147:$AP147,#REF!)))</f>
        <v>0</v>
      </c>
      <c r="AY147" s="40">
        <f>IF(ISERROR(LOOKUP(AY$10,$O147:$AP147,#REF!)),0,(LOOKUP(AY$10,$O147:$AP147,#REF!)))</f>
        <v>0</v>
      </c>
      <c r="AZ147" s="40">
        <f>IF(ISERROR(LOOKUP(AZ$10,$O147:$AP147,#REF!)),0,(LOOKUP(AZ$10,$O147:$AP147,#REF!)))</f>
        <v>0</v>
      </c>
      <c r="BA147" s="40">
        <f ca="1">IF(ISERROR(LOOKUP(BA$10,$O147:$AP147,#REF!)),0,(LOOKUP(BA$10,$O147:$AP147,#REF!)))</f>
        <v>0</v>
      </c>
      <c r="BB147" s="425" t="s">
        <v>994</v>
      </c>
      <c r="BC147" s="412" t="s">
        <v>939</v>
      </c>
      <c r="BD147" s="411"/>
    </row>
    <row r="148" spans="1:56" s="3" customFormat="1" ht="15.4" thickTop="1" thickBot="1" x14ac:dyDescent="0.45">
      <c r="A148" s="440">
        <f t="shared" ref="A148" si="32">A145+1</f>
        <v>41</v>
      </c>
      <c r="B148" s="92" t="s">
        <v>243</v>
      </c>
      <c r="C148" s="14" t="s">
        <v>683</v>
      </c>
      <c r="D148" s="227" t="s">
        <v>669</v>
      </c>
      <c r="E148" s="150"/>
      <c r="F148" s="150"/>
      <c r="G148" s="64" t="s">
        <v>102</v>
      </c>
      <c r="H148" s="16" t="s">
        <v>94</v>
      </c>
      <c r="I148" s="14" t="s">
        <v>56</v>
      </c>
      <c r="J148" s="14" t="s">
        <v>202</v>
      </c>
      <c r="K148" s="14" t="s">
        <v>345</v>
      </c>
      <c r="L148" s="222"/>
      <c r="M148" s="196" t="s">
        <v>74</v>
      </c>
      <c r="N148" s="18" t="s">
        <v>35</v>
      </c>
      <c r="O148" s="19">
        <v>46262</v>
      </c>
      <c r="P148" s="19">
        <v>46258</v>
      </c>
      <c r="Q148" s="19">
        <v>46272</v>
      </c>
      <c r="R148" s="19">
        <v>46272</v>
      </c>
      <c r="S148" s="19">
        <v>46272</v>
      </c>
      <c r="T148" s="230">
        <v>46279</v>
      </c>
      <c r="U148" s="19">
        <v>46288</v>
      </c>
      <c r="V148" s="19">
        <v>46302</v>
      </c>
      <c r="W148" s="19">
        <v>46309</v>
      </c>
      <c r="X148" s="19">
        <v>46311</v>
      </c>
      <c r="Y148" s="19">
        <v>46318</v>
      </c>
      <c r="Z148" s="19">
        <v>46332</v>
      </c>
      <c r="AA148" s="19">
        <v>46346</v>
      </c>
      <c r="AB148" s="19">
        <v>46356</v>
      </c>
      <c r="AC148" s="19">
        <v>46356</v>
      </c>
      <c r="AD148" s="19">
        <v>46358</v>
      </c>
      <c r="AE148" s="19">
        <v>46391</v>
      </c>
      <c r="AF148" s="19">
        <v>46398</v>
      </c>
      <c r="AG148" s="19">
        <v>46403</v>
      </c>
      <c r="AH148" s="19">
        <v>46406</v>
      </c>
      <c r="AI148" s="19">
        <v>46433</v>
      </c>
      <c r="AJ148" s="58">
        <v>13.428571428571429</v>
      </c>
      <c r="AK148" s="59">
        <v>94</v>
      </c>
      <c r="AL148" s="78">
        <v>46403</v>
      </c>
      <c r="AM148" s="78">
        <v>46524</v>
      </c>
      <c r="AN148" s="20">
        <f>AM148-AL149</f>
        <v>121</v>
      </c>
      <c r="AO148" s="143" t="s">
        <v>694</v>
      </c>
      <c r="AP148" s="437" t="s">
        <v>673</v>
      </c>
      <c r="AQ148" s="21">
        <f>IF(ISERROR(LOOKUP(AQ$10,$O148:$AP148,#REF!)),0,(LOOKUP(AQ$10,$O148:$AP148,#REF!)))</f>
        <v>0</v>
      </c>
      <c r="AR148" s="22">
        <f>IF(ISERROR(LOOKUP(AR$10,$O148:$AP148,#REF!)),0,(LOOKUP(AR$10,$O148:$AP148,#REF!)))</f>
        <v>0</v>
      </c>
      <c r="AS148" s="22">
        <f>IF(ISERROR(LOOKUP(AS$10,$O148:$AP148,#REF!)),0,(LOOKUP(AS$10,$O148:$AP148,#REF!)))</f>
        <v>0</v>
      </c>
      <c r="AT148" s="22">
        <f>IF(ISERROR(LOOKUP(AT$10,$O148:$AP148,#REF!)),0,(LOOKUP(AT$10,$O148:$AP148,#REF!)))</f>
        <v>0</v>
      </c>
      <c r="AU148" s="22">
        <f>IF(ISERROR(LOOKUP(AU$10,$O148:$AP148,#REF!)),0,(LOOKUP(AU$10,$O148:$AP148,#REF!)))</f>
        <v>0</v>
      </c>
      <c r="AV148" s="22">
        <f>IF(ISERROR(LOOKUP(AV$10,$O148:$AP148,#REF!)),0,(LOOKUP(AV$10,$O148:$AP148,#REF!)))</f>
        <v>0</v>
      </c>
      <c r="AW148" s="22">
        <f>IF(ISERROR(LOOKUP(AW$10,$O148:$AP148,#REF!)),0,(LOOKUP(AW$10,$O148:$AP148,#REF!)))</f>
        <v>0</v>
      </c>
      <c r="AX148" s="22">
        <f>IF(ISERROR(LOOKUP(AX$10,$O148:$AP148,#REF!)),0,(LOOKUP(AX$10,$O148:$AP148,#REF!)))</f>
        <v>0</v>
      </c>
      <c r="AY148" s="22">
        <f>IF(ISERROR(LOOKUP(AY$10,$O148:$AP148,#REF!)),0,(LOOKUP(AY$10,$O148:$AP148,#REF!)))</f>
        <v>0</v>
      </c>
      <c r="AZ148" s="22">
        <f>IF(ISERROR(LOOKUP(AZ$10,$O148:$AP148,#REF!)),0,(LOOKUP(AZ$10,$O148:$AP148,#REF!)))</f>
        <v>0</v>
      </c>
      <c r="BA148" s="22">
        <f ca="1">IF(ISERROR(LOOKUP(BA$10,$O148:$AP148,#REF!)),0,(LOOKUP(BA$10,$O148:$AP148,#REF!)))</f>
        <v>0</v>
      </c>
      <c r="BB148" s="425"/>
      <c r="BC148" s="411"/>
      <c r="BD148" s="411"/>
    </row>
    <row r="149" spans="1:56" s="3" customFormat="1" ht="15.4" thickTop="1" thickBot="1" x14ac:dyDescent="0.45">
      <c r="A149" s="441"/>
      <c r="B149" s="93" t="s">
        <v>243</v>
      </c>
      <c r="C149" s="41" t="s">
        <v>103</v>
      </c>
      <c r="D149" s="43" t="s">
        <v>101</v>
      </c>
      <c r="E149" s="157"/>
      <c r="F149" s="157"/>
      <c r="G149" s="43" t="s">
        <v>102</v>
      </c>
      <c r="H149" s="46" t="s">
        <v>94</v>
      </c>
      <c r="I149" s="23" t="s">
        <v>56</v>
      </c>
      <c r="J149" s="41" t="s">
        <v>1</v>
      </c>
      <c r="K149" s="41" t="s">
        <v>345</v>
      </c>
      <c r="L149" s="223"/>
      <c r="M149" s="197" t="s">
        <v>74</v>
      </c>
      <c r="N149" s="26" t="s">
        <v>36</v>
      </c>
      <c r="O149" s="27"/>
      <c r="P149" s="28"/>
      <c r="Q149" s="28"/>
      <c r="R149" s="28"/>
      <c r="S149" s="28"/>
      <c r="T149" s="28">
        <v>46213</v>
      </c>
      <c r="U149" s="28">
        <f>U148</f>
        <v>46288</v>
      </c>
      <c r="V149" s="28">
        <f>WORKDAY(U149, V9, IF(V12="China",'China Holidays'!$A$2:$A$84,'Thai Holidays'!$A$2:$A$65))</f>
        <v>46302</v>
      </c>
      <c r="W149" s="28">
        <f>WORKDAY(V149, W9, IF(W12="China",'China Holidays'!$A$2:$A$84,'Thai Holidays'!$A$2:$A$65))</f>
        <v>46309</v>
      </c>
      <c r="X149" s="28">
        <f>WORKDAY(W149, X9, IF(X12="China",'China Holidays'!$A$2:$A$84,'Thai Holidays'!$A$2:$A$65))</f>
        <v>46311</v>
      </c>
      <c r="Y149" s="28">
        <f>WORKDAY(X149, Y9, IF(Y12="China",'China Holidays'!$A$2:$A$84,'Thai Holidays'!$A$2:$A$65))</f>
        <v>46318</v>
      </c>
      <c r="Z149" s="28">
        <f>WORKDAY(Y149, Z9, IF(Z12="China",'China Holidays'!$A$2:$A$84,'Thai Holidays'!$A$2:$A$65))</f>
        <v>46332</v>
      </c>
      <c r="AA149" s="28">
        <f>WORKDAY(Z149, AA9, IF(AA12="China",'China Holidays'!$A$2:$A$84,'Thai Holidays'!$A$2:$A$65))</f>
        <v>46346</v>
      </c>
      <c r="AB149" s="28">
        <f>AA149+10</f>
        <v>46356</v>
      </c>
      <c r="AC149" s="28">
        <f>AB149</f>
        <v>46356</v>
      </c>
      <c r="AD149" s="28">
        <f>AC149+2</f>
        <v>46358</v>
      </c>
      <c r="AE149" s="28">
        <f>AF149-7</f>
        <v>46391</v>
      </c>
      <c r="AF149" s="28">
        <f>AG149-5</f>
        <v>46398</v>
      </c>
      <c r="AG149" s="28">
        <f>AL148</f>
        <v>46403</v>
      </c>
      <c r="AH149" s="28">
        <f>AL148+3</f>
        <v>46406</v>
      </c>
      <c r="AI149" s="28">
        <f>AL148+30</f>
        <v>46433</v>
      </c>
      <c r="AJ149" s="81"/>
      <c r="AK149" s="79"/>
      <c r="AL149" s="83">
        <f>W149+AK148</f>
        <v>46403</v>
      </c>
      <c r="AM149" s="83"/>
      <c r="AN149" s="29"/>
      <c r="AO149" s="141"/>
      <c r="AP149" s="438"/>
      <c r="AQ149" s="21">
        <f>IF(ISERROR(LOOKUP(AQ$10,$O149:$AP149,#REF!)),0,(LOOKUP(AQ$10,$O149:$AP149,#REF!)))</f>
        <v>0</v>
      </c>
      <c r="AR149" s="22">
        <f>IF(ISERROR(LOOKUP(AR$10,$O149:$AP149,#REF!)),0,(LOOKUP(AR$10,$O149:$AP149,#REF!)))</f>
        <v>0</v>
      </c>
      <c r="AS149" s="22">
        <f>IF(ISERROR(LOOKUP(AS$10,$O149:$AP149,#REF!)),0,(LOOKUP(AS$10,$O149:$AP149,#REF!)))</f>
        <v>0</v>
      </c>
      <c r="AT149" s="22">
        <f>IF(ISERROR(LOOKUP(AT$10,$O149:$AP149,#REF!)),0,(LOOKUP(AT$10,$O149:$AP149,#REF!)))</f>
        <v>0</v>
      </c>
      <c r="AU149" s="22">
        <f>IF(ISERROR(LOOKUP(AU$10,$O149:$AP149,#REF!)),0,(LOOKUP(AU$10,$O149:$AP149,#REF!)))</f>
        <v>0</v>
      </c>
      <c r="AV149" s="22">
        <f>IF(ISERROR(LOOKUP(AV$10,$O149:$AP149,#REF!)),0,(LOOKUP(AV$10,$O149:$AP149,#REF!)))</f>
        <v>0</v>
      </c>
      <c r="AW149" s="22">
        <f>IF(ISERROR(LOOKUP(AW$10,$O149:$AP149,#REF!)),0,(LOOKUP(AW$10,$O149:$AP149,#REF!)))</f>
        <v>0</v>
      </c>
      <c r="AX149" s="22">
        <f>IF(ISERROR(LOOKUP(AX$10,$O149:$AP149,#REF!)),0,(LOOKUP(AX$10,$O149:$AP149,#REF!)))</f>
        <v>0</v>
      </c>
      <c r="AY149" s="22">
        <f>IF(ISERROR(LOOKUP(AY$10,$O149:$AP149,#REF!)),0,(LOOKUP(AY$10,$O149:$AP149,#REF!)))</f>
        <v>0</v>
      </c>
      <c r="AZ149" s="22">
        <f>IF(ISERROR(LOOKUP(AZ$10,$O149:$AP149,#REF!)),0,(LOOKUP(AZ$10,$O149:$AP149,#REF!)))</f>
        <v>0</v>
      </c>
      <c r="BA149" s="22">
        <f ca="1">IF(ISERROR(LOOKUP(BA$10,$O149:$AP149,#REF!)),0,(LOOKUP(BA$10,$O149:$AP149,#REF!)))</f>
        <v>0</v>
      </c>
      <c r="BB149" s="425"/>
      <c r="BC149" s="411"/>
      <c r="BD149" s="411"/>
    </row>
    <row r="150" spans="1:56" s="3" customFormat="1" ht="15.4" thickTop="1" thickBot="1" x14ac:dyDescent="0.45">
      <c r="A150" s="442"/>
      <c r="B150" s="94" t="s">
        <v>243</v>
      </c>
      <c r="C150" s="32" t="s">
        <v>103</v>
      </c>
      <c r="D150" s="45" t="s">
        <v>101</v>
      </c>
      <c r="E150" s="158"/>
      <c r="F150" s="158"/>
      <c r="G150" s="45" t="s">
        <v>102</v>
      </c>
      <c r="H150" s="34" t="s">
        <v>94</v>
      </c>
      <c r="I150" s="32" t="s">
        <v>56</v>
      </c>
      <c r="J150" s="32" t="s">
        <v>1</v>
      </c>
      <c r="K150" s="32" t="s">
        <v>345</v>
      </c>
      <c r="L150" s="221"/>
      <c r="M150" s="198" t="s">
        <v>74</v>
      </c>
      <c r="N150" s="35" t="s">
        <v>37</v>
      </c>
      <c r="O150" s="36">
        <v>46189</v>
      </c>
      <c r="P150" s="36">
        <v>46160</v>
      </c>
      <c r="Q150" s="36">
        <v>46188</v>
      </c>
      <c r="R150" s="36">
        <v>46190</v>
      </c>
      <c r="S150" s="36">
        <v>46190</v>
      </c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82"/>
      <c r="AK150" s="80"/>
      <c r="AL150" s="37"/>
      <c r="AM150" s="37"/>
      <c r="AN150" s="38"/>
      <c r="AO150" s="142"/>
      <c r="AP150" s="439"/>
      <c r="AQ150" s="39">
        <f>IF(ISERROR(LOOKUP(AQ$10,$O150:$AP150,#REF!)),0,(LOOKUP(AQ$10,$O150:$AP150,#REF!)))</f>
        <v>0</v>
      </c>
      <c r="AR150" s="40">
        <f>IF(ISERROR(LOOKUP(AR$10,$O150:$AP150,#REF!)),0,(LOOKUP(AR$10,$O150:$AP150,#REF!)))</f>
        <v>0</v>
      </c>
      <c r="AS150" s="40">
        <f>IF(ISERROR(LOOKUP(AS$10,$O150:$AP150,#REF!)),0,(LOOKUP(AS$10,$O150:$AP150,#REF!)))</f>
        <v>0</v>
      </c>
      <c r="AT150" s="40">
        <f>IF(ISERROR(LOOKUP(AT$10,$O150:$AP150,#REF!)),0,(LOOKUP(AT$10,$O150:$AP150,#REF!)))</f>
        <v>0</v>
      </c>
      <c r="AU150" s="40">
        <f>IF(ISERROR(LOOKUP(AU$10,$O150:$AP150,#REF!)),0,(LOOKUP(AU$10,$O150:$AP150,#REF!)))</f>
        <v>0</v>
      </c>
      <c r="AV150" s="40">
        <f>IF(ISERROR(LOOKUP(AV$10,$O150:$AP150,#REF!)),0,(LOOKUP(AV$10,$O150:$AP150,#REF!)))</f>
        <v>0</v>
      </c>
      <c r="AW150" s="40">
        <f>IF(ISERROR(LOOKUP(AW$10,$O150:$AP150,#REF!)),0,(LOOKUP(AW$10,$O150:$AP150,#REF!)))</f>
        <v>0</v>
      </c>
      <c r="AX150" s="40">
        <f>IF(ISERROR(LOOKUP(AX$10,$O150:$AP150,#REF!)),0,(LOOKUP(AX$10,$O150:$AP150,#REF!)))</f>
        <v>0</v>
      </c>
      <c r="AY150" s="40">
        <f>IF(ISERROR(LOOKUP(AY$10,$O150:$AP150,#REF!)),0,(LOOKUP(AY$10,$O150:$AP150,#REF!)))</f>
        <v>0</v>
      </c>
      <c r="AZ150" s="40">
        <f>IF(ISERROR(LOOKUP(AZ$10,$O150:$AP150,#REF!)),0,(LOOKUP(AZ$10,$O150:$AP150,#REF!)))</f>
        <v>0</v>
      </c>
      <c r="BA150" s="40">
        <f ca="1">IF(ISERROR(LOOKUP(BA$10,$O150:$AP150,#REF!)),0,(LOOKUP(BA$10,$O150:$AP150,#REF!)))</f>
        <v>0</v>
      </c>
      <c r="BB150" s="425"/>
      <c r="BC150" s="411"/>
      <c r="BD150" s="411"/>
    </row>
    <row r="151" spans="1:56" s="3" customFormat="1" ht="15.4" thickTop="1" thickBot="1" x14ac:dyDescent="0.45">
      <c r="A151" s="440">
        <f t="shared" ref="A151" si="33">A148+1</f>
        <v>42</v>
      </c>
      <c r="B151" s="92" t="s">
        <v>243</v>
      </c>
      <c r="C151" s="14" t="s">
        <v>104</v>
      </c>
      <c r="D151" s="42" t="s">
        <v>834</v>
      </c>
      <c r="E151" s="150"/>
      <c r="F151" s="150"/>
      <c r="G151" s="64" t="s">
        <v>102</v>
      </c>
      <c r="H151" s="16" t="s">
        <v>94</v>
      </c>
      <c r="I151" s="14" t="s">
        <v>56</v>
      </c>
      <c r="J151" s="14" t="s">
        <v>3</v>
      </c>
      <c r="K151" s="14" t="s">
        <v>314</v>
      </c>
      <c r="L151" s="222"/>
      <c r="M151" s="196" t="s">
        <v>74</v>
      </c>
      <c r="N151" s="18" t="s">
        <v>35</v>
      </c>
      <c r="O151" s="19">
        <v>46262</v>
      </c>
      <c r="P151" s="19">
        <v>46258</v>
      </c>
      <c r="Q151" s="19">
        <v>46272</v>
      </c>
      <c r="R151" s="19">
        <v>46272</v>
      </c>
      <c r="S151" s="19">
        <v>46272</v>
      </c>
      <c r="T151" s="57">
        <v>46279</v>
      </c>
      <c r="U151" s="57">
        <v>46288</v>
      </c>
      <c r="V151" s="19">
        <v>46302</v>
      </c>
      <c r="W151" s="19">
        <v>46309</v>
      </c>
      <c r="X151" s="19">
        <v>46311</v>
      </c>
      <c r="Y151" s="19">
        <v>46318</v>
      </c>
      <c r="Z151" s="19">
        <v>46332</v>
      </c>
      <c r="AA151" s="19">
        <v>46346</v>
      </c>
      <c r="AB151" s="19">
        <v>46356</v>
      </c>
      <c r="AC151" s="19">
        <v>46356</v>
      </c>
      <c r="AD151" s="19">
        <v>46358</v>
      </c>
      <c r="AE151" s="19">
        <v>46391</v>
      </c>
      <c r="AF151" s="19">
        <v>46398</v>
      </c>
      <c r="AG151" s="19">
        <v>46403</v>
      </c>
      <c r="AH151" s="19">
        <v>46406</v>
      </c>
      <c r="AI151" s="19">
        <v>46433</v>
      </c>
      <c r="AJ151" s="58">
        <v>13.428571428571429</v>
      </c>
      <c r="AK151" s="59">
        <v>94</v>
      </c>
      <c r="AL151" s="78">
        <v>46403</v>
      </c>
      <c r="AM151" s="78">
        <v>46530</v>
      </c>
      <c r="AN151" s="20">
        <f>AM151-AL152</f>
        <v>127</v>
      </c>
      <c r="AO151" s="143"/>
      <c r="AP151" s="437"/>
      <c r="AQ151" s="21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425"/>
      <c r="BC151" s="411"/>
      <c r="BD151" s="411"/>
    </row>
    <row r="152" spans="1:56" s="3" customFormat="1" ht="15.4" thickTop="1" thickBot="1" x14ac:dyDescent="0.45">
      <c r="A152" s="441"/>
      <c r="B152" s="93" t="s">
        <v>243</v>
      </c>
      <c r="C152" s="41" t="s">
        <v>104</v>
      </c>
      <c r="D152" s="43" t="s">
        <v>834</v>
      </c>
      <c r="E152" s="157"/>
      <c r="F152" s="157"/>
      <c r="G152" s="43" t="s">
        <v>102</v>
      </c>
      <c r="H152" s="46" t="s">
        <v>94</v>
      </c>
      <c r="I152" s="23" t="s">
        <v>56</v>
      </c>
      <c r="J152" s="41" t="s">
        <v>3</v>
      </c>
      <c r="K152" s="41" t="s">
        <v>314</v>
      </c>
      <c r="L152" s="223"/>
      <c r="M152" s="197" t="s">
        <v>74</v>
      </c>
      <c r="N152" s="26" t="s">
        <v>36</v>
      </c>
      <c r="O152" s="27">
        <f>O151</f>
        <v>46262</v>
      </c>
      <c r="P152" s="28">
        <f>P151</f>
        <v>46258</v>
      </c>
      <c r="Q152" s="28">
        <f>WORKDAY(P152, Q9, IF(Q12="China",'China Holidays'!$A$2:$A$84,'Thai Holidays'!$A$2:$A$65))</f>
        <v>46272</v>
      </c>
      <c r="R152" s="28">
        <f>WORKDAY(Q152, R9, IF(R12="China",'China Holidays'!$A$2:$A$84,'Thai Holidays'!$A$2:$A$65))</f>
        <v>46272</v>
      </c>
      <c r="S152" s="28">
        <f>WORKDAY(R152, S9, IF(S12="China",'China Holidays'!$A$2:$A$84,'Thai Holidays'!$A$2:$A$65))</f>
        <v>46272</v>
      </c>
      <c r="T152" s="28">
        <f>WORKDAY(S152, T9, IF(T12="China",'China Holidays'!$A$2:$A$84,'Thai Holidays'!$A$2:$A$65))</f>
        <v>46279</v>
      </c>
      <c r="U152" s="28">
        <f>WORKDAY(T152, U9, IF(U12="China",'China Holidays'!$A$2:$A$84,'Thai Holidays'!$A$2:$A$65))</f>
        <v>46288</v>
      </c>
      <c r="V152" s="28">
        <f>WORKDAY(U152, V9, IF(V12="China",'China Holidays'!$A$2:$A$84,'Thai Holidays'!$A$2:$A$65))</f>
        <v>46302</v>
      </c>
      <c r="W152" s="28">
        <f>WORKDAY(V152, W9, IF(W12="China",'China Holidays'!$A$2:$A$84,'Thai Holidays'!$A$2:$A$65))</f>
        <v>46309</v>
      </c>
      <c r="X152" s="28">
        <f>WORKDAY(W152, X9, IF(X12="China",'China Holidays'!$A$2:$A$84,'Thai Holidays'!$A$2:$A$65))</f>
        <v>46311</v>
      </c>
      <c r="Y152" s="28">
        <f>WORKDAY(X152, Y9, IF(Y12="China",'China Holidays'!$A$2:$A$84,'Thai Holidays'!$A$2:$A$65))</f>
        <v>46318</v>
      </c>
      <c r="Z152" s="28">
        <f>WORKDAY(Y152, Z9, IF(Z12="China",'China Holidays'!$A$2:$A$84,'Thai Holidays'!$A$2:$A$65))</f>
        <v>46332</v>
      </c>
      <c r="AA152" s="28">
        <f>WORKDAY(Z152, AA9, IF(AA12="China",'China Holidays'!$A$2:$A$84,'Thai Holidays'!$A$2:$A$65))</f>
        <v>46346</v>
      </c>
      <c r="AB152" s="28">
        <f>AA152+10</f>
        <v>46356</v>
      </c>
      <c r="AC152" s="28">
        <f>AB152</f>
        <v>46356</v>
      </c>
      <c r="AD152" s="28">
        <f>AC152+2</f>
        <v>46358</v>
      </c>
      <c r="AE152" s="28">
        <f>AF152-7</f>
        <v>46391</v>
      </c>
      <c r="AF152" s="28">
        <f>AG152-5</f>
        <v>46398</v>
      </c>
      <c r="AG152" s="28">
        <f>AL151</f>
        <v>46403</v>
      </c>
      <c r="AH152" s="28">
        <f>AL151+3</f>
        <v>46406</v>
      </c>
      <c r="AI152" s="28">
        <f>AL151+30</f>
        <v>46433</v>
      </c>
      <c r="AJ152" s="81"/>
      <c r="AK152" s="79"/>
      <c r="AL152" s="83">
        <f>W152+AK151</f>
        <v>46403</v>
      </c>
      <c r="AM152" s="83"/>
      <c r="AN152" s="29"/>
      <c r="AO152" s="141"/>
      <c r="AP152" s="438"/>
      <c r="AQ152" s="21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425"/>
      <c r="BC152" s="411"/>
      <c r="BD152" s="411"/>
    </row>
    <row r="153" spans="1:56" s="3" customFormat="1" ht="15.4" thickTop="1" thickBot="1" x14ac:dyDescent="0.45">
      <c r="A153" s="442"/>
      <c r="B153" s="94" t="s">
        <v>243</v>
      </c>
      <c r="C153" s="32" t="s">
        <v>104</v>
      </c>
      <c r="D153" s="44" t="s">
        <v>834</v>
      </c>
      <c r="E153" s="151"/>
      <c r="F153" s="151"/>
      <c r="G153" s="45" t="s">
        <v>102</v>
      </c>
      <c r="H153" s="34" t="s">
        <v>94</v>
      </c>
      <c r="I153" s="32" t="s">
        <v>56</v>
      </c>
      <c r="J153" s="32" t="s">
        <v>3</v>
      </c>
      <c r="K153" s="32" t="s">
        <v>314</v>
      </c>
      <c r="L153" s="96"/>
      <c r="M153" s="198" t="s">
        <v>74</v>
      </c>
      <c r="N153" s="35" t="s">
        <v>37</v>
      </c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82"/>
      <c r="AK153" s="80"/>
      <c r="AL153" s="37"/>
      <c r="AM153" s="37"/>
      <c r="AN153" s="38"/>
      <c r="AO153" s="142"/>
      <c r="AP153" s="439"/>
      <c r="AQ153" s="39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25"/>
      <c r="BC153" s="411"/>
      <c r="BD153" s="411"/>
    </row>
    <row r="154" spans="1:56" s="3" customFormat="1" ht="15.4" thickTop="1" thickBot="1" x14ac:dyDescent="0.45">
      <c r="A154" s="440">
        <f t="shared" ref="A154" si="34">A151+1</f>
        <v>43</v>
      </c>
      <c r="B154" s="92" t="s">
        <v>528</v>
      </c>
      <c r="C154" s="14" t="s">
        <v>105</v>
      </c>
      <c r="D154" s="227" t="s">
        <v>246</v>
      </c>
      <c r="E154" s="150"/>
      <c r="F154" s="150" t="s">
        <v>504</v>
      </c>
      <c r="G154" s="64" t="s">
        <v>102</v>
      </c>
      <c r="H154" s="16" t="s">
        <v>94</v>
      </c>
      <c r="I154" s="14" t="s">
        <v>56</v>
      </c>
      <c r="J154" s="14" t="s">
        <v>3</v>
      </c>
      <c r="K154" s="14" t="s">
        <v>314</v>
      </c>
      <c r="L154" s="222"/>
      <c r="M154" s="196" t="s">
        <v>74</v>
      </c>
      <c r="N154" s="18" t="s">
        <v>35</v>
      </c>
      <c r="O154" s="19">
        <v>46176</v>
      </c>
      <c r="P154" s="19">
        <v>46168</v>
      </c>
      <c r="Q154" s="19">
        <v>46182</v>
      </c>
      <c r="R154" s="19">
        <v>46182</v>
      </c>
      <c r="S154" s="19">
        <v>46182</v>
      </c>
      <c r="T154" s="19">
        <v>46189</v>
      </c>
      <c r="U154" s="230">
        <v>46198</v>
      </c>
      <c r="V154" s="19">
        <v>46212</v>
      </c>
      <c r="W154" s="19">
        <v>46219</v>
      </c>
      <c r="X154" s="19">
        <v>46223</v>
      </c>
      <c r="Y154" s="19">
        <v>46230</v>
      </c>
      <c r="Z154" s="19">
        <v>46244</v>
      </c>
      <c r="AA154" s="19">
        <v>46259</v>
      </c>
      <c r="AB154" s="19">
        <v>46269</v>
      </c>
      <c r="AC154" s="19">
        <v>46269</v>
      </c>
      <c r="AD154" s="19">
        <v>46271</v>
      </c>
      <c r="AE154" s="19">
        <v>46400</v>
      </c>
      <c r="AF154" s="19">
        <v>46410</v>
      </c>
      <c r="AG154" s="19">
        <v>46415</v>
      </c>
      <c r="AH154" s="19">
        <v>46418</v>
      </c>
      <c r="AI154" s="19">
        <v>46445</v>
      </c>
      <c r="AJ154" s="58">
        <v>28</v>
      </c>
      <c r="AK154" s="59">
        <v>196</v>
      </c>
      <c r="AL154" s="78">
        <v>46415</v>
      </c>
      <c r="AM154" s="78">
        <v>46492</v>
      </c>
      <c r="AN154" s="20">
        <f>AM154-AL155</f>
        <v>71</v>
      </c>
      <c r="AO154" s="143" t="s">
        <v>694</v>
      </c>
      <c r="AP154" s="437" t="s">
        <v>671</v>
      </c>
      <c r="AQ154" s="21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425"/>
      <c r="BC154" s="411"/>
      <c r="BD154" s="411"/>
    </row>
    <row r="155" spans="1:56" s="3" customFormat="1" ht="15.4" thickTop="1" thickBot="1" x14ac:dyDescent="0.45">
      <c r="A155" s="441"/>
      <c r="B155" s="93" t="s">
        <v>244</v>
      </c>
      <c r="C155" s="41" t="s">
        <v>105</v>
      </c>
      <c r="D155" s="43" t="s">
        <v>245</v>
      </c>
      <c r="E155" s="157"/>
      <c r="F155" s="157"/>
      <c r="G155" s="43" t="s">
        <v>102</v>
      </c>
      <c r="H155" s="46" t="s">
        <v>94</v>
      </c>
      <c r="I155" s="23" t="s">
        <v>56</v>
      </c>
      <c r="J155" s="41" t="s">
        <v>3</v>
      </c>
      <c r="K155" s="41" t="s">
        <v>314</v>
      </c>
      <c r="L155" s="223"/>
      <c r="M155" s="197" t="s">
        <v>74</v>
      </c>
      <c r="N155" s="26" t="s">
        <v>36</v>
      </c>
      <c r="O155" s="27"/>
      <c r="P155" s="28"/>
      <c r="Q155" s="28"/>
      <c r="R155" s="28"/>
      <c r="S155" s="28"/>
      <c r="T155" s="145"/>
      <c r="U155" s="28">
        <f>WORKDAY(T156, U9, IF(U12="China",'China Holidays'!$A$2:$A$84,'Thai Holidays'!$A$2:$A$65))</f>
        <v>46211</v>
      </c>
      <c r="V155" s="28">
        <f>WORKDAY(U155, V9, IF(V12="China",'China Holidays'!$A$2:$A$84,'Thai Holidays'!$A$2:$A$65))</f>
        <v>46225</v>
      </c>
      <c r="W155" s="28">
        <f>V155</f>
        <v>46225</v>
      </c>
      <c r="X155" s="28">
        <f>WORKDAY(W155, X9, IF(X12="China",'China Holidays'!$A$2:$A$84,'Thai Holidays'!$A$2:$A$65))</f>
        <v>46227</v>
      </c>
      <c r="Y155" s="28">
        <f>WORKDAY(X155, Y9, IF(Y12="China",'China Holidays'!$A$2:$A$84,'Thai Holidays'!$A$2:$A$65))</f>
        <v>46234</v>
      </c>
      <c r="Z155" s="28">
        <f>WORKDAY(Y155, Z9, IF(Z12="China",'China Holidays'!$A$2:$A$84,'Thai Holidays'!$A$2:$A$65))</f>
        <v>46248</v>
      </c>
      <c r="AA155" s="28">
        <f>WORKDAY(Z155, AA9, IF(AA12="China",'China Holidays'!$A$2:$A$84,'Thai Holidays'!$A$2:$A$65))</f>
        <v>46262</v>
      </c>
      <c r="AB155" s="28">
        <f>AA155+10</f>
        <v>46272</v>
      </c>
      <c r="AC155" s="28">
        <f>AB155</f>
        <v>46272</v>
      </c>
      <c r="AD155" s="28">
        <f>AC155+2</f>
        <v>46274</v>
      </c>
      <c r="AE155" s="28">
        <f>AF155-10</f>
        <v>46406</v>
      </c>
      <c r="AF155" s="28">
        <f>AG155-5</f>
        <v>46416</v>
      </c>
      <c r="AG155" s="28">
        <f>AL155</f>
        <v>46421</v>
      </c>
      <c r="AH155" s="28">
        <f>AL154+3</f>
        <v>46418</v>
      </c>
      <c r="AI155" s="28">
        <f>AL154+30</f>
        <v>46445</v>
      </c>
      <c r="AJ155" s="89"/>
      <c r="AK155" s="90"/>
      <c r="AL155" s="83">
        <f>W155+AK154</f>
        <v>46421</v>
      </c>
      <c r="AM155" s="83"/>
      <c r="AN155" s="29"/>
      <c r="AO155" s="141"/>
      <c r="AP155" s="438"/>
      <c r="AQ155" s="21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425"/>
      <c r="BC155" s="411"/>
      <c r="BD155" s="411"/>
    </row>
    <row r="156" spans="1:56" s="3" customFormat="1" ht="15.4" thickTop="1" thickBot="1" x14ac:dyDescent="0.45">
      <c r="A156" s="442"/>
      <c r="B156" s="94" t="s">
        <v>244</v>
      </c>
      <c r="C156" s="32" t="s">
        <v>105</v>
      </c>
      <c r="D156" s="44" t="s">
        <v>245</v>
      </c>
      <c r="E156" s="151"/>
      <c r="F156" s="151"/>
      <c r="G156" s="45" t="s">
        <v>102</v>
      </c>
      <c r="H156" s="34" t="s">
        <v>94</v>
      </c>
      <c r="I156" s="32" t="s">
        <v>56</v>
      </c>
      <c r="J156" s="32" t="s">
        <v>3</v>
      </c>
      <c r="K156" s="32" t="s">
        <v>314</v>
      </c>
      <c r="L156" s="96"/>
      <c r="M156" s="198" t="s">
        <v>74</v>
      </c>
      <c r="N156" s="35" t="s">
        <v>37</v>
      </c>
      <c r="O156" s="36">
        <v>46189</v>
      </c>
      <c r="P156" s="36">
        <v>46142</v>
      </c>
      <c r="Q156" s="36">
        <v>46160</v>
      </c>
      <c r="R156" s="36">
        <v>46190</v>
      </c>
      <c r="S156" s="36">
        <v>46190</v>
      </c>
      <c r="T156" s="36">
        <v>46202</v>
      </c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82"/>
      <c r="AK156" s="80"/>
      <c r="AL156" s="37"/>
      <c r="AM156" s="37"/>
      <c r="AN156" s="38"/>
      <c r="AO156" s="142"/>
      <c r="AP156" s="439"/>
      <c r="AQ156" s="39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25"/>
      <c r="BC156" s="411"/>
      <c r="BD156" s="411"/>
    </row>
    <row r="157" spans="1:56" s="3" customFormat="1" ht="15.4" thickTop="1" thickBot="1" x14ac:dyDescent="0.45">
      <c r="A157" s="440">
        <f t="shared" ref="A157" si="35">A154+1</f>
        <v>44</v>
      </c>
      <c r="B157" s="92" t="s">
        <v>247</v>
      </c>
      <c r="C157" s="14" t="s">
        <v>106</v>
      </c>
      <c r="D157" s="15" t="s">
        <v>835</v>
      </c>
      <c r="E157" s="150"/>
      <c r="F157" s="150"/>
      <c r="G157" s="64" t="s">
        <v>102</v>
      </c>
      <c r="H157" s="16" t="s">
        <v>94</v>
      </c>
      <c r="I157" s="14" t="s">
        <v>56</v>
      </c>
      <c r="J157" s="14" t="s">
        <v>3</v>
      </c>
      <c r="K157" s="14" t="s">
        <v>314</v>
      </c>
      <c r="L157" s="222"/>
      <c r="M157" s="196" t="s">
        <v>74</v>
      </c>
      <c r="N157" s="18" t="s">
        <v>35</v>
      </c>
      <c r="O157" s="230">
        <v>46262</v>
      </c>
      <c r="P157" s="19">
        <v>46258</v>
      </c>
      <c r="Q157" s="19">
        <v>46272</v>
      </c>
      <c r="R157" s="19">
        <v>46272</v>
      </c>
      <c r="S157" s="19">
        <v>46272</v>
      </c>
      <c r="T157" s="19">
        <v>46279</v>
      </c>
      <c r="U157" s="19">
        <v>46288</v>
      </c>
      <c r="V157" s="19">
        <v>46302</v>
      </c>
      <c r="W157" s="19">
        <v>46309</v>
      </c>
      <c r="X157" s="19">
        <v>46311</v>
      </c>
      <c r="Y157" s="19">
        <v>46318</v>
      </c>
      <c r="Z157" s="19">
        <v>46332</v>
      </c>
      <c r="AA157" s="19">
        <v>46346</v>
      </c>
      <c r="AB157" s="19">
        <v>46356</v>
      </c>
      <c r="AC157" s="19">
        <v>46356</v>
      </c>
      <c r="AD157" s="19">
        <v>46358</v>
      </c>
      <c r="AE157" s="19">
        <v>46391</v>
      </c>
      <c r="AF157" s="19">
        <v>46398</v>
      </c>
      <c r="AG157" s="19">
        <v>46403</v>
      </c>
      <c r="AH157" s="19">
        <v>46406</v>
      </c>
      <c r="AI157" s="19">
        <v>46433</v>
      </c>
      <c r="AJ157" s="58">
        <v>13.428571428571429</v>
      </c>
      <c r="AK157" s="59">
        <v>94</v>
      </c>
      <c r="AL157" s="78">
        <v>46403</v>
      </c>
      <c r="AM157" s="78">
        <v>46486</v>
      </c>
      <c r="AN157" s="20">
        <f>AM157-AL158</f>
        <v>83</v>
      </c>
      <c r="AO157" s="143"/>
      <c r="AP157" s="437"/>
      <c r="AQ157" s="21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425"/>
      <c r="BC157" s="411"/>
      <c r="BD157" s="411"/>
    </row>
    <row r="158" spans="1:56" s="3" customFormat="1" ht="15.4" thickTop="1" thickBot="1" x14ac:dyDescent="0.45">
      <c r="A158" s="441"/>
      <c r="B158" s="93" t="s">
        <v>247</v>
      </c>
      <c r="C158" s="41" t="s">
        <v>106</v>
      </c>
      <c r="D158" s="43" t="s">
        <v>835</v>
      </c>
      <c r="E158" s="157"/>
      <c r="F158" s="157"/>
      <c r="G158" s="43" t="s">
        <v>102</v>
      </c>
      <c r="H158" s="46" t="s">
        <v>94</v>
      </c>
      <c r="I158" s="23" t="s">
        <v>56</v>
      </c>
      <c r="J158" s="41" t="s">
        <v>3</v>
      </c>
      <c r="K158" s="41" t="s">
        <v>314</v>
      </c>
      <c r="L158" s="223"/>
      <c r="M158" s="197" t="s">
        <v>74</v>
      </c>
      <c r="N158" s="26" t="s">
        <v>36</v>
      </c>
      <c r="O158" s="27">
        <f>O157</f>
        <v>46262</v>
      </c>
      <c r="P158" s="28"/>
      <c r="Q158" s="28">
        <f>WORKDAY(P159, Q9, IF(Q12="China",'China Holidays'!$A$2:$A$84,'Thai Holidays'!$A$2:$A$65))</f>
        <v>46206</v>
      </c>
      <c r="R158" s="28">
        <f>R157</f>
        <v>46272</v>
      </c>
      <c r="S158" s="28">
        <f>WORKDAY(R158, S9, IF(S12="China",'China Holidays'!$A$2:$A$84,'Thai Holidays'!$A$2:$A$65))</f>
        <v>46272</v>
      </c>
      <c r="T158" s="28">
        <f>WORKDAY(S158, T9, IF(T12="China",'China Holidays'!$A$2:$A$84,'Thai Holidays'!$A$2:$A$65))</f>
        <v>46279</v>
      </c>
      <c r="U158" s="28">
        <f>WORKDAY(T158, U9, IF(U12="China",'China Holidays'!$A$2:$A$84,'Thai Holidays'!$A$2:$A$65))</f>
        <v>46288</v>
      </c>
      <c r="V158" s="28">
        <f>WORKDAY(U158, V9, IF(V12="China",'China Holidays'!$A$2:$A$84,'Thai Holidays'!$A$2:$A$65))</f>
        <v>46302</v>
      </c>
      <c r="W158" s="28">
        <f>WORKDAY(V158, W9, IF(W12="China",'China Holidays'!$A$2:$A$84,'Thai Holidays'!$A$2:$A$65))</f>
        <v>46309</v>
      </c>
      <c r="X158" s="28">
        <f>WORKDAY(W158, X9, IF(X12="China",'China Holidays'!$A$2:$A$84,'Thai Holidays'!$A$2:$A$65))</f>
        <v>46311</v>
      </c>
      <c r="Y158" s="28">
        <f>WORKDAY(X158, Y9, IF(Y12="China",'China Holidays'!$A$2:$A$84,'Thai Holidays'!$A$2:$A$65))</f>
        <v>46318</v>
      </c>
      <c r="Z158" s="28">
        <f>WORKDAY(Y158, Z9, IF(Z12="China",'China Holidays'!$A$2:$A$84,'Thai Holidays'!$A$2:$A$65))</f>
        <v>46332</v>
      </c>
      <c r="AA158" s="28">
        <f>WORKDAY(Z158, AA9, IF(AA12="China",'China Holidays'!$A$2:$A$84,'Thai Holidays'!$A$2:$A$65))</f>
        <v>46346</v>
      </c>
      <c r="AB158" s="28">
        <f>AA158+10</f>
        <v>46356</v>
      </c>
      <c r="AC158" s="28">
        <f>AB158</f>
        <v>46356</v>
      </c>
      <c r="AD158" s="28">
        <f>AC158+2</f>
        <v>46358</v>
      </c>
      <c r="AE158" s="28">
        <f>AF158-7</f>
        <v>46391</v>
      </c>
      <c r="AF158" s="28">
        <f>AG158-5</f>
        <v>46398</v>
      </c>
      <c r="AG158" s="28">
        <f>AL158</f>
        <v>46403</v>
      </c>
      <c r="AH158" s="28">
        <f>AL157+3</f>
        <v>46406</v>
      </c>
      <c r="AI158" s="28">
        <f>AL157+30</f>
        <v>46433</v>
      </c>
      <c r="AJ158" s="81"/>
      <c r="AK158" s="79"/>
      <c r="AL158" s="83">
        <f>W158+AK157</f>
        <v>46403</v>
      </c>
      <c r="AM158" s="83"/>
      <c r="AN158" s="29"/>
      <c r="AO158" s="141"/>
      <c r="AP158" s="438"/>
      <c r="AQ158" s="21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425"/>
      <c r="BC158" s="411"/>
      <c r="BD158" s="411"/>
    </row>
    <row r="159" spans="1:56" s="3" customFormat="1" ht="15.4" thickTop="1" thickBot="1" x14ac:dyDescent="0.45">
      <c r="A159" s="442"/>
      <c r="B159" s="94" t="s">
        <v>247</v>
      </c>
      <c r="C159" s="32" t="s">
        <v>106</v>
      </c>
      <c r="D159" s="44" t="s">
        <v>835</v>
      </c>
      <c r="E159" s="151"/>
      <c r="F159" s="151"/>
      <c r="G159" s="45" t="s">
        <v>102</v>
      </c>
      <c r="H159" s="34" t="s">
        <v>94</v>
      </c>
      <c r="I159" s="32" t="s">
        <v>56</v>
      </c>
      <c r="J159" s="32" t="s">
        <v>3</v>
      </c>
      <c r="K159" s="32" t="s">
        <v>314</v>
      </c>
      <c r="L159" s="96"/>
      <c r="M159" s="198" t="s">
        <v>74</v>
      </c>
      <c r="N159" s="35" t="s">
        <v>37</v>
      </c>
      <c r="O159" s="36"/>
      <c r="P159" s="36">
        <v>46194</v>
      </c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82"/>
      <c r="AK159" s="80"/>
      <c r="AL159" s="37"/>
      <c r="AM159" s="37"/>
      <c r="AN159" s="38"/>
      <c r="AO159" s="142"/>
      <c r="AP159" s="439"/>
      <c r="AQ159" s="39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25"/>
      <c r="BC159" s="411"/>
      <c r="BD159" s="411"/>
    </row>
    <row r="160" spans="1:56" s="3" customFormat="1" ht="15.4" thickTop="1" thickBot="1" x14ac:dyDescent="0.45">
      <c r="A160" s="440">
        <f t="shared" ref="A160" si="36">A157+1</f>
        <v>45</v>
      </c>
      <c r="B160" s="92" t="s">
        <v>248</v>
      </c>
      <c r="C160" s="14" t="s">
        <v>107</v>
      </c>
      <c r="D160" s="229" t="s">
        <v>836</v>
      </c>
      <c r="E160" s="150"/>
      <c r="F160" s="150"/>
      <c r="G160" s="64" t="s">
        <v>102</v>
      </c>
      <c r="H160" s="16" t="s">
        <v>94</v>
      </c>
      <c r="I160" s="14" t="s">
        <v>56</v>
      </c>
      <c r="J160" s="14" t="s">
        <v>3</v>
      </c>
      <c r="K160" s="14" t="s">
        <v>314</v>
      </c>
      <c r="L160" s="222"/>
      <c r="M160" s="196" t="s">
        <v>74</v>
      </c>
      <c r="N160" s="18" t="s">
        <v>35</v>
      </c>
      <c r="O160" s="230">
        <v>46247</v>
      </c>
      <c r="P160" s="19">
        <v>46238</v>
      </c>
      <c r="Q160" s="19">
        <v>46253</v>
      </c>
      <c r="R160" s="19">
        <v>46253</v>
      </c>
      <c r="S160" s="19">
        <v>46253</v>
      </c>
      <c r="T160" s="19">
        <v>46260</v>
      </c>
      <c r="U160" s="19">
        <v>46269</v>
      </c>
      <c r="V160" s="19">
        <v>46283</v>
      </c>
      <c r="W160" s="19">
        <v>46293</v>
      </c>
      <c r="X160" s="19">
        <v>46295</v>
      </c>
      <c r="Y160" s="19">
        <v>46309</v>
      </c>
      <c r="Z160" s="19">
        <v>46323</v>
      </c>
      <c r="AA160" s="19">
        <v>46337</v>
      </c>
      <c r="AB160" s="19">
        <v>46352</v>
      </c>
      <c r="AC160" s="19">
        <v>46352</v>
      </c>
      <c r="AD160" s="19">
        <v>46354</v>
      </c>
      <c r="AE160" s="19">
        <v>46391</v>
      </c>
      <c r="AF160" s="19">
        <v>46400</v>
      </c>
      <c r="AG160" s="19">
        <v>46405</v>
      </c>
      <c r="AH160" s="19">
        <v>46408</v>
      </c>
      <c r="AI160" s="19">
        <v>46435</v>
      </c>
      <c r="AJ160" s="58">
        <v>16</v>
      </c>
      <c r="AK160" s="59">
        <v>112</v>
      </c>
      <c r="AL160" s="78">
        <v>46405</v>
      </c>
      <c r="AM160" s="78">
        <v>46486</v>
      </c>
      <c r="AN160" s="20">
        <v>44</v>
      </c>
      <c r="AO160" s="143"/>
      <c r="AP160" s="437"/>
      <c r="AQ160" s="21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425"/>
      <c r="BC160" s="411"/>
      <c r="BD160" s="411"/>
    </row>
    <row r="161" spans="1:56" s="3" customFormat="1" ht="15.4" thickTop="1" thickBot="1" x14ac:dyDescent="0.45">
      <c r="A161" s="441"/>
      <c r="B161" s="93" t="s">
        <v>248</v>
      </c>
      <c r="C161" s="41" t="s">
        <v>107</v>
      </c>
      <c r="D161" s="43" t="s">
        <v>836</v>
      </c>
      <c r="E161" s="157"/>
      <c r="F161" s="157"/>
      <c r="G161" s="43" t="s">
        <v>102</v>
      </c>
      <c r="H161" s="46" t="s">
        <v>94</v>
      </c>
      <c r="I161" s="23" t="s">
        <v>56</v>
      </c>
      <c r="J161" s="41" t="s">
        <v>3</v>
      </c>
      <c r="K161" s="41" t="s">
        <v>314</v>
      </c>
      <c r="L161" s="223"/>
      <c r="M161" s="197" t="s">
        <v>74</v>
      </c>
      <c r="N161" s="26" t="s">
        <v>36</v>
      </c>
      <c r="O161" s="27">
        <f>O160</f>
        <v>46247</v>
      </c>
      <c r="P161" s="28"/>
      <c r="Q161" s="28"/>
      <c r="R161" s="28">
        <f>R160</f>
        <v>46253</v>
      </c>
      <c r="S161" s="28">
        <f>WORKDAY(R161, S9, IF(S12="China",'China Holidays'!$A$2:$A$84,'Thai Holidays'!$A$2:$A$65))</f>
        <v>46253</v>
      </c>
      <c r="T161" s="28">
        <f>WORKDAY(S161, T9, IF(T12="China",'China Holidays'!$A$2:$A$84,'Thai Holidays'!$A$2:$A$65))</f>
        <v>46260</v>
      </c>
      <c r="U161" s="28">
        <f>WORKDAY(T161, U9, IF(U12="China",'China Holidays'!$A$2:$A$84,'Thai Holidays'!$A$2:$A$65))</f>
        <v>46269</v>
      </c>
      <c r="V161" s="28">
        <f>WORKDAY(U161, V9, IF(V12="China",'China Holidays'!$A$2:$A$84,'Thai Holidays'!$A$2:$A$65))</f>
        <v>46283</v>
      </c>
      <c r="W161" s="28">
        <f>WORKDAY(V161, W9, IF(W12="China",'China Holidays'!$A$2:$A$84,'Thai Holidays'!$A$2:$A$65))</f>
        <v>46293</v>
      </c>
      <c r="X161" s="28">
        <f>WORKDAY(W161, X9, IF(X12="China",'China Holidays'!$A$2:$A$84,'Thai Holidays'!$A$2:$A$65))</f>
        <v>46295</v>
      </c>
      <c r="Y161" s="28">
        <f>WORKDAY(X161, Y9, IF(Y12="China",'China Holidays'!$A$2:$A$84,'Thai Holidays'!$A$2:$A$65))</f>
        <v>46309</v>
      </c>
      <c r="Z161" s="28">
        <f>WORKDAY(Y161, Z9, IF(Z12="China",'China Holidays'!$A$2:$A$84,'Thai Holidays'!$A$2:$A$65))</f>
        <v>46323</v>
      </c>
      <c r="AA161" s="28">
        <f>WORKDAY(Z161, AA9, IF(AA12="China",'China Holidays'!$A$2:$A$84,'Thai Holidays'!$A$2:$A$65))</f>
        <v>46337</v>
      </c>
      <c r="AB161" s="28">
        <f>AA161+15</f>
        <v>46352</v>
      </c>
      <c r="AC161" s="28">
        <f>AB161</f>
        <v>46352</v>
      </c>
      <c r="AD161" s="28">
        <f>AC161+2</f>
        <v>46354</v>
      </c>
      <c r="AE161" s="28">
        <f>AF161-9</f>
        <v>46391</v>
      </c>
      <c r="AF161" s="28">
        <f>AG161-5</f>
        <v>46400</v>
      </c>
      <c r="AG161" s="28">
        <f>AL161</f>
        <v>46405</v>
      </c>
      <c r="AH161" s="28">
        <f>AL160+3</f>
        <v>46408</v>
      </c>
      <c r="AI161" s="28">
        <f>AL160+30</f>
        <v>46435</v>
      </c>
      <c r="AJ161" s="81"/>
      <c r="AK161" s="79"/>
      <c r="AL161" s="83">
        <f>W161+AK160</f>
        <v>46405</v>
      </c>
      <c r="AM161" s="83"/>
      <c r="AN161" s="29"/>
      <c r="AO161" s="141"/>
      <c r="AP161" s="438"/>
      <c r="AQ161" s="21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425"/>
      <c r="BC161" s="411"/>
      <c r="BD161" s="411"/>
    </row>
    <row r="162" spans="1:56" s="3" customFormat="1" ht="15.4" thickTop="1" thickBot="1" x14ac:dyDescent="0.45">
      <c r="A162" s="442"/>
      <c r="B162" s="94" t="s">
        <v>248</v>
      </c>
      <c r="C162" s="32" t="s">
        <v>107</v>
      </c>
      <c r="D162" s="44" t="s">
        <v>836</v>
      </c>
      <c r="E162" s="151"/>
      <c r="F162" s="151"/>
      <c r="G162" s="45" t="s">
        <v>102</v>
      </c>
      <c r="H162" s="34" t="s">
        <v>94</v>
      </c>
      <c r="I162" s="32" t="s">
        <v>56</v>
      </c>
      <c r="J162" s="32" t="s">
        <v>3</v>
      </c>
      <c r="K162" s="32" t="s">
        <v>314</v>
      </c>
      <c r="L162" s="96"/>
      <c r="M162" s="198" t="s">
        <v>74</v>
      </c>
      <c r="N162" s="35" t="s">
        <v>37</v>
      </c>
      <c r="O162" s="36"/>
      <c r="P162" s="36">
        <v>46185</v>
      </c>
      <c r="Q162" s="36">
        <v>46201</v>
      </c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82"/>
      <c r="AK162" s="80"/>
      <c r="AL162" s="37"/>
      <c r="AM162" s="37"/>
      <c r="AN162" s="38"/>
      <c r="AO162" s="142"/>
      <c r="AP162" s="439"/>
      <c r="AQ162" s="39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25"/>
      <c r="BC162" s="411"/>
      <c r="BD162" s="411"/>
    </row>
    <row r="163" spans="1:56" s="3" customFormat="1" ht="15.4" thickTop="1" thickBot="1" x14ac:dyDescent="0.45">
      <c r="A163" s="440">
        <f t="shared" ref="A163" si="37">A160+1</f>
        <v>46</v>
      </c>
      <c r="B163" s="92" t="s">
        <v>250</v>
      </c>
      <c r="C163" s="14" t="s">
        <v>251</v>
      </c>
      <c r="D163" s="87" t="s">
        <v>249</v>
      </c>
      <c r="E163" s="152"/>
      <c r="F163" s="152"/>
      <c r="G163" s="64" t="s">
        <v>102</v>
      </c>
      <c r="H163" s="16" t="s">
        <v>94</v>
      </c>
      <c r="I163" s="14" t="s">
        <v>56</v>
      </c>
      <c r="J163" s="14" t="s">
        <v>3</v>
      </c>
      <c r="K163" s="14" t="s">
        <v>314</v>
      </c>
      <c r="L163" s="222"/>
      <c r="M163" s="196" t="s">
        <v>74</v>
      </c>
      <c r="N163" s="18" t="s">
        <v>35</v>
      </c>
      <c r="O163" s="230">
        <v>46247</v>
      </c>
      <c r="P163" s="19">
        <v>46238</v>
      </c>
      <c r="Q163" s="19">
        <v>46253</v>
      </c>
      <c r="R163" s="19">
        <v>46253</v>
      </c>
      <c r="S163" s="19">
        <v>46253</v>
      </c>
      <c r="T163" s="19">
        <v>46260</v>
      </c>
      <c r="U163" s="19">
        <v>46269</v>
      </c>
      <c r="V163" s="19">
        <v>46283</v>
      </c>
      <c r="W163" s="19">
        <v>46293</v>
      </c>
      <c r="X163" s="19">
        <v>46295</v>
      </c>
      <c r="Y163" s="19">
        <v>46309</v>
      </c>
      <c r="Z163" s="19">
        <v>46323</v>
      </c>
      <c r="AA163" s="19">
        <v>46337</v>
      </c>
      <c r="AB163" s="19">
        <v>46352</v>
      </c>
      <c r="AC163" s="19">
        <v>46352</v>
      </c>
      <c r="AD163" s="19">
        <v>46354</v>
      </c>
      <c r="AE163" s="19">
        <v>46390</v>
      </c>
      <c r="AF163" s="19">
        <v>46400</v>
      </c>
      <c r="AG163" s="19">
        <v>46405</v>
      </c>
      <c r="AH163" s="19">
        <v>46408</v>
      </c>
      <c r="AI163" s="19">
        <v>46435</v>
      </c>
      <c r="AJ163" s="58">
        <v>16</v>
      </c>
      <c r="AK163" s="59">
        <v>112</v>
      </c>
      <c r="AL163" s="78">
        <v>46405</v>
      </c>
      <c r="AM163" s="78">
        <v>46486</v>
      </c>
      <c r="AN163" s="20">
        <f>AM163-AL164</f>
        <v>81</v>
      </c>
      <c r="AO163" s="143"/>
      <c r="AP163" s="437"/>
      <c r="AQ163" s="21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425"/>
      <c r="BC163" s="411"/>
      <c r="BD163" s="411"/>
    </row>
    <row r="164" spans="1:56" s="3" customFormat="1" ht="15.4" thickTop="1" thickBot="1" x14ac:dyDescent="0.45">
      <c r="A164" s="441"/>
      <c r="B164" s="93" t="s">
        <v>250</v>
      </c>
      <c r="C164" s="41" t="s">
        <v>251</v>
      </c>
      <c r="D164" s="87" t="s">
        <v>249</v>
      </c>
      <c r="E164" s="181"/>
      <c r="F164" s="181"/>
      <c r="G164" s="43" t="s">
        <v>102</v>
      </c>
      <c r="H164" s="46" t="s">
        <v>94</v>
      </c>
      <c r="I164" s="23" t="s">
        <v>56</v>
      </c>
      <c r="J164" s="41" t="s">
        <v>3</v>
      </c>
      <c r="K164" s="41" t="s">
        <v>314</v>
      </c>
      <c r="L164" s="223"/>
      <c r="M164" s="197" t="s">
        <v>74</v>
      </c>
      <c r="N164" s="26" t="s">
        <v>36</v>
      </c>
      <c r="O164" s="27">
        <f>O163</f>
        <v>46247</v>
      </c>
      <c r="P164" s="28"/>
      <c r="Q164" s="28">
        <f>WORKDAY(P165, Q9, IF(Q12="China",'China Holidays'!$A$2:$A$84,'Thai Holidays'!$A$2:$A$65))</f>
        <v>46205</v>
      </c>
      <c r="R164" s="28">
        <f>R163</f>
        <v>46253</v>
      </c>
      <c r="S164" s="28">
        <f>WORKDAY(R164, S9, IF(S12="China",'China Holidays'!$A$2:$A$84,'Thai Holidays'!$A$2:$A$65))</f>
        <v>46253</v>
      </c>
      <c r="T164" s="28">
        <f>WORKDAY(S164, T9, IF(T12="China",'China Holidays'!$A$2:$A$84,'Thai Holidays'!$A$2:$A$65))</f>
        <v>46260</v>
      </c>
      <c r="U164" s="28">
        <f>WORKDAY(T164, U9, IF(U12="China",'China Holidays'!$A$2:$A$84,'Thai Holidays'!$A$2:$A$65))</f>
        <v>46269</v>
      </c>
      <c r="V164" s="28">
        <f>WORKDAY(U164, V9, IF(V12="China",'China Holidays'!$A$2:$A$84,'Thai Holidays'!$A$2:$A$65))</f>
        <v>46283</v>
      </c>
      <c r="W164" s="28">
        <f>WORKDAY(V164, W9, IF(W12="China",'China Holidays'!$A$2:$A$84,'Thai Holidays'!$A$2:$A$65))</f>
        <v>46293</v>
      </c>
      <c r="X164" s="28">
        <f>WORKDAY(W164, X9, IF(X12="China",'China Holidays'!$A$2:$A$84,'Thai Holidays'!$A$2:$A$65))</f>
        <v>46295</v>
      </c>
      <c r="Y164" s="28">
        <f>WORKDAY(X164, Y9, IF(Y12="China",'China Holidays'!$A$2:$A$84,'Thai Holidays'!$A$2:$A$65))</f>
        <v>46309</v>
      </c>
      <c r="Z164" s="28">
        <f>WORKDAY(Y164, Z9, IF(Z12="China",'China Holidays'!$A$2:$A$84,'Thai Holidays'!$A$2:$A$65))</f>
        <v>46323</v>
      </c>
      <c r="AA164" s="28">
        <f>WORKDAY(Z164, AA9, IF(AA12="China",'China Holidays'!$A$2:$A$84,'Thai Holidays'!$A$2:$A$65))</f>
        <v>46337</v>
      </c>
      <c r="AB164" s="28">
        <f>AA164+15</f>
        <v>46352</v>
      </c>
      <c r="AC164" s="28">
        <f>AB164</f>
        <v>46352</v>
      </c>
      <c r="AD164" s="28">
        <f>AC164+2</f>
        <v>46354</v>
      </c>
      <c r="AE164" s="28">
        <f>AF164-10</f>
        <v>46390</v>
      </c>
      <c r="AF164" s="28">
        <f>AG164-5</f>
        <v>46400</v>
      </c>
      <c r="AG164" s="28">
        <f>AL164</f>
        <v>46405</v>
      </c>
      <c r="AH164" s="28">
        <f>AL163+3</f>
        <v>46408</v>
      </c>
      <c r="AI164" s="28">
        <f>AL163+30</f>
        <v>46435</v>
      </c>
      <c r="AJ164" s="81"/>
      <c r="AK164" s="79"/>
      <c r="AL164" s="83">
        <f>W164+AK163</f>
        <v>46405</v>
      </c>
      <c r="AM164" s="83"/>
      <c r="AN164" s="29"/>
      <c r="AO164" s="141"/>
      <c r="AP164" s="438"/>
      <c r="AQ164" s="21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425"/>
      <c r="BC164" s="411"/>
      <c r="BD164" s="411"/>
    </row>
    <row r="165" spans="1:56" s="3" customFormat="1" ht="15.4" thickTop="1" thickBot="1" x14ac:dyDescent="0.45">
      <c r="A165" s="442"/>
      <c r="B165" s="94" t="s">
        <v>250</v>
      </c>
      <c r="C165" s="32" t="s">
        <v>251</v>
      </c>
      <c r="D165" s="96" t="s">
        <v>249</v>
      </c>
      <c r="E165" s="151"/>
      <c r="F165" s="151"/>
      <c r="G165" s="45" t="s">
        <v>102</v>
      </c>
      <c r="H165" s="34" t="s">
        <v>94</v>
      </c>
      <c r="I165" s="32" t="s">
        <v>56</v>
      </c>
      <c r="J165" s="32" t="s">
        <v>3</v>
      </c>
      <c r="K165" s="32" t="s">
        <v>314</v>
      </c>
      <c r="L165" s="96"/>
      <c r="M165" s="198" t="s">
        <v>74</v>
      </c>
      <c r="N165" s="35" t="s">
        <v>37</v>
      </c>
      <c r="O165" s="36"/>
      <c r="P165" s="36">
        <v>46191</v>
      </c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82"/>
      <c r="AK165" s="80"/>
      <c r="AL165" s="37"/>
      <c r="AM165" s="37"/>
      <c r="AN165" s="38"/>
      <c r="AO165" s="142"/>
      <c r="AP165" s="439"/>
      <c r="AQ165" s="39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25"/>
      <c r="BC165" s="411"/>
      <c r="BD165" s="411"/>
    </row>
    <row r="166" spans="1:56" s="3" customFormat="1" ht="15.4" thickTop="1" thickBot="1" x14ac:dyDescent="0.45">
      <c r="A166" s="440">
        <f t="shared" ref="A166" si="38">A163+1</f>
        <v>47</v>
      </c>
      <c r="B166" s="92" t="s">
        <v>252</v>
      </c>
      <c r="C166" s="14" t="s">
        <v>798</v>
      </c>
      <c r="D166" s="227" t="s">
        <v>373</v>
      </c>
      <c r="E166" s="150"/>
      <c r="F166" s="150">
        <v>32</v>
      </c>
      <c r="G166" s="68" t="s">
        <v>118</v>
      </c>
      <c r="H166" s="16" t="s">
        <v>111</v>
      </c>
      <c r="I166" s="17" t="s">
        <v>33</v>
      </c>
      <c r="J166" s="14" t="s">
        <v>1</v>
      </c>
      <c r="K166" s="14" t="s">
        <v>308</v>
      </c>
      <c r="L166" s="92" t="s">
        <v>982</v>
      </c>
      <c r="M166" s="196" t="s">
        <v>34</v>
      </c>
      <c r="N166" s="18" t="s">
        <v>35</v>
      </c>
      <c r="O166" s="19">
        <v>46129</v>
      </c>
      <c r="P166" s="57">
        <v>46130</v>
      </c>
      <c r="Q166" s="19">
        <v>46139</v>
      </c>
      <c r="R166" s="19">
        <v>46140</v>
      </c>
      <c r="S166" s="19">
        <v>46147</v>
      </c>
      <c r="T166" s="19">
        <v>46154</v>
      </c>
      <c r="U166" s="19">
        <v>46163</v>
      </c>
      <c r="V166" s="19">
        <v>46167</v>
      </c>
      <c r="W166" s="230">
        <v>46174</v>
      </c>
      <c r="X166" s="19">
        <v>46176</v>
      </c>
      <c r="Y166" s="19">
        <v>46183</v>
      </c>
      <c r="Z166" s="19">
        <v>46198</v>
      </c>
      <c r="AA166" s="19">
        <v>46212</v>
      </c>
      <c r="AB166" s="19">
        <v>46272</v>
      </c>
      <c r="AC166" s="19">
        <v>46272</v>
      </c>
      <c r="AD166" s="19">
        <v>46274</v>
      </c>
      <c r="AE166" s="19">
        <v>46432</v>
      </c>
      <c r="AF166" s="19">
        <v>46452</v>
      </c>
      <c r="AG166" s="19">
        <v>46482</v>
      </c>
      <c r="AH166" s="19">
        <v>46485</v>
      </c>
      <c r="AI166" s="19">
        <v>46512</v>
      </c>
      <c r="AJ166" s="58">
        <v>44</v>
      </c>
      <c r="AK166" s="59">
        <v>308</v>
      </c>
      <c r="AL166" s="78">
        <v>46482</v>
      </c>
      <c r="AM166" s="78">
        <v>46515</v>
      </c>
      <c r="AN166" s="20">
        <f>AM166-AL167</f>
        <v>61</v>
      </c>
      <c r="AO166" s="143" t="s">
        <v>566</v>
      </c>
      <c r="AP166" s="431" t="s">
        <v>732</v>
      </c>
      <c r="AQ166" s="21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425" t="s">
        <v>995</v>
      </c>
      <c r="BC166" s="414" t="s">
        <v>940</v>
      </c>
      <c r="BD166" s="415"/>
    </row>
    <row r="167" spans="1:56" s="3" customFormat="1" ht="15.4" thickTop="1" thickBot="1" x14ac:dyDescent="0.45">
      <c r="A167" s="441"/>
      <c r="B167" s="93" t="s">
        <v>252</v>
      </c>
      <c r="C167" s="41" t="s">
        <v>108</v>
      </c>
      <c r="D167" s="24" t="s">
        <v>373</v>
      </c>
      <c r="E167" s="157"/>
      <c r="F167" s="157"/>
      <c r="G167" s="43" t="s">
        <v>118</v>
      </c>
      <c r="H167" s="46" t="s">
        <v>111</v>
      </c>
      <c r="I167" s="71" t="s">
        <v>33</v>
      </c>
      <c r="J167" s="41" t="s">
        <v>1</v>
      </c>
      <c r="K167" s="41" t="s">
        <v>308</v>
      </c>
      <c r="L167" s="216"/>
      <c r="M167" s="197" t="s">
        <v>34</v>
      </c>
      <c r="N167" s="26" t="s">
        <v>36</v>
      </c>
      <c r="O167" s="27"/>
      <c r="P167" s="28"/>
      <c r="Q167" s="83"/>
      <c r="R167" s="28"/>
      <c r="S167" s="28"/>
      <c r="T167" s="28"/>
      <c r="U167" s="145"/>
      <c r="V167" s="28"/>
      <c r="W167" s="28">
        <v>46206</v>
      </c>
      <c r="X167" s="28">
        <f>WORKDAY(W167, X6, IF(X12="China",'China Holidays'!$A$2:$A$84,'Thai Holidays'!$A$2:$A$65))</f>
        <v>46210</v>
      </c>
      <c r="Y167" s="28">
        <f>WORKDAY(W167, Y6, IF(Y12="China",'China Holidays'!$A$2:$A$84,'Thai Holidays'!$A$2:$A$65))</f>
        <v>46213</v>
      </c>
      <c r="Z167" s="28">
        <f>WORKDAY(Y167, Z6, IF(Z12="China",'China Holidays'!$A$2:$A$84,'Thai Holidays'!$A$2:$A$65))</f>
        <v>46241</v>
      </c>
      <c r="AA167" s="28">
        <f>WORKDAY(Z167, AA6, IF(AA12="China",'China Holidays'!$A$2:$A$84,'Thai Holidays'!$A$2:$A$65))</f>
        <v>46258</v>
      </c>
      <c r="AB167" s="28">
        <f>AA167+60</f>
        <v>46318</v>
      </c>
      <c r="AC167" s="28">
        <f>AB167+2</f>
        <v>46320</v>
      </c>
      <c r="AD167" s="28">
        <f>AC167+2</f>
        <v>46322</v>
      </c>
      <c r="AE167" s="28">
        <f>AF167-20</f>
        <v>46041</v>
      </c>
      <c r="AF167" s="28">
        <v>46061</v>
      </c>
      <c r="AG167" s="28">
        <f>AL167</f>
        <v>46454</v>
      </c>
      <c r="AH167" s="28">
        <f>AL166+3</f>
        <v>46485</v>
      </c>
      <c r="AI167" s="28">
        <f>AL166+30</f>
        <v>46512</v>
      </c>
      <c r="AJ167" s="81">
        <v>36</v>
      </c>
      <c r="AK167" s="79">
        <f>AJ167*7</f>
        <v>252</v>
      </c>
      <c r="AL167" s="83">
        <v>46454</v>
      </c>
      <c r="AM167" s="83"/>
      <c r="AN167" s="29"/>
      <c r="AO167" s="141"/>
      <c r="AP167" s="438"/>
      <c r="AQ167" s="21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425"/>
      <c r="BC167" s="414" t="s">
        <v>941</v>
      </c>
      <c r="BD167" s="415"/>
    </row>
    <row r="168" spans="1:56" s="3" customFormat="1" ht="15.4" thickTop="1" thickBot="1" x14ac:dyDescent="0.45">
      <c r="A168" s="442"/>
      <c r="B168" s="94" t="s">
        <v>252</v>
      </c>
      <c r="C168" s="32" t="s">
        <v>108</v>
      </c>
      <c r="D168" s="33" t="s">
        <v>373</v>
      </c>
      <c r="E168" s="151"/>
      <c r="F168" s="151"/>
      <c r="G168" s="44" t="s">
        <v>118</v>
      </c>
      <c r="H168" s="34" t="s">
        <v>111</v>
      </c>
      <c r="I168" s="72" t="s">
        <v>33</v>
      </c>
      <c r="J168" s="32" t="s">
        <v>1</v>
      </c>
      <c r="K168" s="32" t="s">
        <v>308</v>
      </c>
      <c r="L168" s="225"/>
      <c r="M168" s="198" t="s">
        <v>34</v>
      </c>
      <c r="N168" s="35" t="s">
        <v>37</v>
      </c>
      <c r="O168" s="36">
        <v>46133</v>
      </c>
      <c r="P168" s="36">
        <v>46122</v>
      </c>
      <c r="Q168" s="36">
        <v>46140</v>
      </c>
      <c r="R168" s="36">
        <v>46151</v>
      </c>
      <c r="S168" s="36">
        <v>46151</v>
      </c>
      <c r="T168" s="36">
        <v>46164</v>
      </c>
      <c r="U168" s="36">
        <v>46185</v>
      </c>
      <c r="V168" s="36">
        <v>46191</v>
      </c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82"/>
      <c r="AK168" s="80"/>
      <c r="AL168" s="387" t="s">
        <v>919</v>
      </c>
      <c r="AM168" s="37"/>
      <c r="AN168" s="38"/>
      <c r="AO168" s="142"/>
      <c r="AP168" s="439"/>
      <c r="AQ168" s="39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25"/>
      <c r="BC168" s="416"/>
      <c r="BD168" s="416"/>
    </row>
    <row r="169" spans="1:56" s="3" customFormat="1" ht="17.25" customHeight="1" thickTop="1" thickBot="1" x14ac:dyDescent="0.45">
      <c r="A169" s="440">
        <f t="shared" ref="A169" si="39">A166+1</f>
        <v>48</v>
      </c>
      <c r="B169" s="92" t="s">
        <v>254</v>
      </c>
      <c r="C169" s="14" t="s">
        <v>255</v>
      </c>
      <c r="D169" s="227" t="s">
        <v>374</v>
      </c>
      <c r="E169" s="150" t="s">
        <v>537</v>
      </c>
      <c r="F169" s="150" t="s">
        <v>536</v>
      </c>
      <c r="G169" s="64" t="s">
        <v>62</v>
      </c>
      <c r="H169" s="16" t="s">
        <v>111</v>
      </c>
      <c r="I169" s="14" t="s">
        <v>56</v>
      </c>
      <c r="J169" s="14" t="s">
        <v>1</v>
      </c>
      <c r="K169" s="14" t="s">
        <v>346</v>
      </c>
      <c r="L169" s="217"/>
      <c r="M169" s="196" t="s">
        <v>34</v>
      </c>
      <c r="N169" s="18" t="s">
        <v>35</v>
      </c>
      <c r="O169" s="19">
        <v>46141</v>
      </c>
      <c r="P169" s="19">
        <v>46142</v>
      </c>
      <c r="Q169" s="19">
        <v>46153</v>
      </c>
      <c r="R169" s="19">
        <v>46154</v>
      </c>
      <c r="S169" s="19">
        <v>46161</v>
      </c>
      <c r="T169" s="19">
        <v>46175</v>
      </c>
      <c r="U169" s="230">
        <v>46204</v>
      </c>
      <c r="V169" s="19">
        <v>46209</v>
      </c>
      <c r="W169" s="19">
        <v>46223</v>
      </c>
      <c r="X169" s="19">
        <v>46225</v>
      </c>
      <c r="Y169" s="19">
        <v>46232</v>
      </c>
      <c r="Z169" s="19">
        <v>46260</v>
      </c>
      <c r="AA169" s="19">
        <v>46274</v>
      </c>
      <c r="AB169" s="19">
        <v>46334</v>
      </c>
      <c r="AC169" s="19">
        <v>46334</v>
      </c>
      <c r="AD169" s="19">
        <v>46336</v>
      </c>
      <c r="AE169" s="19">
        <v>46420</v>
      </c>
      <c r="AF169" s="19">
        <v>46445</v>
      </c>
      <c r="AG169" s="19">
        <v>46475</v>
      </c>
      <c r="AH169" s="19">
        <v>46478</v>
      </c>
      <c r="AI169" s="19">
        <v>46505</v>
      </c>
      <c r="AJ169" s="58">
        <v>36</v>
      </c>
      <c r="AK169" s="59">
        <v>252</v>
      </c>
      <c r="AL169" s="78">
        <v>46475</v>
      </c>
      <c r="AM169" s="78">
        <v>46507</v>
      </c>
      <c r="AN169" s="20">
        <f>AM169-AL170</f>
        <v>30</v>
      </c>
      <c r="AO169" s="143" t="s">
        <v>566</v>
      </c>
      <c r="AP169" s="431" t="s">
        <v>584</v>
      </c>
      <c r="AQ169" s="21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425" t="s">
        <v>992</v>
      </c>
      <c r="BC169" s="412" t="s">
        <v>942</v>
      </c>
      <c r="BD169" s="412"/>
    </row>
    <row r="170" spans="1:56" s="3" customFormat="1" ht="16.5" customHeight="1" thickTop="1" thickBot="1" x14ac:dyDescent="0.45">
      <c r="A170" s="441"/>
      <c r="B170" s="93" t="s">
        <v>253</v>
      </c>
      <c r="C170" s="41" t="s">
        <v>255</v>
      </c>
      <c r="D170" s="24" t="s">
        <v>374</v>
      </c>
      <c r="E170" s="157" t="s">
        <v>538</v>
      </c>
      <c r="F170" s="157">
        <v>11</v>
      </c>
      <c r="G170" s="43" t="s">
        <v>62</v>
      </c>
      <c r="H170" s="46" t="s">
        <v>111</v>
      </c>
      <c r="I170" s="23" t="s">
        <v>56</v>
      </c>
      <c r="J170" s="41" t="s">
        <v>1</v>
      </c>
      <c r="K170" s="41" t="s">
        <v>346</v>
      </c>
      <c r="L170" s="244"/>
      <c r="M170" s="197" t="s">
        <v>34</v>
      </c>
      <c r="N170" s="26" t="s">
        <v>36</v>
      </c>
      <c r="O170" s="27"/>
      <c r="P170" s="28"/>
      <c r="Q170" s="83"/>
      <c r="R170" s="28"/>
      <c r="S170" s="28"/>
      <c r="T170" s="28"/>
      <c r="U170" s="28">
        <v>46211</v>
      </c>
      <c r="V170" s="28">
        <f>WORKDAY(U170, V7, IF(V12="China",'China Holidays'!$A$2:$A$84,'Thai Holidays'!$A$2:$A$65))</f>
        <v>46225</v>
      </c>
      <c r="W170" s="28">
        <f>V170</f>
        <v>46225</v>
      </c>
      <c r="X170" s="28">
        <f>WORKDAY(W170, X7, IF(X12="China",'China Holidays'!$A$2:$A$84,'Thai Holidays'!$A$2:$A$65))</f>
        <v>46227</v>
      </c>
      <c r="Y170" s="28">
        <f>WORKDAY(X170, Y7, IF(Y12="China",'China Holidays'!$A$2:$A$84,'Thai Holidays'!$A$2:$A$65))</f>
        <v>46234</v>
      </c>
      <c r="Z170" s="28">
        <f>WORKDAY(Y170, Z7, IF(Z12="China",'China Holidays'!$A$2:$A$84,'Thai Holidays'!$A$2:$A$65))</f>
        <v>46262</v>
      </c>
      <c r="AA170" s="28">
        <f>WORKDAY(Z170, AA7, IF(AA12="China",'China Holidays'!$A$2:$A$84,'Thai Holidays'!$A$2:$A$65))</f>
        <v>46276</v>
      </c>
      <c r="AB170" s="28">
        <f>AA170+60</f>
        <v>46336</v>
      </c>
      <c r="AC170" s="28">
        <f>AB170</f>
        <v>46336</v>
      </c>
      <c r="AD170" s="28">
        <f>AC170+2</f>
        <v>46338</v>
      </c>
      <c r="AE170" s="28">
        <f>AF170-25</f>
        <v>46422</v>
      </c>
      <c r="AF170" s="28">
        <f>AG170-30</f>
        <v>46447</v>
      </c>
      <c r="AG170" s="28">
        <f>AL170</f>
        <v>46477</v>
      </c>
      <c r="AH170" s="28">
        <f>AL169+3</f>
        <v>46478</v>
      </c>
      <c r="AI170" s="28">
        <f>AL169+30</f>
        <v>46505</v>
      </c>
      <c r="AJ170" s="81"/>
      <c r="AK170" s="79"/>
      <c r="AL170" s="83">
        <f>W170+AK169</f>
        <v>46477</v>
      </c>
      <c r="AM170" s="83"/>
      <c r="AN170" s="29"/>
      <c r="AO170" s="141"/>
      <c r="AP170" s="438"/>
      <c r="AQ170" s="21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425" t="s">
        <v>993</v>
      </c>
      <c r="BC170" s="412" t="s">
        <v>943</v>
      </c>
      <c r="BD170" s="412"/>
    </row>
    <row r="171" spans="1:56" s="3" customFormat="1" ht="16.899999999999999" customHeight="1" thickTop="1" thickBot="1" x14ac:dyDescent="0.45">
      <c r="A171" s="442"/>
      <c r="B171" s="94" t="s">
        <v>253</v>
      </c>
      <c r="C171" s="32" t="s">
        <v>255</v>
      </c>
      <c r="D171" s="48" t="s">
        <v>374</v>
      </c>
      <c r="E171" s="158"/>
      <c r="F171" s="158"/>
      <c r="G171" s="45" t="s">
        <v>62</v>
      </c>
      <c r="H171" s="34" t="s">
        <v>111</v>
      </c>
      <c r="I171" s="32" t="s">
        <v>56</v>
      </c>
      <c r="J171" s="32" t="s">
        <v>1</v>
      </c>
      <c r="K171" s="32" t="s">
        <v>346</v>
      </c>
      <c r="L171" s="245"/>
      <c r="M171" s="198" t="s">
        <v>34</v>
      </c>
      <c r="N171" s="35" t="s">
        <v>37</v>
      </c>
      <c r="O171" s="36">
        <v>46164</v>
      </c>
      <c r="P171" s="36">
        <v>46133</v>
      </c>
      <c r="Q171" s="36">
        <v>46153</v>
      </c>
      <c r="R171" s="36">
        <v>46167</v>
      </c>
      <c r="S171" s="36">
        <v>46167</v>
      </c>
      <c r="T171" s="36">
        <v>46179</v>
      </c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82"/>
      <c r="AK171" s="80"/>
      <c r="AL171" s="37"/>
      <c r="AM171" s="37"/>
      <c r="AN171" s="38"/>
      <c r="AO171" s="142"/>
      <c r="AP171" s="439"/>
      <c r="AQ171" s="39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25"/>
      <c r="BC171" s="411"/>
      <c r="BD171" s="411"/>
    </row>
    <row r="172" spans="1:56" s="3" customFormat="1" ht="15.4" thickTop="1" thickBot="1" x14ac:dyDescent="0.45">
      <c r="A172" s="440">
        <f t="shared" ref="A172" si="40">A169+1</f>
        <v>49</v>
      </c>
      <c r="B172" s="92" t="s">
        <v>256</v>
      </c>
      <c r="C172" s="14" t="s">
        <v>113</v>
      </c>
      <c r="D172" s="227" t="s">
        <v>200</v>
      </c>
      <c r="E172" s="150"/>
      <c r="F172" s="150">
        <v>64</v>
      </c>
      <c r="G172" s="64" t="s">
        <v>112</v>
      </c>
      <c r="H172" s="16" t="s">
        <v>111</v>
      </c>
      <c r="I172" s="14" t="s">
        <v>33</v>
      </c>
      <c r="J172" s="14" t="s">
        <v>0</v>
      </c>
      <c r="K172" s="14" t="s">
        <v>308</v>
      </c>
      <c r="L172" s="215"/>
      <c r="M172" s="196" t="s">
        <v>34</v>
      </c>
      <c r="N172" s="18" t="s">
        <v>35</v>
      </c>
      <c r="O172" s="19">
        <v>46140</v>
      </c>
      <c r="P172" s="57">
        <v>46141</v>
      </c>
      <c r="Q172" s="19">
        <v>46150</v>
      </c>
      <c r="R172" s="19">
        <v>46153</v>
      </c>
      <c r="S172" s="19">
        <v>46160</v>
      </c>
      <c r="T172" s="19">
        <v>46174</v>
      </c>
      <c r="U172" s="230">
        <v>46203</v>
      </c>
      <c r="V172" s="19">
        <v>46206</v>
      </c>
      <c r="W172" s="19">
        <v>46220</v>
      </c>
      <c r="X172" s="19">
        <v>46224</v>
      </c>
      <c r="Y172" s="19">
        <v>46231</v>
      </c>
      <c r="Z172" s="19">
        <v>46259</v>
      </c>
      <c r="AA172" s="19">
        <v>46273</v>
      </c>
      <c r="AB172" s="19">
        <v>46333</v>
      </c>
      <c r="AC172" s="19">
        <v>46333</v>
      </c>
      <c r="AD172" s="19">
        <v>46335</v>
      </c>
      <c r="AE172" s="19">
        <v>46450</v>
      </c>
      <c r="AF172" s="19">
        <v>46470</v>
      </c>
      <c r="AG172" s="19">
        <v>46500</v>
      </c>
      <c r="AH172" s="19">
        <v>46503</v>
      </c>
      <c r="AI172" s="19">
        <v>46530</v>
      </c>
      <c r="AJ172" s="58">
        <v>40</v>
      </c>
      <c r="AK172" s="59">
        <v>280</v>
      </c>
      <c r="AL172" s="78">
        <f>AM172-7</f>
        <v>46500</v>
      </c>
      <c r="AM172" s="78">
        <v>46507</v>
      </c>
      <c r="AN172" s="20">
        <f>AM172-AL173</f>
        <v>2</v>
      </c>
      <c r="AO172" s="143" t="s">
        <v>566</v>
      </c>
      <c r="AP172" s="431" t="s">
        <v>546</v>
      </c>
      <c r="AQ172" s="21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425" t="s">
        <v>992</v>
      </c>
      <c r="BC172" s="412" t="s">
        <v>944</v>
      </c>
      <c r="BD172" s="412" t="s">
        <v>945</v>
      </c>
    </row>
    <row r="173" spans="1:56" s="3" customFormat="1" ht="15.4" thickTop="1" thickBot="1" x14ac:dyDescent="0.45">
      <c r="A173" s="441"/>
      <c r="B173" s="93" t="s">
        <v>256</v>
      </c>
      <c r="C173" s="41" t="s">
        <v>113</v>
      </c>
      <c r="D173" s="24" t="s">
        <v>200</v>
      </c>
      <c r="E173" s="157"/>
      <c r="F173" s="157"/>
      <c r="G173" s="43" t="s">
        <v>112</v>
      </c>
      <c r="H173" s="46" t="s">
        <v>111</v>
      </c>
      <c r="I173" s="23" t="s">
        <v>33</v>
      </c>
      <c r="J173" s="41" t="s">
        <v>0</v>
      </c>
      <c r="K173" s="41" t="s">
        <v>308</v>
      </c>
      <c r="L173" s="240"/>
      <c r="M173" s="197" t="s">
        <v>34</v>
      </c>
      <c r="N173" s="26" t="s">
        <v>36</v>
      </c>
      <c r="O173" s="27"/>
      <c r="P173" s="28"/>
      <c r="Q173" s="28"/>
      <c r="R173" s="28"/>
      <c r="S173" s="28"/>
      <c r="T173" s="28"/>
      <c r="U173" s="28">
        <v>46211</v>
      </c>
      <c r="V173" s="28">
        <f>WORKDAY(U173, V6, IF(V12="China",'China Holidays'!$A$2:$A$84,'Thai Holidays'!$A$2:$A$65))</f>
        <v>46225</v>
      </c>
      <c r="W173" s="28">
        <f>V173</f>
        <v>46225</v>
      </c>
      <c r="X173" s="28">
        <f>WORKDAY(W173, X6, IF(X12="China",'China Holidays'!$A$2:$A$84,'Thai Holidays'!$A$2:$A$65))</f>
        <v>46227</v>
      </c>
      <c r="Y173" s="28">
        <f>WORKDAY(X173, Y6, IF(Y12="China",'China Holidays'!$A$2:$A$84,'Thai Holidays'!$A$2:$A$65))</f>
        <v>46234</v>
      </c>
      <c r="Z173" s="28">
        <f>WORKDAY(Y173, Z6, IF(Z12="China",'China Holidays'!$A$2:$A$84,'Thai Holidays'!$A$2:$A$65))</f>
        <v>46262</v>
      </c>
      <c r="AA173" s="28">
        <f>WORKDAY(Z173, AA6, IF(AA12="China",'China Holidays'!$A$2:$A$84,'Thai Holidays'!$A$2:$A$65))</f>
        <v>46276</v>
      </c>
      <c r="AB173" s="28">
        <f>AA173+60</f>
        <v>46336</v>
      </c>
      <c r="AC173" s="28">
        <f>AB173</f>
        <v>46336</v>
      </c>
      <c r="AD173" s="28">
        <f>AC173+2</f>
        <v>46338</v>
      </c>
      <c r="AE173" s="28">
        <f>AF173-20</f>
        <v>46455</v>
      </c>
      <c r="AF173" s="28">
        <f>AG173-30</f>
        <v>46475</v>
      </c>
      <c r="AG173" s="28">
        <f>AL173</f>
        <v>46505</v>
      </c>
      <c r="AH173" s="28">
        <f>AL172+3</f>
        <v>46503</v>
      </c>
      <c r="AI173" s="28">
        <f>AL172+30</f>
        <v>46530</v>
      </c>
      <c r="AJ173" s="81"/>
      <c r="AK173" s="79"/>
      <c r="AL173" s="83">
        <f>W173+AK172</f>
        <v>46505</v>
      </c>
      <c r="AM173" s="83"/>
      <c r="AN173" s="29"/>
      <c r="AO173" s="141"/>
      <c r="AP173" s="438"/>
      <c r="AQ173" s="21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425" t="s">
        <v>993</v>
      </c>
      <c r="BC173" s="412" t="s">
        <v>946</v>
      </c>
      <c r="BD173" s="411"/>
    </row>
    <row r="174" spans="1:56" s="3" customFormat="1" ht="15.4" thickTop="1" thickBot="1" x14ac:dyDescent="0.45">
      <c r="A174" s="442"/>
      <c r="B174" s="94" t="s">
        <v>256</v>
      </c>
      <c r="C174" s="32" t="s">
        <v>113</v>
      </c>
      <c r="D174" s="48" t="s">
        <v>200</v>
      </c>
      <c r="E174" s="158"/>
      <c r="F174" s="158"/>
      <c r="G174" s="45" t="s">
        <v>112</v>
      </c>
      <c r="H174" s="34" t="s">
        <v>111</v>
      </c>
      <c r="I174" s="32" t="s">
        <v>33</v>
      </c>
      <c r="J174" s="32" t="s">
        <v>0</v>
      </c>
      <c r="K174" s="32" t="s">
        <v>308</v>
      </c>
      <c r="L174" s="241"/>
      <c r="M174" s="198" t="s">
        <v>34</v>
      </c>
      <c r="N174" s="35" t="s">
        <v>37</v>
      </c>
      <c r="O174" s="36">
        <v>46133</v>
      </c>
      <c r="P174" s="37">
        <v>46133</v>
      </c>
      <c r="Q174" s="36">
        <v>46153</v>
      </c>
      <c r="R174" s="36">
        <v>46153</v>
      </c>
      <c r="S174" s="36">
        <v>46153</v>
      </c>
      <c r="T174" s="36">
        <v>46178</v>
      </c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82"/>
      <c r="AK174" s="80"/>
      <c r="AL174" s="37"/>
      <c r="AM174" s="37"/>
      <c r="AN174" s="38"/>
      <c r="AO174" s="142"/>
      <c r="AP174" s="439"/>
      <c r="AQ174" s="39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25" t="s">
        <v>994</v>
      </c>
      <c r="BC174" s="412" t="s">
        <v>947</v>
      </c>
      <c r="BD174" s="411"/>
    </row>
    <row r="175" spans="1:56" s="3" customFormat="1" ht="15.4" thickTop="1" thickBot="1" x14ac:dyDescent="0.45">
      <c r="A175" s="440">
        <f t="shared" ref="A175" si="41">A172+1</f>
        <v>50</v>
      </c>
      <c r="B175" s="92" t="s">
        <v>257</v>
      </c>
      <c r="C175" s="14" t="s">
        <v>353</v>
      </c>
      <c r="D175" s="227" t="s">
        <v>558</v>
      </c>
      <c r="E175" s="150"/>
      <c r="F175" s="150"/>
      <c r="G175" s="64" t="s">
        <v>120</v>
      </c>
      <c r="H175" s="16" t="s">
        <v>111</v>
      </c>
      <c r="I175" s="14" t="s">
        <v>56</v>
      </c>
      <c r="J175" s="14" t="s">
        <v>1</v>
      </c>
      <c r="K175" s="14" t="s">
        <v>346</v>
      </c>
      <c r="L175" s="217"/>
      <c r="M175" s="196" t="s">
        <v>34</v>
      </c>
      <c r="N175" s="18" t="s">
        <v>35</v>
      </c>
      <c r="O175" s="19">
        <v>46176</v>
      </c>
      <c r="P175" s="19">
        <v>46177</v>
      </c>
      <c r="Q175" s="19">
        <v>46184</v>
      </c>
      <c r="R175" s="19">
        <v>46185</v>
      </c>
      <c r="S175" s="19">
        <v>46192</v>
      </c>
      <c r="T175" s="19">
        <v>46206</v>
      </c>
      <c r="U175" s="230">
        <v>46238</v>
      </c>
      <c r="V175" s="19">
        <v>46241</v>
      </c>
      <c r="W175" s="19">
        <v>46255</v>
      </c>
      <c r="X175" s="19">
        <v>46259</v>
      </c>
      <c r="Y175" s="19">
        <v>46266</v>
      </c>
      <c r="Z175" s="19">
        <v>46295</v>
      </c>
      <c r="AA175" s="19">
        <v>46310</v>
      </c>
      <c r="AB175" s="19">
        <v>46370</v>
      </c>
      <c r="AC175" s="19">
        <v>46370</v>
      </c>
      <c r="AD175" s="19">
        <v>46372</v>
      </c>
      <c r="AE175" s="19">
        <v>46434</v>
      </c>
      <c r="AF175" s="19">
        <v>46449</v>
      </c>
      <c r="AG175" s="19">
        <v>46479</v>
      </c>
      <c r="AH175" s="19">
        <v>46482</v>
      </c>
      <c r="AI175" s="19">
        <v>46509</v>
      </c>
      <c r="AJ175" s="58">
        <v>32</v>
      </c>
      <c r="AK175" s="59">
        <v>224</v>
      </c>
      <c r="AL175" s="78">
        <v>46479</v>
      </c>
      <c r="AM175" s="78">
        <v>46507</v>
      </c>
      <c r="AN175" s="20">
        <f>AM175-AL176</f>
        <v>28</v>
      </c>
      <c r="AO175" s="143" t="s">
        <v>566</v>
      </c>
      <c r="AP175" s="434" t="s">
        <v>583</v>
      </c>
      <c r="AQ175" s="21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425" t="s">
        <v>992</v>
      </c>
      <c r="BC175" s="412" t="s">
        <v>948</v>
      </c>
      <c r="BD175" s="411"/>
    </row>
    <row r="176" spans="1:56" s="3" customFormat="1" ht="15.4" thickTop="1" thickBot="1" x14ac:dyDescent="0.45">
      <c r="A176" s="441"/>
      <c r="B176" s="93" t="s">
        <v>257</v>
      </c>
      <c r="C176" s="41" t="s">
        <v>116</v>
      </c>
      <c r="D176" s="24" t="s">
        <v>557</v>
      </c>
      <c r="E176" s="157"/>
      <c r="F176" s="157"/>
      <c r="G176" s="43" t="s">
        <v>120</v>
      </c>
      <c r="H176" s="46" t="s">
        <v>111</v>
      </c>
      <c r="I176" s="23" t="s">
        <v>56</v>
      </c>
      <c r="J176" s="41" t="s">
        <v>1</v>
      </c>
      <c r="K176" s="41" t="s">
        <v>346</v>
      </c>
      <c r="L176" s="218"/>
      <c r="M176" s="197" t="s">
        <v>34</v>
      </c>
      <c r="N176" s="26" t="s">
        <v>36</v>
      </c>
      <c r="O176" s="27"/>
      <c r="P176" s="28"/>
      <c r="Q176" s="83"/>
      <c r="R176" s="28"/>
      <c r="S176" s="28"/>
      <c r="T176" s="28"/>
      <c r="U176" s="28">
        <v>46225</v>
      </c>
      <c r="V176" s="28">
        <f>WORKDAY(U176, V7, IF(V12="China",'China Holidays'!$A$2:$A$84,'Thai Holidays'!$A$2:$A$65))</f>
        <v>46241</v>
      </c>
      <c r="W176" s="28">
        <f>W175</f>
        <v>46255</v>
      </c>
      <c r="X176" s="28">
        <f>WORKDAY(W176, X7, IF(X12="China",'China Holidays'!$A$2:$A$84,'Thai Holidays'!$A$2:$A$65))</f>
        <v>46259</v>
      </c>
      <c r="Y176" s="28">
        <f>WORKDAY(X176, Y7, IF(Y12="China",'China Holidays'!$A$2:$A$84,'Thai Holidays'!$A$2:$A$65))</f>
        <v>46266</v>
      </c>
      <c r="Z176" s="28">
        <f>WORKDAY(Y176, Z7, IF(Z12="China",'China Holidays'!$A$2:$A$84,'Thai Holidays'!$A$2:$A$65))</f>
        <v>46295</v>
      </c>
      <c r="AA176" s="28">
        <f>WORKDAY(Z176, AA7, IF(AA12="China",'China Holidays'!$A$2:$A$84,'Thai Holidays'!$A$2:$A$65))</f>
        <v>46310</v>
      </c>
      <c r="AB176" s="28">
        <f>AA176+60</f>
        <v>46370</v>
      </c>
      <c r="AC176" s="28">
        <f>AB176</f>
        <v>46370</v>
      </c>
      <c r="AD176" s="28">
        <f>AC176+2</f>
        <v>46372</v>
      </c>
      <c r="AE176" s="28">
        <f>AF176-15</f>
        <v>46434</v>
      </c>
      <c r="AF176" s="28">
        <f>AG176-30</f>
        <v>46449</v>
      </c>
      <c r="AG176" s="28">
        <f>AL175</f>
        <v>46479</v>
      </c>
      <c r="AH176" s="28">
        <f>AL175+3</f>
        <v>46482</v>
      </c>
      <c r="AI176" s="28">
        <f>AL175+30</f>
        <v>46509</v>
      </c>
      <c r="AJ176" s="81"/>
      <c r="AK176" s="79"/>
      <c r="AL176" s="83">
        <f>W176+AK175</f>
        <v>46479</v>
      </c>
      <c r="AM176" s="83"/>
      <c r="AN176" s="29"/>
      <c r="AO176" s="141"/>
      <c r="AP176" s="435"/>
      <c r="AQ176" s="21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425" t="s">
        <v>993</v>
      </c>
      <c r="BC176" s="412" t="s">
        <v>949</v>
      </c>
      <c r="BD176" s="411"/>
    </row>
    <row r="177" spans="1:57" s="3" customFormat="1" ht="15.4" thickTop="1" thickBot="1" x14ac:dyDescent="0.45">
      <c r="A177" s="442"/>
      <c r="B177" s="94" t="s">
        <v>257</v>
      </c>
      <c r="C177" s="32" t="s">
        <v>116</v>
      </c>
      <c r="D177" s="48" t="s">
        <v>557</v>
      </c>
      <c r="E177" s="158"/>
      <c r="F177" s="158"/>
      <c r="G177" s="45" t="s">
        <v>120</v>
      </c>
      <c r="H177" s="34" t="s">
        <v>111</v>
      </c>
      <c r="I177" s="32" t="s">
        <v>56</v>
      </c>
      <c r="J177" s="32" t="s">
        <v>1</v>
      </c>
      <c r="K177" s="32" t="s">
        <v>346</v>
      </c>
      <c r="L177" s="45"/>
      <c r="M177" s="198" t="s">
        <v>34</v>
      </c>
      <c r="N177" s="35" t="s">
        <v>37</v>
      </c>
      <c r="O177" s="36">
        <v>46164</v>
      </c>
      <c r="P177" s="36">
        <v>46125</v>
      </c>
      <c r="Q177" s="36">
        <v>46147</v>
      </c>
      <c r="R177" s="36">
        <v>46170</v>
      </c>
      <c r="S177" s="36">
        <v>46170</v>
      </c>
      <c r="T177" s="36">
        <v>46183</v>
      </c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82"/>
      <c r="AK177" s="80"/>
      <c r="AL177" s="37"/>
      <c r="AM177" s="37"/>
      <c r="AN177" s="38"/>
      <c r="AO177" s="142"/>
      <c r="AP177" s="436"/>
      <c r="AQ177" s="39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25" t="s">
        <v>994</v>
      </c>
      <c r="BC177" s="412" t="s">
        <v>950</v>
      </c>
      <c r="BD177" s="411"/>
    </row>
    <row r="178" spans="1:57" s="3" customFormat="1" ht="15.4" thickTop="1" thickBot="1" x14ac:dyDescent="0.45">
      <c r="A178" s="440">
        <f t="shared" ref="A178" si="42">A175+1</f>
        <v>51</v>
      </c>
      <c r="B178" s="92" t="s">
        <v>258</v>
      </c>
      <c r="C178" s="14" t="s">
        <v>117</v>
      </c>
      <c r="D178" s="15" t="s">
        <v>121</v>
      </c>
      <c r="E178" s="150" t="s">
        <v>489</v>
      </c>
      <c r="F178" s="150" t="s">
        <v>455</v>
      </c>
      <c r="G178" s="64" t="s">
        <v>122</v>
      </c>
      <c r="H178" s="16" t="s">
        <v>111</v>
      </c>
      <c r="I178" s="14" t="s">
        <v>56</v>
      </c>
      <c r="J178" s="14" t="s">
        <v>1</v>
      </c>
      <c r="K178" s="14" t="s">
        <v>344</v>
      </c>
      <c r="L178" s="215"/>
      <c r="M178" s="196" t="s">
        <v>34</v>
      </c>
      <c r="N178" s="18" t="s">
        <v>35</v>
      </c>
      <c r="O178" s="230">
        <v>46240</v>
      </c>
      <c r="P178" s="19">
        <v>46243</v>
      </c>
      <c r="Q178" s="19">
        <v>46258</v>
      </c>
      <c r="R178" s="19">
        <v>46258</v>
      </c>
      <c r="S178" s="19">
        <v>46258</v>
      </c>
      <c r="T178" s="19">
        <v>46272</v>
      </c>
      <c r="U178" s="19">
        <v>46289</v>
      </c>
      <c r="V178" s="19">
        <v>46303</v>
      </c>
      <c r="W178" s="19">
        <v>46316</v>
      </c>
      <c r="X178" s="19">
        <v>46318</v>
      </c>
      <c r="Y178" s="19">
        <v>46325</v>
      </c>
      <c r="Z178" s="19">
        <v>46346</v>
      </c>
      <c r="AA178" s="19">
        <v>46360</v>
      </c>
      <c r="AB178" s="19">
        <v>46380</v>
      </c>
      <c r="AC178" s="19">
        <v>46380</v>
      </c>
      <c r="AD178" s="19">
        <v>46382</v>
      </c>
      <c r="AE178" s="19">
        <v>46440.97</v>
      </c>
      <c r="AF178" s="19">
        <v>46450.97</v>
      </c>
      <c r="AG178" s="19">
        <v>46460.97</v>
      </c>
      <c r="AH178" s="19">
        <v>46463.97</v>
      </c>
      <c r="AI178" s="19">
        <v>46490.97</v>
      </c>
      <c r="AJ178" s="58">
        <v>20.71</v>
      </c>
      <c r="AK178" s="59">
        <v>144.97</v>
      </c>
      <c r="AL178" s="78">
        <v>46460.97</v>
      </c>
      <c r="AM178" s="78">
        <v>46507</v>
      </c>
      <c r="AN178" s="20">
        <f>AM178-AL179</f>
        <v>46.029999999998836</v>
      </c>
      <c r="AO178" s="143"/>
      <c r="AP178" s="437"/>
      <c r="AQ178" s="21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425"/>
      <c r="BC178" s="411"/>
      <c r="BD178" s="411"/>
    </row>
    <row r="179" spans="1:57" s="3" customFormat="1" ht="15.4" thickTop="1" thickBot="1" x14ac:dyDescent="0.45">
      <c r="A179" s="441"/>
      <c r="B179" s="93" t="s">
        <v>258</v>
      </c>
      <c r="C179" s="41" t="s">
        <v>117</v>
      </c>
      <c r="D179" s="24" t="s">
        <v>121</v>
      </c>
      <c r="E179" s="157"/>
      <c r="F179" s="157"/>
      <c r="G179" s="43" t="s">
        <v>122</v>
      </c>
      <c r="H179" s="46" t="s">
        <v>111</v>
      </c>
      <c r="I179" s="23" t="s">
        <v>56</v>
      </c>
      <c r="J179" s="41" t="s">
        <v>1</v>
      </c>
      <c r="K179" s="41" t="s">
        <v>344</v>
      </c>
      <c r="L179" s="216"/>
      <c r="M179" s="197" t="s">
        <v>34</v>
      </c>
      <c r="N179" s="26" t="s">
        <v>36</v>
      </c>
      <c r="O179" s="27">
        <f>O178</f>
        <v>46240</v>
      </c>
      <c r="P179" s="28"/>
      <c r="Q179" s="28"/>
      <c r="R179" s="28">
        <f>R178</f>
        <v>46258</v>
      </c>
      <c r="S179" s="28">
        <f>WORKDAY(R179, S8, IF(S12="China",'China Holidays'!$A$2:$A$84,'Thai Holidays'!$A$2:$A$65))</f>
        <v>46258</v>
      </c>
      <c r="T179" s="28">
        <f>WORKDAY(S179, T8, IF(T12="China",'China Holidays'!$A$2:$A$84,'Thai Holidays'!$A$2:$A$65))</f>
        <v>46272</v>
      </c>
      <c r="U179" s="28">
        <f>U178</f>
        <v>46289</v>
      </c>
      <c r="V179" s="28">
        <f>WORKDAY(U179, V8, IF(V12="China",'China Holidays'!$A$2:$A$84,'Thai Holidays'!$A$2:$A$65))</f>
        <v>46303</v>
      </c>
      <c r="W179" s="28">
        <f>WORKDAY(V179, W8, IF(W12="China",'China Holidays'!$A$2:$A$84,'Thai Holidays'!$A$2:$A$65))</f>
        <v>46316</v>
      </c>
      <c r="X179" s="28">
        <f>WORKDAY(W179, X8, IF(X12="China",'China Holidays'!$A$2:$A$84,'Thai Holidays'!$A$2:$A$65))</f>
        <v>46318</v>
      </c>
      <c r="Y179" s="28">
        <f>WORKDAY(X179, Y8, IF(Y12="China",'China Holidays'!$A$2:$A$84,'Thai Holidays'!$A$2:$A$65))</f>
        <v>46325</v>
      </c>
      <c r="Z179" s="28">
        <f>WORKDAY(Y179, Z8, IF(Z12="China",'China Holidays'!$A$2:$A$84,'Thai Holidays'!$A$2:$A$65))</f>
        <v>46346</v>
      </c>
      <c r="AA179" s="28">
        <f>WORKDAY(Z179, AA8, IF(AA12="China",'China Holidays'!$A$2:$A$84,'Thai Holidays'!$A$2:$A$65))</f>
        <v>46360</v>
      </c>
      <c r="AB179" s="28">
        <f>AA179+20</f>
        <v>46380</v>
      </c>
      <c r="AC179" s="28">
        <f>AB179</f>
        <v>46380</v>
      </c>
      <c r="AD179" s="28">
        <f>AC179+2</f>
        <v>46382</v>
      </c>
      <c r="AE179" s="28">
        <f>AF179-10</f>
        <v>46440.97</v>
      </c>
      <c r="AF179" s="28">
        <f>AG179-10</f>
        <v>46450.97</v>
      </c>
      <c r="AG179" s="28">
        <f>AL178</f>
        <v>46460.97</v>
      </c>
      <c r="AH179" s="28">
        <f>AL178+3</f>
        <v>46463.97</v>
      </c>
      <c r="AI179" s="28">
        <f>AL178+30</f>
        <v>46490.97</v>
      </c>
      <c r="AJ179" s="81"/>
      <c r="AK179" s="79"/>
      <c r="AL179" s="83">
        <f>W179+AK178</f>
        <v>46460.97</v>
      </c>
      <c r="AM179" s="83"/>
      <c r="AN179" s="29"/>
      <c r="AO179" s="141"/>
      <c r="AP179" s="438"/>
      <c r="AQ179" s="21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425"/>
      <c r="BC179" s="411"/>
      <c r="BD179" s="411"/>
    </row>
    <row r="180" spans="1:57" s="3" customFormat="1" ht="15.4" thickTop="1" thickBot="1" x14ac:dyDescent="0.45">
      <c r="A180" s="442"/>
      <c r="B180" s="94" t="s">
        <v>258</v>
      </c>
      <c r="C180" s="32" t="s">
        <v>117</v>
      </c>
      <c r="D180" s="48" t="s">
        <v>121</v>
      </c>
      <c r="E180" s="158"/>
      <c r="F180" s="158"/>
      <c r="G180" s="45" t="s">
        <v>122</v>
      </c>
      <c r="H180" s="34" t="s">
        <v>111</v>
      </c>
      <c r="I180" s="32" t="s">
        <v>56</v>
      </c>
      <c r="J180" s="32" t="s">
        <v>1</v>
      </c>
      <c r="K180" s="32" t="s">
        <v>344</v>
      </c>
      <c r="L180" s="45"/>
      <c r="M180" s="198" t="s">
        <v>34</v>
      </c>
      <c r="N180" s="35" t="s">
        <v>37</v>
      </c>
      <c r="O180" s="36"/>
      <c r="P180" s="36">
        <v>46153</v>
      </c>
      <c r="Q180" s="36">
        <v>46172</v>
      </c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82"/>
      <c r="AK180" s="80"/>
      <c r="AL180" s="37"/>
      <c r="AM180" s="37"/>
      <c r="AN180" s="38"/>
      <c r="AO180" s="142"/>
      <c r="AP180" s="439"/>
      <c r="AQ180" s="39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25"/>
      <c r="BC180" s="411"/>
      <c r="BD180" s="411"/>
    </row>
    <row r="181" spans="1:57" s="3" customFormat="1" ht="15.4" thickTop="1" thickBot="1" x14ac:dyDescent="0.45">
      <c r="A181" s="440">
        <f t="shared" ref="A181" si="43">A178+1</f>
        <v>52</v>
      </c>
      <c r="B181" s="92" t="s">
        <v>259</v>
      </c>
      <c r="C181" s="14" t="s">
        <v>522</v>
      </c>
      <c r="D181" s="227" t="s">
        <v>358</v>
      </c>
      <c r="E181" s="150"/>
      <c r="F181" s="150"/>
      <c r="G181" s="64" t="s">
        <v>110</v>
      </c>
      <c r="H181" s="16" t="s">
        <v>111</v>
      </c>
      <c r="I181" s="14" t="s">
        <v>33</v>
      </c>
      <c r="J181" s="14" t="s">
        <v>0</v>
      </c>
      <c r="K181" s="14" t="s">
        <v>308</v>
      </c>
      <c r="L181" s="215"/>
      <c r="M181" s="196" t="s">
        <v>34</v>
      </c>
      <c r="N181" s="18" t="s">
        <v>35</v>
      </c>
      <c r="O181" s="19">
        <v>46135</v>
      </c>
      <c r="P181" s="19">
        <v>46136</v>
      </c>
      <c r="Q181" s="19">
        <v>46147</v>
      </c>
      <c r="R181" s="19">
        <v>46148</v>
      </c>
      <c r="S181" s="19">
        <v>46155</v>
      </c>
      <c r="T181" s="19">
        <v>46169</v>
      </c>
      <c r="U181" s="230">
        <v>46199</v>
      </c>
      <c r="V181" s="19">
        <v>46204</v>
      </c>
      <c r="W181" s="19">
        <v>46218</v>
      </c>
      <c r="X181" s="19">
        <v>46220</v>
      </c>
      <c r="Y181" s="19">
        <v>46227</v>
      </c>
      <c r="Z181" s="19">
        <v>46255</v>
      </c>
      <c r="AA181" s="19">
        <v>46269</v>
      </c>
      <c r="AB181" s="19">
        <v>46309</v>
      </c>
      <c r="AC181" s="19">
        <v>46309</v>
      </c>
      <c r="AD181" s="19">
        <v>46311</v>
      </c>
      <c r="AE181" s="19">
        <v>46440</v>
      </c>
      <c r="AF181" s="19">
        <v>46460</v>
      </c>
      <c r="AG181" s="19">
        <v>46470</v>
      </c>
      <c r="AH181" s="19">
        <v>46473</v>
      </c>
      <c r="AI181" s="19">
        <v>46500</v>
      </c>
      <c r="AJ181" s="58">
        <v>36</v>
      </c>
      <c r="AK181" s="59">
        <v>252</v>
      </c>
      <c r="AL181" s="78">
        <v>46470</v>
      </c>
      <c r="AM181" s="78">
        <v>46469</v>
      </c>
      <c r="AN181" s="20">
        <f>AM181-AL182</f>
        <v>-10</v>
      </c>
      <c r="AO181" s="143" t="s">
        <v>724</v>
      </c>
      <c r="AP181" s="431" t="s">
        <v>547</v>
      </c>
      <c r="AQ181" s="21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425" t="s">
        <v>992</v>
      </c>
      <c r="BC181" s="412" t="s">
        <v>951</v>
      </c>
      <c r="BD181" s="411"/>
      <c r="BE181" s="251" t="s">
        <v>674</v>
      </c>
    </row>
    <row r="182" spans="1:57" s="3" customFormat="1" ht="15.4" thickTop="1" thickBot="1" x14ac:dyDescent="0.45">
      <c r="A182" s="441"/>
      <c r="B182" s="93" t="s">
        <v>259</v>
      </c>
      <c r="C182" s="41" t="s">
        <v>119</v>
      </c>
      <c r="D182" s="24" t="s">
        <v>358</v>
      </c>
      <c r="E182" s="157"/>
      <c r="F182" s="157"/>
      <c r="G182" s="43" t="s">
        <v>110</v>
      </c>
      <c r="H182" s="46" t="s">
        <v>111</v>
      </c>
      <c r="I182" s="23" t="s">
        <v>33</v>
      </c>
      <c r="J182" s="41" t="s">
        <v>0</v>
      </c>
      <c r="K182" s="41" t="s">
        <v>308</v>
      </c>
      <c r="L182" s="216"/>
      <c r="M182" s="197" t="s">
        <v>34</v>
      </c>
      <c r="N182" s="26" t="s">
        <v>36</v>
      </c>
      <c r="O182" s="27"/>
      <c r="P182" s="28"/>
      <c r="Q182" s="83"/>
      <c r="R182" s="28"/>
      <c r="S182" s="28"/>
      <c r="T182" s="28"/>
      <c r="U182" s="28">
        <v>46213</v>
      </c>
      <c r="V182" s="28">
        <f>WORKDAY(U182, V6, IF(V12="China",'China Holidays'!$A$2:$A$84,'Thai Holidays'!$A$2:$A$65))</f>
        <v>46227</v>
      </c>
      <c r="W182" s="28">
        <f>V182</f>
        <v>46227</v>
      </c>
      <c r="X182" s="28">
        <f>WORKDAY(W182, X6, IF(X12="China",'China Holidays'!$A$2:$A$84,'Thai Holidays'!$A$2:$A$65))</f>
        <v>46231</v>
      </c>
      <c r="Y182" s="28">
        <f>WORKDAY(X182, Y6, IF(Y12="China",'China Holidays'!$A$2:$A$84,'Thai Holidays'!$A$2:$A$65))</f>
        <v>46238</v>
      </c>
      <c r="Z182" s="28">
        <f>WORKDAY(Y182, Z6, IF(Z12="China",'China Holidays'!$A$2:$A$84,'Thai Holidays'!$A$2:$A$65))</f>
        <v>46266</v>
      </c>
      <c r="AA182" s="28">
        <f>WORKDAY(Z182, AA6, IF(AA12="China",'China Holidays'!$A$2:$A$84,'Thai Holidays'!$A$2:$A$65))</f>
        <v>46280</v>
      </c>
      <c r="AB182" s="28">
        <f>AA182+40</f>
        <v>46320</v>
      </c>
      <c r="AC182" s="28">
        <f>AB182</f>
        <v>46320</v>
      </c>
      <c r="AD182" s="28">
        <f>AC182+2</f>
        <v>46322</v>
      </c>
      <c r="AE182" s="28">
        <f>AF182-20</f>
        <v>46440</v>
      </c>
      <c r="AF182" s="28">
        <f>AG182-10</f>
        <v>46460</v>
      </c>
      <c r="AG182" s="28">
        <f>AL181</f>
        <v>46470</v>
      </c>
      <c r="AH182" s="28">
        <f>AL181+3</f>
        <v>46473</v>
      </c>
      <c r="AI182" s="28">
        <f>AL181+30</f>
        <v>46500</v>
      </c>
      <c r="AJ182" s="81"/>
      <c r="AK182" s="79"/>
      <c r="AL182" s="83">
        <f>W182+AK181</f>
        <v>46479</v>
      </c>
      <c r="AM182" s="83"/>
      <c r="AN182" s="29"/>
      <c r="AO182" s="141"/>
      <c r="AP182" s="438"/>
      <c r="AQ182" s="21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425" t="s">
        <v>993</v>
      </c>
      <c r="BC182" s="412" t="s">
        <v>952</v>
      </c>
      <c r="BD182" s="411"/>
    </row>
    <row r="183" spans="1:57" s="3" customFormat="1" ht="15.4" thickTop="1" thickBot="1" x14ac:dyDescent="0.45">
      <c r="A183" s="442"/>
      <c r="B183" s="94" t="s">
        <v>259</v>
      </c>
      <c r="C183" s="32" t="s">
        <v>119</v>
      </c>
      <c r="D183" s="48" t="s">
        <v>109</v>
      </c>
      <c r="E183" s="158"/>
      <c r="F183" s="158"/>
      <c r="G183" s="45" t="s">
        <v>110</v>
      </c>
      <c r="H183" s="34" t="s">
        <v>111</v>
      </c>
      <c r="I183" s="32" t="s">
        <v>33</v>
      </c>
      <c r="J183" s="32" t="s">
        <v>0</v>
      </c>
      <c r="K183" s="32" t="s">
        <v>308</v>
      </c>
      <c r="L183" s="225"/>
      <c r="M183" s="198" t="s">
        <v>34</v>
      </c>
      <c r="N183" s="35" t="s">
        <v>37</v>
      </c>
      <c r="O183" s="36">
        <v>46133</v>
      </c>
      <c r="P183" s="37">
        <v>46133</v>
      </c>
      <c r="Q183" s="36">
        <v>46153</v>
      </c>
      <c r="R183" s="36">
        <v>46153</v>
      </c>
      <c r="S183" s="36">
        <v>46153</v>
      </c>
      <c r="T183" s="36">
        <v>46169</v>
      </c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82"/>
      <c r="AK183" s="80"/>
      <c r="AL183" s="37"/>
      <c r="AM183" s="37"/>
      <c r="AN183" s="38"/>
      <c r="AO183" s="142"/>
      <c r="AP183" s="439"/>
      <c r="AQ183" s="39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25"/>
      <c r="BC183" s="411"/>
      <c r="BD183" s="411"/>
    </row>
    <row r="184" spans="1:57" s="3" customFormat="1" ht="15.4" thickTop="1" thickBot="1" x14ac:dyDescent="0.45">
      <c r="A184" s="440">
        <f t="shared" ref="A184" si="44">A181+1</f>
        <v>53</v>
      </c>
      <c r="B184" s="92" t="s">
        <v>262</v>
      </c>
      <c r="C184" s="14" t="s">
        <v>364</v>
      </c>
      <c r="D184" s="227" t="s">
        <v>261</v>
      </c>
      <c r="E184" s="150"/>
      <c r="F184" s="150"/>
      <c r="G184" s="64" t="s">
        <v>143</v>
      </c>
      <c r="H184" s="16" t="s">
        <v>111</v>
      </c>
      <c r="I184" s="14" t="s">
        <v>56</v>
      </c>
      <c r="J184" s="14" t="s">
        <v>1</v>
      </c>
      <c r="K184" s="14" t="s">
        <v>346</v>
      </c>
      <c r="L184" s="217"/>
      <c r="M184" s="196" t="s">
        <v>34</v>
      </c>
      <c r="N184" s="18" t="s">
        <v>35</v>
      </c>
      <c r="O184" s="19">
        <v>46168</v>
      </c>
      <c r="P184" s="57">
        <v>46169</v>
      </c>
      <c r="Q184" s="19">
        <v>46178</v>
      </c>
      <c r="R184" s="19">
        <v>46181</v>
      </c>
      <c r="S184" s="19">
        <v>46188</v>
      </c>
      <c r="T184" s="19">
        <v>46203</v>
      </c>
      <c r="U184" s="230">
        <v>46233</v>
      </c>
      <c r="V184" s="19">
        <v>46238</v>
      </c>
      <c r="W184" s="19">
        <v>46252</v>
      </c>
      <c r="X184" s="19">
        <v>46254</v>
      </c>
      <c r="Y184" s="19">
        <v>46261</v>
      </c>
      <c r="Z184" s="19">
        <v>46289</v>
      </c>
      <c r="AA184" s="19">
        <v>46303</v>
      </c>
      <c r="AB184" s="19">
        <v>46333</v>
      </c>
      <c r="AC184" s="19">
        <v>46333</v>
      </c>
      <c r="AD184" s="19">
        <v>46335</v>
      </c>
      <c r="AE184" s="19">
        <v>46454</v>
      </c>
      <c r="AF184" s="19">
        <v>46474</v>
      </c>
      <c r="AG184" s="19">
        <v>46504</v>
      </c>
      <c r="AH184" s="19">
        <v>46507</v>
      </c>
      <c r="AI184" s="19">
        <v>46534</v>
      </c>
      <c r="AJ184" s="58">
        <v>36</v>
      </c>
      <c r="AK184" s="59">
        <v>252</v>
      </c>
      <c r="AL184" s="78">
        <v>46504</v>
      </c>
      <c r="AM184" s="78">
        <v>46515</v>
      </c>
      <c r="AN184" s="20">
        <f>AM184-AL185</f>
        <v>11</v>
      </c>
      <c r="AO184" s="143" t="s">
        <v>392</v>
      </c>
      <c r="AP184" s="437"/>
      <c r="AQ184" s="21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425" t="s">
        <v>725</v>
      </c>
      <c r="BC184" s="417" t="s">
        <v>953</v>
      </c>
      <c r="BD184" s="411"/>
    </row>
    <row r="185" spans="1:57" s="3" customFormat="1" ht="15.4" thickTop="1" thickBot="1" x14ac:dyDescent="0.45">
      <c r="A185" s="441"/>
      <c r="B185" s="93" t="s">
        <v>262</v>
      </c>
      <c r="C185" s="41" t="s">
        <v>364</v>
      </c>
      <c r="D185" s="24" t="s">
        <v>260</v>
      </c>
      <c r="E185" s="157"/>
      <c r="F185" s="157"/>
      <c r="G185" s="43" t="s">
        <v>143</v>
      </c>
      <c r="H185" s="46" t="s">
        <v>111</v>
      </c>
      <c r="I185" s="23" t="s">
        <v>56</v>
      </c>
      <c r="J185" s="41" t="s">
        <v>1</v>
      </c>
      <c r="K185" s="41" t="s">
        <v>346</v>
      </c>
      <c r="L185" s="43"/>
      <c r="M185" s="197" t="s">
        <v>34</v>
      </c>
      <c r="N185" s="26" t="s">
        <v>36</v>
      </c>
      <c r="O185" s="27"/>
      <c r="P185" s="28"/>
      <c r="Q185" s="28"/>
      <c r="R185" s="28"/>
      <c r="S185" s="28"/>
      <c r="T185" s="28"/>
      <c r="U185" s="28">
        <f>U184</f>
        <v>46233</v>
      </c>
      <c r="V185" s="28">
        <f>WORKDAY(U185, V7, IF(V12="China",'China Holidays'!$A$2:$A$84,'Thai Holidays'!$A$2:$A$65))</f>
        <v>46248</v>
      </c>
      <c r="W185" s="28">
        <f>W184</f>
        <v>46252</v>
      </c>
      <c r="X185" s="28">
        <f>WORKDAY(W185, X7, IF(X12="China",'China Holidays'!$A$2:$A$84,'Thai Holidays'!$A$2:$A$65))</f>
        <v>46254</v>
      </c>
      <c r="Y185" s="28">
        <f>WORKDAY(X185, Y7, IF(Y12="China",'China Holidays'!$A$2:$A$84,'Thai Holidays'!$A$2:$A$65))</f>
        <v>46261</v>
      </c>
      <c r="Z185" s="28">
        <f>WORKDAY(Y185, Z7, IF(Z12="China",'China Holidays'!$A$2:$A$84,'Thai Holidays'!$A$2:$A$65))</f>
        <v>46289</v>
      </c>
      <c r="AA185" s="28">
        <f>WORKDAY(Z185, AA7, IF(AA12="China",'China Holidays'!$A$2:$A$84,'Thai Holidays'!$A$2:$A$65))</f>
        <v>46303</v>
      </c>
      <c r="AB185" s="28">
        <f>AA185+30</f>
        <v>46333</v>
      </c>
      <c r="AC185" s="28">
        <f>AB185</f>
        <v>46333</v>
      </c>
      <c r="AD185" s="28">
        <f>AC185+2</f>
        <v>46335</v>
      </c>
      <c r="AE185" s="28">
        <f>AF185-20</f>
        <v>46454</v>
      </c>
      <c r="AF185" s="28">
        <f>AG185-30</f>
        <v>46474</v>
      </c>
      <c r="AG185" s="28">
        <f>AL184</f>
        <v>46504</v>
      </c>
      <c r="AH185" s="28">
        <f>AL184+3</f>
        <v>46507</v>
      </c>
      <c r="AI185" s="28">
        <f>AL184+30</f>
        <v>46534</v>
      </c>
      <c r="AJ185" s="81"/>
      <c r="AK185" s="79"/>
      <c r="AL185" s="83">
        <f>W185+AK184</f>
        <v>46504</v>
      </c>
      <c r="AM185" s="83"/>
      <c r="AN185" s="29"/>
      <c r="AO185" s="141"/>
      <c r="AP185" s="438"/>
      <c r="AQ185" s="21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425"/>
      <c r="BC185" s="413"/>
      <c r="BD185" s="411"/>
    </row>
    <row r="186" spans="1:57" s="3" customFormat="1" ht="15.4" thickTop="1" thickBot="1" x14ac:dyDescent="0.45">
      <c r="A186" s="442"/>
      <c r="B186" s="94" t="s">
        <v>262</v>
      </c>
      <c r="C186" s="72" t="s">
        <v>364</v>
      </c>
      <c r="D186" s="33" t="s">
        <v>260</v>
      </c>
      <c r="E186" s="151"/>
      <c r="F186" s="151"/>
      <c r="G186" s="45" t="s">
        <v>143</v>
      </c>
      <c r="H186" s="34" t="s">
        <v>111</v>
      </c>
      <c r="I186" s="32" t="s">
        <v>56</v>
      </c>
      <c r="J186" s="32" t="s">
        <v>1</v>
      </c>
      <c r="K186" s="32" t="s">
        <v>346</v>
      </c>
      <c r="L186" s="45"/>
      <c r="M186" s="198" t="s">
        <v>34</v>
      </c>
      <c r="N186" s="35" t="s">
        <v>37</v>
      </c>
      <c r="O186" s="36">
        <v>46133</v>
      </c>
      <c r="P186" s="36">
        <v>46134</v>
      </c>
      <c r="Q186" s="36">
        <v>46155</v>
      </c>
      <c r="R186" s="36">
        <v>46177</v>
      </c>
      <c r="S186" s="36">
        <v>46177</v>
      </c>
      <c r="T186" s="36">
        <v>46188</v>
      </c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82"/>
      <c r="AK186" s="80"/>
      <c r="AL186" s="37"/>
      <c r="AM186" s="37"/>
      <c r="AN186" s="38"/>
      <c r="AO186" s="142"/>
      <c r="AP186" s="439"/>
      <c r="AQ186" s="39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25"/>
      <c r="BC186" s="413"/>
      <c r="BD186" s="411"/>
    </row>
    <row r="187" spans="1:57" s="3" customFormat="1" ht="18" customHeight="1" thickTop="1" thickBot="1" x14ac:dyDescent="0.45">
      <c r="A187" s="440">
        <f t="shared" ref="A187" si="45">A184+1</f>
        <v>54</v>
      </c>
      <c r="B187" s="92" t="s">
        <v>263</v>
      </c>
      <c r="C187" s="17" t="s">
        <v>563</v>
      </c>
      <c r="D187" s="227" t="s">
        <v>555</v>
      </c>
      <c r="E187" s="150" t="s">
        <v>505</v>
      </c>
      <c r="F187" s="150" t="s">
        <v>455</v>
      </c>
      <c r="G187" s="64" t="s">
        <v>115</v>
      </c>
      <c r="H187" s="16" t="s">
        <v>111</v>
      </c>
      <c r="I187" s="14" t="s">
        <v>56</v>
      </c>
      <c r="J187" s="14" t="s">
        <v>0</v>
      </c>
      <c r="K187" s="14" t="s">
        <v>346</v>
      </c>
      <c r="L187" s="423"/>
      <c r="M187" s="196" t="s">
        <v>34</v>
      </c>
      <c r="N187" s="18" t="s">
        <v>35</v>
      </c>
      <c r="O187" s="19">
        <v>46164</v>
      </c>
      <c r="P187" s="19">
        <v>46167</v>
      </c>
      <c r="Q187" s="19">
        <v>46175</v>
      </c>
      <c r="R187" s="19">
        <v>46176</v>
      </c>
      <c r="S187" s="19">
        <v>46183</v>
      </c>
      <c r="T187" s="19">
        <v>46198</v>
      </c>
      <c r="U187" s="230">
        <v>46226</v>
      </c>
      <c r="V187" s="19">
        <v>46233</v>
      </c>
      <c r="W187" s="19">
        <v>46247</v>
      </c>
      <c r="X187" s="19">
        <v>46251</v>
      </c>
      <c r="Y187" s="19">
        <v>46258</v>
      </c>
      <c r="Z187" s="19">
        <v>46286</v>
      </c>
      <c r="AA187" s="19">
        <v>46300</v>
      </c>
      <c r="AB187" s="19">
        <v>46360</v>
      </c>
      <c r="AC187" s="19">
        <v>46360</v>
      </c>
      <c r="AD187" s="19">
        <v>46362</v>
      </c>
      <c r="AE187" s="19">
        <v>46453</v>
      </c>
      <c r="AF187" s="19">
        <v>46468</v>
      </c>
      <c r="AG187" s="19">
        <v>46478</v>
      </c>
      <c r="AH187" s="19">
        <v>46481</v>
      </c>
      <c r="AI187" s="19">
        <v>46508</v>
      </c>
      <c r="AJ187" s="58">
        <v>33</v>
      </c>
      <c r="AK187" s="59">
        <v>231</v>
      </c>
      <c r="AL187" s="78">
        <v>46478</v>
      </c>
      <c r="AM187" s="78">
        <v>46507</v>
      </c>
      <c r="AN187" s="20">
        <f>AM187-AL188</f>
        <v>29</v>
      </c>
      <c r="AO187" s="143" t="s">
        <v>566</v>
      </c>
      <c r="AP187" s="431" t="s">
        <v>584</v>
      </c>
      <c r="AQ187" s="21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425" t="s">
        <v>992</v>
      </c>
      <c r="BC187" s="412" t="s">
        <v>954</v>
      </c>
      <c r="BD187" s="411"/>
    </row>
    <row r="188" spans="1:57" s="3" customFormat="1" ht="15.4" thickTop="1" thickBot="1" x14ac:dyDescent="0.45">
      <c r="A188" s="441"/>
      <c r="B188" s="93" t="s">
        <v>263</v>
      </c>
      <c r="C188" s="71" t="s">
        <v>562</v>
      </c>
      <c r="D188" s="24" t="s">
        <v>114</v>
      </c>
      <c r="E188" s="157" t="s">
        <v>506</v>
      </c>
      <c r="F188" s="157" t="s">
        <v>451</v>
      </c>
      <c r="G188" s="43" t="s">
        <v>115</v>
      </c>
      <c r="H188" s="46" t="s">
        <v>111</v>
      </c>
      <c r="I188" s="23" t="s">
        <v>56</v>
      </c>
      <c r="J188" s="41" t="s">
        <v>0</v>
      </c>
      <c r="K188" s="41" t="s">
        <v>346</v>
      </c>
      <c r="L188" s="93"/>
      <c r="M188" s="197" t="s">
        <v>34</v>
      </c>
      <c r="N188" s="26" t="s">
        <v>36</v>
      </c>
      <c r="O188" s="27"/>
      <c r="P188" s="28"/>
      <c r="Q188" s="28"/>
      <c r="R188" s="28"/>
      <c r="S188" s="28"/>
      <c r="T188" s="28"/>
      <c r="U188" s="28">
        <v>46226</v>
      </c>
      <c r="V188" s="28">
        <f>WORKDAY(U188, V7, IF(V12="China",'China Holidays'!$A$2:$A$84,'Thai Holidays'!$A$2:$A$65))</f>
        <v>46244</v>
      </c>
      <c r="W188" s="28">
        <f>W187</f>
        <v>46247</v>
      </c>
      <c r="X188" s="28">
        <f>WORKDAY(W188, X7, IF(X12="China",'China Holidays'!$A$2:$A$84,'Thai Holidays'!$A$2:$A$65))</f>
        <v>46251</v>
      </c>
      <c r="Y188" s="28">
        <f>WORKDAY(X188, Y7, IF(Y12="China",'China Holidays'!$A$2:$A$84,'Thai Holidays'!$A$2:$A$65))</f>
        <v>46258</v>
      </c>
      <c r="Z188" s="28">
        <f>WORKDAY(Y188, Z7, IF(Z12="China",'China Holidays'!$A$2:$A$84,'Thai Holidays'!$A$2:$A$65))</f>
        <v>46286</v>
      </c>
      <c r="AA188" s="28">
        <f>WORKDAY(Z188, AA7, IF(AA12="China",'China Holidays'!$A$2:$A$84,'Thai Holidays'!$A$2:$A$65))</f>
        <v>46300</v>
      </c>
      <c r="AB188" s="28">
        <f>AA188+60</f>
        <v>46360</v>
      </c>
      <c r="AC188" s="28">
        <f>AB188</f>
        <v>46360</v>
      </c>
      <c r="AD188" s="28">
        <f>AC188+2</f>
        <v>46362</v>
      </c>
      <c r="AE188" s="28">
        <f>AF188-15</f>
        <v>46453</v>
      </c>
      <c r="AF188" s="28">
        <f>AG188-10</f>
        <v>46468</v>
      </c>
      <c r="AG188" s="28">
        <f>AL187</f>
        <v>46478</v>
      </c>
      <c r="AH188" s="28">
        <f>AL187+3</f>
        <v>46481</v>
      </c>
      <c r="AI188" s="28">
        <f>AL187+30</f>
        <v>46508</v>
      </c>
      <c r="AJ188" s="81"/>
      <c r="AK188" s="79"/>
      <c r="AL188" s="83">
        <f>W188+AK187</f>
        <v>46478</v>
      </c>
      <c r="AM188" s="83"/>
      <c r="AN188" s="29"/>
      <c r="AO188" s="141"/>
      <c r="AP188" s="438"/>
      <c r="AQ188" s="21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425" t="s">
        <v>993</v>
      </c>
      <c r="BC188" s="412" t="s">
        <v>949</v>
      </c>
      <c r="BD188" s="411"/>
    </row>
    <row r="189" spans="1:57" s="3" customFormat="1" ht="17.25" customHeight="1" thickTop="1" thickBot="1" x14ac:dyDescent="0.45">
      <c r="A189" s="442"/>
      <c r="B189" s="94" t="s">
        <v>263</v>
      </c>
      <c r="C189" s="72" t="s">
        <v>562</v>
      </c>
      <c r="D189" s="33" t="s">
        <v>114</v>
      </c>
      <c r="E189" s="151"/>
      <c r="F189" s="151"/>
      <c r="G189" s="45" t="s">
        <v>115</v>
      </c>
      <c r="H189" s="34" t="s">
        <v>111</v>
      </c>
      <c r="I189" s="32" t="s">
        <v>56</v>
      </c>
      <c r="J189" s="32" t="s">
        <v>0</v>
      </c>
      <c r="K189" s="32" t="s">
        <v>346</v>
      </c>
      <c r="L189" s="45"/>
      <c r="M189" s="198" t="s">
        <v>34</v>
      </c>
      <c r="N189" s="35" t="s">
        <v>37</v>
      </c>
      <c r="O189" s="36">
        <v>46133</v>
      </c>
      <c r="P189" s="36">
        <v>46134</v>
      </c>
      <c r="Q189" s="36">
        <v>46155</v>
      </c>
      <c r="R189" s="36">
        <v>46167</v>
      </c>
      <c r="S189" s="36">
        <v>46167</v>
      </c>
      <c r="T189" s="36">
        <v>46188</v>
      </c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82"/>
      <c r="AK189" s="80"/>
      <c r="AL189" s="37"/>
      <c r="AM189" s="37"/>
      <c r="AN189" s="38"/>
      <c r="AO189" s="142"/>
      <c r="AP189" s="439"/>
      <c r="AQ189" s="39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25"/>
      <c r="BC189" s="411"/>
      <c r="BD189" s="411"/>
    </row>
    <row r="190" spans="1:57" s="3" customFormat="1" ht="17.25" customHeight="1" thickTop="1" thickBot="1" x14ac:dyDescent="0.45">
      <c r="A190" s="440">
        <f t="shared" ref="A190" si="46">A187+1</f>
        <v>55</v>
      </c>
      <c r="B190" s="92" t="s">
        <v>264</v>
      </c>
      <c r="C190" s="17" t="s">
        <v>565</v>
      </c>
      <c r="D190" s="227" t="s">
        <v>265</v>
      </c>
      <c r="E190" s="150" t="s">
        <v>559</v>
      </c>
      <c r="F190" s="150" t="s">
        <v>451</v>
      </c>
      <c r="G190" s="64" t="s">
        <v>115</v>
      </c>
      <c r="H190" s="16" t="s">
        <v>111</v>
      </c>
      <c r="I190" s="14" t="s">
        <v>56</v>
      </c>
      <c r="J190" s="14" t="s">
        <v>1</v>
      </c>
      <c r="K190" s="14" t="s">
        <v>346</v>
      </c>
      <c r="L190" s="222" t="s">
        <v>659</v>
      </c>
      <c r="M190" s="196" t="s">
        <v>34</v>
      </c>
      <c r="N190" s="18" t="s">
        <v>35</v>
      </c>
      <c r="O190" s="19">
        <v>46176</v>
      </c>
      <c r="P190" s="19">
        <v>46177</v>
      </c>
      <c r="Q190" s="19">
        <v>46184</v>
      </c>
      <c r="R190" s="19">
        <v>46185</v>
      </c>
      <c r="S190" s="19">
        <v>46192</v>
      </c>
      <c r="T190" s="19">
        <v>46206</v>
      </c>
      <c r="U190" s="230">
        <v>46238</v>
      </c>
      <c r="V190" s="19">
        <v>46241</v>
      </c>
      <c r="W190" s="19">
        <v>46255</v>
      </c>
      <c r="X190" s="19">
        <v>46259</v>
      </c>
      <c r="Y190" s="19">
        <v>46266</v>
      </c>
      <c r="Z190" s="19">
        <v>46295</v>
      </c>
      <c r="AA190" s="19">
        <v>46310</v>
      </c>
      <c r="AB190" s="19">
        <v>46370</v>
      </c>
      <c r="AC190" s="19">
        <v>46370</v>
      </c>
      <c r="AD190" s="19">
        <v>46372</v>
      </c>
      <c r="AE190" s="19">
        <v>46454</v>
      </c>
      <c r="AF190" s="19">
        <v>46469</v>
      </c>
      <c r="AG190" s="19">
        <v>46479</v>
      </c>
      <c r="AH190" s="19">
        <v>46482</v>
      </c>
      <c r="AI190" s="19">
        <v>46507</v>
      </c>
      <c r="AJ190" s="58">
        <v>32</v>
      </c>
      <c r="AK190" s="59">
        <v>224</v>
      </c>
      <c r="AL190" s="78">
        <v>46479</v>
      </c>
      <c r="AM190" s="78">
        <v>46507</v>
      </c>
      <c r="AN190" s="20">
        <f>AM190-AL191</f>
        <v>36</v>
      </c>
      <c r="AO190" s="143" t="s">
        <v>566</v>
      </c>
      <c r="AP190" s="431" t="s">
        <v>583</v>
      </c>
      <c r="AQ190" s="21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425"/>
      <c r="BC190" s="411"/>
      <c r="BD190" s="411"/>
    </row>
    <row r="191" spans="1:57" s="3" customFormat="1" ht="17.649999999999999" customHeight="1" thickTop="1" thickBot="1" x14ac:dyDescent="0.45">
      <c r="A191" s="441"/>
      <c r="B191" s="93" t="s">
        <v>264</v>
      </c>
      <c r="C191" s="71" t="s">
        <v>564</v>
      </c>
      <c r="D191" s="93" t="s">
        <v>265</v>
      </c>
      <c r="E191" s="157"/>
      <c r="F191" s="157"/>
      <c r="G191" s="43" t="s">
        <v>115</v>
      </c>
      <c r="H191" s="46" t="s">
        <v>111</v>
      </c>
      <c r="I191" s="23" t="s">
        <v>56</v>
      </c>
      <c r="J191" s="41" t="s">
        <v>1</v>
      </c>
      <c r="K191" s="41" t="s">
        <v>346</v>
      </c>
      <c r="L191" s="43"/>
      <c r="M191" s="197" t="s">
        <v>34</v>
      </c>
      <c r="N191" s="26" t="s">
        <v>36</v>
      </c>
      <c r="O191" s="27"/>
      <c r="P191" s="28"/>
      <c r="Q191" s="83"/>
      <c r="R191" s="28"/>
      <c r="S191" s="28"/>
      <c r="T191" s="28"/>
      <c r="U191" s="28">
        <v>46226</v>
      </c>
      <c r="V191" s="28">
        <f>WORKDAY(U191, V7, IF(V12="China",'China Holidays'!$A$2:$A$84,'Thai Holidays'!$A$2:$A$65))</f>
        <v>46244</v>
      </c>
      <c r="W191" s="28">
        <v>46247</v>
      </c>
      <c r="X191" s="28">
        <f>WORKDAY(W191, X7, IF(X12="China",'China Holidays'!$A$2:$A$84,'Thai Holidays'!$A$2:$A$65))</f>
        <v>46251</v>
      </c>
      <c r="Y191" s="28">
        <f>WORKDAY(X191, Y7, IF(Y12="China",'China Holidays'!$A$2:$A$84,'Thai Holidays'!$A$2:$A$65))</f>
        <v>46258</v>
      </c>
      <c r="Z191" s="28">
        <f>WORKDAY(Y191, Z7, IF(Z12="China",'China Holidays'!$A$2:$A$84,'Thai Holidays'!$A$2:$A$65))</f>
        <v>46286</v>
      </c>
      <c r="AA191" s="28">
        <f>WORKDAY(Z191, AA7, IF(AA12="China",'China Holidays'!$A$2:$A$84,'Thai Holidays'!$A$2:$A$65))</f>
        <v>46300</v>
      </c>
      <c r="AB191" s="28">
        <f>AA191+60</f>
        <v>46360</v>
      </c>
      <c r="AC191" s="28">
        <f>AB191</f>
        <v>46360</v>
      </c>
      <c r="AD191" s="28">
        <f>AC191+2</f>
        <v>46362</v>
      </c>
      <c r="AE191" s="28">
        <f>AF191-15</f>
        <v>46454</v>
      </c>
      <c r="AF191" s="28">
        <f>AG191-10</f>
        <v>46469</v>
      </c>
      <c r="AG191" s="28">
        <f>AL190</f>
        <v>46479</v>
      </c>
      <c r="AH191" s="28">
        <f>AL190+3</f>
        <v>46482</v>
      </c>
      <c r="AI191" s="28">
        <f>AL190+28</f>
        <v>46507</v>
      </c>
      <c r="AJ191" s="81"/>
      <c r="AK191" s="79"/>
      <c r="AL191" s="83">
        <f>W191+AK190</f>
        <v>46471</v>
      </c>
      <c r="AM191" s="83"/>
      <c r="AN191" s="29"/>
      <c r="AO191" s="141"/>
      <c r="AP191" s="438"/>
      <c r="AQ191" s="21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425"/>
      <c r="BC191" s="411"/>
      <c r="BD191" s="411"/>
    </row>
    <row r="192" spans="1:57" s="3" customFormat="1" ht="16.149999999999999" customHeight="1" thickTop="1" thickBot="1" x14ac:dyDescent="0.45">
      <c r="A192" s="442"/>
      <c r="B192" s="94" t="s">
        <v>264</v>
      </c>
      <c r="C192" s="72" t="s">
        <v>564</v>
      </c>
      <c r="D192" s="94" t="s">
        <v>265</v>
      </c>
      <c r="E192" s="151"/>
      <c r="F192" s="151"/>
      <c r="G192" s="45" t="s">
        <v>115</v>
      </c>
      <c r="H192" s="34" t="s">
        <v>111</v>
      </c>
      <c r="I192" s="32" t="s">
        <v>56</v>
      </c>
      <c r="J192" s="32" t="s">
        <v>1</v>
      </c>
      <c r="K192" s="32" t="s">
        <v>346</v>
      </c>
      <c r="L192" s="45"/>
      <c r="M192" s="198" t="s">
        <v>34</v>
      </c>
      <c r="N192" s="35" t="s">
        <v>37</v>
      </c>
      <c r="O192" s="36" t="s">
        <v>370</v>
      </c>
      <c r="P192" s="36">
        <v>46133</v>
      </c>
      <c r="Q192" s="36">
        <v>46153</v>
      </c>
      <c r="R192" s="36">
        <v>46167</v>
      </c>
      <c r="S192" s="36">
        <v>46167</v>
      </c>
      <c r="T192" s="36">
        <v>46188</v>
      </c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82"/>
      <c r="AK192" s="80"/>
      <c r="AL192" s="37"/>
      <c r="AM192" s="37"/>
      <c r="AN192" s="38"/>
      <c r="AO192" s="142"/>
      <c r="AP192" s="439"/>
      <c r="AQ192" s="39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25"/>
      <c r="BC192" s="411"/>
      <c r="BD192" s="411"/>
    </row>
    <row r="193" spans="1:56" s="3" customFormat="1" ht="15.4" thickTop="1" thickBot="1" x14ac:dyDescent="0.45">
      <c r="A193" s="440">
        <f t="shared" ref="A193" si="47">A190+1</f>
        <v>56</v>
      </c>
      <c r="B193" s="92" t="s">
        <v>266</v>
      </c>
      <c r="C193" s="14" t="s">
        <v>124</v>
      </c>
      <c r="D193" s="15" t="s">
        <v>141</v>
      </c>
      <c r="E193" s="150" t="s">
        <v>445</v>
      </c>
      <c r="F193" s="150" t="s">
        <v>451</v>
      </c>
      <c r="G193" s="64" t="s">
        <v>48</v>
      </c>
      <c r="H193" s="16" t="s">
        <v>111</v>
      </c>
      <c r="I193" s="14" t="s">
        <v>56</v>
      </c>
      <c r="J193" s="14" t="s">
        <v>1</v>
      </c>
      <c r="K193" s="14" t="s">
        <v>344</v>
      </c>
      <c r="L193" s="42"/>
      <c r="M193" s="196" t="s">
        <v>34</v>
      </c>
      <c r="N193" s="18" t="s">
        <v>35</v>
      </c>
      <c r="O193" s="19">
        <v>46248</v>
      </c>
      <c r="P193" s="19">
        <v>46253</v>
      </c>
      <c r="Q193" s="19">
        <v>46260</v>
      </c>
      <c r="R193" s="19">
        <v>46261</v>
      </c>
      <c r="S193" s="19">
        <v>46268</v>
      </c>
      <c r="T193" s="19">
        <v>46282</v>
      </c>
      <c r="U193" s="19">
        <v>46303</v>
      </c>
      <c r="V193" s="19">
        <v>46309</v>
      </c>
      <c r="W193" s="19">
        <v>46323</v>
      </c>
      <c r="X193" s="19">
        <v>46325</v>
      </c>
      <c r="Y193" s="19">
        <v>46332</v>
      </c>
      <c r="Z193" s="19">
        <v>46353</v>
      </c>
      <c r="AA193" s="19">
        <v>46370</v>
      </c>
      <c r="AB193" s="19">
        <v>46390</v>
      </c>
      <c r="AC193" s="19">
        <v>46390</v>
      </c>
      <c r="AD193" s="19">
        <v>46392</v>
      </c>
      <c r="AE193" s="19">
        <v>46431</v>
      </c>
      <c r="AF193" s="19">
        <v>46446</v>
      </c>
      <c r="AG193" s="19">
        <v>46456</v>
      </c>
      <c r="AH193" s="19">
        <v>46459</v>
      </c>
      <c r="AI193" s="19">
        <v>46486</v>
      </c>
      <c r="AJ193" s="58">
        <v>19</v>
      </c>
      <c r="AK193" s="59">
        <v>133</v>
      </c>
      <c r="AL193" s="78">
        <v>46456</v>
      </c>
      <c r="AM193" s="78">
        <v>46507</v>
      </c>
      <c r="AN193" s="20">
        <f>AM193-AL194</f>
        <v>51</v>
      </c>
      <c r="AO193" s="143"/>
      <c r="AP193" s="437"/>
      <c r="AQ193" s="21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425"/>
      <c r="BC193" s="411"/>
      <c r="BD193" s="411"/>
    </row>
    <row r="194" spans="1:56" s="3" customFormat="1" ht="15.4" thickTop="1" thickBot="1" x14ac:dyDescent="0.45">
      <c r="A194" s="441"/>
      <c r="B194" s="93" t="s">
        <v>266</v>
      </c>
      <c r="C194" s="41" t="s">
        <v>124</v>
      </c>
      <c r="D194" s="24" t="s">
        <v>141</v>
      </c>
      <c r="E194" s="157" t="s">
        <v>446</v>
      </c>
      <c r="F194" s="157" t="s">
        <v>467</v>
      </c>
      <c r="G194" s="43" t="s">
        <v>48</v>
      </c>
      <c r="H194" s="46" t="s">
        <v>111</v>
      </c>
      <c r="I194" s="23" t="s">
        <v>56</v>
      </c>
      <c r="J194" s="41" t="s">
        <v>1</v>
      </c>
      <c r="K194" s="41" t="s">
        <v>344</v>
      </c>
      <c r="L194" s="43"/>
      <c r="M194" s="197" t="s">
        <v>34</v>
      </c>
      <c r="N194" s="26" t="s">
        <v>36</v>
      </c>
      <c r="O194" s="27">
        <f>O193</f>
        <v>46248</v>
      </c>
      <c r="P194" s="28"/>
      <c r="Q194" s="28"/>
      <c r="R194" s="28">
        <f>R193</f>
        <v>46261</v>
      </c>
      <c r="S194" s="28">
        <f>WORKDAY(R194, S8, IF(S12="China",'China Holidays'!$A$2:$A$84,'Thai Holidays'!$A$2:$A$65))</f>
        <v>46261</v>
      </c>
      <c r="T194" s="28">
        <f>WORKDAY(S194, T8, IF(T12="China",'China Holidays'!$A$2:$A$84,'Thai Holidays'!$A$2:$A$65))</f>
        <v>46275</v>
      </c>
      <c r="U194" s="28">
        <f>U193</f>
        <v>46303</v>
      </c>
      <c r="V194" s="28">
        <f>WORKDAY(U194, V8, IF(V12="China",'China Holidays'!$A$2:$A$84,'Thai Holidays'!$A$2:$A$65))</f>
        <v>46321</v>
      </c>
      <c r="W194" s="28">
        <f>W193</f>
        <v>46323</v>
      </c>
      <c r="X194" s="28">
        <f>WORKDAY(W194, X8, IF(X12="China",'China Holidays'!$A$2:$A$84,'Thai Holidays'!$A$2:$A$65))</f>
        <v>46325</v>
      </c>
      <c r="Y194" s="28">
        <f>WORKDAY(X194, Y8, IF(Y12="China",'China Holidays'!$A$2:$A$84,'Thai Holidays'!$A$2:$A$65))</f>
        <v>46332</v>
      </c>
      <c r="Z194" s="28">
        <f>WORKDAY(Y194, Z8, IF(Z12="China",'China Holidays'!$A$2:$A$84,'Thai Holidays'!$A$2:$A$65))</f>
        <v>46353</v>
      </c>
      <c r="AA194" s="28">
        <f>WORKDAY(Z194, AA8, IF(AA12="China",'China Holidays'!$A$2:$A$84,'Thai Holidays'!$A$2:$A$65))</f>
        <v>46370</v>
      </c>
      <c r="AB194" s="28">
        <f>AA194+20</f>
        <v>46390</v>
      </c>
      <c r="AC194" s="28">
        <f>AB194</f>
        <v>46390</v>
      </c>
      <c r="AD194" s="28">
        <f>AC194+2</f>
        <v>46392</v>
      </c>
      <c r="AE194" s="28">
        <f>AF194-15</f>
        <v>46431</v>
      </c>
      <c r="AF194" s="28">
        <f>AG194-10</f>
        <v>46446</v>
      </c>
      <c r="AG194" s="28">
        <f>AL193</f>
        <v>46456</v>
      </c>
      <c r="AH194" s="28">
        <f>AL193+3</f>
        <v>46459</v>
      </c>
      <c r="AI194" s="28">
        <f>AL193+30</f>
        <v>46486</v>
      </c>
      <c r="AJ194" s="81"/>
      <c r="AK194" s="79"/>
      <c r="AL194" s="83">
        <f>W194+AK193</f>
        <v>46456</v>
      </c>
      <c r="AM194" s="83"/>
      <c r="AN194" s="29"/>
      <c r="AO194" s="141"/>
      <c r="AP194" s="438"/>
      <c r="AQ194" s="21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425"/>
      <c r="BC194" s="411"/>
      <c r="BD194" s="411"/>
    </row>
    <row r="195" spans="1:56" s="3" customFormat="1" ht="15.4" thickTop="1" thickBot="1" x14ac:dyDescent="0.45">
      <c r="A195" s="442"/>
      <c r="B195" s="94" t="s">
        <v>266</v>
      </c>
      <c r="C195" s="32" t="s">
        <v>124</v>
      </c>
      <c r="D195" s="48" t="s">
        <v>141</v>
      </c>
      <c r="E195" s="158"/>
      <c r="F195" s="158"/>
      <c r="G195" s="45" t="s">
        <v>48</v>
      </c>
      <c r="H195" s="34" t="s">
        <v>111</v>
      </c>
      <c r="I195" s="32" t="s">
        <v>56</v>
      </c>
      <c r="J195" s="32" t="s">
        <v>1</v>
      </c>
      <c r="K195" s="32" t="s">
        <v>344</v>
      </c>
      <c r="L195" s="45"/>
      <c r="M195" s="198" t="s">
        <v>34</v>
      </c>
      <c r="N195" s="35" t="s">
        <v>37</v>
      </c>
      <c r="O195" s="36"/>
      <c r="P195" s="36">
        <v>46151</v>
      </c>
      <c r="Q195" s="36">
        <v>46166</v>
      </c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82"/>
      <c r="AK195" s="80"/>
      <c r="AL195" s="37"/>
      <c r="AM195" s="37"/>
      <c r="AN195" s="38"/>
      <c r="AO195" s="142"/>
      <c r="AP195" s="439"/>
      <c r="AQ195" s="39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25"/>
      <c r="BC195" s="411"/>
      <c r="BD195" s="411"/>
    </row>
    <row r="196" spans="1:56" s="3" customFormat="1" ht="15.4" thickTop="1" thickBot="1" x14ac:dyDescent="0.45">
      <c r="A196" s="440">
        <f t="shared" ref="A196" si="48">A193+1</f>
        <v>57</v>
      </c>
      <c r="B196" s="92" t="s">
        <v>267</v>
      </c>
      <c r="C196" s="14" t="s">
        <v>127</v>
      </c>
      <c r="D196" s="43" t="s">
        <v>155</v>
      </c>
      <c r="E196" s="183"/>
      <c r="F196" s="183"/>
      <c r="G196" s="64" t="s">
        <v>151</v>
      </c>
      <c r="H196" s="16" t="s">
        <v>111</v>
      </c>
      <c r="I196" s="14" t="s">
        <v>56</v>
      </c>
      <c r="J196" s="14" t="s">
        <v>1</v>
      </c>
      <c r="K196" s="14" t="s">
        <v>345</v>
      </c>
      <c r="L196" s="42"/>
      <c r="M196" s="196" t="s">
        <v>74</v>
      </c>
      <c r="N196" s="18" t="s">
        <v>35</v>
      </c>
      <c r="O196" s="19">
        <v>46322</v>
      </c>
      <c r="P196" s="19">
        <v>46313</v>
      </c>
      <c r="Q196" s="19">
        <v>46328</v>
      </c>
      <c r="R196" s="19">
        <v>46328</v>
      </c>
      <c r="S196" s="19">
        <v>46328</v>
      </c>
      <c r="T196" s="19">
        <v>46335</v>
      </c>
      <c r="U196" s="19">
        <v>46344</v>
      </c>
      <c r="V196" s="19">
        <v>46358</v>
      </c>
      <c r="W196" s="19">
        <v>46365</v>
      </c>
      <c r="X196" s="19">
        <v>46367</v>
      </c>
      <c r="Y196" s="19">
        <v>46374</v>
      </c>
      <c r="Z196" s="19">
        <v>46391</v>
      </c>
      <c r="AA196" s="19">
        <v>46405</v>
      </c>
      <c r="AB196" s="19">
        <v>46420</v>
      </c>
      <c r="AC196" s="19">
        <v>46420</v>
      </c>
      <c r="AD196" s="19">
        <v>46422</v>
      </c>
      <c r="AE196" s="19">
        <v>46452</v>
      </c>
      <c r="AF196" s="19">
        <v>46467</v>
      </c>
      <c r="AG196" s="19">
        <v>46477</v>
      </c>
      <c r="AH196" s="19">
        <v>46480</v>
      </c>
      <c r="AI196" s="19">
        <v>46507</v>
      </c>
      <c r="AJ196" s="58">
        <v>16</v>
      </c>
      <c r="AK196" s="59">
        <v>112</v>
      </c>
      <c r="AL196" s="78">
        <v>46477</v>
      </c>
      <c r="AM196" s="78">
        <v>46492</v>
      </c>
      <c r="AN196" s="20">
        <f>AM196-AL197</f>
        <v>15</v>
      </c>
      <c r="AO196" s="143"/>
      <c r="AP196" s="437"/>
      <c r="AQ196" s="21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425"/>
      <c r="BC196" s="411"/>
      <c r="BD196" s="411"/>
    </row>
    <row r="197" spans="1:56" s="3" customFormat="1" ht="15.4" thickTop="1" thickBot="1" x14ac:dyDescent="0.45">
      <c r="A197" s="441"/>
      <c r="B197" s="93" t="s">
        <v>267</v>
      </c>
      <c r="C197" s="41" t="s">
        <v>127</v>
      </c>
      <c r="D197" s="43" t="s">
        <v>155</v>
      </c>
      <c r="E197" s="157"/>
      <c r="F197" s="157"/>
      <c r="G197" s="43" t="s">
        <v>151</v>
      </c>
      <c r="H197" s="46" t="s">
        <v>111</v>
      </c>
      <c r="I197" s="23" t="s">
        <v>56</v>
      </c>
      <c r="J197" s="41" t="s">
        <v>1</v>
      </c>
      <c r="K197" s="41" t="s">
        <v>345</v>
      </c>
      <c r="L197" s="43"/>
      <c r="M197" s="197" t="s">
        <v>74</v>
      </c>
      <c r="N197" s="26" t="s">
        <v>36</v>
      </c>
      <c r="O197" s="27">
        <f>O196</f>
        <v>46322</v>
      </c>
      <c r="P197" s="28">
        <f>P196</f>
        <v>46313</v>
      </c>
      <c r="Q197" s="28">
        <f>WORKDAY(P197, Q9, IF(Q12="China",'China Holidays'!$A$2:$A$84,'Thai Holidays'!$A$2:$A$65))</f>
        <v>46328</v>
      </c>
      <c r="R197" s="28">
        <f>WORKDAY(Q197, R9, IF(R12="China",'China Holidays'!$A$2:$A$84,'Thai Holidays'!$A$2:$A$65))</f>
        <v>46328</v>
      </c>
      <c r="S197" s="28">
        <f>WORKDAY(R197, S9, IF(S12="China",'China Holidays'!$A$2:$A$84,'Thai Holidays'!$A$2:$A$65))</f>
        <v>46328</v>
      </c>
      <c r="T197" s="28">
        <f>WORKDAY(S197, T9, IF(T12="China",'China Holidays'!$A$2:$A$84,'Thai Holidays'!$A$2:$A$65))</f>
        <v>46335</v>
      </c>
      <c r="U197" s="28">
        <f>WORKDAY(T197, U9, IF(U12="China",'China Holidays'!$A$2:$A$84,'Thai Holidays'!$A$2:$A$65))</f>
        <v>46344</v>
      </c>
      <c r="V197" s="28">
        <f>WORKDAY(U197, V9, IF(V12="China",'China Holidays'!$A$2:$A$84,'Thai Holidays'!$A$2:$A$65))</f>
        <v>46358</v>
      </c>
      <c r="W197" s="28">
        <f>WORKDAY(V197, W9, IF(W12="China",'China Holidays'!$A$2:$A$84,'Thai Holidays'!$A$2:$A$65))</f>
        <v>46365</v>
      </c>
      <c r="X197" s="28">
        <f>WORKDAY(W197, X9, IF(X12="China",'China Holidays'!$A$2:$A$84,'Thai Holidays'!$A$2:$A$65))</f>
        <v>46367</v>
      </c>
      <c r="Y197" s="28">
        <f>WORKDAY(X197, Y9, IF(Y12="China",'China Holidays'!$A$2:$A$84,'Thai Holidays'!$A$2:$A$65))</f>
        <v>46374</v>
      </c>
      <c r="Z197" s="28">
        <f>WORKDAY(Y197, Z9, IF(Z12="China",'China Holidays'!$A$2:$A$84,'Thai Holidays'!$A$2:$A$65))</f>
        <v>46391</v>
      </c>
      <c r="AA197" s="28">
        <f>WORKDAY(Z197, AA9, IF(AA12="China",'China Holidays'!$A$2:$A$84,'Thai Holidays'!$A$2:$A$65))</f>
        <v>46405</v>
      </c>
      <c r="AB197" s="28">
        <f>AA197+15</f>
        <v>46420</v>
      </c>
      <c r="AC197" s="28">
        <f>AB197</f>
        <v>46420</v>
      </c>
      <c r="AD197" s="28">
        <f>AC197+2</f>
        <v>46422</v>
      </c>
      <c r="AE197" s="28">
        <f>AF197-15</f>
        <v>46452</v>
      </c>
      <c r="AF197" s="28">
        <f>AG197-10</f>
        <v>46467</v>
      </c>
      <c r="AG197" s="28">
        <f>AL196</f>
        <v>46477</v>
      </c>
      <c r="AH197" s="28">
        <f>AL196+3</f>
        <v>46480</v>
      </c>
      <c r="AI197" s="28">
        <f>AL196+30</f>
        <v>46507</v>
      </c>
      <c r="AJ197" s="81"/>
      <c r="AK197" s="79"/>
      <c r="AL197" s="83">
        <f>W197+AK196</f>
        <v>46477</v>
      </c>
      <c r="AM197" s="83"/>
      <c r="AN197" s="29"/>
      <c r="AO197" s="141"/>
      <c r="AP197" s="438"/>
      <c r="AQ197" s="21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425"/>
      <c r="BC197" s="411"/>
      <c r="BD197" s="411"/>
    </row>
    <row r="198" spans="1:56" s="3" customFormat="1" ht="15.4" thickTop="1" thickBot="1" x14ac:dyDescent="0.45">
      <c r="A198" s="442"/>
      <c r="B198" s="94" t="s">
        <v>267</v>
      </c>
      <c r="C198" s="32" t="s">
        <v>127</v>
      </c>
      <c r="D198" s="44" t="s">
        <v>155</v>
      </c>
      <c r="E198" s="151"/>
      <c r="F198" s="151"/>
      <c r="G198" s="45" t="s">
        <v>151</v>
      </c>
      <c r="H198" s="34" t="s">
        <v>111</v>
      </c>
      <c r="I198" s="32" t="s">
        <v>56</v>
      </c>
      <c r="J198" s="32" t="s">
        <v>1</v>
      </c>
      <c r="K198" s="32" t="s">
        <v>345</v>
      </c>
      <c r="L198" s="44"/>
      <c r="M198" s="198" t="s">
        <v>74</v>
      </c>
      <c r="N198" s="35" t="s">
        <v>37</v>
      </c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82"/>
      <c r="AK198" s="80"/>
      <c r="AL198" s="37"/>
      <c r="AM198" s="37"/>
      <c r="AN198" s="38"/>
      <c r="AO198" s="142"/>
      <c r="AP198" s="439"/>
      <c r="AQ198" s="39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25"/>
      <c r="BC198" s="411"/>
      <c r="BD198" s="411"/>
    </row>
    <row r="199" spans="1:56" s="3" customFormat="1" ht="15.4" thickTop="1" thickBot="1" x14ac:dyDescent="0.45">
      <c r="A199" s="440">
        <f t="shared" ref="A199" si="49">A196+1</f>
        <v>58</v>
      </c>
      <c r="B199" s="92" t="s">
        <v>268</v>
      </c>
      <c r="C199" s="14" t="s">
        <v>130</v>
      </c>
      <c r="D199" s="15" t="s">
        <v>145</v>
      </c>
      <c r="E199" s="150" t="s">
        <v>490</v>
      </c>
      <c r="F199" s="150" t="s">
        <v>453</v>
      </c>
      <c r="G199" s="64" t="s">
        <v>146</v>
      </c>
      <c r="H199" s="16" t="s">
        <v>111</v>
      </c>
      <c r="I199" s="14" t="s">
        <v>56</v>
      </c>
      <c r="J199" s="14" t="s">
        <v>1</v>
      </c>
      <c r="K199" s="14" t="s">
        <v>344</v>
      </c>
      <c r="L199" s="42"/>
      <c r="M199" s="196" t="s">
        <v>34</v>
      </c>
      <c r="N199" s="18" t="s">
        <v>35</v>
      </c>
      <c r="O199" s="19">
        <v>46247</v>
      </c>
      <c r="P199" s="19">
        <v>46252</v>
      </c>
      <c r="Q199" s="19">
        <v>46259</v>
      </c>
      <c r="R199" s="19">
        <v>46260</v>
      </c>
      <c r="S199" s="19">
        <v>46267</v>
      </c>
      <c r="T199" s="19">
        <v>46281</v>
      </c>
      <c r="U199" s="19">
        <v>46302</v>
      </c>
      <c r="V199" s="19">
        <v>46307</v>
      </c>
      <c r="W199" s="19">
        <v>46321</v>
      </c>
      <c r="X199" s="19">
        <v>46323</v>
      </c>
      <c r="Y199" s="19">
        <v>46330</v>
      </c>
      <c r="Z199" s="19">
        <v>46351</v>
      </c>
      <c r="AA199" s="19">
        <v>46366</v>
      </c>
      <c r="AB199" s="19">
        <v>46381</v>
      </c>
      <c r="AC199" s="19">
        <v>46381</v>
      </c>
      <c r="AD199" s="19">
        <v>46383</v>
      </c>
      <c r="AE199" s="19">
        <v>46422</v>
      </c>
      <c r="AF199" s="19">
        <v>46437</v>
      </c>
      <c r="AG199" s="19">
        <v>46447</v>
      </c>
      <c r="AH199" s="19">
        <v>46450</v>
      </c>
      <c r="AI199" s="19">
        <v>46477</v>
      </c>
      <c r="AJ199" s="58">
        <v>18</v>
      </c>
      <c r="AK199" s="59">
        <v>126</v>
      </c>
      <c r="AL199" s="78">
        <v>46447</v>
      </c>
      <c r="AM199" s="78">
        <v>46500</v>
      </c>
      <c r="AN199" s="20">
        <f>AM199-AL200</f>
        <v>53</v>
      </c>
      <c r="AO199" s="143"/>
      <c r="AP199" s="437"/>
      <c r="AQ199" s="21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425"/>
      <c r="BC199" s="411"/>
      <c r="BD199" s="411"/>
    </row>
    <row r="200" spans="1:56" s="3" customFormat="1" ht="15.4" thickTop="1" thickBot="1" x14ac:dyDescent="0.45">
      <c r="A200" s="441"/>
      <c r="B200" s="93" t="s">
        <v>268</v>
      </c>
      <c r="C200" s="41" t="s">
        <v>130</v>
      </c>
      <c r="D200" s="24" t="s">
        <v>145</v>
      </c>
      <c r="E200" s="157" t="s">
        <v>491</v>
      </c>
      <c r="F200" s="157" t="s">
        <v>453</v>
      </c>
      <c r="G200" s="43" t="s">
        <v>146</v>
      </c>
      <c r="H200" s="46" t="s">
        <v>111</v>
      </c>
      <c r="I200" s="23" t="s">
        <v>56</v>
      </c>
      <c r="J200" s="41" t="s">
        <v>1</v>
      </c>
      <c r="K200" s="41" t="s">
        <v>344</v>
      </c>
      <c r="L200" s="43"/>
      <c r="M200" s="197" t="s">
        <v>34</v>
      </c>
      <c r="N200" s="26" t="s">
        <v>36</v>
      </c>
      <c r="O200" s="27">
        <f>O199</f>
        <v>46247</v>
      </c>
      <c r="P200" s="28"/>
      <c r="Q200" s="28"/>
      <c r="R200" s="28">
        <f>O200+1</f>
        <v>46248</v>
      </c>
      <c r="S200" s="28">
        <f>WORKDAY(R200, S8, IF(S12="China",'China Holidays'!$A$2:$A$84,'Thai Holidays'!$A$2:$A$65))</f>
        <v>46248</v>
      </c>
      <c r="T200" s="28">
        <f>WORKDAY(S200, T8, IF(T12="China",'China Holidays'!$A$2:$A$84,'Thai Holidays'!$A$2:$A$65))</f>
        <v>46262</v>
      </c>
      <c r="U200" s="28">
        <f>U199</f>
        <v>46302</v>
      </c>
      <c r="V200" s="28">
        <f>WORKDAY(U200, V8, IF(V12="China",'China Holidays'!$A$2:$A$84,'Thai Holidays'!$A$2:$A$65))</f>
        <v>46317</v>
      </c>
      <c r="W200" s="28">
        <f>W199</f>
        <v>46321</v>
      </c>
      <c r="X200" s="28">
        <f>WORKDAY(W200, X8, IF(X12="China",'China Holidays'!$A$2:$A$84,'Thai Holidays'!$A$2:$A$65))</f>
        <v>46323</v>
      </c>
      <c r="Y200" s="28">
        <f>WORKDAY(X200, Y8, IF(Y12="China",'China Holidays'!$A$2:$A$84,'Thai Holidays'!$A$2:$A$65))</f>
        <v>46330</v>
      </c>
      <c r="Z200" s="28">
        <f>WORKDAY(Y200, Z8, IF(Z12="China",'China Holidays'!$A$2:$A$84,'Thai Holidays'!$A$2:$A$65))</f>
        <v>46351</v>
      </c>
      <c r="AA200" s="28">
        <f>WORKDAY(Z200, AA8, IF(AA12="China",'China Holidays'!$A$2:$A$84,'Thai Holidays'!$A$2:$A$65))</f>
        <v>46366</v>
      </c>
      <c r="AB200" s="28">
        <f>AA200+15</f>
        <v>46381</v>
      </c>
      <c r="AC200" s="28">
        <f>AB200</f>
        <v>46381</v>
      </c>
      <c r="AD200" s="28">
        <f>AC200+2</f>
        <v>46383</v>
      </c>
      <c r="AE200" s="28">
        <f>AF200-15</f>
        <v>46422</v>
      </c>
      <c r="AF200" s="28">
        <f>AG200-10</f>
        <v>46437</v>
      </c>
      <c r="AG200" s="28">
        <f>AL199</f>
        <v>46447</v>
      </c>
      <c r="AH200" s="28">
        <f>AL199+3</f>
        <v>46450</v>
      </c>
      <c r="AI200" s="28">
        <f>AL199+30</f>
        <v>46477</v>
      </c>
      <c r="AJ200" s="81"/>
      <c r="AK200" s="79"/>
      <c r="AL200" s="83">
        <f>W200+AK199</f>
        <v>46447</v>
      </c>
      <c r="AM200" s="83"/>
      <c r="AN200" s="29"/>
      <c r="AO200" s="141"/>
      <c r="AP200" s="438"/>
      <c r="AQ200" s="21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425"/>
      <c r="BC200" s="411"/>
      <c r="BD200" s="411"/>
    </row>
    <row r="201" spans="1:56" s="3" customFormat="1" ht="15.4" thickTop="1" thickBot="1" x14ac:dyDescent="0.45">
      <c r="A201" s="442"/>
      <c r="B201" s="94" t="s">
        <v>268</v>
      </c>
      <c r="C201" s="32" t="s">
        <v>130</v>
      </c>
      <c r="D201" s="33" t="s">
        <v>145</v>
      </c>
      <c r="E201" s="151"/>
      <c r="F201" s="151"/>
      <c r="G201" s="44" t="s">
        <v>146</v>
      </c>
      <c r="H201" s="34" t="s">
        <v>111</v>
      </c>
      <c r="I201" s="32" t="s">
        <v>56</v>
      </c>
      <c r="J201" s="32" t="s">
        <v>1</v>
      </c>
      <c r="K201" s="32" t="s">
        <v>344</v>
      </c>
      <c r="L201" s="44"/>
      <c r="M201" s="198" t="s">
        <v>34</v>
      </c>
      <c r="N201" s="35" t="s">
        <v>37</v>
      </c>
      <c r="O201" s="36"/>
      <c r="P201" s="36">
        <v>46153</v>
      </c>
      <c r="Q201" s="36">
        <v>46166</v>
      </c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82"/>
      <c r="AK201" s="80"/>
      <c r="AL201" s="37"/>
      <c r="AM201" s="37"/>
      <c r="AN201" s="38"/>
      <c r="AO201" s="142"/>
      <c r="AP201" s="439"/>
      <c r="AQ201" s="39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25"/>
      <c r="BC201" s="411"/>
      <c r="BD201" s="411"/>
    </row>
    <row r="202" spans="1:56" s="3" customFormat="1" ht="15.75" customHeight="1" thickTop="1" thickBot="1" x14ac:dyDescent="0.45">
      <c r="A202" s="440">
        <f t="shared" ref="A202" si="50">A199+1</f>
        <v>59</v>
      </c>
      <c r="B202" s="92" t="s">
        <v>269</v>
      </c>
      <c r="C202" s="14" t="s">
        <v>132</v>
      </c>
      <c r="D202" s="15" t="s">
        <v>279</v>
      </c>
      <c r="E202" s="150" t="s">
        <v>493</v>
      </c>
      <c r="F202" s="150" t="s">
        <v>492</v>
      </c>
      <c r="G202" s="64" t="s">
        <v>126</v>
      </c>
      <c r="H202" s="16" t="s">
        <v>111</v>
      </c>
      <c r="I202" s="14" t="s">
        <v>56</v>
      </c>
      <c r="J202" s="14" t="s">
        <v>3</v>
      </c>
      <c r="K202" s="14" t="s">
        <v>312</v>
      </c>
      <c r="L202" s="42"/>
      <c r="M202" s="196" t="s">
        <v>34</v>
      </c>
      <c r="N202" s="18" t="s">
        <v>35</v>
      </c>
      <c r="O202" s="19">
        <v>46276</v>
      </c>
      <c r="P202" s="19">
        <v>46274</v>
      </c>
      <c r="Q202" s="19">
        <v>46288</v>
      </c>
      <c r="R202" s="19">
        <v>46288</v>
      </c>
      <c r="S202" s="19">
        <v>46288</v>
      </c>
      <c r="T202" s="19">
        <v>46310</v>
      </c>
      <c r="U202" s="19">
        <v>46330</v>
      </c>
      <c r="V202" s="19">
        <v>46344</v>
      </c>
      <c r="W202" s="19">
        <v>46357</v>
      </c>
      <c r="X202" s="19">
        <v>46359</v>
      </c>
      <c r="Y202" s="19">
        <v>46366</v>
      </c>
      <c r="Z202" s="19">
        <v>46387</v>
      </c>
      <c r="AA202" s="19">
        <v>46402</v>
      </c>
      <c r="AB202" s="19">
        <v>46417</v>
      </c>
      <c r="AC202" s="19">
        <v>46417</v>
      </c>
      <c r="AD202" s="19">
        <v>46419</v>
      </c>
      <c r="AE202" s="19">
        <v>46468</v>
      </c>
      <c r="AF202" s="19">
        <v>46478</v>
      </c>
      <c r="AG202" s="19">
        <v>46483</v>
      </c>
      <c r="AH202" s="19">
        <v>46486</v>
      </c>
      <c r="AI202" s="19">
        <v>46513</v>
      </c>
      <c r="AJ202" s="58">
        <v>18</v>
      </c>
      <c r="AK202" s="59">
        <v>126</v>
      </c>
      <c r="AL202" s="78">
        <v>46483</v>
      </c>
      <c r="AM202" s="78">
        <v>46507</v>
      </c>
      <c r="AN202" s="20">
        <f>AM202-AL203</f>
        <v>24</v>
      </c>
      <c r="AO202" s="143"/>
      <c r="AP202" s="437"/>
      <c r="AQ202" s="21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425"/>
      <c r="BC202" s="411"/>
      <c r="BD202" s="411"/>
    </row>
    <row r="203" spans="1:56" s="3" customFormat="1" ht="15.4" thickTop="1" thickBot="1" x14ac:dyDescent="0.45">
      <c r="A203" s="441"/>
      <c r="B203" s="93" t="s">
        <v>269</v>
      </c>
      <c r="C203" s="41" t="s">
        <v>132</v>
      </c>
      <c r="D203" s="24" t="s">
        <v>131</v>
      </c>
      <c r="E203" s="157"/>
      <c r="F203" s="157"/>
      <c r="G203" s="43" t="s">
        <v>126</v>
      </c>
      <c r="H203" s="46" t="s">
        <v>111</v>
      </c>
      <c r="I203" s="23" t="s">
        <v>56</v>
      </c>
      <c r="J203" s="41" t="s">
        <v>3</v>
      </c>
      <c r="K203" s="41" t="s">
        <v>312</v>
      </c>
      <c r="L203" s="43"/>
      <c r="M203" s="197" t="s">
        <v>34</v>
      </c>
      <c r="N203" s="26" t="s">
        <v>36</v>
      </c>
      <c r="O203" s="27">
        <f>O202</f>
        <v>46276</v>
      </c>
      <c r="P203" s="28"/>
      <c r="Q203" s="28"/>
      <c r="R203" s="28">
        <f>O203+1</f>
        <v>46277</v>
      </c>
      <c r="S203" s="28">
        <f>WORKDAY(R203, S8, IF(S12="China",'China Holidays'!$A$2:$A$84,'Thai Holidays'!$A$2:$A$65))</f>
        <v>46277</v>
      </c>
      <c r="T203" s="28">
        <f>WORKDAY(S203, T8, IF(T12="China",'China Holidays'!$A$2:$A$84,'Thai Holidays'!$A$2:$A$65))</f>
        <v>46293</v>
      </c>
      <c r="U203" s="28">
        <f>U202</f>
        <v>46330</v>
      </c>
      <c r="V203" s="28">
        <f>WORKDAY(U203, V8, IF(V12="China",'China Holidays'!$A$2:$A$84,'Thai Holidays'!$A$2:$A$65))</f>
        <v>46344</v>
      </c>
      <c r="W203" s="28">
        <f>WORKDAY(V203, W8, IF(W12="China",'China Holidays'!$A$2:$A$84,'Thai Holidays'!$A$2:$A$65))</f>
        <v>46357</v>
      </c>
      <c r="X203" s="28">
        <f>WORKDAY(W203, X8, IF(X12="China",'China Holidays'!$A$2:$A$84,'Thai Holidays'!$A$2:$A$65))</f>
        <v>46359</v>
      </c>
      <c r="Y203" s="28">
        <f>WORKDAY(X203, Y8, IF(Y12="China",'China Holidays'!$A$2:$A$84,'Thai Holidays'!$A$2:$A$65))</f>
        <v>46366</v>
      </c>
      <c r="Z203" s="28">
        <f>WORKDAY(Y203, Z8, IF(Z12="China",'China Holidays'!$A$2:$A$84,'Thai Holidays'!$A$2:$A$65))</f>
        <v>46387</v>
      </c>
      <c r="AA203" s="28">
        <f>WORKDAY(Z203, AA8, IF(AA12="China",'China Holidays'!$A$2:$A$84,'Thai Holidays'!$A$2:$A$65))</f>
        <v>46402</v>
      </c>
      <c r="AB203" s="28">
        <f>AA203+15</f>
        <v>46417</v>
      </c>
      <c r="AC203" s="28">
        <f>AB203</f>
        <v>46417</v>
      </c>
      <c r="AD203" s="28">
        <f>AC203+2</f>
        <v>46419</v>
      </c>
      <c r="AE203" s="28">
        <f>AF203-10</f>
        <v>46468</v>
      </c>
      <c r="AF203" s="28">
        <f>AG203-5</f>
        <v>46478</v>
      </c>
      <c r="AG203" s="28">
        <f>AL202</f>
        <v>46483</v>
      </c>
      <c r="AH203" s="28">
        <f>AL202+3</f>
        <v>46486</v>
      </c>
      <c r="AI203" s="28">
        <f>AL202+30</f>
        <v>46513</v>
      </c>
      <c r="AJ203" s="81"/>
      <c r="AK203" s="79"/>
      <c r="AL203" s="83">
        <f>W203+AK202</f>
        <v>46483</v>
      </c>
      <c r="AM203" s="83"/>
      <c r="AN203" s="29"/>
      <c r="AO203" s="141"/>
      <c r="AP203" s="438"/>
      <c r="AQ203" s="21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425"/>
      <c r="BC203" s="411"/>
      <c r="BD203" s="411"/>
    </row>
    <row r="204" spans="1:56" s="3" customFormat="1" ht="15.4" thickTop="1" thickBot="1" x14ac:dyDescent="0.45">
      <c r="A204" s="442"/>
      <c r="B204" s="94" t="s">
        <v>269</v>
      </c>
      <c r="C204" s="32" t="s">
        <v>132</v>
      </c>
      <c r="D204" s="48" t="s">
        <v>131</v>
      </c>
      <c r="E204" s="158"/>
      <c r="F204" s="158"/>
      <c r="G204" s="45" t="s">
        <v>126</v>
      </c>
      <c r="H204" s="34" t="s">
        <v>111</v>
      </c>
      <c r="I204" s="32" t="s">
        <v>56</v>
      </c>
      <c r="J204" s="32" t="s">
        <v>3</v>
      </c>
      <c r="K204" s="32" t="s">
        <v>312</v>
      </c>
      <c r="L204" s="45"/>
      <c r="M204" s="198" t="s">
        <v>34</v>
      </c>
      <c r="N204" s="35" t="s">
        <v>37</v>
      </c>
      <c r="O204" s="36"/>
      <c r="P204" s="36">
        <v>46153</v>
      </c>
      <c r="Q204" s="36">
        <v>46166</v>
      </c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82"/>
      <c r="AK204" s="80"/>
      <c r="AL204" s="37"/>
      <c r="AM204" s="37"/>
      <c r="AN204" s="38"/>
      <c r="AO204" s="142"/>
      <c r="AP204" s="439"/>
      <c r="AQ204" s="39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25"/>
      <c r="BC204" s="411"/>
      <c r="BD204" s="411"/>
    </row>
    <row r="205" spans="1:56" s="3" customFormat="1" ht="15.4" thickTop="1" thickBot="1" x14ac:dyDescent="0.45">
      <c r="A205" s="440">
        <f t="shared" ref="A205" si="51">A202+1</f>
        <v>60</v>
      </c>
      <c r="B205" s="92" t="s">
        <v>271</v>
      </c>
      <c r="C205" s="14" t="s">
        <v>134</v>
      </c>
      <c r="D205" s="211" t="s">
        <v>281</v>
      </c>
      <c r="E205" s="184" t="s">
        <v>494</v>
      </c>
      <c r="F205" s="184" t="s">
        <v>453</v>
      </c>
      <c r="G205" s="64" t="s">
        <v>126</v>
      </c>
      <c r="H205" s="16" t="s">
        <v>111</v>
      </c>
      <c r="I205" s="14" t="s">
        <v>56</v>
      </c>
      <c r="J205" s="14" t="s">
        <v>3</v>
      </c>
      <c r="K205" s="14" t="s">
        <v>312</v>
      </c>
      <c r="L205" s="42"/>
      <c r="M205" s="196" t="s">
        <v>34</v>
      </c>
      <c r="N205" s="18" t="s">
        <v>35</v>
      </c>
      <c r="O205" s="19">
        <v>46276</v>
      </c>
      <c r="P205" s="19">
        <v>46274</v>
      </c>
      <c r="Q205" s="19">
        <v>46288</v>
      </c>
      <c r="R205" s="19">
        <v>46288</v>
      </c>
      <c r="S205" s="19">
        <v>46288</v>
      </c>
      <c r="T205" s="19">
        <v>46310</v>
      </c>
      <c r="U205" s="19">
        <v>46330</v>
      </c>
      <c r="V205" s="19">
        <v>46344</v>
      </c>
      <c r="W205" s="19">
        <v>46357</v>
      </c>
      <c r="X205" s="19">
        <v>46359</v>
      </c>
      <c r="Y205" s="19">
        <v>46366</v>
      </c>
      <c r="Z205" s="19">
        <v>46387</v>
      </c>
      <c r="AA205" s="19">
        <v>46402</v>
      </c>
      <c r="AB205" s="19">
        <v>46417</v>
      </c>
      <c r="AC205" s="19">
        <v>46417</v>
      </c>
      <c r="AD205" s="19">
        <v>46419</v>
      </c>
      <c r="AE205" s="19">
        <v>46468</v>
      </c>
      <c r="AF205" s="19">
        <v>46478</v>
      </c>
      <c r="AG205" s="19">
        <v>46483</v>
      </c>
      <c r="AH205" s="19">
        <v>46486</v>
      </c>
      <c r="AI205" s="19">
        <v>46513</v>
      </c>
      <c r="AJ205" s="58">
        <v>18</v>
      </c>
      <c r="AK205" s="59">
        <v>126</v>
      </c>
      <c r="AL205" s="78">
        <v>46483</v>
      </c>
      <c r="AM205" s="78">
        <v>46507</v>
      </c>
      <c r="AN205" s="20">
        <f>AM205-AL206</f>
        <v>24</v>
      </c>
      <c r="AO205" s="143"/>
      <c r="AP205" s="437"/>
      <c r="AQ205" s="21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425"/>
      <c r="BC205" s="411"/>
      <c r="BD205" s="411"/>
    </row>
    <row r="206" spans="1:56" s="3" customFormat="1" ht="15.4" thickTop="1" thickBot="1" x14ac:dyDescent="0.45">
      <c r="A206" s="441"/>
      <c r="B206" s="93" t="s">
        <v>271</v>
      </c>
      <c r="C206" s="41" t="s">
        <v>134</v>
      </c>
      <c r="D206" s="24" t="s">
        <v>280</v>
      </c>
      <c r="E206" s="155" t="s">
        <v>495</v>
      </c>
      <c r="F206" s="155" t="s">
        <v>452</v>
      </c>
      <c r="G206" s="43" t="s">
        <v>126</v>
      </c>
      <c r="H206" s="46" t="s">
        <v>111</v>
      </c>
      <c r="I206" s="23" t="s">
        <v>56</v>
      </c>
      <c r="J206" s="41" t="s">
        <v>3</v>
      </c>
      <c r="K206" s="41" t="s">
        <v>312</v>
      </c>
      <c r="L206" s="43"/>
      <c r="M206" s="197" t="s">
        <v>34</v>
      </c>
      <c r="N206" s="26" t="s">
        <v>36</v>
      </c>
      <c r="O206" s="27">
        <f>O205</f>
        <v>46276</v>
      </c>
      <c r="P206" s="28"/>
      <c r="Q206" s="28"/>
      <c r="R206" s="28">
        <f>O206+1</f>
        <v>46277</v>
      </c>
      <c r="S206" s="28">
        <f>WORKDAY(R206, S8, IF(S12="China",'China Holidays'!$A$2:$A$84,'Thai Holidays'!$A$2:$A$65))</f>
        <v>46277</v>
      </c>
      <c r="T206" s="28">
        <f>WORKDAY(S206, T8, IF(T12="China",'China Holidays'!$A$2:$A$84,'Thai Holidays'!$A$2:$A$65))</f>
        <v>46293</v>
      </c>
      <c r="U206" s="28">
        <f>U205</f>
        <v>46330</v>
      </c>
      <c r="V206" s="28">
        <f>WORKDAY(U206, V8, IF(V12="China",'China Holidays'!$A$2:$A$84,'Thai Holidays'!$A$2:$A$65))</f>
        <v>46344</v>
      </c>
      <c r="W206" s="28">
        <f>WORKDAY(V206, W8, IF(W12="China",'China Holidays'!$A$2:$A$84,'Thai Holidays'!$A$2:$A$65))</f>
        <v>46357</v>
      </c>
      <c r="X206" s="28">
        <f>WORKDAY(W206, X8, IF(X12="China",'China Holidays'!$A$2:$A$84,'Thai Holidays'!$A$2:$A$65))</f>
        <v>46359</v>
      </c>
      <c r="Y206" s="28">
        <f>WORKDAY(X206, Y8, IF(Y12="China",'China Holidays'!$A$2:$A$84,'Thai Holidays'!$A$2:$A$65))</f>
        <v>46366</v>
      </c>
      <c r="Z206" s="28">
        <f>WORKDAY(Y206, Z8, IF(Z12="China",'China Holidays'!$A$2:$A$84,'Thai Holidays'!$A$2:$A$65))</f>
        <v>46387</v>
      </c>
      <c r="AA206" s="28">
        <f>WORKDAY(Z206, AA8, IF(AA12="China",'China Holidays'!$A$2:$A$84,'Thai Holidays'!$A$2:$A$65))</f>
        <v>46402</v>
      </c>
      <c r="AB206" s="28">
        <f>AA206+15</f>
        <v>46417</v>
      </c>
      <c r="AC206" s="28">
        <f>AB206</f>
        <v>46417</v>
      </c>
      <c r="AD206" s="28">
        <f>AC206+2</f>
        <v>46419</v>
      </c>
      <c r="AE206" s="28">
        <f>AF206-10</f>
        <v>46468</v>
      </c>
      <c r="AF206" s="28">
        <f>AG206-5</f>
        <v>46478</v>
      </c>
      <c r="AG206" s="28">
        <f>AL205</f>
        <v>46483</v>
      </c>
      <c r="AH206" s="28">
        <f>AL205+3</f>
        <v>46486</v>
      </c>
      <c r="AI206" s="28">
        <f>AL205+30</f>
        <v>46513</v>
      </c>
      <c r="AJ206" s="81"/>
      <c r="AK206" s="79"/>
      <c r="AL206" s="83">
        <f>W206+AK205</f>
        <v>46483</v>
      </c>
      <c r="AM206" s="83"/>
      <c r="AN206" s="29"/>
      <c r="AO206" s="141"/>
      <c r="AP206" s="438"/>
      <c r="AQ206" s="21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425"/>
      <c r="BC206" s="411"/>
      <c r="BD206" s="411"/>
    </row>
    <row r="207" spans="1:56" s="3" customFormat="1" ht="15.4" thickTop="1" thickBot="1" x14ac:dyDescent="0.45">
      <c r="A207" s="442"/>
      <c r="B207" s="94" t="s">
        <v>270</v>
      </c>
      <c r="C207" s="32" t="s">
        <v>134</v>
      </c>
      <c r="D207" s="212" t="s">
        <v>280</v>
      </c>
      <c r="E207" s="185" t="s">
        <v>496</v>
      </c>
      <c r="F207" s="185" t="s">
        <v>452</v>
      </c>
      <c r="G207" s="45" t="s">
        <v>126</v>
      </c>
      <c r="H207" s="34" t="s">
        <v>111</v>
      </c>
      <c r="I207" s="32" t="s">
        <v>56</v>
      </c>
      <c r="J207" s="32" t="s">
        <v>3</v>
      </c>
      <c r="K207" s="32" t="s">
        <v>312</v>
      </c>
      <c r="L207" s="45"/>
      <c r="M207" s="198" t="s">
        <v>34</v>
      </c>
      <c r="N207" s="35" t="s">
        <v>37</v>
      </c>
      <c r="O207" s="36"/>
      <c r="P207" s="36">
        <v>46153</v>
      </c>
      <c r="Q207" s="36">
        <v>46172</v>
      </c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82"/>
      <c r="AK207" s="80"/>
      <c r="AL207" s="37"/>
      <c r="AM207" s="37"/>
      <c r="AN207" s="38"/>
      <c r="AO207" s="142"/>
      <c r="AP207" s="439"/>
      <c r="AQ207" s="39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25"/>
      <c r="BC207" s="411"/>
      <c r="BD207" s="411"/>
    </row>
    <row r="208" spans="1:56" s="3" customFormat="1" ht="15.4" thickTop="1" thickBot="1" x14ac:dyDescent="0.45">
      <c r="A208" s="440">
        <f t="shared" ref="A208" si="52">A205+1</f>
        <v>61</v>
      </c>
      <c r="B208" s="92" t="s">
        <v>272</v>
      </c>
      <c r="C208" s="14" t="s">
        <v>136</v>
      </c>
      <c r="D208" s="15" t="s">
        <v>375</v>
      </c>
      <c r="E208" s="150" t="s">
        <v>447</v>
      </c>
      <c r="F208" s="150" t="s">
        <v>455</v>
      </c>
      <c r="G208" s="64" t="s">
        <v>126</v>
      </c>
      <c r="H208" s="16" t="s">
        <v>111</v>
      </c>
      <c r="I208" s="14" t="s">
        <v>56</v>
      </c>
      <c r="J208" s="14" t="s">
        <v>1</v>
      </c>
      <c r="K208" s="14" t="s">
        <v>312</v>
      </c>
      <c r="L208" s="42"/>
      <c r="M208" s="196" t="s">
        <v>34</v>
      </c>
      <c r="N208" s="18" t="s">
        <v>35</v>
      </c>
      <c r="O208" s="19">
        <v>46276</v>
      </c>
      <c r="P208" s="19">
        <v>46274</v>
      </c>
      <c r="Q208" s="19">
        <v>46288</v>
      </c>
      <c r="R208" s="19">
        <v>46288</v>
      </c>
      <c r="S208" s="19">
        <v>46288</v>
      </c>
      <c r="T208" s="19">
        <v>46310</v>
      </c>
      <c r="U208" s="19">
        <v>46330</v>
      </c>
      <c r="V208" s="19">
        <v>46344</v>
      </c>
      <c r="W208" s="19">
        <v>46357</v>
      </c>
      <c r="X208" s="19">
        <v>46359</v>
      </c>
      <c r="Y208" s="19">
        <v>46366</v>
      </c>
      <c r="Z208" s="19">
        <v>46387</v>
      </c>
      <c r="AA208" s="19">
        <v>46402</v>
      </c>
      <c r="AB208" s="19">
        <v>46417</v>
      </c>
      <c r="AC208" s="19">
        <v>46417</v>
      </c>
      <c r="AD208" s="19">
        <v>46419</v>
      </c>
      <c r="AE208" s="19">
        <v>46468</v>
      </c>
      <c r="AF208" s="19">
        <v>46478</v>
      </c>
      <c r="AG208" s="19">
        <v>46483</v>
      </c>
      <c r="AH208" s="19">
        <v>46486</v>
      </c>
      <c r="AI208" s="19">
        <v>46513</v>
      </c>
      <c r="AJ208" s="58">
        <v>18</v>
      </c>
      <c r="AK208" s="59">
        <v>126</v>
      </c>
      <c r="AL208" s="78">
        <v>46483</v>
      </c>
      <c r="AM208" s="78">
        <v>46507</v>
      </c>
      <c r="AN208" s="20">
        <f>AM208-AL209</f>
        <v>24</v>
      </c>
      <c r="AO208" s="143"/>
      <c r="AP208" s="437"/>
      <c r="AQ208" s="21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425"/>
      <c r="BC208" s="411"/>
      <c r="BD208" s="411"/>
    </row>
    <row r="209" spans="1:56" s="3" customFormat="1" ht="15.4" thickTop="1" thickBot="1" x14ac:dyDescent="0.45">
      <c r="A209" s="441"/>
      <c r="B209" s="93" t="s">
        <v>272</v>
      </c>
      <c r="C209" s="41" t="s">
        <v>136</v>
      </c>
      <c r="D209" s="24" t="s">
        <v>135</v>
      </c>
      <c r="E209" s="157"/>
      <c r="F209" s="157"/>
      <c r="G209" s="43" t="s">
        <v>126</v>
      </c>
      <c r="H209" s="46" t="s">
        <v>111</v>
      </c>
      <c r="I209" s="23" t="s">
        <v>56</v>
      </c>
      <c r="J209" s="41" t="s">
        <v>1</v>
      </c>
      <c r="K209" s="41" t="s">
        <v>312</v>
      </c>
      <c r="L209" s="43"/>
      <c r="M209" s="197" t="s">
        <v>34</v>
      </c>
      <c r="N209" s="26" t="s">
        <v>36</v>
      </c>
      <c r="O209" s="27">
        <f>O208</f>
        <v>46276</v>
      </c>
      <c r="P209" s="28"/>
      <c r="Q209" s="28"/>
      <c r="R209" s="28">
        <f>O209+1</f>
        <v>46277</v>
      </c>
      <c r="S209" s="28">
        <f>WORKDAY(R209, S8, IF(S12="China",'China Holidays'!$A$2:$A$84,'Thai Holidays'!$A$2:$A$65))</f>
        <v>46277</v>
      </c>
      <c r="T209" s="28">
        <f>WORKDAY(S209, T8, IF(T12="China",'China Holidays'!$A$2:$A$84,'Thai Holidays'!$A$2:$A$65))</f>
        <v>46293</v>
      </c>
      <c r="U209" s="28">
        <f>U208</f>
        <v>46330</v>
      </c>
      <c r="V209" s="28">
        <f>WORKDAY(U209, V8, IF(V12="China",'China Holidays'!$A$2:$A$84,'Thai Holidays'!$A$2:$A$65))</f>
        <v>46344</v>
      </c>
      <c r="W209" s="28">
        <f>WORKDAY(V209, W8, IF(W12="China",'China Holidays'!$A$2:$A$84,'Thai Holidays'!$A$2:$A$65))</f>
        <v>46357</v>
      </c>
      <c r="X209" s="28">
        <f>WORKDAY(W209, X8, IF(X12="China",'China Holidays'!$A$2:$A$84,'Thai Holidays'!$A$2:$A$65))</f>
        <v>46359</v>
      </c>
      <c r="Y209" s="28">
        <f>WORKDAY(X209, Y8, IF(Y12="China",'China Holidays'!$A$2:$A$84,'Thai Holidays'!$A$2:$A$65))</f>
        <v>46366</v>
      </c>
      <c r="Z209" s="28">
        <f>WORKDAY(Y209, Z8, IF(Z12="China",'China Holidays'!$A$2:$A$84,'Thai Holidays'!$A$2:$A$65))</f>
        <v>46387</v>
      </c>
      <c r="AA209" s="28">
        <f>WORKDAY(Z209, AA8, IF(AA12="China",'China Holidays'!$A$2:$A$84,'Thai Holidays'!$A$2:$A$65))</f>
        <v>46402</v>
      </c>
      <c r="AB209" s="28">
        <f>AA209+15</f>
        <v>46417</v>
      </c>
      <c r="AC209" s="28">
        <f>AB209</f>
        <v>46417</v>
      </c>
      <c r="AD209" s="28">
        <f>AC209+2</f>
        <v>46419</v>
      </c>
      <c r="AE209" s="28">
        <f>AF209-10</f>
        <v>46468</v>
      </c>
      <c r="AF209" s="28">
        <f>AG209-5</f>
        <v>46478</v>
      </c>
      <c r="AG209" s="28">
        <f>AL208</f>
        <v>46483</v>
      </c>
      <c r="AH209" s="28">
        <f>AL208+3</f>
        <v>46486</v>
      </c>
      <c r="AI209" s="28">
        <f>AL208+30</f>
        <v>46513</v>
      </c>
      <c r="AJ209" s="81"/>
      <c r="AK209" s="79"/>
      <c r="AL209" s="83">
        <f>W209+AK208</f>
        <v>46483</v>
      </c>
      <c r="AM209" s="83"/>
      <c r="AN209" s="29"/>
      <c r="AO209" s="141"/>
      <c r="AP209" s="438"/>
      <c r="AQ209" s="21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425"/>
      <c r="BC209" s="411"/>
      <c r="BD209" s="411"/>
    </row>
    <row r="210" spans="1:56" s="3" customFormat="1" ht="15.4" thickTop="1" thickBot="1" x14ac:dyDescent="0.45">
      <c r="A210" s="442"/>
      <c r="B210" s="94" t="s">
        <v>272</v>
      </c>
      <c r="C210" s="32" t="s">
        <v>136</v>
      </c>
      <c r="D210" s="48" t="s">
        <v>135</v>
      </c>
      <c r="E210" s="158"/>
      <c r="F210" s="158"/>
      <c r="G210" s="45" t="s">
        <v>126</v>
      </c>
      <c r="H210" s="34" t="s">
        <v>111</v>
      </c>
      <c r="I210" s="32" t="s">
        <v>56</v>
      </c>
      <c r="J210" s="32" t="s">
        <v>1</v>
      </c>
      <c r="K210" s="32" t="s">
        <v>312</v>
      </c>
      <c r="L210" s="45"/>
      <c r="M210" s="198" t="s">
        <v>34</v>
      </c>
      <c r="N210" s="35" t="s">
        <v>37</v>
      </c>
      <c r="O210" s="36"/>
      <c r="P210" s="36">
        <v>46153</v>
      </c>
      <c r="Q210" s="36">
        <v>46172</v>
      </c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82"/>
      <c r="AK210" s="80"/>
      <c r="AL210" s="37"/>
      <c r="AM210" s="37"/>
      <c r="AN210" s="38"/>
      <c r="AO210" s="142"/>
      <c r="AP210" s="439"/>
      <c r="AQ210" s="39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25"/>
      <c r="BC210" s="411"/>
      <c r="BD210" s="411"/>
    </row>
    <row r="211" spans="1:56" s="3" customFormat="1" ht="15.4" thickTop="1" thickBot="1" x14ac:dyDescent="0.45">
      <c r="A211" s="440">
        <f t="shared" ref="A211" si="53">A208+1</f>
        <v>62</v>
      </c>
      <c r="B211" s="92" t="s">
        <v>273</v>
      </c>
      <c r="C211" s="14" t="s">
        <v>137</v>
      </c>
      <c r="D211" s="92" t="s">
        <v>274</v>
      </c>
      <c r="E211" s="154" t="s">
        <v>448</v>
      </c>
      <c r="F211" s="154" t="s">
        <v>455</v>
      </c>
      <c r="G211" s="64" t="s">
        <v>126</v>
      </c>
      <c r="H211" s="16" t="s">
        <v>111</v>
      </c>
      <c r="I211" s="14" t="s">
        <v>56</v>
      </c>
      <c r="J211" s="14" t="s">
        <v>1</v>
      </c>
      <c r="K211" s="14" t="s">
        <v>312</v>
      </c>
      <c r="L211" s="42"/>
      <c r="M211" s="196" t="s">
        <v>34</v>
      </c>
      <c r="N211" s="18" t="s">
        <v>35</v>
      </c>
      <c r="O211" s="19">
        <v>46276</v>
      </c>
      <c r="P211" s="19">
        <v>46274</v>
      </c>
      <c r="Q211" s="19">
        <v>46288</v>
      </c>
      <c r="R211" s="19">
        <v>46288</v>
      </c>
      <c r="S211" s="19">
        <v>46288</v>
      </c>
      <c r="T211" s="19">
        <v>46310</v>
      </c>
      <c r="U211" s="19">
        <v>46330</v>
      </c>
      <c r="V211" s="19">
        <v>46344</v>
      </c>
      <c r="W211" s="19">
        <v>46357</v>
      </c>
      <c r="X211" s="19">
        <v>46359</v>
      </c>
      <c r="Y211" s="19">
        <v>46366</v>
      </c>
      <c r="Z211" s="19">
        <v>46387</v>
      </c>
      <c r="AA211" s="19">
        <v>46402</v>
      </c>
      <c r="AB211" s="19">
        <v>46417</v>
      </c>
      <c r="AC211" s="19">
        <v>46417</v>
      </c>
      <c r="AD211" s="19">
        <v>46419</v>
      </c>
      <c r="AE211" s="19">
        <v>46468</v>
      </c>
      <c r="AF211" s="19">
        <v>46478</v>
      </c>
      <c r="AG211" s="19">
        <v>46483</v>
      </c>
      <c r="AH211" s="19">
        <v>46486</v>
      </c>
      <c r="AI211" s="19">
        <v>46513</v>
      </c>
      <c r="AJ211" s="58">
        <v>18</v>
      </c>
      <c r="AK211" s="59">
        <v>126</v>
      </c>
      <c r="AL211" s="78">
        <v>46483</v>
      </c>
      <c r="AM211" s="78">
        <v>46507</v>
      </c>
      <c r="AN211" s="20">
        <f>AM211-AL212</f>
        <v>24</v>
      </c>
      <c r="AO211" s="143"/>
      <c r="AP211" s="437"/>
      <c r="AQ211" s="21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425"/>
      <c r="BC211" s="411"/>
      <c r="BD211" s="411"/>
    </row>
    <row r="212" spans="1:56" s="3" customFormat="1" ht="15.4" thickTop="1" thickBot="1" x14ac:dyDescent="0.45">
      <c r="A212" s="441"/>
      <c r="B212" s="93" t="s">
        <v>273</v>
      </c>
      <c r="C212" s="41" t="s">
        <v>137</v>
      </c>
      <c r="D212" s="93" t="s">
        <v>274</v>
      </c>
      <c r="E212" s="155"/>
      <c r="F212" s="155"/>
      <c r="G212" s="43" t="s">
        <v>126</v>
      </c>
      <c r="H212" s="46" t="s">
        <v>111</v>
      </c>
      <c r="I212" s="23" t="s">
        <v>56</v>
      </c>
      <c r="J212" s="41" t="s">
        <v>1</v>
      </c>
      <c r="K212" s="41" t="s">
        <v>312</v>
      </c>
      <c r="L212" s="43"/>
      <c r="M212" s="197" t="s">
        <v>34</v>
      </c>
      <c r="N212" s="26" t="s">
        <v>36</v>
      </c>
      <c r="O212" s="27">
        <f>O211</f>
        <v>46276</v>
      </c>
      <c r="P212" s="28"/>
      <c r="Q212" s="28"/>
      <c r="R212" s="28">
        <f>O212+1</f>
        <v>46277</v>
      </c>
      <c r="S212" s="28">
        <f>WORKDAY(R212, S8, IF(S12="China",'China Holidays'!$A$2:$A$84,'Thai Holidays'!$A$2:$A$65))</f>
        <v>46277</v>
      </c>
      <c r="T212" s="28">
        <f>WORKDAY(S212, T8, IF(T12="China",'China Holidays'!$A$2:$A$84,'Thai Holidays'!$A$2:$A$65))</f>
        <v>46293</v>
      </c>
      <c r="U212" s="28">
        <f>U211</f>
        <v>46330</v>
      </c>
      <c r="V212" s="28">
        <f>WORKDAY(U212, V8, IF(V12="China",'China Holidays'!$A$2:$A$84,'Thai Holidays'!$A$2:$A$65))</f>
        <v>46344</v>
      </c>
      <c r="W212" s="28">
        <f>WORKDAY(V212, W8, IF(W12="China",'China Holidays'!$A$2:$A$84,'Thai Holidays'!$A$2:$A$65))</f>
        <v>46357</v>
      </c>
      <c r="X212" s="28">
        <f>WORKDAY(W212, X8, IF(X12="China",'China Holidays'!$A$2:$A$84,'Thai Holidays'!$A$2:$A$65))</f>
        <v>46359</v>
      </c>
      <c r="Y212" s="28">
        <f>WORKDAY(X212, Y8, IF(Y12="China",'China Holidays'!$A$2:$A$84,'Thai Holidays'!$A$2:$A$65))</f>
        <v>46366</v>
      </c>
      <c r="Z212" s="28">
        <f>WORKDAY(Y212, Z8, IF(Z12="China",'China Holidays'!$A$2:$A$84,'Thai Holidays'!$A$2:$A$65))</f>
        <v>46387</v>
      </c>
      <c r="AA212" s="28">
        <f>WORKDAY(Z212, AA8, IF(AA12="China",'China Holidays'!$A$2:$A$84,'Thai Holidays'!$A$2:$A$65))</f>
        <v>46402</v>
      </c>
      <c r="AB212" s="28">
        <f>AA212+15</f>
        <v>46417</v>
      </c>
      <c r="AC212" s="28">
        <f>AB212</f>
        <v>46417</v>
      </c>
      <c r="AD212" s="28">
        <f>AC212+2</f>
        <v>46419</v>
      </c>
      <c r="AE212" s="28">
        <f>AF212-10</f>
        <v>46468</v>
      </c>
      <c r="AF212" s="28">
        <f>AG212-5</f>
        <v>46478</v>
      </c>
      <c r="AG212" s="28">
        <f>AL211</f>
        <v>46483</v>
      </c>
      <c r="AH212" s="28">
        <f>AL211+3</f>
        <v>46486</v>
      </c>
      <c r="AI212" s="28">
        <f>AL211+30</f>
        <v>46513</v>
      </c>
      <c r="AJ212" s="81"/>
      <c r="AK212" s="79"/>
      <c r="AL212" s="83">
        <f>W212+AK211</f>
        <v>46483</v>
      </c>
      <c r="AM212" s="83"/>
      <c r="AN212" s="29"/>
      <c r="AO212" s="141"/>
      <c r="AP212" s="438"/>
      <c r="AQ212" s="21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425"/>
      <c r="BC212" s="411"/>
      <c r="BD212" s="411"/>
    </row>
    <row r="213" spans="1:56" s="3" customFormat="1" ht="15.4" thickTop="1" thickBot="1" x14ac:dyDescent="0.45">
      <c r="A213" s="442"/>
      <c r="B213" s="94" t="s">
        <v>273</v>
      </c>
      <c r="C213" s="32" t="s">
        <v>137</v>
      </c>
      <c r="D213" s="97" t="s">
        <v>274</v>
      </c>
      <c r="E213" s="182"/>
      <c r="F213" s="182"/>
      <c r="G213" s="45" t="s">
        <v>126</v>
      </c>
      <c r="H213" s="34" t="s">
        <v>111</v>
      </c>
      <c r="I213" s="32" t="s">
        <v>56</v>
      </c>
      <c r="J213" s="32" t="s">
        <v>1</v>
      </c>
      <c r="K213" s="32" t="s">
        <v>312</v>
      </c>
      <c r="L213" s="45"/>
      <c r="M213" s="198" t="s">
        <v>34</v>
      </c>
      <c r="N213" s="35" t="s">
        <v>37</v>
      </c>
      <c r="O213" s="36"/>
      <c r="P213" s="36">
        <v>46153</v>
      </c>
      <c r="Q213" s="36">
        <v>46172</v>
      </c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82"/>
      <c r="AK213" s="80"/>
      <c r="AL213" s="37"/>
      <c r="AM213" s="37"/>
      <c r="AN213" s="38"/>
      <c r="AO213" s="142"/>
      <c r="AP213" s="439"/>
      <c r="AQ213" s="39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25"/>
      <c r="BC213" s="411"/>
      <c r="BD213" s="411"/>
    </row>
    <row r="214" spans="1:56" s="3" customFormat="1" ht="21" thickTop="1" thickBot="1" x14ac:dyDescent="0.45">
      <c r="A214" s="440">
        <f t="shared" ref="A214" si="54">A211+1</f>
        <v>63</v>
      </c>
      <c r="B214" s="92" t="s">
        <v>275</v>
      </c>
      <c r="C214" s="14" t="s">
        <v>138</v>
      </c>
      <c r="D214" s="263" t="s">
        <v>276</v>
      </c>
      <c r="E214" s="154" t="s">
        <v>449</v>
      </c>
      <c r="F214" s="154" t="s">
        <v>453</v>
      </c>
      <c r="G214" s="64" t="s">
        <v>126</v>
      </c>
      <c r="H214" s="16" t="s">
        <v>111</v>
      </c>
      <c r="I214" s="14" t="s">
        <v>56</v>
      </c>
      <c r="J214" s="14" t="s">
        <v>1</v>
      </c>
      <c r="K214" s="14" t="s">
        <v>312</v>
      </c>
      <c r="L214" s="42"/>
      <c r="M214" s="196" t="s">
        <v>34</v>
      </c>
      <c r="N214" s="18" t="s">
        <v>35</v>
      </c>
      <c r="O214" s="19">
        <v>46276</v>
      </c>
      <c r="P214" s="19">
        <v>46274</v>
      </c>
      <c r="Q214" s="19">
        <v>46288</v>
      </c>
      <c r="R214" s="19">
        <v>46288</v>
      </c>
      <c r="S214" s="19">
        <v>46288</v>
      </c>
      <c r="T214" s="19">
        <v>46310</v>
      </c>
      <c r="U214" s="19">
        <v>46330</v>
      </c>
      <c r="V214" s="19">
        <v>46344</v>
      </c>
      <c r="W214" s="19">
        <v>46357</v>
      </c>
      <c r="X214" s="19">
        <v>46359</v>
      </c>
      <c r="Y214" s="19">
        <v>46366</v>
      </c>
      <c r="Z214" s="19">
        <v>46387</v>
      </c>
      <c r="AA214" s="19">
        <v>46402</v>
      </c>
      <c r="AB214" s="19">
        <v>46417</v>
      </c>
      <c r="AC214" s="19">
        <v>46417</v>
      </c>
      <c r="AD214" s="19">
        <v>46419</v>
      </c>
      <c r="AE214" s="19">
        <v>46468</v>
      </c>
      <c r="AF214" s="19">
        <v>46478</v>
      </c>
      <c r="AG214" s="19">
        <v>46483</v>
      </c>
      <c r="AH214" s="19">
        <v>46486</v>
      </c>
      <c r="AI214" s="19">
        <v>46513</v>
      </c>
      <c r="AJ214" s="58">
        <v>18</v>
      </c>
      <c r="AK214" s="59">
        <v>126</v>
      </c>
      <c r="AL214" s="78">
        <v>46483</v>
      </c>
      <c r="AM214" s="78">
        <v>46507</v>
      </c>
      <c r="AN214" s="20">
        <f>AM214-AL215</f>
        <v>24</v>
      </c>
      <c r="AO214" s="143"/>
      <c r="AP214" s="437"/>
      <c r="AQ214" s="21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425"/>
      <c r="BC214" s="411"/>
      <c r="BD214" s="411"/>
    </row>
    <row r="215" spans="1:56" s="3" customFormat="1" ht="21" thickTop="1" thickBot="1" x14ac:dyDescent="0.45">
      <c r="A215" s="441"/>
      <c r="B215" s="93" t="s">
        <v>275</v>
      </c>
      <c r="C215" s="41" t="s">
        <v>138</v>
      </c>
      <c r="D215" s="208" t="s">
        <v>276</v>
      </c>
      <c r="E215" s="186" t="s">
        <v>450</v>
      </c>
      <c r="F215" s="186" t="s">
        <v>451</v>
      </c>
      <c r="G215" s="43" t="s">
        <v>126</v>
      </c>
      <c r="H215" s="46" t="s">
        <v>111</v>
      </c>
      <c r="I215" s="23" t="s">
        <v>56</v>
      </c>
      <c r="J215" s="41" t="s">
        <v>1</v>
      </c>
      <c r="K215" s="41" t="s">
        <v>312</v>
      </c>
      <c r="L215" s="43"/>
      <c r="M215" s="197" t="s">
        <v>34</v>
      </c>
      <c r="N215" s="26" t="s">
        <v>36</v>
      </c>
      <c r="O215" s="27">
        <f>O214</f>
        <v>46276</v>
      </c>
      <c r="P215" s="28"/>
      <c r="Q215" s="28"/>
      <c r="R215" s="28">
        <f>O215+1</f>
        <v>46277</v>
      </c>
      <c r="S215" s="28">
        <f>WORKDAY(R215, S8, IF(S12="China",'China Holidays'!$A$2:$A$84,'Thai Holidays'!$A$2:$A$65))</f>
        <v>46277</v>
      </c>
      <c r="T215" s="28">
        <f>WORKDAY(S215, T8, IF(T12="China",'China Holidays'!$A$2:$A$84,'Thai Holidays'!$A$2:$A$65))</f>
        <v>46293</v>
      </c>
      <c r="U215" s="28">
        <f>U214</f>
        <v>46330</v>
      </c>
      <c r="V215" s="28">
        <f>WORKDAY(U215, V8, IF(V12="China",'China Holidays'!$A$2:$A$84,'Thai Holidays'!$A$2:$A$65))</f>
        <v>46344</v>
      </c>
      <c r="W215" s="28">
        <f>WORKDAY(V215, W8, IF(W12="China",'China Holidays'!$A$2:$A$84,'Thai Holidays'!$A$2:$A$65))</f>
        <v>46357</v>
      </c>
      <c r="X215" s="28">
        <f>WORKDAY(W215, X8, IF(X12="China",'China Holidays'!$A$2:$A$84,'Thai Holidays'!$A$2:$A$65))</f>
        <v>46359</v>
      </c>
      <c r="Y215" s="28">
        <f>WORKDAY(X215, Y8, IF(Y12="China",'China Holidays'!$A$2:$A$84,'Thai Holidays'!$A$2:$A$65))</f>
        <v>46366</v>
      </c>
      <c r="Z215" s="28">
        <f>WORKDAY(Y215, Z8, IF(Z12="China",'China Holidays'!$A$2:$A$84,'Thai Holidays'!$A$2:$A$65))</f>
        <v>46387</v>
      </c>
      <c r="AA215" s="28">
        <f>WORKDAY(Z215, AA8, IF(AA12="China",'China Holidays'!$A$2:$A$84,'Thai Holidays'!$A$2:$A$65))</f>
        <v>46402</v>
      </c>
      <c r="AB215" s="28">
        <f>AA215+15</f>
        <v>46417</v>
      </c>
      <c r="AC215" s="28">
        <f>AB215</f>
        <v>46417</v>
      </c>
      <c r="AD215" s="28">
        <f>AC215+2</f>
        <v>46419</v>
      </c>
      <c r="AE215" s="28">
        <f>AF215-10</f>
        <v>46468</v>
      </c>
      <c r="AF215" s="28">
        <f>AG215-5</f>
        <v>46478</v>
      </c>
      <c r="AG215" s="28">
        <f>AL214</f>
        <v>46483</v>
      </c>
      <c r="AH215" s="28">
        <f>AL214+3</f>
        <v>46486</v>
      </c>
      <c r="AI215" s="28">
        <f>AL214+30</f>
        <v>46513</v>
      </c>
      <c r="AJ215" s="81"/>
      <c r="AK215" s="79"/>
      <c r="AL215" s="83">
        <f>W215+AK214</f>
        <v>46483</v>
      </c>
      <c r="AM215" s="83"/>
      <c r="AN215" s="29"/>
      <c r="AO215" s="141"/>
      <c r="AP215" s="438"/>
      <c r="AQ215" s="21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425"/>
      <c r="BC215" s="411"/>
      <c r="BD215" s="411"/>
    </row>
    <row r="216" spans="1:56" s="3" customFormat="1" ht="21" thickTop="1" thickBot="1" x14ac:dyDescent="0.45">
      <c r="A216" s="442"/>
      <c r="B216" s="94" t="s">
        <v>275</v>
      </c>
      <c r="C216" s="32" t="s">
        <v>138</v>
      </c>
      <c r="D216" s="97" t="s">
        <v>276</v>
      </c>
      <c r="E216" s="182"/>
      <c r="F216" s="182"/>
      <c r="G216" s="45" t="s">
        <v>126</v>
      </c>
      <c r="H216" s="34" t="s">
        <v>111</v>
      </c>
      <c r="I216" s="32" t="s">
        <v>56</v>
      </c>
      <c r="J216" s="32" t="s">
        <v>1</v>
      </c>
      <c r="K216" s="32" t="s">
        <v>312</v>
      </c>
      <c r="L216" s="45"/>
      <c r="M216" s="198" t="s">
        <v>34</v>
      </c>
      <c r="N216" s="35" t="s">
        <v>37</v>
      </c>
      <c r="O216" s="36"/>
      <c r="P216" s="36">
        <v>46154</v>
      </c>
      <c r="Q216" s="36">
        <v>46182</v>
      </c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82"/>
      <c r="AK216" s="80"/>
      <c r="AL216" s="37"/>
      <c r="AM216" s="37"/>
      <c r="AN216" s="38"/>
      <c r="AO216" s="142"/>
      <c r="AP216" s="439"/>
      <c r="AQ216" s="39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25"/>
      <c r="BC216" s="411"/>
      <c r="BD216" s="411"/>
    </row>
    <row r="217" spans="1:56" s="3" customFormat="1" ht="15.4" thickTop="1" thickBot="1" x14ac:dyDescent="0.45">
      <c r="A217" s="440">
        <f t="shared" ref="A217" si="55">A214+1</f>
        <v>64</v>
      </c>
      <c r="B217" s="92" t="s">
        <v>277</v>
      </c>
      <c r="C217" s="14" t="s">
        <v>140</v>
      </c>
      <c r="D217" s="15" t="s">
        <v>133</v>
      </c>
      <c r="E217" s="150" t="s">
        <v>456</v>
      </c>
      <c r="F217" s="150" t="s">
        <v>453</v>
      </c>
      <c r="G217" s="64" t="s">
        <v>126</v>
      </c>
      <c r="H217" s="16" t="s">
        <v>111</v>
      </c>
      <c r="I217" s="14" t="s">
        <v>56</v>
      </c>
      <c r="J217" s="14" t="s">
        <v>1</v>
      </c>
      <c r="K217" s="14" t="s">
        <v>312</v>
      </c>
      <c r="L217" s="42"/>
      <c r="M217" s="196" t="s">
        <v>34</v>
      </c>
      <c r="N217" s="18" t="s">
        <v>35</v>
      </c>
      <c r="O217" s="19">
        <v>46276</v>
      </c>
      <c r="P217" s="19">
        <v>46274</v>
      </c>
      <c r="Q217" s="19">
        <v>46288</v>
      </c>
      <c r="R217" s="19">
        <v>46288</v>
      </c>
      <c r="S217" s="19">
        <v>46288</v>
      </c>
      <c r="T217" s="19">
        <v>46310</v>
      </c>
      <c r="U217" s="19">
        <v>46330</v>
      </c>
      <c r="V217" s="19">
        <v>46344</v>
      </c>
      <c r="W217" s="19">
        <v>46357</v>
      </c>
      <c r="X217" s="19">
        <v>46359</v>
      </c>
      <c r="Y217" s="19">
        <v>46366</v>
      </c>
      <c r="Z217" s="19">
        <v>46387</v>
      </c>
      <c r="AA217" s="19">
        <v>46402</v>
      </c>
      <c r="AB217" s="19">
        <v>46417</v>
      </c>
      <c r="AC217" s="19">
        <v>46417</v>
      </c>
      <c r="AD217" s="19">
        <v>46419</v>
      </c>
      <c r="AE217" s="19">
        <v>46468</v>
      </c>
      <c r="AF217" s="19">
        <v>46478</v>
      </c>
      <c r="AG217" s="19">
        <v>46483</v>
      </c>
      <c r="AH217" s="19">
        <v>46486</v>
      </c>
      <c r="AI217" s="19">
        <v>46513</v>
      </c>
      <c r="AJ217" s="58">
        <v>18</v>
      </c>
      <c r="AK217" s="59">
        <v>126</v>
      </c>
      <c r="AL217" s="78">
        <v>46483</v>
      </c>
      <c r="AM217" s="78">
        <v>46507</v>
      </c>
      <c r="AN217" s="20">
        <f>AM217-AL218</f>
        <v>24</v>
      </c>
      <c r="AO217" s="143"/>
      <c r="AP217" s="437"/>
      <c r="AQ217" s="21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425"/>
      <c r="BC217" s="411"/>
      <c r="BD217" s="411"/>
    </row>
    <row r="218" spans="1:56" s="3" customFormat="1" ht="19.899999999999999" customHeight="1" thickTop="1" thickBot="1" x14ac:dyDescent="0.45">
      <c r="A218" s="441"/>
      <c r="B218" s="93" t="s">
        <v>277</v>
      </c>
      <c r="C218" s="41" t="s">
        <v>140</v>
      </c>
      <c r="D218" s="24" t="s">
        <v>133</v>
      </c>
      <c r="E218" s="187" t="s">
        <v>457</v>
      </c>
      <c r="F218" s="157" t="s">
        <v>458</v>
      </c>
      <c r="G218" s="43" t="s">
        <v>126</v>
      </c>
      <c r="H218" s="46" t="s">
        <v>111</v>
      </c>
      <c r="I218" s="23" t="s">
        <v>56</v>
      </c>
      <c r="J218" s="41" t="s">
        <v>1</v>
      </c>
      <c r="K218" s="41" t="s">
        <v>312</v>
      </c>
      <c r="L218" s="43"/>
      <c r="M218" s="197" t="s">
        <v>34</v>
      </c>
      <c r="N218" s="26" t="s">
        <v>36</v>
      </c>
      <c r="O218" s="27">
        <f>O217</f>
        <v>46276</v>
      </c>
      <c r="P218" s="28"/>
      <c r="Q218" s="28"/>
      <c r="R218" s="28">
        <f>O218+1</f>
        <v>46277</v>
      </c>
      <c r="S218" s="28">
        <f>WORKDAY(R218, S8, IF(S12="China",'China Holidays'!$A$2:$A$84,'Thai Holidays'!$A$2:$A$65))</f>
        <v>46277</v>
      </c>
      <c r="T218" s="28">
        <f>WORKDAY(S218, T8, IF(T12="China",'China Holidays'!$A$2:$A$84,'Thai Holidays'!$A$2:$A$65))</f>
        <v>46293</v>
      </c>
      <c r="U218" s="28">
        <f>U217</f>
        <v>46330</v>
      </c>
      <c r="V218" s="28">
        <f>WORKDAY(U218, V8, IF(V12="China",'China Holidays'!$A$2:$A$84,'Thai Holidays'!$A$2:$A$65))</f>
        <v>46344</v>
      </c>
      <c r="W218" s="28">
        <f>WORKDAY(V218, W8, IF(W12="China",'China Holidays'!$A$2:$A$84,'Thai Holidays'!$A$2:$A$65))</f>
        <v>46357</v>
      </c>
      <c r="X218" s="28">
        <f>WORKDAY(W218, X8, IF(X12="China",'China Holidays'!$A$2:$A$84,'Thai Holidays'!$A$2:$A$65))</f>
        <v>46359</v>
      </c>
      <c r="Y218" s="28">
        <f>WORKDAY(X218, Y8, IF(Y12="China",'China Holidays'!$A$2:$A$84,'Thai Holidays'!$A$2:$A$65))</f>
        <v>46366</v>
      </c>
      <c r="Z218" s="28">
        <f>WORKDAY(Y218, Z8, IF(Z12="China",'China Holidays'!$A$2:$A$84,'Thai Holidays'!$A$2:$A$65))</f>
        <v>46387</v>
      </c>
      <c r="AA218" s="28">
        <f>WORKDAY(Z218, AA8, IF(AA12="China",'China Holidays'!$A$2:$A$84,'Thai Holidays'!$A$2:$A$65))</f>
        <v>46402</v>
      </c>
      <c r="AB218" s="28">
        <f>AA218+15</f>
        <v>46417</v>
      </c>
      <c r="AC218" s="28">
        <f>AB218</f>
        <v>46417</v>
      </c>
      <c r="AD218" s="28">
        <f>AC218+2</f>
        <v>46419</v>
      </c>
      <c r="AE218" s="28">
        <f>AF218-10</f>
        <v>46468</v>
      </c>
      <c r="AF218" s="28">
        <f>AG218-5</f>
        <v>46478</v>
      </c>
      <c r="AG218" s="28">
        <f>AL217</f>
        <v>46483</v>
      </c>
      <c r="AH218" s="28">
        <f>AL217+3</f>
        <v>46486</v>
      </c>
      <c r="AI218" s="28">
        <f>AL217+30</f>
        <v>46513</v>
      </c>
      <c r="AJ218" s="81"/>
      <c r="AK218" s="79"/>
      <c r="AL218" s="83">
        <f>W218+AK217</f>
        <v>46483</v>
      </c>
      <c r="AM218" s="83"/>
      <c r="AN218" s="29"/>
      <c r="AO218" s="141"/>
      <c r="AP218" s="438"/>
      <c r="AQ218" s="21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425"/>
      <c r="BC218" s="411"/>
      <c r="BD218" s="411"/>
    </row>
    <row r="219" spans="1:56" s="3" customFormat="1" ht="18.75" customHeight="1" thickTop="1" thickBot="1" x14ac:dyDescent="0.45">
      <c r="A219" s="442"/>
      <c r="B219" s="94" t="s">
        <v>277</v>
      </c>
      <c r="C219" s="32" t="s">
        <v>140</v>
      </c>
      <c r="D219" s="48" t="s">
        <v>133</v>
      </c>
      <c r="E219" s="158"/>
      <c r="F219" s="158"/>
      <c r="G219" s="45" t="s">
        <v>126</v>
      </c>
      <c r="H219" s="34" t="s">
        <v>111</v>
      </c>
      <c r="I219" s="32" t="s">
        <v>56</v>
      </c>
      <c r="J219" s="32" t="s">
        <v>1</v>
      </c>
      <c r="K219" s="32" t="s">
        <v>312</v>
      </c>
      <c r="L219" s="45"/>
      <c r="M219" s="198" t="s">
        <v>34</v>
      </c>
      <c r="N219" s="35" t="s">
        <v>37</v>
      </c>
      <c r="O219" s="36"/>
      <c r="P219" s="36">
        <v>46153</v>
      </c>
      <c r="Q219" s="36">
        <v>46172</v>
      </c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82"/>
      <c r="AK219" s="80"/>
      <c r="AL219" s="37"/>
      <c r="AM219" s="37"/>
      <c r="AN219" s="38"/>
      <c r="AO219" s="142"/>
      <c r="AP219" s="439"/>
      <c r="AQ219" s="39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25"/>
      <c r="BC219" s="411"/>
      <c r="BD219" s="411"/>
    </row>
    <row r="220" spans="1:56" s="3" customFormat="1" ht="15.4" thickTop="1" thickBot="1" x14ac:dyDescent="0.45">
      <c r="A220" s="440">
        <f t="shared" ref="A220" si="56">A217+1</f>
        <v>65</v>
      </c>
      <c r="B220" s="92" t="s">
        <v>278</v>
      </c>
      <c r="C220" s="14" t="s">
        <v>142</v>
      </c>
      <c r="D220" s="211" t="s">
        <v>125</v>
      </c>
      <c r="E220" s="188" t="s">
        <v>459</v>
      </c>
      <c r="F220" s="188" t="s">
        <v>455</v>
      </c>
      <c r="G220" s="64" t="s">
        <v>126</v>
      </c>
      <c r="H220" s="16" t="s">
        <v>111</v>
      </c>
      <c r="I220" s="14" t="s">
        <v>56</v>
      </c>
      <c r="J220" s="14" t="s">
        <v>1</v>
      </c>
      <c r="K220" s="14" t="s">
        <v>312</v>
      </c>
      <c r="L220" s="42"/>
      <c r="M220" s="196" t="s">
        <v>34</v>
      </c>
      <c r="N220" s="18" t="s">
        <v>35</v>
      </c>
      <c r="O220" s="19">
        <v>46276</v>
      </c>
      <c r="P220" s="19">
        <v>46274</v>
      </c>
      <c r="Q220" s="19">
        <v>46288</v>
      </c>
      <c r="R220" s="19">
        <v>46288</v>
      </c>
      <c r="S220" s="19">
        <v>46288</v>
      </c>
      <c r="T220" s="19">
        <v>46310</v>
      </c>
      <c r="U220" s="19">
        <v>46330</v>
      </c>
      <c r="V220" s="19">
        <v>46344</v>
      </c>
      <c r="W220" s="19">
        <v>46357</v>
      </c>
      <c r="X220" s="19">
        <v>46359</v>
      </c>
      <c r="Y220" s="19">
        <v>46366</v>
      </c>
      <c r="Z220" s="19">
        <v>46387</v>
      </c>
      <c r="AA220" s="19">
        <v>46402</v>
      </c>
      <c r="AB220" s="19">
        <v>46417</v>
      </c>
      <c r="AC220" s="19">
        <v>46417</v>
      </c>
      <c r="AD220" s="19">
        <v>46419</v>
      </c>
      <c r="AE220" s="19">
        <v>46468</v>
      </c>
      <c r="AF220" s="19">
        <v>46478</v>
      </c>
      <c r="AG220" s="19">
        <v>46483</v>
      </c>
      <c r="AH220" s="19">
        <v>46486</v>
      </c>
      <c r="AI220" s="19">
        <v>46513</v>
      </c>
      <c r="AJ220" s="58">
        <v>18</v>
      </c>
      <c r="AK220" s="59">
        <v>126</v>
      </c>
      <c r="AL220" s="78">
        <v>46483</v>
      </c>
      <c r="AM220" s="78">
        <v>46507</v>
      </c>
      <c r="AN220" s="20">
        <f>AM220-AL221</f>
        <v>24</v>
      </c>
      <c r="AO220" s="143"/>
      <c r="AP220" s="437"/>
      <c r="AQ220" s="21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425"/>
      <c r="BC220" s="411"/>
      <c r="BD220" s="411"/>
    </row>
    <row r="221" spans="1:56" s="3" customFormat="1" ht="15.4" thickTop="1" thickBot="1" x14ac:dyDescent="0.45">
      <c r="A221" s="441"/>
      <c r="B221" s="93" t="s">
        <v>278</v>
      </c>
      <c r="C221" s="41" t="s">
        <v>142</v>
      </c>
      <c r="D221" s="24" t="s">
        <v>125</v>
      </c>
      <c r="E221" s="157" t="s">
        <v>460</v>
      </c>
      <c r="F221" s="157" t="s">
        <v>461</v>
      </c>
      <c r="G221" s="43" t="s">
        <v>126</v>
      </c>
      <c r="H221" s="46" t="s">
        <v>111</v>
      </c>
      <c r="I221" s="23" t="s">
        <v>56</v>
      </c>
      <c r="J221" s="41" t="s">
        <v>1</v>
      </c>
      <c r="K221" s="41" t="s">
        <v>312</v>
      </c>
      <c r="L221" s="43"/>
      <c r="M221" s="197" t="s">
        <v>34</v>
      </c>
      <c r="N221" s="26" t="s">
        <v>36</v>
      </c>
      <c r="O221" s="27">
        <f>O220</f>
        <v>46276</v>
      </c>
      <c r="P221" s="28"/>
      <c r="Q221" s="28"/>
      <c r="R221" s="28">
        <f>O221+1</f>
        <v>46277</v>
      </c>
      <c r="S221" s="28">
        <f>WORKDAY(R221, S8, IF(S12="China",'China Holidays'!$A$2:$A$84,'Thai Holidays'!$A$2:$A$65))</f>
        <v>46277</v>
      </c>
      <c r="T221" s="28">
        <f>WORKDAY(S221, T8, IF(T12="China",'China Holidays'!$A$2:$A$84,'Thai Holidays'!$A$2:$A$65))</f>
        <v>46293</v>
      </c>
      <c r="U221" s="28">
        <f>U220</f>
        <v>46330</v>
      </c>
      <c r="V221" s="28">
        <f>WORKDAY(U221, V8, IF(V12="China",'China Holidays'!$A$2:$A$84,'Thai Holidays'!$A$2:$A$65))</f>
        <v>46344</v>
      </c>
      <c r="W221" s="28">
        <f>WORKDAY(V221, W8, IF(W12="China",'China Holidays'!$A$2:$A$84,'Thai Holidays'!$A$2:$A$65))</f>
        <v>46357</v>
      </c>
      <c r="X221" s="28">
        <f>WORKDAY(W221, X8, IF(X12="China",'China Holidays'!$A$2:$A$84,'Thai Holidays'!$A$2:$A$65))</f>
        <v>46359</v>
      </c>
      <c r="Y221" s="28">
        <f>WORKDAY(X221, Y8, IF(Y12="China",'China Holidays'!$A$2:$A$84,'Thai Holidays'!$A$2:$A$65))</f>
        <v>46366</v>
      </c>
      <c r="Z221" s="28">
        <f>WORKDAY(Y221, Z8, IF(Z12="China",'China Holidays'!$A$2:$A$84,'Thai Holidays'!$A$2:$A$65))</f>
        <v>46387</v>
      </c>
      <c r="AA221" s="28">
        <f>WORKDAY(Z221, AA8, IF(AA12="China",'China Holidays'!$A$2:$A$84,'Thai Holidays'!$A$2:$A$65))</f>
        <v>46402</v>
      </c>
      <c r="AB221" s="28">
        <f>AA221+15</f>
        <v>46417</v>
      </c>
      <c r="AC221" s="28">
        <f>AB221</f>
        <v>46417</v>
      </c>
      <c r="AD221" s="28">
        <f>AC221+2</f>
        <v>46419</v>
      </c>
      <c r="AE221" s="28">
        <f>AF221-10</f>
        <v>46468</v>
      </c>
      <c r="AF221" s="28">
        <f>AG221-5</f>
        <v>46478</v>
      </c>
      <c r="AG221" s="28">
        <f>AL220</f>
        <v>46483</v>
      </c>
      <c r="AH221" s="28">
        <f>AL220+3</f>
        <v>46486</v>
      </c>
      <c r="AI221" s="28">
        <f>AL220+30</f>
        <v>46513</v>
      </c>
      <c r="AJ221" s="81"/>
      <c r="AK221" s="79"/>
      <c r="AL221" s="83">
        <f>W221+AK220</f>
        <v>46483</v>
      </c>
      <c r="AM221" s="83"/>
      <c r="AN221" s="29"/>
      <c r="AO221" s="141"/>
      <c r="AP221" s="438"/>
      <c r="AQ221" s="21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425"/>
      <c r="BC221" s="411"/>
      <c r="BD221" s="411"/>
    </row>
    <row r="222" spans="1:56" s="3" customFormat="1" ht="15.4" thickTop="1" thickBot="1" x14ac:dyDescent="0.45">
      <c r="A222" s="442"/>
      <c r="B222" s="94" t="s">
        <v>278</v>
      </c>
      <c r="C222" s="32" t="s">
        <v>142</v>
      </c>
      <c r="D222" s="212" t="s">
        <v>125</v>
      </c>
      <c r="E222" s="189" t="s">
        <v>462</v>
      </c>
      <c r="F222" s="189" t="s">
        <v>455</v>
      </c>
      <c r="G222" s="45" t="s">
        <v>126</v>
      </c>
      <c r="H222" s="34" t="s">
        <v>111</v>
      </c>
      <c r="I222" s="32" t="s">
        <v>56</v>
      </c>
      <c r="J222" s="32" t="s">
        <v>1</v>
      </c>
      <c r="K222" s="32" t="s">
        <v>312</v>
      </c>
      <c r="L222" s="45"/>
      <c r="M222" s="198" t="s">
        <v>34</v>
      </c>
      <c r="N222" s="35" t="s">
        <v>37</v>
      </c>
      <c r="O222" s="36"/>
      <c r="P222" s="36">
        <v>46153</v>
      </c>
      <c r="Q222" s="36">
        <v>46172</v>
      </c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82"/>
      <c r="AK222" s="80"/>
      <c r="AL222" s="37"/>
      <c r="AM222" s="37"/>
      <c r="AN222" s="38"/>
      <c r="AO222" s="142"/>
      <c r="AP222" s="439"/>
      <c r="AQ222" s="39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25"/>
      <c r="BC222" s="411"/>
      <c r="BD222" s="411"/>
    </row>
    <row r="223" spans="1:56" s="3" customFormat="1" ht="15.4" thickTop="1" thickBot="1" x14ac:dyDescent="0.45">
      <c r="A223" s="440">
        <f t="shared" ref="A223" si="57">A220+1</f>
        <v>66</v>
      </c>
      <c r="B223" s="92" t="s">
        <v>282</v>
      </c>
      <c r="C223" s="14" t="s">
        <v>144</v>
      </c>
      <c r="D223" s="92" t="s">
        <v>283</v>
      </c>
      <c r="E223" s="150"/>
      <c r="F223" s="150"/>
      <c r="G223" s="64" t="s">
        <v>126</v>
      </c>
      <c r="H223" s="16" t="s">
        <v>111</v>
      </c>
      <c r="I223" s="14" t="s">
        <v>56</v>
      </c>
      <c r="J223" s="14" t="s">
        <v>1</v>
      </c>
      <c r="K223" s="14" t="s">
        <v>312</v>
      </c>
      <c r="L223" s="42"/>
      <c r="M223" s="196" t="s">
        <v>34</v>
      </c>
      <c r="N223" s="18" t="s">
        <v>35</v>
      </c>
      <c r="O223" s="19">
        <v>46276</v>
      </c>
      <c r="P223" s="19">
        <v>46274</v>
      </c>
      <c r="Q223" s="19">
        <v>46288</v>
      </c>
      <c r="R223" s="19">
        <v>46288</v>
      </c>
      <c r="S223" s="19">
        <v>46288</v>
      </c>
      <c r="T223" s="19">
        <v>46310</v>
      </c>
      <c r="U223" s="19">
        <v>46330</v>
      </c>
      <c r="V223" s="19">
        <v>46344</v>
      </c>
      <c r="W223" s="19">
        <v>46357</v>
      </c>
      <c r="X223" s="19">
        <v>46359</v>
      </c>
      <c r="Y223" s="19">
        <v>46366</v>
      </c>
      <c r="Z223" s="19">
        <v>46387</v>
      </c>
      <c r="AA223" s="19">
        <v>46402</v>
      </c>
      <c r="AB223" s="19">
        <v>46417</v>
      </c>
      <c r="AC223" s="19">
        <v>46417</v>
      </c>
      <c r="AD223" s="19">
        <v>46419</v>
      </c>
      <c r="AE223" s="19">
        <v>46468</v>
      </c>
      <c r="AF223" s="19">
        <v>46478</v>
      </c>
      <c r="AG223" s="19">
        <v>46483</v>
      </c>
      <c r="AH223" s="19">
        <v>46486</v>
      </c>
      <c r="AI223" s="19">
        <v>46513</v>
      </c>
      <c r="AJ223" s="58">
        <v>18</v>
      </c>
      <c r="AK223" s="59">
        <v>126</v>
      </c>
      <c r="AL223" s="78">
        <v>46483</v>
      </c>
      <c r="AM223" s="78">
        <v>46507</v>
      </c>
      <c r="AN223" s="20">
        <f>AM223-AL224</f>
        <v>24</v>
      </c>
      <c r="AO223" s="143"/>
      <c r="AP223" s="437"/>
      <c r="AQ223" s="21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425"/>
      <c r="BC223" s="411"/>
      <c r="BD223" s="411"/>
    </row>
    <row r="224" spans="1:56" s="3" customFormat="1" ht="15.4" thickTop="1" thickBot="1" x14ac:dyDescent="0.45">
      <c r="A224" s="441"/>
      <c r="B224" s="93" t="s">
        <v>282</v>
      </c>
      <c r="C224" s="41" t="s">
        <v>144</v>
      </c>
      <c r="D224" s="93" t="s">
        <v>283</v>
      </c>
      <c r="E224" s="157"/>
      <c r="F224" s="157"/>
      <c r="G224" s="43" t="s">
        <v>126</v>
      </c>
      <c r="H224" s="46" t="s">
        <v>111</v>
      </c>
      <c r="I224" s="23" t="s">
        <v>56</v>
      </c>
      <c r="J224" s="41" t="s">
        <v>1</v>
      </c>
      <c r="K224" s="41" t="s">
        <v>312</v>
      </c>
      <c r="L224" s="43"/>
      <c r="M224" s="197" t="s">
        <v>34</v>
      </c>
      <c r="N224" s="26" t="s">
        <v>36</v>
      </c>
      <c r="O224" s="27">
        <f>O223</f>
        <v>46276</v>
      </c>
      <c r="P224" s="28"/>
      <c r="Q224" s="83"/>
      <c r="R224" s="28">
        <f>O224+1</f>
        <v>46277</v>
      </c>
      <c r="S224" s="28">
        <f>WORKDAY(R224, S8, IF(S12="China",'China Holidays'!$A$2:$A$84,'Thai Holidays'!$A$2:$A$65))</f>
        <v>46277</v>
      </c>
      <c r="T224" s="28">
        <f>T223</f>
        <v>46310</v>
      </c>
      <c r="U224" s="28">
        <f>WORKDAY(T224, U8, IF(U12="China",'China Holidays'!$A$2:$A$84,'Thai Holidays'!$A$2:$A$65))</f>
        <v>46330</v>
      </c>
      <c r="V224" s="28">
        <f>WORKDAY(U224, V8, IF(V12="China",'China Holidays'!$A$2:$A$84,'Thai Holidays'!$A$2:$A$65))</f>
        <v>46344</v>
      </c>
      <c r="W224" s="28">
        <f>WORKDAY(V224, W8, IF(W12="China",'China Holidays'!$A$2:$A$84,'Thai Holidays'!$A$2:$A$65))</f>
        <v>46357</v>
      </c>
      <c r="X224" s="28">
        <f>WORKDAY(W224, X8, IF(X12="China",'China Holidays'!$A$2:$A$84,'Thai Holidays'!$A$2:$A$65))</f>
        <v>46359</v>
      </c>
      <c r="Y224" s="28">
        <f>WORKDAY(X224, Y8, IF(Y12="China",'China Holidays'!$A$2:$A$84,'Thai Holidays'!$A$2:$A$65))</f>
        <v>46366</v>
      </c>
      <c r="Z224" s="28">
        <f>WORKDAY(Y224, Z8, IF(Z12="China",'China Holidays'!$A$2:$A$84,'Thai Holidays'!$A$2:$A$65))</f>
        <v>46387</v>
      </c>
      <c r="AA224" s="28">
        <f>WORKDAY(Z224, AA8, IF(AA12="China",'China Holidays'!$A$2:$A$84,'Thai Holidays'!$A$2:$A$65))</f>
        <v>46402</v>
      </c>
      <c r="AB224" s="28">
        <f>AA224+15</f>
        <v>46417</v>
      </c>
      <c r="AC224" s="28">
        <f>AB224</f>
        <v>46417</v>
      </c>
      <c r="AD224" s="28">
        <f>AC224+2</f>
        <v>46419</v>
      </c>
      <c r="AE224" s="28">
        <f>AF224-10</f>
        <v>46468</v>
      </c>
      <c r="AF224" s="28">
        <f>AG224-5</f>
        <v>46478</v>
      </c>
      <c r="AG224" s="28">
        <f>AL223</f>
        <v>46483</v>
      </c>
      <c r="AH224" s="28">
        <f>AL223+3</f>
        <v>46486</v>
      </c>
      <c r="AI224" s="28">
        <f>AL223+30</f>
        <v>46513</v>
      </c>
      <c r="AJ224" s="81"/>
      <c r="AK224" s="79"/>
      <c r="AL224" s="83">
        <f>W224+AK223</f>
        <v>46483</v>
      </c>
      <c r="AM224" s="83"/>
      <c r="AN224" s="29"/>
      <c r="AO224" s="141"/>
      <c r="AP224" s="438"/>
      <c r="AQ224" s="21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425"/>
      <c r="BC224" s="411"/>
      <c r="BD224" s="411"/>
    </row>
    <row r="225" spans="1:56" s="3" customFormat="1" ht="15.4" thickTop="1" thickBot="1" x14ac:dyDescent="0.45">
      <c r="A225" s="442"/>
      <c r="B225" s="94" t="s">
        <v>282</v>
      </c>
      <c r="C225" s="32" t="s">
        <v>144</v>
      </c>
      <c r="D225" s="97" t="s">
        <v>283</v>
      </c>
      <c r="E225" s="158"/>
      <c r="F225" s="158"/>
      <c r="G225" s="45" t="s">
        <v>126</v>
      </c>
      <c r="H225" s="34" t="s">
        <v>111</v>
      </c>
      <c r="I225" s="32" t="s">
        <v>56</v>
      </c>
      <c r="J225" s="32" t="s">
        <v>1</v>
      </c>
      <c r="K225" s="32" t="s">
        <v>312</v>
      </c>
      <c r="L225" s="45"/>
      <c r="M225" s="198" t="s">
        <v>34</v>
      </c>
      <c r="N225" s="35" t="s">
        <v>37</v>
      </c>
      <c r="O225" s="36"/>
      <c r="P225" s="36">
        <v>46133</v>
      </c>
      <c r="Q225" s="36">
        <v>46153</v>
      </c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82"/>
      <c r="AK225" s="80"/>
      <c r="AL225" s="37"/>
      <c r="AM225" s="37"/>
      <c r="AN225" s="38"/>
      <c r="AO225" s="142"/>
      <c r="AP225" s="439"/>
      <c r="AQ225" s="39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25"/>
      <c r="BC225" s="411"/>
      <c r="BD225" s="411"/>
    </row>
    <row r="226" spans="1:56" s="3" customFormat="1" ht="15.4" thickTop="1" thickBot="1" x14ac:dyDescent="0.45">
      <c r="A226" s="440">
        <f t="shared" ref="A226" si="58">A223+1</f>
        <v>67</v>
      </c>
      <c r="B226" s="92" t="s">
        <v>284</v>
      </c>
      <c r="C226" s="14" t="s">
        <v>148</v>
      </c>
      <c r="D226" s="15" t="s">
        <v>139</v>
      </c>
      <c r="E226" s="150" t="s">
        <v>463</v>
      </c>
      <c r="F226" s="150" t="s">
        <v>451</v>
      </c>
      <c r="G226" s="64" t="s">
        <v>126</v>
      </c>
      <c r="H226" s="16" t="s">
        <v>111</v>
      </c>
      <c r="I226" s="14" t="s">
        <v>56</v>
      </c>
      <c r="J226" s="14" t="s">
        <v>1</v>
      </c>
      <c r="K226" s="14" t="s">
        <v>312</v>
      </c>
      <c r="L226" s="42"/>
      <c r="M226" s="196" t="s">
        <v>34</v>
      </c>
      <c r="N226" s="18" t="s">
        <v>35</v>
      </c>
      <c r="O226" s="19">
        <v>46276</v>
      </c>
      <c r="P226" s="19">
        <v>46274</v>
      </c>
      <c r="Q226" s="19">
        <v>46288</v>
      </c>
      <c r="R226" s="19">
        <v>46288</v>
      </c>
      <c r="S226" s="19">
        <v>46288</v>
      </c>
      <c r="T226" s="19">
        <v>46310</v>
      </c>
      <c r="U226" s="19">
        <v>46330</v>
      </c>
      <c r="V226" s="19">
        <v>46344</v>
      </c>
      <c r="W226" s="19">
        <v>46357</v>
      </c>
      <c r="X226" s="19">
        <v>46359</v>
      </c>
      <c r="Y226" s="19">
        <v>46366</v>
      </c>
      <c r="Z226" s="19">
        <v>46387</v>
      </c>
      <c r="AA226" s="19">
        <v>46402</v>
      </c>
      <c r="AB226" s="19">
        <v>46417</v>
      </c>
      <c r="AC226" s="19">
        <v>46417</v>
      </c>
      <c r="AD226" s="19">
        <v>46419</v>
      </c>
      <c r="AE226" s="19">
        <v>46468</v>
      </c>
      <c r="AF226" s="19">
        <v>46478</v>
      </c>
      <c r="AG226" s="19">
        <v>46483</v>
      </c>
      <c r="AH226" s="19">
        <v>46486</v>
      </c>
      <c r="AI226" s="19">
        <v>46513</v>
      </c>
      <c r="AJ226" s="58">
        <v>18</v>
      </c>
      <c r="AK226" s="59">
        <v>126</v>
      </c>
      <c r="AL226" s="78">
        <v>46483</v>
      </c>
      <c r="AM226" s="78">
        <v>46507</v>
      </c>
      <c r="AN226" s="20">
        <f>AM226-AL227</f>
        <v>24</v>
      </c>
      <c r="AO226" s="143"/>
      <c r="AP226" s="437"/>
      <c r="AQ226" s="21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425"/>
      <c r="BC226" s="411"/>
      <c r="BD226" s="411"/>
    </row>
    <row r="227" spans="1:56" s="3" customFormat="1" ht="15.4" thickTop="1" thickBot="1" x14ac:dyDescent="0.45">
      <c r="A227" s="441"/>
      <c r="B227" s="93" t="s">
        <v>284</v>
      </c>
      <c r="C227" s="41" t="s">
        <v>148</v>
      </c>
      <c r="D227" s="24" t="s">
        <v>139</v>
      </c>
      <c r="E227" s="157"/>
      <c r="F227" s="157"/>
      <c r="G227" s="43" t="s">
        <v>126</v>
      </c>
      <c r="H227" s="46" t="s">
        <v>111</v>
      </c>
      <c r="I227" s="23" t="s">
        <v>56</v>
      </c>
      <c r="J227" s="41" t="s">
        <v>1</v>
      </c>
      <c r="K227" s="41" t="s">
        <v>312</v>
      </c>
      <c r="L227" s="43"/>
      <c r="M227" s="197" t="s">
        <v>34</v>
      </c>
      <c r="N227" s="26" t="s">
        <v>36</v>
      </c>
      <c r="O227" s="27">
        <f>O226</f>
        <v>46276</v>
      </c>
      <c r="P227" s="28"/>
      <c r="Q227" s="28"/>
      <c r="R227" s="28">
        <f>O227+1</f>
        <v>46277</v>
      </c>
      <c r="S227" s="28">
        <f>WORKDAY(R227, S8, IF(S12="China",'China Holidays'!$A$2:$A$84,'Thai Holidays'!$A$2:$A$65))</f>
        <v>46277</v>
      </c>
      <c r="T227" s="28">
        <f>WORKDAY(S227, T8, IF(T12="China",'China Holidays'!$A$2:$A$84,'Thai Holidays'!$A$2:$A$65))</f>
        <v>46293</v>
      </c>
      <c r="U227" s="28">
        <f>U226</f>
        <v>46330</v>
      </c>
      <c r="V227" s="28">
        <f>WORKDAY(U227, V8, IF(V12="China",'China Holidays'!$A$2:$A$84,'Thai Holidays'!$A$2:$A$65))</f>
        <v>46344</v>
      </c>
      <c r="W227" s="28">
        <f>WORKDAY(V227, W8, IF(W12="China",'China Holidays'!$A$2:$A$84,'Thai Holidays'!$A$2:$A$65))</f>
        <v>46357</v>
      </c>
      <c r="X227" s="28">
        <f>WORKDAY(W227, X8, IF(X12="China",'China Holidays'!$A$2:$A$84,'Thai Holidays'!$A$2:$A$65))</f>
        <v>46359</v>
      </c>
      <c r="Y227" s="28">
        <f>WORKDAY(X227, Y8, IF(Y12="China",'China Holidays'!$A$2:$A$84,'Thai Holidays'!$A$2:$A$65))</f>
        <v>46366</v>
      </c>
      <c r="Z227" s="28">
        <f>WORKDAY(Y227, Z8, IF(Z12="China",'China Holidays'!$A$2:$A$84,'Thai Holidays'!$A$2:$A$65))</f>
        <v>46387</v>
      </c>
      <c r="AA227" s="28">
        <f>WORKDAY(Z227, AA8, IF(AA12="China",'China Holidays'!$A$2:$A$84,'Thai Holidays'!$A$2:$A$65))</f>
        <v>46402</v>
      </c>
      <c r="AB227" s="28">
        <f>AA227+15</f>
        <v>46417</v>
      </c>
      <c r="AC227" s="28">
        <f>AB227</f>
        <v>46417</v>
      </c>
      <c r="AD227" s="28">
        <f>AC227+2</f>
        <v>46419</v>
      </c>
      <c r="AE227" s="28">
        <f>AF227-10</f>
        <v>46468</v>
      </c>
      <c r="AF227" s="28">
        <f>AG227-5</f>
        <v>46478</v>
      </c>
      <c r="AG227" s="28">
        <f>AL226</f>
        <v>46483</v>
      </c>
      <c r="AH227" s="28">
        <f>AL226+3</f>
        <v>46486</v>
      </c>
      <c r="AI227" s="28">
        <f>AL226+30</f>
        <v>46513</v>
      </c>
      <c r="AJ227" s="81"/>
      <c r="AK227" s="79"/>
      <c r="AL227" s="83">
        <f>W227+AK226</f>
        <v>46483</v>
      </c>
      <c r="AM227" s="83"/>
      <c r="AN227" s="29"/>
      <c r="AO227" s="141"/>
      <c r="AP227" s="438"/>
      <c r="AQ227" s="21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425"/>
      <c r="BC227" s="411"/>
      <c r="BD227" s="411"/>
    </row>
    <row r="228" spans="1:56" s="3" customFormat="1" ht="15.4" thickTop="1" thickBot="1" x14ac:dyDescent="0.45">
      <c r="A228" s="442"/>
      <c r="B228" s="94" t="s">
        <v>284</v>
      </c>
      <c r="C228" s="32" t="s">
        <v>148</v>
      </c>
      <c r="D228" s="48" t="s">
        <v>139</v>
      </c>
      <c r="E228" s="158"/>
      <c r="F228" s="158"/>
      <c r="G228" s="45" t="s">
        <v>126</v>
      </c>
      <c r="H228" s="34" t="s">
        <v>111</v>
      </c>
      <c r="I228" s="32" t="s">
        <v>56</v>
      </c>
      <c r="J228" s="32" t="s">
        <v>1</v>
      </c>
      <c r="K228" s="32" t="s">
        <v>312</v>
      </c>
      <c r="L228" s="45"/>
      <c r="M228" s="198" t="s">
        <v>34</v>
      </c>
      <c r="N228" s="35" t="s">
        <v>37</v>
      </c>
      <c r="O228" s="36"/>
      <c r="P228" s="36">
        <v>46151</v>
      </c>
      <c r="Q228" s="36">
        <v>46172</v>
      </c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82"/>
      <c r="AK228" s="80"/>
      <c r="AL228" s="37"/>
      <c r="AM228" s="37"/>
      <c r="AN228" s="38"/>
      <c r="AO228" s="142"/>
      <c r="AP228" s="439"/>
      <c r="AQ228" s="39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25"/>
      <c r="BC228" s="411"/>
      <c r="BD228" s="411"/>
    </row>
    <row r="229" spans="1:56" s="3" customFormat="1" ht="15.4" thickTop="1" thickBot="1" x14ac:dyDescent="0.45">
      <c r="A229" s="440">
        <f t="shared" ref="A229" si="59">A226+1</f>
        <v>68</v>
      </c>
      <c r="B229" s="92" t="s">
        <v>285</v>
      </c>
      <c r="C229" s="14" t="s">
        <v>149</v>
      </c>
      <c r="D229" s="15" t="s">
        <v>128</v>
      </c>
      <c r="E229" s="150" t="s">
        <v>464</v>
      </c>
      <c r="F229" s="150" t="s">
        <v>451</v>
      </c>
      <c r="G229" s="64" t="s">
        <v>129</v>
      </c>
      <c r="H229" s="16" t="s">
        <v>111</v>
      </c>
      <c r="I229" s="14" t="s">
        <v>56</v>
      </c>
      <c r="J229" s="14" t="s">
        <v>3</v>
      </c>
      <c r="K229" s="14" t="s">
        <v>312</v>
      </c>
      <c r="L229" s="42"/>
      <c r="M229" s="196" t="s">
        <v>34</v>
      </c>
      <c r="N229" s="18" t="s">
        <v>35</v>
      </c>
      <c r="O229" s="19">
        <v>46240</v>
      </c>
      <c r="P229" s="19">
        <v>46242</v>
      </c>
      <c r="Q229" s="19">
        <v>46258</v>
      </c>
      <c r="R229" s="19">
        <v>46258</v>
      </c>
      <c r="S229" s="19">
        <v>46258</v>
      </c>
      <c r="T229" s="19">
        <v>46272</v>
      </c>
      <c r="U229" s="19">
        <v>46289</v>
      </c>
      <c r="V229" s="19">
        <v>46303</v>
      </c>
      <c r="W229" s="19">
        <v>46316</v>
      </c>
      <c r="X229" s="19">
        <v>46318</v>
      </c>
      <c r="Y229" s="19">
        <v>46325</v>
      </c>
      <c r="Z229" s="19">
        <v>46346</v>
      </c>
      <c r="AA229" s="19">
        <v>46360</v>
      </c>
      <c r="AB229" s="19">
        <v>46375</v>
      </c>
      <c r="AC229" s="19">
        <v>46375</v>
      </c>
      <c r="AD229" s="19">
        <v>46377</v>
      </c>
      <c r="AE229" s="19">
        <v>46455</v>
      </c>
      <c r="AF229" s="19">
        <v>46465</v>
      </c>
      <c r="AG229" s="19">
        <v>46470</v>
      </c>
      <c r="AH229" s="19">
        <v>46473</v>
      </c>
      <c r="AI229" s="19">
        <v>46500</v>
      </c>
      <c r="AJ229" s="58">
        <v>22</v>
      </c>
      <c r="AK229" s="59">
        <v>154</v>
      </c>
      <c r="AL229" s="78">
        <v>46470</v>
      </c>
      <c r="AM229" s="78">
        <v>46507</v>
      </c>
      <c r="AN229" s="20">
        <f>AM229-AL230</f>
        <v>37</v>
      </c>
      <c r="AO229" s="143"/>
      <c r="AP229" s="437"/>
      <c r="AQ229" s="21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425"/>
      <c r="BC229" s="411"/>
      <c r="BD229" s="411"/>
    </row>
    <row r="230" spans="1:56" s="3" customFormat="1" ht="15.4" thickTop="1" thickBot="1" x14ac:dyDescent="0.45">
      <c r="A230" s="441"/>
      <c r="B230" s="93" t="s">
        <v>285</v>
      </c>
      <c r="C230" s="41" t="s">
        <v>149</v>
      </c>
      <c r="D230" s="24" t="s">
        <v>128</v>
      </c>
      <c r="E230" s="157" t="s">
        <v>465</v>
      </c>
      <c r="F230" s="157" t="s">
        <v>451</v>
      </c>
      <c r="G230" s="43" t="s">
        <v>129</v>
      </c>
      <c r="H230" s="46" t="s">
        <v>111</v>
      </c>
      <c r="I230" s="23" t="s">
        <v>56</v>
      </c>
      <c r="J230" s="41" t="s">
        <v>3</v>
      </c>
      <c r="K230" s="41" t="s">
        <v>312</v>
      </c>
      <c r="L230" s="43"/>
      <c r="M230" s="197" t="s">
        <v>34</v>
      </c>
      <c r="N230" s="26" t="s">
        <v>36</v>
      </c>
      <c r="O230" s="27">
        <f>O229</f>
        <v>46240</v>
      </c>
      <c r="P230" s="28"/>
      <c r="Q230" s="28"/>
      <c r="R230" s="28">
        <f>O230</f>
        <v>46240</v>
      </c>
      <c r="S230" s="28">
        <f>WORKDAY(R230, S8, IF(S12="China",'China Holidays'!$A$2:$A$84,'Thai Holidays'!$A$2:$A$65))</f>
        <v>46240</v>
      </c>
      <c r="T230" s="28">
        <f>WORKDAY(S230, T8, IF(T12="China",'China Holidays'!$A$2:$A$84,'Thai Holidays'!$A$2:$A$65))</f>
        <v>46254</v>
      </c>
      <c r="U230" s="28">
        <f>U229</f>
        <v>46289</v>
      </c>
      <c r="V230" s="28">
        <f>WORKDAY(U230, V8, IF(V12="China",'China Holidays'!$A$2:$A$84,'Thai Holidays'!$A$2:$A$65))</f>
        <v>46303</v>
      </c>
      <c r="W230" s="28">
        <f>WORKDAY(V230, W8, IF(W12="China",'China Holidays'!$A$2:$A$84,'Thai Holidays'!$A$2:$A$65))</f>
        <v>46316</v>
      </c>
      <c r="X230" s="28">
        <f>WORKDAY(W230, X8, IF(X12="China",'China Holidays'!$A$2:$A$84,'Thai Holidays'!$A$2:$A$65))</f>
        <v>46318</v>
      </c>
      <c r="Y230" s="28">
        <f>WORKDAY(X230, Y8, IF(Y12="China",'China Holidays'!$A$2:$A$84,'Thai Holidays'!$A$2:$A$65))</f>
        <v>46325</v>
      </c>
      <c r="Z230" s="28">
        <f>WORKDAY(Y230, Z8, IF(Z12="China",'China Holidays'!$A$2:$A$84,'Thai Holidays'!$A$2:$A$65))</f>
        <v>46346</v>
      </c>
      <c r="AA230" s="28">
        <f>WORKDAY(Z230, AA8, IF(AA12="China",'China Holidays'!$A$2:$A$84,'Thai Holidays'!$A$2:$A$65))</f>
        <v>46360</v>
      </c>
      <c r="AB230" s="28">
        <f>AA230+15</f>
        <v>46375</v>
      </c>
      <c r="AC230" s="28">
        <f>AB230</f>
        <v>46375</v>
      </c>
      <c r="AD230" s="28">
        <f>AC230+2</f>
        <v>46377</v>
      </c>
      <c r="AE230" s="28">
        <f>AF230-10</f>
        <v>46455</v>
      </c>
      <c r="AF230" s="28">
        <f>AG230-5</f>
        <v>46465</v>
      </c>
      <c r="AG230" s="28">
        <f>AL229</f>
        <v>46470</v>
      </c>
      <c r="AH230" s="28">
        <f>AL229+3</f>
        <v>46473</v>
      </c>
      <c r="AI230" s="28">
        <f>AL229+30</f>
        <v>46500</v>
      </c>
      <c r="AJ230" s="81"/>
      <c r="AK230" s="79"/>
      <c r="AL230" s="83">
        <f>W230+AK229</f>
        <v>46470</v>
      </c>
      <c r="AM230" s="83"/>
      <c r="AN230" s="29"/>
      <c r="AO230" s="141"/>
      <c r="AP230" s="438"/>
      <c r="AQ230" s="21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425"/>
      <c r="BC230" s="411"/>
      <c r="BD230" s="411"/>
    </row>
    <row r="231" spans="1:56" s="3" customFormat="1" ht="15.4" thickTop="1" thickBot="1" x14ac:dyDescent="0.45">
      <c r="A231" s="442"/>
      <c r="B231" s="94" t="s">
        <v>285</v>
      </c>
      <c r="C231" s="32" t="s">
        <v>149</v>
      </c>
      <c r="D231" s="48" t="s">
        <v>128</v>
      </c>
      <c r="E231" s="158"/>
      <c r="F231" s="158"/>
      <c r="G231" s="45" t="s">
        <v>129</v>
      </c>
      <c r="H231" s="34" t="s">
        <v>111</v>
      </c>
      <c r="I231" s="32" t="s">
        <v>56</v>
      </c>
      <c r="J231" s="32" t="s">
        <v>3</v>
      </c>
      <c r="K231" s="32" t="s">
        <v>312</v>
      </c>
      <c r="L231" s="45"/>
      <c r="M231" s="198" t="s">
        <v>34</v>
      </c>
      <c r="N231" s="35" t="s">
        <v>37</v>
      </c>
      <c r="O231" s="36"/>
      <c r="P231" s="36">
        <v>46151</v>
      </c>
      <c r="Q231" s="36">
        <v>46160</v>
      </c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82"/>
      <c r="AK231" s="80"/>
      <c r="AL231" s="37"/>
      <c r="AM231" s="37"/>
      <c r="AN231" s="38"/>
      <c r="AO231" s="142"/>
      <c r="AP231" s="439"/>
      <c r="AQ231" s="39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25"/>
      <c r="BC231" s="411"/>
      <c r="BD231" s="411"/>
    </row>
    <row r="232" spans="1:56" s="3" customFormat="1" ht="15.4" thickTop="1" thickBot="1" x14ac:dyDescent="0.45">
      <c r="A232" s="440">
        <f t="shared" ref="A232" si="60">A229+1</f>
        <v>69</v>
      </c>
      <c r="B232" s="92" t="s">
        <v>286</v>
      </c>
      <c r="C232" s="14" t="s">
        <v>152</v>
      </c>
      <c r="D232" s="15" t="s">
        <v>123</v>
      </c>
      <c r="E232" s="150" t="s">
        <v>497</v>
      </c>
      <c r="F232" s="150" t="s">
        <v>455</v>
      </c>
      <c r="G232" s="64" t="s">
        <v>122</v>
      </c>
      <c r="H232" s="16" t="s">
        <v>111</v>
      </c>
      <c r="I232" s="14" t="s">
        <v>56</v>
      </c>
      <c r="J232" s="14" t="s">
        <v>1</v>
      </c>
      <c r="K232" s="14" t="s">
        <v>312</v>
      </c>
      <c r="L232" s="42"/>
      <c r="M232" s="196" t="s">
        <v>34</v>
      </c>
      <c r="N232" s="18" t="s">
        <v>35</v>
      </c>
      <c r="O232" s="19">
        <v>46276</v>
      </c>
      <c r="P232" s="19">
        <v>46274</v>
      </c>
      <c r="Q232" s="19">
        <v>46288</v>
      </c>
      <c r="R232" s="19">
        <v>46288</v>
      </c>
      <c r="S232" s="19">
        <v>46288</v>
      </c>
      <c r="T232" s="19">
        <v>46310</v>
      </c>
      <c r="U232" s="19">
        <v>46330</v>
      </c>
      <c r="V232" s="19">
        <v>46344</v>
      </c>
      <c r="W232" s="19">
        <v>46357</v>
      </c>
      <c r="X232" s="19">
        <v>46359</v>
      </c>
      <c r="Y232" s="19">
        <v>46366</v>
      </c>
      <c r="Z232" s="19">
        <v>46387</v>
      </c>
      <c r="AA232" s="19">
        <v>46402</v>
      </c>
      <c r="AB232" s="19">
        <v>46417</v>
      </c>
      <c r="AC232" s="19">
        <v>46417</v>
      </c>
      <c r="AD232" s="19">
        <v>46419</v>
      </c>
      <c r="AE232" s="19">
        <v>46468</v>
      </c>
      <c r="AF232" s="19">
        <v>46478</v>
      </c>
      <c r="AG232" s="19">
        <v>46483</v>
      </c>
      <c r="AH232" s="19">
        <v>46486</v>
      </c>
      <c r="AI232" s="19">
        <v>46513</v>
      </c>
      <c r="AJ232" s="58">
        <v>18</v>
      </c>
      <c r="AK232" s="59">
        <v>126</v>
      </c>
      <c r="AL232" s="78">
        <v>46483</v>
      </c>
      <c r="AM232" s="78">
        <v>46507</v>
      </c>
      <c r="AN232" s="20">
        <f>AM232-AL233</f>
        <v>24</v>
      </c>
      <c r="AO232" s="143"/>
      <c r="AP232" s="437"/>
      <c r="AQ232" s="21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425"/>
      <c r="BC232" s="411"/>
      <c r="BD232" s="411"/>
    </row>
    <row r="233" spans="1:56" s="3" customFormat="1" ht="15.4" thickTop="1" thickBot="1" x14ac:dyDescent="0.45">
      <c r="A233" s="441"/>
      <c r="B233" s="93" t="s">
        <v>286</v>
      </c>
      <c r="C233" s="41" t="s">
        <v>152</v>
      </c>
      <c r="D233" s="24" t="s">
        <v>123</v>
      </c>
      <c r="E233" s="157"/>
      <c r="F233" s="157"/>
      <c r="G233" s="43" t="s">
        <v>122</v>
      </c>
      <c r="H233" s="46" t="s">
        <v>111</v>
      </c>
      <c r="I233" s="23" t="s">
        <v>56</v>
      </c>
      <c r="J233" s="41" t="s">
        <v>1</v>
      </c>
      <c r="K233" s="41" t="s">
        <v>312</v>
      </c>
      <c r="L233" s="43"/>
      <c r="M233" s="197" t="s">
        <v>34</v>
      </c>
      <c r="N233" s="26" t="s">
        <v>36</v>
      </c>
      <c r="O233" s="27">
        <f>O232</f>
        <v>46276</v>
      </c>
      <c r="P233" s="28"/>
      <c r="Q233" s="28"/>
      <c r="R233" s="28">
        <f>O233+1</f>
        <v>46277</v>
      </c>
      <c r="S233" s="28">
        <f>WORKDAY(R233, S8, IF(S12="China",'China Holidays'!$A$2:$A$84,'Thai Holidays'!$A$2:$A$65))</f>
        <v>46277</v>
      </c>
      <c r="T233" s="28">
        <f>WORKDAY(S233, T8, IF(T12="China",'China Holidays'!$A$2:$A$84,'Thai Holidays'!$A$2:$A$65))</f>
        <v>46293</v>
      </c>
      <c r="U233" s="28">
        <f>U232</f>
        <v>46330</v>
      </c>
      <c r="V233" s="28">
        <f>WORKDAY(U233, V8, IF(V12="China",'China Holidays'!$A$2:$A$84,'Thai Holidays'!$A$2:$A$65))</f>
        <v>46344</v>
      </c>
      <c r="W233" s="28">
        <f>WORKDAY(V233, W8, IF(W12="China",'China Holidays'!$A$2:$A$84,'Thai Holidays'!$A$2:$A$65))</f>
        <v>46357</v>
      </c>
      <c r="X233" s="28">
        <f>WORKDAY(W233, X8, IF(X12="China",'China Holidays'!$A$2:$A$84,'Thai Holidays'!$A$2:$A$65))</f>
        <v>46359</v>
      </c>
      <c r="Y233" s="28">
        <f>WORKDAY(X233, Y8, IF(Y12="China",'China Holidays'!$A$2:$A$84,'Thai Holidays'!$A$2:$A$65))</f>
        <v>46366</v>
      </c>
      <c r="Z233" s="28">
        <f>WORKDAY(Y233, Z8, IF(Z12="China",'China Holidays'!$A$2:$A$84,'Thai Holidays'!$A$2:$A$65))</f>
        <v>46387</v>
      </c>
      <c r="AA233" s="28">
        <f>WORKDAY(Z233, AA8, IF(AA12="China",'China Holidays'!$A$2:$A$84,'Thai Holidays'!$A$2:$A$65))</f>
        <v>46402</v>
      </c>
      <c r="AB233" s="28">
        <f>AA233+15</f>
        <v>46417</v>
      </c>
      <c r="AC233" s="28">
        <f>AB233</f>
        <v>46417</v>
      </c>
      <c r="AD233" s="28">
        <f>AC233+2</f>
        <v>46419</v>
      </c>
      <c r="AE233" s="28">
        <f>AF233-10</f>
        <v>46468</v>
      </c>
      <c r="AF233" s="28">
        <f>AG233-5</f>
        <v>46478</v>
      </c>
      <c r="AG233" s="28">
        <f>AL232</f>
        <v>46483</v>
      </c>
      <c r="AH233" s="28">
        <f>AL232+3</f>
        <v>46486</v>
      </c>
      <c r="AI233" s="28">
        <f>AL232+30</f>
        <v>46513</v>
      </c>
      <c r="AJ233" s="81"/>
      <c r="AK233" s="79"/>
      <c r="AL233" s="83">
        <f>W233+AK232</f>
        <v>46483</v>
      </c>
      <c r="AM233" s="83"/>
      <c r="AN233" s="29"/>
      <c r="AO233" s="141"/>
      <c r="AP233" s="438"/>
      <c r="AQ233" s="21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425"/>
      <c r="BC233" s="411"/>
      <c r="BD233" s="411"/>
    </row>
    <row r="234" spans="1:56" s="3" customFormat="1" ht="17.350000000000001" customHeight="1" thickTop="1" thickBot="1" x14ac:dyDescent="0.45">
      <c r="A234" s="442"/>
      <c r="B234" s="94" t="s">
        <v>286</v>
      </c>
      <c r="C234" s="32" t="s">
        <v>152</v>
      </c>
      <c r="D234" s="48" t="s">
        <v>123</v>
      </c>
      <c r="E234" s="158"/>
      <c r="F234" s="158"/>
      <c r="G234" s="45" t="s">
        <v>122</v>
      </c>
      <c r="H234" s="34" t="s">
        <v>111</v>
      </c>
      <c r="I234" s="32" t="s">
        <v>56</v>
      </c>
      <c r="J234" s="32" t="s">
        <v>1</v>
      </c>
      <c r="K234" s="32" t="s">
        <v>312</v>
      </c>
      <c r="L234" s="45"/>
      <c r="M234" s="198" t="s">
        <v>34</v>
      </c>
      <c r="N234" s="35" t="s">
        <v>37</v>
      </c>
      <c r="O234" s="36"/>
      <c r="P234" s="36">
        <v>46153</v>
      </c>
      <c r="Q234" s="36">
        <v>46173</v>
      </c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82"/>
      <c r="AK234" s="80"/>
      <c r="AL234" s="37"/>
      <c r="AM234" s="37"/>
      <c r="AN234" s="38"/>
      <c r="AO234" s="142"/>
      <c r="AP234" s="439"/>
      <c r="AQ234" s="39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25"/>
      <c r="BC234" s="411"/>
      <c r="BD234" s="411"/>
    </row>
    <row r="235" spans="1:56" s="3" customFormat="1" ht="20.65" customHeight="1" thickTop="1" thickBot="1" x14ac:dyDescent="0.45">
      <c r="A235" s="440">
        <f t="shared" ref="A235" si="61">A232+1</f>
        <v>70</v>
      </c>
      <c r="B235" s="92" t="s">
        <v>288</v>
      </c>
      <c r="C235" s="14" t="s">
        <v>154</v>
      </c>
      <c r="D235" s="15" t="s">
        <v>854</v>
      </c>
      <c r="E235" s="150" t="s">
        <v>486</v>
      </c>
      <c r="F235" s="150" t="s">
        <v>455</v>
      </c>
      <c r="G235" s="64" t="s">
        <v>147</v>
      </c>
      <c r="H235" s="16" t="s">
        <v>111</v>
      </c>
      <c r="I235" s="14" t="s">
        <v>56</v>
      </c>
      <c r="J235" s="14" t="s">
        <v>1</v>
      </c>
      <c r="K235" s="14" t="s">
        <v>312</v>
      </c>
      <c r="L235" s="42"/>
      <c r="M235" s="196" t="s">
        <v>34</v>
      </c>
      <c r="N235" s="18" t="s">
        <v>35</v>
      </c>
      <c r="O235" s="230">
        <v>46195</v>
      </c>
      <c r="P235" s="57">
        <v>46195</v>
      </c>
      <c r="Q235" s="19">
        <v>46209</v>
      </c>
      <c r="R235" s="19">
        <v>46209</v>
      </c>
      <c r="S235" s="19">
        <v>46209</v>
      </c>
      <c r="T235" s="19">
        <v>46223</v>
      </c>
      <c r="U235" s="19">
        <v>46244</v>
      </c>
      <c r="V235" s="19">
        <v>46259</v>
      </c>
      <c r="W235" s="19">
        <v>46272</v>
      </c>
      <c r="X235" s="19">
        <v>46274</v>
      </c>
      <c r="Y235" s="19">
        <v>46281</v>
      </c>
      <c r="Z235" s="19">
        <v>46310</v>
      </c>
      <c r="AA235" s="19">
        <v>46325</v>
      </c>
      <c r="AB235" s="19">
        <v>46355</v>
      </c>
      <c r="AC235" s="19">
        <v>46355</v>
      </c>
      <c r="AD235" s="19">
        <v>46357</v>
      </c>
      <c r="AE235" s="19">
        <v>46432</v>
      </c>
      <c r="AF235" s="19">
        <v>46452</v>
      </c>
      <c r="AG235" s="19">
        <v>46482</v>
      </c>
      <c r="AH235" s="19">
        <v>46485</v>
      </c>
      <c r="AI235" s="19">
        <v>46512</v>
      </c>
      <c r="AJ235" s="58">
        <v>30</v>
      </c>
      <c r="AK235" s="59">
        <v>210</v>
      </c>
      <c r="AL235" s="78">
        <v>46482</v>
      </c>
      <c r="AM235" s="78">
        <v>46507</v>
      </c>
      <c r="AN235" s="20">
        <f>AM235-AL236</f>
        <v>25</v>
      </c>
      <c r="AO235" s="143"/>
      <c r="AP235" s="437"/>
      <c r="AQ235" s="21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425"/>
      <c r="BC235" s="411"/>
      <c r="BD235" s="411"/>
    </row>
    <row r="236" spans="1:56" s="3" customFormat="1" ht="24" thickTop="1" thickBot="1" x14ac:dyDescent="0.45">
      <c r="A236" s="441"/>
      <c r="B236" s="93" t="s">
        <v>288</v>
      </c>
      <c r="C236" s="41" t="s">
        <v>154</v>
      </c>
      <c r="D236" s="209" t="s">
        <v>287</v>
      </c>
      <c r="E236" s="181"/>
      <c r="F236" s="181"/>
      <c r="G236" s="43" t="s">
        <v>147</v>
      </c>
      <c r="H236" s="46" t="s">
        <v>111</v>
      </c>
      <c r="I236" s="23" t="s">
        <v>56</v>
      </c>
      <c r="J236" s="41" t="s">
        <v>1</v>
      </c>
      <c r="K236" s="41" t="s">
        <v>312</v>
      </c>
      <c r="L236" s="43"/>
      <c r="M236" s="197" t="s">
        <v>34</v>
      </c>
      <c r="N236" s="26" t="s">
        <v>36</v>
      </c>
      <c r="O236" s="27">
        <v>46209</v>
      </c>
      <c r="P236" s="28"/>
      <c r="Q236" s="28"/>
      <c r="R236" s="28">
        <v>46210</v>
      </c>
      <c r="S236" s="28">
        <f>WORKDAY(R236, S8, IF(S12="China",'China Holidays'!$A$2:$A$84,'Thai Holidays'!$A$2:$A$65))</f>
        <v>46210</v>
      </c>
      <c r="T236" s="28">
        <f>WORKDAY(S236, T8, IF(T12="China",'China Holidays'!$A$2:$A$84,'Thai Holidays'!$A$2:$A$65))</f>
        <v>46224</v>
      </c>
      <c r="U236" s="28">
        <f>U235</f>
        <v>46244</v>
      </c>
      <c r="V236" s="28">
        <f>WORKDAY(U236, V8, IF(V12="China",'China Holidays'!$A$2:$A$84,'Thai Holidays'!$A$2:$A$65))</f>
        <v>46259</v>
      </c>
      <c r="W236" s="28">
        <f>WORKDAY(V236, W8, IF(W12="China",'China Holidays'!$A$2:$A$84,'Thai Holidays'!$A$2:$A$65))</f>
        <v>46272</v>
      </c>
      <c r="X236" s="28">
        <f>WORKDAY(W236, X8, IF(X12="China",'China Holidays'!$A$2:$A$84,'Thai Holidays'!$A$2:$A$65))</f>
        <v>46274</v>
      </c>
      <c r="Y236" s="28">
        <f>WORKDAY(X236, Y8, IF(Y12="China",'China Holidays'!$A$2:$A$84,'Thai Holidays'!$A$2:$A$65))</f>
        <v>46281</v>
      </c>
      <c r="Z236" s="28">
        <f>WORKDAY(Y236, Z8, IF(Z12="China",'China Holidays'!$A$2:$A$84,'Thai Holidays'!$A$2:$A$65))</f>
        <v>46310</v>
      </c>
      <c r="AA236" s="28">
        <f>WORKDAY(Z236, AA8, IF(AA12="China",'China Holidays'!$A$2:$A$84,'Thai Holidays'!$A$2:$A$65))</f>
        <v>46325</v>
      </c>
      <c r="AB236" s="28">
        <f>AA236+30</f>
        <v>46355</v>
      </c>
      <c r="AC236" s="28">
        <f>AB236</f>
        <v>46355</v>
      </c>
      <c r="AD236" s="28">
        <f>AC236+2</f>
        <v>46357</v>
      </c>
      <c r="AE236" s="28">
        <f>AF236-20</f>
        <v>46432</v>
      </c>
      <c r="AF236" s="28">
        <f>AG236-30</f>
        <v>46452</v>
      </c>
      <c r="AG236" s="28">
        <f>AL235</f>
        <v>46482</v>
      </c>
      <c r="AH236" s="28">
        <f>AL235+3</f>
        <v>46485</v>
      </c>
      <c r="AI236" s="28">
        <f>AL235+30</f>
        <v>46512</v>
      </c>
      <c r="AJ236" s="81"/>
      <c r="AK236" s="79"/>
      <c r="AL236" s="83">
        <f>W236+AK235</f>
        <v>46482</v>
      </c>
      <c r="AM236" s="83"/>
      <c r="AN236" s="29"/>
      <c r="AO236" s="141"/>
      <c r="AP236" s="438"/>
      <c r="AQ236" s="21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425"/>
      <c r="BC236" s="411"/>
      <c r="BD236" s="411"/>
    </row>
    <row r="237" spans="1:56" s="3" customFormat="1" ht="24" thickTop="1" thickBot="1" x14ac:dyDescent="0.45">
      <c r="A237" s="442"/>
      <c r="B237" s="94" t="s">
        <v>288</v>
      </c>
      <c r="C237" s="32" t="s">
        <v>154</v>
      </c>
      <c r="D237" s="33" t="s">
        <v>287</v>
      </c>
      <c r="E237" s="151"/>
      <c r="F237" s="151"/>
      <c r="G237" s="44" t="s">
        <v>147</v>
      </c>
      <c r="H237" s="34" t="s">
        <v>111</v>
      </c>
      <c r="I237" s="32" t="s">
        <v>56</v>
      </c>
      <c r="J237" s="32" t="s">
        <v>1</v>
      </c>
      <c r="K237" s="32" t="s">
        <v>312</v>
      </c>
      <c r="L237" s="44"/>
      <c r="M237" s="198" t="s">
        <v>34</v>
      </c>
      <c r="N237" s="35" t="s">
        <v>37</v>
      </c>
      <c r="O237" s="36"/>
      <c r="P237" s="36">
        <v>46150</v>
      </c>
      <c r="Q237" s="36">
        <v>46173</v>
      </c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82"/>
      <c r="AK237" s="80"/>
      <c r="AL237" s="37"/>
      <c r="AM237" s="37"/>
      <c r="AN237" s="38"/>
      <c r="AO237" s="142"/>
      <c r="AP237" s="439"/>
      <c r="AQ237" s="39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25"/>
      <c r="BC237" s="411"/>
      <c r="BD237" s="411"/>
    </row>
    <row r="238" spans="1:56" s="3" customFormat="1" ht="24" thickTop="1" thickBot="1" x14ac:dyDescent="0.45">
      <c r="A238" s="440">
        <f t="shared" ref="A238" si="62">A235+1</f>
        <v>71</v>
      </c>
      <c r="B238" s="92" t="s">
        <v>290</v>
      </c>
      <c r="C238" s="14" t="s">
        <v>156</v>
      </c>
      <c r="D238" s="15" t="s">
        <v>855</v>
      </c>
      <c r="E238" s="150" t="s">
        <v>487</v>
      </c>
      <c r="F238" s="150" t="s">
        <v>488</v>
      </c>
      <c r="G238" s="64" t="s">
        <v>147</v>
      </c>
      <c r="H238" s="16" t="s">
        <v>111</v>
      </c>
      <c r="I238" s="14" t="s">
        <v>56</v>
      </c>
      <c r="J238" s="14" t="s">
        <v>1</v>
      </c>
      <c r="K238" s="14" t="s">
        <v>312</v>
      </c>
      <c r="L238" s="42"/>
      <c r="M238" s="196" t="s">
        <v>34</v>
      </c>
      <c r="N238" s="18" t="s">
        <v>35</v>
      </c>
      <c r="O238" s="230">
        <v>46195</v>
      </c>
      <c r="P238" s="57">
        <v>46195</v>
      </c>
      <c r="Q238" s="19">
        <v>46209</v>
      </c>
      <c r="R238" s="19">
        <v>46209</v>
      </c>
      <c r="S238" s="19">
        <v>46209</v>
      </c>
      <c r="T238" s="19">
        <v>46223</v>
      </c>
      <c r="U238" s="19">
        <v>46244</v>
      </c>
      <c r="V238" s="19">
        <v>46259</v>
      </c>
      <c r="W238" s="19">
        <v>46272</v>
      </c>
      <c r="X238" s="19">
        <v>46274</v>
      </c>
      <c r="Y238" s="19">
        <v>46281</v>
      </c>
      <c r="Z238" s="19">
        <v>46310</v>
      </c>
      <c r="AA238" s="19">
        <v>46325</v>
      </c>
      <c r="AB238" s="19">
        <v>46355</v>
      </c>
      <c r="AC238" s="19">
        <v>46355</v>
      </c>
      <c r="AD238" s="19">
        <v>46357</v>
      </c>
      <c r="AE238" s="19">
        <v>46432</v>
      </c>
      <c r="AF238" s="19">
        <v>46452</v>
      </c>
      <c r="AG238" s="19">
        <v>46482</v>
      </c>
      <c r="AH238" s="19">
        <v>46485</v>
      </c>
      <c r="AI238" s="19">
        <v>46512</v>
      </c>
      <c r="AJ238" s="58">
        <v>30</v>
      </c>
      <c r="AK238" s="59">
        <v>210</v>
      </c>
      <c r="AL238" s="78">
        <v>46482</v>
      </c>
      <c r="AM238" s="78">
        <v>46507</v>
      </c>
      <c r="AN238" s="20">
        <f>AM238-AL239</f>
        <v>25</v>
      </c>
      <c r="AO238" s="143"/>
      <c r="AP238" s="437"/>
      <c r="AQ238" s="21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425"/>
      <c r="BC238" s="411"/>
      <c r="BD238" s="411"/>
    </row>
    <row r="239" spans="1:56" s="3" customFormat="1" ht="24" thickTop="1" thickBot="1" x14ac:dyDescent="0.45">
      <c r="A239" s="441"/>
      <c r="B239" s="93" t="s">
        <v>290</v>
      </c>
      <c r="C239" s="41" t="s">
        <v>156</v>
      </c>
      <c r="D239" s="209" t="s">
        <v>289</v>
      </c>
      <c r="E239" s="181"/>
      <c r="F239" s="181"/>
      <c r="G239" s="43" t="s">
        <v>147</v>
      </c>
      <c r="H239" s="46" t="s">
        <v>111</v>
      </c>
      <c r="I239" s="23" t="s">
        <v>56</v>
      </c>
      <c r="J239" s="41" t="s">
        <v>1</v>
      </c>
      <c r="K239" s="41" t="s">
        <v>312</v>
      </c>
      <c r="L239" s="43"/>
      <c r="M239" s="197" t="s">
        <v>34</v>
      </c>
      <c r="N239" s="26" t="s">
        <v>36</v>
      </c>
      <c r="O239" s="27">
        <v>46209</v>
      </c>
      <c r="P239" s="28"/>
      <c r="Q239" s="28"/>
      <c r="R239" s="28">
        <v>46210</v>
      </c>
      <c r="S239" s="28">
        <f>R239</f>
        <v>46210</v>
      </c>
      <c r="T239" s="28">
        <f>WORKDAY(S239, T8, IF(T12="China",'China Holidays'!$A$2:$A$84,'Thai Holidays'!$A$2:$A$65))</f>
        <v>46224</v>
      </c>
      <c r="U239" s="28">
        <f>U238</f>
        <v>46244</v>
      </c>
      <c r="V239" s="28">
        <f>WORKDAY(U239, V8, IF(V12="China",'China Holidays'!$A$2:$A$84,'Thai Holidays'!$A$2:$A$65))</f>
        <v>46259</v>
      </c>
      <c r="W239" s="28">
        <f>WORKDAY(V239, W8, IF(W12="China",'China Holidays'!$A$2:$A$84,'Thai Holidays'!$A$2:$A$65))</f>
        <v>46272</v>
      </c>
      <c r="X239" s="28">
        <f>WORKDAY(W239, X8, IF(X12="China",'China Holidays'!$A$2:$A$84,'Thai Holidays'!$A$2:$A$65))</f>
        <v>46274</v>
      </c>
      <c r="Y239" s="28">
        <f>WORKDAY(X239, Y8, IF(Y12="China",'China Holidays'!$A$2:$A$84,'Thai Holidays'!$A$2:$A$65))</f>
        <v>46281</v>
      </c>
      <c r="Z239" s="28">
        <f>WORKDAY(Y239, Z8, IF(Z12="China",'China Holidays'!$A$2:$A$84,'Thai Holidays'!$A$2:$A$65))</f>
        <v>46310</v>
      </c>
      <c r="AA239" s="28">
        <f>WORKDAY(Z239, AA8, IF(AA12="China",'China Holidays'!$A$2:$A$84,'Thai Holidays'!$A$2:$A$65))</f>
        <v>46325</v>
      </c>
      <c r="AB239" s="28">
        <f>AA239+30</f>
        <v>46355</v>
      </c>
      <c r="AC239" s="28">
        <f>AB239</f>
        <v>46355</v>
      </c>
      <c r="AD239" s="28">
        <f>AC239+2</f>
        <v>46357</v>
      </c>
      <c r="AE239" s="28">
        <f>AF239-20</f>
        <v>46432</v>
      </c>
      <c r="AF239" s="28">
        <f>AG239-30</f>
        <v>46452</v>
      </c>
      <c r="AG239" s="28">
        <f>AL239</f>
        <v>46482</v>
      </c>
      <c r="AH239" s="28">
        <f>AL238+3</f>
        <v>46485</v>
      </c>
      <c r="AI239" s="28">
        <f>AL238+30</f>
        <v>46512</v>
      </c>
      <c r="AJ239" s="81"/>
      <c r="AK239" s="79"/>
      <c r="AL239" s="83">
        <f>W239+AK238</f>
        <v>46482</v>
      </c>
      <c r="AM239" s="83"/>
      <c r="AN239" s="29"/>
      <c r="AO239" s="141"/>
      <c r="AP239" s="438"/>
      <c r="AQ239" s="21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425"/>
      <c r="BC239" s="411"/>
      <c r="BD239" s="411"/>
    </row>
    <row r="240" spans="1:56" s="3" customFormat="1" ht="24" thickTop="1" thickBot="1" x14ac:dyDescent="0.45">
      <c r="A240" s="442"/>
      <c r="B240" s="94" t="s">
        <v>290</v>
      </c>
      <c r="C240" s="32" t="s">
        <v>156</v>
      </c>
      <c r="D240" s="33" t="s">
        <v>289</v>
      </c>
      <c r="E240" s="151"/>
      <c r="F240" s="151"/>
      <c r="G240" s="44" t="s">
        <v>147</v>
      </c>
      <c r="H240" s="34" t="s">
        <v>111</v>
      </c>
      <c r="I240" s="32" t="s">
        <v>56</v>
      </c>
      <c r="J240" s="32" t="s">
        <v>1</v>
      </c>
      <c r="K240" s="32" t="s">
        <v>312</v>
      </c>
      <c r="L240" s="44"/>
      <c r="M240" s="198" t="s">
        <v>34</v>
      </c>
      <c r="N240" s="35" t="s">
        <v>37</v>
      </c>
      <c r="O240" s="36"/>
      <c r="P240" s="37">
        <v>46150</v>
      </c>
      <c r="Q240" s="36">
        <v>46173</v>
      </c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82"/>
      <c r="AK240" s="80"/>
      <c r="AL240" s="37"/>
      <c r="AM240" s="37"/>
      <c r="AN240" s="38"/>
      <c r="AO240" s="142"/>
      <c r="AP240" s="439"/>
      <c r="AQ240" s="39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25"/>
      <c r="BC240" s="411"/>
      <c r="BD240" s="411"/>
    </row>
    <row r="241" spans="1:56" s="3" customFormat="1" ht="15.4" thickTop="1" thickBot="1" x14ac:dyDescent="0.45">
      <c r="A241" s="440">
        <f>A238+1</f>
        <v>72</v>
      </c>
      <c r="B241" s="92" t="s">
        <v>291</v>
      </c>
      <c r="C241" s="14" t="s">
        <v>158</v>
      </c>
      <c r="D241" s="15" t="s">
        <v>150</v>
      </c>
      <c r="E241" s="297"/>
      <c r="F241" s="297"/>
      <c r="G241" s="298" t="s">
        <v>151</v>
      </c>
      <c r="H241" s="299" t="s">
        <v>111</v>
      </c>
      <c r="I241" s="291" t="s">
        <v>56</v>
      </c>
      <c r="J241" s="291" t="s">
        <v>3</v>
      </c>
      <c r="K241" s="14" t="s">
        <v>314</v>
      </c>
      <c r="L241" s="150"/>
      <c r="M241" s="196" t="s">
        <v>74</v>
      </c>
      <c r="N241" s="18" t="s">
        <v>35</v>
      </c>
      <c r="O241" s="19">
        <v>46262</v>
      </c>
      <c r="P241" s="19">
        <v>46251</v>
      </c>
      <c r="Q241" s="19">
        <v>46265</v>
      </c>
      <c r="R241" s="19">
        <v>46265</v>
      </c>
      <c r="S241" s="19">
        <v>46265</v>
      </c>
      <c r="T241" s="19">
        <v>46272</v>
      </c>
      <c r="U241" s="19">
        <v>46281</v>
      </c>
      <c r="V241" s="19">
        <v>46295</v>
      </c>
      <c r="W241" s="19">
        <v>46309</v>
      </c>
      <c r="X241" s="19">
        <v>46311</v>
      </c>
      <c r="Y241" s="19">
        <v>46318</v>
      </c>
      <c r="Z241" s="19">
        <v>46332</v>
      </c>
      <c r="AA241" s="19">
        <v>46346</v>
      </c>
      <c r="AB241" s="19">
        <v>46356</v>
      </c>
      <c r="AC241" s="19">
        <v>46356</v>
      </c>
      <c r="AD241" s="19">
        <v>46358</v>
      </c>
      <c r="AE241" s="19">
        <v>46391</v>
      </c>
      <c r="AF241" s="19">
        <v>46398</v>
      </c>
      <c r="AG241" s="19">
        <v>46403</v>
      </c>
      <c r="AH241" s="19">
        <v>46406</v>
      </c>
      <c r="AI241" s="19">
        <v>46433</v>
      </c>
      <c r="AJ241" s="58">
        <v>13.428571428571429</v>
      </c>
      <c r="AK241" s="59">
        <v>94</v>
      </c>
      <c r="AL241" s="78">
        <v>46403</v>
      </c>
      <c r="AM241" s="78">
        <v>46486</v>
      </c>
      <c r="AN241" s="20">
        <f>AM241-AL242</f>
        <v>83</v>
      </c>
      <c r="AO241" s="143"/>
      <c r="AP241" s="437"/>
      <c r="AQ241" s="21">
        <f>IF(ISERROR(LOOKUP(AQ$10,$O241:$AP241,#REF!)),0,(LOOKUP(AQ$10,$O241:$AP241,#REF!)))</f>
        <v>0</v>
      </c>
      <c r="AR241" s="22">
        <f>IF(ISERROR(LOOKUP(AR$10,$O241:$AP241,#REF!)),0,(LOOKUP(AR$10,$O241:$AP241,#REF!)))</f>
        <v>0</v>
      </c>
      <c r="AS241" s="22">
        <f>IF(ISERROR(LOOKUP(AS$10,$O241:$AP241,#REF!)),0,(LOOKUP(AS$10,$O241:$AP241,#REF!)))</f>
        <v>0</v>
      </c>
      <c r="AT241" s="22">
        <f>IF(ISERROR(LOOKUP(AT$10,$O241:$AP241,#REF!)),0,(LOOKUP(AT$10,$O241:$AP241,#REF!)))</f>
        <v>0</v>
      </c>
      <c r="AU241" s="22">
        <f>IF(ISERROR(LOOKUP(AU$10,$O241:$AP241,#REF!)),0,(LOOKUP(AU$10,$O241:$AP241,#REF!)))</f>
        <v>0</v>
      </c>
      <c r="AV241" s="22">
        <f>IF(ISERROR(LOOKUP(AV$10,$O241:$AP241,#REF!)),0,(LOOKUP(AV$10,$O241:$AP241,#REF!)))</f>
        <v>0</v>
      </c>
      <c r="AW241" s="22">
        <f>IF(ISERROR(LOOKUP(AW$10,$O241:$AP241,#REF!)),0,(LOOKUP(AW$10,$O241:$AP241,#REF!)))</f>
        <v>0</v>
      </c>
      <c r="AX241" s="22">
        <f>IF(ISERROR(LOOKUP(AX$10,$O241:$AP241,#REF!)),0,(LOOKUP(AX$10,$O241:$AP241,#REF!)))</f>
        <v>0</v>
      </c>
      <c r="AY241" s="22">
        <f>IF(ISERROR(LOOKUP(AY$10,$O241:$AP241,#REF!)),0,(LOOKUP(AY$10,$O241:$AP241,#REF!)))</f>
        <v>0</v>
      </c>
      <c r="AZ241" s="22">
        <f>IF(ISERROR(LOOKUP(AZ$10,$O241:$AP241,#REF!)),0,(LOOKUP(AZ$10,$O241:$AP241,#REF!)))</f>
        <v>0</v>
      </c>
      <c r="BA241" s="22">
        <f ca="1">IF(ISERROR(LOOKUP(BA$10,$O241:$AP241,#REF!)),0,(LOOKUP(BA$10,$O241:$AP241,#REF!)))</f>
        <v>0</v>
      </c>
      <c r="BB241" s="425"/>
      <c r="BC241" s="411"/>
      <c r="BD241" s="411"/>
    </row>
    <row r="242" spans="1:56" s="3" customFormat="1" ht="15.4" thickTop="1" thickBot="1" x14ac:dyDescent="0.45">
      <c r="A242" s="441"/>
      <c r="B242" s="93" t="s">
        <v>291</v>
      </c>
      <c r="C242" s="41" t="s">
        <v>158</v>
      </c>
      <c r="D242" s="24" t="s">
        <v>150</v>
      </c>
      <c r="E242" s="300"/>
      <c r="F242" s="300"/>
      <c r="G242" s="301" t="s">
        <v>151</v>
      </c>
      <c r="H242" s="302" t="s">
        <v>111</v>
      </c>
      <c r="I242" s="303" t="s">
        <v>56</v>
      </c>
      <c r="J242" s="292" t="s">
        <v>3</v>
      </c>
      <c r="K242" s="41" t="s">
        <v>314</v>
      </c>
      <c r="L242" s="43"/>
      <c r="M242" s="197" t="s">
        <v>74</v>
      </c>
      <c r="N242" s="26" t="s">
        <v>36</v>
      </c>
      <c r="O242" s="27">
        <f>O241</f>
        <v>46262</v>
      </c>
      <c r="P242" s="28">
        <f>P241</f>
        <v>46251</v>
      </c>
      <c r="Q242" s="28">
        <f>WORKDAY(P242, Q9, IF(Q12="China",'China Holidays'!$A$2:$A$84,'Thai Holidays'!$A$2:$A$65))</f>
        <v>46265</v>
      </c>
      <c r="R242" s="28">
        <f>WORKDAY(Q242, R9, IF(R12="China",'China Holidays'!$A$2:$A$84,'Thai Holidays'!$A$2:$A$65))</f>
        <v>46265</v>
      </c>
      <c r="S242" s="28">
        <f>WORKDAY(R242, S9, IF(S12="China",'China Holidays'!$A$2:$A$84,'Thai Holidays'!$A$2:$A$65))</f>
        <v>46265</v>
      </c>
      <c r="T242" s="28">
        <f>WORKDAY(S242, T9, IF(T12="China",'China Holidays'!$A$2:$A$84,'Thai Holidays'!$A$2:$A$65))</f>
        <v>46272</v>
      </c>
      <c r="U242" s="28">
        <f>WORKDAY(T242, U9, IF(U12="China",'China Holidays'!$A$2:$A$84,'Thai Holidays'!$A$2:$A$65))</f>
        <v>46281</v>
      </c>
      <c r="V242" s="28">
        <f>WORKDAY(U242, V9, IF(V12="China",'China Holidays'!$A$2:$A$84,'Thai Holidays'!$A$2:$A$65))</f>
        <v>46295</v>
      </c>
      <c r="W242" s="28">
        <f>WORKDAY(V242, W9, IF(W12="China",'China Holidays'!$A$2:$A$84,'Thai Holidays'!$A$2:$A$65))</f>
        <v>46309</v>
      </c>
      <c r="X242" s="28">
        <f>WORKDAY(W242, X9, IF(X12="China",'China Holidays'!$A$2:$A$84,'Thai Holidays'!$A$2:$A$65))</f>
        <v>46311</v>
      </c>
      <c r="Y242" s="28">
        <f>WORKDAY(X242, Y9, IF(Y12="China",'China Holidays'!$A$2:$A$84,'Thai Holidays'!$A$2:$A$65))</f>
        <v>46318</v>
      </c>
      <c r="Z242" s="28">
        <f>WORKDAY(Y242, Z9, IF(Z12="China",'China Holidays'!$A$2:$A$84,'Thai Holidays'!$A$2:$A$65))</f>
        <v>46332</v>
      </c>
      <c r="AA242" s="28">
        <f>WORKDAY(Z242, AA9, IF(AA12="China",'China Holidays'!$A$2:$A$84,'Thai Holidays'!$A$2:$A$65))</f>
        <v>46346</v>
      </c>
      <c r="AB242" s="28">
        <f>AA242+10</f>
        <v>46356</v>
      </c>
      <c r="AC242" s="28">
        <f>AB242</f>
        <v>46356</v>
      </c>
      <c r="AD242" s="28">
        <f>AC242+2</f>
        <v>46358</v>
      </c>
      <c r="AE242" s="28">
        <f>AF242-7</f>
        <v>46391</v>
      </c>
      <c r="AF242" s="28">
        <f>AG242-5</f>
        <v>46398</v>
      </c>
      <c r="AG242" s="28">
        <f>AL241</f>
        <v>46403</v>
      </c>
      <c r="AH242" s="28">
        <f>AL241+3</f>
        <v>46406</v>
      </c>
      <c r="AI242" s="28">
        <f>AL241+30</f>
        <v>46433</v>
      </c>
      <c r="AJ242" s="81"/>
      <c r="AK242" s="79"/>
      <c r="AL242" s="83">
        <f>W242+AK241</f>
        <v>46403</v>
      </c>
      <c r="AM242" s="83"/>
      <c r="AN242" s="29"/>
      <c r="AO242" s="141"/>
      <c r="AP242" s="438"/>
      <c r="AQ242" s="21">
        <f>IF(ISERROR(LOOKUP(AQ$10,$O242:$AP242,#REF!)),0,(LOOKUP(AQ$10,$O242:$AP242,#REF!)))</f>
        <v>0</v>
      </c>
      <c r="AR242" s="22">
        <f>IF(ISERROR(LOOKUP(AR$10,$O242:$AP242,#REF!)),0,(LOOKUP(AR$10,$O242:$AP242,#REF!)))</f>
        <v>0</v>
      </c>
      <c r="AS242" s="22">
        <f>IF(ISERROR(LOOKUP(AS$10,$O242:$AP242,#REF!)),0,(LOOKUP(AS$10,$O242:$AP242,#REF!)))</f>
        <v>0</v>
      </c>
      <c r="AT242" s="22">
        <f>IF(ISERROR(LOOKUP(AT$10,$O242:$AP242,#REF!)),0,(LOOKUP(AT$10,$O242:$AP242,#REF!)))</f>
        <v>0</v>
      </c>
      <c r="AU242" s="22">
        <f>IF(ISERROR(LOOKUP(AU$10,$O242:$AP242,#REF!)),0,(LOOKUP(AU$10,$O242:$AP242,#REF!)))</f>
        <v>0</v>
      </c>
      <c r="AV242" s="22">
        <f>IF(ISERROR(LOOKUP(AV$10,$O242:$AP242,#REF!)),0,(LOOKUP(AV$10,$O242:$AP242,#REF!)))</f>
        <v>0</v>
      </c>
      <c r="AW242" s="22">
        <f>IF(ISERROR(LOOKUP(AW$10,$O242:$AP242,#REF!)),0,(LOOKUP(AW$10,$O242:$AP242,#REF!)))</f>
        <v>0</v>
      </c>
      <c r="AX242" s="22">
        <f>IF(ISERROR(LOOKUP(AX$10,$O242:$AP242,#REF!)),0,(LOOKUP(AX$10,$O242:$AP242,#REF!)))</f>
        <v>0</v>
      </c>
      <c r="AY242" s="22">
        <f>IF(ISERROR(LOOKUP(AY$10,$O242:$AP242,#REF!)),0,(LOOKUP(AY$10,$O242:$AP242,#REF!)))</f>
        <v>0</v>
      </c>
      <c r="AZ242" s="22">
        <f>IF(ISERROR(LOOKUP(AZ$10,$O242:$AP242,#REF!)),0,(LOOKUP(AZ$10,$O242:$AP242,#REF!)))</f>
        <v>0</v>
      </c>
      <c r="BA242" s="22">
        <f ca="1">IF(ISERROR(LOOKUP(BA$10,$O242:$AP242,#REF!)),0,(LOOKUP(BA$10,$O242:$AP242,#REF!)))</f>
        <v>0</v>
      </c>
      <c r="BB242" s="425"/>
      <c r="BC242" s="411"/>
      <c r="BD242" s="411"/>
    </row>
    <row r="243" spans="1:56" s="3" customFormat="1" ht="15.4" thickTop="1" thickBot="1" x14ac:dyDescent="0.45">
      <c r="A243" s="442"/>
      <c r="B243" s="94" t="s">
        <v>291</v>
      </c>
      <c r="C243" s="32" t="s">
        <v>158</v>
      </c>
      <c r="D243" s="45" t="s">
        <v>150</v>
      </c>
      <c r="E243" s="305"/>
      <c r="F243" s="305"/>
      <c r="G243" s="304" t="s">
        <v>151</v>
      </c>
      <c r="H243" s="306" t="s">
        <v>111</v>
      </c>
      <c r="I243" s="293" t="s">
        <v>56</v>
      </c>
      <c r="J243" s="293" t="s">
        <v>3</v>
      </c>
      <c r="K243" s="32" t="s">
        <v>314</v>
      </c>
      <c r="L243" s="45"/>
      <c r="M243" s="198" t="s">
        <v>74</v>
      </c>
      <c r="N243" s="35" t="s">
        <v>37</v>
      </c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82"/>
      <c r="AK243" s="80"/>
      <c r="AL243" s="37"/>
      <c r="AM243" s="37"/>
      <c r="AN243" s="38"/>
      <c r="AO243" s="142"/>
      <c r="AP243" s="439"/>
      <c r="AQ243" s="39">
        <f>IF(ISERROR(LOOKUP(AQ$10,$O243:$AP243,#REF!)),0,(LOOKUP(AQ$10,$O243:$AP243,#REF!)))</f>
        <v>0</v>
      </c>
      <c r="AR243" s="40">
        <f>IF(ISERROR(LOOKUP(AR$10,$O243:$AP243,#REF!)),0,(LOOKUP(AR$10,$O243:$AP243,#REF!)))</f>
        <v>0</v>
      </c>
      <c r="AS243" s="40">
        <f>IF(ISERROR(LOOKUP(AS$10,$O243:$AP243,#REF!)),0,(LOOKUP(AS$10,$O243:$AP243,#REF!)))</f>
        <v>0</v>
      </c>
      <c r="AT243" s="40">
        <f>IF(ISERROR(LOOKUP(AT$10,$O243:$AP243,#REF!)),0,(LOOKUP(AT$10,$O243:$AP243,#REF!)))</f>
        <v>0</v>
      </c>
      <c r="AU243" s="40">
        <f>IF(ISERROR(LOOKUP(AU$10,$O243:$AP243,#REF!)),0,(LOOKUP(AU$10,$O243:$AP243,#REF!)))</f>
        <v>0</v>
      </c>
      <c r="AV243" s="40">
        <f>IF(ISERROR(LOOKUP(AV$10,$O243:$AP243,#REF!)),0,(LOOKUP(AV$10,$O243:$AP243,#REF!)))</f>
        <v>0</v>
      </c>
      <c r="AW243" s="40">
        <f>IF(ISERROR(LOOKUP(AW$10,$O243:$AP243,#REF!)),0,(LOOKUP(AW$10,$O243:$AP243,#REF!)))</f>
        <v>0</v>
      </c>
      <c r="AX243" s="40">
        <f>IF(ISERROR(LOOKUP(AX$10,$O243:$AP243,#REF!)),0,(LOOKUP(AX$10,$O243:$AP243,#REF!)))</f>
        <v>0</v>
      </c>
      <c r="AY243" s="40">
        <f>IF(ISERROR(LOOKUP(AY$10,$O243:$AP243,#REF!)),0,(LOOKUP(AY$10,$O243:$AP243,#REF!)))</f>
        <v>0</v>
      </c>
      <c r="AZ243" s="40">
        <f>IF(ISERROR(LOOKUP(AZ$10,$O243:$AP243,#REF!)),0,(LOOKUP(AZ$10,$O243:$AP243,#REF!)))</f>
        <v>0</v>
      </c>
      <c r="BA243" s="40">
        <f ca="1">IF(ISERROR(LOOKUP(BA$10,$O243:$AP243,#REF!)),0,(LOOKUP(BA$10,$O243:$AP243,#REF!)))</f>
        <v>0</v>
      </c>
      <c r="BB243" s="425"/>
      <c r="BC243" s="411"/>
      <c r="BD243" s="411"/>
    </row>
    <row r="244" spans="1:56" s="3" customFormat="1" ht="15.4" thickTop="1" thickBot="1" x14ac:dyDescent="0.45">
      <c r="A244" s="440">
        <f t="shared" ref="A244" si="63">A241+1</f>
        <v>73</v>
      </c>
      <c r="B244" s="92" t="s">
        <v>291</v>
      </c>
      <c r="C244" s="14" t="s">
        <v>159</v>
      </c>
      <c r="D244" s="42" t="s">
        <v>153</v>
      </c>
      <c r="E244" s="297"/>
      <c r="F244" s="297"/>
      <c r="G244" s="298" t="s">
        <v>151</v>
      </c>
      <c r="H244" s="299" t="s">
        <v>111</v>
      </c>
      <c r="I244" s="291" t="s">
        <v>56</v>
      </c>
      <c r="J244" s="291" t="s">
        <v>3</v>
      </c>
      <c r="K244" s="14" t="s">
        <v>314</v>
      </c>
      <c r="L244" s="150" t="s">
        <v>837</v>
      </c>
      <c r="M244" s="196" t="s">
        <v>74</v>
      </c>
      <c r="N244" s="18" t="s">
        <v>35</v>
      </c>
      <c r="O244" s="19">
        <v>46262</v>
      </c>
      <c r="P244" s="19">
        <v>46251</v>
      </c>
      <c r="Q244" s="19">
        <v>46265</v>
      </c>
      <c r="R244" s="19">
        <v>46265</v>
      </c>
      <c r="S244" s="19">
        <v>46265</v>
      </c>
      <c r="T244" s="19">
        <v>46272</v>
      </c>
      <c r="U244" s="19">
        <v>46281</v>
      </c>
      <c r="V244" s="19">
        <v>46295</v>
      </c>
      <c r="W244" s="19">
        <v>46309</v>
      </c>
      <c r="X244" s="19">
        <v>46311</v>
      </c>
      <c r="Y244" s="19">
        <v>46318</v>
      </c>
      <c r="Z244" s="19">
        <v>46332</v>
      </c>
      <c r="AA244" s="19">
        <v>46346</v>
      </c>
      <c r="AB244" s="19">
        <v>46356</v>
      </c>
      <c r="AC244" s="19">
        <v>46356</v>
      </c>
      <c r="AD244" s="19">
        <v>46358</v>
      </c>
      <c r="AE244" s="19">
        <v>46391</v>
      </c>
      <c r="AF244" s="19">
        <v>46398</v>
      </c>
      <c r="AG244" s="19">
        <v>46403</v>
      </c>
      <c r="AH244" s="19">
        <v>46406</v>
      </c>
      <c r="AI244" s="19">
        <v>46433</v>
      </c>
      <c r="AJ244" s="58">
        <v>13.428571428571429</v>
      </c>
      <c r="AK244" s="59">
        <v>94</v>
      </c>
      <c r="AL244" s="78">
        <v>46403</v>
      </c>
      <c r="AM244" s="78">
        <v>46486</v>
      </c>
      <c r="AN244" s="20">
        <f>AM244-AL245</f>
        <v>83</v>
      </c>
      <c r="AO244" s="143"/>
      <c r="AP244" s="437"/>
      <c r="AQ244" s="21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425"/>
      <c r="BC244" s="411"/>
      <c r="BD244" s="411"/>
    </row>
    <row r="245" spans="1:56" s="3" customFormat="1" ht="15.4" thickTop="1" thickBot="1" x14ac:dyDescent="0.45">
      <c r="A245" s="441"/>
      <c r="B245" s="93" t="s">
        <v>291</v>
      </c>
      <c r="C245" s="41" t="s">
        <v>159</v>
      </c>
      <c r="D245" s="43" t="s">
        <v>153</v>
      </c>
      <c r="E245" s="300"/>
      <c r="F245" s="300"/>
      <c r="G245" s="301" t="s">
        <v>151</v>
      </c>
      <c r="H245" s="302" t="s">
        <v>111</v>
      </c>
      <c r="I245" s="303" t="s">
        <v>56</v>
      </c>
      <c r="J245" s="292" t="s">
        <v>3</v>
      </c>
      <c r="K245" s="41" t="s">
        <v>314</v>
      </c>
      <c r="L245" s="43"/>
      <c r="M245" s="197" t="s">
        <v>74</v>
      </c>
      <c r="N245" s="26" t="s">
        <v>36</v>
      </c>
      <c r="O245" s="27">
        <f>O244</f>
        <v>46262</v>
      </c>
      <c r="P245" s="28">
        <f>P244</f>
        <v>46251</v>
      </c>
      <c r="Q245" s="28">
        <f>WORKDAY(P245, Q9, IF(Q12="China",'China Holidays'!$A$2:$A$84,'Thai Holidays'!$A$2:$A$65))</f>
        <v>46265</v>
      </c>
      <c r="R245" s="28">
        <f>WORKDAY(Q245, R9, IF(R12="China",'China Holidays'!$A$2:$A$84,'Thai Holidays'!$A$2:$A$65))</f>
        <v>46265</v>
      </c>
      <c r="S245" s="28">
        <f>WORKDAY(R245, S9, IF(S12="China",'China Holidays'!$A$2:$A$84,'Thai Holidays'!$A$2:$A$65))</f>
        <v>46265</v>
      </c>
      <c r="T245" s="28">
        <f>WORKDAY(S245, T9, IF(T12="China",'China Holidays'!$A$2:$A$84,'Thai Holidays'!$A$2:$A$65))</f>
        <v>46272</v>
      </c>
      <c r="U245" s="28">
        <f>WORKDAY(T245, U9, IF(U12="China",'China Holidays'!$A$2:$A$84,'Thai Holidays'!$A$2:$A$65))</f>
        <v>46281</v>
      </c>
      <c r="V245" s="28">
        <f>WORKDAY(U245, V9, IF(V12="China",'China Holidays'!$A$2:$A$84,'Thai Holidays'!$A$2:$A$65))</f>
        <v>46295</v>
      </c>
      <c r="W245" s="28">
        <f>WORKDAY(V245, W9, IF(W12="China",'China Holidays'!$A$2:$A$84,'Thai Holidays'!$A$2:$A$65))</f>
        <v>46309</v>
      </c>
      <c r="X245" s="28">
        <f>WORKDAY(W245, X9, IF(X12="China",'China Holidays'!$A$2:$A$84,'Thai Holidays'!$A$2:$A$65))</f>
        <v>46311</v>
      </c>
      <c r="Y245" s="28">
        <f>WORKDAY(X245, Y9, IF(Y12="China",'China Holidays'!$A$2:$A$84,'Thai Holidays'!$A$2:$A$65))</f>
        <v>46318</v>
      </c>
      <c r="Z245" s="28">
        <f>WORKDAY(Y245, Z9, IF(Z12="China",'China Holidays'!$A$2:$A$84,'Thai Holidays'!$A$2:$A$65))</f>
        <v>46332</v>
      </c>
      <c r="AA245" s="28">
        <f>WORKDAY(Z245, AA9, IF(AA12="China",'China Holidays'!$A$2:$A$84,'Thai Holidays'!$A$2:$A$65))</f>
        <v>46346</v>
      </c>
      <c r="AB245" s="28">
        <f>AA245+10</f>
        <v>46356</v>
      </c>
      <c r="AC245" s="28">
        <f>AB245</f>
        <v>46356</v>
      </c>
      <c r="AD245" s="28">
        <f>AC245+2</f>
        <v>46358</v>
      </c>
      <c r="AE245" s="28">
        <f>AF245-7</f>
        <v>46391</v>
      </c>
      <c r="AF245" s="28">
        <f>AG245-5</f>
        <v>46398</v>
      </c>
      <c r="AG245" s="28">
        <f>AL244</f>
        <v>46403</v>
      </c>
      <c r="AH245" s="28">
        <f>AL244+3</f>
        <v>46406</v>
      </c>
      <c r="AI245" s="28">
        <f>AL244+30</f>
        <v>46433</v>
      </c>
      <c r="AJ245" s="81"/>
      <c r="AK245" s="79"/>
      <c r="AL245" s="83">
        <f>W245+AK244</f>
        <v>46403</v>
      </c>
      <c r="AM245" s="83"/>
      <c r="AN245" s="29"/>
      <c r="AO245" s="141"/>
      <c r="AP245" s="438"/>
      <c r="AQ245" s="21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425"/>
      <c r="BC245" s="411"/>
      <c r="BD245" s="411"/>
    </row>
    <row r="246" spans="1:56" s="3" customFormat="1" ht="15.4" thickTop="1" thickBot="1" x14ac:dyDescent="0.45">
      <c r="A246" s="442"/>
      <c r="B246" s="94" t="s">
        <v>291</v>
      </c>
      <c r="C246" s="32" t="s">
        <v>159</v>
      </c>
      <c r="D246" s="44" t="s">
        <v>153</v>
      </c>
      <c r="E246" s="307"/>
      <c r="F246" s="307"/>
      <c r="G246" s="304" t="s">
        <v>151</v>
      </c>
      <c r="H246" s="306" t="s">
        <v>111</v>
      </c>
      <c r="I246" s="293" t="s">
        <v>56</v>
      </c>
      <c r="J246" s="293" t="s">
        <v>3</v>
      </c>
      <c r="K246" s="32" t="s">
        <v>314</v>
      </c>
      <c r="L246" s="44"/>
      <c r="M246" s="198" t="s">
        <v>74</v>
      </c>
      <c r="N246" s="35" t="s">
        <v>37</v>
      </c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82"/>
      <c r="AK246" s="80"/>
      <c r="AL246" s="37"/>
      <c r="AM246" s="37"/>
      <c r="AN246" s="38"/>
      <c r="AO246" s="142"/>
      <c r="AP246" s="439"/>
      <c r="AQ246" s="39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25"/>
      <c r="BC246" s="411"/>
      <c r="BD246" s="411"/>
    </row>
    <row r="247" spans="1:56" s="3" customFormat="1" ht="15.4" thickTop="1" thickBot="1" x14ac:dyDescent="0.45">
      <c r="A247" s="440">
        <f t="shared" ref="A247" si="64">A244+1</f>
        <v>74</v>
      </c>
      <c r="B247" s="92" t="s">
        <v>291</v>
      </c>
      <c r="C247" s="14" t="s">
        <v>296</v>
      </c>
      <c r="D247" s="42" t="s">
        <v>157</v>
      </c>
      <c r="E247" s="150"/>
      <c r="F247" s="150"/>
      <c r="G247" s="64" t="s">
        <v>151</v>
      </c>
      <c r="H247" s="16" t="s">
        <v>111</v>
      </c>
      <c r="I247" s="14" t="s">
        <v>56</v>
      </c>
      <c r="J247" s="14" t="s">
        <v>3</v>
      </c>
      <c r="K247" s="14" t="s">
        <v>314</v>
      </c>
      <c r="L247" s="150" t="s">
        <v>850</v>
      </c>
      <c r="M247" s="196" t="s">
        <v>74</v>
      </c>
      <c r="N247" s="18" t="s">
        <v>35</v>
      </c>
      <c r="O247" s="19">
        <v>46262</v>
      </c>
      <c r="P247" s="19">
        <v>46251</v>
      </c>
      <c r="Q247" s="19">
        <v>46265</v>
      </c>
      <c r="R247" s="19">
        <v>46265</v>
      </c>
      <c r="S247" s="19">
        <v>46265</v>
      </c>
      <c r="T247" s="19">
        <v>46272</v>
      </c>
      <c r="U247" s="19">
        <v>46281</v>
      </c>
      <c r="V247" s="19">
        <v>46295</v>
      </c>
      <c r="W247" s="19">
        <v>46309</v>
      </c>
      <c r="X247" s="19">
        <v>46311</v>
      </c>
      <c r="Y247" s="19">
        <v>46318</v>
      </c>
      <c r="Z247" s="19">
        <v>46332</v>
      </c>
      <c r="AA247" s="19">
        <v>46346</v>
      </c>
      <c r="AB247" s="19">
        <v>46356</v>
      </c>
      <c r="AC247" s="19">
        <v>46356</v>
      </c>
      <c r="AD247" s="19">
        <v>46358</v>
      </c>
      <c r="AE247" s="19">
        <v>46391</v>
      </c>
      <c r="AF247" s="19">
        <v>46398</v>
      </c>
      <c r="AG247" s="19">
        <v>46403</v>
      </c>
      <c r="AH247" s="19">
        <v>46406</v>
      </c>
      <c r="AI247" s="19">
        <v>46433</v>
      </c>
      <c r="AJ247" s="58">
        <v>13.428571428571429</v>
      </c>
      <c r="AK247" s="59">
        <v>94</v>
      </c>
      <c r="AL247" s="78">
        <v>46403</v>
      </c>
      <c r="AM247" s="78">
        <v>46486</v>
      </c>
      <c r="AN247" s="20">
        <f>AM247-AL248</f>
        <v>83</v>
      </c>
      <c r="AO247" s="143"/>
      <c r="AP247" s="437"/>
      <c r="AQ247" s="21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425"/>
      <c r="BC247" s="411"/>
      <c r="BD247" s="411"/>
    </row>
    <row r="248" spans="1:56" s="3" customFormat="1" ht="15.4" thickTop="1" thickBot="1" x14ac:dyDescent="0.45">
      <c r="A248" s="441"/>
      <c r="B248" s="93" t="s">
        <v>291</v>
      </c>
      <c r="C248" s="41" t="s">
        <v>296</v>
      </c>
      <c r="D248" s="43" t="s">
        <v>157</v>
      </c>
      <c r="E248" s="157"/>
      <c r="F248" s="157"/>
      <c r="G248" s="43" t="s">
        <v>151</v>
      </c>
      <c r="H248" s="46" t="s">
        <v>111</v>
      </c>
      <c r="I248" s="23" t="s">
        <v>56</v>
      </c>
      <c r="J248" s="41" t="s">
        <v>3</v>
      </c>
      <c r="K248" s="41" t="s">
        <v>314</v>
      </c>
      <c r="L248" s="43"/>
      <c r="M248" s="197" t="s">
        <v>74</v>
      </c>
      <c r="N248" s="26" t="s">
        <v>36</v>
      </c>
      <c r="O248" s="27">
        <f>O247</f>
        <v>46262</v>
      </c>
      <c r="P248" s="28">
        <f>P247</f>
        <v>46251</v>
      </c>
      <c r="Q248" s="28">
        <f>WORKDAY(P248, Q9, IF(Q12="China",'China Holidays'!$A$2:$A$84,'Thai Holidays'!$A$2:$A$65))</f>
        <v>46265</v>
      </c>
      <c r="R248" s="28">
        <f>WORKDAY(Q248, R9, IF(R12="China",'China Holidays'!$A$2:$A$84,'Thai Holidays'!$A$2:$A$65))</f>
        <v>46265</v>
      </c>
      <c r="S248" s="28">
        <f>WORKDAY(R248, S9, IF(S12="China",'China Holidays'!$A$2:$A$84,'Thai Holidays'!$A$2:$A$65))</f>
        <v>46265</v>
      </c>
      <c r="T248" s="28">
        <f>WORKDAY(S248, T9, IF(T12="China",'China Holidays'!$A$2:$A$84,'Thai Holidays'!$A$2:$A$65))</f>
        <v>46272</v>
      </c>
      <c r="U248" s="28">
        <f>WORKDAY(T248, U9, IF(U12="China",'China Holidays'!$A$2:$A$84,'Thai Holidays'!$A$2:$A$65))</f>
        <v>46281</v>
      </c>
      <c r="V248" s="28">
        <f>WORKDAY(U248, V9, IF(V12="China",'China Holidays'!$A$2:$A$84,'Thai Holidays'!$A$2:$A$65))</f>
        <v>46295</v>
      </c>
      <c r="W248" s="28">
        <f>WORKDAY(V248, W9, IF(W12="China",'China Holidays'!$A$2:$A$84,'Thai Holidays'!$A$2:$A$65))</f>
        <v>46309</v>
      </c>
      <c r="X248" s="28">
        <f>WORKDAY(W248, X9, IF(X12="China",'China Holidays'!$A$2:$A$84,'Thai Holidays'!$A$2:$A$65))</f>
        <v>46311</v>
      </c>
      <c r="Y248" s="28">
        <f>WORKDAY(X248, Y9, IF(Y12="China",'China Holidays'!$A$2:$A$84,'Thai Holidays'!$A$2:$A$65))</f>
        <v>46318</v>
      </c>
      <c r="Z248" s="28">
        <f>WORKDAY(Y248, Z9, IF(Z12="China",'China Holidays'!$A$2:$A$84,'Thai Holidays'!$A$2:$A$65))</f>
        <v>46332</v>
      </c>
      <c r="AA248" s="28">
        <f>WORKDAY(Z248, AA9, IF(AA12="China",'China Holidays'!$A$2:$A$84,'Thai Holidays'!$A$2:$A$65))</f>
        <v>46346</v>
      </c>
      <c r="AB248" s="28">
        <f>AA248+10</f>
        <v>46356</v>
      </c>
      <c r="AC248" s="28">
        <f>AB248</f>
        <v>46356</v>
      </c>
      <c r="AD248" s="28">
        <f>AC248+2</f>
        <v>46358</v>
      </c>
      <c r="AE248" s="28">
        <f>AF248-7</f>
        <v>46391</v>
      </c>
      <c r="AF248" s="28">
        <f>AG248-5</f>
        <v>46398</v>
      </c>
      <c r="AG248" s="28">
        <f>AL247</f>
        <v>46403</v>
      </c>
      <c r="AH248" s="28">
        <f>AL247+3</f>
        <v>46406</v>
      </c>
      <c r="AI248" s="28">
        <f>AL247+30</f>
        <v>46433</v>
      </c>
      <c r="AJ248" s="81"/>
      <c r="AK248" s="79"/>
      <c r="AL248" s="83">
        <f>W248+AK247</f>
        <v>46403</v>
      </c>
      <c r="AM248" s="83"/>
      <c r="AN248" s="29"/>
      <c r="AO248" s="141"/>
      <c r="AP248" s="438"/>
      <c r="AQ248" s="21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425"/>
      <c r="BC248" s="411"/>
      <c r="BD248" s="411"/>
    </row>
    <row r="249" spans="1:56" s="3" customFormat="1" ht="15.4" thickTop="1" thickBot="1" x14ac:dyDescent="0.45">
      <c r="A249" s="442"/>
      <c r="B249" s="94" t="s">
        <v>291</v>
      </c>
      <c r="C249" s="32" t="s">
        <v>296</v>
      </c>
      <c r="D249" s="44" t="s">
        <v>157</v>
      </c>
      <c r="E249" s="151"/>
      <c r="F249" s="151"/>
      <c r="G249" s="45" t="s">
        <v>151</v>
      </c>
      <c r="H249" s="34" t="s">
        <v>111</v>
      </c>
      <c r="I249" s="32" t="s">
        <v>56</v>
      </c>
      <c r="J249" s="32" t="s">
        <v>3</v>
      </c>
      <c r="K249" s="32" t="s">
        <v>314</v>
      </c>
      <c r="L249" s="44"/>
      <c r="M249" s="198" t="s">
        <v>74</v>
      </c>
      <c r="N249" s="35" t="s">
        <v>37</v>
      </c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82"/>
      <c r="AK249" s="80"/>
      <c r="AL249" s="37"/>
      <c r="AM249" s="37"/>
      <c r="AN249" s="38"/>
      <c r="AO249" s="142"/>
      <c r="AP249" s="439"/>
      <c r="AQ249" s="39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25"/>
      <c r="BC249" s="411"/>
      <c r="BD249" s="411"/>
    </row>
    <row r="250" spans="1:56" s="3" customFormat="1" ht="35.65" thickTop="1" thickBot="1" x14ac:dyDescent="0.45">
      <c r="A250" s="440">
        <f t="shared" ref="A250" si="65">A247+1</f>
        <v>75</v>
      </c>
      <c r="B250" s="92" t="s">
        <v>291</v>
      </c>
      <c r="C250" s="14" t="s">
        <v>297</v>
      </c>
      <c r="D250" s="42" t="s">
        <v>838</v>
      </c>
      <c r="E250" s="150"/>
      <c r="F250" s="150"/>
      <c r="G250" s="64" t="s">
        <v>151</v>
      </c>
      <c r="H250" s="16" t="s">
        <v>111</v>
      </c>
      <c r="I250" s="14" t="s">
        <v>56</v>
      </c>
      <c r="J250" s="14" t="s">
        <v>1</v>
      </c>
      <c r="K250" s="14" t="s">
        <v>314</v>
      </c>
      <c r="L250" s="42"/>
      <c r="M250" s="196" t="s">
        <v>74</v>
      </c>
      <c r="N250" s="18" t="s">
        <v>35</v>
      </c>
      <c r="O250" s="19">
        <v>46272</v>
      </c>
      <c r="P250" s="19">
        <v>46270</v>
      </c>
      <c r="Q250" s="19">
        <v>46283</v>
      </c>
      <c r="R250" s="19">
        <v>46283</v>
      </c>
      <c r="S250" s="19">
        <v>46283</v>
      </c>
      <c r="T250" s="19">
        <v>46293</v>
      </c>
      <c r="U250" s="19">
        <v>46302</v>
      </c>
      <c r="V250" s="19">
        <v>46317</v>
      </c>
      <c r="W250" s="19">
        <v>46324</v>
      </c>
      <c r="X250" s="19">
        <v>46328</v>
      </c>
      <c r="Y250" s="19">
        <v>46335</v>
      </c>
      <c r="Z250" s="19">
        <v>46349</v>
      </c>
      <c r="AA250" s="19">
        <v>46364</v>
      </c>
      <c r="AB250" s="19">
        <v>46374</v>
      </c>
      <c r="AC250" s="19">
        <v>46374</v>
      </c>
      <c r="AD250" s="19">
        <v>46376</v>
      </c>
      <c r="AE250" s="19">
        <v>46452</v>
      </c>
      <c r="AF250" s="19">
        <v>46459</v>
      </c>
      <c r="AG250" s="19">
        <v>46464</v>
      </c>
      <c r="AH250" s="19">
        <v>46467</v>
      </c>
      <c r="AI250" s="19">
        <v>46494</v>
      </c>
      <c r="AJ250" s="58">
        <v>20</v>
      </c>
      <c r="AK250" s="59">
        <v>140</v>
      </c>
      <c r="AL250" s="78">
        <v>46464</v>
      </c>
      <c r="AM250" s="78">
        <v>46530</v>
      </c>
      <c r="AN250" s="20">
        <f>AM250-AL251</f>
        <v>66</v>
      </c>
      <c r="AO250" s="143"/>
      <c r="AP250" s="437"/>
      <c r="AQ250" s="21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425"/>
      <c r="BC250" s="411"/>
      <c r="BD250" s="411"/>
    </row>
    <row r="251" spans="1:56" s="3" customFormat="1" ht="35.65" thickTop="1" thickBot="1" x14ac:dyDescent="0.45">
      <c r="A251" s="441"/>
      <c r="B251" s="93" t="s">
        <v>291</v>
      </c>
      <c r="C251" s="41" t="s">
        <v>297</v>
      </c>
      <c r="D251" s="88" t="s">
        <v>838</v>
      </c>
      <c r="E251" s="157"/>
      <c r="F251" s="157"/>
      <c r="G251" s="43" t="s">
        <v>151</v>
      </c>
      <c r="H251" s="46" t="s">
        <v>111</v>
      </c>
      <c r="I251" s="23" t="s">
        <v>56</v>
      </c>
      <c r="J251" s="41" t="s">
        <v>1</v>
      </c>
      <c r="K251" s="41" t="s">
        <v>314</v>
      </c>
      <c r="L251" s="43"/>
      <c r="M251" s="197" t="s">
        <v>74</v>
      </c>
      <c r="N251" s="26" t="s">
        <v>36</v>
      </c>
      <c r="O251" s="27">
        <f>O250</f>
        <v>46272</v>
      </c>
      <c r="P251" s="28">
        <f>P250</f>
        <v>46270</v>
      </c>
      <c r="Q251" s="28">
        <f>WORKDAY(P251, Q9, IF(Q12="China",'China Holidays'!$A$2:$A$84,'Thai Holidays'!$A$2:$A$65))</f>
        <v>46283</v>
      </c>
      <c r="R251" s="28">
        <f>WORKDAY(Q251, R9, IF(R12="China",'China Holidays'!$A$2:$A$84,'Thai Holidays'!$A$2:$A$65))</f>
        <v>46283</v>
      </c>
      <c r="S251" s="28">
        <f>WORKDAY(R251, S9, IF(S12="China",'China Holidays'!$A$2:$A$84,'Thai Holidays'!$A$2:$A$65))</f>
        <v>46283</v>
      </c>
      <c r="T251" s="28">
        <f>WORKDAY(S251, T9, IF(T12="China",'China Holidays'!$A$2:$A$84,'Thai Holidays'!$A$2:$A$65))</f>
        <v>46293</v>
      </c>
      <c r="U251" s="28">
        <f>WORKDAY(T251, U9, IF(U12="China",'China Holidays'!$A$2:$A$84,'Thai Holidays'!$A$2:$A$65))</f>
        <v>46302</v>
      </c>
      <c r="V251" s="28">
        <f>WORKDAY(U251, V9, IF(V12="China",'China Holidays'!$A$2:$A$84,'Thai Holidays'!$A$2:$A$65))</f>
        <v>46317</v>
      </c>
      <c r="W251" s="28">
        <f>WORKDAY(V251, W9, IF(W12="China",'China Holidays'!$A$2:$A$84,'Thai Holidays'!$A$2:$A$65))</f>
        <v>46324</v>
      </c>
      <c r="X251" s="28">
        <f>WORKDAY(W251, X9, IF(X12="China",'China Holidays'!$A$2:$A$84,'Thai Holidays'!$A$2:$A$65))</f>
        <v>46328</v>
      </c>
      <c r="Y251" s="28">
        <f>WORKDAY(X251, Y9, IF(Y12="China",'China Holidays'!$A$2:$A$84,'Thai Holidays'!$A$2:$A$65))</f>
        <v>46335</v>
      </c>
      <c r="Z251" s="28">
        <f>WORKDAY(Y251, Z9, IF(Z12="China",'China Holidays'!$A$2:$A$84,'Thai Holidays'!$A$2:$A$65))</f>
        <v>46349</v>
      </c>
      <c r="AA251" s="28">
        <f>WORKDAY(Z251, AA9, IF(AA12="China",'China Holidays'!$A$2:$A$84,'Thai Holidays'!$A$2:$A$65))</f>
        <v>46364</v>
      </c>
      <c r="AB251" s="28">
        <f>AA251+10</f>
        <v>46374</v>
      </c>
      <c r="AC251" s="28">
        <f>AB251</f>
        <v>46374</v>
      </c>
      <c r="AD251" s="28">
        <f>AC251+2</f>
        <v>46376</v>
      </c>
      <c r="AE251" s="28">
        <f>AF251-7</f>
        <v>46452</v>
      </c>
      <c r="AF251" s="28">
        <f>AG251-5</f>
        <v>46459</v>
      </c>
      <c r="AG251" s="28">
        <f>AL250</f>
        <v>46464</v>
      </c>
      <c r="AH251" s="28">
        <f>AL250+3</f>
        <v>46467</v>
      </c>
      <c r="AI251" s="28">
        <f>AL250+30</f>
        <v>46494</v>
      </c>
      <c r="AJ251" s="81"/>
      <c r="AK251" s="79"/>
      <c r="AL251" s="83">
        <f>W251+AK250</f>
        <v>46464</v>
      </c>
      <c r="AM251" s="83"/>
      <c r="AN251" s="29"/>
      <c r="AO251" s="141"/>
      <c r="AP251" s="438"/>
      <c r="AQ251" s="21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425"/>
      <c r="BC251" s="411"/>
      <c r="BD251" s="411"/>
    </row>
    <row r="252" spans="1:56" s="3" customFormat="1" ht="35.65" thickTop="1" thickBot="1" x14ac:dyDescent="0.45">
      <c r="A252" s="442"/>
      <c r="B252" s="94" t="s">
        <v>291</v>
      </c>
      <c r="C252" s="32" t="s">
        <v>297</v>
      </c>
      <c r="D252" s="44" t="s">
        <v>838</v>
      </c>
      <c r="E252" s="151"/>
      <c r="F252" s="151"/>
      <c r="G252" s="45" t="s">
        <v>151</v>
      </c>
      <c r="H252" s="34" t="s">
        <v>111</v>
      </c>
      <c r="I252" s="32" t="s">
        <v>56</v>
      </c>
      <c r="J252" s="32" t="s">
        <v>1</v>
      </c>
      <c r="K252" s="32" t="s">
        <v>314</v>
      </c>
      <c r="L252" s="44"/>
      <c r="M252" s="198" t="s">
        <v>74</v>
      </c>
      <c r="N252" s="35" t="s">
        <v>37</v>
      </c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82"/>
      <c r="AK252" s="80"/>
      <c r="AL252" s="37"/>
      <c r="AM252" s="37"/>
      <c r="AN252" s="38"/>
      <c r="AO252" s="142"/>
      <c r="AP252" s="439"/>
      <c r="AQ252" s="39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25"/>
      <c r="BC252" s="411"/>
      <c r="BD252" s="411"/>
    </row>
    <row r="253" spans="1:56" s="3" customFormat="1" ht="25.9" customHeight="1" thickTop="1" thickBot="1" x14ac:dyDescent="0.45">
      <c r="A253" s="440">
        <f t="shared" ref="A253" si="66">A250+1</f>
        <v>76</v>
      </c>
      <c r="B253" s="92" t="s">
        <v>379</v>
      </c>
      <c r="C253" s="17" t="s">
        <v>355</v>
      </c>
      <c r="D253" s="92" t="s">
        <v>372</v>
      </c>
      <c r="E253" s="150" t="s">
        <v>500</v>
      </c>
      <c r="F253" s="150" t="s">
        <v>501</v>
      </c>
      <c r="G253" s="64" t="s">
        <v>357</v>
      </c>
      <c r="H253" s="86" t="s">
        <v>160</v>
      </c>
      <c r="I253" s="17" t="s">
        <v>56</v>
      </c>
      <c r="J253" s="17" t="s">
        <v>1</v>
      </c>
      <c r="K253" s="17" t="s">
        <v>312</v>
      </c>
      <c r="L253" s="42"/>
      <c r="M253" s="196" t="s">
        <v>367</v>
      </c>
      <c r="N253" s="18" t="s">
        <v>35</v>
      </c>
      <c r="O253" s="230">
        <v>46218</v>
      </c>
      <c r="P253" s="57">
        <v>46217</v>
      </c>
      <c r="Q253" s="57">
        <v>46233</v>
      </c>
      <c r="R253" s="57">
        <v>46233</v>
      </c>
      <c r="S253" s="57">
        <v>46233</v>
      </c>
      <c r="T253" s="57">
        <v>46247</v>
      </c>
      <c r="U253" s="57">
        <v>46266</v>
      </c>
      <c r="V253" s="57">
        <v>46280</v>
      </c>
      <c r="W253" s="57">
        <v>46294</v>
      </c>
      <c r="X253" s="57">
        <v>46303</v>
      </c>
      <c r="Y253" s="57">
        <v>46310</v>
      </c>
      <c r="Z253" s="57">
        <v>46331</v>
      </c>
      <c r="AA253" s="57">
        <v>46345</v>
      </c>
      <c r="AB253" s="57">
        <v>46375</v>
      </c>
      <c r="AC253" s="57">
        <v>46375</v>
      </c>
      <c r="AD253" s="57">
        <v>46377</v>
      </c>
      <c r="AE253" s="57">
        <v>46436</v>
      </c>
      <c r="AF253" s="57">
        <v>46446</v>
      </c>
      <c r="AG253" s="57">
        <v>46476</v>
      </c>
      <c r="AH253" s="57">
        <v>46479</v>
      </c>
      <c r="AI253" s="57">
        <v>46506</v>
      </c>
      <c r="AJ253" s="58">
        <v>26</v>
      </c>
      <c r="AK253" s="59">
        <v>182</v>
      </c>
      <c r="AL253" s="78">
        <v>46476</v>
      </c>
      <c r="AM253" s="78">
        <v>46500</v>
      </c>
      <c r="AN253" s="77">
        <f>AM253-AL254</f>
        <v>24</v>
      </c>
      <c r="AO253" s="140"/>
      <c r="AP253" s="437"/>
      <c r="AQ253" s="21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425"/>
      <c r="BC253" s="411"/>
      <c r="BD253" s="411"/>
    </row>
    <row r="254" spans="1:56" s="3" customFormat="1" ht="21.75" customHeight="1" thickTop="1" thickBot="1" x14ac:dyDescent="0.45">
      <c r="A254" s="441"/>
      <c r="B254" s="98" t="s">
        <v>378</v>
      </c>
      <c r="C254" s="71" t="s">
        <v>355</v>
      </c>
      <c r="D254" s="208" t="s">
        <v>371</v>
      </c>
      <c r="E254" s="152" t="s">
        <v>502</v>
      </c>
      <c r="F254" s="152" t="s">
        <v>503</v>
      </c>
      <c r="G254" s="43" t="s">
        <v>357</v>
      </c>
      <c r="H254" s="84" t="s">
        <v>160</v>
      </c>
      <c r="I254" s="71" t="s">
        <v>56</v>
      </c>
      <c r="J254" s="71" t="s">
        <v>1</v>
      </c>
      <c r="K254" s="71" t="s">
        <v>312</v>
      </c>
      <c r="L254" s="43"/>
      <c r="M254" s="197" t="s">
        <v>367</v>
      </c>
      <c r="N254" s="26" t="s">
        <v>36</v>
      </c>
      <c r="O254" s="131">
        <f>O253</f>
        <v>46218</v>
      </c>
      <c r="P254" s="83"/>
      <c r="Q254" s="83"/>
      <c r="R254" s="83">
        <f>R253</f>
        <v>46233</v>
      </c>
      <c r="S254" s="83">
        <f>WORKDAY(R254, S8, IF(S12="China",'China Holidays'!$A$2:$A$84,'Thai Holidays'!$A$2:$A$65))</f>
        <v>46233</v>
      </c>
      <c r="T254" s="83">
        <f>WORKDAY(S254, T8, IF(T12="China",'China Holidays'!$A$2:$A$84,'Thai Holidays'!$A$2:$A$65))</f>
        <v>46247</v>
      </c>
      <c r="U254" s="83">
        <f>WORKDAY(T254, U8, IF(U12="China",'China Holidays'!$A$2:$A$84,'Thai Holidays'!$A$2:$A$65))</f>
        <v>46266</v>
      </c>
      <c r="V254" s="83">
        <f>WORKDAY(U254, V8, IF(V12="China",'China Holidays'!$A$2:$A$84,'Thai Holidays'!$A$2:$A$65))</f>
        <v>46280</v>
      </c>
      <c r="W254" s="83">
        <f>WORKDAY(V254, W8, IF(W12="China",'China Holidays'!$A$2:$A$84,'Thai Holidays'!$A$2:$A$65))</f>
        <v>46294</v>
      </c>
      <c r="X254" s="83">
        <f>WORKDAY(W254, X8, IF(X12="China",'China Holidays'!$A$2:$A$84,'Thai Holidays'!$A$2:$A$65))</f>
        <v>46303</v>
      </c>
      <c r="Y254" s="83">
        <f>WORKDAY(X254, Y8, IF(Y12="China",'China Holidays'!$A$2:$A$84,'Thai Holidays'!$A$2:$A$65))</f>
        <v>46310</v>
      </c>
      <c r="Z254" s="83">
        <f>WORKDAY(Y254, Z8, IF(Z12="China",'China Holidays'!$A$2:$A$84,'Thai Holidays'!$A$2:$A$65))</f>
        <v>46331</v>
      </c>
      <c r="AA254" s="83">
        <f>WORKDAY(Z254, AA8, IF(AA12="China",'China Holidays'!$A$2:$A$84,'Thai Holidays'!$A$2:$A$65))</f>
        <v>46345</v>
      </c>
      <c r="AB254" s="28">
        <f>AA254+30</f>
        <v>46375</v>
      </c>
      <c r="AC254" s="28">
        <f>AB254</f>
        <v>46375</v>
      </c>
      <c r="AD254" s="28">
        <f>AC254+2</f>
        <v>46377</v>
      </c>
      <c r="AE254" s="28">
        <f>AF254-10</f>
        <v>46436</v>
      </c>
      <c r="AF254" s="28">
        <f>AG254-30</f>
        <v>46446</v>
      </c>
      <c r="AG254" s="28">
        <f>AL253</f>
        <v>46476</v>
      </c>
      <c r="AH254" s="28">
        <f>AL253+3</f>
        <v>46479</v>
      </c>
      <c r="AI254" s="28">
        <f>AL253+30</f>
        <v>46506</v>
      </c>
      <c r="AJ254" s="81"/>
      <c r="AK254" s="79"/>
      <c r="AL254" s="83">
        <f>W254+AK253</f>
        <v>46476</v>
      </c>
      <c r="AM254" s="83"/>
      <c r="AN254" s="79"/>
      <c r="AO254" s="125"/>
      <c r="AP254" s="438"/>
      <c r="AQ254" s="21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425"/>
      <c r="BC254" s="411"/>
      <c r="BD254" s="411"/>
    </row>
    <row r="255" spans="1:56" s="3" customFormat="1" ht="23.25" customHeight="1" thickTop="1" thickBot="1" x14ac:dyDescent="0.45">
      <c r="A255" s="442"/>
      <c r="B255" s="94" t="s">
        <v>378</v>
      </c>
      <c r="C255" s="72" t="s">
        <v>356</v>
      </c>
      <c r="D255" s="94" t="s">
        <v>371</v>
      </c>
      <c r="E255" s="151" t="s">
        <v>498</v>
      </c>
      <c r="F255" s="151" t="s">
        <v>499</v>
      </c>
      <c r="G255" s="44" t="s">
        <v>357</v>
      </c>
      <c r="H255" s="85" t="s">
        <v>160</v>
      </c>
      <c r="I255" s="72" t="s">
        <v>56</v>
      </c>
      <c r="J255" s="72" t="s">
        <v>1</v>
      </c>
      <c r="K255" s="72" t="s">
        <v>312</v>
      </c>
      <c r="L255" s="44"/>
      <c r="M255" s="198" t="s">
        <v>367</v>
      </c>
      <c r="N255" s="35" t="s">
        <v>37</v>
      </c>
      <c r="O255" s="36"/>
      <c r="P255" s="36">
        <v>46160</v>
      </c>
      <c r="Q255" s="36">
        <v>46186</v>
      </c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82"/>
      <c r="AK255" s="80"/>
      <c r="AL255" s="37"/>
      <c r="AM255" s="37"/>
      <c r="AN255" s="38"/>
      <c r="AO255" s="142"/>
      <c r="AP255" s="439"/>
      <c r="AQ255" s="39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25"/>
      <c r="BC255" s="411"/>
      <c r="BD255" s="411"/>
    </row>
    <row r="256" spans="1:56" s="3" customFormat="1" ht="18" customHeight="1" thickTop="1" thickBot="1" x14ac:dyDescent="0.45">
      <c r="A256" s="440">
        <f t="shared" ref="A256" si="67">A253+1</f>
        <v>77</v>
      </c>
      <c r="B256" s="92" t="s">
        <v>578</v>
      </c>
      <c r="C256" s="17" t="s">
        <v>161</v>
      </c>
      <c r="D256" s="227" t="s">
        <v>651</v>
      </c>
      <c r="E256" s="150"/>
      <c r="F256" s="150"/>
      <c r="G256" s="64" t="s">
        <v>163</v>
      </c>
      <c r="H256" s="86" t="s">
        <v>164</v>
      </c>
      <c r="I256" s="17" t="s">
        <v>33</v>
      </c>
      <c r="J256" s="17" t="s">
        <v>0</v>
      </c>
      <c r="K256" s="17" t="s">
        <v>308</v>
      </c>
      <c r="L256" s="253" t="s">
        <v>826</v>
      </c>
      <c r="M256" s="199" t="s">
        <v>74</v>
      </c>
      <c r="N256" s="132" t="s">
        <v>35</v>
      </c>
      <c r="O256" s="57">
        <v>46146</v>
      </c>
      <c r="P256" s="57">
        <v>46178</v>
      </c>
      <c r="Q256" s="57">
        <v>46193</v>
      </c>
      <c r="R256" s="57">
        <v>46196</v>
      </c>
      <c r="S256" s="57">
        <v>46199</v>
      </c>
      <c r="T256" s="57">
        <v>46202</v>
      </c>
      <c r="U256" s="57">
        <v>46205</v>
      </c>
      <c r="V256" s="230">
        <v>46208</v>
      </c>
      <c r="W256" s="57">
        <v>46216</v>
      </c>
      <c r="X256" s="57">
        <v>46218</v>
      </c>
      <c r="Y256" s="57">
        <v>46132</v>
      </c>
      <c r="Z256" s="57">
        <v>46135</v>
      </c>
      <c r="AA256" s="57">
        <v>46153</v>
      </c>
      <c r="AB256" s="57">
        <v>46231</v>
      </c>
      <c r="AC256" s="57">
        <v>46246</v>
      </c>
      <c r="AD256" s="57">
        <v>46248</v>
      </c>
      <c r="AE256" s="57">
        <v>46261.5</v>
      </c>
      <c r="AF256" s="57">
        <v>46268.5</v>
      </c>
      <c r="AG256" s="57">
        <v>46273</v>
      </c>
      <c r="AH256" s="57">
        <v>46276</v>
      </c>
      <c r="AI256" s="57">
        <v>46305.5</v>
      </c>
      <c r="AJ256" s="58">
        <v>8.5</v>
      </c>
      <c r="AK256" s="59">
        <v>59.5</v>
      </c>
      <c r="AL256" s="78">
        <f>AG256</f>
        <v>46273</v>
      </c>
      <c r="AM256" s="78">
        <v>46274</v>
      </c>
      <c r="AN256" s="77">
        <f>AM256-AL257</f>
        <v>1</v>
      </c>
      <c r="AO256" s="140" t="s">
        <v>691</v>
      </c>
      <c r="AP256" s="445"/>
      <c r="AQ256" s="133"/>
      <c r="AR256" s="134"/>
      <c r="AS256" s="134"/>
      <c r="AT256" s="134"/>
      <c r="AU256" s="134"/>
      <c r="AV256" s="134"/>
      <c r="AW256" s="134"/>
      <c r="AX256" s="134"/>
      <c r="AY256" s="134"/>
      <c r="AZ256" s="134"/>
      <c r="BA256" s="134"/>
      <c r="BB256" s="426"/>
      <c r="BC256" s="411"/>
      <c r="BD256" s="411"/>
    </row>
    <row r="257" spans="1:56" s="3" customFormat="1" ht="18" customHeight="1" thickTop="1" thickBot="1" x14ac:dyDescent="0.45">
      <c r="A257" s="441"/>
      <c r="B257" s="93" t="s">
        <v>298</v>
      </c>
      <c r="C257" s="71" t="s">
        <v>161</v>
      </c>
      <c r="D257" s="43" t="s">
        <v>162</v>
      </c>
      <c r="E257" s="157"/>
      <c r="F257" s="157"/>
      <c r="G257" s="43" t="s">
        <v>163</v>
      </c>
      <c r="H257" s="84" t="s">
        <v>164</v>
      </c>
      <c r="I257" s="71" t="s">
        <v>33</v>
      </c>
      <c r="J257" s="71" t="s">
        <v>0</v>
      </c>
      <c r="K257" s="71" t="s">
        <v>308</v>
      </c>
      <c r="L257" s="244"/>
      <c r="M257" s="200" t="s">
        <v>74</v>
      </c>
      <c r="N257" s="135" t="s">
        <v>36</v>
      </c>
      <c r="O257" s="131"/>
      <c r="P257" s="83"/>
      <c r="Q257" s="83"/>
      <c r="R257" s="83"/>
      <c r="S257" s="83"/>
      <c r="T257" s="83"/>
      <c r="U257" s="83"/>
      <c r="V257" s="83">
        <v>46216</v>
      </c>
      <c r="W257" s="83">
        <f>V257</f>
        <v>46216</v>
      </c>
      <c r="X257" s="83">
        <f>X256</f>
        <v>46218</v>
      </c>
      <c r="Y257" s="83"/>
      <c r="Z257" s="83"/>
      <c r="AA257" s="83"/>
      <c r="AB257" s="83">
        <v>46231</v>
      </c>
      <c r="AC257" s="83">
        <v>46246</v>
      </c>
      <c r="AD257" s="83">
        <v>46248</v>
      </c>
      <c r="AE257" s="83">
        <v>46261.5</v>
      </c>
      <c r="AF257" s="83">
        <v>46268.5</v>
      </c>
      <c r="AG257" s="83">
        <v>46273</v>
      </c>
      <c r="AH257" s="83">
        <v>46276</v>
      </c>
      <c r="AI257" s="83">
        <v>46305.5</v>
      </c>
      <c r="AJ257" s="81"/>
      <c r="AK257" s="79"/>
      <c r="AL257" s="83">
        <f>AL256</f>
        <v>46273</v>
      </c>
      <c r="AM257" s="83"/>
      <c r="AN257" s="79"/>
      <c r="AO257" s="125"/>
      <c r="AP257" s="446"/>
      <c r="AQ257" s="133"/>
      <c r="AR257" s="134"/>
      <c r="AS257" s="134"/>
      <c r="AT257" s="134"/>
      <c r="AU257" s="134"/>
      <c r="AV257" s="134"/>
      <c r="AW257" s="134"/>
      <c r="AX257" s="134"/>
      <c r="AY257" s="134"/>
      <c r="AZ257" s="134"/>
      <c r="BA257" s="134"/>
      <c r="BB257" s="426"/>
      <c r="BC257" s="411"/>
      <c r="BD257" s="411"/>
    </row>
    <row r="258" spans="1:56" s="3" customFormat="1" ht="18" customHeight="1" thickTop="1" thickBot="1" x14ac:dyDescent="0.45">
      <c r="A258" s="442"/>
      <c r="B258" s="94" t="s">
        <v>298</v>
      </c>
      <c r="C258" s="72" t="s">
        <v>161</v>
      </c>
      <c r="D258" s="44" t="s">
        <v>162</v>
      </c>
      <c r="E258" s="151"/>
      <c r="F258" s="151"/>
      <c r="G258" s="44" t="s">
        <v>163</v>
      </c>
      <c r="H258" s="85" t="s">
        <v>164</v>
      </c>
      <c r="I258" s="72" t="s">
        <v>33</v>
      </c>
      <c r="J258" s="72" t="s">
        <v>0</v>
      </c>
      <c r="K258" s="72" t="s">
        <v>308</v>
      </c>
      <c r="L258" s="44"/>
      <c r="M258" s="201" t="s">
        <v>74</v>
      </c>
      <c r="N258" s="136" t="s">
        <v>37</v>
      </c>
      <c r="O258" s="37">
        <v>46120</v>
      </c>
      <c r="P258" s="37">
        <v>46162</v>
      </c>
      <c r="Q258" s="37">
        <v>46164</v>
      </c>
      <c r="R258" s="37">
        <v>46188</v>
      </c>
      <c r="S258" s="37">
        <v>46188</v>
      </c>
      <c r="T258" s="37">
        <v>46189</v>
      </c>
      <c r="U258" s="37">
        <v>46206</v>
      </c>
      <c r="V258" s="37"/>
      <c r="W258" s="37"/>
      <c r="X258" s="37"/>
      <c r="Y258" s="37">
        <v>46132</v>
      </c>
      <c r="Z258" s="37">
        <v>46193</v>
      </c>
      <c r="AA258" s="37">
        <v>46193</v>
      </c>
      <c r="AB258" s="37"/>
      <c r="AC258" s="37"/>
      <c r="AD258" s="37"/>
      <c r="AE258" s="37"/>
      <c r="AF258" s="37"/>
      <c r="AG258" s="37"/>
      <c r="AH258" s="37"/>
      <c r="AI258" s="37"/>
      <c r="AJ258" s="82"/>
      <c r="AK258" s="80"/>
      <c r="AL258" s="37"/>
      <c r="AM258" s="37"/>
      <c r="AN258" s="80"/>
      <c r="AO258" s="144"/>
      <c r="AP258" s="447"/>
      <c r="AQ258" s="137"/>
      <c r="AR258" s="138"/>
      <c r="AS258" s="138"/>
      <c r="AT258" s="138"/>
      <c r="AU258" s="138"/>
      <c r="AV258" s="138"/>
      <c r="AW258" s="138"/>
      <c r="AX258" s="138"/>
      <c r="AY258" s="138"/>
      <c r="AZ258" s="138"/>
      <c r="BA258" s="138"/>
      <c r="BB258" s="426"/>
      <c r="BC258" s="411"/>
      <c r="BD258" s="411"/>
    </row>
    <row r="259" spans="1:56" s="3" customFormat="1" ht="18" customHeight="1" thickTop="1" thickBot="1" x14ac:dyDescent="0.45">
      <c r="A259" s="440">
        <f t="shared" ref="A259" si="68">A256+1</f>
        <v>78</v>
      </c>
      <c r="B259" s="92" t="s">
        <v>573</v>
      </c>
      <c r="C259" s="14" t="s">
        <v>368</v>
      </c>
      <c r="D259" s="227" t="s">
        <v>688</v>
      </c>
      <c r="E259" s="150"/>
      <c r="F259" s="150"/>
      <c r="G259" s="70" t="s">
        <v>163</v>
      </c>
      <c r="H259" s="16" t="s">
        <v>164</v>
      </c>
      <c r="I259" s="17" t="s">
        <v>33</v>
      </c>
      <c r="J259" s="14" t="s">
        <v>0</v>
      </c>
      <c r="K259" s="14" t="s">
        <v>308</v>
      </c>
      <c r="L259" s="42"/>
      <c r="M259" s="196" t="s">
        <v>74</v>
      </c>
      <c r="N259" s="18" t="s">
        <v>35</v>
      </c>
      <c r="O259" s="19">
        <v>46134</v>
      </c>
      <c r="P259" s="57">
        <v>46171</v>
      </c>
      <c r="Q259" s="19">
        <v>46193</v>
      </c>
      <c r="R259" s="19">
        <v>46196</v>
      </c>
      <c r="S259" s="19">
        <v>46199</v>
      </c>
      <c r="T259" s="19">
        <v>46202</v>
      </c>
      <c r="U259" s="230">
        <v>46205</v>
      </c>
      <c r="V259" s="19">
        <v>46208</v>
      </c>
      <c r="W259" s="19">
        <v>46216</v>
      </c>
      <c r="X259" s="19">
        <v>46218</v>
      </c>
      <c r="Y259" s="19">
        <v>46227</v>
      </c>
      <c r="Z259" s="19">
        <v>46255</v>
      </c>
      <c r="AA259" s="19">
        <v>46269</v>
      </c>
      <c r="AB259" s="19"/>
      <c r="AC259" s="19">
        <v>46274</v>
      </c>
      <c r="AD259" s="19">
        <v>46276</v>
      </c>
      <c r="AE259" s="19">
        <v>46304.1</v>
      </c>
      <c r="AF259" s="19">
        <v>46311.1</v>
      </c>
      <c r="AG259" s="19">
        <v>46316.1</v>
      </c>
      <c r="AH259" s="19">
        <v>46319</v>
      </c>
      <c r="AI259" s="19">
        <v>46336.1</v>
      </c>
      <c r="AJ259" s="58">
        <v>14.3</v>
      </c>
      <c r="AK259" s="59">
        <v>100.10000000000001</v>
      </c>
      <c r="AL259" s="78">
        <v>46316</v>
      </c>
      <c r="AM259" s="78">
        <v>46316</v>
      </c>
      <c r="AN259" s="20">
        <f>AM259-AL260</f>
        <v>-9.9999999998544808E-2</v>
      </c>
      <c r="AO259" s="143" t="s">
        <v>690</v>
      </c>
      <c r="AP259" s="431" t="s">
        <v>575</v>
      </c>
      <c r="AQ259" s="21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425"/>
      <c r="BC259" s="411"/>
      <c r="BD259" s="411"/>
    </row>
    <row r="260" spans="1:56" s="3" customFormat="1" ht="18" customHeight="1" thickTop="1" thickBot="1" x14ac:dyDescent="0.45">
      <c r="A260" s="441"/>
      <c r="B260" s="98" t="s">
        <v>573</v>
      </c>
      <c r="C260" s="41" t="s">
        <v>165</v>
      </c>
      <c r="D260" s="43" t="s">
        <v>166</v>
      </c>
      <c r="E260" s="157"/>
      <c r="F260" s="157"/>
      <c r="G260" s="55" t="s">
        <v>163</v>
      </c>
      <c r="H260" s="46" t="s">
        <v>164</v>
      </c>
      <c r="I260" s="71" t="s">
        <v>33</v>
      </c>
      <c r="J260" s="41" t="s">
        <v>0</v>
      </c>
      <c r="K260" s="41" t="s">
        <v>308</v>
      </c>
      <c r="L260" s="43"/>
      <c r="M260" s="197" t="s">
        <v>74</v>
      </c>
      <c r="N260" s="26" t="s">
        <v>36</v>
      </c>
      <c r="O260" s="27"/>
      <c r="P260" s="28"/>
      <c r="Q260" s="28"/>
      <c r="R260" s="28"/>
      <c r="S260" s="28"/>
      <c r="T260" s="28"/>
      <c r="U260" s="28">
        <v>46210</v>
      </c>
      <c r="V260" s="28">
        <v>46216</v>
      </c>
      <c r="W260" s="28">
        <v>46216</v>
      </c>
      <c r="X260" s="28">
        <f>WORKDAY(W260, X6, IF(X12="China",'China Holidays'!$A$2:$A$84,'Thai Holidays'!$A$2:$A$65))</f>
        <v>46218</v>
      </c>
      <c r="Y260" s="28">
        <f>Y259</f>
        <v>46227</v>
      </c>
      <c r="Z260" s="28">
        <f>WORKDAY(Y260, Z6, IF(Z12="China",'China Holidays'!$A$2:$A$84,'Thai Holidays'!$A$2:$A$65))</f>
        <v>46255</v>
      </c>
      <c r="AA260" s="28">
        <f>WORKDAY(Z260, AA6, IF(AA12="China",'China Holidays'!$A$2:$A$84,'Thai Holidays'!$A$2:$A$65))</f>
        <v>46269</v>
      </c>
      <c r="AB260" s="28"/>
      <c r="AC260" s="28">
        <f>AA260+5</f>
        <v>46274</v>
      </c>
      <c r="AD260" s="28">
        <f>AC260+2</f>
        <v>46276</v>
      </c>
      <c r="AE260" s="28">
        <f>AF260-7</f>
        <v>46304.1</v>
      </c>
      <c r="AF260" s="28">
        <f>AG260-5</f>
        <v>46311.1</v>
      </c>
      <c r="AG260" s="28">
        <f>AL260</f>
        <v>46316.1</v>
      </c>
      <c r="AH260" s="28">
        <f>AL259+3</f>
        <v>46319</v>
      </c>
      <c r="AI260" s="28">
        <f>AG260+20</f>
        <v>46336.1</v>
      </c>
      <c r="AJ260" s="81"/>
      <c r="AK260" s="79"/>
      <c r="AL260" s="83">
        <f>W260+AK259</f>
        <v>46316.1</v>
      </c>
      <c r="AM260" s="83"/>
      <c r="AN260" s="29"/>
      <c r="AO260" s="141"/>
      <c r="AP260" s="438"/>
      <c r="AQ260" s="21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425"/>
      <c r="BC260" s="411"/>
      <c r="BD260" s="411"/>
    </row>
    <row r="261" spans="1:56" s="3" customFormat="1" ht="18" customHeight="1" thickTop="1" thickBot="1" x14ac:dyDescent="0.45">
      <c r="A261" s="442"/>
      <c r="B261" s="94" t="s">
        <v>573</v>
      </c>
      <c r="C261" s="32" t="s">
        <v>165</v>
      </c>
      <c r="D261" s="44" t="s">
        <v>166</v>
      </c>
      <c r="E261" s="151"/>
      <c r="F261" s="151"/>
      <c r="G261" s="56" t="s">
        <v>163</v>
      </c>
      <c r="H261" s="34" t="s">
        <v>164</v>
      </c>
      <c r="I261" s="72" t="s">
        <v>33</v>
      </c>
      <c r="J261" s="32" t="s">
        <v>0</v>
      </c>
      <c r="K261" s="32" t="s">
        <v>308</v>
      </c>
      <c r="L261" s="45"/>
      <c r="M261" s="198" t="s">
        <v>74</v>
      </c>
      <c r="N261" s="35" t="s">
        <v>37</v>
      </c>
      <c r="O261" s="36">
        <v>46136</v>
      </c>
      <c r="P261" s="36">
        <v>46165</v>
      </c>
      <c r="Q261" s="36">
        <v>46167</v>
      </c>
      <c r="R261" s="36">
        <v>46195</v>
      </c>
      <c r="S261" s="36">
        <v>46195</v>
      </c>
      <c r="T261" s="36">
        <v>46197</v>
      </c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82"/>
      <c r="AK261" s="80"/>
      <c r="AL261" s="37"/>
      <c r="AM261" s="37"/>
      <c r="AN261" s="38"/>
      <c r="AO261" s="142"/>
      <c r="AP261" s="439"/>
      <c r="AQ261" s="39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25"/>
      <c r="BC261" s="411"/>
      <c r="BD261" s="411"/>
    </row>
    <row r="262" spans="1:56" s="3" customFormat="1" ht="18" customHeight="1" thickTop="1" thickBot="1" x14ac:dyDescent="0.45">
      <c r="A262" s="440">
        <f t="shared" ref="A262" si="69">A259+1</f>
        <v>79</v>
      </c>
      <c r="B262" s="92" t="s">
        <v>593</v>
      </c>
      <c r="C262" s="14" t="s">
        <v>369</v>
      </c>
      <c r="D262" s="227" t="s">
        <v>580</v>
      </c>
      <c r="E262" s="150"/>
      <c r="F262" s="150"/>
      <c r="G262" s="70" t="s">
        <v>163</v>
      </c>
      <c r="H262" s="16" t="s">
        <v>164</v>
      </c>
      <c r="I262" s="17" t="s">
        <v>33</v>
      </c>
      <c r="J262" s="14" t="s">
        <v>0</v>
      </c>
      <c r="K262" s="14" t="s">
        <v>308</v>
      </c>
      <c r="L262" s="42"/>
      <c r="M262" s="196" t="s">
        <v>74</v>
      </c>
      <c r="N262" s="18" t="s">
        <v>35</v>
      </c>
      <c r="O262" s="19">
        <v>46134</v>
      </c>
      <c r="P262" s="57">
        <v>46171</v>
      </c>
      <c r="Q262" s="19">
        <v>46193</v>
      </c>
      <c r="R262" s="19">
        <v>46196</v>
      </c>
      <c r="S262" s="19">
        <v>46199</v>
      </c>
      <c r="T262" s="19">
        <v>46202</v>
      </c>
      <c r="U262" s="19">
        <v>46205</v>
      </c>
      <c r="V262" s="230">
        <v>46208</v>
      </c>
      <c r="W262" s="19">
        <v>46216</v>
      </c>
      <c r="X262" s="19">
        <v>46218</v>
      </c>
      <c r="Y262" s="19">
        <v>46227</v>
      </c>
      <c r="Z262" s="19">
        <v>46255</v>
      </c>
      <c r="AA262" s="19">
        <v>46269</v>
      </c>
      <c r="AB262" s="19"/>
      <c r="AC262" s="19">
        <v>46274</v>
      </c>
      <c r="AD262" s="19">
        <v>46276</v>
      </c>
      <c r="AE262" s="19">
        <v>46304.1</v>
      </c>
      <c r="AF262" s="19">
        <v>46311.1</v>
      </c>
      <c r="AG262" s="19">
        <v>46316.1</v>
      </c>
      <c r="AH262" s="19">
        <v>46319</v>
      </c>
      <c r="AI262" s="19">
        <v>46336.1</v>
      </c>
      <c r="AJ262" s="58">
        <v>14.3</v>
      </c>
      <c r="AK262" s="59">
        <v>100.10000000000001</v>
      </c>
      <c r="AL262" s="78">
        <v>46316</v>
      </c>
      <c r="AM262" s="78">
        <v>46322</v>
      </c>
      <c r="AN262" s="20">
        <f>AM262-AL263</f>
        <v>5.9000000000014552</v>
      </c>
      <c r="AO262" s="143" t="s">
        <v>690</v>
      </c>
      <c r="AP262" s="431" t="s">
        <v>574</v>
      </c>
      <c r="AQ262" s="21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425"/>
      <c r="BC262" s="411"/>
      <c r="BD262" s="411"/>
    </row>
    <row r="263" spans="1:56" s="3" customFormat="1" ht="18" customHeight="1" thickTop="1" thickBot="1" x14ac:dyDescent="0.45">
      <c r="A263" s="441"/>
      <c r="B263" s="93" t="s">
        <v>593</v>
      </c>
      <c r="C263" s="41" t="s">
        <v>167</v>
      </c>
      <c r="D263" s="43" t="s">
        <v>168</v>
      </c>
      <c r="E263" s="157"/>
      <c r="F263" s="157"/>
      <c r="G263" s="55" t="s">
        <v>163</v>
      </c>
      <c r="H263" s="46" t="s">
        <v>164</v>
      </c>
      <c r="I263" s="71" t="s">
        <v>33</v>
      </c>
      <c r="J263" s="41" t="s">
        <v>0</v>
      </c>
      <c r="K263" s="41" t="s">
        <v>308</v>
      </c>
      <c r="L263" s="43"/>
      <c r="M263" s="197" t="s">
        <v>74</v>
      </c>
      <c r="N263" s="26" t="s">
        <v>36</v>
      </c>
      <c r="O263" s="27"/>
      <c r="P263" s="28"/>
      <c r="Q263" s="28"/>
      <c r="R263" s="28"/>
      <c r="S263" s="28"/>
      <c r="T263" s="28"/>
      <c r="U263" s="28"/>
      <c r="V263" s="83">
        <v>46216</v>
      </c>
      <c r="W263" s="28">
        <v>46216</v>
      </c>
      <c r="X263" s="28">
        <v>46218</v>
      </c>
      <c r="Y263" s="28">
        <v>46227</v>
      </c>
      <c r="Z263" s="28">
        <v>46255</v>
      </c>
      <c r="AA263" s="28">
        <v>46269</v>
      </c>
      <c r="AB263" s="28"/>
      <c r="AC263" s="28">
        <v>46274</v>
      </c>
      <c r="AD263" s="28">
        <v>46276</v>
      </c>
      <c r="AE263" s="28">
        <v>46304.1</v>
      </c>
      <c r="AF263" s="28">
        <v>46311.1</v>
      </c>
      <c r="AG263" s="28">
        <v>46316.1</v>
      </c>
      <c r="AH263" s="28">
        <v>46319</v>
      </c>
      <c r="AI263" s="28">
        <v>46336.1</v>
      </c>
      <c r="AJ263" s="81"/>
      <c r="AK263" s="79"/>
      <c r="AL263" s="83">
        <f>W263+AK262</f>
        <v>46316.1</v>
      </c>
      <c r="AM263" s="83"/>
      <c r="AN263" s="29"/>
      <c r="AO263" s="141"/>
      <c r="AP263" s="438"/>
      <c r="AQ263" s="21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425"/>
      <c r="BC263" s="411"/>
      <c r="BD263" s="411"/>
    </row>
    <row r="264" spans="1:56" s="3" customFormat="1" ht="18" customHeight="1" thickTop="1" thickBot="1" x14ac:dyDescent="0.45">
      <c r="A264" s="442"/>
      <c r="B264" s="94" t="s">
        <v>593</v>
      </c>
      <c r="C264" s="32" t="s">
        <v>167</v>
      </c>
      <c r="D264" s="44" t="s">
        <v>580</v>
      </c>
      <c r="E264" s="151"/>
      <c r="F264" s="151"/>
      <c r="G264" s="56" t="s">
        <v>163</v>
      </c>
      <c r="H264" s="34" t="s">
        <v>164</v>
      </c>
      <c r="I264" s="72" t="s">
        <v>33</v>
      </c>
      <c r="J264" s="32" t="s">
        <v>0</v>
      </c>
      <c r="K264" s="32" t="s">
        <v>308</v>
      </c>
      <c r="L264" s="45"/>
      <c r="M264" s="198" t="s">
        <v>74</v>
      </c>
      <c r="N264" s="35" t="s">
        <v>37</v>
      </c>
      <c r="O264" s="36">
        <v>46136</v>
      </c>
      <c r="P264" s="36">
        <v>46146</v>
      </c>
      <c r="Q264" s="36">
        <v>46157</v>
      </c>
      <c r="R264" s="36">
        <v>46195</v>
      </c>
      <c r="S264" s="36">
        <v>46195</v>
      </c>
      <c r="T264" s="36">
        <v>46197</v>
      </c>
      <c r="U264" s="36">
        <v>46206</v>
      </c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82"/>
      <c r="AK264" s="80"/>
      <c r="AL264" s="37"/>
      <c r="AM264" s="37"/>
      <c r="AN264" s="38"/>
      <c r="AO264" s="142"/>
      <c r="AP264" s="439"/>
      <c r="AQ264" s="39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25"/>
      <c r="BC264" s="411"/>
      <c r="BD264" s="411"/>
    </row>
    <row r="265" spans="1:56" s="3" customFormat="1" ht="18" customHeight="1" thickTop="1" thickBot="1" x14ac:dyDescent="0.45">
      <c r="A265" s="440">
        <f t="shared" ref="A265" si="70">A262+1</f>
        <v>80</v>
      </c>
      <c r="B265" s="92" t="s">
        <v>577</v>
      </c>
      <c r="C265" s="14" t="s">
        <v>535</v>
      </c>
      <c r="D265" s="227" t="s">
        <v>533</v>
      </c>
      <c r="E265" s="150"/>
      <c r="F265" s="150"/>
      <c r="G265" s="70" t="s">
        <v>163</v>
      </c>
      <c r="H265" s="16" t="s">
        <v>164</v>
      </c>
      <c r="I265" s="17" t="s">
        <v>33</v>
      </c>
      <c r="J265" s="14" t="s">
        <v>0</v>
      </c>
      <c r="K265" s="14" t="s">
        <v>308</v>
      </c>
      <c r="L265" s="42"/>
      <c r="M265" s="196" t="s">
        <v>74</v>
      </c>
      <c r="N265" s="18" t="s">
        <v>35</v>
      </c>
      <c r="O265" s="19">
        <v>46134</v>
      </c>
      <c r="P265" s="57">
        <v>46178</v>
      </c>
      <c r="Q265" s="19">
        <v>46193</v>
      </c>
      <c r="R265" s="19">
        <v>46196</v>
      </c>
      <c r="S265" s="19">
        <v>46199</v>
      </c>
      <c r="T265" s="19">
        <v>46202</v>
      </c>
      <c r="U265" s="230">
        <v>46205</v>
      </c>
      <c r="V265" s="19">
        <v>46208</v>
      </c>
      <c r="W265" s="19">
        <v>46216</v>
      </c>
      <c r="X265" s="19">
        <v>46218</v>
      </c>
      <c r="Y265" s="19">
        <v>46227</v>
      </c>
      <c r="Z265" s="19">
        <v>46255</v>
      </c>
      <c r="AA265" s="19">
        <v>46269</v>
      </c>
      <c r="AB265" s="19"/>
      <c r="AC265" s="19">
        <v>46274</v>
      </c>
      <c r="AD265" s="19">
        <v>46276</v>
      </c>
      <c r="AE265" s="19">
        <v>46304.1</v>
      </c>
      <c r="AF265" s="19">
        <v>46311.1</v>
      </c>
      <c r="AG265" s="19">
        <v>46316.1</v>
      </c>
      <c r="AH265" s="19">
        <v>46319</v>
      </c>
      <c r="AI265" s="19">
        <v>46336.1</v>
      </c>
      <c r="AJ265" s="58">
        <v>14.3</v>
      </c>
      <c r="AK265" s="59">
        <v>100.10000000000001</v>
      </c>
      <c r="AL265" s="78">
        <v>46316</v>
      </c>
      <c r="AM265" s="78">
        <v>46351</v>
      </c>
      <c r="AN265" s="20">
        <f>AM265-AL266</f>
        <v>30.900000000001455</v>
      </c>
      <c r="AO265" s="140" t="s">
        <v>689</v>
      </c>
      <c r="AP265" s="437"/>
      <c r="AQ265" s="21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425"/>
      <c r="BC265" s="411"/>
      <c r="BD265" s="411"/>
    </row>
    <row r="266" spans="1:56" s="3" customFormat="1" ht="18" customHeight="1" thickTop="1" thickBot="1" x14ac:dyDescent="0.45">
      <c r="A266" s="441"/>
      <c r="B266" s="93" t="s">
        <v>577</v>
      </c>
      <c r="C266" s="41" t="s">
        <v>534</v>
      </c>
      <c r="D266" s="43" t="s">
        <v>532</v>
      </c>
      <c r="E266" s="157"/>
      <c r="F266" s="157"/>
      <c r="G266" s="55" t="s">
        <v>163</v>
      </c>
      <c r="H266" s="46" t="s">
        <v>164</v>
      </c>
      <c r="I266" s="71" t="s">
        <v>33</v>
      </c>
      <c r="J266" s="41" t="s">
        <v>0</v>
      </c>
      <c r="K266" s="41" t="s">
        <v>308</v>
      </c>
      <c r="L266" s="43"/>
      <c r="M266" s="197" t="s">
        <v>74</v>
      </c>
      <c r="N266" s="26" t="s">
        <v>36</v>
      </c>
      <c r="O266" s="27"/>
      <c r="P266" s="28"/>
      <c r="Q266" s="28"/>
      <c r="R266" s="28"/>
      <c r="S266" s="28"/>
      <c r="T266" s="28"/>
      <c r="U266" s="28">
        <v>46210</v>
      </c>
      <c r="V266" s="28">
        <v>46220</v>
      </c>
      <c r="W266" s="28">
        <f>V266</f>
        <v>46220</v>
      </c>
      <c r="X266" s="28">
        <f>W266</f>
        <v>46220</v>
      </c>
      <c r="Y266" s="28">
        <v>46227</v>
      </c>
      <c r="Z266" s="28">
        <v>46255</v>
      </c>
      <c r="AA266" s="28">
        <v>46269</v>
      </c>
      <c r="AB266" s="28"/>
      <c r="AC266" s="28">
        <v>46274</v>
      </c>
      <c r="AD266" s="28">
        <v>46276</v>
      </c>
      <c r="AE266" s="28">
        <v>46304.1</v>
      </c>
      <c r="AF266" s="28">
        <v>46311.1</v>
      </c>
      <c r="AG266" s="28">
        <v>46316.1</v>
      </c>
      <c r="AH266" s="28">
        <v>46319</v>
      </c>
      <c r="AI266" s="28">
        <v>46336.1</v>
      </c>
      <c r="AJ266" s="81"/>
      <c r="AK266" s="79"/>
      <c r="AL266" s="83">
        <f>W266+AK265</f>
        <v>46320.1</v>
      </c>
      <c r="AM266" s="83"/>
      <c r="AN266" s="29"/>
      <c r="AO266" s="141"/>
      <c r="AP266" s="438"/>
      <c r="AQ266" s="21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425"/>
      <c r="BC266" s="411"/>
      <c r="BD266" s="411"/>
    </row>
    <row r="267" spans="1:56" s="3" customFormat="1" ht="18" customHeight="1" thickTop="1" thickBot="1" x14ac:dyDescent="0.45">
      <c r="A267" s="442"/>
      <c r="B267" s="94" t="s">
        <v>577</v>
      </c>
      <c r="C267" s="32" t="s">
        <v>534</v>
      </c>
      <c r="D267" s="44" t="s">
        <v>532</v>
      </c>
      <c r="E267" s="151"/>
      <c r="F267" s="151"/>
      <c r="G267" s="56" t="s">
        <v>163</v>
      </c>
      <c r="H267" s="34" t="s">
        <v>164</v>
      </c>
      <c r="I267" s="72" t="s">
        <v>33</v>
      </c>
      <c r="J267" s="32" t="s">
        <v>0</v>
      </c>
      <c r="K267" s="32" t="s">
        <v>308</v>
      </c>
      <c r="L267" s="45"/>
      <c r="M267" s="198" t="s">
        <v>74</v>
      </c>
      <c r="N267" s="35" t="s">
        <v>37</v>
      </c>
      <c r="O267" s="36">
        <v>46136</v>
      </c>
      <c r="P267" s="36">
        <v>46146</v>
      </c>
      <c r="Q267" s="36">
        <v>46157</v>
      </c>
      <c r="R267" s="36">
        <v>46183</v>
      </c>
      <c r="S267" s="36">
        <v>46183</v>
      </c>
      <c r="T267" s="36">
        <v>46185</v>
      </c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82"/>
      <c r="AK267" s="80"/>
      <c r="AL267" s="37"/>
      <c r="AM267" s="37"/>
      <c r="AN267" s="38"/>
      <c r="AO267" s="142"/>
      <c r="AP267" s="439"/>
      <c r="AQ267" s="39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25"/>
      <c r="BC267" s="411"/>
      <c r="BD267" s="411"/>
    </row>
    <row r="268" spans="1:56" s="3" customFormat="1" ht="18" customHeight="1" thickTop="1" thickBot="1" x14ac:dyDescent="0.45">
      <c r="A268" s="440">
        <f t="shared" ref="A268" si="71">A265+1</f>
        <v>81</v>
      </c>
      <c r="B268" s="92" t="s">
        <v>579</v>
      </c>
      <c r="C268" s="14" t="s">
        <v>656</v>
      </c>
      <c r="D268" s="227" t="s">
        <v>710</v>
      </c>
      <c r="E268" s="150"/>
      <c r="F268" s="150"/>
      <c r="G268" s="64" t="s">
        <v>170</v>
      </c>
      <c r="H268" s="16" t="s">
        <v>164</v>
      </c>
      <c r="I268" s="14" t="s">
        <v>56</v>
      </c>
      <c r="J268" s="14" t="s">
        <v>1</v>
      </c>
      <c r="K268" s="14" t="s">
        <v>308</v>
      </c>
      <c r="L268" s="217" t="s">
        <v>713</v>
      </c>
      <c r="M268" s="196" t="s">
        <v>74</v>
      </c>
      <c r="N268" s="18" t="s">
        <v>35</v>
      </c>
      <c r="O268" s="19">
        <v>46140</v>
      </c>
      <c r="P268" s="19">
        <v>46141</v>
      </c>
      <c r="Q268" s="19">
        <v>46150</v>
      </c>
      <c r="R268" s="19">
        <v>46153</v>
      </c>
      <c r="S268" s="19">
        <v>46160</v>
      </c>
      <c r="T268" s="19">
        <v>46174</v>
      </c>
      <c r="U268" s="230">
        <v>46231</v>
      </c>
      <c r="V268" s="19">
        <v>46245</v>
      </c>
      <c r="W268" s="19">
        <v>46241</v>
      </c>
      <c r="X268" s="19">
        <v>46245</v>
      </c>
      <c r="Y268" s="19">
        <v>46252</v>
      </c>
      <c r="Z268" s="19">
        <v>46280</v>
      </c>
      <c r="AA268" s="19">
        <v>46294</v>
      </c>
      <c r="AB268" s="19"/>
      <c r="AC268" s="19">
        <v>46299</v>
      </c>
      <c r="AD268" s="19">
        <v>46301</v>
      </c>
      <c r="AE268" s="19">
        <v>46329.1</v>
      </c>
      <c r="AF268" s="19">
        <v>46336.1</v>
      </c>
      <c r="AG268" s="19">
        <v>46341.1</v>
      </c>
      <c r="AH268" s="19">
        <v>46344.1</v>
      </c>
      <c r="AI268" s="19">
        <v>46371.1</v>
      </c>
      <c r="AJ268" s="58">
        <v>14.3</v>
      </c>
      <c r="AK268" s="59">
        <v>100.10000000000001</v>
      </c>
      <c r="AL268" s="78">
        <v>46341.1</v>
      </c>
      <c r="AM268" s="78">
        <v>46351</v>
      </c>
      <c r="AN268" s="20">
        <f>AM268-AL269</f>
        <v>9.9000000000014552</v>
      </c>
      <c r="AO268" s="143" t="s">
        <v>916</v>
      </c>
      <c r="AP268" s="437"/>
      <c r="AQ268" s="21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425"/>
      <c r="BC268" s="411"/>
      <c r="BD268" s="411"/>
    </row>
    <row r="269" spans="1:56" s="3" customFormat="1" ht="18" customHeight="1" thickTop="1" thickBot="1" x14ac:dyDescent="0.45">
      <c r="A269" s="441"/>
      <c r="B269" s="93" t="s">
        <v>579</v>
      </c>
      <c r="C269" s="41" t="s">
        <v>169</v>
      </c>
      <c r="D269" s="43" t="s">
        <v>709</v>
      </c>
      <c r="E269" s="157"/>
      <c r="F269" s="157"/>
      <c r="G269" s="43" t="s">
        <v>170</v>
      </c>
      <c r="H269" s="46" t="s">
        <v>164</v>
      </c>
      <c r="I269" s="23" t="s">
        <v>56</v>
      </c>
      <c r="J269" s="41" t="s">
        <v>1</v>
      </c>
      <c r="K269" s="41" t="s">
        <v>308</v>
      </c>
      <c r="L269" s="43"/>
      <c r="M269" s="197" t="s">
        <v>74</v>
      </c>
      <c r="N269" s="26" t="s">
        <v>36</v>
      </c>
      <c r="O269" s="27"/>
      <c r="P269" s="28"/>
      <c r="Q269" s="28"/>
      <c r="R269" s="28"/>
      <c r="S269" s="28"/>
      <c r="T269" s="28"/>
      <c r="U269" s="28">
        <v>46231</v>
      </c>
      <c r="V269" s="28">
        <v>46245</v>
      </c>
      <c r="W269" s="28">
        <v>46241</v>
      </c>
      <c r="X269" s="28">
        <v>46245</v>
      </c>
      <c r="Y269" s="28">
        <v>46252</v>
      </c>
      <c r="Z269" s="28">
        <v>46280</v>
      </c>
      <c r="AA269" s="28">
        <v>46294</v>
      </c>
      <c r="AB269" s="28"/>
      <c r="AC269" s="28">
        <v>46299</v>
      </c>
      <c r="AD269" s="28">
        <v>46301</v>
      </c>
      <c r="AE269" s="28">
        <v>46329.1</v>
      </c>
      <c r="AF269" s="28">
        <v>46336.1</v>
      </c>
      <c r="AG269" s="28">
        <v>46341.1</v>
      </c>
      <c r="AH269" s="28">
        <v>46344.1</v>
      </c>
      <c r="AI269" s="28">
        <v>46371.1</v>
      </c>
      <c r="AJ269" s="81"/>
      <c r="AK269" s="79"/>
      <c r="AL269" s="83">
        <f>W269+AK268</f>
        <v>46341.1</v>
      </c>
      <c r="AM269" s="83"/>
      <c r="AN269" s="29"/>
      <c r="AO269" s="141"/>
      <c r="AP269" s="438"/>
      <c r="AQ269" s="21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425"/>
      <c r="BC269" s="411"/>
      <c r="BD269" s="411"/>
    </row>
    <row r="270" spans="1:56" s="3" customFormat="1" ht="18" customHeight="1" thickTop="1" thickBot="1" x14ac:dyDescent="0.45">
      <c r="A270" s="442"/>
      <c r="B270" s="94" t="s">
        <v>579</v>
      </c>
      <c r="C270" s="32" t="s">
        <v>169</v>
      </c>
      <c r="D270" s="44" t="s">
        <v>709</v>
      </c>
      <c r="E270" s="158"/>
      <c r="F270" s="158"/>
      <c r="G270" s="45" t="s">
        <v>170</v>
      </c>
      <c r="H270" s="34" t="s">
        <v>164</v>
      </c>
      <c r="I270" s="32" t="s">
        <v>56</v>
      </c>
      <c r="J270" s="32" t="s">
        <v>1</v>
      </c>
      <c r="K270" s="32" t="s">
        <v>308</v>
      </c>
      <c r="L270" s="45"/>
      <c r="M270" s="198" t="s">
        <v>74</v>
      </c>
      <c r="N270" s="35" t="s">
        <v>37</v>
      </c>
      <c r="O270" s="36">
        <v>46136</v>
      </c>
      <c r="P270" s="36">
        <v>46165</v>
      </c>
      <c r="Q270" s="36">
        <v>46167</v>
      </c>
      <c r="R270" s="36">
        <v>46181</v>
      </c>
      <c r="S270" s="36">
        <v>46181</v>
      </c>
      <c r="T270" s="36">
        <v>46185</v>
      </c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82"/>
      <c r="AK270" s="80"/>
      <c r="AL270" s="37"/>
      <c r="AM270" s="37"/>
      <c r="AN270" s="38"/>
      <c r="AO270" s="142"/>
      <c r="AP270" s="439"/>
      <c r="AQ270" s="39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25"/>
      <c r="BC270" s="411"/>
      <c r="BD270" s="411"/>
    </row>
    <row r="271" spans="1:56" s="3" customFormat="1" ht="18" customHeight="1" thickTop="1" thickBot="1" x14ac:dyDescent="0.45">
      <c r="A271" s="440">
        <f t="shared" ref="A271" si="72">A268+1</f>
        <v>82</v>
      </c>
      <c r="B271" s="92" t="s">
        <v>579</v>
      </c>
      <c r="C271" s="14" t="s">
        <v>656</v>
      </c>
      <c r="D271" s="15" t="s">
        <v>712</v>
      </c>
      <c r="E271" s="150"/>
      <c r="F271" s="150"/>
      <c r="G271" s="64" t="s">
        <v>170</v>
      </c>
      <c r="H271" s="16" t="s">
        <v>164</v>
      </c>
      <c r="I271" s="14" t="s">
        <v>56</v>
      </c>
      <c r="J271" s="14" t="s">
        <v>1</v>
      </c>
      <c r="K271" s="14" t="s">
        <v>308</v>
      </c>
      <c r="L271" s="42"/>
      <c r="M271" s="196" t="s">
        <v>74</v>
      </c>
      <c r="N271" s="18" t="s">
        <v>35</v>
      </c>
      <c r="O271" s="230">
        <v>46140</v>
      </c>
      <c r="P271" s="19">
        <v>46141</v>
      </c>
      <c r="Q271" s="19">
        <v>46150</v>
      </c>
      <c r="R271" s="19">
        <v>46222</v>
      </c>
      <c r="S271" s="19">
        <v>46222</v>
      </c>
      <c r="T271" s="19">
        <v>46228</v>
      </c>
      <c r="U271" s="19">
        <v>46236</v>
      </c>
      <c r="V271" s="19">
        <v>46250</v>
      </c>
      <c r="W271" s="19">
        <v>46250</v>
      </c>
      <c r="X271" s="19">
        <v>46251</v>
      </c>
      <c r="Y271" s="19">
        <v>46262</v>
      </c>
      <c r="Z271" s="19">
        <v>46277</v>
      </c>
      <c r="AA271" s="19">
        <v>46291</v>
      </c>
      <c r="AB271" s="19"/>
      <c r="AC271" s="19">
        <v>46296</v>
      </c>
      <c r="AD271" s="19">
        <v>46298</v>
      </c>
      <c r="AE271" s="19">
        <v>46338.1</v>
      </c>
      <c r="AF271" s="19">
        <v>46345.1</v>
      </c>
      <c r="AG271" s="19">
        <v>46350.1</v>
      </c>
      <c r="AH271" s="19">
        <v>46348.1</v>
      </c>
      <c r="AI271" s="19">
        <v>46380.1</v>
      </c>
      <c r="AJ271" s="58">
        <v>14.3</v>
      </c>
      <c r="AK271" s="59">
        <v>100.10000000000001</v>
      </c>
      <c r="AL271" s="78">
        <v>46350.1</v>
      </c>
      <c r="AM271" s="78">
        <v>46358</v>
      </c>
      <c r="AN271" s="20">
        <f>AM271-AL272</f>
        <v>7.9000000000014552</v>
      </c>
      <c r="AO271" s="143" t="s">
        <v>916</v>
      </c>
      <c r="AP271" s="437"/>
      <c r="AQ271" s="21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425"/>
      <c r="BC271" s="411"/>
      <c r="BD271" s="411"/>
    </row>
    <row r="272" spans="1:56" s="3" customFormat="1" ht="18" customHeight="1" thickTop="1" thickBot="1" x14ac:dyDescent="0.45">
      <c r="A272" s="441"/>
      <c r="B272" s="93" t="s">
        <v>579</v>
      </c>
      <c r="C272" s="41" t="s">
        <v>169</v>
      </c>
      <c r="D272" s="43" t="s">
        <v>711</v>
      </c>
      <c r="E272" s="157"/>
      <c r="F272" s="157"/>
      <c r="G272" s="43" t="s">
        <v>170</v>
      </c>
      <c r="H272" s="46" t="s">
        <v>164</v>
      </c>
      <c r="I272" s="23" t="s">
        <v>56</v>
      </c>
      <c r="J272" s="41" t="s">
        <v>1</v>
      </c>
      <c r="K272" s="41" t="s">
        <v>308</v>
      </c>
      <c r="L272" s="43"/>
      <c r="M272" s="197" t="s">
        <v>74</v>
      </c>
      <c r="N272" s="26" t="s">
        <v>36</v>
      </c>
      <c r="O272" s="131">
        <v>46213</v>
      </c>
      <c r="P272" s="28"/>
      <c r="Q272" s="28"/>
      <c r="R272" s="28">
        <f>R271</f>
        <v>46222</v>
      </c>
      <c r="S272" s="28">
        <f>WORKDAY(R272, S9, IF(S15="China",'China Holidays'!$A$2:$A$84,'Thai Holidays'!$A$2:$A$65))</f>
        <v>46222</v>
      </c>
      <c r="T272" s="28">
        <v>46228</v>
      </c>
      <c r="U272" s="28">
        <v>46236</v>
      </c>
      <c r="V272" s="28">
        <v>46250</v>
      </c>
      <c r="W272" s="28">
        <v>46250</v>
      </c>
      <c r="X272" s="28">
        <v>46251</v>
      </c>
      <c r="Y272" s="28">
        <v>46262</v>
      </c>
      <c r="Z272" s="28">
        <v>46277</v>
      </c>
      <c r="AA272" s="28">
        <v>46291</v>
      </c>
      <c r="AB272" s="28"/>
      <c r="AC272" s="28">
        <v>46296</v>
      </c>
      <c r="AD272" s="28">
        <v>46298</v>
      </c>
      <c r="AE272" s="28">
        <v>46338.1</v>
      </c>
      <c r="AF272" s="28">
        <v>46345.1</v>
      </c>
      <c r="AG272" s="28">
        <v>46350.1</v>
      </c>
      <c r="AH272" s="28">
        <v>46348.1</v>
      </c>
      <c r="AI272" s="28">
        <v>46380.1</v>
      </c>
      <c r="AJ272" s="81"/>
      <c r="AK272" s="79"/>
      <c r="AL272" s="83">
        <f>W272+AK271</f>
        <v>46350.1</v>
      </c>
      <c r="AM272" s="83"/>
      <c r="AN272" s="29"/>
      <c r="AO272" s="141"/>
      <c r="AP272" s="438"/>
      <c r="AQ272" s="21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425"/>
      <c r="BC272" s="411"/>
      <c r="BD272" s="411"/>
    </row>
    <row r="273" spans="1:56" s="3" customFormat="1" ht="18" customHeight="1" thickTop="1" thickBot="1" x14ac:dyDescent="0.45">
      <c r="A273" s="442"/>
      <c r="B273" s="94" t="s">
        <v>579</v>
      </c>
      <c r="C273" s="32" t="s">
        <v>169</v>
      </c>
      <c r="D273" s="44" t="s">
        <v>711</v>
      </c>
      <c r="E273" s="158"/>
      <c r="F273" s="158"/>
      <c r="G273" s="45" t="s">
        <v>170</v>
      </c>
      <c r="H273" s="34" t="s">
        <v>164</v>
      </c>
      <c r="I273" s="32" t="s">
        <v>56</v>
      </c>
      <c r="J273" s="32" t="s">
        <v>1</v>
      </c>
      <c r="K273" s="32" t="s">
        <v>308</v>
      </c>
      <c r="L273" s="45"/>
      <c r="M273" s="198" t="s">
        <v>74</v>
      </c>
      <c r="N273" s="35" t="s">
        <v>37</v>
      </c>
      <c r="O273" s="36"/>
      <c r="P273" s="36">
        <v>46165</v>
      </c>
      <c r="Q273" s="36">
        <v>46167</v>
      </c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82"/>
      <c r="AK273" s="80"/>
      <c r="AL273" s="37"/>
      <c r="AM273" s="37"/>
      <c r="AN273" s="38"/>
      <c r="AO273" s="142"/>
      <c r="AP273" s="439"/>
      <c r="AQ273" s="39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25"/>
      <c r="BC273" s="411"/>
      <c r="BD273" s="411"/>
    </row>
    <row r="274" spans="1:56" s="3" customFormat="1" ht="15.4" thickTop="1" thickBot="1" x14ac:dyDescent="0.45">
      <c r="A274" s="440">
        <f t="shared" ref="A274" si="73">A271+1</f>
        <v>83</v>
      </c>
      <c r="B274" s="92" t="s">
        <v>576</v>
      </c>
      <c r="C274" s="14" t="s">
        <v>171</v>
      </c>
      <c r="D274" s="15" t="s">
        <v>581</v>
      </c>
      <c r="E274" s="150"/>
      <c r="F274" s="150"/>
      <c r="G274" s="64" t="s">
        <v>170</v>
      </c>
      <c r="H274" s="16" t="s">
        <v>164</v>
      </c>
      <c r="I274" s="14" t="s">
        <v>56</v>
      </c>
      <c r="J274" s="14" t="s">
        <v>3</v>
      </c>
      <c r="K274" s="14" t="s">
        <v>308</v>
      </c>
      <c r="L274" s="42"/>
      <c r="M274" s="196" t="s">
        <v>74</v>
      </c>
      <c r="N274" s="18" t="s">
        <v>35</v>
      </c>
      <c r="O274" s="230">
        <v>46168</v>
      </c>
      <c r="P274" s="19">
        <v>46169</v>
      </c>
      <c r="Q274" s="19">
        <v>46178</v>
      </c>
      <c r="R274" s="19">
        <v>46227</v>
      </c>
      <c r="S274" s="19">
        <v>46227</v>
      </c>
      <c r="T274" s="19">
        <v>46233</v>
      </c>
      <c r="U274" s="19">
        <v>46256</v>
      </c>
      <c r="V274" s="19">
        <v>46274</v>
      </c>
      <c r="W274" s="19">
        <v>46282</v>
      </c>
      <c r="X274" s="19">
        <v>46284</v>
      </c>
      <c r="Y274" s="19">
        <v>46291</v>
      </c>
      <c r="Z274" s="19">
        <v>46319</v>
      </c>
      <c r="AA274" s="19">
        <v>46333</v>
      </c>
      <c r="AB274" s="19"/>
      <c r="AC274" s="19">
        <v>30</v>
      </c>
      <c r="AD274" s="19">
        <v>46335</v>
      </c>
      <c r="AE274" s="19">
        <v>46362.02</v>
      </c>
      <c r="AF274" s="19">
        <v>46367.02</v>
      </c>
      <c r="AG274" s="19">
        <v>46372.02</v>
      </c>
      <c r="AH274" s="19">
        <v>46375.02</v>
      </c>
      <c r="AI274" s="19">
        <v>46402.02</v>
      </c>
      <c r="AJ274" s="58">
        <v>12.86</v>
      </c>
      <c r="AK274" s="59">
        <v>90.02</v>
      </c>
      <c r="AL274" s="78">
        <v>46372.02</v>
      </c>
      <c r="AM274" s="78">
        <v>46377</v>
      </c>
      <c r="AN274" s="20">
        <f>AM274-AL275</f>
        <v>4.9800000000032014</v>
      </c>
      <c r="AO274" s="143" t="s">
        <v>916</v>
      </c>
      <c r="AP274" s="437"/>
      <c r="AQ274" s="21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425"/>
      <c r="BC274" s="411"/>
      <c r="BD274" s="411"/>
    </row>
    <row r="275" spans="1:56" s="3" customFormat="1" ht="15.4" thickTop="1" thickBot="1" x14ac:dyDescent="0.45">
      <c r="A275" s="441"/>
      <c r="B275" s="93" t="s">
        <v>576</v>
      </c>
      <c r="C275" s="41" t="s">
        <v>171</v>
      </c>
      <c r="D275" s="43" t="s">
        <v>204</v>
      </c>
      <c r="E275" s="157"/>
      <c r="F275" s="157"/>
      <c r="G275" s="43" t="s">
        <v>170</v>
      </c>
      <c r="H275" s="46" t="s">
        <v>164</v>
      </c>
      <c r="I275" s="23" t="s">
        <v>56</v>
      </c>
      <c r="J275" s="41" t="s">
        <v>3</v>
      </c>
      <c r="K275" s="41" t="s">
        <v>308</v>
      </c>
      <c r="L275" s="43"/>
      <c r="M275" s="197" t="s">
        <v>74</v>
      </c>
      <c r="N275" s="26" t="s">
        <v>36</v>
      </c>
      <c r="O275" s="131">
        <v>46223</v>
      </c>
      <c r="P275" s="28"/>
      <c r="Q275" s="28"/>
      <c r="R275" s="28">
        <v>46227</v>
      </c>
      <c r="S275" s="28">
        <v>46227</v>
      </c>
      <c r="T275" s="28">
        <v>46233</v>
      </c>
      <c r="U275" s="28">
        <v>46256</v>
      </c>
      <c r="V275" s="28">
        <v>46274</v>
      </c>
      <c r="W275" s="28">
        <v>46282</v>
      </c>
      <c r="X275" s="28">
        <v>46284</v>
      </c>
      <c r="Y275" s="28">
        <v>46291</v>
      </c>
      <c r="Z275" s="28">
        <v>46319</v>
      </c>
      <c r="AA275" s="28">
        <v>46333</v>
      </c>
      <c r="AB275" s="28"/>
      <c r="AC275" s="28">
        <v>30</v>
      </c>
      <c r="AD275" s="28">
        <v>46335</v>
      </c>
      <c r="AE275" s="28">
        <v>46362.02</v>
      </c>
      <c r="AF275" s="28">
        <v>46367.02</v>
      </c>
      <c r="AG275" s="28">
        <v>46372.02</v>
      </c>
      <c r="AH275" s="28">
        <v>46375.02</v>
      </c>
      <c r="AI275" s="28">
        <v>46402.02</v>
      </c>
      <c r="AJ275" s="81"/>
      <c r="AK275" s="79"/>
      <c r="AL275" s="83">
        <f>W275+AK274</f>
        <v>46372.02</v>
      </c>
      <c r="AM275" s="83"/>
      <c r="AN275" s="29"/>
      <c r="AO275" s="141"/>
      <c r="AP275" s="438"/>
      <c r="AQ275" s="21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425"/>
      <c r="BC275" s="411"/>
      <c r="BD275" s="411"/>
    </row>
    <row r="276" spans="1:56" s="3" customFormat="1" ht="15.4" thickTop="1" thickBot="1" x14ac:dyDescent="0.45">
      <c r="A276" s="442"/>
      <c r="B276" s="94" t="s">
        <v>576</v>
      </c>
      <c r="C276" s="32" t="s">
        <v>171</v>
      </c>
      <c r="D276" s="44" t="s">
        <v>581</v>
      </c>
      <c r="E276" s="158"/>
      <c r="F276" s="158"/>
      <c r="G276" s="45" t="s">
        <v>170</v>
      </c>
      <c r="H276" s="34" t="s">
        <v>164</v>
      </c>
      <c r="I276" s="32" t="s">
        <v>56</v>
      </c>
      <c r="J276" s="32" t="s">
        <v>3</v>
      </c>
      <c r="K276" s="32" t="s">
        <v>308</v>
      </c>
      <c r="L276" s="45"/>
      <c r="M276" s="198" t="s">
        <v>74</v>
      </c>
      <c r="N276" s="35" t="s">
        <v>37</v>
      </c>
      <c r="O276" s="36"/>
      <c r="P276" s="36">
        <v>46171</v>
      </c>
      <c r="Q276" s="36">
        <v>46174</v>
      </c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82"/>
      <c r="AK276" s="80"/>
      <c r="AL276" s="37"/>
      <c r="AM276" s="37"/>
      <c r="AN276" s="38"/>
      <c r="AO276" s="142"/>
      <c r="AP276" s="439"/>
      <c r="AQ276" s="39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25"/>
      <c r="BC276" s="411"/>
      <c r="BD276" s="411"/>
    </row>
    <row r="277" spans="1:56" s="3" customFormat="1" ht="20.65" customHeight="1" thickTop="1" thickBot="1" x14ac:dyDescent="0.45">
      <c r="A277" s="440">
        <f t="shared" ref="A277" si="74">A274+1</f>
        <v>84</v>
      </c>
      <c r="B277" s="92" t="s">
        <v>820</v>
      </c>
      <c r="C277" s="17" t="s">
        <v>523</v>
      </c>
      <c r="D277" s="227" t="s">
        <v>963</v>
      </c>
      <c r="E277" s="150"/>
      <c r="F277" s="150"/>
      <c r="G277" s="64" t="s">
        <v>170</v>
      </c>
      <c r="H277" s="16" t="s">
        <v>164</v>
      </c>
      <c r="I277" s="14" t="s">
        <v>193</v>
      </c>
      <c r="J277" s="14" t="s">
        <v>0</v>
      </c>
      <c r="K277" s="14" t="s">
        <v>345</v>
      </c>
      <c r="L277" s="253" t="s">
        <v>990</v>
      </c>
      <c r="M277" s="196" t="s">
        <v>74</v>
      </c>
      <c r="N277" s="18" t="s">
        <v>35</v>
      </c>
      <c r="O277" s="19">
        <v>46135</v>
      </c>
      <c r="P277" s="19">
        <v>46150</v>
      </c>
      <c r="Q277" s="19">
        <v>46165</v>
      </c>
      <c r="R277" s="19">
        <v>46167</v>
      </c>
      <c r="S277" s="19">
        <v>46167</v>
      </c>
      <c r="T277" s="19">
        <v>46172</v>
      </c>
      <c r="U277" s="19">
        <v>46175</v>
      </c>
      <c r="V277" s="19">
        <v>46180</v>
      </c>
      <c r="W277" s="19">
        <v>46183</v>
      </c>
      <c r="X277" s="19">
        <v>46185</v>
      </c>
      <c r="Y277" s="57">
        <v>46132</v>
      </c>
      <c r="Z277" s="57">
        <v>46135</v>
      </c>
      <c r="AA277" s="57">
        <v>46162</v>
      </c>
      <c r="AB277" s="19">
        <v>46198</v>
      </c>
      <c r="AC277" s="19">
        <v>46200</v>
      </c>
      <c r="AD277" s="19">
        <v>46202</v>
      </c>
      <c r="AE277" s="230">
        <v>46232</v>
      </c>
      <c r="AF277" s="19">
        <v>46239</v>
      </c>
      <c r="AG277" s="19">
        <v>46244</v>
      </c>
      <c r="AH277" s="19">
        <v>46247</v>
      </c>
      <c r="AI277" s="19">
        <v>46274</v>
      </c>
      <c r="AJ277" s="58">
        <v>8.5</v>
      </c>
      <c r="AK277" s="59">
        <v>59.5</v>
      </c>
      <c r="AL277" s="78">
        <v>46244</v>
      </c>
      <c r="AM277" s="78">
        <v>46250</v>
      </c>
      <c r="AN277" s="77">
        <f>AM277-AL278</f>
        <v>6</v>
      </c>
      <c r="AO277" s="140" t="s">
        <v>692</v>
      </c>
      <c r="AP277" s="431" t="s">
        <v>731</v>
      </c>
      <c r="AQ277" s="21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425"/>
      <c r="BC277" s="411"/>
      <c r="BD277" s="411"/>
    </row>
    <row r="278" spans="1:56" s="3" customFormat="1" ht="20.75" customHeight="1" thickTop="1" thickBot="1" x14ac:dyDescent="0.45">
      <c r="A278" s="441"/>
      <c r="B278" s="98" t="s">
        <v>820</v>
      </c>
      <c r="C278" s="295" t="s">
        <v>523</v>
      </c>
      <c r="D278" s="296" t="s">
        <v>963</v>
      </c>
      <c r="E278" s="159"/>
      <c r="F278" s="159"/>
      <c r="G278" s="118" t="s">
        <v>170</v>
      </c>
      <c r="H278" s="119" t="s">
        <v>164</v>
      </c>
      <c r="I278" s="120" t="s">
        <v>33</v>
      </c>
      <c r="J278" s="117" t="s">
        <v>0</v>
      </c>
      <c r="K278" s="117" t="s">
        <v>345</v>
      </c>
      <c r="L278" s="118"/>
      <c r="M278" s="202" t="s">
        <v>74</v>
      </c>
      <c r="N278" s="121" t="s">
        <v>351</v>
      </c>
      <c r="O278" s="122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  <c r="AB278" s="129"/>
      <c r="AC278" s="83"/>
      <c r="AD278" s="83"/>
      <c r="AE278" s="83">
        <v>46232</v>
      </c>
      <c r="AF278" s="83">
        <v>46239</v>
      </c>
      <c r="AG278" s="83">
        <f>AL278</f>
        <v>46244</v>
      </c>
      <c r="AH278" s="28">
        <f>AG278+3</f>
        <v>46247</v>
      </c>
      <c r="AI278" s="28">
        <f>AG278+30</f>
        <v>46274</v>
      </c>
      <c r="AJ278" s="124"/>
      <c r="AK278" s="125"/>
      <c r="AL278" s="83">
        <v>46244</v>
      </c>
      <c r="AM278" s="126"/>
      <c r="AN278" s="125"/>
      <c r="AO278" s="125"/>
      <c r="AP278" s="432"/>
      <c r="AQ278" s="39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25"/>
      <c r="BC278" s="411"/>
      <c r="BD278" s="411"/>
    </row>
    <row r="279" spans="1:56" s="3" customFormat="1" ht="20.75" customHeight="1" thickBot="1" x14ac:dyDescent="0.45">
      <c r="A279" s="442"/>
      <c r="B279" s="94" t="s">
        <v>820</v>
      </c>
      <c r="C279" s="72" t="s">
        <v>523</v>
      </c>
      <c r="D279" s="33" t="s">
        <v>963</v>
      </c>
      <c r="E279" s="158"/>
      <c r="F279" s="158"/>
      <c r="G279" s="45" t="s">
        <v>170</v>
      </c>
      <c r="H279" s="34" t="s">
        <v>164</v>
      </c>
      <c r="I279" s="32" t="s">
        <v>193</v>
      </c>
      <c r="J279" s="32" t="s">
        <v>0</v>
      </c>
      <c r="K279" s="32" t="s">
        <v>345</v>
      </c>
      <c r="L279" s="45"/>
      <c r="M279" s="198" t="s">
        <v>74</v>
      </c>
      <c r="N279" s="35" t="s">
        <v>352</v>
      </c>
      <c r="O279" s="36">
        <v>46120</v>
      </c>
      <c r="P279" s="36">
        <v>46148</v>
      </c>
      <c r="Q279" s="36">
        <v>46157</v>
      </c>
      <c r="R279" s="37">
        <v>46167</v>
      </c>
      <c r="S279" s="36">
        <v>46167</v>
      </c>
      <c r="T279" s="36">
        <v>46172</v>
      </c>
      <c r="U279" s="36">
        <v>46185</v>
      </c>
      <c r="V279" s="36">
        <v>46192</v>
      </c>
      <c r="W279" s="130">
        <v>46195</v>
      </c>
      <c r="X279" s="130">
        <v>46195</v>
      </c>
      <c r="Y279" s="36">
        <v>46132</v>
      </c>
      <c r="Z279" s="36">
        <v>46193</v>
      </c>
      <c r="AA279" s="36">
        <v>46193</v>
      </c>
      <c r="AB279" s="36">
        <v>46199</v>
      </c>
      <c r="AC279" s="36">
        <v>46199</v>
      </c>
      <c r="AD279" s="36">
        <v>46199</v>
      </c>
      <c r="AE279" s="36"/>
      <c r="AF279" s="36"/>
      <c r="AG279" s="36"/>
      <c r="AH279" s="36"/>
      <c r="AI279" s="36"/>
      <c r="AJ279" s="82"/>
      <c r="AK279" s="80"/>
      <c r="AL279" s="37"/>
      <c r="AM279" s="37"/>
      <c r="AN279" s="80"/>
      <c r="AO279" s="144"/>
      <c r="AP279" s="433"/>
      <c r="AQ279" s="39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25"/>
      <c r="BC279" s="411"/>
      <c r="BD279" s="411"/>
    </row>
    <row r="280" spans="1:56" s="3" customFormat="1" ht="20.65" customHeight="1" thickTop="1" thickBot="1" x14ac:dyDescent="0.45">
      <c r="A280" s="440">
        <f t="shared" ref="A280" si="75">A277+1</f>
        <v>85</v>
      </c>
      <c r="B280" s="92" t="s">
        <v>820</v>
      </c>
      <c r="C280" s="17" t="s">
        <v>960</v>
      </c>
      <c r="D280" s="227" t="s">
        <v>788</v>
      </c>
      <c r="E280" s="150"/>
      <c r="F280" s="150"/>
      <c r="G280" s="64" t="s">
        <v>170</v>
      </c>
      <c r="H280" s="16" t="s">
        <v>164</v>
      </c>
      <c r="I280" s="14" t="s">
        <v>193</v>
      </c>
      <c r="J280" s="14" t="s">
        <v>0</v>
      </c>
      <c r="K280" s="14" t="s">
        <v>345</v>
      </c>
      <c r="L280" s="253"/>
      <c r="M280" s="196" t="s">
        <v>74</v>
      </c>
      <c r="N280" s="18" t="s">
        <v>35</v>
      </c>
      <c r="O280" s="19">
        <v>46135</v>
      </c>
      <c r="P280" s="19">
        <v>46150</v>
      </c>
      <c r="Q280" s="19">
        <v>46165</v>
      </c>
      <c r="R280" s="19">
        <v>46167</v>
      </c>
      <c r="S280" s="19">
        <v>46167</v>
      </c>
      <c r="T280" s="19">
        <v>46172</v>
      </c>
      <c r="U280" s="19">
        <v>46175</v>
      </c>
      <c r="V280" s="19">
        <v>46180</v>
      </c>
      <c r="W280" s="19">
        <v>46183</v>
      </c>
      <c r="X280" s="19">
        <v>46185</v>
      </c>
      <c r="Y280" s="57">
        <v>46132</v>
      </c>
      <c r="Z280" s="57">
        <v>46135</v>
      </c>
      <c r="AA280" s="57">
        <v>46162</v>
      </c>
      <c r="AB280" s="19">
        <v>46198</v>
      </c>
      <c r="AC280" s="19">
        <v>46221</v>
      </c>
      <c r="AD280" s="19">
        <v>46214</v>
      </c>
      <c r="AE280" s="230">
        <v>46244</v>
      </c>
      <c r="AF280" s="19">
        <v>46251</v>
      </c>
      <c r="AG280" s="19">
        <v>46256</v>
      </c>
      <c r="AH280" s="19">
        <v>46259</v>
      </c>
      <c r="AI280" s="19">
        <v>46286</v>
      </c>
      <c r="AJ280" s="58">
        <v>8.5</v>
      </c>
      <c r="AK280" s="59">
        <v>59.5</v>
      </c>
      <c r="AL280" s="78">
        <v>46256</v>
      </c>
      <c r="AM280" s="78">
        <v>46262</v>
      </c>
      <c r="AN280" s="77">
        <f>AM280-AL281</f>
        <v>6</v>
      </c>
      <c r="AO280" s="140" t="s">
        <v>692</v>
      </c>
      <c r="AP280" s="431" t="s">
        <v>731</v>
      </c>
      <c r="AQ280" s="21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425"/>
      <c r="BC280" s="411"/>
      <c r="BD280" s="411"/>
    </row>
    <row r="281" spans="1:56" s="3" customFormat="1" ht="20.75" customHeight="1" thickTop="1" thickBot="1" x14ac:dyDescent="0.45">
      <c r="A281" s="441"/>
      <c r="B281" s="98" t="s">
        <v>820</v>
      </c>
      <c r="C281" s="295" t="s">
        <v>960</v>
      </c>
      <c r="D281" s="296" t="s">
        <v>788</v>
      </c>
      <c r="E281" s="159"/>
      <c r="F281" s="159"/>
      <c r="G281" s="118" t="s">
        <v>170</v>
      </c>
      <c r="H281" s="119" t="s">
        <v>164</v>
      </c>
      <c r="I281" s="120" t="s">
        <v>33</v>
      </c>
      <c r="J281" s="117" t="s">
        <v>0</v>
      </c>
      <c r="K281" s="117" t="s">
        <v>345</v>
      </c>
      <c r="L281" s="118"/>
      <c r="M281" s="202" t="s">
        <v>74</v>
      </c>
      <c r="N281" s="121" t="s">
        <v>351</v>
      </c>
      <c r="O281" s="122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  <c r="AB281" s="129"/>
      <c r="AC281" s="83"/>
      <c r="AD281" s="83"/>
      <c r="AE281" s="83">
        <v>46244</v>
      </c>
      <c r="AF281" s="83">
        <v>46251</v>
      </c>
      <c r="AG281" s="83">
        <v>46256</v>
      </c>
      <c r="AH281" s="28">
        <v>46259</v>
      </c>
      <c r="AI281" s="28">
        <v>46286</v>
      </c>
      <c r="AJ281" s="124"/>
      <c r="AK281" s="125"/>
      <c r="AL281" s="83">
        <v>46256</v>
      </c>
      <c r="AM281" s="126"/>
      <c r="AN281" s="125"/>
      <c r="AO281" s="125"/>
      <c r="AP281" s="432"/>
      <c r="AQ281" s="39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25"/>
      <c r="BC281" s="411"/>
      <c r="BD281" s="411"/>
    </row>
    <row r="282" spans="1:56" s="3" customFormat="1" ht="20.75" customHeight="1" thickBot="1" x14ac:dyDescent="0.45">
      <c r="A282" s="442"/>
      <c r="B282" s="94" t="s">
        <v>820</v>
      </c>
      <c r="C282" s="72" t="s">
        <v>960</v>
      </c>
      <c r="D282" s="33" t="s">
        <v>788</v>
      </c>
      <c r="E282" s="158"/>
      <c r="F282" s="158"/>
      <c r="G282" s="45" t="s">
        <v>170</v>
      </c>
      <c r="H282" s="34" t="s">
        <v>164</v>
      </c>
      <c r="I282" s="32" t="s">
        <v>193</v>
      </c>
      <c r="J282" s="32" t="s">
        <v>0</v>
      </c>
      <c r="K282" s="32" t="s">
        <v>345</v>
      </c>
      <c r="L282" s="45"/>
      <c r="M282" s="198" t="s">
        <v>74</v>
      </c>
      <c r="N282" s="35" t="s">
        <v>352</v>
      </c>
      <c r="O282" s="36">
        <v>46120</v>
      </c>
      <c r="P282" s="36">
        <v>46148</v>
      </c>
      <c r="Q282" s="36">
        <v>46157</v>
      </c>
      <c r="R282" s="37">
        <v>46167</v>
      </c>
      <c r="S282" s="36">
        <v>46167</v>
      </c>
      <c r="T282" s="36">
        <v>46172</v>
      </c>
      <c r="U282" s="36">
        <v>46185</v>
      </c>
      <c r="V282" s="36">
        <v>46192</v>
      </c>
      <c r="W282" s="130">
        <v>46195</v>
      </c>
      <c r="X282" s="130">
        <v>46195</v>
      </c>
      <c r="Y282" s="36">
        <v>46132</v>
      </c>
      <c r="Z282" s="36">
        <v>46193</v>
      </c>
      <c r="AA282" s="36">
        <v>46193</v>
      </c>
      <c r="AB282" s="36">
        <v>46199</v>
      </c>
      <c r="AC282" s="36">
        <v>46199</v>
      </c>
      <c r="AD282" s="36">
        <v>46199</v>
      </c>
      <c r="AE282" s="36"/>
      <c r="AF282" s="36"/>
      <c r="AG282" s="36"/>
      <c r="AH282" s="36"/>
      <c r="AI282" s="36"/>
      <c r="AJ282" s="82"/>
      <c r="AK282" s="80"/>
      <c r="AL282" s="37"/>
      <c r="AM282" s="37"/>
      <c r="AN282" s="80"/>
      <c r="AO282" s="144"/>
      <c r="AP282" s="433"/>
      <c r="AQ282" s="39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25"/>
      <c r="BC282" s="411"/>
      <c r="BD282" s="411"/>
    </row>
    <row r="283" spans="1:56" s="3" customFormat="1" ht="20.65" customHeight="1" thickTop="1" thickBot="1" x14ac:dyDescent="0.45">
      <c r="A283" s="440">
        <f t="shared" ref="A283" si="76">A280+1</f>
        <v>86</v>
      </c>
      <c r="B283" s="92" t="s">
        <v>820</v>
      </c>
      <c r="C283" s="17" t="s">
        <v>961</v>
      </c>
      <c r="D283" s="227" t="s">
        <v>964</v>
      </c>
      <c r="E283" s="150"/>
      <c r="F283" s="150"/>
      <c r="G283" s="64" t="s">
        <v>170</v>
      </c>
      <c r="H283" s="16" t="s">
        <v>164</v>
      </c>
      <c r="I283" s="14" t="s">
        <v>193</v>
      </c>
      <c r="J283" s="14" t="s">
        <v>0</v>
      </c>
      <c r="K283" s="14" t="s">
        <v>345</v>
      </c>
      <c r="L283" s="253"/>
      <c r="M283" s="196" t="s">
        <v>74</v>
      </c>
      <c r="N283" s="18" t="s">
        <v>35</v>
      </c>
      <c r="O283" s="19">
        <v>46135</v>
      </c>
      <c r="P283" s="19">
        <v>46150</v>
      </c>
      <c r="Q283" s="19">
        <v>46165</v>
      </c>
      <c r="R283" s="19">
        <v>46167</v>
      </c>
      <c r="S283" s="19">
        <v>46167</v>
      </c>
      <c r="T283" s="19">
        <v>46172</v>
      </c>
      <c r="U283" s="19">
        <v>46175</v>
      </c>
      <c r="V283" s="19">
        <v>46180</v>
      </c>
      <c r="W283" s="19">
        <v>46183</v>
      </c>
      <c r="X283" s="19">
        <v>46185</v>
      </c>
      <c r="Y283" s="57">
        <v>46132</v>
      </c>
      <c r="Z283" s="57">
        <v>46135</v>
      </c>
      <c r="AA283" s="57">
        <v>46162</v>
      </c>
      <c r="AB283" s="19">
        <v>46198</v>
      </c>
      <c r="AC283" s="19">
        <v>46242</v>
      </c>
      <c r="AD283" s="19">
        <v>46226</v>
      </c>
      <c r="AE283" s="230">
        <v>46256</v>
      </c>
      <c r="AF283" s="19">
        <v>46263</v>
      </c>
      <c r="AG283" s="19">
        <v>46268</v>
      </c>
      <c r="AH283" s="19">
        <v>46271</v>
      </c>
      <c r="AI283" s="19">
        <v>46298</v>
      </c>
      <c r="AJ283" s="58">
        <v>8.5</v>
      </c>
      <c r="AK283" s="59">
        <v>59.5</v>
      </c>
      <c r="AL283" s="78">
        <v>46268</v>
      </c>
      <c r="AM283" s="78">
        <v>46274</v>
      </c>
      <c r="AN283" s="77">
        <f>AM283-AL284</f>
        <v>6</v>
      </c>
      <c r="AO283" s="140" t="s">
        <v>692</v>
      </c>
      <c r="AP283" s="431" t="s">
        <v>731</v>
      </c>
      <c r="AQ283" s="21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425"/>
      <c r="BC283" s="411"/>
      <c r="BD283" s="411"/>
    </row>
    <row r="284" spans="1:56" s="3" customFormat="1" ht="20.75" customHeight="1" thickTop="1" thickBot="1" x14ac:dyDescent="0.45">
      <c r="A284" s="441"/>
      <c r="B284" s="98" t="s">
        <v>820</v>
      </c>
      <c r="C284" s="295" t="s">
        <v>961</v>
      </c>
      <c r="D284" s="296" t="s">
        <v>964</v>
      </c>
      <c r="E284" s="159"/>
      <c r="F284" s="159"/>
      <c r="G284" s="118" t="s">
        <v>170</v>
      </c>
      <c r="H284" s="119" t="s">
        <v>164</v>
      </c>
      <c r="I284" s="120" t="s">
        <v>33</v>
      </c>
      <c r="J284" s="117" t="s">
        <v>0</v>
      </c>
      <c r="K284" s="117" t="s">
        <v>345</v>
      </c>
      <c r="L284" s="118"/>
      <c r="M284" s="202" t="s">
        <v>74</v>
      </c>
      <c r="N284" s="121" t="s">
        <v>351</v>
      </c>
      <c r="O284" s="122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  <c r="AB284" s="129"/>
      <c r="AC284" s="83"/>
      <c r="AD284" s="83"/>
      <c r="AE284" s="83">
        <v>46256</v>
      </c>
      <c r="AF284" s="83">
        <v>46263</v>
      </c>
      <c r="AG284" s="83">
        <v>46268</v>
      </c>
      <c r="AH284" s="28">
        <v>46271</v>
      </c>
      <c r="AI284" s="28">
        <v>46298</v>
      </c>
      <c r="AJ284" s="124"/>
      <c r="AK284" s="125"/>
      <c r="AL284" s="83">
        <v>46268</v>
      </c>
      <c r="AM284" s="126"/>
      <c r="AN284" s="125"/>
      <c r="AO284" s="125"/>
      <c r="AP284" s="432"/>
      <c r="AQ284" s="39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25"/>
      <c r="BC284" s="411"/>
      <c r="BD284" s="411"/>
    </row>
    <row r="285" spans="1:56" s="3" customFormat="1" ht="20.75" customHeight="1" thickBot="1" x14ac:dyDescent="0.45">
      <c r="A285" s="442"/>
      <c r="B285" s="94" t="s">
        <v>820</v>
      </c>
      <c r="C285" s="72" t="s">
        <v>961</v>
      </c>
      <c r="D285" s="33" t="s">
        <v>964</v>
      </c>
      <c r="E285" s="158"/>
      <c r="F285" s="158"/>
      <c r="G285" s="45" t="s">
        <v>170</v>
      </c>
      <c r="H285" s="34" t="s">
        <v>164</v>
      </c>
      <c r="I285" s="32" t="s">
        <v>193</v>
      </c>
      <c r="J285" s="32" t="s">
        <v>0</v>
      </c>
      <c r="K285" s="32" t="s">
        <v>345</v>
      </c>
      <c r="L285" s="45"/>
      <c r="M285" s="198" t="s">
        <v>74</v>
      </c>
      <c r="N285" s="35" t="s">
        <v>352</v>
      </c>
      <c r="O285" s="36">
        <v>46120</v>
      </c>
      <c r="P285" s="36">
        <v>46148</v>
      </c>
      <c r="Q285" s="36">
        <v>46157</v>
      </c>
      <c r="R285" s="37">
        <v>46167</v>
      </c>
      <c r="S285" s="36">
        <v>46167</v>
      </c>
      <c r="T285" s="36">
        <v>46172</v>
      </c>
      <c r="U285" s="36">
        <v>46185</v>
      </c>
      <c r="V285" s="36">
        <v>46192</v>
      </c>
      <c r="W285" s="130">
        <v>46195</v>
      </c>
      <c r="X285" s="130">
        <v>46195</v>
      </c>
      <c r="Y285" s="36">
        <v>46132</v>
      </c>
      <c r="Z285" s="36">
        <v>46193</v>
      </c>
      <c r="AA285" s="36">
        <v>46193</v>
      </c>
      <c r="AB285" s="36">
        <v>46199</v>
      </c>
      <c r="AC285" s="36">
        <v>46199</v>
      </c>
      <c r="AD285" s="36">
        <v>46199</v>
      </c>
      <c r="AE285" s="36"/>
      <c r="AF285" s="36"/>
      <c r="AG285" s="36"/>
      <c r="AH285" s="36"/>
      <c r="AI285" s="36"/>
      <c r="AJ285" s="82"/>
      <c r="AK285" s="80"/>
      <c r="AL285" s="37"/>
      <c r="AM285" s="37"/>
      <c r="AN285" s="80"/>
      <c r="AO285" s="144"/>
      <c r="AP285" s="433"/>
      <c r="AQ285" s="39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25"/>
      <c r="BC285" s="411"/>
      <c r="BD285" s="411"/>
    </row>
    <row r="286" spans="1:56" s="3" customFormat="1" ht="20.65" customHeight="1" thickTop="1" thickBot="1" x14ac:dyDescent="0.45">
      <c r="A286" s="440">
        <f t="shared" ref="A286" si="77">A283+1</f>
        <v>87</v>
      </c>
      <c r="B286" s="92" t="s">
        <v>820</v>
      </c>
      <c r="C286" s="17" t="s">
        <v>524</v>
      </c>
      <c r="D286" s="227" t="s">
        <v>965</v>
      </c>
      <c r="E286" s="150"/>
      <c r="F286" s="150"/>
      <c r="G286" s="64" t="s">
        <v>170</v>
      </c>
      <c r="H286" s="16" t="s">
        <v>164</v>
      </c>
      <c r="I286" s="14" t="s">
        <v>193</v>
      </c>
      <c r="J286" s="14" t="s">
        <v>0</v>
      </c>
      <c r="K286" s="14" t="s">
        <v>345</v>
      </c>
      <c r="L286" s="253"/>
      <c r="M286" s="196" t="s">
        <v>74</v>
      </c>
      <c r="N286" s="18" t="s">
        <v>35</v>
      </c>
      <c r="O286" s="19">
        <v>46135</v>
      </c>
      <c r="P286" s="19">
        <v>46150</v>
      </c>
      <c r="Q286" s="19">
        <v>46165</v>
      </c>
      <c r="R286" s="19">
        <v>46167</v>
      </c>
      <c r="S286" s="19">
        <v>46167</v>
      </c>
      <c r="T286" s="19">
        <v>46172</v>
      </c>
      <c r="U286" s="19">
        <v>46175</v>
      </c>
      <c r="V286" s="19">
        <v>46180</v>
      </c>
      <c r="W286" s="19">
        <v>46183</v>
      </c>
      <c r="X286" s="19">
        <v>46185</v>
      </c>
      <c r="Y286" s="57">
        <v>46132</v>
      </c>
      <c r="Z286" s="57">
        <v>46135</v>
      </c>
      <c r="AA286" s="57">
        <v>46162</v>
      </c>
      <c r="AB286" s="19">
        <v>46198</v>
      </c>
      <c r="AC286" s="19">
        <v>46263</v>
      </c>
      <c r="AD286" s="19">
        <v>46238</v>
      </c>
      <c r="AE286" s="230">
        <v>46268</v>
      </c>
      <c r="AF286" s="19">
        <v>46275</v>
      </c>
      <c r="AG286" s="19">
        <v>46280</v>
      </c>
      <c r="AH286" s="19">
        <v>46283</v>
      </c>
      <c r="AI286" s="19">
        <v>46310</v>
      </c>
      <c r="AJ286" s="58">
        <v>8.5</v>
      </c>
      <c r="AK286" s="59">
        <v>59.5</v>
      </c>
      <c r="AL286" s="78">
        <v>46280</v>
      </c>
      <c r="AM286" s="78">
        <v>46286</v>
      </c>
      <c r="AN286" s="77">
        <f>AM286-AL287</f>
        <v>6</v>
      </c>
      <c r="AO286" s="140" t="s">
        <v>692</v>
      </c>
      <c r="AP286" s="431" t="s">
        <v>731</v>
      </c>
      <c r="AQ286" s="21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425"/>
      <c r="BC286" s="411"/>
      <c r="BD286" s="411"/>
    </row>
    <row r="287" spans="1:56" s="3" customFormat="1" ht="20.75" customHeight="1" thickTop="1" thickBot="1" x14ac:dyDescent="0.45">
      <c r="A287" s="441"/>
      <c r="B287" s="98" t="s">
        <v>820</v>
      </c>
      <c r="C287" s="295" t="s">
        <v>524</v>
      </c>
      <c r="D287" s="296" t="s">
        <v>965</v>
      </c>
      <c r="E287" s="159"/>
      <c r="F287" s="159"/>
      <c r="G287" s="118" t="s">
        <v>170</v>
      </c>
      <c r="H287" s="119" t="s">
        <v>164</v>
      </c>
      <c r="I287" s="120" t="s">
        <v>33</v>
      </c>
      <c r="J287" s="117" t="s">
        <v>0</v>
      </c>
      <c r="K287" s="117" t="s">
        <v>345</v>
      </c>
      <c r="L287" s="118"/>
      <c r="M287" s="202" t="s">
        <v>74</v>
      </c>
      <c r="N287" s="121" t="s">
        <v>351</v>
      </c>
      <c r="O287" s="122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  <c r="AB287" s="129"/>
      <c r="AC287" s="83"/>
      <c r="AD287" s="83"/>
      <c r="AE287" s="83">
        <v>46268</v>
      </c>
      <c r="AF287" s="83">
        <v>46275</v>
      </c>
      <c r="AG287" s="83">
        <v>46280</v>
      </c>
      <c r="AH287" s="28">
        <v>46283</v>
      </c>
      <c r="AI287" s="28">
        <v>46310</v>
      </c>
      <c r="AJ287" s="124"/>
      <c r="AK287" s="125"/>
      <c r="AL287" s="83">
        <v>46280</v>
      </c>
      <c r="AM287" s="126"/>
      <c r="AN287" s="125"/>
      <c r="AO287" s="125"/>
      <c r="AP287" s="432"/>
      <c r="AQ287" s="39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25"/>
      <c r="BC287" s="411"/>
      <c r="BD287" s="411"/>
    </row>
    <row r="288" spans="1:56" s="3" customFormat="1" ht="20.75" customHeight="1" thickBot="1" x14ac:dyDescent="0.45">
      <c r="A288" s="442"/>
      <c r="B288" s="94" t="s">
        <v>820</v>
      </c>
      <c r="C288" s="72" t="s">
        <v>524</v>
      </c>
      <c r="D288" s="33" t="s">
        <v>965</v>
      </c>
      <c r="E288" s="158"/>
      <c r="F288" s="158"/>
      <c r="G288" s="45" t="s">
        <v>170</v>
      </c>
      <c r="H288" s="34" t="s">
        <v>164</v>
      </c>
      <c r="I288" s="32" t="s">
        <v>193</v>
      </c>
      <c r="J288" s="32" t="s">
        <v>0</v>
      </c>
      <c r="K288" s="32" t="s">
        <v>345</v>
      </c>
      <c r="L288" s="45"/>
      <c r="M288" s="198" t="s">
        <v>74</v>
      </c>
      <c r="N288" s="35" t="s">
        <v>352</v>
      </c>
      <c r="O288" s="36">
        <v>46120</v>
      </c>
      <c r="P288" s="36">
        <v>46148</v>
      </c>
      <c r="Q288" s="36">
        <v>46157</v>
      </c>
      <c r="R288" s="37">
        <v>46167</v>
      </c>
      <c r="S288" s="36">
        <v>46167</v>
      </c>
      <c r="T288" s="36">
        <v>46172</v>
      </c>
      <c r="U288" s="36">
        <v>46185</v>
      </c>
      <c r="V288" s="36">
        <v>46192</v>
      </c>
      <c r="W288" s="130">
        <v>46195</v>
      </c>
      <c r="X288" s="130">
        <v>46195</v>
      </c>
      <c r="Y288" s="36">
        <v>46132</v>
      </c>
      <c r="Z288" s="36">
        <v>46193</v>
      </c>
      <c r="AA288" s="36">
        <v>46193</v>
      </c>
      <c r="AB288" s="36">
        <v>46199</v>
      </c>
      <c r="AC288" s="36">
        <v>46199</v>
      </c>
      <c r="AD288" s="36">
        <v>46199</v>
      </c>
      <c r="AE288" s="36"/>
      <c r="AF288" s="36"/>
      <c r="AG288" s="36"/>
      <c r="AH288" s="36"/>
      <c r="AI288" s="36"/>
      <c r="AJ288" s="82"/>
      <c r="AK288" s="80"/>
      <c r="AL288" s="37"/>
      <c r="AM288" s="37"/>
      <c r="AN288" s="80"/>
      <c r="AO288" s="144"/>
      <c r="AP288" s="433"/>
      <c r="AQ288" s="39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25"/>
      <c r="BC288" s="411"/>
      <c r="BD288" s="411"/>
    </row>
    <row r="289" spans="1:56" s="3" customFormat="1" ht="20.65" customHeight="1" thickTop="1" thickBot="1" x14ac:dyDescent="0.45">
      <c r="A289" s="440">
        <f t="shared" ref="A289" si="78">A286+1</f>
        <v>88</v>
      </c>
      <c r="B289" s="92" t="s">
        <v>820</v>
      </c>
      <c r="C289" s="17" t="s">
        <v>525</v>
      </c>
      <c r="D289" s="227" t="s">
        <v>966</v>
      </c>
      <c r="E289" s="150"/>
      <c r="F289" s="150"/>
      <c r="G289" s="64" t="s">
        <v>170</v>
      </c>
      <c r="H289" s="16" t="s">
        <v>164</v>
      </c>
      <c r="I289" s="14" t="s">
        <v>193</v>
      </c>
      <c r="J289" s="14" t="s">
        <v>0</v>
      </c>
      <c r="K289" s="14" t="s">
        <v>345</v>
      </c>
      <c r="L289" s="253"/>
      <c r="M289" s="196" t="s">
        <v>74</v>
      </c>
      <c r="N289" s="18" t="s">
        <v>35</v>
      </c>
      <c r="O289" s="19">
        <v>46135</v>
      </c>
      <c r="P289" s="19">
        <v>46150</v>
      </c>
      <c r="Q289" s="19">
        <v>46165</v>
      </c>
      <c r="R289" s="19">
        <v>46167</v>
      </c>
      <c r="S289" s="19">
        <v>46167</v>
      </c>
      <c r="T289" s="19">
        <v>46172</v>
      </c>
      <c r="U289" s="19">
        <v>46175</v>
      </c>
      <c r="V289" s="19">
        <v>46180</v>
      </c>
      <c r="W289" s="19">
        <v>46183</v>
      </c>
      <c r="X289" s="230">
        <v>46185</v>
      </c>
      <c r="Y289" s="57">
        <v>46132</v>
      </c>
      <c r="Z289" s="57">
        <v>46135</v>
      </c>
      <c r="AA289" s="57">
        <v>46162</v>
      </c>
      <c r="AB289" s="19">
        <v>46198</v>
      </c>
      <c r="AC289" s="19">
        <v>46284</v>
      </c>
      <c r="AD289" s="19">
        <v>46250</v>
      </c>
      <c r="AE289" s="19">
        <v>46280</v>
      </c>
      <c r="AF289" s="19">
        <v>46287</v>
      </c>
      <c r="AG289" s="19">
        <v>46292</v>
      </c>
      <c r="AH289" s="19">
        <v>46295</v>
      </c>
      <c r="AI289" s="19">
        <v>46322</v>
      </c>
      <c r="AJ289" s="58">
        <v>8.5</v>
      </c>
      <c r="AK289" s="59">
        <v>59.5</v>
      </c>
      <c r="AL289" s="78">
        <v>46292</v>
      </c>
      <c r="AM289" s="78">
        <v>46298</v>
      </c>
      <c r="AN289" s="77">
        <f>AM289-AL290</f>
        <v>6</v>
      </c>
      <c r="AO289" s="140" t="s">
        <v>692</v>
      </c>
      <c r="AP289" s="431" t="s">
        <v>731</v>
      </c>
      <c r="AQ289" s="21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425"/>
      <c r="BC289" s="411"/>
      <c r="BD289" s="411"/>
    </row>
    <row r="290" spans="1:56" s="3" customFormat="1" ht="20.75" customHeight="1" thickTop="1" thickBot="1" x14ac:dyDescent="0.45">
      <c r="A290" s="441"/>
      <c r="B290" s="98" t="s">
        <v>820</v>
      </c>
      <c r="C290" s="295" t="s">
        <v>525</v>
      </c>
      <c r="D290" s="296" t="s">
        <v>966</v>
      </c>
      <c r="E290" s="159"/>
      <c r="F290" s="159"/>
      <c r="G290" s="118" t="s">
        <v>170</v>
      </c>
      <c r="H290" s="119" t="s">
        <v>164</v>
      </c>
      <c r="I290" s="120" t="s">
        <v>33</v>
      </c>
      <c r="J290" s="117" t="s">
        <v>0</v>
      </c>
      <c r="K290" s="117" t="s">
        <v>345</v>
      </c>
      <c r="L290" s="118"/>
      <c r="M290" s="202" t="s">
        <v>74</v>
      </c>
      <c r="N290" s="121" t="s">
        <v>351</v>
      </c>
      <c r="O290" s="122"/>
      <c r="P290" s="123"/>
      <c r="Q290" s="123"/>
      <c r="R290" s="123"/>
      <c r="S290" s="123"/>
      <c r="T290" s="123"/>
      <c r="U290" s="123"/>
      <c r="V290" s="123"/>
      <c r="W290" s="123"/>
      <c r="X290" s="123">
        <f>X289</f>
        <v>46185</v>
      </c>
      <c r="Y290" s="123"/>
      <c r="Z290" s="123"/>
      <c r="AA290" s="123"/>
      <c r="AB290" s="129">
        <f>X290+1</f>
        <v>46186</v>
      </c>
      <c r="AC290" s="129">
        <f>AB290+1</f>
        <v>46187</v>
      </c>
      <c r="AD290" s="129">
        <f>AC290+1</f>
        <v>46188</v>
      </c>
      <c r="AE290" s="83">
        <v>46280</v>
      </c>
      <c r="AF290" s="83">
        <v>46287</v>
      </c>
      <c r="AG290" s="83">
        <v>46292</v>
      </c>
      <c r="AH290" s="28">
        <v>46295</v>
      </c>
      <c r="AI290" s="28">
        <v>46322</v>
      </c>
      <c r="AJ290" s="124"/>
      <c r="AK290" s="125"/>
      <c r="AL290" s="83">
        <v>46292</v>
      </c>
      <c r="AM290" s="126"/>
      <c r="AN290" s="125"/>
      <c r="AO290" s="125"/>
      <c r="AP290" s="432"/>
      <c r="AQ290" s="39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25"/>
      <c r="BC290" s="411"/>
      <c r="BD290" s="411"/>
    </row>
    <row r="291" spans="1:56" s="3" customFormat="1" ht="20.75" customHeight="1" thickBot="1" x14ac:dyDescent="0.45">
      <c r="A291" s="442"/>
      <c r="B291" s="94" t="s">
        <v>820</v>
      </c>
      <c r="C291" s="72" t="s">
        <v>525</v>
      </c>
      <c r="D291" s="33" t="s">
        <v>966</v>
      </c>
      <c r="E291" s="158"/>
      <c r="F291" s="158"/>
      <c r="G291" s="45" t="s">
        <v>170</v>
      </c>
      <c r="H291" s="34" t="s">
        <v>164</v>
      </c>
      <c r="I291" s="32" t="s">
        <v>193</v>
      </c>
      <c r="J291" s="32" t="s">
        <v>0</v>
      </c>
      <c r="K291" s="32" t="s">
        <v>345</v>
      </c>
      <c r="L291" s="45"/>
      <c r="M291" s="198" t="s">
        <v>74</v>
      </c>
      <c r="N291" s="35" t="s">
        <v>352</v>
      </c>
      <c r="O291" s="36">
        <v>46120</v>
      </c>
      <c r="P291" s="36">
        <v>46148</v>
      </c>
      <c r="Q291" s="36">
        <v>46157</v>
      </c>
      <c r="R291" s="37">
        <v>46167</v>
      </c>
      <c r="S291" s="36">
        <v>46167</v>
      </c>
      <c r="T291" s="36">
        <v>46172</v>
      </c>
      <c r="U291" s="36">
        <v>46185</v>
      </c>
      <c r="V291" s="36">
        <v>46192</v>
      </c>
      <c r="W291" s="130">
        <v>46205</v>
      </c>
      <c r="X291" s="130"/>
      <c r="Y291" s="36">
        <v>46132</v>
      </c>
      <c r="Z291" s="36">
        <v>46193</v>
      </c>
      <c r="AA291" s="36">
        <v>46193</v>
      </c>
      <c r="AB291" s="36"/>
      <c r="AC291" s="232"/>
      <c r="AD291" s="36"/>
      <c r="AE291" s="36"/>
      <c r="AF291" s="36"/>
      <c r="AG291" s="36"/>
      <c r="AH291" s="36"/>
      <c r="AI291" s="36"/>
      <c r="AJ291" s="82"/>
      <c r="AK291" s="80"/>
      <c r="AL291" s="37"/>
      <c r="AM291" s="37"/>
      <c r="AN291" s="80"/>
      <c r="AO291" s="144"/>
      <c r="AP291" s="433"/>
      <c r="AQ291" s="39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25"/>
      <c r="BC291" s="411"/>
      <c r="BD291" s="411"/>
    </row>
    <row r="292" spans="1:56" s="3" customFormat="1" ht="20.65" customHeight="1" thickTop="1" thickBot="1" x14ac:dyDescent="0.45">
      <c r="A292" s="440">
        <f t="shared" ref="A292" si="79">A289+1</f>
        <v>89</v>
      </c>
      <c r="B292" s="92" t="s">
        <v>820</v>
      </c>
      <c r="C292" s="17" t="s">
        <v>736</v>
      </c>
      <c r="D292" s="227" t="s">
        <v>968</v>
      </c>
      <c r="E292" s="150"/>
      <c r="F292" s="150"/>
      <c r="G292" s="64" t="s">
        <v>170</v>
      </c>
      <c r="H292" s="16" t="s">
        <v>164</v>
      </c>
      <c r="I292" s="14" t="s">
        <v>193</v>
      </c>
      <c r="J292" s="14" t="s">
        <v>0</v>
      </c>
      <c r="K292" s="14" t="s">
        <v>345</v>
      </c>
      <c r="L292" s="253"/>
      <c r="M292" s="196" t="s">
        <v>74</v>
      </c>
      <c r="N292" s="18" t="s">
        <v>35</v>
      </c>
      <c r="O292" s="19">
        <v>46135</v>
      </c>
      <c r="P292" s="19">
        <v>46150</v>
      </c>
      <c r="Q292" s="19">
        <v>46165</v>
      </c>
      <c r="R292" s="19">
        <v>46167</v>
      </c>
      <c r="S292" s="19">
        <v>46167</v>
      </c>
      <c r="T292" s="19">
        <v>46172</v>
      </c>
      <c r="U292" s="19">
        <v>46175</v>
      </c>
      <c r="V292" s="19">
        <v>46180</v>
      </c>
      <c r="W292" s="19">
        <v>46183</v>
      </c>
      <c r="X292" s="19">
        <v>46185</v>
      </c>
      <c r="Y292" s="57">
        <v>46132</v>
      </c>
      <c r="Z292" s="57">
        <v>46135</v>
      </c>
      <c r="AA292" s="57">
        <v>46162</v>
      </c>
      <c r="AB292" s="19">
        <v>46198</v>
      </c>
      <c r="AC292" s="19">
        <v>46305</v>
      </c>
      <c r="AD292" s="19">
        <v>46262</v>
      </c>
      <c r="AE292" s="230">
        <v>46292</v>
      </c>
      <c r="AF292" s="19">
        <v>46299</v>
      </c>
      <c r="AG292" s="19">
        <v>46304</v>
      </c>
      <c r="AH292" s="19">
        <v>46307</v>
      </c>
      <c r="AI292" s="19">
        <v>46334</v>
      </c>
      <c r="AJ292" s="58">
        <v>8.5</v>
      </c>
      <c r="AK292" s="59">
        <v>59.5</v>
      </c>
      <c r="AL292" s="78">
        <v>46304</v>
      </c>
      <c r="AM292" s="78">
        <v>46310</v>
      </c>
      <c r="AN292" s="77">
        <f>AM292-AL293</f>
        <v>6</v>
      </c>
      <c r="AO292" s="140" t="s">
        <v>692</v>
      </c>
      <c r="AP292" s="431" t="s">
        <v>731</v>
      </c>
      <c r="AQ292" s="21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425"/>
      <c r="BC292" s="411"/>
      <c r="BD292" s="411"/>
    </row>
    <row r="293" spans="1:56" s="3" customFormat="1" ht="20.75" customHeight="1" thickTop="1" thickBot="1" x14ac:dyDescent="0.45">
      <c r="A293" s="441"/>
      <c r="B293" s="98" t="s">
        <v>820</v>
      </c>
      <c r="C293" s="295" t="s">
        <v>736</v>
      </c>
      <c r="D293" s="296" t="s">
        <v>967</v>
      </c>
      <c r="E293" s="159"/>
      <c r="F293" s="159"/>
      <c r="G293" s="118" t="s">
        <v>170</v>
      </c>
      <c r="H293" s="119" t="s">
        <v>164</v>
      </c>
      <c r="I293" s="120" t="s">
        <v>33</v>
      </c>
      <c r="J293" s="117" t="s">
        <v>0</v>
      </c>
      <c r="K293" s="117" t="s">
        <v>345</v>
      </c>
      <c r="L293" s="118"/>
      <c r="M293" s="202" t="s">
        <v>74</v>
      </c>
      <c r="N293" s="121" t="s">
        <v>351</v>
      </c>
      <c r="O293" s="122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  <c r="AB293" s="129"/>
      <c r="AC293" s="83"/>
      <c r="AD293" s="83"/>
      <c r="AE293" s="83">
        <v>46292</v>
      </c>
      <c r="AF293" s="83">
        <v>46299</v>
      </c>
      <c r="AG293" s="83">
        <v>46304</v>
      </c>
      <c r="AH293" s="28">
        <v>46307</v>
      </c>
      <c r="AI293" s="28">
        <v>46334</v>
      </c>
      <c r="AJ293" s="124"/>
      <c r="AK293" s="125"/>
      <c r="AL293" s="83">
        <v>46304</v>
      </c>
      <c r="AM293" s="126"/>
      <c r="AN293" s="125"/>
      <c r="AO293" s="125"/>
      <c r="AP293" s="432"/>
      <c r="AQ293" s="39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25"/>
      <c r="BC293" s="411"/>
      <c r="BD293" s="411"/>
    </row>
    <row r="294" spans="1:56" s="3" customFormat="1" ht="20.75" customHeight="1" thickBot="1" x14ac:dyDescent="0.45">
      <c r="A294" s="442"/>
      <c r="B294" s="94" t="s">
        <v>820</v>
      </c>
      <c r="C294" s="72" t="s">
        <v>736</v>
      </c>
      <c r="D294" s="33" t="s">
        <v>967</v>
      </c>
      <c r="E294" s="158"/>
      <c r="F294" s="158"/>
      <c r="G294" s="45" t="s">
        <v>170</v>
      </c>
      <c r="H294" s="34" t="s">
        <v>164</v>
      </c>
      <c r="I294" s="32" t="s">
        <v>193</v>
      </c>
      <c r="J294" s="32" t="s">
        <v>0</v>
      </c>
      <c r="K294" s="32" t="s">
        <v>345</v>
      </c>
      <c r="L294" s="45"/>
      <c r="M294" s="198" t="s">
        <v>74</v>
      </c>
      <c r="N294" s="35" t="s">
        <v>352</v>
      </c>
      <c r="O294" s="36">
        <v>46120</v>
      </c>
      <c r="P294" s="36">
        <v>46148</v>
      </c>
      <c r="Q294" s="36">
        <v>46157</v>
      </c>
      <c r="R294" s="37">
        <v>46167</v>
      </c>
      <c r="S294" s="36">
        <v>46167</v>
      </c>
      <c r="T294" s="36">
        <v>46172</v>
      </c>
      <c r="U294" s="36">
        <v>46185</v>
      </c>
      <c r="V294" s="36">
        <v>46192</v>
      </c>
      <c r="W294" s="130">
        <v>46195</v>
      </c>
      <c r="X294" s="130">
        <v>46195</v>
      </c>
      <c r="Y294" s="36">
        <v>46132</v>
      </c>
      <c r="Z294" s="36">
        <v>46193</v>
      </c>
      <c r="AA294" s="36">
        <v>46193</v>
      </c>
      <c r="AB294" s="36">
        <v>46199</v>
      </c>
      <c r="AC294" s="232">
        <v>46199</v>
      </c>
      <c r="AD294" s="36">
        <v>46199</v>
      </c>
      <c r="AE294" s="36"/>
      <c r="AF294" s="36"/>
      <c r="AG294" s="36"/>
      <c r="AH294" s="36"/>
      <c r="AI294" s="36"/>
      <c r="AJ294" s="82"/>
      <c r="AK294" s="80"/>
      <c r="AL294" s="37"/>
      <c r="AM294" s="37"/>
      <c r="AN294" s="80"/>
      <c r="AO294" s="144"/>
      <c r="AP294" s="433"/>
      <c r="AQ294" s="39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25"/>
      <c r="BC294" s="411"/>
      <c r="BD294" s="411"/>
    </row>
    <row r="295" spans="1:56" s="3" customFormat="1" ht="20.65" customHeight="1" thickTop="1" thickBot="1" x14ac:dyDescent="0.45">
      <c r="A295" s="440">
        <f t="shared" ref="A295" si="80">A292+1</f>
        <v>90</v>
      </c>
      <c r="B295" s="92" t="s">
        <v>820</v>
      </c>
      <c r="C295" s="17" t="s">
        <v>962</v>
      </c>
      <c r="D295" s="227" t="s">
        <v>735</v>
      </c>
      <c r="E295" s="150"/>
      <c r="F295" s="150"/>
      <c r="G295" s="64" t="s">
        <v>170</v>
      </c>
      <c r="H295" s="16" t="s">
        <v>164</v>
      </c>
      <c r="I295" s="14" t="s">
        <v>193</v>
      </c>
      <c r="J295" s="14" t="s">
        <v>0</v>
      </c>
      <c r="K295" s="14" t="s">
        <v>345</v>
      </c>
      <c r="L295" s="253"/>
      <c r="M295" s="196" t="s">
        <v>74</v>
      </c>
      <c r="N295" s="18" t="s">
        <v>35</v>
      </c>
      <c r="O295" s="19">
        <v>46135</v>
      </c>
      <c r="P295" s="19">
        <v>46150</v>
      </c>
      <c r="Q295" s="19">
        <v>46165</v>
      </c>
      <c r="R295" s="19">
        <v>46167</v>
      </c>
      <c r="S295" s="19">
        <v>46167</v>
      </c>
      <c r="T295" s="19">
        <v>46172</v>
      </c>
      <c r="U295" s="19">
        <v>46175</v>
      </c>
      <c r="V295" s="19">
        <v>46180</v>
      </c>
      <c r="W295" s="19">
        <v>46183</v>
      </c>
      <c r="X295" s="19">
        <v>46185</v>
      </c>
      <c r="Y295" s="57">
        <v>46132</v>
      </c>
      <c r="Z295" s="57">
        <v>46135</v>
      </c>
      <c r="AA295" s="57">
        <v>46162</v>
      </c>
      <c r="AB295" s="19">
        <v>46198</v>
      </c>
      <c r="AC295" s="19">
        <v>46326</v>
      </c>
      <c r="AD295" s="19">
        <v>46274</v>
      </c>
      <c r="AE295" s="230">
        <v>46304</v>
      </c>
      <c r="AF295" s="19">
        <v>46311</v>
      </c>
      <c r="AG295" s="19">
        <v>46316</v>
      </c>
      <c r="AH295" s="19">
        <v>46319</v>
      </c>
      <c r="AI295" s="19">
        <v>46346</v>
      </c>
      <c r="AJ295" s="58">
        <v>8.5</v>
      </c>
      <c r="AK295" s="59">
        <v>59.5</v>
      </c>
      <c r="AL295" s="78">
        <f>AG295</f>
        <v>46316</v>
      </c>
      <c r="AM295" s="78">
        <v>46322</v>
      </c>
      <c r="AN295" s="77">
        <f>AM295-AL296</f>
        <v>6</v>
      </c>
      <c r="AO295" s="140" t="s">
        <v>692</v>
      </c>
      <c r="AP295" s="431" t="s">
        <v>731</v>
      </c>
      <c r="AQ295" s="21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425"/>
      <c r="BC295" s="411"/>
      <c r="BD295" s="411"/>
    </row>
    <row r="296" spans="1:56" s="3" customFormat="1" ht="20.75" customHeight="1" thickTop="1" thickBot="1" x14ac:dyDescent="0.45">
      <c r="A296" s="441"/>
      <c r="B296" s="98" t="s">
        <v>820</v>
      </c>
      <c r="C296" s="295" t="s">
        <v>737</v>
      </c>
      <c r="D296" s="296" t="s">
        <v>735</v>
      </c>
      <c r="E296" s="159"/>
      <c r="F296" s="159"/>
      <c r="G296" s="118" t="s">
        <v>170</v>
      </c>
      <c r="H296" s="119" t="s">
        <v>164</v>
      </c>
      <c r="I296" s="120" t="s">
        <v>33</v>
      </c>
      <c r="J296" s="117" t="s">
        <v>0</v>
      </c>
      <c r="K296" s="117" t="s">
        <v>345</v>
      </c>
      <c r="L296" s="118"/>
      <c r="M296" s="202" t="s">
        <v>74</v>
      </c>
      <c r="N296" s="121" t="s">
        <v>351</v>
      </c>
      <c r="O296" s="122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  <c r="AB296" s="129"/>
      <c r="AC296" s="83"/>
      <c r="AD296" s="83"/>
      <c r="AE296" s="83">
        <v>46304</v>
      </c>
      <c r="AF296" s="83">
        <v>46311</v>
      </c>
      <c r="AG296" s="83">
        <v>46316</v>
      </c>
      <c r="AH296" s="28">
        <v>46319</v>
      </c>
      <c r="AI296" s="28">
        <v>46346</v>
      </c>
      <c r="AJ296" s="124"/>
      <c r="AK296" s="125"/>
      <c r="AL296" s="83">
        <v>46316</v>
      </c>
      <c r="AM296" s="126"/>
      <c r="AN296" s="125"/>
      <c r="AO296" s="125"/>
      <c r="AP296" s="432"/>
      <c r="AQ296" s="39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25"/>
      <c r="BC296" s="411"/>
      <c r="BD296" s="411"/>
    </row>
    <row r="297" spans="1:56" s="3" customFormat="1" ht="20.75" customHeight="1" thickBot="1" x14ac:dyDescent="0.45">
      <c r="A297" s="442"/>
      <c r="B297" s="94" t="s">
        <v>820</v>
      </c>
      <c r="C297" s="72" t="s">
        <v>737</v>
      </c>
      <c r="D297" s="33" t="s">
        <v>735</v>
      </c>
      <c r="E297" s="158"/>
      <c r="F297" s="158"/>
      <c r="G297" s="45" t="s">
        <v>170</v>
      </c>
      <c r="H297" s="34" t="s">
        <v>164</v>
      </c>
      <c r="I297" s="32" t="s">
        <v>193</v>
      </c>
      <c r="J297" s="32" t="s">
        <v>0</v>
      </c>
      <c r="K297" s="32" t="s">
        <v>345</v>
      </c>
      <c r="L297" s="45"/>
      <c r="M297" s="198" t="s">
        <v>74</v>
      </c>
      <c r="N297" s="35" t="s">
        <v>352</v>
      </c>
      <c r="O297" s="36">
        <v>46120</v>
      </c>
      <c r="P297" s="36">
        <v>46148</v>
      </c>
      <c r="Q297" s="36">
        <v>46157</v>
      </c>
      <c r="R297" s="37">
        <v>46167</v>
      </c>
      <c r="S297" s="36">
        <v>46167</v>
      </c>
      <c r="T297" s="36">
        <v>46172</v>
      </c>
      <c r="U297" s="36">
        <v>46185</v>
      </c>
      <c r="V297" s="36">
        <v>46192</v>
      </c>
      <c r="W297" s="130">
        <v>46195</v>
      </c>
      <c r="X297" s="130">
        <v>46195</v>
      </c>
      <c r="Y297" s="36">
        <v>46132</v>
      </c>
      <c r="Z297" s="36">
        <v>46193</v>
      </c>
      <c r="AA297" s="36">
        <v>46193</v>
      </c>
      <c r="AB297" s="36">
        <v>46199</v>
      </c>
      <c r="AC297" s="36">
        <v>46199</v>
      </c>
      <c r="AD297" s="36">
        <v>46199</v>
      </c>
      <c r="AE297" s="36"/>
      <c r="AF297" s="36"/>
      <c r="AG297" s="36"/>
      <c r="AH297" s="36"/>
      <c r="AI297" s="36"/>
      <c r="AJ297" s="82"/>
      <c r="AK297" s="80"/>
      <c r="AL297" s="37"/>
      <c r="AM297" s="37"/>
      <c r="AN297" s="80"/>
      <c r="AO297" s="144"/>
      <c r="AP297" s="433"/>
      <c r="AQ297" s="39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25"/>
      <c r="BC297" s="411"/>
      <c r="BD297" s="411"/>
    </row>
    <row r="298" spans="1:56" s="3" customFormat="1" ht="20.65" customHeight="1" thickTop="1" thickBot="1" x14ac:dyDescent="0.45">
      <c r="A298" s="440">
        <f t="shared" ref="A298" si="81">A295+1</f>
        <v>91</v>
      </c>
      <c r="B298" s="92" t="s">
        <v>639</v>
      </c>
      <c r="C298" s="17" t="s">
        <v>523</v>
      </c>
      <c r="D298" s="227" t="s">
        <v>797</v>
      </c>
      <c r="E298" s="150"/>
      <c r="F298" s="150"/>
      <c r="G298" s="64" t="s">
        <v>170</v>
      </c>
      <c r="H298" s="16" t="s">
        <v>164</v>
      </c>
      <c r="I298" s="14" t="s">
        <v>193</v>
      </c>
      <c r="J298" s="14" t="s">
        <v>0</v>
      </c>
      <c r="K298" s="14" t="s">
        <v>345</v>
      </c>
      <c r="L298" s="253" t="s">
        <v>991</v>
      </c>
      <c r="M298" s="196" t="s">
        <v>74</v>
      </c>
      <c r="N298" s="18" t="s">
        <v>35</v>
      </c>
      <c r="O298" s="19">
        <v>46135</v>
      </c>
      <c r="P298" s="19">
        <v>46170</v>
      </c>
      <c r="Q298" s="19">
        <v>46185</v>
      </c>
      <c r="R298" s="19">
        <v>46187</v>
      </c>
      <c r="S298" s="19">
        <v>46187</v>
      </c>
      <c r="T298" s="19">
        <v>46192</v>
      </c>
      <c r="U298" s="19">
        <v>46203</v>
      </c>
      <c r="V298" s="230">
        <v>46213</v>
      </c>
      <c r="W298" s="19">
        <v>46213</v>
      </c>
      <c r="X298" s="19">
        <v>46213</v>
      </c>
      <c r="Y298" s="57">
        <v>46132</v>
      </c>
      <c r="Z298" s="57">
        <v>46217</v>
      </c>
      <c r="AA298" s="57">
        <v>46192</v>
      </c>
      <c r="AB298" s="19">
        <v>46233</v>
      </c>
      <c r="AC298" s="19">
        <v>46233</v>
      </c>
      <c r="AD298" s="19">
        <v>46233</v>
      </c>
      <c r="AE298" s="19">
        <v>46256</v>
      </c>
      <c r="AF298" s="19">
        <v>46262</v>
      </c>
      <c r="AG298" s="19">
        <v>46264</v>
      </c>
      <c r="AH298" s="19">
        <v>46264</v>
      </c>
      <c r="AI298" s="19">
        <v>46294</v>
      </c>
      <c r="AJ298" s="58">
        <v>8.5</v>
      </c>
      <c r="AK298" s="59">
        <v>59.5</v>
      </c>
      <c r="AL298" s="78">
        <f>AG298</f>
        <v>46264</v>
      </c>
      <c r="AM298" s="78">
        <v>46265</v>
      </c>
      <c r="AN298" s="77">
        <f>AM298-AL299</f>
        <v>21</v>
      </c>
      <c r="AO298" s="140" t="s">
        <v>692</v>
      </c>
      <c r="AP298" s="431" t="s">
        <v>731</v>
      </c>
      <c r="AQ298" s="21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425"/>
      <c r="BC298" s="411"/>
      <c r="BD298" s="411"/>
    </row>
    <row r="299" spans="1:56" s="3" customFormat="1" ht="20.75" customHeight="1" thickTop="1" thickBot="1" x14ac:dyDescent="0.45">
      <c r="A299" s="441"/>
      <c r="B299" s="98" t="s">
        <v>639</v>
      </c>
      <c r="C299" s="295" t="s">
        <v>523</v>
      </c>
      <c r="D299" s="296" t="s">
        <v>797</v>
      </c>
      <c r="E299" s="159"/>
      <c r="F299" s="159"/>
      <c r="G299" s="118" t="s">
        <v>170</v>
      </c>
      <c r="H299" s="119" t="s">
        <v>164</v>
      </c>
      <c r="I299" s="120" t="s">
        <v>33</v>
      </c>
      <c r="J299" s="117" t="s">
        <v>0</v>
      </c>
      <c r="K299" s="117" t="s">
        <v>345</v>
      </c>
      <c r="L299" s="118"/>
      <c r="M299" s="202" t="s">
        <v>74</v>
      </c>
      <c r="N299" s="121" t="s">
        <v>351</v>
      </c>
      <c r="O299" s="122"/>
      <c r="P299" s="123"/>
      <c r="Q299" s="123"/>
      <c r="R299" s="123"/>
      <c r="S299" s="123"/>
      <c r="T299" s="123"/>
      <c r="U299" s="123"/>
      <c r="V299" s="28">
        <f>WORKDAY(U300, V6, IF(V12="China",'China Holidays'!$A$2:$A$84,'Thai Holidays'!$A$2:$A$65))</f>
        <v>46219</v>
      </c>
      <c r="W299" s="28">
        <f>V299</f>
        <v>46219</v>
      </c>
      <c r="X299" s="28">
        <f>W299</f>
        <v>46219</v>
      </c>
      <c r="Y299" s="28"/>
      <c r="Z299" s="28"/>
      <c r="AA299" s="28"/>
      <c r="AB299" s="28">
        <v>46233</v>
      </c>
      <c r="AC299" s="28">
        <v>46233</v>
      </c>
      <c r="AD299" s="28">
        <v>46233</v>
      </c>
      <c r="AE299" s="83">
        <v>46256</v>
      </c>
      <c r="AF299" s="83">
        <v>46262</v>
      </c>
      <c r="AG299" s="83">
        <v>46264</v>
      </c>
      <c r="AH299" s="28">
        <v>46264</v>
      </c>
      <c r="AI299" s="28">
        <v>46294</v>
      </c>
      <c r="AJ299" s="124"/>
      <c r="AK299" s="125"/>
      <c r="AL299" s="83">
        <v>46244</v>
      </c>
      <c r="AM299" s="126"/>
      <c r="AN299" s="125"/>
      <c r="AO299" s="125"/>
      <c r="AP299" s="432"/>
      <c r="AQ299" s="39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25"/>
      <c r="BC299" s="411"/>
      <c r="BD299" s="411"/>
    </row>
    <row r="300" spans="1:56" s="3" customFormat="1" ht="20.75" customHeight="1" thickBot="1" x14ac:dyDescent="0.45">
      <c r="A300" s="442"/>
      <c r="B300" s="94" t="s">
        <v>639</v>
      </c>
      <c r="C300" s="72" t="s">
        <v>523</v>
      </c>
      <c r="D300" s="33" t="s">
        <v>797</v>
      </c>
      <c r="E300" s="158"/>
      <c r="F300" s="158"/>
      <c r="G300" s="45" t="s">
        <v>170</v>
      </c>
      <c r="H300" s="34" t="s">
        <v>164</v>
      </c>
      <c r="I300" s="32" t="s">
        <v>193</v>
      </c>
      <c r="J300" s="32" t="s">
        <v>0</v>
      </c>
      <c r="K300" s="32" t="s">
        <v>345</v>
      </c>
      <c r="L300" s="45"/>
      <c r="M300" s="198" t="s">
        <v>74</v>
      </c>
      <c r="N300" s="35" t="s">
        <v>352</v>
      </c>
      <c r="O300" s="36">
        <v>46120</v>
      </c>
      <c r="P300" s="36">
        <v>46148</v>
      </c>
      <c r="Q300" s="36">
        <v>46157</v>
      </c>
      <c r="R300" s="37">
        <v>46167</v>
      </c>
      <c r="S300" s="36">
        <v>46167</v>
      </c>
      <c r="T300" s="36">
        <v>46172</v>
      </c>
      <c r="U300" s="36">
        <v>46205</v>
      </c>
      <c r="V300" s="36"/>
      <c r="W300" s="130"/>
      <c r="X300" s="130"/>
      <c r="Y300" s="36">
        <v>46132</v>
      </c>
      <c r="Z300" s="36">
        <v>46193</v>
      </c>
      <c r="AA300" s="36">
        <v>46193</v>
      </c>
      <c r="AB300" s="36"/>
      <c r="AC300" s="36"/>
      <c r="AD300" s="36"/>
      <c r="AE300" s="36"/>
      <c r="AF300" s="36"/>
      <c r="AG300" s="36"/>
      <c r="AH300" s="36"/>
      <c r="AI300" s="36"/>
      <c r="AJ300" s="82"/>
      <c r="AK300" s="80"/>
      <c r="AL300" s="37"/>
      <c r="AM300" s="37"/>
      <c r="AN300" s="80"/>
      <c r="AO300" s="144"/>
      <c r="AP300" s="433"/>
      <c r="AQ300" s="39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25"/>
      <c r="BC300" s="411"/>
      <c r="BD300" s="411"/>
    </row>
    <row r="301" spans="1:56" s="3" customFormat="1" ht="20.65" customHeight="1" thickTop="1" thickBot="1" x14ac:dyDescent="0.45">
      <c r="A301" s="440">
        <f t="shared" ref="A301" si="82">A298+1</f>
        <v>92</v>
      </c>
      <c r="B301" s="92" t="s">
        <v>639</v>
      </c>
      <c r="C301" s="17" t="s">
        <v>960</v>
      </c>
      <c r="D301" s="227" t="s">
        <v>795</v>
      </c>
      <c r="E301" s="150"/>
      <c r="F301" s="150"/>
      <c r="G301" s="64" t="s">
        <v>170</v>
      </c>
      <c r="H301" s="16" t="s">
        <v>164</v>
      </c>
      <c r="I301" s="14" t="s">
        <v>193</v>
      </c>
      <c r="J301" s="14" t="s">
        <v>0</v>
      </c>
      <c r="K301" s="14" t="s">
        <v>345</v>
      </c>
      <c r="L301" s="253"/>
      <c r="M301" s="196" t="s">
        <v>74</v>
      </c>
      <c r="N301" s="18" t="s">
        <v>35</v>
      </c>
      <c r="O301" s="19">
        <v>46135</v>
      </c>
      <c r="P301" s="19">
        <v>46170</v>
      </c>
      <c r="Q301" s="19">
        <v>46185</v>
      </c>
      <c r="R301" s="19">
        <v>46187</v>
      </c>
      <c r="S301" s="19">
        <v>46187</v>
      </c>
      <c r="T301" s="19">
        <v>46192</v>
      </c>
      <c r="U301" s="19">
        <v>46203</v>
      </c>
      <c r="V301" s="230">
        <v>46213</v>
      </c>
      <c r="W301" s="19">
        <v>46213</v>
      </c>
      <c r="X301" s="19">
        <v>46213</v>
      </c>
      <c r="Y301" s="57">
        <v>46132</v>
      </c>
      <c r="Z301" s="57">
        <v>46217</v>
      </c>
      <c r="AA301" s="57">
        <v>46192</v>
      </c>
      <c r="AB301" s="19">
        <v>46254</v>
      </c>
      <c r="AC301" s="19">
        <v>46254</v>
      </c>
      <c r="AD301" s="19">
        <v>46254</v>
      </c>
      <c r="AE301" s="19">
        <v>46277</v>
      </c>
      <c r="AF301" s="19">
        <v>46283</v>
      </c>
      <c r="AG301" s="19">
        <v>46285</v>
      </c>
      <c r="AH301" s="19">
        <v>46285</v>
      </c>
      <c r="AI301" s="19">
        <v>46315</v>
      </c>
      <c r="AJ301" s="58">
        <v>8.5</v>
      </c>
      <c r="AK301" s="59">
        <v>59.5</v>
      </c>
      <c r="AL301" s="78">
        <f>AG301</f>
        <v>46285</v>
      </c>
      <c r="AM301" s="78">
        <v>46286</v>
      </c>
      <c r="AN301" s="77">
        <f>AM301-AL302</f>
        <v>30</v>
      </c>
      <c r="AO301" s="140" t="s">
        <v>692</v>
      </c>
      <c r="AP301" s="431" t="s">
        <v>731</v>
      </c>
      <c r="AQ301" s="21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425"/>
      <c r="BC301" s="411"/>
      <c r="BD301" s="411"/>
    </row>
    <row r="302" spans="1:56" s="3" customFormat="1" ht="20.75" customHeight="1" thickTop="1" thickBot="1" x14ac:dyDescent="0.45">
      <c r="A302" s="441"/>
      <c r="B302" s="98" t="s">
        <v>639</v>
      </c>
      <c r="C302" s="295" t="s">
        <v>960</v>
      </c>
      <c r="D302" s="296" t="s">
        <v>795</v>
      </c>
      <c r="E302" s="159"/>
      <c r="F302" s="159"/>
      <c r="G302" s="118" t="s">
        <v>170</v>
      </c>
      <c r="H302" s="119" t="s">
        <v>164</v>
      </c>
      <c r="I302" s="120" t="s">
        <v>33</v>
      </c>
      <c r="J302" s="117" t="s">
        <v>0</v>
      </c>
      <c r="K302" s="117" t="s">
        <v>345</v>
      </c>
      <c r="L302" s="118"/>
      <c r="M302" s="202" t="s">
        <v>74</v>
      </c>
      <c r="N302" s="121" t="s">
        <v>351</v>
      </c>
      <c r="O302" s="122"/>
      <c r="P302" s="123"/>
      <c r="Q302" s="123"/>
      <c r="R302" s="123"/>
      <c r="S302" s="123"/>
      <c r="T302" s="123"/>
      <c r="U302" s="123"/>
      <c r="V302" s="28">
        <f>WORKDAY(U303, V9, IF(V15="China",'China Holidays'!$A$2:$A$84,'Thai Holidays'!$A$2:$A$65))</f>
        <v>46219</v>
      </c>
      <c r="W302" s="28">
        <f>V302</f>
        <v>46219</v>
      </c>
      <c r="X302" s="28">
        <f>W302</f>
        <v>46219</v>
      </c>
      <c r="Y302" s="123"/>
      <c r="Z302" s="123"/>
      <c r="AA302" s="123"/>
      <c r="AB302" s="129">
        <v>46254</v>
      </c>
      <c r="AC302" s="83">
        <v>46254</v>
      </c>
      <c r="AD302" s="83">
        <v>46254</v>
      </c>
      <c r="AE302" s="83">
        <v>46277</v>
      </c>
      <c r="AF302" s="83">
        <v>46283</v>
      </c>
      <c r="AG302" s="83">
        <v>46285</v>
      </c>
      <c r="AH302" s="28">
        <v>46285</v>
      </c>
      <c r="AI302" s="28">
        <v>46315</v>
      </c>
      <c r="AJ302" s="124"/>
      <c r="AK302" s="125"/>
      <c r="AL302" s="83">
        <v>46256</v>
      </c>
      <c r="AM302" s="126"/>
      <c r="AN302" s="125"/>
      <c r="AO302" s="125"/>
      <c r="AP302" s="432"/>
      <c r="AQ302" s="39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25"/>
      <c r="BC302" s="411"/>
      <c r="BD302" s="411"/>
    </row>
    <row r="303" spans="1:56" s="3" customFormat="1" ht="20.75" customHeight="1" thickBot="1" x14ac:dyDescent="0.45">
      <c r="A303" s="442"/>
      <c r="B303" s="94" t="s">
        <v>639</v>
      </c>
      <c r="C303" s="72" t="s">
        <v>960</v>
      </c>
      <c r="D303" s="33" t="s">
        <v>795</v>
      </c>
      <c r="E303" s="158"/>
      <c r="F303" s="158"/>
      <c r="G303" s="45" t="s">
        <v>170</v>
      </c>
      <c r="H303" s="34" t="s">
        <v>164</v>
      </c>
      <c r="I303" s="32" t="s">
        <v>193</v>
      </c>
      <c r="J303" s="32" t="s">
        <v>0</v>
      </c>
      <c r="K303" s="32" t="s">
        <v>345</v>
      </c>
      <c r="L303" s="45"/>
      <c r="M303" s="198" t="s">
        <v>74</v>
      </c>
      <c r="N303" s="35" t="s">
        <v>352</v>
      </c>
      <c r="O303" s="36">
        <v>46120</v>
      </c>
      <c r="P303" s="36">
        <v>46148</v>
      </c>
      <c r="Q303" s="36">
        <v>46157</v>
      </c>
      <c r="R303" s="37">
        <v>46167</v>
      </c>
      <c r="S303" s="36">
        <v>46167</v>
      </c>
      <c r="T303" s="36">
        <v>46172</v>
      </c>
      <c r="U303" s="36">
        <v>46205</v>
      </c>
      <c r="V303" s="36"/>
      <c r="W303" s="130"/>
      <c r="X303" s="130"/>
      <c r="Y303" s="36">
        <v>46132</v>
      </c>
      <c r="Z303" s="36">
        <v>46193</v>
      </c>
      <c r="AA303" s="36">
        <v>46193</v>
      </c>
      <c r="AB303" s="36"/>
      <c r="AC303" s="36"/>
      <c r="AD303" s="36"/>
      <c r="AE303" s="36"/>
      <c r="AF303" s="36"/>
      <c r="AG303" s="36"/>
      <c r="AH303" s="36"/>
      <c r="AI303" s="36"/>
      <c r="AJ303" s="82"/>
      <c r="AK303" s="80"/>
      <c r="AL303" s="37"/>
      <c r="AM303" s="37"/>
      <c r="AN303" s="80"/>
      <c r="AO303" s="144"/>
      <c r="AP303" s="433"/>
      <c r="AQ303" s="39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25"/>
      <c r="BC303" s="411"/>
      <c r="BD303" s="411"/>
    </row>
    <row r="304" spans="1:56" s="3" customFormat="1" ht="20.65" customHeight="1" thickTop="1" thickBot="1" x14ac:dyDescent="0.45">
      <c r="A304" s="440">
        <f t="shared" ref="A304" si="83">A301+1</f>
        <v>93</v>
      </c>
      <c r="B304" s="92" t="s">
        <v>639</v>
      </c>
      <c r="C304" s="17" t="s">
        <v>961</v>
      </c>
      <c r="D304" s="227" t="s">
        <v>985</v>
      </c>
      <c r="E304" s="150"/>
      <c r="F304" s="150"/>
      <c r="G304" s="64" t="s">
        <v>170</v>
      </c>
      <c r="H304" s="16" t="s">
        <v>164</v>
      </c>
      <c r="I304" s="14" t="s">
        <v>193</v>
      </c>
      <c r="J304" s="14" t="s">
        <v>0</v>
      </c>
      <c r="K304" s="14" t="s">
        <v>345</v>
      </c>
      <c r="L304" s="253"/>
      <c r="M304" s="196" t="s">
        <v>74</v>
      </c>
      <c r="N304" s="18" t="s">
        <v>35</v>
      </c>
      <c r="O304" s="19">
        <v>46135</v>
      </c>
      <c r="P304" s="19">
        <v>46170</v>
      </c>
      <c r="Q304" s="19">
        <v>46185</v>
      </c>
      <c r="R304" s="19">
        <v>46187</v>
      </c>
      <c r="S304" s="19">
        <v>46187</v>
      </c>
      <c r="T304" s="19">
        <v>46192</v>
      </c>
      <c r="U304" s="19">
        <v>46203</v>
      </c>
      <c r="V304" s="230">
        <v>46213</v>
      </c>
      <c r="W304" s="19">
        <v>46213</v>
      </c>
      <c r="X304" s="19">
        <v>46213</v>
      </c>
      <c r="Y304" s="57">
        <v>46132</v>
      </c>
      <c r="Z304" s="57">
        <v>46217</v>
      </c>
      <c r="AA304" s="57">
        <v>46192</v>
      </c>
      <c r="AB304" s="19">
        <v>46275</v>
      </c>
      <c r="AC304" s="19">
        <v>46275</v>
      </c>
      <c r="AD304" s="19">
        <v>46275</v>
      </c>
      <c r="AE304" s="19">
        <v>46298</v>
      </c>
      <c r="AF304" s="19">
        <v>46304</v>
      </c>
      <c r="AG304" s="19">
        <v>46306</v>
      </c>
      <c r="AH304" s="19">
        <v>46306</v>
      </c>
      <c r="AI304" s="19">
        <v>46336</v>
      </c>
      <c r="AJ304" s="58">
        <v>8.5</v>
      </c>
      <c r="AK304" s="59">
        <v>59.5</v>
      </c>
      <c r="AL304" s="78">
        <f>AG304</f>
        <v>46306</v>
      </c>
      <c r="AM304" s="78">
        <v>46307</v>
      </c>
      <c r="AN304" s="77">
        <f>AM304-AL305</f>
        <v>39</v>
      </c>
      <c r="AO304" s="140" t="s">
        <v>692</v>
      </c>
      <c r="AP304" s="431" t="s">
        <v>731</v>
      </c>
      <c r="AQ304" s="21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425"/>
      <c r="BC304" s="411"/>
      <c r="BD304" s="411"/>
    </row>
    <row r="305" spans="1:56" s="3" customFormat="1" ht="20.75" customHeight="1" thickTop="1" thickBot="1" x14ac:dyDescent="0.45">
      <c r="A305" s="441"/>
      <c r="B305" s="98" t="s">
        <v>639</v>
      </c>
      <c r="C305" s="295" t="s">
        <v>961</v>
      </c>
      <c r="D305" s="296" t="s">
        <v>985</v>
      </c>
      <c r="E305" s="159"/>
      <c r="F305" s="159"/>
      <c r="G305" s="118" t="s">
        <v>170</v>
      </c>
      <c r="H305" s="119" t="s">
        <v>164</v>
      </c>
      <c r="I305" s="120" t="s">
        <v>33</v>
      </c>
      <c r="J305" s="117" t="s">
        <v>0</v>
      </c>
      <c r="K305" s="117" t="s">
        <v>345</v>
      </c>
      <c r="L305" s="118"/>
      <c r="M305" s="202" t="s">
        <v>74</v>
      </c>
      <c r="N305" s="121" t="s">
        <v>351</v>
      </c>
      <c r="O305" s="122"/>
      <c r="P305" s="123"/>
      <c r="Q305" s="123"/>
      <c r="R305" s="123"/>
      <c r="S305" s="123"/>
      <c r="T305" s="123"/>
      <c r="U305" s="123"/>
      <c r="V305" s="123">
        <v>46219</v>
      </c>
      <c r="W305" s="123">
        <v>46219</v>
      </c>
      <c r="X305" s="123">
        <v>46219</v>
      </c>
      <c r="Y305" s="123"/>
      <c r="Z305" s="123"/>
      <c r="AA305" s="123"/>
      <c r="AB305" s="129">
        <v>46275</v>
      </c>
      <c r="AC305" s="83">
        <v>46275</v>
      </c>
      <c r="AD305" s="83">
        <v>46275</v>
      </c>
      <c r="AE305" s="83">
        <v>46298</v>
      </c>
      <c r="AF305" s="83">
        <v>46304</v>
      </c>
      <c r="AG305" s="83">
        <v>46306</v>
      </c>
      <c r="AH305" s="28">
        <v>46306</v>
      </c>
      <c r="AI305" s="28">
        <v>46336</v>
      </c>
      <c r="AJ305" s="124"/>
      <c r="AK305" s="125"/>
      <c r="AL305" s="83">
        <v>46268</v>
      </c>
      <c r="AM305" s="126"/>
      <c r="AN305" s="125"/>
      <c r="AO305" s="125"/>
      <c r="AP305" s="432"/>
      <c r="AQ305" s="39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25"/>
      <c r="BC305" s="411"/>
      <c r="BD305" s="411"/>
    </row>
    <row r="306" spans="1:56" s="3" customFormat="1" ht="20.75" customHeight="1" thickBot="1" x14ac:dyDescent="0.45">
      <c r="A306" s="442"/>
      <c r="B306" s="94" t="s">
        <v>639</v>
      </c>
      <c r="C306" s="72" t="s">
        <v>961</v>
      </c>
      <c r="D306" s="33" t="s">
        <v>985</v>
      </c>
      <c r="E306" s="158"/>
      <c r="F306" s="158"/>
      <c r="G306" s="45" t="s">
        <v>170</v>
      </c>
      <c r="H306" s="34" t="s">
        <v>164</v>
      </c>
      <c r="I306" s="32" t="s">
        <v>193</v>
      </c>
      <c r="J306" s="32" t="s">
        <v>0</v>
      </c>
      <c r="K306" s="32" t="s">
        <v>345</v>
      </c>
      <c r="L306" s="45"/>
      <c r="M306" s="198" t="s">
        <v>74</v>
      </c>
      <c r="N306" s="35" t="s">
        <v>352</v>
      </c>
      <c r="O306" s="36">
        <v>46120</v>
      </c>
      <c r="P306" s="36">
        <v>46148</v>
      </c>
      <c r="Q306" s="36">
        <v>46157</v>
      </c>
      <c r="R306" s="37">
        <v>46167</v>
      </c>
      <c r="S306" s="36">
        <v>46167</v>
      </c>
      <c r="T306" s="36">
        <v>46172</v>
      </c>
      <c r="U306" s="36">
        <v>46205</v>
      </c>
      <c r="V306" s="36"/>
      <c r="W306" s="130"/>
      <c r="X306" s="130"/>
      <c r="Y306" s="36">
        <v>46132</v>
      </c>
      <c r="Z306" s="36">
        <v>46193</v>
      </c>
      <c r="AA306" s="36">
        <v>46193</v>
      </c>
      <c r="AB306" s="36"/>
      <c r="AC306" s="36"/>
      <c r="AD306" s="36"/>
      <c r="AE306" s="36"/>
      <c r="AF306" s="36"/>
      <c r="AG306" s="36"/>
      <c r="AH306" s="36"/>
      <c r="AI306" s="36"/>
      <c r="AJ306" s="82"/>
      <c r="AK306" s="80"/>
      <c r="AL306" s="37"/>
      <c r="AM306" s="37"/>
      <c r="AN306" s="80"/>
      <c r="AO306" s="144"/>
      <c r="AP306" s="433"/>
      <c r="AQ306" s="39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25"/>
      <c r="BC306" s="411"/>
      <c r="BD306" s="411"/>
    </row>
    <row r="307" spans="1:56" s="3" customFormat="1" ht="20.65" customHeight="1" thickTop="1" thickBot="1" x14ac:dyDescent="0.45">
      <c r="A307" s="440">
        <f t="shared" ref="A307" si="84">A304+1</f>
        <v>94</v>
      </c>
      <c r="B307" s="92" t="s">
        <v>639</v>
      </c>
      <c r="C307" s="17" t="s">
        <v>524</v>
      </c>
      <c r="D307" s="227" t="s">
        <v>986</v>
      </c>
      <c r="E307" s="150"/>
      <c r="F307" s="150"/>
      <c r="G307" s="64" t="s">
        <v>170</v>
      </c>
      <c r="H307" s="16" t="s">
        <v>164</v>
      </c>
      <c r="I307" s="14" t="s">
        <v>193</v>
      </c>
      <c r="J307" s="14" t="s">
        <v>0</v>
      </c>
      <c r="K307" s="14" t="s">
        <v>345</v>
      </c>
      <c r="L307" s="253"/>
      <c r="M307" s="196" t="s">
        <v>74</v>
      </c>
      <c r="N307" s="18" t="s">
        <v>35</v>
      </c>
      <c r="O307" s="19">
        <v>46135</v>
      </c>
      <c r="P307" s="19">
        <v>46170</v>
      </c>
      <c r="Q307" s="19">
        <v>46185</v>
      </c>
      <c r="R307" s="19">
        <v>46187</v>
      </c>
      <c r="S307" s="19">
        <v>46187</v>
      </c>
      <c r="T307" s="19">
        <v>46192</v>
      </c>
      <c r="U307" s="19">
        <v>46203</v>
      </c>
      <c r="V307" s="230">
        <v>46213</v>
      </c>
      <c r="W307" s="19">
        <v>46213</v>
      </c>
      <c r="X307" s="19">
        <v>46213</v>
      </c>
      <c r="Y307" s="57">
        <v>46132</v>
      </c>
      <c r="Z307" s="57">
        <v>46217</v>
      </c>
      <c r="AA307" s="57">
        <v>46192</v>
      </c>
      <c r="AB307" s="19">
        <v>46296</v>
      </c>
      <c r="AC307" s="19">
        <v>46296</v>
      </c>
      <c r="AD307" s="19">
        <v>46296</v>
      </c>
      <c r="AE307" s="19">
        <v>46319</v>
      </c>
      <c r="AF307" s="19">
        <v>46325</v>
      </c>
      <c r="AG307" s="19">
        <v>46327</v>
      </c>
      <c r="AH307" s="19">
        <v>46327</v>
      </c>
      <c r="AI307" s="19">
        <v>46357</v>
      </c>
      <c r="AJ307" s="58">
        <v>8.5</v>
      </c>
      <c r="AK307" s="59">
        <v>59.5</v>
      </c>
      <c r="AL307" s="78">
        <f>AG307</f>
        <v>46327</v>
      </c>
      <c r="AM307" s="78">
        <v>46328</v>
      </c>
      <c r="AN307" s="77">
        <f>AM307-AL308</f>
        <v>48</v>
      </c>
      <c r="AO307" s="140" t="s">
        <v>692</v>
      </c>
      <c r="AP307" s="431" t="s">
        <v>731</v>
      </c>
      <c r="AQ307" s="21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425"/>
      <c r="BC307" s="411"/>
      <c r="BD307" s="411"/>
    </row>
    <row r="308" spans="1:56" s="3" customFormat="1" ht="20.75" customHeight="1" thickTop="1" thickBot="1" x14ac:dyDescent="0.45">
      <c r="A308" s="441"/>
      <c r="B308" s="98" t="s">
        <v>639</v>
      </c>
      <c r="C308" s="295" t="s">
        <v>524</v>
      </c>
      <c r="D308" s="296" t="s">
        <v>986</v>
      </c>
      <c r="E308" s="159"/>
      <c r="F308" s="159"/>
      <c r="G308" s="118" t="s">
        <v>170</v>
      </c>
      <c r="H308" s="119" t="s">
        <v>164</v>
      </c>
      <c r="I308" s="120" t="s">
        <v>33</v>
      </c>
      <c r="J308" s="117" t="s">
        <v>0</v>
      </c>
      <c r="K308" s="117" t="s">
        <v>345</v>
      </c>
      <c r="L308" s="118"/>
      <c r="M308" s="202" t="s">
        <v>74</v>
      </c>
      <c r="N308" s="121" t="s">
        <v>351</v>
      </c>
      <c r="O308" s="122"/>
      <c r="P308" s="123"/>
      <c r="Q308" s="123"/>
      <c r="R308" s="123"/>
      <c r="S308" s="123"/>
      <c r="T308" s="123"/>
      <c r="U308" s="123"/>
      <c r="V308" s="123">
        <v>46219</v>
      </c>
      <c r="W308" s="123">
        <v>46219</v>
      </c>
      <c r="X308" s="123">
        <v>46219</v>
      </c>
      <c r="Y308" s="123"/>
      <c r="Z308" s="123"/>
      <c r="AA308" s="123"/>
      <c r="AB308" s="129">
        <v>46296</v>
      </c>
      <c r="AC308" s="83">
        <v>46296</v>
      </c>
      <c r="AD308" s="83">
        <v>46296</v>
      </c>
      <c r="AE308" s="83">
        <v>46319</v>
      </c>
      <c r="AF308" s="83">
        <v>46325</v>
      </c>
      <c r="AG308" s="83">
        <v>46327</v>
      </c>
      <c r="AH308" s="28">
        <v>46327</v>
      </c>
      <c r="AI308" s="28">
        <v>46357</v>
      </c>
      <c r="AJ308" s="124"/>
      <c r="AK308" s="125"/>
      <c r="AL308" s="83">
        <v>46280</v>
      </c>
      <c r="AM308" s="126"/>
      <c r="AN308" s="125"/>
      <c r="AO308" s="125"/>
      <c r="AP308" s="432"/>
      <c r="AQ308" s="39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25"/>
      <c r="BC308" s="411"/>
      <c r="BD308" s="411"/>
    </row>
    <row r="309" spans="1:56" s="3" customFormat="1" ht="20.75" customHeight="1" thickBot="1" x14ac:dyDescent="0.45">
      <c r="A309" s="442"/>
      <c r="B309" s="94" t="s">
        <v>639</v>
      </c>
      <c r="C309" s="72" t="s">
        <v>524</v>
      </c>
      <c r="D309" s="33" t="s">
        <v>986</v>
      </c>
      <c r="E309" s="158"/>
      <c r="F309" s="158"/>
      <c r="G309" s="45" t="s">
        <v>170</v>
      </c>
      <c r="H309" s="34" t="s">
        <v>164</v>
      </c>
      <c r="I309" s="32" t="s">
        <v>193</v>
      </c>
      <c r="J309" s="32" t="s">
        <v>0</v>
      </c>
      <c r="K309" s="32" t="s">
        <v>345</v>
      </c>
      <c r="L309" s="45"/>
      <c r="M309" s="198" t="s">
        <v>74</v>
      </c>
      <c r="N309" s="35" t="s">
        <v>352</v>
      </c>
      <c r="O309" s="36">
        <v>46120</v>
      </c>
      <c r="P309" s="36">
        <v>46148</v>
      </c>
      <c r="Q309" s="36">
        <v>46157</v>
      </c>
      <c r="R309" s="37">
        <v>46167</v>
      </c>
      <c r="S309" s="36">
        <v>46167</v>
      </c>
      <c r="T309" s="36">
        <v>46172</v>
      </c>
      <c r="U309" s="36">
        <v>46205</v>
      </c>
      <c r="V309" s="36"/>
      <c r="W309" s="130"/>
      <c r="X309" s="130"/>
      <c r="Y309" s="36">
        <v>46132</v>
      </c>
      <c r="Z309" s="36">
        <v>46193</v>
      </c>
      <c r="AA309" s="36">
        <v>46193</v>
      </c>
      <c r="AB309" s="36"/>
      <c r="AC309" s="36"/>
      <c r="AD309" s="36"/>
      <c r="AE309" s="36"/>
      <c r="AF309" s="36"/>
      <c r="AG309" s="36"/>
      <c r="AH309" s="36"/>
      <c r="AI309" s="36"/>
      <c r="AJ309" s="82"/>
      <c r="AK309" s="80"/>
      <c r="AL309" s="37"/>
      <c r="AM309" s="37"/>
      <c r="AN309" s="80"/>
      <c r="AO309" s="144"/>
      <c r="AP309" s="433"/>
      <c r="AQ309" s="39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25"/>
      <c r="BC309" s="411"/>
      <c r="BD309" s="411"/>
    </row>
    <row r="310" spans="1:56" s="3" customFormat="1" ht="20.65" customHeight="1" thickTop="1" thickBot="1" x14ac:dyDescent="0.45">
      <c r="A310" s="440">
        <f t="shared" ref="A310" si="85">A307+1</f>
        <v>95</v>
      </c>
      <c r="B310" s="92" t="s">
        <v>639</v>
      </c>
      <c r="C310" s="17" t="s">
        <v>525</v>
      </c>
      <c r="D310" s="227" t="s">
        <v>987</v>
      </c>
      <c r="E310" s="150"/>
      <c r="F310" s="150"/>
      <c r="G310" s="64" t="s">
        <v>170</v>
      </c>
      <c r="H310" s="16" t="s">
        <v>164</v>
      </c>
      <c r="I310" s="14" t="s">
        <v>193</v>
      </c>
      <c r="J310" s="14" t="s">
        <v>0</v>
      </c>
      <c r="K310" s="14" t="s">
        <v>345</v>
      </c>
      <c r="L310" s="253"/>
      <c r="M310" s="196" t="s">
        <v>74</v>
      </c>
      <c r="N310" s="18" t="s">
        <v>35</v>
      </c>
      <c r="O310" s="19">
        <v>46135</v>
      </c>
      <c r="P310" s="19">
        <v>46170</v>
      </c>
      <c r="Q310" s="19">
        <v>46185</v>
      </c>
      <c r="R310" s="19">
        <v>46187</v>
      </c>
      <c r="S310" s="19">
        <v>46187</v>
      </c>
      <c r="T310" s="19">
        <v>46192</v>
      </c>
      <c r="U310" s="19">
        <v>46203</v>
      </c>
      <c r="V310" s="230">
        <v>46213</v>
      </c>
      <c r="W310" s="19">
        <v>46213</v>
      </c>
      <c r="X310" s="19">
        <v>46213</v>
      </c>
      <c r="Y310" s="57">
        <v>46132</v>
      </c>
      <c r="Z310" s="57">
        <v>46217</v>
      </c>
      <c r="AA310" s="57">
        <v>46192</v>
      </c>
      <c r="AB310" s="19">
        <v>46317</v>
      </c>
      <c r="AC310" s="19">
        <v>46317</v>
      </c>
      <c r="AD310" s="19">
        <v>46317</v>
      </c>
      <c r="AE310" s="19">
        <v>46340</v>
      </c>
      <c r="AF310" s="19">
        <v>46346</v>
      </c>
      <c r="AG310" s="19">
        <v>46348</v>
      </c>
      <c r="AH310" s="19">
        <v>46348</v>
      </c>
      <c r="AI310" s="19">
        <v>46378</v>
      </c>
      <c r="AJ310" s="58">
        <v>8.5</v>
      </c>
      <c r="AK310" s="59">
        <v>59.5</v>
      </c>
      <c r="AL310" s="78">
        <f>AG310</f>
        <v>46348</v>
      </c>
      <c r="AM310" s="78">
        <v>46349</v>
      </c>
      <c r="AN310" s="77">
        <f>AM310-AL311</f>
        <v>57</v>
      </c>
      <c r="AO310" s="140" t="s">
        <v>692</v>
      </c>
      <c r="AP310" s="431" t="s">
        <v>731</v>
      </c>
      <c r="AQ310" s="21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425"/>
      <c r="BC310" s="411"/>
      <c r="BD310" s="411"/>
    </row>
    <row r="311" spans="1:56" s="3" customFormat="1" ht="20.75" customHeight="1" thickTop="1" thickBot="1" x14ac:dyDescent="0.45">
      <c r="A311" s="441"/>
      <c r="B311" s="98" t="s">
        <v>639</v>
      </c>
      <c r="C311" s="295" t="s">
        <v>525</v>
      </c>
      <c r="D311" s="296" t="s">
        <v>987</v>
      </c>
      <c r="E311" s="159"/>
      <c r="F311" s="159"/>
      <c r="G311" s="118" t="s">
        <v>170</v>
      </c>
      <c r="H311" s="119" t="s">
        <v>164</v>
      </c>
      <c r="I311" s="120" t="s">
        <v>33</v>
      </c>
      <c r="J311" s="117" t="s">
        <v>0</v>
      </c>
      <c r="K311" s="117" t="s">
        <v>345</v>
      </c>
      <c r="L311" s="118"/>
      <c r="M311" s="202" t="s">
        <v>74</v>
      </c>
      <c r="N311" s="121" t="s">
        <v>351</v>
      </c>
      <c r="O311" s="122"/>
      <c r="P311" s="123"/>
      <c r="Q311" s="123"/>
      <c r="R311" s="123"/>
      <c r="S311" s="123"/>
      <c r="T311" s="123"/>
      <c r="U311" s="123"/>
      <c r="V311" s="123">
        <v>46219</v>
      </c>
      <c r="W311" s="123">
        <v>46219</v>
      </c>
      <c r="X311" s="123">
        <v>46219</v>
      </c>
      <c r="Y311" s="123"/>
      <c r="Z311" s="123"/>
      <c r="AA311" s="123"/>
      <c r="AB311" s="129">
        <v>46317</v>
      </c>
      <c r="AC311" s="129">
        <v>46317</v>
      </c>
      <c r="AD311" s="129">
        <v>46317</v>
      </c>
      <c r="AE311" s="83">
        <v>46340</v>
      </c>
      <c r="AF311" s="83">
        <v>46346</v>
      </c>
      <c r="AG311" s="83">
        <v>46348</v>
      </c>
      <c r="AH311" s="28">
        <v>46348</v>
      </c>
      <c r="AI311" s="28">
        <v>46378</v>
      </c>
      <c r="AJ311" s="124"/>
      <c r="AK311" s="125"/>
      <c r="AL311" s="83">
        <v>46292</v>
      </c>
      <c r="AM311" s="126"/>
      <c r="AN311" s="125"/>
      <c r="AO311" s="125"/>
      <c r="AP311" s="432"/>
      <c r="AQ311" s="39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25"/>
      <c r="BC311" s="411"/>
      <c r="BD311" s="411"/>
    </row>
    <row r="312" spans="1:56" s="3" customFormat="1" ht="20.75" customHeight="1" thickBot="1" x14ac:dyDescent="0.45">
      <c r="A312" s="442"/>
      <c r="B312" s="94" t="s">
        <v>639</v>
      </c>
      <c r="C312" s="72" t="s">
        <v>525</v>
      </c>
      <c r="D312" s="33" t="s">
        <v>987</v>
      </c>
      <c r="E312" s="158"/>
      <c r="F312" s="158"/>
      <c r="G312" s="45" t="s">
        <v>170</v>
      </c>
      <c r="H312" s="34" t="s">
        <v>164</v>
      </c>
      <c r="I312" s="32" t="s">
        <v>193</v>
      </c>
      <c r="J312" s="32" t="s">
        <v>0</v>
      </c>
      <c r="K312" s="32" t="s">
        <v>345</v>
      </c>
      <c r="L312" s="45"/>
      <c r="M312" s="198" t="s">
        <v>74</v>
      </c>
      <c r="N312" s="35" t="s">
        <v>352</v>
      </c>
      <c r="O312" s="36">
        <v>46120</v>
      </c>
      <c r="P312" s="36">
        <v>46148</v>
      </c>
      <c r="Q312" s="36">
        <v>46157</v>
      </c>
      <c r="R312" s="37">
        <v>46167</v>
      </c>
      <c r="S312" s="36">
        <v>46167</v>
      </c>
      <c r="T312" s="36">
        <v>46172</v>
      </c>
      <c r="U312" s="36">
        <v>46205</v>
      </c>
      <c r="V312" s="36"/>
      <c r="W312" s="130"/>
      <c r="X312" s="130"/>
      <c r="Y312" s="36">
        <v>46132</v>
      </c>
      <c r="Z312" s="36">
        <v>46193</v>
      </c>
      <c r="AA312" s="36">
        <v>46193</v>
      </c>
      <c r="AB312" s="36"/>
      <c r="AC312" s="232"/>
      <c r="AD312" s="36"/>
      <c r="AE312" s="36"/>
      <c r="AF312" s="36"/>
      <c r="AG312" s="36"/>
      <c r="AH312" s="36"/>
      <c r="AI312" s="36"/>
      <c r="AJ312" s="82"/>
      <c r="AK312" s="80"/>
      <c r="AL312" s="37"/>
      <c r="AM312" s="37"/>
      <c r="AN312" s="80"/>
      <c r="AO312" s="144"/>
      <c r="AP312" s="433"/>
      <c r="AQ312" s="39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25"/>
      <c r="BC312" s="411"/>
      <c r="BD312" s="411"/>
    </row>
    <row r="313" spans="1:56" s="3" customFormat="1" ht="20.65" customHeight="1" thickTop="1" thickBot="1" x14ac:dyDescent="0.45">
      <c r="A313" s="440">
        <f t="shared" ref="A313" si="86">A310+1</f>
        <v>96</v>
      </c>
      <c r="B313" s="92" t="s">
        <v>639</v>
      </c>
      <c r="C313" s="17" t="s">
        <v>736</v>
      </c>
      <c r="D313" s="227" t="s">
        <v>988</v>
      </c>
      <c r="E313" s="150"/>
      <c r="F313" s="150"/>
      <c r="G313" s="64" t="s">
        <v>170</v>
      </c>
      <c r="H313" s="16" t="s">
        <v>164</v>
      </c>
      <c r="I313" s="14" t="s">
        <v>193</v>
      </c>
      <c r="J313" s="14" t="s">
        <v>0</v>
      </c>
      <c r="K313" s="14" t="s">
        <v>345</v>
      </c>
      <c r="L313" s="253"/>
      <c r="M313" s="196" t="s">
        <v>74</v>
      </c>
      <c r="N313" s="18" t="s">
        <v>35</v>
      </c>
      <c r="O313" s="19">
        <v>46135</v>
      </c>
      <c r="P313" s="19">
        <v>46170</v>
      </c>
      <c r="Q313" s="19">
        <v>46185</v>
      </c>
      <c r="R313" s="19">
        <v>46187</v>
      </c>
      <c r="S313" s="19">
        <v>46187</v>
      </c>
      <c r="T313" s="19">
        <v>46192</v>
      </c>
      <c r="U313" s="19">
        <v>46203</v>
      </c>
      <c r="V313" s="230">
        <v>46213</v>
      </c>
      <c r="W313" s="19">
        <v>46213</v>
      </c>
      <c r="X313" s="19">
        <v>46213</v>
      </c>
      <c r="Y313" s="57">
        <v>46132</v>
      </c>
      <c r="Z313" s="57">
        <v>46217</v>
      </c>
      <c r="AA313" s="57">
        <v>46192</v>
      </c>
      <c r="AB313" s="19">
        <v>46338</v>
      </c>
      <c r="AC313" s="19">
        <v>46338</v>
      </c>
      <c r="AD313" s="19">
        <v>46338</v>
      </c>
      <c r="AE313" s="19">
        <v>46361</v>
      </c>
      <c r="AF313" s="19">
        <v>46367</v>
      </c>
      <c r="AG313" s="19">
        <v>46369</v>
      </c>
      <c r="AH313" s="19">
        <v>46369</v>
      </c>
      <c r="AI313" s="19">
        <v>46399</v>
      </c>
      <c r="AJ313" s="58">
        <v>8.5</v>
      </c>
      <c r="AK313" s="59">
        <v>59.5</v>
      </c>
      <c r="AL313" s="78">
        <f>AG313</f>
        <v>46369</v>
      </c>
      <c r="AM313" s="78">
        <v>46370</v>
      </c>
      <c r="AN313" s="77">
        <f>AM313-AL314</f>
        <v>66</v>
      </c>
      <c r="AO313" s="140" t="s">
        <v>692</v>
      </c>
      <c r="AP313" s="431" t="s">
        <v>731</v>
      </c>
      <c r="AQ313" s="21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425"/>
      <c r="BC313" s="411"/>
      <c r="BD313" s="411"/>
    </row>
    <row r="314" spans="1:56" s="3" customFormat="1" ht="20.75" customHeight="1" thickTop="1" thickBot="1" x14ac:dyDescent="0.45">
      <c r="A314" s="441"/>
      <c r="B314" s="98" t="s">
        <v>639</v>
      </c>
      <c r="C314" s="295" t="s">
        <v>736</v>
      </c>
      <c r="D314" s="296" t="s">
        <v>988</v>
      </c>
      <c r="E314" s="159"/>
      <c r="F314" s="159"/>
      <c r="G314" s="118" t="s">
        <v>170</v>
      </c>
      <c r="H314" s="119" t="s">
        <v>164</v>
      </c>
      <c r="I314" s="120" t="s">
        <v>33</v>
      </c>
      <c r="J314" s="117" t="s">
        <v>0</v>
      </c>
      <c r="K314" s="117" t="s">
        <v>345</v>
      </c>
      <c r="L314" s="118"/>
      <c r="M314" s="202" t="s">
        <v>74</v>
      </c>
      <c r="N314" s="121" t="s">
        <v>351</v>
      </c>
      <c r="O314" s="122"/>
      <c r="P314" s="123"/>
      <c r="Q314" s="123"/>
      <c r="R314" s="123"/>
      <c r="S314" s="123"/>
      <c r="T314" s="123"/>
      <c r="U314" s="123"/>
      <c r="V314" s="123">
        <v>46219</v>
      </c>
      <c r="W314" s="123">
        <v>46219</v>
      </c>
      <c r="X314" s="123">
        <v>46219</v>
      </c>
      <c r="Y314" s="123"/>
      <c r="Z314" s="123"/>
      <c r="AA314" s="123"/>
      <c r="AB314" s="129">
        <v>46338</v>
      </c>
      <c r="AC314" s="83">
        <v>46338</v>
      </c>
      <c r="AD314" s="83">
        <v>46338</v>
      </c>
      <c r="AE314" s="83">
        <v>46361</v>
      </c>
      <c r="AF314" s="83">
        <v>46367</v>
      </c>
      <c r="AG314" s="83">
        <v>46369</v>
      </c>
      <c r="AH314" s="28">
        <v>46369</v>
      </c>
      <c r="AI314" s="28">
        <v>46399</v>
      </c>
      <c r="AJ314" s="124"/>
      <c r="AK314" s="125"/>
      <c r="AL314" s="83">
        <v>46304</v>
      </c>
      <c r="AM314" s="126"/>
      <c r="AN314" s="125"/>
      <c r="AO314" s="125"/>
      <c r="AP314" s="432"/>
      <c r="AQ314" s="39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25"/>
      <c r="BC314" s="411"/>
      <c r="BD314" s="411"/>
    </row>
    <row r="315" spans="1:56" s="3" customFormat="1" ht="20.75" customHeight="1" thickBot="1" x14ac:dyDescent="0.45">
      <c r="A315" s="442"/>
      <c r="B315" s="94" t="s">
        <v>639</v>
      </c>
      <c r="C315" s="72" t="s">
        <v>736</v>
      </c>
      <c r="D315" s="33" t="s">
        <v>988</v>
      </c>
      <c r="E315" s="158"/>
      <c r="F315" s="158"/>
      <c r="G315" s="45" t="s">
        <v>170</v>
      </c>
      <c r="H315" s="34" t="s">
        <v>164</v>
      </c>
      <c r="I315" s="32" t="s">
        <v>193</v>
      </c>
      <c r="J315" s="32" t="s">
        <v>0</v>
      </c>
      <c r="K315" s="32" t="s">
        <v>345</v>
      </c>
      <c r="L315" s="45"/>
      <c r="M315" s="198" t="s">
        <v>74</v>
      </c>
      <c r="N315" s="35" t="s">
        <v>352</v>
      </c>
      <c r="O315" s="36">
        <v>46120</v>
      </c>
      <c r="P315" s="36">
        <v>46148</v>
      </c>
      <c r="Q315" s="36">
        <v>46157</v>
      </c>
      <c r="R315" s="37">
        <v>46167</v>
      </c>
      <c r="S315" s="36">
        <v>46167</v>
      </c>
      <c r="T315" s="36">
        <v>46172</v>
      </c>
      <c r="U315" s="36">
        <v>46205</v>
      </c>
      <c r="V315" s="36"/>
      <c r="W315" s="130"/>
      <c r="X315" s="130"/>
      <c r="Y315" s="36">
        <v>46132</v>
      </c>
      <c r="Z315" s="36">
        <v>46193</v>
      </c>
      <c r="AA315" s="36">
        <v>46193</v>
      </c>
      <c r="AB315" s="36"/>
      <c r="AC315" s="232"/>
      <c r="AD315" s="36"/>
      <c r="AE315" s="36"/>
      <c r="AF315" s="36"/>
      <c r="AG315" s="36"/>
      <c r="AH315" s="36"/>
      <c r="AI315" s="36"/>
      <c r="AJ315" s="82"/>
      <c r="AK315" s="80"/>
      <c r="AL315" s="37"/>
      <c r="AM315" s="37"/>
      <c r="AN315" s="80"/>
      <c r="AO315" s="144"/>
      <c r="AP315" s="433"/>
      <c r="AQ315" s="39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25"/>
      <c r="BC315" s="411"/>
      <c r="BD315" s="411"/>
    </row>
    <row r="316" spans="1:56" s="3" customFormat="1" ht="20.65" customHeight="1" thickTop="1" thickBot="1" x14ac:dyDescent="0.45">
      <c r="A316" s="440">
        <f t="shared" ref="A316" si="87">A313+1</f>
        <v>97</v>
      </c>
      <c r="B316" s="92" t="s">
        <v>639</v>
      </c>
      <c r="C316" s="17" t="s">
        <v>962</v>
      </c>
      <c r="D316" s="227" t="s">
        <v>796</v>
      </c>
      <c r="E316" s="150"/>
      <c r="F316" s="150"/>
      <c r="G316" s="64" t="s">
        <v>170</v>
      </c>
      <c r="H316" s="16" t="s">
        <v>164</v>
      </c>
      <c r="I316" s="14" t="s">
        <v>193</v>
      </c>
      <c r="J316" s="14" t="s">
        <v>0</v>
      </c>
      <c r="K316" s="14" t="s">
        <v>345</v>
      </c>
      <c r="L316" s="253"/>
      <c r="M316" s="196" t="s">
        <v>74</v>
      </c>
      <c r="N316" s="18" t="s">
        <v>35</v>
      </c>
      <c r="O316" s="19">
        <v>46135</v>
      </c>
      <c r="P316" s="19">
        <v>46170</v>
      </c>
      <c r="Q316" s="19">
        <v>46185</v>
      </c>
      <c r="R316" s="19">
        <v>46187</v>
      </c>
      <c r="S316" s="19">
        <v>46187</v>
      </c>
      <c r="T316" s="19">
        <v>46192</v>
      </c>
      <c r="U316" s="19">
        <v>46203</v>
      </c>
      <c r="V316" s="230">
        <v>46213</v>
      </c>
      <c r="W316" s="19">
        <v>46213</v>
      </c>
      <c r="X316" s="19">
        <v>46213</v>
      </c>
      <c r="Y316" s="57">
        <v>46132</v>
      </c>
      <c r="Z316" s="57">
        <v>46217</v>
      </c>
      <c r="AA316" s="57">
        <v>46192</v>
      </c>
      <c r="AB316" s="19">
        <v>46359</v>
      </c>
      <c r="AC316" s="19">
        <v>46359</v>
      </c>
      <c r="AD316" s="19">
        <v>46359</v>
      </c>
      <c r="AE316" s="19">
        <v>46382</v>
      </c>
      <c r="AF316" s="19">
        <v>46388</v>
      </c>
      <c r="AG316" s="19">
        <v>46390</v>
      </c>
      <c r="AH316" s="19">
        <v>46390</v>
      </c>
      <c r="AI316" s="19">
        <v>46420</v>
      </c>
      <c r="AJ316" s="58">
        <v>8.5</v>
      </c>
      <c r="AK316" s="59">
        <v>59.5</v>
      </c>
      <c r="AL316" s="78">
        <f>AG316</f>
        <v>46390</v>
      </c>
      <c r="AM316" s="78">
        <v>46391</v>
      </c>
      <c r="AN316" s="77">
        <f>AM316-AL317</f>
        <v>1</v>
      </c>
      <c r="AO316" s="140" t="s">
        <v>692</v>
      </c>
      <c r="AP316" s="431" t="s">
        <v>731</v>
      </c>
      <c r="AQ316" s="21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425"/>
      <c r="BC316" s="411"/>
      <c r="BD316" s="411"/>
    </row>
    <row r="317" spans="1:56" s="3" customFormat="1" ht="20.75" customHeight="1" thickTop="1" thickBot="1" x14ac:dyDescent="0.45">
      <c r="A317" s="441"/>
      <c r="B317" s="98" t="s">
        <v>639</v>
      </c>
      <c r="C317" s="295" t="s">
        <v>737</v>
      </c>
      <c r="D317" s="296" t="s">
        <v>796</v>
      </c>
      <c r="E317" s="159"/>
      <c r="F317" s="159"/>
      <c r="G317" s="118" t="s">
        <v>170</v>
      </c>
      <c r="H317" s="119" t="s">
        <v>164</v>
      </c>
      <c r="I317" s="120" t="s">
        <v>33</v>
      </c>
      <c r="J317" s="117" t="s">
        <v>0</v>
      </c>
      <c r="K317" s="117" t="s">
        <v>345</v>
      </c>
      <c r="L317" s="118"/>
      <c r="M317" s="202" t="s">
        <v>74</v>
      </c>
      <c r="N317" s="121" t="s">
        <v>351</v>
      </c>
      <c r="O317" s="122"/>
      <c r="P317" s="123"/>
      <c r="Q317" s="123"/>
      <c r="R317" s="123"/>
      <c r="S317" s="123"/>
      <c r="T317" s="123"/>
      <c r="U317" s="123"/>
      <c r="V317" s="123">
        <v>46219</v>
      </c>
      <c r="W317" s="123">
        <v>46219</v>
      </c>
      <c r="X317" s="123">
        <v>46219</v>
      </c>
      <c r="Y317" s="123"/>
      <c r="Z317" s="123"/>
      <c r="AA317" s="123"/>
      <c r="AB317" s="129">
        <v>46359</v>
      </c>
      <c r="AC317" s="83">
        <v>46359</v>
      </c>
      <c r="AD317" s="83">
        <v>46359</v>
      </c>
      <c r="AE317" s="83">
        <v>46382</v>
      </c>
      <c r="AF317" s="83">
        <v>46388</v>
      </c>
      <c r="AG317" s="83">
        <v>46390</v>
      </c>
      <c r="AH317" s="28">
        <v>46390</v>
      </c>
      <c r="AI317" s="28">
        <v>46420</v>
      </c>
      <c r="AJ317" s="124"/>
      <c r="AK317" s="125"/>
      <c r="AL317" s="83">
        <f>AL316</f>
        <v>46390</v>
      </c>
      <c r="AM317" s="126"/>
      <c r="AN317" s="125"/>
      <c r="AO317" s="125"/>
      <c r="AP317" s="432"/>
      <c r="AQ317" s="39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25"/>
      <c r="BC317" s="411"/>
      <c r="BD317" s="411"/>
    </row>
    <row r="318" spans="1:56" s="3" customFormat="1" ht="20.75" customHeight="1" thickBot="1" x14ac:dyDescent="0.45">
      <c r="A318" s="442"/>
      <c r="B318" s="94" t="s">
        <v>639</v>
      </c>
      <c r="C318" s="72" t="s">
        <v>737</v>
      </c>
      <c r="D318" s="33" t="s">
        <v>796</v>
      </c>
      <c r="E318" s="158"/>
      <c r="F318" s="158"/>
      <c r="G318" s="45" t="s">
        <v>170</v>
      </c>
      <c r="H318" s="34" t="s">
        <v>164</v>
      </c>
      <c r="I318" s="32" t="s">
        <v>193</v>
      </c>
      <c r="J318" s="32" t="s">
        <v>0</v>
      </c>
      <c r="K318" s="32" t="s">
        <v>345</v>
      </c>
      <c r="L318" s="45"/>
      <c r="M318" s="198" t="s">
        <v>74</v>
      </c>
      <c r="N318" s="35" t="s">
        <v>352</v>
      </c>
      <c r="O318" s="36">
        <v>46120</v>
      </c>
      <c r="P318" s="36">
        <v>46148</v>
      </c>
      <c r="Q318" s="36">
        <v>46157</v>
      </c>
      <c r="R318" s="37">
        <v>46167</v>
      </c>
      <c r="S318" s="36">
        <v>46167</v>
      </c>
      <c r="T318" s="36">
        <v>46172</v>
      </c>
      <c r="U318" s="36">
        <v>46205</v>
      </c>
      <c r="V318" s="36"/>
      <c r="W318" s="130"/>
      <c r="X318" s="130"/>
      <c r="Y318" s="36">
        <v>46132</v>
      </c>
      <c r="Z318" s="36">
        <v>46193</v>
      </c>
      <c r="AA318" s="36">
        <v>46193</v>
      </c>
      <c r="AB318" s="36"/>
      <c r="AC318" s="36"/>
      <c r="AD318" s="36"/>
      <c r="AE318" s="36"/>
      <c r="AF318" s="36"/>
      <c r="AG318" s="36"/>
      <c r="AH318" s="36"/>
      <c r="AI318" s="36"/>
      <c r="AJ318" s="82"/>
      <c r="AK318" s="80"/>
      <c r="AL318" s="37"/>
      <c r="AM318" s="37"/>
      <c r="AN318" s="80"/>
      <c r="AO318" s="144"/>
      <c r="AP318" s="433"/>
      <c r="AQ318" s="39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25"/>
      <c r="BC318" s="411"/>
      <c r="BD318" s="411"/>
    </row>
    <row r="319" spans="1:56" s="3" customFormat="1" ht="18" customHeight="1" thickTop="1" x14ac:dyDescent="0.4">
      <c r="A319" s="440">
        <f t="shared" ref="A319" si="88">A316+1</f>
        <v>98</v>
      </c>
      <c r="B319" s="222"/>
      <c r="C319" s="14" t="s">
        <v>972</v>
      </c>
      <c r="D319" s="42" t="s">
        <v>970</v>
      </c>
      <c r="E319" s="150"/>
      <c r="F319" s="150"/>
      <c r="G319" s="64" t="s">
        <v>170</v>
      </c>
      <c r="H319" s="16" t="s">
        <v>164</v>
      </c>
      <c r="I319" s="14" t="s">
        <v>193</v>
      </c>
      <c r="J319" s="14" t="s">
        <v>0</v>
      </c>
      <c r="K319" s="14" t="s">
        <v>345</v>
      </c>
      <c r="L319" s="42"/>
      <c r="M319" s="196" t="s">
        <v>74</v>
      </c>
      <c r="N319" s="18" t="s">
        <v>35</v>
      </c>
      <c r="O319" s="19">
        <v>46286</v>
      </c>
      <c r="P319" s="19">
        <v>46295</v>
      </c>
      <c r="Q319" s="19">
        <v>46307</v>
      </c>
      <c r="R319" s="19">
        <v>46310</v>
      </c>
      <c r="S319" s="19">
        <v>46310</v>
      </c>
      <c r="T319" s="19">
        <v>46317</v>
      </c>
      <c r="U319" s="19">
        <v>46322</v>
      </c>
      <c r="V319" s="19">
        <v>46327</v>
      </c>
      <c r="W319" s="19">
        <v>46333</v>
      </c>
      <c r="X319" s="19">
        <v>46337</v>
      </c>
      <c r="Y319" s="57">
        <v>46344</v>
      </c>
      <c r="Z319" s="19">
        <v>46358</v>
      </c>
      <c r="AA319" s="19">
        <v>46373</v>
      </c>
      <c r="AB319" s="19">
        <v>46378</v>
      </c>
      <c r="AC319" s="19">
        <v>46381</v>
      </c>
      <c r="AD319" s="19">
        <v>46384</v>
      </c>
      <c r="AE319" s="19">
        <v>46413</v>
      </c>
      <c r="AF319" s="19">
        <v>46418</v>
      </c>
      <c r="AG319" s="19">
        <v>46423</v>
      </c>
      <c r="AH319" s="19">
        <v>46426</v>
      </c>
      <c r="AI319" s="19">
        <v>46453</v>
      </c>
      <c r="AJ319" s="58">
        <v>8.5</v>
      </c>
      <c r="AK319" s="59">
        <v>59.5</v>
      </c>
      <c r="AL319" s="78">
        <f>AG319</f>
        <v>46423</v>
      </c>
      <c r="AM319" s="78">
        <v>46435</v>
      </c>
      <c r="AN319" s="77">
        <f>AM319-AL320</f>
        <v>12</v>
      </c>
      <c r="AO319" s="140" t="s">
        <v>689</v>
      </c>
      <c r="AP319" s="434"/>
      <c r="BB319" s="429"/>
    </row>
    <row r="320" spans="1:56" s="3" customFormat="1" ht="18" customHeight="1" x14ac:dyDescent="0.4">
      <c r="A320" s="441"/>
      <c r="B320" s="420"/>
      <c r="C320" s="117" t="s">
        <v>972</v>
      </c>
      <c r="D320" s="118" t="s">
        <v>822</v>
      </c>
      <c r="E320" s="159"/>
      <c r="F320" s="159"/>
      <c r="G320" s="118" t="s">
        <v>170</v>
      </c>
      <c r="H320" s="119" t="s">
        <v>164</v>
      </c>
      <c r="I320" s="120" t="s">
        <v>33</v>
      </c>
      <c r="J320" s="117" t="s">
        <v>0</v>
      </c>
      <c r="K320" s="117" t="s">
        <v>345</v>
      </c>
      <c r="L320" s="118"/>
      <c r="M320" s="202" t="s">
        <v>74</v>
      </c>
      <c r="N320" s="121" t="s">
        <v>351</v>
      </c>
      <c r="O320" s="122">
        <v>46286</v>
      </c>
      <c r="P320" s="123">
        <v>46295</v>
      </c>
      <c r="Q320" s="123">
        <v>46307</v>
      </c>
      <c r="R320" s="123">
        <v>46310</v>
      </c>
      <c r="S320" s="123">
        <v>46310</v>
      </c>
      <c r="T320" s="123">
        <v>46317</v>
      </c>
      <c r="U320" s="123">
        <v>46322</v>
      </c>
      <c r="V320" s="123">
        <v>46327</v>
      </c>
      <c r="W320" s="123">
        <v>46333</v>
      </c>
      <c r="X320" s="139">
        <v>46337</v>
      </c>
      <c r="Y320" s="139">
        <v>46344</v>
      </c>
      <c r="Z320" s="123">
        <v>46358</v>
      </c>
      <c r="AA320" s="123">
        <v>46373</v>
      </c>
      <c r="AB320" s="123">
        <v>46378</v>
      </c>
      <c r="AC320" s="123">
        <v>46381</v>
      </c>
      <c r="AD320" s="123">
        <v>46384</v>
      </c>
      <c r="AE320" s="123">
        <v>46413</v>
      </c>
      <c r="AF320" s="123">
        <v>46418</v>
      </c>
      <c r="AG320" s="123">
        <v>46423</v>
      </c>
      <c r="AH320" s="123">
        <v>46426</v>
      </c>
      <c r="AI320" s="83">
        <v>46453</v>
      </c>
      <c r="AJ320" s="124"/>
      <c r="AK320" s="125"/>
      <c r="AL320" s="126">
        <f>AG320</f>
        <v>46423</v>
      </c>
      <c r="AM320" s="126"/>
      <c r="AN320" s="125"/>
      <c r="AO320" s="125"/>
      <c r="AP320" s="443"/>
      <c r="BB320" s="429"/>
    </row>
    <row r="321" spans="1:56" s="3" customFormat="1" ht="18" customHeight="1" thickBot="1" x14ac:dyDescent="0.45">
      <c r="A321" s="442"/>
      <c r="B321" s="96"/>
      <c r="C321" s="32" t="s">
        <v>972</v>
      </c>
      <c r="D321" s="45" t="s">
        <v>822</v>
      </c>
      <c r="E321" s="158"/>
      <c r="F321" s="158"/>
      <c r="G321" s="45" t="s">
        <v>170</v>
      </c>
      <c r="H321" s="34" t="s">
        <v>164</v>
      </c>
      <c r="I321" s="32" t="s">
        <v>193</v>
      </c>
      <c r="J321" s="32" t="s">
        <v>0</v>
      </c>
      <c r="K321" s="32" t="s">
        <v>345</v>
      </c>
      <c r="L321" s="45"/>
      <c r="M321" s="198" t="s">
        <v>74</v>
      </c>
      <c r="N321" s="35" t="s">
        <v>352</v>
      </c>
      <c r="O321" s="36"/>
      <c r="P321" s="36"/>
      <c r="Q321" s="36"/>
      <c r="R321" s="37"/>
      <c r="S321" s="36"/>
      <c r="T321" s="36"/>
      <c r="U321" s="36"/>
      <c r="V321" s="36"/>
      <c r="W321" s="130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82"/>
      <c r="AJ321" s="82"/>
      <c r="AK321" s="80"/>
      <c r="AL321" s="37"/>
      <c r="AM321" s="37"/>
      <c r="AN321" s="80"/>
      <c r="AO321" s="144"/>
      <c r="AP321" s="444"/>
      <c r="BB321" s="429"/>
    </row>
    <row r="322" spans="1:56" s="3" customFormat="1" ht="18" customHeight="1" thickTop="1" x14ac:dyDescent="0.4">
      <c r="A322" s="440">
        <f t="shared" ref="A322" si="89">A319+1</f>
        <v>99</v>
      </c>
      <c r="B322" s="222"/>
      <c r="C322" s="14" t="s">
        <v>973</v>
      </c>
      <c r="D322" s="42" t="s">
        <v>971</v>
      </c>
      <c r="E322" s="150"/>
      <c r="F322" s="150"/>
      <c r="G322" s="64" t="s">
        <v>170</v>
      </c>
      <c r="H322" s="16" t="s">
        <v>164</v>
      </c>
      <c r="I322" s="14" t="s">
        <v>193</v>
      </c>
      <c r="J322" s="14" t="s">
        <v>0</v>
      </c>
      <c r="K322" s="14" t="s">
        <v>345</v>
      </c>
      <c r="L322" s="42"/>
      <c r="M322" s="196" t="s">
        <v>74</v>
      </c>
      <c r="N322" s="18" t="s">
        <v>35</v>
      </c>
      <c r="O322" s="19">
        <v>46286</v>
      </c>
      <c r="P322" s="19">
        <v>46324</v>
      </c>
      <c r="Q322" s="19">
        <v>46336</v>
      </c>
      <c r="R322" s="19">
        <v>46339</v>
      </c>
      <c r="S322" s="19">
        <v>46339</v>
      </c>
      <c r="T322" s="19">
        <v>46346</v>
      </c>
      <c r="U322" s="19">
        <v>46351</v>
      </c>
      <c r="V322" s="19">
        <v>46356</v>
      </c>
      <c r="W322" s="19">
        <v>46363</v>
      </c>
      <c r="X322" s="19">
        <v>46367</v>
      </c>
      <c r="Y322" s="57">
        <v>46374</v>
      </c>
      <c r="Z322" s="19">
        <v>46388</v>
      </c>
      <c r="AA322" s="19">
        <v>46403</v>
      </c>
      <c r="AB322" s="19">
        <v>46408</v>
      </c>
      <c r="AC322" s="19">
        <v>46411</v>
      </c>
      <c r="AD322" s="19">
        <v>46414</v>
      </c>
      <c r="AE322" s="19">
        <v>46443</v>
      </c>
      <c r="AF322" s="19">
        <v>46448</v>
      </c>
      <c r="AG322" s="19">
        <v>46453</v>
      </c>
      <c r="AH322" s="19">
        <v>46456</v>
      </c>
      <c r="AI322" s="19">
        <v>46483</v>
      </c>
      <c r="AJ322" s="58">
        <v>8.5</v>
      </c>
      <c r="AK322" s="59">
        <v>59.5</v>
      </c>
      <c r="AL322" s="78">
        <v>46453</v>
      </c>
      <c r="AM322" s="78">
        <v>46463</v>
      </c>
      <c r="AN322" s="77">
        <f>AM322-AL323</f>
        <v>40.5</v>
      </c>
      <c r="AO322" s="140" t="s">
        <v>689</v>
      </c>
      <c r="AP322" s="434"/>
      <c r="BB322" s="429"/>
    </row>
    <row r="323" spans="1:56" s="3" customFormat="1" ht="18" customHeight="1" x14ac:dyDescent="0.4">
      <c r="A323" s="441"/>
      <c r="B323" s="420"/>
      <c r="C323" s="117" t="s">
        <v>973</v>
      </c>
      <c r="D323" s="118" t="s">
        <v>971</v>
      </c>
      <c r="E323" s="159"/>
      <c r="F323" s="159"/>
      <c r="G323" s="118" t="s">
        <v>170</v>
      </c>
      <c r="H323" s="119" t="s">
        <v>164</v>
      </c>
      <c r="I323" s="120" t="s">
        <v>33</v>
      </c>
      <c r="J323" s="117" t="s">
        <v>0</v>
      </c>
      <c r="K323" s="117" t="s">
        <v>345</v>
      </c>
      <c r="L323" s="118"/>
      <c r="M323" s="202" t="s">
        <v>74</v>
      </c>
      <c r="N323" s="121" t="s">
        <v>351</v>
      </c>
      <c r="O323" s="122">
        <v>46286</v>
      </c>
      <c r="P323" s="123">
        <v>46324</v>
      </c>
      <c r="Q323" s="123">
        <v>46336</v>
      </c>
      <c r="R323" s="123">
        <v>46339</v>
      </c>
      <c r="S323" s="123">
        <v>46339</v>
      </c>
      <c r="T323" s="123">
        <v>46346</v>
      </c>
      <c r="U323" s="123">
        <v>46351</v>
      </c>
      <c r="V323" s="123">
        <v>46356</v>
      </c>
      <c r="W323" s="123">
        <v>46363</v>
      </c>
      <c r="X323" s="139">
        <v>46367</v>
      </c>
      <c r="Y323" s="139">
        <v>46374</v>
      </c>
      <c r="Z323" s="123">
        <v>46388</v>
      </c>
      <c r="AA323" s="123">
        <v>46403</v>
      </c>
      <c r="AB323" s="123">
        <v>46408</v>
      </c>
      <c r="AC323" s="123">
        <v>46411</v>
      </c>
      <c r="AD323" s="123">
        <v>46414</v>
      </c>
      <c r="AE323" s="123">
        <v>46443</v>
      </c>
      <c r="AF323" s="123">
        <v>46448</v>
      </c>
      <c r="AG323" s="123">
        <v>46453</v>
      </c>
      <c r="AH323" s="123">
        <v>46456</v>
      </c>
      <c r="AI323" s="83">
        <v>46483</v>
      </c>
      <c r="AJ323" s="124"/>
      <c r="AK323" s="125"/>
      <c r="AL323" s="83">
        <f>W323+AK322</f>
        <v>46422.5</v>
      </c>
      <c r="AM323" s="126"/>
      <c r="AN323" s="125"/>
      <c r="AO323" s="125"/>
      <c r="AP323" s="443"/>
      <c r="BB323" s="429"/>
    </row>
    <row r="324" spans="1:56" s="3" customFormat="1" ht="18" customHeight="1" thickBot="1" x14ac:dyDescent="0.45">
      <c r="A324" s="442"/>
      <c r="B324" s="96"/>
      <c r="C324" s="32" t="s">
        <v>973</v>
      </c>
      <c r="D324" s="45" t="s">
        <v>971</v>
      </c>
      <c r="E324" s="158"/>
      <c r="F324" s="158"/>
      <c r="G324" s="45" t="s">
        <v>170</v>
      </c>
      <c r="H324" s="34" t="s">
        <v>164</v>
      </c>
      <c r="I324" s="32" t="s">
        <v>193</v>
      </c>
      <c r="J324" s="32" t="s">
        <v>0</v>
      </c>
      <c r="K324" s="32" t="s">
        <v>345</v>
      </c>
      <c r="L324" s="45"/>
      <c r="M324" s="198" t="s">
        <v>74</v>
      </c>
      <c r="N324" s="35" t="s">
        <v>352</v>
      </c>
      <c r="O324" s="36"/>
      <c r="P324" s="36"/>
      <c r="Q324" s="36"/>
      <c r="R324" s="37"/>
      <c r="S324" s="36"/>
      <c r="T324" s="36"/>
      <c r="U324" s="36"/>
      <c r="V324" s="36"/>
      <c r="W324" s="130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82"/>
      <c r="AI324" s="80"/>
      <c r="AJ324" s="82"/>
      <c r="AK324" s="80"/>
      <c r="AL324" s="37"/>
      <c r="AM324" s="37"/>
      <c r="AN324" s="80"/>
      <c r="AO324" s="144"/>
      <c r="AP324" s="444"/>
      <c r="BB324" s="429"/>
    </row>
    <row r="325" spans="1:56" s="3" customFormat="1" ht="18" customHeight="1" thickTop="1" x14ac:dyDescent="0.4">
      <c r="A325" s="440">
        <f t="shared" ref="A325" si="90">A322+1</f>
        <v>100</v>
      </c>
      <c r="B325" s="92"/>
      <c r="C325" s="17" t="s">
        <v>974</v>
      </c>
      <c r="D325" s="42" t="s">
        <v>969</v>
      </c>
      <c r="E325" s="150"/>
      <c r="F325" s="150"/>
      <c r="G325" s="64" t="s">
        <v>170</v>
      </c>
      <c r="H325" s="16" t="s">
        <v>164</v>
      </c>
      <c r="I325" s="14" t="s">
        <v>193</v>
      </c>
      <c r="J325" s="14" t="s">
        <v>0</v>
      </c>
      <c r="K325" s="14" t="s">
        <v>345</v>
      </c>
      <c r="L325" s="42"/>
      <c r="M325" s="196" t="s">
        <v>74</v>
      </c>
      <c r="N325" s="18" t="s">
        <v>35</v>
      </c>
      <c r="O325" s="19">
        <v>46286</v>
      </c>
      <c r="P325" s="19">
        <v>46353</v>
      </c>
      <c r="Q325" s="19">
        <v>46365</v>
      </c>
      <c r="R325" s="19">
        <v>46368</v>
      </c>
      <c r="S325" s="19">
        <v>46368</v>
      </c>
      <c r="T325" s="19">
        <v>46375</v>
      </c>
      <c r="U325" s="19">
        <v>46380</v>
      </c>
      <c r="V325" s="19">
        <v>46385</v>
      </c>
      <c r="W325" s="19">
        <v>46393</v>
      </c>
      <c r="X325" s="19">
        <v>46397</v>
      </c>
      <c r="Y325" s="19">
        <v>46404</v>
      </c>
      <c r="Z325" s="19">
        <v>46418</v>
      </c>
      <c r="AA325" s="19">
        <v>46433</v>
      </c>
      <c r="AB325" s="19">
        <v>46438</v>
      </c>
      <c r="AC325" s="19">
        <v>46441</v>
      </c>
      <c r="AD325" s="19">
        <v>46444</v>
      </c>
      <c r="AE325" s="19">
        <v>46473</v>
      </c>
      <c r="AF325" s="19">
        <v>46478</v>
      </c>
      <c r="AG325" s="19">
        <v>46483</v>
      </c>
      <c r="AH325" s="19">
        <v>46486</v>
      </c>
      <c r="AI325" s="19">
        <v>46513</v>
      </c>
      <c r="AJ325" s="58">
        <v>8.5</v>
      </c>
      <c r="AK325" s="59">
        <v>59.5</v>
      </c>
      <c r="AL325" s="78">
        <v>46452.5</v>
      </c>
      <c r="AM325" s="78">
        <v>46494</v>
      </c>
      <c r="AN325" s="77">
        <f>AM325-AL326</f>
        <v>41.5</v>
      </c>
      <c r="AO325" s="140" t="s">
        <v>689</v>
      </c>
      <c r="AP325" s="431"/>
      <c r="BB325" s="429"/>
      <c r="BC325" s="411"/>
      <c r="BD325" s="411"/>
    </row>
    <row r="326" spans="1:56" s="3" customFormat="1" ht="18" customHeight="1" x14ac:dyDescent="0.4">
      <c r="A326" s="441"/>
      <c r="B326" s="98"/>
      <c r="C326" s="295" t="s">
        <v>974</v>
      </c>
      <c r="D326" s="118" t="s">
        <v>823</v>
      </c>
      <c r="E326" s="159"/>
      <c r="F326" s="159"/>
      <c r="G326" s="118" t="s">
        <v>170</v>
      </c>
      <c r="H326" s="119" t="s">
        <v>164</v>
      </c>
      <c r="I326" s="120" t="s">
        <v>33</v>
      </c>
      <c r="J326" s="117" t="s">
        <v>0</v>
      </c>
      <c r="K326" s="117" t="s">
        <v>345</v>
      </c>
      <c r="L326" s="118"/>
      <c r="M326" s="202" t="s">
        <v>74</v>
      </c>
      <c r="N326" s="121" t="s">
        <v>351</v>
      </c>
      <c r="O326" s="122">
        <v>46286</v>
      </c>
      <c r="P326" s="123">
        <v>46353</v>
      </c>
      <c r="Q326" s="123">
        <v>46365</v>
      </c>
      <c r="R326" s="123">
        <v>46368</v>
      </c>
      <c r="S326" s="123">
        <v>46368</v>
      </c>
      <c r="T326" s="123">
        <v>46375</v>
      </c>
      <c r="U326" s="123">
        <v>46380</v>
      </c>
      <c r="V326" s="123">
        <v>46385</v>
      </c>
      <c r="W326" s="123">
        <v>46393</v>
      </c>
      <c r="X326" s="139">
        <v>46397</v>
      </c>
      <c r="Y326" s="83">
        <v>46404</v>
      </c>
      <c r="Z326" s="83">
        <v>46418</v>
      </c>
      <c r="AA326" s="28">
        <v>46433</v>
      </c>
      <c r="AB326" s="129">
        <v>46438</v>
      </c>
      <c r="AC326" s="83">
        <v>46441</v>
      </c>
      <c r="AD326" s="83">
        <v>46444</v>
      </c>
      <c r="AE326" s="83">
        <v>46473</v>
      </c>
      <c r="AF326" s="28">
        <v>46478</v>
      </c>
      <c r="AG326" s="83">
        <v>46483</v>
      </c>
      <c r="AH326" s="28">
        <v>46486</v>
      </c>
      <c r="AI326" s="28">
        <v>46513</v>
      </c>
      <c r="AJ326" s="124"/>
      <c r="AK326" s="125"/>
      <c r="AL326" s="83">
        <f>W326+AK325</f>
        <v>46452.5</v>
      </c>
      <c r="AM326" s="126"/>
      <c r="AN326" s="125"/>
      <c r="AO326" s="125"/>
      <c r="AP326" s="432"/>
      <c r="BB326" s="429"/>
      <c r="BC326" s="411"/>
      <c r="BD326" s="411"/>
    </row>
    <row r="327" spans="1:56" s="3" customFormat="1" ht="18" customHeight="1" thickBot="1" x14ac:dyDescent="0.45">
      <c r="A327" s="442"/>
      <c r="B327" s="94"/>
      <c r="C327" s="72" t="s">
        <v>974</v>
      </c>
      <c r="D327" s="44" t="s">
        <v>823</v>
      </c>
      <c r="E327" s="158"/>
      <c r="F327" s="158"/>
      <c r="G327" s="45" t="s">
        <v>170</v>
      </c>
      <c r="H327" s="34" t="s">
        <v>164</v>
      </c>
      <c r="I327" s="32" t="s">
        <v>193</v>
      </c>
      <c r="J327" s="32" t="s">
        <v>0</v>
      </c>
      <c r="K327" s="32" t="s">
        <v>345</v>
      </c>
      <c r="L327" s="45"/>
      <c r="M327" s="198" t="s">
        <v>74</v>
      </c>
      <c r="N327" s="35" t="s">
        <v>352</v>
      </c>
      <c r="O327" s="36"/>
      <c r="P327" s="36"/>
      <c r="Q327" s="36"/>
      <c r="R327" s="37"/>
      <c r="S327" s="36"/>
      <c r="T327" s="36"/>
      <c r="U327" s="36"/>
      <c r="V327" s="36"/>
      <c r="W327" s="130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82"/>
      <c r="AI327" s="80"/>
      <c r="AJ327" s="82"/>
      <c r="AK327" s="80"/>
      <c r="AL327" s="37"/>
      <c r="AM327" s="37"/>
      <c r="AN327" s="80"/>
      <c r="AO327" s="144"/>
      <c r="AP327" s="433"/>
      <c r="BB327" s="429"/>
      <c r="BC327" s="411"/>
      <c r="BD327" s="411"/>
    </row>
    <row r="328" spans="1:56" s="3" customFormat="1" ht="24" customHeight="1" thickTop="1" thickBot="1" x14ac:dyDescent="0.45">
      <c r="A328" s="440">
        <f t="shared" ref="A328" si="91">A325+1</f>
        <v>101</v>
      </c>
      <c r="B328" s="92" t="s">
        <v>989</v>
      </c>
      <c r="C328" s="14" t="s">
        <v>907</v>
      </c>
      <c r="D328" s="227" t="s">
        <v>911</v>
      </c>
      <c r="E328" s="154"/>
      <c r="F328" s="154"/>
      <c r="G328" s="64" t="s">
        <v>170</v>
      </c>
      <c r="H328" s="16" t="s">
        <v>164</v>
      </c>
      <c r="I328" s="14" t="s">
        <v>193</v>
      </c>
      <c r="J328" s="14" t="s">
        <v>0</v>
      </c>
      <c r="K328" s="14" t="s">
        <v>314</v>
      </c>
      <c r="L328" s="42"/>
      <c r="M328" s="196" t="s">
        <v>74</v>
      </c>
      <c r="N328" s="18" t="s">
        <v>35</v>
      </c>
      <c r="O328" s="19">
        <v>46154</v>
      </c>
      <c r="P328" s="19">
        <v>46160</v>
      </c>
      <c r="Q328" s="19">
        <v>46175</v>
      </c>
      <c r="R328" s="57">
        <v>46175</v>
      </c>
      <c r="S328" s="19">
        <v>46175</v>
      </c>
      <c r="T328" s="19">
        <v>46182</v>
      </c>
      <c r="U328" s="230">
        <v>46218</v>
      </c>
      <c r="V328" s="19">
        <v>46234</v>
      </c>
      <c r="W328" s="57">
        <v>46243</v>
      </c>
      <c r="X328" s="19">
        <v>46245</v>
      </c>
      <c r="Y328" s="19">
        <v>46249</v>
      </c>
      <c r="Z328" s="19">
        <v>46252</v>
      </c>
      <c r="AA328" s="19">
        <v>46275</v>
      </c>
      <c r="AB328" s="19">
        <v>46254</v>
      </c>
      <c r="AC328" s="19">
        <v>46255</v>
      </c>
      <c r="AD328" s="19">
        <v>46259</v>
      </c>
      <c r="AE328" s="19">
        <v>46264</v>
      </c>
      <c r="AF328" s="19">
        <v>46265</v>
      </c>
      <c r="AG328" s="19">
        <v>46266</v>
      </c>
      <c r="AH328" s="19">
        <v>46267</v>
      </c>
      <c r="AI328" s="19">
        <v>46281</v>
      </c>
      <c r="AJ328" s="58">
        <f>AK328/7</f>
        <v>4</v>
      </c>
      <c r="AK328" s="59">
        <v>28</v>
      </c>
      <c r="AL328" s="78">
        <v>46273</v>
      </c>
      <c r="AM328" s="78">
        <v>46274</v>
      </c>
      <c r="AN328" s="77">
        <f>AM328-AL329</f>
        <v>3</v>
      </c>
      <c r="AO328" s="140" t="s">
        <v>689</v>
      </c>
      <c r="AP328" s="431" t="s">
        <v>548</v>
      </c>
      <c r="AQ328" s="21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425"/>
      <c r="BC328" s="411"/>
      <c r="BD328" s="411"/>
    </row>
    <row r="329" spans="1:56" s="3" customFormat="1" ht="24" customHeight="1" thickTop="1" thickBot="1" x14ac:dyDescent="0.45">
      <c r="A329" s="441"/>
      <c r="B329" s="98" t="s">
        <v>989</v>
      </c>
      <c r="C329" s="41" t="s">
        <v>906</v>
      </c>
      <c r="D329" s="24" t="s">
        <v>911</v>
      </c>
      <c r="E329" s="155"/>
      <c r="F329" s="155"/>
      <c r="G329" s="43" t="s">
        <v>170</v>
      </c>
      <c r="H329" s="46" t="s">
        <v>164</v>
      </c>
      <c r="I329" s="23" t="s">
        <v>193</v>
      </c>
      <c r="J329" s="41" t="s">
        <v>0</v>
      </c>
      <c r="K329" s="41" t="s">
        <v>314</v>
      </c>
      <c r="L329" s="43"/>
      <c r="M329" s="197" t="s">
        <v>74</v>
      </c>
      <c r="N329" s="26" t="s">
        <v>36</v>
      </c>
      <c r="O329" s="27"/>
      <c r="P329" s="28"/>
      <c r="Q329" s="28"/>
      <c r="R329" s="28"/>
      <c r="S329" s="28"/>
      <c r="T329" s="28"/>
      <c r="U329" s="28">
        <v>46218</v>
      </c>
      <c r="V329" s="28">
        <v>46234</v>
      </c>
      <c r="W329" s="28">
        <v>46243</v>
      </c>
      <c r="X329" s="28">
        <v>46245</v>
      </c>
      <c r="Y329" s="28">
        <v>46249</v>
      </c>
      <c r="Z329" s="28">
        <v>46252</v>
      </c>
      <c r="AA329" s="28">
        <v>46275</v>
      </c>
      <c r="AB329" s="28">
        <v>46254</v>
      </c>
      <c r="AC329" s="28">
        <v>46255</v>
      </c>
      <c r="AD329" s="28">
        <v>46259</v>
      </c>
      <c r="AE329" s="28">
        <v>46264</v>
      </c>
      <c r="AF329" s="28">
        <v>46265</v>
      </c>
      <c r="AG329" s="28">
        <v>46266</v>
      </c>
      <c r="AH329" s="28">
        <v>46267</v>
      </c>
      <c r="AI329" s="28">
        <v>46281</v>
      </c>
      <c r="AJ329" s="81"/>
      <c r="AK329" s="79"/>
      <c r="AL329" s="83">
        <f>W329+AK328</f>
        <v>46271</v>
      </c>
      <c r="AM329" s="83"/>
      <c r="AN329" s="79"/>
      <c r="AO329" s="125"/>
      <c r="AP329" s="432"/>
      <c r="AQ329" s="21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425"/>
      <c r="BC329" s="411"/>
      <c r="BD329" s="411"/>
    </row>
    <row r="330" spans="1:56" s="3" customFormat="1" ht="24" customHeight="1" thickTop="1" thickBot="1" x14ac:dyDescent="0.45">
      <c r="A330" s="442"/>
      <c r="B330" s="94" t="s">
        <v>989</v>
      </c>
      <c r="C330" s="32" t="s">
        <v>906</v>
      </c>
      <c r="D330" s="48" t="s">
        <v>910</v>
      </c>
      <c r="E330" s="182"/>
      <c r="F330" s="182"/>
      <c r="G330" s="45" t="s">
        <v>170</v>
      </c>
      <c r="H330" s="34" t="s">
        <v>164</v>
      </c>
      <c r="I330" s="32" t="s">
        <v>193</v>
      </c>
      <c r="J330" s="32" t="s">
        <v>0</v>
      </c>
      <c r="K330" s="32" t="s">
        <v>314</v>
      </c>
      <c r="L330" s="45"/>
      <c r="M330" s="198" t="s">
        <v>74</v>
      </c>
      <c r="N330" s="35" t="s">
        <v>37</v>
      </c>
      <c r="O330" s="36">
        <v>46183</v>
      </c>
      <c r="P330" s="36">
        <v>46146</v>
      </c>
      <c r="Q330" s="36">
        <v>46157</v>
      </c>
      <c r="R330" s="36">
        <v>46183</v>
      </c>
      <c r="S330" s="36">
        <v>46183</v>
      </c>
      <c r="T330" s="36">
        <v>46185</v>
      </c>
      <c r="U330" s="36"/>
      <c r="V330" s="36"/>
      <c r="W330" s="37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82"/>
      <c r="AK330" s="80"/>
      <c r="AL330" s="37"/>
      <c r="AM330" s="37"/>
      <c r="AN330" s="80"/>
      <c r="AO330" s="144"/>
      <c r="AP330" s="433"/>
      <c r="AQ330" s="39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25"/>
      <c r="BC330" s="411"/>
      <c r="BD330" s="411"/>
    </row>
    <row r="331" spans="1:56" s="3" customFormat="1" ht="25.15" customHeight="1" thickTop="1" thickBot="1" x14ac:dyDescent="0.45">
      <c r="A331" s="440">
        <f t="shared" ref="A331" si="92">A328+1</f>
        <v>102</v>
      </c>
      <c r="B331" s="92" t="s">
        <v>989</v>
      </c>
      <c r="C331" s="14" t="s">
        <v>909</v>
      </c>
      <c r="D331" s="227" t="s">
        <v>913</v>
      </c>
      <c r="E331" s="154"/>
      <c r="F331" s="154"/>
      <c r="G331" s="64" t="s">
        <v>170</v>
      </c>
      <c r="H331" s="16" t="s">
        <v>164</v>
      </c>
      <c r="I331" s="14" t="s">
        <v>193</v>
      </c>
      <c r="J331" s="14" t="s">
        <v>0</v>
      </c>
      <c r="K331" s="14" t="s">
        <v>314</v>
      </c>
      <c r="L331" s="42"/>
      <c r="M331" s="196" t="s">
        <v>74</v>
      </c>
      <c r="N331" s="18" t="s">
        <v>35</v>
      </c>
      <c r="O331" s="19">
        <v>46154</v>
      </c>
      <c r="P331" s="19">
        <v>46188</v>
      </c>
      <c r="Q331" s="19">
        <v>46202</v>
      </c>
      <c r="R331" s="57">
        <v>46202</v>
      </c>
      <c r="S331" s="19">
        <v>46202</v>
      </c>
      <c r="T331" s="19">
        <v>46209</v>
      </c>
      <c r="U331" s="230">
        <v>46218</v>
      </c>
      <c r="V331" s="19">
        <v>46234</v>
      </c>
      <c r="W331" s="57">
        <v>46243</v>
      </c>
      <c r="X331" s="57">
        <v>46245</v>
      </c>
      <c r="Y331" s="19">
        <v>46254</v>
      </c>
      <c r="Z331" s="19">
        <v>46255</v>
      </c>
      <c r="AA331" s="19">
        <v>46284</v>
      </c>
      <c r="AB331" s="19">
        <v>46258</v>
      </c>
      <c r="AC331" s="19">
        <v>46259</v>
      </c>
      <c r="AD331" s="19">
        <v>46285</v>
      </c>
      <c r="AE331" s="19">
        <v>46323</v>
      </c>
      <c r="AF331" s="19">
        <v>46328</v>
      </c>
      <c r="AG331" s="19">
        <v>46333</v>
      </c>
      <c r="AH331" s="19">
        <v>46353</v>
      </c>
      <c r="AI331" s="19">
        <v>46363</v>
      </c>
      <c r="AJ331" s="58">
        <f>AK331/7</f>
        <v>4</v>
      </c>
      <c r="AK331" s="59">
        <v>28</v>
      </c>
      <c r="AL331" s="78">
        <f>AG331</f>
        <v>46333</v>
      </c>
      <c r="AM331" s="78">
        <v>46272</v>
      </c>
      <c r="AN331" s="77">
        <f>AM331-AL332</f>
        <v>1</v>
      </c>
      <c r="AO331" s="140" t="s">
        <v>689</v>
      </c>
      <c r="AP331" s="431" t="s">
        <v>548</v>
      </c>
      <c r="AQ331" s="21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425"/>
      <c r="BC331" s="411"/>
      <c r="BD331" s="411"/>
    </row>
    <row r="332" spans="1:56" s="3" customFormat="1" ht="26.65" customHeight="1" thickTop="1" thickBot="1" x14ac:dyDescent="0.45">
      <c r="A332" s="441"/>
      <c r="B332" s="98" t="s">
        <v>989</v>
      </c>
      <c r="C332" s="41" t="s">
        <v>908</v>
      </c>
      <c r="D332" s="24" t="s">
        <v>912</v>
      </c>
      <c r="E332" s="155"/>
      <c r="F332" s="155"/>
      <c r="G332" s="43" t="s">
        <v>170</v>
      </c>
      <c r="H332" s="46" t="s">
        <v>164</v>
      </c>
      <c r="I332" s="23" t="s">
        <v>193</v>
      </c>
      <c r="J332" s="41" t="s">
        <v>0</v>
      </c>
      <c r="K332" s="41" t="s">
        <v>314</v>
      </c>
      <c r="L332" s="43"/>
      <c r="M332" s="197" t="s">
        <v>74</v>
      </c>
      <c r="N332" s="26" t="s">
        <v>36</v>
      </c>
      <c r="O332" s="27"/>
      <c r="P332" s="28"/>
      <c r="Q332" s="28"/>
      <c r="R332" s="28"/>
      <c r="S332" s="28"/>
      <c r="T332" s="28"/>
      <c r="U332" s="83">
        <v>46218</v>
      </c>
      <c r="V332" s="28">
        <v>46234</v>
      </c>
      <c r="W332" s="28">
        <v>46243</v>
      </c>
      <c r="X332" s="28">
        <v>46245</v>
      </c>
      <c r="Y332" s="28">
        <v>46254</v>
      </c>
      <c r="Z332" s="28">
        <v>46255</v>
      </c>
      <c r="AA332" s="28">
        <v>46284</v>
      </c>
      <c r="AB332" s="28">
        <v>46258</v>
      </c>
      <c r="AC332" s="28">
        <v>46259</v>
      </c>
      <c r="AD332" s="28">
        <v>46285</v>
      </c>
      <c r="AE332" s="28">
        <v>46323</v>
      </c>
      <c r="AF332" s="28">
        <v>46328</v>
      </c>
      <c r="AG332" s="28">
        <f>AL332</f>
        <v>46271</v>
      </c>
      <c r="AH332" s="28">
        <v>46353</v>
      </c>
      <c r="AI332" s="28">
        <v>46363</v>
      </c>
      <c r="AJ332" s="81"/>
      <c r="AK332" s="79"/>
      <c r="AL332" s="83">
        <f>W332+AK331</f>
        <v>46271</v>
      </c>
      <c r="AM332" s="83"/>
      <c r="AN332" s="79"/>
      <c r="AO332" s="125"/>
      <c r="AP332" s="432"/>
      <c r="AQ332" s="21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425"/>
      <c r="BC332" s="411"/>
      <c r="BD332" s="411"/>
    </row>
    <row r="333" spans="1:56" s="3" customFormat="1" ht="25.15" customHeight="1" thickTop="1" thickBot="1" x14ac:dyDescent="0.45">
      <c r="A333" s="442"/>
      <c r="B333" s="94" t="s">
        <v>989</v>
      </c>
      <c r="C333" s="32" t="s">
        <v>908</v>
      </c>
      <c r="D333" s="48" t="s">
        <v>912</v>
      </c>
      <c r="E333" s="182"/>
      <c r="F333" s="182"/>
      <c r="G333" s="45" t="s">
        <v>170</v>
      </c>
      <c r="H333" s="34" t="s">
        <v>164</v>
      </c>
      <c r="I333" s="32" t="s">
        <v>193</v>
      </c>
      <c r="J333" s="32" t="s">
        <v>0</v>
      </c>
      <c r="K333" s="32" t="s">
        <v>314</v>
      </c>
      <c r="L333" s="45"/>
      <c r="M333" s="198" t="s">
        <v>74</v>
      </c>
      <c r="N333" s="35" t="s">
        <v>37</v>
      </c>
      <c r="O333" s="36">
        <v>46183</v>
      </c>
      <c r="P333" s="36">
        <v>46146</v>
      </c>
      <c r="Q333" s="36">
        <v>46157</v>
      </c>
      <c r="R333" s="36">
        <v>46183</v>
      </c>
      <c r="S333" s="36">
        <v>46183</v>
      </c>
      <c r="T333" s="36">
        <v>46185</v>
      </c>
      <c r="U333" s="36"/>
      <c r="V333" s="36"/>
      <c r="W333" s="37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82"/>
      <c r="AK333" s="80"/>
      <c r="AL333" s="37"/>
      <c r="AM333" s="37"/>
      <c r="AN333" s="80"/>
      <c r="AO333" s="144"/>
      <c r="AP333" s="433"/>
      <c r="AQ333" s="39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25"/>
      <c r="BC333" s="411"/>
      <c r="BD333" s="411"/>
    </row>
    <row r="334" spans="1:56" s="3" customFormat="1" ht="21" customHeight="1" thickTop="1" thickBot="1" x14ac:dyDescent="0.45">
      <c r="A334" s="440">
        <f t="shared" ref="A334" si="93">A331+1</f>
        <v>103</v>
      </c>
      <c r="B334" s="92"/>
      <c r="C334" s="14" t="s">
        <v>173</v>
      </c>
      <c r="D334" s="383" t="s">
        <v>828</v>
      </c>
      <c r="E334" s="150"/>
      <c r="F334" s="150"/>
      <c r="G334" s="64" t="s">
        <v>170</v>
      </c>
      <c r="H334" s="16" t="s">
        <v>164</v>
      </c>
      <c r="I334" s="14" t="s">
        <v>56</v>
      </c>
      <c r="J334" s="14" t="s">
        <v>3</v>
      </c>
      <c r="K334" s="14" t="s">
        <v>314</v>
      </c>
      <c r="L334" s="42"/>
      <c r="M334" s="196" t="s">
        <v>74</v>
      </c>
      <c r="N334" s="18" t="s">
        <v>35</v>
      </c>
      <c r="O334" s="19">
        <v>46213</v>
      </c>
      <c r="P334" s="19">
        <v>46218</v>
      </c>
      <c r="Q334" s="19">
        <v>46232</v>
      </c>
      <c r="R334" s="19">
        <v>46218</v>
      </c>
      <c r="S334" s="19">
        <v>46218</v>
      </c>
      <c r="T334" s="19">
        <v>46225</v>
      </c>
      <c r="U334" s="19">
        <v>46239</v>
      </c>
      <c r="V334" s="19">
        <v>46246</v>
      </c>
      <c r="W334" s="19">
        <v>46248</v>
      </c>
      <c r="X334" s="19">
        <v>46255</v>
      </c>
      <c r="Y334" s="19">
        <v>46269</v>
      </c>
      <c r="Z334" s="19">
        <v>46283</v>
      </c>
      <c r="AA334" s="19">
        <v>46297</v>
      </c>
      <c r="AB334" s="19">
        <v>46302</v>
      </c>
      <c r="AC334" s="19">
        <v>46305</v>
      </c>
      <c r="AD334" s="19">
        <v>46308</v>
      </c>
      <c r="AE334" s="19">
        <v>46328.02</v>
      </c>
      <c r="AF334" s="19">
        <v>46333.02</v>
      </c>
      <c r="AG334" s="19">
        <v>46338.02</v>
      </c>
      <c r="AH334" s="19">
        <v>46333.02</v>
      </c>
      <c r="AI334" s="19">
        <v>46358.02</v>
      </c>
      <c r="AJ334" s="58">
        <f>AK334/7</f>
        <v>12.857142857142858</v>
      </c>
      <c r="AK334" s="59">
        <v>90</v>
      </c>
      <c r="AL334" s="78">
        <v>46338</v>
      </c>
      <c r="AM334" s="78">
        <v>46340</v>
      </c>
      <c r="AN334" s="77">
        <f>AM334-AL335</f>
        <v>2</v>
      </c>
      <c r="AO334" s="140" t="s">
        <v>689</v>
      </c>
      <c r="AP334" s="448" t="s">
        <v>841</v>
      </c>
      <c r="AQ334" s="21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425"/>
      <c r="BC334" s="411"/>
      <c r="BD334" s="411"/>
    </row>
    <row r="335" spans="1:56" s="3" customFormat="1" ht="21" customHeight="1" thickTop="1" thickBot="1" x14ac:dyDescent="0.45">
      <c r="A335" s="441"/>
      <c r="B335" s="93"/>
      <c r="C335" s="41" t="s">
        <v>173</v>
      </c>
      <c r="D335" s="384" t="s">
        <v>827</v>
      </c>
      <c r="E335" s="157"/>
      <c r="F335" s="157"/>
      <c r="G335" s="43" t="s">
        <v>170</v>
      </c>
      <c r="H335" s="46" t="s">
        <v>164</v>
      </c>
      <c r="I335" s="23" t="s">
        <v>56</v>
      </c>
      <c r="J335" s="41" t="s">
        <v>3</v>
      </c>
      <c r="K335" s="41" t="s">
        <v>314</v>
      </c>
      <c r="L335" s="43"/>
      <c r="M335" s="197" t="s">
        <v>74</v>
      </c>
      <c r="N335" s="26" t="s">
        <v>36</v>
      </c>
      <c r="O335" s="27">
        <v>46213</v>
      </c>
      <c r="P335" s="27">
        <v>46218</v>
      </c>
      <c r="Q335" s="28">
        <v>46232</v>
      </c>
      <c r="R335" s="28">
        <v>46218</v>
      </c>
      <c r="S335" s="28">
        <v>46218</v>
      </c>
      <c r="T335" s="28">
        <v>46225</v>
      </c>
      <c r="U335" s="28">
        <v>46239</v>
      </c>
      <c r="V335" s="28">
        <v>46246</v>
      </c>
      <c r="W335" s="28">
        <v>46248</v>
      </c>
      <c r="X335" s="28">
        <v>46255</v>
      </c>
      <c r="Y335" s="28">
        <v>46269</v>
      </c>
      <c r="Z335" s="28">
        <v>46283</v>
      </c>
      <c r="AA335" s="28">
        <v>46297</v>
      </c>
      <c r="AB335" s="28">
        <v>46302</v>
      </c>
      <c r="AC335" s="28">
        <v>46305</v>
      </c>
      <c r="AD335" s="28">
        <v>46308</v>
      </c>
      <c r="AE335" s="28">
        <v>46328.02</v>
      </c>
      <c r="AF335" s="28">
        <v>46333.02</v>
      </c>
      <c r="AG335" s="28">
        <v>46338.02</v>
      </c>
      <c r="AH335" s="28">
        <v>46333.02</v>
      </c>
      <c r="AI335" s="28">
        <v>46358.02</v>
      </c>
      <c r="AJ335" s="81"/>
      <c r="AK335" s="79"/>
      <c r="AL335" s="83">
        <v>46338</v>
      </c>
      <c r="AM335" s="83"/>
      <c r="AN335" s="79"/>
      <c r="AO335" s="125"/>
      <c r="AP335" s="449"/>
      <c r="AQ335" s="21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425"/>
      <c r="BC335" s="411"/>
      <c r="BD335" s="411"/>
    </row>
    <row r="336" spans="1:56" s="3" customFormat="1" ht="21" customHeight="1" thickTop="1" thickBot="1" x14ac:dyDescent="0.45">
      <c r="A336" s="442"/>
      <c r="B336" s="94"/>
      <c r="C336" s="32" t="s">
        <v>173</v>
      </c>
      <c r="D336" s="56" t="s">
        <v>827</v>
      </c>
      <c r="E336" s="151"/>
      <c r="F336" s="151"/>
      <c r="G336" s="45" t="s">
        <v>170</v>
      </c>
      <c r="H336" s="34" t="s">
        <v>164</v>
      </c>
      <c r="I336" s="32" t="s">
        <v>56</v>
      </c>
      <c r="J336" s="32" t="s">
        <v>3</v>
      </c>
      <c r="K336" s="32" t="s">
        <v>314</v>
      </c>
      <c r="L336" s="45"/>
      <c r="M336" s="198" t="s">
        <v>74</v>
      </c>
      <c r="N336" s="35" t="s">
        <v>37</v>
      </c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82"/>
      <c r="AK336" s="80"/>
      <c r="AL336" s="37"/>
      <c r="AM336" s="37"/>
      <c r="AN336" s="80"/>
      <c r="AO336" s="144"/>
      <c r="AP336" s="450"/>
      <c r="AQ336" s="39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25"/>
      <c r="BC336" s="411"/>
      <c r="BD336" s="411"/>
    </row>
    <row r="337" spans="1:56" s="3" customFormat="1" ht="19.5" customHeight="1" thickTop="1" thickBot="1" x14ac:dyDescent="0.45">
      <c r="A337" s="440">
        <f t="shared" ref="A337" si="94">A334+1</f>
        <v>104</v>
      </c>
      <c r="B337" s="92" t="s">
        <v>519</v>
      </c>
      <c r="C337" s="14" t="s">
        <v>194</v>
      </c>
      <c r="D337" s="227" t="s">
        <v>684</v>
      </c>
      <c r="E337" s="150"/>
      <c r="F337" s="150"/>
      <c r="G337" s="64" t="s">
        <v>170</v>
      </c>
      <c r="H337" s="16" t="s">
        <v>164</v>
      </c>
      <c r="I337" s="14" t="s">
        <v>56</v>
      </c>
      <c r="J337" s="14" t="s">
        <v>3</v>
      </c>
      <c r="K337" s="14" t="s">
        <v>308</v>
      </c>
      <c r="L337" s="42"/>
      <c r="M337" s="196" t="s">
        <v>74</v>
      </c>
      <c r="N337" s="18" t="s">
        <v>35</v>
      </c>
      <c r="O337" s="19">
        <v>46168</v>
      </c>
      <c r="P337" s="19">
        <v>46169</v>
      </c>
      <c r="Q337" s="19">
        <v>46183</v>
      </c>
      <c r="R337" s="19">
        <v>46183</v>
      </c>
      <c r="S337" s="19">
        <v>46183</v>
      </c>
      <c r="T337" s="19">
        <v>46198</v>
      </c>
      <c r="U337" s="230">
        <v>46223</v>
      </c>
      <c r="V337" s="19">
        <v>46239</v>
      </c>
      <c r="W337" s="19">
        <v>46252</v>
      </c>
      <c r="X337" s="19">
        <v>46254</v>
      </c>
      <c r="Y337" s="19">
        <v>46261</v>
      </c>
      <c r="Z337" s="57">
        <v>46275</v>
      </c>
      <c r="AA337" s="57">
        <v>46289</v>
      </c>
      <c r="AB337" s="19">
        <v>46275</v>
      </c>
      <c r="AC337" s="19">
        <v>46278</v>
      </c>
      <c r="AD337" s="19">
        <v>46280</v>
      </c>
      <c r="AE337" s="19">
        <v>46304.5</v>
      </c>
      <c r="AF337" s="19">
        <v>46307.5</v>
      </c>
      <c r="AG337" s="19">
        <v>46311.5</v>
      </c>
      <c r="AH337" s="19">
        <v>46314.5</v>
      </c>
      <c r="AI337" s="19">
        <v>46331.5</v>
      </c>
      <c r="AJ337" s="58">
        <v>8.5</v>
      </c>
      <c r="AK337" s="59">
        <v>59.5</v>
      </c>
      <c r="AL337" s="78">
        <v>46311.5</v>
      </c>
      <c r="AM337" s="78">
        <v>46322</v>
      </c>
      <c r="AN337" s="77">
        <f>AM337-AL338</f>
        <v>10.5</v>
      </c>
      <c r="AO337" s="140" t="s">
        <v>689</v>
      </c>
      <c r="AP337" s="437" t="s">
        <v>672</v>
      </c>
      <c r="AQ337" s="21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425"/>
      <c r="BC337" s="411"/>
      <c r="BD337" s="411"/>
    </row>
    <row r="338" spans="1:56" s="3" customFormat="1" ht="24.4" customHeight="1" thickTop="1" thickBot="1" x14ac:dyDescent="0.45">
      <c r="A338" s="441"/>
      <c r="B338" s="93" t="s">
        <v>520</v>
      </c>
      <c r="C338" s="41" t="s">
        <v>175</v>
      </c>
      <c r="D338" s="24" t="s">
        <v>174</v>
      </c>
      <c r="E338" s="157"/>
      <c r="F338" s="157"/>
      <c r="G338" s="43" t="s">
        <v>170</v>
      </c>
      <c r="H338" s="46" t="s">
        <v>164</v>
      </c>
      <c r="I338" s="23" t="s">
        <v>56</v>
      </c>
      <c r="J338" s="41" t="s">
        <v>3</v>
      </c>
      <c r="K338" s="41" t="s">
        <v>308</v>
      </c>
      <c r="L338" s="43"/>
      <c r="M338" s="197" t="s">
        <v>74</v>
      </c>
      <c r="N338" s="26" t="s">
        <v>36</v>
      </c>
      <c r="O338" s="27"/>
      <c r="P338" s="28"/>
      <c r="Q338" s="28"/>
      <c r="R338" s="28"/>
      <c r="S338" s="28"/>
      <c r="T338" s="28"/>
      <c r="U338" s="28">
        <f>U337</f>
        <v>46223</v>
      </c>
      <c r="V338" s="28">
        <f>WORKDAY(U338, V6, IF(V12="China",'China Holidays'!$A$2:$A$84,'Thai Holidays'!$A$2:$A$65))</f>
        <v>46239</v>
      </c>
      <c r="W338" s="28">
        <f>WORKDAY(V338, W6, IF(W12="China",'China Holidays'!$A$2:$A$84,'Thai Holidays'!$A$2:$A$65))</f>
        <v>46252</v>
      </c>
      <c r="X338" s="28">
        <f>WORKDAY(W338, X6, IF(X12="China",'China Holidays'!$A$2:$A$84,'Thai Holidays'!$A$2:$A$65))</f>
        <v>46254</v>
      </c>
      <c r="Y338" s="28">
        <f>WORKDAY(X338, Y6, IF(Y12="China",'China Holidays'!$A$2:$A$84,'Thai Holidays'!$A$2:$A$65))</f>
        <v>46261</v>
      </c>
      <c r="Z338" s="28">
        <v>46275</v>
      </c>
      <c r="AA338" s="28">
        <v>46289</v>
      </c>
      <c r="AB338" s="28">
        <f>Z338</f>
        <v>46275</v>
      </c>
      <c r="AC338" s="28">
        <f>AB338+3</f>
        <v>46278</v>
      </c>
      <c r="AD338" s="28">
        <f>AC338+2</f>
        <v>46280</v>
      </c>
      <c r="AE338" s="28">
        <f>AF338-3</f>
        <v>46304.5</v>
      </c>
      <c r="AF338" s="28">
        <f>AG338-4</f>
        <v>46307.5</v>
      </c>
      <c r="AG338" s="28">
        <f>AL337</f>
        <v>46311.5</v>
      </c>
      <c r="AH338" s="28">
        <f>AL337+3</f>
        <v>46314.5</v>
      </c>
      <c r="AI338" s="28">
        <f>AG338+20</f>
        <v>46331.5</v>
      </c>
      <c r="AJ338" s="81"/>
      <c r="AK338" s="79"/>
      <c r="AL338" s="83">
        <f>W338+AK337</f>
        <v>46311.5</v>
      </c>
      <c r="AM338" s="83"/>
      <c r="AN338" s="79"/>
      <c r="AO338" s="125"/>
      <c r="AP338" s="438"/>
      <c r="AQ338" s="21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425"/>
      <c r="BC338" s="411"/>
      <c r="BD338" s="411"/>
    </row>
    <row r="339" spans="1:56" s="3" customFormat="1" ht="24.4" customHeight="1" thickTop="1" thickBot="1" x14ac:dyDescent="0.45">
      <c r="A339" s="442"/>
      <c r="B339" s="94" t="s">
        <v>520</v>
      </c>
      <c r="C339" s="32" t="s">
        <v>175</v>
      </c>
      <c r="D339" s="48" t="s">
        <v>174</v>
      </c>
      <c r="E339" s="158"/>
      <c r="F339" s="158"/>
      <c r="G339" s="45" t="s">
        <v>170</v>
      </c>
      <c r="H339" s="34" t="s">
        <v>164</v>
      </c>
      <c r="I339" s="32" t="s">
        <v>56</v>
      </c>
      <c r="J339" s="32" t="s">
        <v>3</v>
      </c>
      <c r="K339" s="32" t="s">
        <v>308</v>
      </c>
      <c r="L339" s="45"/>
      <c r="M339" s="198" t="s">
        <v>74</v>
      </c>
      <c r="N339" s="35" t="s">
        <v>37</v>
      </c>
      <c r="O339" s="36">
        <v>46164</v>
      </c>
      <c r="P339" s="36">
        <v>46146</v>
      </c>
      <c r="Q339" s="36">
        <v>46157</v>
      </c>
      <c r="R339" s="36">
        <v>46181</v>
      </c>
      <c r="S339" s="36">
        <v>46181</v>
      </c>
      <c r="T339" s="36">
        <v>46196</v>
      </c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82"/>
      <c r="AK339" s="80"/>
      <c r="AL339" s="37"/>
      <c r="AM339" s="37"/>
      <c r="AN339" s="80"/>
      <c r="AO339" s="144"/>
      <c r="AP339" s="439"/>
      <c r="AQ339" s="39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25"/>
      <c r="BC339" s="411"/>
      <c r="BD339" s="411"/>
    </row>
    <row r="340" spans="1:56" s="3" customFormat="1" ht="36.75" thickTop="1" thickBot="1" x14ac:dyDescent="0.45">
      <c r="A340" s="440">
        <f t="shared" ref="A340" si="95">A337+1</f>
        <v>105</v>
      </c>
      <c r="B340" s="92" t="s">
        <v>421</v>
      </c>
      <c r="C340" s="14" t="s">
        <v>556</v>
      </c>
      <c r="D340" s="227" t="s">
        <v>219</v>
      </c>
      <c r="E340" s="150"/>
      <c r="F340" s="150"/>
      <c r="G340" s="42" t="s">
        <v>170</v>
      </c>
      <c r="H340" s="16" t="s">
        <v>164</v>
      </c>
      <c r="I340" s="14" t="s">
        <v>56</v>
      </c>
      <c r="J340" s="14" t="s">
        <v>3</v>
      </c>
      <c r="K340" s="14" t="s">
        <v>308</v>
      </c>
      <c r="L340" s="253"/>
      <c r="M340" s="196" t="s">
        <v>34</v>
      </c>
      <c r="N340" s="18" t="s">
        <v>35</v>
      </c>
      <c r="O340" s="19">
        <v>46153</v>
      </c>
      <c r="P340" s="19">
        <v>46154</v>
      </c>
      <c r="Q340" s="19">
        <v>46161</v>
      </c>
      <c r="R340" s="19">
        <v>46162</v>
      </c>
      <c r="S340" s="19">
        <v>46169</v>
      </c>
      <c r="T340" s="19">
        <v>46183</v>
      </c>
      <c r="U340" s="230">
        <v>46211</v>
      </c>
      <c r="V340" s="19">
        <v>46216</v>
      </c>
      <c r="W340" s="57">
        <v>46230</v>
      </c>
      <c r="X340" s="19">
        <v>46232</v>
      </c>
      <c r="Y340" s="19">
        <v>46239</v>
      </c>
      <c r="Z340" s="19">
        <v>46267</v>
      </c>
      <c r="AA340" s="19">
        <v>46281</v>
      </c>
      <c r="AB340" s="19">
        <v>46311</v>
      </c>
      <c r="AC340" s="19">
        <v>46311</v>
      </c>
      <c r="AD340" s="19">
        <v>46313</v>
      </c>
      <c r="AE340" s="19">
        <v>46416</v>
      </c>
      <c r="AF340" s="19">
        <v>46431</v>
      </c>
      <c r="AG340" s="19">
        <v>46461</v>
      </c>
      <c r="AH340" s="19">
        <v>46464</v>
      </c>
      <c r="AI340" s="19">
        <v>46481</v>
      </c>
      <c r="AJ340" s="58">
        <v>33</v>
      </c>
      <c r="AK340" s="59">
        <f>AJ340*7</f>
        <v>231</v>
      </c>
      <c r="AL340" s="78">
        <v>46461</v>
      </c>
      <c r="AM340" s="78">
        <v>46469</v>
      </c>
      <c r="AN340" s="77">
        <f>AM340-AL340</f>
        <v>8</v>
      </c>
      <c r="AO340" s="140" t="s">
        <v>392</v>
      </c>
      <c r="AP340" s="437"/>
      <c r="AQ340" s="21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425" t="s">
        <v>992</v>
      </c>
      <c r="BC340" s="418" t="s">
        <v>955</v>
      </c>
      <c r="BD340" s="411" t="s">
        <v>956</v>
      </c>
    </row>
    <row r="341" spans="1:56" s="3" customFormat="1" ht="21" thickTop="1" thickBot="1" x14ac:dyDescent="0.45">
      <c r="A341" s="441"/>
      <c r="B341" s="98" t="s">
        <v>421</v>
      </c>
      <c r="C341" s="41" t="s">
        <v>177</v>
      </c>
      <c r="D341" s="24" t="s">
        <v>219</v>
      </c>
      <c r="E341" s="157"/>
      <c r="F341" s="157"/>
      <c r="G341" s="43" t="s">
        <v>170</v>
      </c>
      <c r="H341" s="46" t="s">
        <v>164</v>
      </c>
      <c r="I341" s="23" t="s">
        <v>56</v>
      </c>
      <c r="J341" s="41" t="s">
        <v>3</v>
      </c>
      <c r="K341" s="41" t="s">
        <v>308</v>
      </c>
      <c r="L341" s="244"/>
      <c r="M341" s="197" t="s">
        <v>34</v>
      </c>
      <c r="N341" s="26" t="s">
        <v>36</v>
      </c>
      <c r="O341" s="27"/>
      <c r="P341" s="28"/>
      <c r="Q341" s="28"/>
      <c r="R341" s="28"/>
      <c r="S341" s="28"/>
      <c r="T341" s="28"/>
      <c r="U341" s="28">
        <f>U340</f>
        <v>46211</v>
      </c>
      <c r="V341" s="28">
        <f>WORKDAY(U341, V6, IF(V12="China",'China Holidays'!$A$2:$A$84,'Thai Holidays'!$A$2:$A$65))</f>
        <v>46225</v>
      </c>
      <c r="W341" s="28">
        <f>W340</f>
        <v>46230</v>
      </c>
      <c r="X341" s="28">
        <f>WORKDAY(W341, X6, IF(X12="China",'China Holidays'!$A$2:$A$84,'Thai Holidays'!$A$2:$A$65))</f>
        <v>46232</v>
      </c>
      <c r="Y341" s="28">
        <f>WORKDAY(X341, Y6, IF(Y12="China",'China Holidays'!$A$2:$A$84,'Thai Holidays'!$A$2:$A$65))</f>
        <v>46239</v>
      </c>
      <c r="Z341" s="28">
        <f>WORKDAY(Y341, Z6, IF(Z12="China",'China Holidays'!$A$2:$A$84,'Thai Holidays'!$A$2:$A$65))</f>
        <v>46267</v>
      </c>
      <c r="AA341" s="28">
        <f>WORKDAY(Z341, AA6, IF(AA12="China",'China Holidays'!$A$2:$A$84,'Thai Holidays'!$A$2:$A$65))</f>
        <v>46281</v>
      </c>
      <c r="AB341" s="28">
        <f>AA341+30</f>
        <v>46311</v>
      </c>
      <c r="AC341" s="28">
        <f>AB341</f>
        <v>46311</v>
      </c>
      <c r="AD341" s="28">
        <f>AC341+2</f>
        <v>46313</v>
      </c>
      <c r="AE341" s="28">
        <f>AF341-15</f>
        <v>46416</v>
      </c>
      <c r="AF341" s="28">
        <f>AG341-30</f>
        <v>46431</v>
      </c>
      <c r="AG341" s="28">
        <f>AL341</f>
        <v>46461</v>
      </c>
      <c r="AH341" s="28">
        <f>AL340+3</f>
        <v>46464</v>
      </c>
      <c r="AI341" s="28">
        <f>AG341+20</f>
        <v>46481</v>
      </c>
      <c r="AJ341" s="81"/>
      <c r="AK341" s="79"/>
      <c r="AL341" s="83">
        <f>W341+AK340</f>
        <v>46461</v>
      </c>
      <c r="AM341" s="83"/>
      <c r="AN341" s="79"/>
      <c r="AO341" s="125"/>
      <c r="AP341" s="438"/>
      <c r="AQ341" s="21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425" t="s">
        <v>993</v>
      </c>
      <c r="BC341" s="411" t="s">
        <v>957</v>
      </c>
      <c r="BD341" s="411"/>
    </row>
    <row r="342" spans="1:56" s="3" customFormat="1" ht="21" thickTop="1" thickBot="1" x14ac:dyDescent="0.45">
      <c r="A342" s="442"/>
      <c r="B342" s="94" t="s">
        <v>420</v>
      </c>
      <c r="C342" s="32" t="s">
        <v>177</v>
      </c>
      <c r="D342" s="48" t="s">
        <v>218</v>
      </c>
      <c r="E342" s="158"/>
      <c r="F342" s="158"/>
      <c r="G342" s="45" t="s">
        <v>170</v>
      </c>
      <c r="H342" s="34" t="s">
        <v>164</v>
      </c>
      <c r="I342" s="32" t="s">
        <v>56</v>
      </c>
      <c r="J342" s="32" t="s">
        <v>3</v>
      </c>
      <c r="K342" s="32" t="s">
        <v>308</v>
      </c>
      <c r="L342" s="45"/>
      <c r="M342" s="198" t="s">
        <v>34</v>
      </c>
      <c r="N342" s="35" t="s">
        <v>37</v>
      </c>
      <c r="O342" s="36">
        <v>46164</v>
      </c>
      <c r="P342" s="36">
        <v>46153</v>
      </c>
      <c r="Q342" s="36">
        <v>46157</v>
      </c>
      <c r="R342" s="36">
        <v>46167</v>
      </c>
      <c r="S342" s="36">
        <v>46167</v>
      </c>
      <c r="T342" s="36">
        <v>46185</v>
      </c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82"/>
      <c r="AK342" s="80"/>
      <c r="AL342" s="37"/>
      <c r="AM342" s="37"/>
      <c r="AN342" s="80"/>
      <c r="AO342" s="144"/>
      <c r="AP342" s="439"/>
      <c r="AQ342" s="39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25" t="s">
        <v>994</v>
      </c>
      <c r="BC342" s="411" t="s">
        <v>958</v>
      </c>
      <c r="BD342" s="411"/>
    </row>
    <row r="343" spans="1:56" s="3" customFormat="1" ht="21" thickTop="1" thickBot="1" x14ac:dyDescent="0.45">
      <c r="A343" s="440"/>
      <c r="B343" s="92"/>
      <c r="C343" s="291" t="s">
        <v>178</v>
      </c>
      <c r="D343" s="256" t="s">
        <v>213</v>
      </c>
      <c r="E343" s="150"/>
      <c r="F343" s="150"/>
      <c r="G343" s="42" t="s">
        <v>170</v>
      </c>
      <c r="H343" s="16" t="s">
        <v>164</v>
      </c>
      <c r="I343" s="14" t="s">
        <v>56</v>
      </c>
      <c r="J343" s="14" t="s">
        <v>1</v>
      </c>
      <c r="K343" s="14" t="s">
        <v>308</v>
      </c>
      <c r="L343" s="253" t="s">
        <v>851</v>
      </c>
      <c r="M343" s="196" t="s">
        <v>74</v>
      </c>
      <c r="N343" s="18" t="s">
        <v>35</v>
      </c>
      <c r="O343" s="57">
        <v>46153</v>
      </c>
      <c r="P343" s="57">
        <v>46152</v>
      </c>
      <c r="Q343" s="57">
        <v>46164</v>
      </c>
      <c r="R343" s="57">
        <v>46164</v>
      </c>
      <c r="S343" s="57">
        <v>46164</v>
      </c>
      <c r="T343" s="57">
        <v>46178</v>
      </c>
      <c r="U343" s="19">
        <v>46203</v>
      </c>
      <c r="V343" s="19">
        <v>46217</v>
      </c>
      <c r="W343" s="57">
        <v>46230</v>
      </c>
      <c r="X343" s="19">
        <v>46232</v>
      </c>
      <c r="Y343" s="19">
        <v>46239</v>
      </c>
      <c r="Z343" s="19">
        <v>46267</v>
      </c>
      <c r="AA343" s="19">
        <v>46281</v>
      </c>
      <c r="AB343" s="19">
        <v>46303</v>
      </c>
      <c r="AC343" s="19">
        <v>46303</v>
      </c>
      <c r="AD343" s="19">
        <v>46305</v>
      </c>
      <c r="AE343" s="19">
        <v>46446</v>
      </c>
      <c r="AF343" s="19">
        <v>46451</v>
      </c>
      <c r="AG343" s="19">
        <v>46461</v>
      </c>
      <c r="AH343" s="19">
        <v>46464</v>
      </c>
      <c r="AI343" s="19">
        <v>46481</v>
      </c>
      <c r="AJ343" s="58">
        <v>33</v>
      </c>
      <c r="AK343" s="59">
        <f>AJ343*7</f>
        <v>231</v>
      </c>
      <c r="AL343" s="78">
        <v>46461</v>
      </c>
      <c r="AM343" s="78">
        <v>46471</v>
      </c>
      <c r="AN343" s="77">
        <f>AM343-AL343</f>
        <v>10</v>
      </c>
      <c r="AO343" s="140" t="s">
        <v>719</v>
      </c>
      <c r="AP343" s="431" t="s">
        <v>708</v>
      </c>
      <c r="AQ343" s="21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425"/>
      <c r="BC343" s="411"/>
      <c r="BD343" s="411"/>
    </row>
    <row r="344" spans="1:56" s="3" customFormat="1" ht="21" thickTop="1" thickBot="1" x14ac:dyDescent="0.45">
      <c r="A344" s="441"/>
      <c r="B344" s="93"/>
      <c r="C344" s="292" t="s">
        <v>178</v>
      </c>
      <c r="D344" s="259" t="s">
        <v>212</v>
      </c>
      <c r="E344" s="157"/>
      <c r="F344" s="157"/>
      <c r="G344" s="43" t="s">
        <v>170</v>
      </c>
      <c r="H344" s="46" t="s">
        <v>164</v>
      </c>
      <c r="I344" s="23" t="s">
        <v>56</v>
      </c>
      <c r="J344" s="41" t="s">
        <v>1</v>
      </c>
      <c r="K344" s="41" t="s">
        <v>308</v>
      </c>
      <c r="L344" s="322" t="s">
        <v>852</v>
      </c>
      <c r="M344" s="197" t="s">
        <v>74</v>
      </c>
      <c r="N344" s="26" t="s">
        <v>36</v>
      </c>
      <c r="O344" s="27"/>
      <c r="P344" s="83"/>
      <c r="Q344" s="28"/>
      <c r="R344" s="28"/>
      <c r="S344" s="28"/>
      <c r="T344" s="28">
        <v>46195</v>
      </c>
      <c r="U344" s="28">
        <f>WORKDAY(T344, U6, IF(U12="China",'China Holidays'!$A$2:$A$84,'Thai Holidays'!$A$2:$A$65))</f>
        <v>46218</v>
      </c>
      <c r="V344" s="28">
        <f>WORKDAY(U344, V6, IF(V12="China",'China Holidays'!$A$2:$A$84,'Thai Holidays'!$A$2:$A$65))</f>
        <v>46234</v>
      </c>
      <c r="W344" s="28">
        <f>WORKDAY(V344, W6, IF(W12="China",'China Holidays'!$A$2:$A$84,'Thai Holidays'!$A$2:$A$65))</f>
        <v>46247</v>
      </c>
      <c r="X344" s="28">
        <f>WORKDAY(W344, X6, IF(X12="China",'China Holidays'!$A$2:$A$84,'Thai Holidays'!$A$2:$A$65))</f>
        <v>46251</v>
      </c>
      <c r="Y344" s="28">
        <f>WORKDAY(X344, Y6, IF(Y12="China",'China Holidays'!$A$2:$A$84,'Thai Holidays'!$A$2:$A$65))</f>
        <v>46258</v>
      </c>
      <c r="Z344" s="28">
        <f>WORKDAY(Y344, Z6, IF(Z12="China",'China Holidays'!$A$2:$A$84,'Thai Holidays'!$A$2:$A$65))</f>
        <v>46286</v>
      </c>
      <c r="AA344" s="28">
        <f>WORKDAY(Z344, AA6, IF(AA12="China",'China Holidays'!$A$2:$A$84,'Thai Holidays'!$A$2:$A$65))</f>
        <v>46300</v>
      </c>
      <c r="AB344" s="28">
        <f>AA344+30</f>
        <v>46330</v>
      </c>
      <c r="AC344" s="28">
        <f>AB344</f>
        <v>46330</v>
      </c>
      <c r="AD344" s="28">
        <f>AC344+2</f>
        <v>46332</v>
      </c>
      <c r="AE344" s="28">
        <f>AF344-5</f>
        <v>46463</v>
      </c>
      <c r="AF344" s="28">
        <f>AG344-10</f>
        <v>46468</v>
      </c>
      <c r="AG344" s="28">
        <f>AL344</f>
        <v>46478</v>
      </c>
      <c r="AH344" s="28">
        <f>AL343+3</f>
        <v>46464</v>
      </c>
      <c r="AI344" s="28">
        <f>AG344+20</f>
        <v>46498</v>
      </c>
      <c r="AJ344" s="81"/>
      <c r="AK344" s="79"/>
      <c r="AL344" s="83">
        <f>W344+AK343</f>
        <v>46478</v>
      </c>
      <c r="AM344" s="83"/>
      <c r="AN344" s="79"/>
      <c r="AO344" s="125"/>
      <c r="AP344" s="438"/>
      <c r="AQ344" s="21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425"/>
      <c r="BC344" s="411"/>
      <c r="BD344" s="411"/>
    </row>
    <row r="345" spans="1:56" s="3" customFormat="1" ht="15.4" thickTop="1" thickBot="1" x14ac:dyDescent="0.45">
      <c r="A345" s="442"/>
      <c r="B345" s="94"/>
      <c r="C345" s="293" t="s">
        <v>178</v>
      </c>
      <c r="D345" s="294" t="s">
        <v>212</v>
      </c>
      <c r="E345" s="158"/>
      <c r="F345" s="158"/>
      <c r="G345" s="45" t="s">
        <v>170</v>
      </c>
      <c r="H345" s="34" t="s">
        <v>164</v>
      </c>
      <c r="I345" s="32" t="s">
        <v>56</v>
      </c>
      <c r="J345" s="32" t="s">
        <v>1</v>
      </c>
      <c r="K345" s="32" t="s">
        <v>308</v>
      </c>
      <c r="L345" s="245"/>
      <c r="M345" s="198" t="s">
        <v>74</v>
      </c>
      <c r="N345" s="35" t="s">
        <v>37</v>
      </c>
      <c r="O345" s="36">
        <v>46184</v>
      </c>
      <c r="P345" s="37">
        <v>46177</v>
      </c>
      <c r="Q345" s="36">
        <v>46184</v>
      </c>
      <c r="R345" s="36">
        <v>46184</v>
      </c>
      <c r="S345" s="36">
        <v>46184</v>
      </c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82"/>
      <c r="AK345" s="80"/>
      <c r="AL345" s="37"/>
      <c r="AM345" s="37"/>
      <c r="AN345" s="80"/>
      <c r="AO345" s="144"/>
      <c r="AP345" s="439"/>
      <c r="AQ345" s="39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25"/>
      <c r="BC345" s="411"/>
      <c r="BD345" s="411"/>
    </row>
    <row r="346" spans="1:56" s="3" customFormat="1" ht="15.4" thickTop="1" thickBot="1" x14ac:dyDescent="0.45">
      <c r="A346" s="440">
        <f>A340+1</f>
        <v>106</v>
      </c>
      <c r="B346" s="92"/>
      <c r="C346" s="14" t="s">
        <v>179</v>
      </c>
      <c r="D346" s="227" t="s">
        <v>211</v>
      </c>
      <c r="E346" s="150"/>
      <c r="F346" s="150"/>
      <c r="G346" s="42" t="s">
        <v>170</v>
      </c>
      <c r="H346" s="16" t="s">
        <v>164</v>
      </c>
      <c r="I346" s="14" t="s">
        <v>56</v>
      </c>
      <c r="J346" s="14" t="s">
        <v>1</v>
      </c>
      <c r="K346" s="14" t="s">
        <v>308</v>
      </c>
      <c r="L346" s="253"/>
      <c r="M346" s="196" t="s">
        <v>74</v>
      </c>
      <c r="N346" s="18" t="s">
        <v>35</v>
      </c>
      <c r="O346" s="57">
        <v>46153</v>
      </c>
      <c r="P346" s="57">
        <v>46152</v>
      </c>
      <c r="Q346" s="57">
        <v>46164</v>
      </c>
      <c r="R346" s="57">
        <v>46164</v>
      </c>
      <c r="S346" s="19">
        <v>46164</v>
      </c>
      <c r="T346" s="19">
        <v>46178</v>
      </c>
      <c r="U346" s="230">
        <v>46203</v>
      </c>
      <c r="V346" s="19">
        <v>46217</v>
      </c>
      <c r="W346" s="57">
        <v>46230</v>
      </c>
      <c r="X346" s="19">
        <v>46232</v>
      </c>
      <c r="Y346" s="19">
        <v>46239</v>
      </c>
      <c r="Z346" s="19">
        <v>46267</v>
      </c>
      <c r="AA346" s="19">
        <v>46281</v>
      </c>
      <c r="AB346" s="19">
        <v>46303</v>
      </c>
      <c r="AC346" s="19">
        <v>46303</v>
      </c>
      <c r="AD346" s="19">
        <v>46305</v>
      </c>
      <c r="AE346" s="19">
        <v>46446</v>
      </c>
      <c r="AF346" s="19">
        <v>46451</v>
      </c>
      <c r="AG346" s="19">
        <v>46461</v>
      </c>
      <c r="AH346" s="19">
        <v>46464</v>
      </c>
      <c r="AI346" s="19">
        <v>46481</v>
      </c>
      <c r="AJ346" s="58">
        <v>33</v>
      </c>
      <c r="AK346" s="59">
        <f>AJ346*7</f>
        <v>231</v>
      </c>
      <c r="AL346" s="78">
        <v>46461</v>
      </c>
      <c r="AM346" s="290">
        <v>46469</v>
      </c>
      <c r="AN346" s="77">
        <f>AM346-AL347</f>
        <v>-2</v>
      </c>
      <c r="AO346" s="140" t="s">
        <v>718</v>
      </c>
      <c r="AP346" s="431" t="s">
        <v>708</v>
      </c>
      <c r="AQ346" s="21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425" t="s">
        <v>992</v>
      </c>
      <c r="BC346" s="419" t="s">
        <v>959</v>
      </c>
      <c r="BD346" s="411"/>
    </row>
    <row r="347" spans="1:56" s="3" customFormat="1" ht="15.4" thickTop="1" thickBot="1" x14ac:dyDescent="0.45">
      <c r="A347" s="441"/>
      <c r="B347" s="93"/>
      <c r="C347" s="41" t="s">
        <v>179</v>
      </c>
      <c r="D347" s="43" t="s">
        <v>210</v>
      </c>
      <c r="E347" s="157"/>
      <c r="F347" s="157"/>
      <c r="G347" s="43" t="s">
        <v>170</v>
      </c>
      <c r="H347" s="46" t="s">
        <v>164</v>
      </c>
      <c r="I347" s="23" t="s">
        <v>56</v>
      </c>
      <c r="J347" s="41" t="s">
        <v>1</v>
      </c>
      <c r="K347" s="41" t="s">
        <v>308</v>
      </c>
      <c r="L347" s="244"/>
      <c r="M347" s="197" t="s">
        <v>74</v>
      </c>
      <c r="N347" s="26" t="s">
        <v>36</v>
      </c>
      <c r="O347" s="27"/>
      <c r="P347" s="83"/>
      <c r="Q347" s="28"/>
      <c r="R347" s="28"/>
      <c r="S347" s="28"/>
      <c r="T347" s="28"/>
      <c r="U347" s="28">
        <f>WORKDAY(T348, U6, IF(U12="China",'China Holidays'!$A$2:$A$84,'Thai Holidays'!$A$2:$A$65))</f>
        <v>46224</v>
      </c>
      <c r="V347" s="28">
        <f>WORKDAY(U347, V6, IF(V12="China",'China Holidays'!$A$2:$A$84,'Thai Holidays'!$A$2:$A$65))</f>
        <v>46240</v>
      </c>
      <c r="W347" s="28">
        <f>V347</f>
        <v>46240</v>
      </c>
      <c r="X347" s="28">
        <f>WORKDAY(W347, X6, IF(X12="China",'China Holidays'!$A$2:$A$84,'Thai Holidays'!$A$2:$A$65))</f>
        <v>46244</v>
      </c>
      <c r="Y347" s="28">
        <f>WORKDAY(X347, Y6, IF(Y12="China",'China Holidays'!$A$2:$A$84,'Thai Holidays'!$A$2:$A$65))</f>
        <v>46251</v>
      </c>
      <c r="Z347" s="28">
        <f>WORKDAY(Y347, Z6, IF(Z12="China",'China Holidays'!$A$2:$A$84,'Thai Holidays'!$A$2:$A$65))</f>
        <v>46279</v>
      </c>
      <c r="AA347" s="28">
        <f>WORKDAY(Z347, AA6, IF(AA12="China",'China Holidays'!$A$2:$A$84,'Thai Holidays'!$A$2:$A$65))</f>
        <v>46293</v>
      </c>
      <c r="AB347" s="28">
        <f>AA347+22</f>
        <v>46315</v>
      </c>
      <c r="AC347" s="28">
        <f>AB347</f>
        <v>46315</v>
      </c>
      <c r="AD347" s="28">
        <f>AC347+2</f>
        <v>46317</v>
      </c>
      <c r="AE347" s="28">
        <f>AF347-5</f>
        <v>46456</v>
      </c>
      <c r="AF347" s="28">
        <f>AG347-10</f>
        <v>46461</v>
      </c>
      <c r="AG347" s="28">
        <f>AL347</f>
        <v>46471</v>
      </c>
      <c r="AH347" s="28">
        <f>AL346+3</f>
        <v>46464</v>
      </c>
      <c r="AI347" s="28">
        <f>AG347+20</f>
        <v>46491</v>
      </c>
      <c r="AJ347" s="81"/>
      <c r="AK347" s="79"/>
      <c r="AL347" s="83">
        <f>W347+AK346</f>
        <v>46471</v>
      </c>
      <c r="AM347" s="83"/>
      <c r="AN347" s="79"/>
      <c r="AO347" s="125"/>
      <c r="AP347" s="438"/>
      <c r="AQ347" s="21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425"/>
      <c r="BC347" s="411"/>
      <c r="BD347" s="411"/>
    </row>
    <row r="348" spans="1:56" s="3" customFormat="1" ht="15.4" thickTop="1" thickBot="1" x14ac:dyDescent="0.45">
      <c r="A348" s="442"/>
      <c r="B348" s="94"/>
      <c r="C348" s="32" t="s">
        <v>179</v>
      </c>
      <c r="D348" s="45" t="s">
        <v>210</v>
      </c>
      <c r="E348" s="158"/>
      <c r="F348" s="158"/>
      <c r="G348" s="45" t="s">
        <v>170</v>
      </c>
      <c r="H348" s="34" t="s">
        <v>164</v>
      </c>
      <c r="I348" s="32" t="s">
        <v>56</v>
      </c>
      <c r="J348" s="32" t="s">
        <v>1</v>
      </c>
      <c r="K348" s="32" t="s">
        <v>308</v>
      </c>
      <c r="L348" s="45"/>
      <c r="M348" s="198" t="s">
        <v>74</v>
      </c>
      <c r="N348" s="35" t="s">
        <v>37</v>
      </c>
      <c r="O348" s="36">
        <v>46184</v>
      </c>
      <c r="P348" s="37">
        <v>46177</v>
      </c>
      <c r="Q348" s="36">
        <v>46184</v>
      </c>
      <c r="R348" s="36">
        <v>46184</v>
      </c>
      <c r="S348" s="36">
        <v>46184</v>
      </c>
      <c r="T348" s="36">
        <v>46201</v>
      </c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82"/>
      <c r="AK348" s="80"/>
      <c r="AL348" s="37"/>
      <c r="AM348" s="37"/>
      <c r="AN348" s="80"/>
      <c r="AO348" s="144"/>
      <c r="AP348" s="439"/>
      <c r="AQ348" s="39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25"/>
      <c r="BC348" s="411"/>
      <c r="BD348" s="411"/>
    </row>
    <row r="349" spans="1:56" s="3" customFormat="1" ht="15.4" thickTop="1" thickBot="1" x14ac:dyDescent="0.45">
      <c r="A349" s="440">
        <f t="shared" ref="A349" si="96">A346+1</f>
        <v>107</v>
      </c>
      <c r="B349" s="92" t="s">
        <v>419</v>
      </c>
      <c r="C349" s="14" t="s">
        <v>220</v>
      </c>
      <c r="D349" s="227" t="s">
        <v>215</v>
      </c>
      <c r="E349" s="154"/>
      <c r="F349" s="154"/>
      <c r="G349" s="42" t="s">
        <v>170</v>
      </c>
      <c r="H349" s="16" t="s">
        <v>164</v>
      </c>
      <c r="I349" s="14" t="s">
        <v>56</v>
      </c>
      <c r="J349" s="14" t="s">
        <v>1</v>
      </c>
      <c r="K349" s="14" t="s">
        <v>308</v>
      </c>
      <c r="L349" s="42"/>
      <c r="M349" s="196" t="s">
        <v>74</v>
      </c>
      <c r="N349" s="18" t="s">
        <v>35</v>
      </c>
      <c r="O349" s="57">
        <v>46134</v>
      </c>
      <c r="P349" s="57">
        <v>46135</v>
      </c>
      <c r="Q349" s="57">
        <v>46142</v>
      </c>
      <c r="R349" s="19">
        <v>46146</v>
      </c>
      <c r="S349" s="19">
        <v>46153</v>
      </c>
      <c r="T349" s="19">
        <v>46167</v>
      </c>
      <c r="U349" s="19">
        <v>46197</v>
      </c>
      <c r="V349" s="230">
        <v>46202</v>
      </c>
      <c r="W349" s="57">
        <v>46216</v>
      </c>
      <c r="X349" s="19">
        <v>46218</v>
      </c>
      <c r="Y349" s="19">
        <v>46225</v>
      </c>
      <c r="Z349" s="19">
        <v>46253</v>
      </c>
      <c r="AA349" s="19">
        <v>46267</v>
      </c>
      <c r="AB349" s="19">
        <v>46272</v>
      </c>
      <c r="AC349" s="19">
        <v>46272</v>
      </c>
      <c r="AD349" s="19">
        <v>46274</v>
      </c>
      <c r="AE349" s="19">
        <v>46295.6</v>
      </c>
      <c r="AF349" s="19">
        <v>46300.6</v>
      </c>
      <c r="AG349" s="19">
        <v>46305.599999999999</v>
      </c>
      <c r="AH349" s="19">
        <v>46308.6</v>
      </c>
      <c r="AI349" s="19">
        <v>46325.599999999999</v>
      </c>
      <c r="AJ349" s="58">
        <v>12.8</v>
      </c>
      <c r="AK349" s="59">
        <v>89.600000000000009</v>
      </c>
      <c r="AL349" s="78">
        <v>46305</v>
      </c>
      <c r="AM349" s="78">
        <v>46308</v>
      </c>
      <c r="AN349" s="77">
        <f>AM349-AL350</f>
        <v>1.4000000000014552</v>
      </c>
      <c r="AO349" s="140" t="s">
        <v>689</v>
      </c>
      <c r="AP349" s="431" t="s">
        <v>698</v>
      </c>
      <c r="AQ349" s="21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425"/>
      <c r="BC349" s="411"/>
      <c r="BD349" s="411"/>
    </row>
    <row r="350" spans="1:56" s="3" customFormat="1" ht="15.4" thickTop="1" thickBot="1" x14ac:dyDescent="0.45">
      <c r="A350" s="441"/>
      <c r="B350" s="93" t="s">
        <v>419</v>
      </c>
      <c r="C350" s="41" t="s">
        <v>220</v>
      </c>
      <c r="D350" s="24" t="s">
        <v>214</v>
      </c>
      <c r="E350" s="155"/>
      <c r="F350" s="155"/>
      <c r="G350" s="43" t="s">
        <v>170</v>
      </c>
      <c r="H350" s="46" t="s">
        <v>164</v>
      </c>
      <c r="I350" s="23" t="s">
        <v>56</v>
      </c>
      <c r="J350" s="41" t="s">
        <v>1</v>
      </c>
      <c r="K350" s="41" t="s">
        <v>308</v>
      </c>
      <c r="L350" s="43"/>
      <c r="M350" s="197" t="s">
        <v>74</v>
      </c>
      <c r="N350" s="26" t="s">
        <v>36</v>
      </c>
      <c r="O350" s="27"/>
      <c r="P350" s="83"/>
      <c r="Q350" s="83"/>
      <c r="R350" s="145"/>
      <c r="S350" s="83"/>
      <c r="T350" s="83"/>
      <c r="U350" s="83"/>
      <c r="V350" s="83">
        <f>WORKDAY(U351, V9, IF(V12="China",'China Holidays'!$A$2:$A$84,'Thai Holidays'!$A$2:$A$65))</f>
        <v>46217</v>
      </c>
      <c r="W350" s="83">
        <f>V350</f>
        <v>46217</v>
      </c>
      <c r="X350" s="83">
        <f>X349</f>
        <v>46218</v>
      </c>
      <c r="Y350" s="83">
        <f>WORKDAY(X350, Y9, IF(Y12="China",'China Holidays'!$A$2:$A$84,'Thai Holidays'!$A$2:$A$65))</f>
        <v>46225</v>
      </c>
      <c r="Z350" s="83">
        <f>WORKDAY(Y350, Z9, IF(Z12="China",'China Holidays'!$A$2:$A$84,'Thai Holidays'!$A$2:$A$65))</f>
        <v>46239</v>
      </c>
      <c r="AA350" s="83">
        <f>WORKDAY(Z350, AA9, IF(AA12="China",'China Holidays'!$A$2:$A$84,'Thai Holidays'!$A$2:$A$65))</f>
        <v>46254</v>
      </c>
      <c r="AB350" s="28">
        <f>AA350+5</f>
        <v>46259</v>
      </c>
      <c r="AC350" s="28">
        <f>AB350</f>
        <v>46259</v>
      </c>
      <c r="AD350" s="28">
        <f>AC350+2</f>
        <v>46261</v>
      </c>
      <c r="AE350" s="28">
        <f>AF350-5</f>
        <v>46296.6</v>
      </c>
      <c r="AF350" s="28">
        <f>AG350-5</f>
        <v>46301.599999999999</v>
      </c>
      <c r="AG350" s="28">
        <f>AL350</f>
        <v>46306.6</v>
      </c>
      <c r="AH350" s="28">
        <f>AL349+3</f>
        <v>46308</v>
      </c>
      <c r="AI350" s="28">
        <f>AG350+20</f>
        <v>46326.6</v>
      </c>
      <c r="AJ350" s="81"/>
      <c r="AK350" s="79"/>
      <c r="AL350" s="83">
        <f>W350+AK349</f>
        <v>46306.6</v>
      </c>
      <c r="AM350" s="83"/>
      <c r="AN350" s="79"/>
      <c r="AO350" s="125"/>
      <c r="AP350" s="438"/>
      <c r="AQ350" s="21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425"/>
      <c r="BC350" s="411"/>
      <c r="BD350" s="411"/>
    </row>
    <row r="351" spans="1:56" s="3" customFormat="1" ht="15.4" thickTop="1" thickBot="1" x14ac:dyDescent="0.45">
      <c r="A351" s="442"/>
      <c r="B351" s="94" t="s">
        <v>419</v>
      </c>
      <c r="C351" s="32" t="s">
        <v>220</v>
      </c>
      <c r="D351" s="33" t="s">
        <v>214</v>
      </c>
      <c r="E351" s="156"/>
      <c r="F351" s="156"/>
      <c r="G351" s="45" t="s">
        <v>170</v>
      </c>
      <c r="H351" s="34" t="s">
        <v>164</v>
      </c>
      <c r="I351" s="32" t="s">
        <v>56</v>
      </c>
      <c r="J351" s="32" t="s">
        <v>1</v>
      </c>
      <c r="K351" s="32" t="s">
        <v>308</v>
      </c>
      <c r="L351" s="45"/>
      <c r="M351" s="198" t="s">
        <v>74</v>
      </c>
      <c r="N351" s="35" t="s">
        <v>37</v>
      </c>
      <c r="O351" s="36">
        <v>46181</v>
      </c>
      <c r="P351" s="36">
        <v>46153</v>
      </c>
      <c r="Q351" s="36">
        <v>46157</v>
      </c>
      <c r="R351" s="36">
        <v>46183</v>
      </c>
      <c r="S351" s="36">
        <v>46183</v>
      </c>
      <c r="T351" s="36">
        <v>46189</v>
      </c>
      <c r="U351" s="36">
        <v>46203</v>
      </c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82"/>
      <c r="AK351" s="80"/>
      <c r="AL351" s="37"/>
      <c r="AM351" s="37"/>
      <c r="AN351" s="80"/>
      <c r="AO351" s="144"/>
      <c r="AP351" s="439"/>
      <c r="AQ351" s="39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25"/>
      <c r="BC351" s="411"/>
      <c r="BD351" s="411"/>
    </row>
    <row r="352" spans="1:56" s="3" customFormat="1" ht="15.4" thickTop="1" thickBot="1" x14ac:dyDescent="0.45">
      <c r="A352" s="440">
        <f t="shared" ref="A352" si="97">A349+1</f>
        <v>108</v>
      </c>
      <c r="B352" s="146"/>
      <c r="C352" s="17" t="s">
        <v>221</v>
      </c>
      <c r="D352" s="227" t="s">
        <v>217</v>
      </c>
      <c r="E352" s="192"/>
      <c r="F352" s="154"/>
      <c r="G352" s="42" t="s">
        <v>170</v>
      </c>
      <c r="H352" s="16" t="s">
        <v>164</v>
      </c>
      <c r="I352" s="14" t="s">
        <v>56</v>
      </c>
      <c r="J352" s="14" t="s">
        <v>1</v>
      </c>
      <c r="K352" s="14" t="s">
        <v>308</v>
      </c>
      <c r="L352" s="42"/>
      <c r="M352" s="196" t="s">
        <v>74</v>
      </c>
      <c r="N352" s="18" t="s">
        <v>35</v>
      </c>
      <c r="O352" s="19">
        <v>46134</v>
      </c>
      <c r="P352" s="57">
        <v>46135</v>
      </c>
      <c r="Q352" s="57">
        <v>46142</v>
      </c>
      <c r="R352" s="19">
        <v>46146</v>
      </c>
      <c r="S352" s="19">
        <v>46153</v>
      </c>
      <c r="T352" s="19">
        <v>46167</v>
      </c>
      <c r="U352" s="230">
        <v>46197</v>
      </c>
      <c r="V352" s="19">
        <v>46202</v>
      </c>
      <c r="W352" s="57">
        <v>46216</v>
      </c>
      <c r="X352" s="19">
        <v>46218</v>
      </c>
      <c r="Y352" s="19">
        <v>46225</v>
      </c>
      <c r="Z352" s="19">
        <v>46253</v>
      </c>
      <c r="AA352" s="19">
        <v>46267</v>
      </c>
      <c r="AB352" s="19">
        <v>46272</v>
      </c>
      <c r="AC352" s="19">
        <v>46272</v>
      </c>
      <c r="AD352" s="19">
        <v>46274</v>
      </c>
      <c r="AE352" s="19">
        <v>46295.6</v>
      </c>
      <c r="AF352" s="19">
        <v>46300.6</v>
      </c>
      <c r="AG352" s="19">
        <v>46305.599999999999</v>
      </c>
      <c r="AH352" s="19">
        <v>46308.6</v>
      </c>
      <c r="AI352" s="19">
        <v>46325.599999999999</v>
      </c>
      <c r="AJ352" s="58">
        <v>12.8</v>
      </c>
      <c r="AK352" s="59">
        <v>89.600000000000009</v>
      </c>
      <c r="AL352" s="78">
        <v>46305</v>
      </c>
      <c r="AM352" s="78">
        <v>46308</v>
      </c>
      <c r="AN352" s="77">
        <f>AM352-AL352</f>
        <v>3</v>
      </c>
      <c r="AO352" s="140" t="s">
        <v>689</v>
      </c>
      <c r="AP352" s="452" t="s">
        <v>714</v>
      </c>
      <c r="AQ352" s="21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425"/>
      <c r="BC352" s="411"/>
      <c r="BD352" s="411"/>
    </row>
    <row r="353" spans="1:56" s="3" customFormat="1" ht="15.4" thickTop="1" thickBot="1" x14ac:dyDescent="0.45">
      <c r="A353" s="441"/>
      <c r="B353" s="191"/>
      <c r="C353" s="71" t="s">
        <v>221</v>
      </c>
      <c r="D353" s="24" t="s">
        <v>216</v>
      </c>
      <c r="E353" s="193"/>
      <c r="F353" s="155"/>
      <c r="G353" s="43" t="s">
        <v>170</v>
      </c>
      <c r="H353" s="46" t="s">
        <v>164</v>
      </c>
      <c r="I353" s="23" t="s">
        <v>56</v>
      </c>
      <c r="J353" s="41" t="s">
        <v>1</v>
      </c>
      <c r="K353" s="41" t="s">
        <v>308</v>
      </c>
      <c r="L353" s="43"/>
      <c r="M353" s="197" t="s">
        <v>74</v>
      </c>
      <c r="N353" s="26" t="s">
        <v>36</v>
      </c>
      <c r="O353" s="27"/>
      <c r="P353" s="83" t="s">
        <v>715</v>
      </c>
      <c r="Q353" s="83" t="s">
        <v>715</v>
      </c>
      <c r="R353" s="28"/>
      <c r="S353" s="28"/>
      <c r="T353" s="28"/>
      <c r="U353" s="28">
        <f>WORKDAY(T354, U6, IF(U12="China",'China Holidays'!$A$2:$A$84,'Thai Holidays'!$A$2:$A$65))</f>
        <v>46233</v>
      </c>
      <c r="V353" s="28">
        <f>WORKDAY(U353, V6, IF(V12="China",'China Holidays'!$A$2:$A$84,'Thai Holidays'!$A$2:$A$65))</f>
        <v>46248</v>
      </c>
      <c r="W353" s="28">
        <f>V353</f>
        <v>46248</v>
      </c>
      <c r="X353" s="28">
        <f>WORKDAY(W353, 1, IF(X12="China",'China Holidays'!$A$2:$A$84,'Thai Holidays'!$A$2:$A$65))</f>
        <v>46251</v>
      </c>
      <c r="Y353" s="28">
        <f>WORKDAY(X353, Y6, IF(Y12="China",'China Holidays'!$A$2:$A$84,'Thai Holidays'!$A$2:$A$65))</f>
        <v>46258</v>
      </c>
      <c r="Z353" s="28">
        <f>WORKDAY(Y353, Z6, IF(Z12="China",'China Holidays'!$A$2:$A$84,'Thai Holidays'!$A$2:$A$65))</f>
        <v>46286</v>
      </c>
      <c r="AA353" s="28">
        <f>WORKDAY(Z353, AA6, IF(AA12="China",'China Holidays'!$A$2:$A$84,'Thai Holidays'!$A$2:$A$65))</f>
        <v>46300</v>
      </c>
      <c r="AB353" s="28">
        <f>AA353+5</f>
        <v>46305</v>
      </c>
      <c r="AC353" s="28">
        <f>AB353</f>
        <v>46305</v>
      </c>
      <c r="AD353" s="28">
        <f>AC353+2</f>
        <v>46307</v>
      </c>
      <c r="AE353" s="28">
        <f>AF353-5</f>
        <v>46327.6</v>
      </c>
      <c r="AF353" s="28">
        <f>AG353-5</f>
        <v>46332.6</v>
      </c>
      <c r="AG353" s="28">
        <f>AL353</f>
        <v>46337.599999999999</v>
      </c>
      <c r="AH353" s="28">
        <f>AL352+3</f>
        <v>46308</v>
      </c>
      <c r="AI353" s="28">
        <f>AG353+20</f>
        <v>46357.599999999999</v>
      </c>
      <c r="AJ353" s="81"/>
      <c r="AK353" s="79"/>
      <c r="AL353" s="83">
        <f>W353+AK352</f>
        <v>46337.599999999999</v>
      </c>
      <c r="AM353" s="83"/>
      <c r="AN353" s="79"/>
      <c r="AO353" s="125"/>
      <c r="AP353" s="453"/>
      <c r="AQ353" s="21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425"/>
      <c r="BC353" s="411"/>
      <c r="BD353" s="411"/>
    </row>
    <row r="354" spans="1:56" s="3" customFormat="1" ht="15.4" thickTop="1" thickBot="1" x14ac:dyDescent="0.45">
      <c r="A354" s="442"/>
      <c r="B354" s="147"/>
      <c r="C354" s="72" t="s">
        <v>221</v>
      </c>
      <c r="D354" s="33" t="s">
        <v>216</v>
      </c>
      <c r="E354" s="194"/>
      <c r="F354" s="156"/>
      <c r="G354" s="45" t="s">
        <v>170</v>
      </c>
      <c r="H354" s="34" t="s">
        <v>164</v>
      </c>
      <c r="I354" s="32" t="s">
        <v>56</v>
      </c>
      <c r="J354" s="32" t="s">
        <v>1</v>
      </c>
      <c r="K354" s="32" t="s">
        <v>308</v>
      </c>
      <c r="L354" s="45"/>
      <c r="M354" s="198" t="s">
        <v>74</v>
      </c>
      <c r="N354" s="35" t="s">
        <v>37</v>
      </c>
      <c r="O354" s="36">
        <v>46185</v>
      </c>
      <c r="P354" s="36" t="s">
        <v>715</v>
      </c>
      <c r="Q354" s="36" t="s">
        <v>715</v>
      </c>
      <c r="R354" s="36">
        <v>46185</v>
      </c>
      <c r="S354" s="36">
        <v>46185</v>
      </c>
      <c r="T354" s="36">
        <v>46206</v>
      </c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82"/>
      <c r="AK354" s="80"/>
      <c r="AL354" s="37"/>
      <c r="AM354" s="37"/>
      <c r="AN354" s="80"/>
      <c r="AO354" s="144"/>
      <c r="AP354" s="454"/>
      <c r="AQ354" s="39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25"/>
      <c r="BC354" s="411"/>
      <c r="BD354" s="411"/>
    </row>
    <row r="355" spans="1:56" s="3" customFormat="1" ht="15.4" thickTop="1" thickBot="1" x14ac:dyDescent="0.45">
      <c r="A355" s="440">
        <f t="shared" ref="A355" si="98">A352+1</f>
        <v>109</v>
      </c>
      <c r="B355" s="92" t="s">
        <v>516</v>
      </c>
      <c r="C355" s="14" t="s">
        <v>222</v>
      </c>
      <c r="D355" s="229" t="s">
        <v>518</v>
      </c>
      <c r="E355" s="154"/>
      <c r="F355" s="154"/>
      <c r="G355" s="42" t="s">
        <v>170</v>
      </c>
      <c r="H355" s="16" t="s">
        <v>164</v>
      </c>
      <c r="I355" s="14" t="s">
        <v>56</v>
      </c>
      <c r="J355" s="14" t="s">
        <v>1</v>
      </c>
      <c r="K355" s="14" t="s">
        <v>308</v>
      </c>
      <c r="L355" s="42"/>
      <c r="M355" s="196" t="s">
        <v>74</v>
      </c>
      <c r="N355" s="18" t="s">
        <v>35</v>
      </c>
      <c r="O355" s="230">
        <v>46247</v>
      </c>
      <c r="P355" s="19">
        <v>46248</v>
      </c>
      <c r="Q355" s="19">
        <v>46260</v>
      </c>
      <c r="R355" s="19">
        <v>46260</v>
      </c>
      <c r="S355" s="19">
        <v>46260</v>
      </c>
      <c r="T355" s="19">
        <v>46274</v>
      </c>
      <c r="U355" s="19">
        <v>46297</v>
      </c>
      <c r="V355" s="19">
        <v>46314</v>
      </c>
      <c r="W355" s="57">
        <v>46325</v>
      </c>
      <c r="X355" s="19">
        <v>46329</v>
      </c>
      <c r="Y355" s="19">
        <v>46336</v>
      </c>
      <c r="Z355" s="19">
        <v>46364</v>
      </c>
      <c r="AA355" s="19">
        <v>46378</v>
      </c>
      <c r="AB355" s="19">
        <v>46383</v>
      </c>
      <c r="AC355" s="19">
        <v>46383</v>
      </c>
      <c r="AD355" s="19">
        <v>46385</v>
      </c>
      <c r="AE355" s="19">
        <v>46434.7</v>
      </c>
      <c r="AF355" s="19">
        <v>46439.7</v>
      </c>
      <c r="AG355" s="19">
        <v>46444.7</v>
      </c>
      <c r="AH355" s="19">
        <v>46447.7</v>
      </c>
      <c r="AI355" s="19">
        <v>46464.7</v>
      </c>
      <c r="AJ355" s="59">
        <v>17.100000000000001</v>
      </c>
      <c r="AK355" s="59">
        <f>AJ355*7</f>
        <v>119.70000000000002</v>
      </c>
      <c r="AL355" s="78">
        <v>46444.7</v>
      </c>
      <c r="AM355" s="78">
        <v>46500</v>
      </c>
      <c r="AN355" s="77">
        <f>AM355-AL355</f>
        <v>55.30000000000291</v>
      </c>
      <c r="AO355" s="140" t="s">
        <v>689</v>
      </c>
      <c r="AP355" s="437" t="s">
        <v>549</v>
      </c>
      <c r="AQ355" s="21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425"/>
      <c r="BC355" s="411"/>
      <c r="BD355" s="411"/>
    </row>
    <row r="356" spans="1:56" s="3" customFormat="1" ht="15.4" thickTop="1" thickBot="1" x14ac:dyDescent="0.45">
      <c r="A356" s="441"/>
      <c r="B356" s="93" t="s">
        <v>516</v>
      </c>
      <c r="C356" s="41" t="s">
        <v>222</v>
      </c>
      <c r="D356" s="24" t="s">
        <v>517</v>
      </c>
      <c r="E356" s="155"/>
      <c r="F356" s="155"/>
      <c r="G356" s="43" t="s">
        <v>170</v>
      </c>
      <c r="H356" s="46" t="s">
        <v>164</v>
      </c>
      <c r="I356" s="23" t="s">
        <v>56</v>
      </c>
      <c r="J356" s="41" t="s">
        <v>1</v>
      </c>
      <c r="K356" s="41" t="s">
        <v>308</v>
      </c>
      <c r="L356" s="43"/>
      <c r="M356" s="197" t="s">
        <v>74</v>
      </c>
      <c r="N356" s="26" t="s">
        <v>36</v>
      </c>
      <c r="O356" s="27">
        <f>O355</f>
        <v>46247</v>
      </c>
      <c r="P356" s="28"/>
      <c r="Q356" s="28"/>
      <c r="R356" s="28">
        <f>O356+1</f>
        <v>46248</v>
      </c>
      <c r="S356" s="28">
        <f>WORKDAY(R356, S6, IF(S12="China",'China Holidays'!$A$2:$A$84,'Thai Holidays'!$A$2:$A$65))</f>
        <v>46248</v>
      </c>
      <c r="T356" s="28">
        <f>WORKDAY(S356, T6, IF(T12="China",'China Holidays'!$A$2:$A$84,'Thai Holidays'!$A$2:$A$65))</f>
        <v>46262</v>
      </c>
      <c r="U356" s="28">
        <f>WORKDAY(T356, U6, IF(U12="China",'China Holidays'!$A$2:$A$84,'Thai Holidays'!$A$2:$A$65))</f>
        <v>46287</v>
      </c>
      <c r="V356" s="28">
        <f>WORKDAY(U356, V6, IF(V12="China",'China Holidays'!$A$2:$A$84,'Thai Holidays'!$A$2:$A$65))</f>
        <v>46301</v>
      </c>
      <c r="W356" s="28">
        <f>WORKDAY(V356, W6, IF(W12="China",'China Holidays'!$A$2:$A$84,'Thai Holidays'!$A$2:$A$65))</f>
        <v>46315</v>
      </c>
      <c r="X356" s="28">
        <f>WORKDAY(W356, X6, IF(X12="China",'China Holidays'!$A$2:$A$84,'Thai Holidays'!$A$2:$A$65))</f>
        <v>46317</v>
      </c>
      <c r="Y356" s="28">
        <f>WORKDAY(X356, Y6, IF(Y12="China",'China Holidays'!$A$2:$A$84,'Thai Holidays'!$A$2:$A$65))</f>
        <v>46324</v>
      </c>
      <c r="Z356" s="28">
        <f>WORKDAY(Y356, Z6, IF(Z12="China",'China Holidays'!$A$2:$A$84,'Thai Holidays'!$A$2:$A$65))</f>
        <v>46352</v>
      </c>
      <c r="AA356" s="28">
        <f>WORKDAY(Z356, AA6, IF(AA12="China",'China Holidays'!$A$2:$A$84,'Thai Holidays'!$A$2:$A$65))</f>
        <v>46367</v>
      </c>
      <c r="AB356" s="28">
        <f>AA356+5</f>
        <v>46372</v>
      </c>
      <c r="AC356" s="28">
        <f>AB356</f>
        <v>46372</v>
      </c>
      <c r="AD356" s="28">
        <f>AC356+2</f>
        <v>46374</v>
      </c>
      <c r="AE356" s="28">
        <f>AF356-5</f>
        <v>46434.7</v>
      </c>
      <c r="AF356" s="28">
        <f>AG356-5</f>
        <v>46439.7</v>
      </c>
      <c r="AG356" s="28">
        <f>AL355</f>
        <v>46444.7</v>
      </c>
      <c r="AH356" s="28">
        <f>AL355+3</f>
        <v>46447.7</v>
      </c>
      <c r="AI356" s="28">
        <f>AG356+20</f>
        <v>46464.7</v>
      </c>
      <c r="AJ356" s="81"/>
      <c r="AK356" s="79"/>
      <c r="AL356" s="83">
        <f>W356+AK355</f>
        <v>46434.7</v>
      </c>
      <c r="AM356" s="83"/>
      <c r="AN356" s="79"/>
      <c r="AO356" s="125"/>
      <c r="AP356" s="438"/>
      <c r="AQ356" s="21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425"/>
      <c r="BC356" s="411"/>
      <c r="BD356" s="411"/>
    </row>
    <row r="357" spans="1:56" s="3" customFormat="1" ht="15.4" thickTop="1" thickBot="1" x14ac:dyDescent="0.45">
      <c r="A357" s="442"/>
      <c r="B357" s="94" t="s">
        <v>516</v>
      </c>
      <c r="C357" s="32" t="s">
        <v>222</v>
      </c>
      <c r="D357" s="33" t="s">
        <v>517</v>
      </c>
      <c r="E357" s="156"/>
      <c r="F357" s="156"/>
      <c r="G357" s="45" t="s">
        <v>170</v>
      </c>
      <c r="H357" s="34" t="s">
        <v>164</v>
      </c>
      <c r="I357" s="32" t="s">
        <v>56</v>
      </c>
      <c r="J357" s="32" t="s">
        <v>1</v>
      </c>
      <c r="K357" s="32" t="s">
        <v>308</v>
      </c>
      <c r="L357" s="45"/>
      <c r="M357" s="198" t="s">
        <v>74</v>
      </c>
      <c r="N357" s="35" t="s">
        <v>37</v>
      </c>
      <c r="O357" s="36"/>
      <c r="P357" s="36">
        <v>46146</v>
      </c>
      <c r="Q357" s="36">
        <v>46157</v>
      </c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82"/>
      <c r="AK357" s="80"/>
      <c r="AL357" s="37"/>
      <c r="AM357" s="37"/>
      <c r="AN357" s="80"/>
      <c r="AO357" s="144"/>
      <c r="AP357" s="439"/>
      <c r="AQ357" s="39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25"/>
      <c r="BC357" s="411"/>
      <c r="BD357" s="411"/>
    </row>
    <row r="358" spans="1:56" ht="19.5" thickTop="1" x14ac:dyDescent="0.6">
      <c r="L358" s="7"/>
    </row>
  </sheetData>
  <autoFilter ref="A10:BA358" xr:uid="{00000000-0009-0000-0000-000000000000}"/>
  <mergeCells count="232">
    <mergeCell ref="A304:A306"/>
    <mergeCell ref="AP304:AP306"/>
    <mergeCell ref="A307:A309"/>
    <mergeCell ref="AP307:AP309"/>
    <mergeCell ref="A310:A312"/>
    <mergeCell ref="AP310:AP312"/>
    <mergeCell ref="A313:A315"/>
    <mergeCell ref="AP313:AP315"/>
    <mergeCell ref="A316:A318"/>
    <mergeCell ref="AP316:AP318"/>
    <mergeCell ref="A352:A354"/>
    <mergeCell ref="AP220:AP222"/>
    <mergeCell ref="A253:A255"/>
    <mergeCell ref="A223:A225"/>
    <mergeCell ref="A250:A252"/>
    <mergeCell ref="A235:A237"/>
    <mergeCell ref="A241:A243"/>
    <mergeCell ref="A244:A246"/>
    <mergeCell ref="A247:A249"/>
    <mergeCell ref="A232:A234"/>
    <mergeCell ref="A229:A231"/>
    <mergeCell ref="AP271:AP273"/>
    <mergeCell ref="A283:A285"/>
    <mergeCell ref="AP283:AP285"/>
    <mergeCell ref="A286:A288"/>
    <mergeCell ref="AP286:AP288"/>
    <mergeCell ref="A337:A339"/>
    <mergeCell ref="A340:A342"/>
    <mergeCell ref="A331:A333"/>
    <mergeCell ref="A334:A336"/>
    <mergeCell ref="A328:A330"/>
    <mergeCell ref="AP319:AP321"/>
    <mergeCell ref="AP352:AP354"/>
    <mergeCell ref="A298:A300"/>
    <mergeCell ref="A202:A204"/>
    <mergeCell ref="A97:A99"/>
    <mergeCell ref="A79:A81"/>
    <mergeCell ref="A172:A174"/>
    <mergeCell ref="A187:A189"/>
    <mergeCell ref="A184:A186"/>
    <mergeCell ref="A52:A54"/>
    <mergeCell ref="A199:A201"/>
    <mergeCell ref="A190:A192"/>
    <mergeCell ref="A175:A177"/>
    <mergeCell ref="A178:A180"/>
    <mergeCell ref="A157:A159"/>
    <mergeCell ref="A163:A165"/>
    <mergeCell ref="A19:A21"/>
    <mergeCell ref="A145:A147"/>
    <mergeCell ref="A142:A144"/>
    <mergeCell ref="A136:A138"/>
    <mergeCell ref="A133:A135"/>
    <mergeCell ref="A88:A90"/>
    <mergeCell ref="A34:A36"/>
    <mergeCell ref="A37:A39"/>
    <mergeCell ref="A40:A42"/>
    <mergeCell ref="A43:A45"/>
    <mergeCell ref="A82:A84"/>
    <mergeCell ref="A73:A75"/>
    <mergeCell ref="A55:A57"/>
    <mergeCell ref="A64:A66"/>
    <mergeCell ref="A49:A51"/>
    <mergeCell ref="A85:A87"/>
    <mergeCell ref="A130:A132"/>
    <mergeCell ref="A58:A60"/>
    <mergeCell ref="A61:A63"/>
    <mergeCell ref="A76:A78"/>
    <mergeCell ref="A94:A96"/>
    <mergeCell ref="A46:A48"/>
    <mergeCell ref="A70:A72"/>
    <mergeCell ref="A1:AP1"/>
    <mergeCell ref="A2:AP2"/>
    <mergeCell ref="A13:A15"/>
    <mergeCell ref="A127:A129"/>
    <mergeCell ref="A16:A18"/>
    <mergeCell ref="A25:A27"/>
    <mergeCell ref="A28:A30"/>
    <mergeCell ref="AP13:AP15"/>
    <mergeCell ref="AP127:AP129"/>
    <mergeCell ref="AP16:AP18"/>
    <mergeCell ref="AP25:AP27"/>
    <mergeCell ref="AP28:AP30"/>
    <mergeCell ref="AP19:AP21"/>
    <mergeCell ref="A22:A24"/>
    <mergeCell ref="A31:A33"/>
    <mergeCell ref="A112:A114"/>
    <mergeCell ref="A115:A117"/>
    <mergeCell ref="A118:A120"/>
    <mergeCell ref="A106:A108"/>
    <mergeCell ref="AP67:AP69"/>
    <mergeCell ref="AP40:AP42"/>
    <mergeCell ref="AP22:AP24"/>
    <mergeCell ref="AP31:AP33"/>
    <mergeCell ref="AP121:AP123"/>
    <mergeCell ref="AP97:AP99"/>
    <mergeCell ref="AP34:AP36"/>
    <mergeCell ref="AP37:AP39"/>
    <mergeCell ref="AP55:AP57"/>
    <mergeCell ref="AP64:AP66"/>
    <mergeCell ref="AP70:AP72"/>
    <mergeCell ref="AP100:AP102"/>
    <mergeCell ref="AP103:AP105"/>
    <mergeCell ref="AP58:AP60"/>
    <mergeCell ref="AP85:AP87"/>
    <mergeCell ref="AP61:AP63"/>
    <mergeCell ref="AP82:AP84"/>
    <mergeCell ref="AP76:AP78"/>
    <mergeCell ref="AP52:AP54"/>
    <mergeCell ref="AP46:AP48"/>
    <mergeCell ref="AP73:AP75"/>
    <mergeCell ref="AP79:AP81"/>
    <mergeCell ref="AP94:AP96"/>
    <mergeCell ref="AP106:AP108"/>
    <mergeCell ref="AP43:AP45"/>
    <mergeCell ref="AP49:AP51"/>
    <mergeCell ref="AP169:AP171"/>
    <mergeCell ref="AP199:AP201"/>
    <mergeCell ref="A67:A69"/>
    <mergeCell ref="A91:A93"/>
    <mergeCell ref="A100:A102"/>
    <mergeCell ref="A103:A105"/>
    <mergeCell ref="A109:A111"/>
    <mergeCell ref="A121:A123"/>
    <mergeCell ref="A124:A126"/>
    <mergeCell ref="AP139:AP141"/>
    <mergeCell ref="A169:A171"/>
    <mergeCell ref="A181:A183"/>
    <mergeCell ref="A193:A195"/>
    <mergeCell ref="A160:A162"/>
    <mergeCell ref="AP148:AP150"/>
    <mergeCell ref="AP163:AP165"/>
    <mergeCell ref="AP151:AP153"/>
    <mergeCell ref="AP154:AP156"/>
    <mergeCell ref="AP160:AP162"/>
    <mergeCell ref="AP91:AP93"/>
    <mergeCell ref="AP88:AP90"/>
    <mergeCell ref="A355:A357"/>
    <mergeCell ref="AP355:AP357"/>
    <mergeCell ref="AP340:AP342"/>
    <mergeCell ref="AP343:AP345"/>
    <mergeCell ref="AP256:AP258"/>
    <mergeCell ref="AP259:AP261"/>
    <mergeCell ref="AP262:AP264"/>
    <mergeCell ref="AP268:AP270"/>
    <mergeCell ref="AP274:AP276"/>
    <mergeCell ref="AP277:AP279"/>
    <mergeCell ref="AP334:AP336"/>
    <mergeCell ref="AP337:AP339"/>
    <mergeCell ref="AP328:AP330"/>
    <mergeCell ref="A343:A345"/>
    <mergeCell ref="A280:A282"/>
    <mergeCell ref="A289:A291"/>
    <mergeCell ref="AP346:AP348"/>
    <mergeCell ref="AP349:AP351"/>
    <mergeCell ref="A325:A327"/>
    <mergeCell ref="A292:A294"/>
    <mergeCell ref="AP280:AP282"/>
    <mergeCell ref="A271:A273"/>
    <mergeCell ref="A346:A348"/>
    <mergeCell ref="A349:A351"/>
    <mergeCell ref="AP292:AP294"/>
    <mergeCell ref="AP325:AP327"/>
    <mergeCell ref="AP289:AP291"/>
    <mergeCell ref="A214:A216"/>
    <mergeCell ref="A220:A222"/>
    <mergeCell ref="A211:A213"/>
    <mergeCell ref="A226:A228"/>
    <mergeCell ref="A238:A240"/>
    <mergeCell ref="A256:A258"/>
    <mergeCell ref="A259:A261"/>
    <mergeCell ref="A262:A264"/>
    <mergeCell ref="A268:A270"/>
    <mergeCell ref="A274:A276"/>
    <mergeCell ref="A277:A279"/>
    <mergeCell ref="A265:A267"/>
    <mergeCell ref="AP265:AP267"/>
    <mergeCell ref="A295:A297"/>
    <mergeCell ref="AP295:AP297"/>
    <mergeCell ref="A319:A321"/>
    <mergeCell ref="A322:A324"/>
    <mergeCell ref="AP322:AP324"/>
    <mergeCell ref="AP298:AP300"/>
    <mergeCell ref="A301:A303"/>
    <mergeCell ref="AP301:AP303"/>
    <mergeCell ref="AP238:AP240"/>
    <mergeCell ref="AP172:AP174"/>
    <mergeCell ref="AP109:AP111"/>
    <mergeCell ref="AP112:AP114"/>
    <mergeCell ref="A139:A141"/>
    <mergeCell ref="A148:A150"/>
    <mergeCell ref="AP145:AP147"/>
    <mergeCell ref="AP142:AP144"/>
    <mergeCell ref="AP136:AP138"/>
    <mergeCell ref="AP133:AP135"/>
    <mergeCell ref="AP157:AP159"/>
    <mergeCell ref="AP166:AP168"/>
    <mergeCell ref="A217:A219"/>
    <mergeCell ref="AP190:AP192"/>
    <mergeCell ref="AP118:AP120"/>
    <mergeCell ref="AP130:AP132"/>
    <mergeCell ref="AP115:AP117"/>
    <mergeCell ref="AP124:AP126"/>
    <mergeCell ref="A208:A210"/>
    <mergeCell ref="A166:A168"/>
    <mergeCell ref="A196:A198"/>
    <mergeCell ref="A151:A153"/>
    <mergeCell ref="A154:A156"/>
    <mergeCell ref="A205:A207"/>
    <mergeCell ref="AP331:AP333"/>
    <mergeCell ref="AP175:AP177"/>
    <mergeCell ref="AP253:AP255"/>
    <mergeCell ref="AP235:AP237"/>
    <mergeCell ref="AP241:AP243"/>
    <mergeCell ref="AP244:AP246"/>
    <mergeCell ref="AP196:AP198"/>
    <mergeCell ref="AP247:AP249"/>
    <mergeCell ref="AP250:AP252"/>
    <mergeCell ref="AP217:AP219"/>
    <mergeCell ref="AP208:AP210"/>
    <mergeCell ref="AP223:AP225"/>
    <mergeCell ref="AP226:AP228"/>
    <mergeCell ref="AP229:AP231"/>
    <mergeCell ref="AP178:AP180"/>
    <mergeCell ref="AP232:AP234"/>
    <mergeCell ref="AP214:AP216"/>
    <mergeCell ref="AP181:AP183"/>
    <mergeCell ref="AP187:AP189"/>
    <mergeCell ref="AP211:AP213"/>
    <mergeCell ref="AP202:AP204"/>
    <mergeCell ref="AP205:AP207"/>
    <mergeCell ref="AP193:AP195"/>
    <mergeCell ref="AP184:AP186"/>
  </mergeCells>
  <phoneticPr fontId="20" type="noConversion"/>
  <pageMargins left="0.70866141732283472" right="0.70866141732283472" top="0.74803149606299213" bottom="0.74803149606299213" header="0.31496062992125984" footer="0.31496062992125984"/>
  <pageSetup paperSize="8" scale="35" fitToHeight="0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463-91B9-4A1A-BC8D-B12778D86566}">
  <dimension ref="A1:I63"/>
  <sheetViews>
    <sheetView topLeftCell="A34" workbookViewId="0">
      <selection activeCell="B24" sqref="B24"/>
    </sheetView>
  </sheetViews>
  <sheetFormatPr defaultColWidth="9" defaultRowHeight="12.75" x14ac:dyDescent="0.35"/>
  <cols>
    <col min="1" max="1" width="13.73046875" style="108" customWidth="1"/>
    <col min="2" max="2" width="55.1328125" style="107" customWidth="1"/>
    <col min="3" max="3" width="25.46484375" style="107" customWidth="1"/>
    <col min="4" max="16384" width="9" style="107"/>
  </cols>
  <sheetData>
    <row r="1" spans="1:9" s="102" customFormat="1" ht="15.95" customHeight="1" x14ac:dyDescent="0.4">
      <c r="A1" s="100" t="s">
        <v>316</v>
      </c>
      <c r="B1" s="109" t="s">
        <v>317</v>
      </c>
      <c r="C1" s="101"/>
      <c r="D1" s="99"/>
      <c r="E1" s="99"/>
      <c r="F1" s="99"/>
      <c r="G1" s="99"/>
      <c r="H1" s="99"/>
      <c r="I1" s="99"/>
    </row>
    <row r="2" spans="1:9" s="102" customFormat="1" ht="15.95" customHeight="1" x14ac:dyDescent="0.35">
      <c r="A2" s="103">
        <v>45996</v>
      </c>
      <c r="B2" s="104" t="s">
        <v>318</v>
      </c>
      <c r="C2" s="105"/>
      <c r="D2" s="99"/>
      <c r="E2" s="99"/>
      <c r="F2" s="99"/>
      <c r="G2" s="99"/>
      <c r="H2" s="99"/>
      <c r="I2" s="99"/>
    </row>
    <row r="3" spans="1:9" s="102" customFormat="1" ht="15.95" customHeight="1" x14ac:dyDescent="0.35">
      <c r="A3" s="103">
        <v>46001</v>
      </c>
      <c r="B3" s="104" t="s">
        <v>319</v>
      </c>
      <c r="C3" s="105"/>
      <c r="D3" s="99"/>
      <c r="E3" s="99"/>
      <c r="F3" s="99"/>
      <c r="G3" s="99"/>
      <c r="H3" s="99"/>
      <c r="I3" s="99"/>
    </row>
    <row r="4" spans="1:9" s="102" customFormat="1" ht="15.95" customHeight="1" x14ac:dyDescent="0.35">
      <c r="A4" s="103">
        <v>46020</v>
      </c>
      <c r="B4" s="104" t="s">
        <v>320</v>
      </c>
      <c r="C4" s="105"/>
      <c r="D4" s="99"/>
      <c r="E4" s="99"/>
      <c r="F4" s="99"/>
      <c r="G4" s="99"/>
      <c r="H4" s="99"/>
      <c r="I4" s="99"/>
    </row>
    <row r="5" spans="1:9" s="102" customFormat="1" ht="15.95" customHeight="1" x14ac:dyDescent="0.35">
      <c r="A5" s="103">
        <v>46021</v>
      </c>
      <c r="B5" s="104" t="s">
        <v>320</v>
      </c>
      <c r="C5" s="105"/>
      <c r="D5" s="99"/>
      <c r="E5" s="99"/>
      <c r="F5" s="99"/>
      <c r="G5" s="99"/>
      <c r="H5" s="99"/>
      <c r="I5" s="99"/>
    </row>
    <row r="6" spans="1:9" s="102" customFormat="1" ht="15.95" customHeight="1" x14ac:dyDescent="0.35">
      <c r="A6" s="103">
        <v>46022</v>
      </c>
      <c r="B6" s="104" t="s">
        <v>320</v>
      </c>
      <c r="C6" s="105"/>
      <c r="D6" s="99"/>
      <c r="E6" s="99"/>
      <c r="F6" s="99"/>
      <c r="G6" s="99"/>
      <c r="H6" s="99"/>
      <c r="I6" s="99"/>
    </row>
    <row r="7" spans="1:9" s="102" customFormat="1" ht="15.95" customHeight="1" x14ac:dyDescent="0.35">
      <c r="A7" s="103">
        <v>46023</v>
      </c>
      <c r="B7" s="104" t="s">
        <v>320</v>
      </c>
      <c r="C7" s="105"/>
      <c r="D7" s="99"/>
      <c r="E7" s="99"/>
      <c r="F7" s="99"/>
      <c r="G7" s="99"/>
      <c r="H7" s="99"/>
      <c r="I7" s="99"/>
    </row>
    <row r="8" spans="1:9" s="102" customFormat="1" ht="15.95" customHeight="1" x14ac:dyDescent="0.35">
      <c r="A8" s="103">
        <v>46024</v>
      </c>
      <c r="B8" s="104" t="s">
        <v>320</v>
      </c>
      <c r="C8" s="105"/>
      <c r="D8" s="99"/>
      <c r="E8" s="99"/>
      <c r="F8" s="99"/>
      <c r="G8" s="99"/>
      <c r="H8" s="99"/>
      <c r="I8" s="99"/>
    </row>
    <row r="9" spans="1:9" s="102" customFormat="1" ht="15.95" customHeight="1" x14ac:dyDescent="0.35">
      <c r="A9" s="103">
        <v>46065</v>
      </c>
      <c r="B9" s="104" t="s">
        <v>321</v>
      </c>
      <c r="C9" s="105"/>
      <c r="D9" s="99"/>
      <c r="E9" s="99"/>
      <c r="F9" s="99"/>
      <c r="G9" s="99"/>
      <c r="H9" s="99"/>
      <c r="I9" s="99"/>
    </row>
    <row r="10" spans="1:9" s="102" customFormat="1" ht="15.95" customHeight="1" x14ac:dyDescent="0.35">
      <c r="A10" s="103">
        <v>46118</v>
      </c>
      <c r="B10" s="104" t="s">
        <v>322</v>
      </c>
      <c r="C10" s="105"/>
      <c r="D10" s="99"/>
      <c r="E10" s="99"/>
      <c r="F10" s="99"/>
      <c r="G10" s="99"/>
      <c r="H10" s="99"/>
      <c r="I10" s="99"/>
    </row>
    <row r="11" spans="1:9" s="102" customFormat="1" ht="15.95" customHeight="1" x14ac:dyDescent="0.35">
      <c r="A11" s="103">
        <v>46125</v>
      </c>
      <c r="B11" s="104" t="s">
        <v>323</v>
      </c>
      <c r="C11" s="105"/>
      <c r="D11" s="99"/>
      <c r="E11" s="99"/>
      <c r="F11" s="99"/>
      <c r="G11" s="99"/>
      <c r="H11" s="99"/>
      <c r="I11" s="99"/>
    </row>
    <row r="12" spans="1:9" s="102" customFormat="1" ht="15.95" customHeight="1" x14ac:dyDescent="0.35">
      <c r="A12" s="103">
        <v>46126</v>
      </c>
      <c r="B12" s="104" t="s">
        <v>323</v>
      </c>
      <c r="C12" s="105"/>
      <c r="D12" s="99"/>
      <c r="E12" s="99"/>
      <c r="F12" s="99"/>
      <c r="G12" s="99"/>
      <c r="H12" s="99"/>
      <c r="I12" s="99"/>
    </row>
    <row r="13" spans="1:9" s="102" customFormat="1" ht="15.95" customHeight="1" x14ac:dyDescent="0.35">
      <c r="A13" s="103">
        <v>46127</v>
      </c>
      <c r="B13" s="104" t="s">
        <v>323</v>
      </c>
      <c r="C13" s="105"/>
      <c r="D13" s="99"/>
      <c r="E13" s="99"/>
      <c r="F13" s="99"/>
      <c r="G13" s="99"/>
      <c r="H13" s="99"/>
      <c r="I13" s="99"/>
    </row>
    <row r="14" spans="1:9" s="102" customFormat="1" ht="15.95" customHeight="1" x14ac:dyDescent="0.35">
      <c r="A14" s="103">
        <v>46128</v>
      </c>
      <c r="B14" s="104" t="s">
        <v>323</v>
      </c>
      <c r="C14" s="105"/>
      <c r="D14" s="99"/>
      <c r="E14" s="99"/>
      <c r="F14" s="99"/>
      <c r="G14" s="99"/>
      <c r="H14" s="99"/>
      <c r="I14" s="99"/>
    </row>
    <row r="15" spans="1:9" s="102" customFormat="1" ht="15.95" customHeight="1" x14ac:dyDescent="0.35">
      <c r="A15" s="103">
        <v>46129</v>
      </c>
      <c r="B15" s="104" t="s">
        <v>323</v>
      </c>
      <c r="C15" s="105"/>
      <c r="D15" s="99"/>
      <c r="E15" s="99"/>
      <c r="F15" s="99"/>
      <c r="G15" s="99"/>
      <c r="H15" s="99"/>
      <c r="I15" s="99"/>
    </row>
    <row r="16" spans="1:9" s="102" customFormat="1" ht="15.95" customHeight="1" x14ac:dyDescent="0.35">
      <c r="A16" s="103">
        <v>46143</v>
      </c>
      <c r="B16" s="104" t="s">
        <v>324</v>
      </c>
      <c r="C16" s="105"/>
      <c r="D16" s="99"/>
      <c r="E16" s="99"/>
      <c r="F16" s="99"/>
      <c r="G16" s="99"/>
      <c r="H16" s="99"/>
      <c r="I16" s="99"/>
    </row>
    <row r="17" spans="1:9" s="102" customFormat="1" ht="15.95" customHeight="1" x14ac:dyDescent="0.35">
      <c r="A17" s="103">
        <v>46146</v>
      </c>
      <c r="B17" s="104" t="s">
        <v>325</v>
      </c>
      <c r="C17" s="105"/>
      <c r="D17" s="99"/>
      <c r="E17" s="99"/>
      <c r="F17" s="99"/>
      <c r="G17" s="99"/>
      <c r="H17" s="99"/>
      <c r="I17" s="99"/>
    </row>
    <row r="18" spans="1:9" s="102" customFormat="1" ht="15.95" customHeight="1" x14ac:dyDescent="0.35">
      <c r="A18" s="103">
        <v>46174</v>
      </c>
      <c r="B18" s="104"/>
      <c r="C18" s="105"/>
      <c r="D18" s="99"/>
      <c r="E18" s="99"/>
      <c r="F18" s="99"/>
      <c r="G18" s="99"/>
      <c r="H18" s="99"/>
      <c r="I18" s="99"/>
    </row>
    <row r="19" spans="1:9" s="102" customFormat="1" ht="15.95" customHeight="1" x14ac:dyDescent="0.35">
      <c r="A19" s="103">
        <v>46176</v>
      </c>
      <c r="B19" s="104"/>
      <c r="C19" s="105"/>
      <c r="D19" s="99"/>
      <c r="E19" s="99"/>
      <c r="F19" s="99"/>
      <c r="G19" s="99"/>
      <c r="H19" s="99"/>
      <c r="I19" s="99"/>
    </row>
    <row r="20" spans="1:9" s="102" customFormat="1" ht="15.95" customHeight="1" x14ac:dyDescent="0.35">
      <c r="A20" s="103">
        <v>46231</v>
      </c>
      <c r="B20" s="104"/>
      <c r="C20" s="105"/>
      <c r="D20" s="99"/>
      <c r="E20" s="99"/>
      <c r="F20" s="99"/>
      <c r="G20" s="99"/>
      <c r="H20" s="99"/>
      <c r="I20" s="99"/>
    </row>
    <row r="21" spans="1:9" s="102" customFormat="1" ht="15.95" customHeight="1" x14ac:dyDescent="0.35">
      <c r="A21" s="103">
        <v>46232</v>
      </c>
      <c r="B21" s="104"/>
      <c r="C21" s="105"/>
      <c r="D21" s="99"/>
      <c r="E21" s="99"/>
      <c r="F21" s="99"/>
      <c r="G21" s="99"/>
      <c r="H21" s="99"/>
      <c r="I21" s="99"/>
    </row>
    <row r="22" spans="1:9" s="102" customFormat="1" ht="15.95" customHeight="1" x14ac:dyDescent="0.35">
      <c r="A22" s="103">
        <v>46246</v>
      </c>
      <c r="B22" s="104" t="s">
        <v>326</v>
      </c>
      <c r="C22" s="105"/>
      <c r="D22" s="99"/>
      <c r="E22" s="99"/>
      <c r="F22" s="99"/>
      <c r="G22" s="99"/>
      <c r="H22" s="99"/>
      <c r="I22" s="99"/>
    </row>
    <row r="23" spans="1:9" s="102" customFormat="1" ht="15.95" customHeight="1" x14ac:dyDescent="0.35">
      <c r="A23" s="103">
        <v>46308</v>
      </c>
      <c r="B23" s="104" t="s">
        <v>327</v>
      </c>
      <c r="C23" s="105"/>
      <c r="D23" s="99"/>
      <c r="E23" s="99"/>
      <c r="F23" s="99"/>
      <c r="G23" s="99"/>
      <c r="H23" s="99"/>
      <c r="I23" s="99"/>
    </row>
    <row r="24" spans="1:9" s="102" customFormat="1" ht="15.95" customHeight="1" x14ac:dyDescent="0.35">
      <c r="A24" s="103">
        <v>46318</v>
      </c>
      <c r="B24" s="106" t="s">
        <v>328</v>
      </c>
      <c r="C24" s="105"/>
      <c r="D24" s="99"/>
      <c r="E24" s="99"/>
      <c r="F24" s="99"/>
      <c r="G24" s="99"/>
      <c r="H24" s="99"/>
      <c r="I24" s="99"/>
    </row>
    <row r="25" spans="1:9" s="102" customFormat="1" ht="15.95" customHeight="1" x14ac:dyDescent="0.35">
      <c r="A25" s="103">
        <v>46363</v>
      </c>
      <c r="B25" s="104" t="s">
        <v>318</v>
      </c>
      <c r="C25" s="105"/>
      <c r="D25" s="99"/>
      <c r="E25" s="99"/>
      <c r="F25" s="99"/>
      <c r="G25" s="99"/>
      <c r="H25" s="99"/>
      <c r="I25" s="99"/>
    </row>
    <row r="26" spans="1:9" s="102" customFormat="1" ht="15.95" customHeight="1" x14ac:dyDescent="0.35">
      <c r="A26" s="103">
        <v>46387</v>
      </c>
      <c r="B26" s="104" t="s">
        <v>320</v>
      </c>
      <c r="C26" s="105"/>
      <c r="D26" s="99"/>
      <c r="E26" s="99"/>
      <c r="F26" s="99"/>
      <c r="G26" s="99"/>
      <c r="H26" s="99"/>
      <c r="I26" s="99"/>
    </row>
    <row r="27" spans="1:9" s="102" customFormat="1" ht="15.95" customHeight="1" x14ac:dyDescent="0.35">
      <c r="A27" s="103">
        <v>46388</v>
      </c>
      <c r="B27" s="104" t="s">
        <v>320</v>
      </c>
      <c r="C27" s="105" t="s">
        <v>329</v>
      </c>
      <c r="D27" s="99"/>
      <c r="E27" s="99"/>
      <c r="F27" s="99"/>
      <c r="G27" s="99"/>
      <c r="H27" s="99"/>
      <c r="I27" s="99"/>
    </row>
    <row r="28" spans="1:9" s="102" customFormat="1" ht="15.95" customHeight="1" x14ac:dyDescent="0.35">
      <c r="A28" s="103">
        <v>46389</v>
      </c>
      <c r="B28" s="104"/>
      <c r="C28" s="105"/>
      <c r="D28" s="99"/>
      <c r="E28" s="99"/>
      <c r="F28" s="99"/>
      <c r="G28" s="99"/>
      <c r="H28" s="99"/>
      <c r="I28" s="99"/>
    </row>
    <row r="29" spans="1:9" s="102" customFormat="1" ht="15.95" customHeight="1" x14ac:dyDescent="0.35">
      <c r="A29" s="103">
        <v>46439</v>
      </c>
      <c r="B29" s="104" t="s">
        <v>321</v>
      </c>
      <c r="C29" s="105"/>
      <c r="D29" s="99"/>
      <c r="E29" s="99"/>
      <c r="F29" s="99"/>
      <c r="G29" s="99"/>
      <c r="H29" s="99"/>
      <c r="I29" s="99"/>
    </row>
    <row r="30" spans="1:9" s="102" customFormat="1" ht="15.95" customHeight="1" x14ac:dyDescent="0.35">
      <c r="A30" s="103">
        <v>46440</v>
      </c>
      <c r="B30" s="104"/>
      <c r="C30" s="105"/>
      <c r="D30" s="99"/>
      <c r="E30" s="99"/>
      <c r="F30" s="99"/>
      <c r="G30" s="99"/>
      <c r="H30" s="99"/>
      <c r="I30" s="99"/>
    </row>
    <row r="31" spans="1:9" s="102" customFormat="1" ht="15.95" customHeight="1" x14ac:dyDescent="0.35">
      <c r="A31" s="103">
        <v>46483</v>
      </c>
      <c r="B31" s="104" t="s">
        <v>322</v>
      </c>
      <c r="C31" s="105"/>
      <c r="D31" s="99"/>
      <c r="E31" s="99"/>
      <c r="F31" s="99"/>
      <c r="G31" s="99"/>
      <c r="H31" s="99"/>
      <c r="I31" s="99"/>
    </row>
    <row r="32" spans="1:9" s="102" customFormat="1" ht="15.95" customHeight="1" x14ac:dyDescent="0.35">
      <c r="A32" s="103">
        <v>46490</v>
      </c>
      <c r="B32" s="104" t="s">
        <v>323</v>
      </c>
      <c r="C32" s="105"/>
      <c r="D32" s="99"/>
      <c r="E32" s="99"/>
      <c r="F32" s="99"/>
      <c r="G32" s="99"/>
      <c r="H32" s="99"/>
      <c r="I32" s="99"/>
    </row>
    <row r="33" spans="1:9" s="102" customFormat="1" ht="15.95" customHeight="1" x14ac:dyDescent="0.35">
      <c r="A33" s="103">
        <v>46491</v>
      </c>
      <c r="B33" s="104" t="s">
        <v>323</v>
      </c>
      <c r="C33" s="105"/>
      <c r="D33" s="99"/>
      <c r="E33" s="99"/>
      <c r="F33" s="99"/>
      <c r="G33" s="99"/>
      <c r="H33" s="99"/>
      <c r="I33" s="99"/>
    </row>
    <row r="34" spans="1:9" s="102" customFormat="1" ht="15.95" customHeight="1" x14ac:dyDescent="0.35">
      <c r="A34" s="103">
        <v>46492</v>
      </c>
      <c r="B34" s="104" t="s">
        <v>323</v>
      </c>
      <c r="C34" s="105" t="s">
        <v>329</v>
      </c>
      <c r="D34" s="99"/>
      <c r="E34" s="99"/>
      <c r="F34" s="99"/>
      <c r="G34" s="99"/>
      <c r="H34" s="99"/>
      <c r="I34" s="99"/>
    </row>
    <row r="35" spans="1:9" s="102" customFormat="1" ht="15.95" customHeight="1" x14ac:dyDescent="0.35">
      <c r="A35" s="103">
        <v>46508</v>
      </c>
      <c r="B35" s="104" t="s">
        <v>324</v>
      </c>
      <c r="C35" s="105"/>
      <c r="D35" s="99"/>
      <c r="E35" s="99"/>
      <c r="F35" s="99"/>
      <c r="G35" s="99"/>
      <c r="H35" s="99"/>
      <c r="I35" s="99"/>
    </row>
    <row r="36" spans="1:9" s="102" customFormat="1" ht="15.95" customHeight="1" x14ac:dyDescent="0.35">
      <c r="A36" s="103">
        <v>46511</v>
      </c>
      <c r="B36" s="104" t="s">
        <v>325</v>
      </c>
      <c r="C36" s="105"/>
      <c r="D36" s="99"/>
      <c r="E36" s="99"/>
      <c r="F36" s="99"/>
      <c r="G36" s="99"/>
      <c r="H36" s="99"/>
      <c r="I36" s="99"/>
    </row>
    <row r="37" spans="1:9" s="102" customFormat="1" ht="15.95" customHeight="1" x14ac:dyDescent="0.35">
      <c r="A37" s="103">
        <v>46527</v>
      </c>
      <c r="B37" s="104" t="s">
        <v>330</v>
      </c>
      <c r="C37" s="105"/>
      <c r="D37" s="99"/>
      <c r="E37" s="99"/>
      <c r="F37" s="99"/>
      <c r="G37" s="99"/>
      <c r="H37" s="99"/>
      <c r="I37" s="99"/>
    </row>
    <row r="38" spans="1:9" s="102" customFormat="1" ht="15.95" customHeight="1" x14ac:dyDescent="0.35">
      <c r="A38" s="103">
        <v>46541</v>
      </c>
      <c r="B38" s="104" t="s">
        <v>331</v>
      </c>
      <c r="C38" s="105"/>
      <c r="D38" s="99"/>
      <c r="E38" s="99"/>
      <c r="F38" s="99"/>
      <c r="G38" s="99"/>
      <c r="H38" s="99"/>
      <c r="I38" s="99"/>
    </row>
    <row r="39" spans="1:9" s="102" customFormat="1" ht="15.95" customHeight="1" x14ac:dyDescent="0.35">
      <c r="A39" s="103">
        <v>46611</v>
      </c>
      <c r="B39" s="104" t="s">
        <v>326</v>
      </c>
      <c r="C39" s="105" t="s">
        <v>329</v>
      </c>
      <c r="D39" s="99"/>
      <c r="E39" s="99"/>
      <c r="F39" s="99"/>
      <c r="G39" s="99"/>
      <c r="H39" s="99"/>
      <c r="I39" s="99"/>
    </row>
    <row r="40" spans="1:9" s="102" customFormat="1" ht="15.95" customHeight="1" x14ac:dyDescent="0.35">
      <c r="A40" s="103">
        <v>46673</v>
      </c>
      <c r="B40" s="104" t="s">
        <v>327</v>
      </c>
      <c r="C40" s="105"/>
      <c r="D40" s="99"/>
      <c r="E40" s="99"/>
      <c r="F40" s="99"/>
      <c r="G40" s="99"/>
      <c r="H40" s="99"/>
      <c r="I40" s="99"/>
    </row>
    <row r="41" spans="1:9" s="102" customFormat="1" ht="15.95" customHeight="1" x14ac:dyDescent="0.35">
      <c r="A41" s="103">
        <v>46683</v>
      </c>
      <c r="B41" s="104" t="s">
        <v>328</v>
      </c>
      <c r="C41" s="105"/>
      <c r="D41" s="104" t="s">
        <v>328</v>
      </c>
      <c r="E41" s="99"/>
      <c r="F41" s="99"/>
      <c r="G41" s="99"/>
      <c r="H41" s="99"/>
      <c r="I41" s="99"/>
    </row>
    <row r="42" spans="1:9" s="102" customFormat="1" ht="15.95" customHeight="1" x14ac:dyDescent="0.35">
      <c r="A42" s="103">
        <v>46685</v>
      </c>
      <c r="B42" s="104"/>
      <c r="C42" s="105"/>
      <c r="D42" s="99"/>
      <c r="E42" s="99"/>
      <c r="F42" s="99"/>
      <c r="G42" s="99"/>
      <c r="H42" s="99"/>
      <c r="I42" s="99"/>
    </row>
    <row r="43" spans="1:9" s="102" customFormat="1" ht="15.95" customHeight="1" x14ac:dyDescent="0.35">
      <c r="A43" s="103">
        <v>46726</v>
      </c>
      <c r="B43" s="104" t="s">
        <v>318</v>
      </c>
      <c r="C43" s="105"/>
      <c r="D43" s="99"/>
      <c r="E43" s="99"/>
      <c r="F43" s="99"/>
      <c r="G43" s="99"/>
      <c r="H43" s="99"/>
      <c r="I43" s="99"/>
    </row>
    <row r="44" spans="1:9" s="102" customFormat="1" ht="15.95" customHeight="1" x14ac:dyDescent="0.35">
      <c r="A44" s="103">
        <v>46727</v>
      </c>
      <c r="B44" s="104"/>
      <c r="C44" s="105"/>
      <c r="D44" s="99"/>
      <c r="E44" s="99"/>
      <c r="F44" s="99"/>
      <c r="G44" s="99"/>
      <c r="H44" s="99"/>
      <c r="I44" s="99"/>
    </row>
    <row r="45" spans="1:9" s="102" customFormat="1" ht="15.95" customHeight="1" x14ac:dyDescent="0.35">
      <c r="A45" s="103">
        <v>46731</v>
      </c>
      <c r="B45" s="104" t="s">
        <v>332</v>
      </c>
      <c r="C45" s="105"/>
      <c r="D45" s="99"/>
      <c r="E45" s="99"/>
      <c r="F45" s="99"/>
      <c r="G45" s="99"/>
      <c r="H45" s="99"/>
      <c r="I45" s="99"/>
    </row>
    <row r="46" spans="1:9" s="102" customFormat="1" ht="15.95" customHeight="1" x14ac:dyDescent="0.35">
      <c r="A46" s="103">
        <v>46752</v>
      </c>
      <c r="B46" s="104" t="s">
        <v>320</v>
      </c>
      <c r="C46" s="105"/>
      <c r="D46" s="99"/>
      <c r="E46" s="99"/>
      <c r="F46" s="99"/>
      <c r="G46" s="99"/>
      <c r="H46" s="99"/>
      <c r="I46" s="99"/>
    </row>
    <row r="47" spans="1:9" s="102" customFormat="1" ht="15.95" customHeight="1" x14ac:dyDescent="0.35">
      <c r="A47" s="103">
        <v>46753</v>
      </c>
      <c r="B47" s="104" t="s">
        <v>320</v>
      </c>
      <c r="C47" s="105" t="s">
        <v>329</v>
      </c>
      <c r="D47" s="99"/>
      <c r="E47" s="99"/>
      <c r="F47" s="99"/>
      <c r="G47" s="99"/>
      <c r="H47" s="99"/>
      <c r="I47" s="99"/>
    </row>
    <row r="48" spans="1:9" s="102" customFormat="1" ht="15.95" customHeight="1" x14ac:dyDescent="0.35">
      <c r="A48" s="103">
        <v>46791</v>
      </c>
      <c r="B48" s="104" t="s">
        <v>333</v>
      </c>
      <c r="C48" s="105"/>
      <c r="D48" s="99"/>
      <c r="E48" s="99"/>
      <c r="F48" s="99"/>
      <c r="G48" s="99"/>
      <c r="H48" s="99"/>
      <c r="I48" s="99"/>
    </row>
    <row r="49" spans="1:9" s="102" customFormat="1" ht="15.95" customHeight="1" x14ac:dyDescent="0.35">
      <c r="A49" s="103">
        <v>46849</v>
      </c>
      <c r="B49" s="104" t="s">
        <v>334</v>
      </c>
      <c r="C49" s="105"/>
      <c r="D49" s="99"/>
      <c r="E49" s="99"/>
      <c r="F49" s="99"/>
      <c r="G49" s="99"/>
      <c r="H49" s="99"/>
      <c r="I49" s="99"/>
    </row>
    <row r="50" spans="1:9" s="102" customFormat="1" ht="15.95" customHeight="1" x14ac:dyDescent="0.35">
      <c r="A50" s="103">
        <v>46856</v>
      </c>
      <c r="B50" s="104" t="s">
        <v>323</v>
      </c>
      <c r="C50" s="105"/>
      <c r="D50" s="99"/>
      <c r="E50" s="99"/>
      <c r="F50" s="99"/>
      <c r="G50" s="99"/>
      <c r="H50" s="99"/>
      <c r="I50" s="99"/>
    </row>
    <row r="51" spans="1:9" s="102" customFormat="1" ht="15.95" customHeight="1" x14ac:dyDescent="0.35">
      <c r="A51" s="103">
        <v>46857</v>
      </c>
      <c r="B51" s="104" t="s">
        <v>323</v>
      </c>
      <c r="C51" s="105"/>
      <c r="D51" s="99"/>
      <c r="E51" s="99"/>
      <c r="F51" s="99"/>
      <c r="G51" s="99"/>
      <c r="H51" s="99"/>
      <c r="I51" s="99"/>
    </row>
    <row r="52" spans="1:9" s="102" customFormat="1" ht="15.95" customHeight="1" x14ac:dyDescent="0.35">
      <c r="A52" s="103">
        <v>46858</v>
      </c>
      <c r="B52" s="104" t="s">
        <v>323</v>
      </c>
      <c r="C52" s="105"/>
      <c r="D52" s="99"/>
      <c r="E52" s="99"/>
      <c r="F52" s="99"/>
      <c r="G52" s="99"/>
      <c r="H52" s="99"/>
      <c r="I52" s="99"/>
    </row>
    <row r="53" spans="1:9" s="102" customFormat="1" ht="15.95" customHeight="1" x14ac:dyDescent="0.35">
      <c r="A53" s="103">
        <v>46874</v>
      </c>
      <c r="B53" s="104" t="s">
        <v>324</v>
      </c>
      <c r="C53" s="105"/>
      <c r="D53" s="99"/>
      <c r="E53" s="99"/>
      <c r="F53" s="99"/>
      <c r="G53" s="99"/>
      <c r="H53" s="99"/>
      <c r="I53" s="99"/>
    </row>
    <row r="54" spans="1:9" s="102" customFormat="1" ht="15.95" customHeight="1" x14ac:dyDescent="0.35">
      <c r="A54" s="103">
        <v>46878</v>
      </c>
      <c r="B54" s="104" t="s">
        <v>325</v>
      </c>
      <c r="C54" s="105" t="s">
        <v>329</v>
      </c>
      <c r="D54" s="99"/>
      <c r="E54" s="99"/>
      <c r="F54" s="99"/>
      <c r="G54" s="99"/>
      <c r="H54" s="99"/>
      <c r="I54" s="99"/>
    </row>
    <row r="55" spans="1:9" s="102" customFormat="1" ht="15.95" customHeight="1" x14ac:dyDescent="0.35">
      <c r="A55" s="103">
        <v>46912</v>
      </c>
      <c r="B55" s="104" t="s">
        <v>335</v>
      </c>
      <c r="C55" s="105"/>
      <c r="D55" s="99"/>
      <c r="E55" s="99"/>
      <c r="F55" s="99"/>
      <c r="G55" s="99"/>
      <c r="H55" s="99"/>
      <c r="I55" s="99"/>
    </row>
    <row r="56" spans="1:9" s="102" customFormat="1" ht="15.95" customHeight="1" x14ac:dyDescent="0.35">
      <c r="A56" s="103">
        <v>46907</v>
      </c>
      <c r="B56" s="104" t="s">
        <v>331</v>
      </c>
      <c r="C56" s="105" t="s">
        <v>329</v>
      </c>
      <c r="D56" s="99"/>
      <c r="E56" s="99"/>
      <c r="F56" s="99"/>
      <c r="G56" s="99"/>
      <c r="H56" s="99"/>
      <c r="I56" s="99"/>
    </row>
    <row r="57" spans="1:9" s="102" customFormat="1" ht="15.95" customHeight="1" x14ac:dyDescent="0.35">
      <c r="A57" s="103">
        <v>46958</v>
      </c>
      <c r="B57" s="104" t="s">
        <v>336</v>
      </c>
      <c r="C57" s="105"/>
      <c r="D57" s="99"/>
      <c r="E57" s="99"/>
      <c r="F57" s="99"/>
      <c r="G57" s="99"/>
      <c r="H57" s="99"/>
      <c r="I57" s="99"/>
    </row>
    <row r="58" spans="1:9" s="102" customFormat="1" ht="15.95" customHeight="1" x14ac:dyDescent="0.35">
      <c r="A58" s="103">
        <v>46977</v>
      </c>
      <c r="B58" s="104" t="s">
        <v>326</v>
      </c>
      <c r="C58" s="105"/>
      <c r="D58" s="99"/>
      <c r="E58" s="99"/>
      <c r="F58" s="99"/>
      <c r="G58" s="99"/>
      <c r="H58" s="99"/>
      <c r="I58" s="99"/>
    </row>
    <row r="59" spans="1:9" s="102" customFormat="1" ht="15.95" customHeight="1" x14ac:dyDescent="0.35">
      <c r="A59" s="103">
        <v>47039</v>
      </c>
      <c r="B59" s="104" t="s">
        <v>327</v>
      </c>
      <c r="C59" s="105"/>
      <c r="D59" s="99"/>
      <c r="E59" s="99"/>
      <c r="F59" s="99"/>
      <c r="G59" s="99"/>
      <c r="H59" s="99"/>
      <c r="I59" s="99"/>
    </row>
    <row r="60" spans="1:9" s="102" customFormat="1" ht="15.95" customHeight="1" x14ac:dyDescent="0.35">
      <c r="A60" s="103">
        <v>47049</v>
      </c>
      <c r="B60" s="104" t="s">
        <v>328</v>
      </c>
      <c r="C60" s="105"/>
      <c r="D60" s="99"/>
      <c r="E60" s="99"/>
      <c r="F60" s="99"/>
      <c r="G60" s="99"/>
      <c r="H60" s="99"/>
      <c r="I60" s="99"/>
    </row>
    <row r="61" spans="1:9" s="102" customFormat="1" ht="15.95" customHeight="1" x14ac:dyDescent="0.35">
      <c r="A61" s="103">
        <v>47092</v>
      </c>
      <c r="B61" s="104" t="s">
        <v>318</v>
      </c>
      <c r="C61" s="105"/>
      <c r="D61" s="99"/>
      <c r="E61" s="99"/>
      <c r="F61" s="99"/>
      <c r="G61" s="99"/>
      <c r="H61" s="99"/>
      <c r="I61" s="99"/>
    </row>
    <row r="62" spans="1:9" s="102" customFormat="1" ht="15.95" customHeight="1" x14ac:dyDescent="0.35">
      <c r="A62" s="103">
        <v>47097</v>
      </c>
      <c r="B62" s="104" t="s">
        <v>332</v>
      </c>
      <c r="C62" s="105"/>
      <c r="D62" s="99"/>
      <c r="E62" s="99"/>
      <c r="F62" s="99"/>
      <c r="G62" s="99"/>
      <c r="H62" s="99"/>
      <c r="I62" s="99"/>
    </row>
    <row r="63" spans="1:9" x14ac:dyDescent="0.35">
      <c r="A63" s="103">
        <v>47118</v>
      </c>
      <c r="B63" s="104" t="s">
        <v>320</v>
      </c>
    </row>
  </sheetData>
  <phoneticPr fontId="20" type="noConversion"/>
  <conditionalFormatting sqref="A2:A6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A64E-C380-4C38-B4C3-AC1CE9E57C1C}">
  <dimension ref="A1:I84"/>
  <sheetViews>
    <sheetView topLeftCell="A67" workbookViewId="0">
      <selection activeCell="E5" sqref="E5"/>
    </sheetView>
  </sheetViews>
  <sheetFormatPr defaultColWidth="9" defaultRowHeight="12.75" x14ac:dyDescent="0.35"/>
  <cols>
    <col min="1" max="1" width="12.265625" style="107" customWidth="1"/>
    <col min="2" max="2" width="34.265625" style="107" customWidth="1"/>
    <col min="3" max="16384" width="9" style="107"/>
  </cols>
  <sheetData>
    <row r="1" spans="1:9" ht="18" customHeight="1" x14ac:dyDescent="0.35">
      <c r="A1" s="127" t="s">
        <v>316</v>
      </c>
      <c r="B1" s="128" t="s">
        <v>317</v>
      </c>
      <c r="C1" s="110"/>
      <c r="D1" s="110"/>
      <c r="E1" s="110"/>
      <c r="F1" s="110"/>
      <c r="G1" s="110"/>
      <c r="H1" s="110"/>
      <c r="I1" s="110"/>
    </row>
    <row r="2" spans="1:9" ht="18" customHeight="1" x14ac:dyDescent="0.55000000000000004">
      <c r="A2" s="112">
        <v>46023</v>
      </c>
      <c r="B2" s="113" t="s">
        <v>320</v>
      </c>
      <c r="C2" s="111"/>
      <c r="D2" s="111"/>
      <c r="E2" s="111"/>
      <c r="F2" s="111"/>
      <c r="G2" s="111"/>
      <c r="H2" s="111"/>
      <c r="I2" s="111"/>
    </row>
    <row r="3" spans="1:9" ht="18" customHeight="1" x14ac:dyDescent="0.55000000000000004">
      <c r="A3" s="112">
        <v>46024</v>
      </c>
      <c r="B3" s="113" t="s">
        <v>320</v>
      </c>
      <c r="C3" s="111"/>
      <c r="D3" s="111"/>
      <c r="E3" s="111"/>
      <c r="F3" s="111"/>
      <c r="G3" s="111"/>
      <c r="H3" s="111"/>
      <c r="I3" s="111"/>
    </row>
    <row r="4" spans="1:9" ht="18" customHeight="1" x14ac:dyDescent="0.55000000000000004">
      <c r="A4" s="112">
        <v>46025</v>
      </c>
      <c r="B4" s="113" t="s">
        <v>320</v>
      </c>
      <c r="C4" s="111"/>
      <c r="D4" s="111"/>
      <c r="E4" s="111"/>
      <c r="F4" s="111"/>
      <c r="G4" s="111"/>
      <c r="H4" s="111"/>
      <c r="I4" s="111"/>
    </row>
    <row r="5" spans="1:9" ht="18" customHeight="1" x14ac:dyDescent="0.55000000000000004">
      <c r="A5" s="112">
        <v>46068</v>
      </c>
      <c r="B5" s="113" t="s">
        <v>350</v>
      </c>
      <c r="C5" s="111"/>
      <c r="D5" s="111"/>
      <c r="E5" s="111"/>
      <c r="F5" s="111"/>
      <c r="G5" s="111"/>
      <c r="H5" s="111"/>
      <c r="I5" s="111"/>
    </row>
    <row r="6" spans="1:9" ht="18" customHeight="1" x14ac:dyDescent="0.55000000000000004">
      <c r="A6" s="112">
        <v>46069</v>
      </c>
      <c r="B6" s="113" t="s">
        <v>350</v>
      </c>
      <c r="C6" s="111"/>
      <c r="D6" s="111"/>
      <c r="E6" s="111"/>
      <c r="F6" s="111"/>
      <c r="G6" s="111"/>
      <c r="H6" s="111"/>
      <c r="I6" s="111"/>
    </row>
    <row r="7" spans="1:9" ht="18" customHeight="1" x14ac:dyDescent="0.55000000000000004">
      <c r="A7" s="112">
        <v>46070</v>
      </c>
      <c r="B7" s="113" t="s">
        <v>350</v>
      </c>
      <c r="C7" s="111"/>
      <c r="D7" s="111"/>
      <c r="E7" s="111"/>
      <c r="F7" s="111"/>
      <c r="G7" s="111"/>
      <c r="H7" s="111"/>
      <c r="I7" s="111"/>
    </row>
    <row r="8" spans="1:9" ht="18" customHeight="1" x14ac:dyDescent="0.55000000000000004">
      <c r="A8" s="112">
        <v>46071</v>
      </c>
      <c r="B8" s="113" t="s">
        <v>350</v>
      </c>
      <c r="C8" s="111"/>
      <c r="D8" s="111"/>
      <c r="E8" s="111"/>
      <c r="F8" s="111"/>
      <c r="G8" s="111"/>
      <c r="H8" s="111"/>
      <c r="I8" s="111"/>
    </row>
    <row r="9" spans="1:9" ht="18" customHeight="1" x14ac:dyDescent="0.55000000000000004">
      <c r="A9" s="112">
        <v>46072</v>
      </c>
      <c r="B9" s="113" t="s">
        <v>350</v>
      </c>
      <c r="C9" s="111"/>
      <c r="D9" s="111"/>
      <c r="E9" s="111"/>
      <c r="F9" s="111"/>
      <c r="G9" s="111"/>
      <c r="H9" s="111"/>
      <c r="I9" s="111"/>
    </row>
    <row r="10" spans="1:9" ht="18" customHeight="1" x14ac:dyDescent="0.55000000000000004">
      <c r="A10" s="112">
        <v>46073</v>
      </c>
      <c r="B10" s="113" t="s">
        <v>350</v>
      </c>
      <c r="C10" s="111"/>
      <c r="D10" s="111"/>
      <c r="E10" s="111"/>
      <c r="F10" s="111"/>
      <c r="G10" s="111"/>
      <c r="H10" s="111"/>
      <c r="I10" s="111"/>
    </row>
    <row r="11" spans="1:9" ht="18" customHeight="1" x14ac:dyDescent="0.55000000000000004">
      <c r="A11" s="112">
        <v>46074</v>
      </c>
      <c r="B11" s="113" t="s">
        <v>350</v>
      </c>
      <c r="C11" s="111"/>
      <c r="D11" s="111"/>
      <c r="E11" s="111"/>
      <c r="F11" s="111"/>
      <c r="G11" s="111"/>
      <c r="H11" s="111"/>
      <c r="I11" s="111"/>
    </row>
    <row r="12" spans="1:9" ht="18" customHeight="1" x14ac:dyDescent="0.55000000000000004">
      <c r="A12" s="112">
        <v>46116</v>
      </c>
      <c r="B12" s="113" t="s">
        <v>337</v>
      </c>
      <c r="C12" s="111"/>
      <c r="D12" s="111"/>
      <c r="E12" s="111"/>
      <c r="F12" s="111"/>
      <c r="G12" s="111"/>
      <c r="H12" s="111"/>
      <c r="I12" s="111"/>
    </row>
    <row r="13" spans="1:9" ht="18" customHeight="1" x14ac:dyDescent="0.55000000000000004">
      <c r="A13" s="112">
        <v>46117</v>
      </c>
      <c r="B13" s="113" t="s">
        <v>337</v>
      </c>
      <c r="C13" s="111"/>
      <c r="D13" s="111"/>
      <c r="E13" s="111"/>
      <c r="F13" s="111"/>
      <c r="G13" s="111"/>
      <c r="H13" s="111"/>
      <c r="I13" s="111"/>
    </row>
    <row r="14" spans="1:9" ht="18" customHeight="1" x14ac:dyDescent="0.55000000000000004">
      <c r="A14" s="112">
        <v>46118</v>
      </c>
      <c r="B14" s="113" t="s">
        <v>337</v>
      </c>
      <c r="C14" s="111"/>
      <c r="D14" s="111"/>
      <c r="E14" s="111"/>
      <c r="F14" s="111"/>
      <c r="G14" s="111"/>
      <c r="H14" s="111"/>
      <c r="I14" s="111"/>
    </row>
    <row r="15" spans="1:9" ht="18" customHeight="1" x14ac:dyDescent="0.55000000000000004">
      <c r="A15" s="112">
        <v>46143</v>
      </c>
      <c r="B15" s="113" t="s">
        <v>324</v>
      </c>
      <c r="C15" s="111"/>
      <c r="D15" s="111"/>
      <c r="E15" s="111"/>
      <c r="F15" s="111"/>
      <c r="G15" s="111"/>
      <c r="H15" s="111"/>
      <c r="I15" s="111"/>
    </row>
    <row r="16" spans="1:9" ht="18" customHeight="1" x14ac:dyDescent="0.55000000000000004">
      <c r="A16" s="112">
        <v>46144</v>
      </c>
      <c r="B16" s="113" t="s">
        <v>324</v>
      </c>
      <c r="C16" s="111"/>
      <c r="D16" s="111"/>
      <c r="E16" s="111"/>
      <c r="F16" s="111"/>
      <c r="G16" s="111"/>
      <c r="H16" s="111"/>
      <c r="I16" s="111"/>
    </row>
    <row r="17" spans="1:9" ht="18" customHeight="1" x14ac:dyDescent="0.55000000000000004">
      <c r="A17" s="112">
        <v>46145</v>
      </c>
      <c r="B17" s="113" t="s">
        <v>324</v>
      </c>
      <c r="C17" s="111"/>
      <c r="D17" s="111"/>
      <c r="E17" s="111"/>
      <c r="F17" s="111"/>
      <c r="G17" s="111"/>
      <c r="H17" s="111"/>
      <c r="I17" s="111"/>
    </row>
    <row r="18" spans="1:9" ht="18" customHeight="1" x14ac:dyDescent="0.55000000000000004">
      <c r="A18" s="112">
        <v>46192</v>
      </c>
      <c r="B18" s="113" t="s">
        <v>338</v>
      </c>
      <c r="C18" s="111"/>
      <c r="D18" s="111"/>
      <c r="E18" s="111"/>
      <c r="F18" s="111"/>
      <c r="G18" s="111"/>
      <c r="H18" s="111"/>
      <c r="I18" s="111"/>
    </row>
    <row r="19" spans="1:9" ht="18" customHeight="1" x14ac:dyDescent="0.55000000000000004">
      <c r="A19" s="112">
        <v>46193</v>
      </c>
      <c r="B19" s="113" t="s">
        <v>338</v>
      </c>
      <c r="C19" s="111"/>
      <c r="D19" s="111"/>
      <c r="E19" s="111"/>
      <c r="F19" s="111"/>
      <c r="G19" s="111"/>
      <c r="H19" s="111"/>
      <c r="I19" s="111"/>
    </row>
    <row r="20" spans="1:9" ht="18" customHeight="1" x14ac:dyDescent="0.55000000000000004">
      <c r="A20" s="112">
        <v>46194</v>
      </c>
      <c r="B20" s="113" t="s">
        <v>338</v>
      </c>
      <c r="C20" s="111"/>
      <c r="D20" s="111"/>
      <c r="E20" s="111"/>
      <c r="F20" s="111"/>
      <c r="G20" s="111"/>
      <c r="H20" s="111"/>
      <c r="I20" s="111"/>
    </row>
    <row r="21" spans="1:9" ht="18" customHeight="1" x14ac:dyDescent="0.55000000000000004">
      <c r="A21" s="112">
        <v>46290</v>
      </c>
      <c r="B21" s="113" t="s">
        <v>348</v>
      </c>
      <c r="C21" s="111"/>
      <c r="D21" s="111"/>
      <c r="E21" s="111"/>
      <c r="F21" s="111"/>
      <c r="G21" s="111"/>
      <c r="H21" s="111"/>
      <c r="I21" s="111"/>
    </row>
    <row r="22" spans="1:9" ht="18" customHeight="1" x14ac:dyDescent="0.55000000000000004">
      <c r="A22" s="112">
        <v>46291</v>
      </c>
      <c r="B22" s="113" t="s">
        <v>348</v>
      </c>
      <c r="C22" s="111"/>
      <c r="D22" s="111"/>
      <c r="E22" s="111"/>
      <c r="F22" s="111"/>
      <c r="G22" s="111"/>
      <c r="H22" s="111"/>
      <c r="I22" s="111"/>
    </row>
    <row r="23" spans="1:9" ht="18" customHeight="1" x14ac:dyDescent="0.55000000000000004">
      <c r="A23" s="112">
        <v>46292</v>
      </c>
      <c r="B23" s="113" t="s">
        <v>348</v>
      </c>
      <c r="C23" s="111"/>
      <c r="D23" s="111"/>
      <c r="E23" s="111"/>
      <c r="F23" s="111"/>
      <c r="G23" s="111"/>
      <c r="H23" s="111"/>
      <c r="I23" s="111"/>
    </row>
    <row r="24" spans="1:9" ht="18" customHeight="1" x14ac:dyDescent="0.55000000000000004">
      <c r="A24" s="112">
        <v>46296</v>
      </c>
      <c r="B24" s="113" t="s">
        <v>339</v>
      </c>
      <c r="C24" s="111"/>
      <c r="D24" s="111"/>
      <c r="E24" s="111"/>
      <c r="F24" s="111"/>
      <c r="G24" s="111"/>
      <c r="H24" s="111"/>
      <c r="I24" s="111"/>
    </row>
    <row r="25" spans="1:9" ht="18" customHeight="1" x14ac:dyDescent="0.55000000000000004">
      <c r="A25" s="112">
        <v>46297</v>
      </c>
      <c r="B25" s="113" t="s">
        <v>339</v>
      </c>
      <c r="C25" s="111"/>
      <c r="D25" s="111"/>
      <c r="E25" s="111"/>
      <c r="F25" s="111"/>
      <c r="G25" s="111"/>
      <c r="H25" s="111"/>
      <c r="I25" s="111"/>
    </row>
    <row r="26" spans="1:9" ht="18" customHeight="1" x14ac:dyDescent="0.55000000000000004">
      <c r="A26" s="112">
        <v>46298</v>
      </c>
      <c r="B26" s="113" t="s">
        <v>339</v>
      </c>
      <c r="C26" s="111"/>
      <c r="D26" s="111"/>
      <c r="E26" s="111"/>
      <c r="F26" s="111"/>
      <c r="G26" s="111"/>
      <c r="H26" s="111"/>
      <c r="I26" s="111"/>
    </row>
    <row r="27" spans="1:9" ht="18" customHeight="1" x14ac:dyDescent="0.55000000000000004">
      <c r="A27" s="112">
        <v>46299</v>
      </c>
      <c r="B27" s="113" t="s">
        <v>339</v>
      </c>
      <c r="C27" s="111"/>
      <c r="D27" s="111"/>
      <c r="E27" s="111"/>
      <c r="F27" s="111"/>
      <c r="G27" s="111"/>
      <c r="H27" s="111"/>
      <c r="I27" s="111"/>
    </row>
    <row r="28" spans="1:9" ht="18" customHeight="1" x14ac:dyDescent="0.55000000000000004">
      <c r="A28" s="112">
        <v>46300</v>
      </c>
      <c r="B28" s="113" t="s">
        <v>339</v>
      </c>
      <c r="C28" s="111"/>
      <c r="D28" s="111"/>
      <c r="E28" s="111"/>
      <c r="F28" s="111"/>
      <c r="G28" s="111"/>
      <c r="H28" s="111"/>
      <c r="I28" s="111"/>
    </row>
    <row r="29" spans="1:9" ht="18" customHeight="1" x14ac:dyDescent="0.55000000000000004">
      <c r="A29" s="112">
        <v>46301</v>
      </c>
      <c r="B29" s="113" t="s">
        <v>339</v>
      </c>
      <c r="C29" s="111"/>
      <c r="D29" s="111"/>
      <c r="E29" s="111"/>
      <c r="F29" s="111"/>
      <c r="G29" s="111"/>
      <c r="H29" s="111"/>
      <c r="I29" s="111"/>
    </row>
    <row r="30" spans="1:9" ht="18" customHeight="1" x14ac:dyDescent="0.55000000000000004">
      <c r="A30" s="112">
        <v>46302</v>
      </c>
      <c r="B30" s="113" t="s">
        <v>339</v>
      </c>
      <c r="C30" s="111"/>
      <c r="D30" s="111"/>
      <c r="E30" s="111"/>
      <c r="F30" s="111"/>
      <c r="G30" s="111"/>
      <c r="H30" s="111"/>
      <c r="I30" s="111"/>
    </row>
    <row r="31" spans="1:9" ht="18" customHeight="1" x14ac:dyDescent="0.55000000000000004">
      <c r="A31" s="112">
        <v>46388</v>
      </c>
      <c r="B31" s="113" t="s">
        <v>320</v>
      </c>
      <c r="C31" s="111"/>
      <c r="D31" s="111"/>
      <c r="E31" s="111"/>
      <c r="F31" s="111"/>
      <c r="G31" s="111"/>
      <c r="H31" s="111"/>
      <c r="I31" s="111"/>
    </row>
    <row r="32" spans="1:9" ht="18" customHeight="1" x14ac:dyDescent="0.55000000000000004">
      <c r="A32" s="112">
        <v>46389</v>
      </c>
      <c r="B32" s="113" t="s">
        <v>320</v>
      </c>
      <c r="C32" s="111"/>
      <c r="D32" s="111"/>
      <c r="E32" s="111"/>
      <c r="F32" s="111"/>
      <c r="G32" s="111"/>
      <c r="H32" s="111"/>
      <c r="I32" s="111"/>
    </row>
    <row r="33" spans="1:9" ht="18" customHeight="1" x14ac:dyDescent="0.55000000000000004">
      <c r="A33" s="112">
        <v>46390</v>
      </c>
      <c r="B33" s="113" t="s">
        <v>320</v>
      </c>
      <c r="C33" s="111"/>
      <c r="D33" s="111"/>
      <c r="E33" s="111"/>
      <c r="F33" s="111"/>
      <c r="G33" s="111"/>
      <c r="H33" s="111"/>
      <c r="I33" s="111"/>
    </row>
    <row r="34" spans="1:9" ht="18" customHeight="1" x14ac:dyDescent="0.55000000000000004">
      <c r="A34" s="112">
        <v>46424</v>
      </c>
      <c r="B34" s="113" t="s">
        <v>349</v>
      </c>
      <c r="C34" s="111"/>
      <c r="D34" s="111"/>
      <c r="E34" s="111"/>
      <c r="F34" s="111"/>
      <c r="G34" s="111"/>
      <c r="H34" s="111"/>
      <c r="I34" s="111"/>
    </row>
    <row r="35" spans="1:9" ht="18" customHeight="1" x14ac:dyDescent="0.55000000000000004">
      <c r="A35" s="112">
        <v>46425</v>
      </c>
      <c r="B35" s="113" t="s">
        <v>349</v>
      </c>
      <c r="C35" s="111"/>
      <c r="D35" s="111"/>
      <c r="E35" s="111"/>
      <c r="F35" s="111"/>
      <c r="G35" s="111"/>
      <c r="H35" s="111"/>
      <c r="I35" s="111"/>
    </row>
    <row r="36" spans="1:9" ht="18" customHeight="1" x14ac:dyDescent="0.55000000000000004">
      <c r="A36" s="112">
        <v>46426</v>
      </c>
      <c r="B36" s="113" t="s">
        <v>349</v>
      </c>
      <c r="C36" s="111"/>
      <c r="D36" s="111"/>
      <c r="E36" s="111"/>
      <c r="F36" s="111"/>
      <c r="G36" s="111"/>
      <c r="H36" s="111"/>
      <c r="I36" s="111"/>
    </row>
    <row r="37" spans="1:9" ht="18" customHeight="1" x14ac:dyDescent="0.55000000000000004">
      <c r="A37" s="112">
        <v>46427</v>
      </c>
      <c r="B37" s="113" t="s">
        <v>349</v>
      </c>
      <c r="C37" s="111"/>
      <c r="D37" s="111"/>
      <c r="E37" s="111"/>
      <c r="F37" s="111"/>
      <c r="G37" s="111"/>
      <c r="H37" s="111"/>
      <c r="I37" s="111"/>
    </row>
    <row r="38" spans="1:9" ht="18" customHeight="1" x14ac:dyDescent="0.55000000000000004">
      <c r="A38" s="112">
        <v>46428</v>
      </c>
      <c r="B38" s="113" t="s">
        <v>349</v>
      </c>
      <c r="C38" s="111"/>
      <c r="D38" s="111"/>
      <c r="E38" s="111"/>
      <c r="F38" s="111"/>
      <c r="G38" s="111"/>
      <c r="H38" s="111"/>
      <c r="I38" s="111"/>
    </row>
    <row r="39" spans="1:9" ht="18" customHeight="1" x14ac:dyDescent="0.55000000000000004">
      <c r="A39" s="112">
        <v>46429</v>
      </c>
      <c r="B39" s="113" t="s">
        <v>349</v>
      </c>
      <c r="C39" s="111"/>
      <c r="D39" s="111"/>
      <c r="E39" s="111"/>
      <c r="F39" s="111"/>
      <c r="G39" s="111"/>
      <c r="H39" s="111"/>
      <c r="I39" s="111"/>
    </row>
    <row r="40" spans="1:9" ht="18" customHeight="1" x14ac:dyDescent="0.55000000000000004">
      <c r="A40" s="112">
        <v>46430</v>
      </c>
      <c r="B40" s="113" t="s">
        <v>349</v>
      </c>
      <c r="C40" s="111"/>
      <c r="D40" s="111"/>
      <c r="E40" s="111"/>
      <c r="F40" s="111"/>
      <c r="G40" s="111"/>
      <c r="H40" s="111"/>
      <c r="I40" s="111"/>
    </row>
    <row r="41" spans="1:9" ht="18" customHeight="1" x14ac:dyDescent="0.55000000000000004">
      <c r="A41" s="112">
        <v>46480</v>
      </c>
      <c r="B41" s="113" t="s">
        <v>337</v>
      </c>
      <c r="C41" s="111"/>
      <c r="D41" s="111"/>
      <c r="E41" s="111"/>
      <c r="F41" s="111"/>
      <c r="G41" s="111"/>
      <c r="H41" s="111"/>
      <c r="I41" s="111"/>
    </row>
    <row r="42" spans="1:9" ht="18" customHeight="1" x14ac:dyDescent="0.55000000000000004">
      <c r="A42" s="112">
        <v>46481</v>
      </c>
      <c r="B42" s="113" t="s">
        <v>337</v>
      </c>
      <c r="C42" s="111"/>
      <c r="D42" s="111"/>
      <c r="E42" s="111"/>
      <c r="F42" s="111"/>
      <c r="G42" s="111"/>
      <c r="H42" s="111"/>
      <c r="I42" s="111"/>
    </row>
    <row r="43" spans="1:9" ht="18" customHeight="1" x14ac:dyDescent="0.55000000000000004">
      <c r="A43" s="112">
        <v>46482</v>
      </c>
      <c r="B43" s="113" t="s">
        <v>337</v>
      </c>
      <c r="C43" s="111"/>
      <c r="D43" s="111"/>
      <c r="E43" s="111"/>
      <c r="F43" s="111"/>
      <c r="G43" s="111"/>
      <c r="H43" s="111"/>
      <c r="I43" s="111"/>
    </row>
    <row r="44" spans="1:9" ht="18" customHeight="1" x14ac:dyDescent="0.55000000000000004">
      <c r="A44" s="112">
        <v>46508</v>
      </c>
      <c r="B44" s="113" t="s">
        <v>324</v>
      </c>
      <c r="C44" s="111"/>
      <c r="D44" s="111"/>
      <c r="E44" s="111"/>
      <c r="F44" s="111"/>
      <c r="G44" s="111"/>
      <c r="H44" s="111"/>
      <c r="I44" s="111"/>
    </row>
    <row r="45" spans="1:9" ht="18" customHeight="1" x14ac:dyDescent="0.55000000000000004">
      <c r="A45" s="112">
        <v>46509</v>
      </c>
      <c r="B45" s="113" t="s">
        <v>324</v>
      </c>
      <c r="C45" s="111"/>
      <c r="D45" s="111"/>
      <c r="E45" s="111"/>
      <c r="F45" s="111"/>
      <c r="G45" s="111"/>
      <c r="H45" s="111"/>
      <c r="I45" s="111"/>
    </row>
    <row r="46" spans="1:9" ht="18" customHeight="1" x14ac:dyDescent="0.55000000000000004">
      <c r="A46" s="112">
        <v>46510</v>
      </c>
      <c r="B46" s="113" t="s">
        <v>324</v>
      </c>
      <c r="C46" s="111"/>
      <c r="D46" s="111"/>
      <c r="E46" s="111"/>
      <c r="F46" s="111"/>
      <c r="G46" s="111"/>
      <c r="H46" s="111"/>
      <c r="I46" s="111"/>
    </row>
    <row r="47" spans="1:9" ht="18" customHeight="1" x14ac:dyDescent="0.55000000000000004">
      <c r="A47" s="112">
        <v>46549</v>
      </c>
      <c r="B47" s="113" t="s">
        <v>338</v>
      </c>
      <c r="C47" s="111"/>
      <c r="D47" s="111"/>
      <c r="E47" s="111"/>
      <c r="F47" s="111"/>
      <c r="G47" s="111"/>
      <c r="H47" s="111"/>
      <c r="I47" s="111"/>
    </row>
    <row r="48" spans="1:9" ht="18" customHeight="1" x14ac:dyDescent="0.55000000000000004">
      <c r="A48" s="112">
        <v>46550</v>
      </c>
      <c r="B48" s="113" t="s">
        <v>338</v>
      </c>
      <c r="C48" s="111"/>
      <c r="D48" s="111"/>
      <c r="E48" s="111"/>
      <c r="F48" s="111"/>
      <c r="G48" s="111"/>
      <c r="H48" s="111"/>
      <c r="I48" s="111"/>
    </row>
    <row r="49" spans="1:9" ht="18" customHeight="1" x14ac:dyDescent="0.55000000000000004">
      <c r="A49" s="112">
        <v>46551</v>
      </c>
      <c r="B49" s="113" t="s">
        <v>338</v>
      </c>
      <c r="C49" s="111"/>
      <c r="D49" s="111"/>
      <c r="E49" s="111"/>
      <c r="F49" s="111"/>
      <c r="G49" s="111"/>
      <c r="H49" s="111"/>
      <c r="I49" s="111"/>
    </row>
    <row r="50" spans="1:9" ht="18" customHeight="1" x14ac:dyDescent="0.55000000000000004">
      <c r="A50" s="112">
        <v>46552</v>
      </c>
      <c r="B50" s="113" t="s">
        <v>338</v>
      </c>
      <c r="C50" s="111"/>
      <c r="D50" s="111"/>
      <c r="E50" s="111"/>
      <c r="F50" s="111"/>
      <c r="G50" s="111"/>
      <c r="H50" s="111"/>
      <c r="I50" s="111"/>
    </row>
    <row r="51" spans="1:9" ht="18" customHeight="1" x14ac:dyDescent="0.55000000000000004">
      <c r="A51" s="112">
        <v>46645</v>
      </c>
      <c r="B51" s="113" t="s">
        <v>348</v>
      </c>
      <c r="C51" s="111"/>
      <c r="D51" s="111"/>
      <c r="E51" s="111"/>
      <c r="F51" s="111"/>
      <c r="G51" s="111"/>
      <c r="H51" s="111"/>
      <c r="I51" s="111"/>
    </row>
    <row r="52" spans="1:9" ht="18" customHeight="1" x14ac:dyDescent="0.55000000000000004">
      <c r="A52" s="112">
        <v>46661</v>
      </c>
      <c r="B52" s="113" t="s">
        <v>339</v>
      </c>
      <c r="C52" s="111"/>
      <c r="D52" s="111"/>
      <c r="E52" s="111"/>
      <c r="F52" s="111"/>
      <c r="G52" s="111"/>
      <c r="H52" s="111"/>
      <c r="I52" s="111"/>
    </row>
    <row r="53" spans="1:9" ht="18" customHeight="1" x14ac:dyDescent="0.55000000000000004">
      <c r="A53" s="112">
        <v>46662</v>
      </c>
      <c r="B53" s="113" t="s">
        <v>339</v>
      </c>
      <c r="C53" s="111"/>
      <c r="D53" s="111"/>
      <c r="E53" s="111"/>
      <c r="F53" s="111"/>
      <c r="G53" s="111"/>
      <c r="H53" s="111"/>
      <c r="I53" s="111"/>
    </row>
    <row r="54" spans="1:9" ht="18" customHeight="1" x14ac:dyDescent="0.55000000000000004">
      <c r="A54" s="112">
        <v>46663</v>
      </c>
      <c r="B54" s="113" t="s">
        <v>339</v>
      </c>
      <c r="C54" s="111"/>
      <c r="D54" s="111"/>
      <c r="E54" s="111"/>
      <c r="F54" s="111"/>
      <c r="G54" s="111"/>
      <c r="H54" s="111"/>
      <c r="I54" s="111"/>
    </row>
    <row r="55" spans="1:9" ht="18" customHeight="1" x14ac:dyDescent="0.55000000000000004">
      <c r="A55" s="112">
        <v>46664</v>
      </c>
      <c r="B55" s="113" t="s">
        <v>339</v>
      </c>
      <c r="C55" s="111"/>
      <c r="D55" s="111"/>
      <c r="E55" s="111"/>
      <c r="F55" s="111"/>
      <c r="G55" s="111"/>
      <c r="H55" s="111"/>
      <c r="I55" s="111"/>
    </row>
    <row r="56" spans="1:9" ht="18" customHeight="1" x14ac:dyDescent="0.55000000000000004">
      <c r="A56" s="112">
        <v>46665</v>
      </c>
      <c r="B56" s="113" t="s">
        <v>339</v>
      </c>
      <c r="C56" s="111"/>
      <c r="D56" s="111"/>
      <c r="E56" s="111"/>
      <c r="F56" s="111"/>
      <c r="G56" s="111"/>
      <c r="H56" s="111"/>
      <c r="I56" s="111"/>
    </row>
    <row r="57" spans="1:9" ht="18" customHeight="1" x14ac:dyDescent="0.55000000000000004">
      <c r="A57" s="112">
        <v>46666</v>
      </c>
      <c r="B57" s="113" t="s">
        <v>339</v>
      </c>
      <c r="C57" s="111"/>
      <c r="D57" s="111"/>
      <c r="E57" s="111"/>
      <c r="F57" s="111"/>
      <c r="G57" s="111"/>
      <c r="H57" s="111"/>
      <c r="I57" s="111"/>
    </row>
    <row r="58" spans="1:9" ht="18" customHeight="1" x14ac:dyDescent="0.55000000000000004">
      <c r="A58" s="112">
        <v>46667</v>
      </c>
      <c r="B58" s="113" t="s">
        <v>339</v>
      </c>
      <c r="C58" s="111"/>
      <c r="D58" s="111"/>
      <c r="E58" s="111"/>
      <c r="F58" s="111"/>
      <c r="G58" s="111"/>
      <c r="H58" s="111"/>
      <c r="I58" s="111"/>
    </row>
    <row r="59" spans="1:9" ht="18" customHeight="1" x14ac:dyDescent="0.55000000000000004">
      <c r="A59" s="112">
        <v>46753</v>
      </c>
      <c r="B59" s="113" t="s">
        <v>320</v>
      </c>
      <c r="C59" s="111"/>
      <c r="D59" s="111"/>
      <c r="E59" s="111"/>
      <c r="F59" s="111"/>
      <c r="G59" s="111"/>
      <c r="H59" s="111"/>
      <c r="I59" s="111"/>
    </row>
    <row r="60" spans="1:9" ht="18" customHeight="1" x14ac:dyDescent="0.55000000000000004">
      <c r="A60" s="112">
        <v>46754</v>
      </c>
      <c r="B60" s="113" t="s">
        <v>320</v>
      </c>
      <c r="C60" s="111"/>
      <c r="D60" s="111"/>
      <c r="E60" s="111"/>
      <c r="F60" s="111"/>
      <c r="G60" s="111"/>
      <c r="H60" s="111"/>
      <c r="I60" s="111"/>
    </row>
    <row r="61" spans="1:9" ht="18" customHeight="1" x14ac:dyDescent="0.55000000000000004">
      <c r="A61" s="112">
        <v>46755</v>
      </c>
      <c r="B61" s="113" t="s">
        <v>320</v>
      </c>
      <c r="C61" s="111"/>
      <c r="D61" s="111"/>
      <c r="E61" s="111"/>
      <c r="F61" s="111"/>
      <c r="G61" s="111"/>
      <c r="H61" s="111"/>
      <c r="I61" s="111"/>
    </row>
    <row r="62" spans="1:9" ht="18" customHeight="1" x14ac:dyDescent="0.55000000000000004">
      <c r="A62" s="112">
        <v>46777</v>
      </c>
      <c r="B62" s="113" t="s">
        <v>350</v>
      </c>
      <c r="C62" s="111"/>
      <c r="D62" s="111"/>
      <c r="E62" s="111"/>
      <c r="F62" s="111"/>
      <c r="G62" s="111"/>
      <c r="H62" s="111"/>
      <c r="I62" s="111"/>
    </row>
    <row r="63" spans="1:9" ht="18" customHeight="1" x14ac:dyDescent="0.55000000000000004">
      <c r="A63" s="112">
        <v>46778</v>
      </c>
      <c r="B63" s="113" t="s">
        <v>350</v>
      </c>
      <c r="C63" s="111"/>
      <c r="D63" s="111"/>
      <c r="E63" s="111"/>
      <c r="F63" s="111"/>
      <c r="G63" s="111"/>
      <c r="H63" s="111"/>
      <c r="I63" s="111"/>
    </row>
    <row r="64" spans="1:9" ht="18" customHeight="1" x14ac:dyDescent="0.55000000000000004">
      <c r="A64" s="112">
        <v>46779</v>
      </c>
      <c r="B64" s="113" t="s">
        <v>350</v>
      </c>
      <c r="C64" s="111"/>
      <c r="D64" s="111"/>
      <c r="E64" s="111"/>
      <c r="F64" s="111"/>
      <c r="G64" s="111"/>
      <c r="H64" s="111"/>
      <c r="I64" s="111"/>
    </row>
    <row r="65" spans="1:9" ht="18" customHeight="1" x14ac:dyDescent="0.55000000000000004">
      <c r="A65" s="112">
        <v>46780</v>
      </c>
      <c r="B65" s="113" t="s">
        <v>350</v>
      </c>
      <c r="C65" s="111"/>
      <c r="D65" s="111"/>
      <c r="E65" s="111"/>
      <c r="F65" s="111"/>
      <c r="G65" s="111"/>
      <c r="H65" s="111"/>
      <c r="I65" s="111"/>
    </row>
    <row r="66" spans="1:9" ht="18" customHeight="1" x14ac:dyDescent="0.55000000000000004">
      <c r="A66" s="112">
        <v>46781</v>
      </c>
      <c r="B66" s="113" t="s">
        <v>350</v>
      </c>
      <c r="C66" s="111"/>
      <c r="D66" s="111"/>
      <c r="E66" s="111"/>
      <c r="F66" s="111"/>
      <c r="G66" s="111"/>
      <c r="H66" s="111"/>
      <c r="I66" s="111"/>
    </row>
    <row r="67" spans="1:9" ht="18" customHeight="1" x14ac:dyDescent="0.55000000000000004">
      <c r="A67" s="112">
        <v>46782</v>
      </c>
      <c r="B67" s="113" t="s">
        <v>350</v>
      </c>
      <c r="C67" s="111"/>
      <c r="D67" s="111"/>
      <c r="E67" s="111"/>
      <c r="F67" s="111"/>
      <c r="G67" s="111"/>
      <c r="H67" s="111"/>
      <c r="I67" s="111"/>
    </row>
    <row r="68" spans="1:9" ht="18" customHeight="1" x14ac:dyDescent="0.55000000000000004">
      <c r="A68" s="112">
        <v>46783</v>
      </c>
      <c r="B68" s="113" t="s">
        <v>350</v>
      </c>
      <c r="C68" s="111"/>
      <c r="D68" s="111"/>
      <c r="E68" s="111"/>
      <c r="F68" s="111"/>
      <c r="G68" s="111"/>
      <c r="H68" s="111"/>
      <c r="I68" s="111"/>
    </row>
    <row r="69" spans="1:9" ht="18" customHeight="1" x14ac:dyDescent="0.55000000000000004">
      <c r="A69" s="112">
        <v>46847</v>
      </c>
      <c r="B69" s="113" t="s">
        <v>337</v>
      </c>
      <c r="C69" s="111"/>
      <c r="D69" s="111"/>
      <c r="E69" s="111"/>
      <c r="F69" s="111"/>
      <c r="G69" s="111"/>
      <c r="H69" s="111"/>
      <c r="I69" s="111"/>
    </row>
    <row r="70" spans="1:9" ht="18" customHeight="1" x14ac:dyDescent="0.55000000000000004">
      <c r="A70" s="112">
        <v>46848</v>
      </c>
      <c r="B70" s="113" t="s">
        <v>337</v>
      </c>
      <c r="C70" s="111"/>
      <c r="D70" s="111"/>
      <c r="E70" s="111"/>
      <c r="F70" s="111"/>
      <c r="G70" s="111"/>
      <c r="H70" s="111"/>
      <c r="I70" s="111"/>
    </row>
    <row r="71" spans="1:9" ht="18" customHeight="1" x14ac:dyDescent="0.55000000000000004">
      <c r="A71" s="112">
        <v>46849</v>
      </c>
      <c r="B71" s="113" t="s">
        <v>337</v>
      </c>
      <c r="C71" s="111"/>
      <c r="D71" s="111"/>
      <c r="E71" s="111"/>
      <c r="F71" s="111"/>
      <c r="G71" s="111"/>
      <c r="H71" s="111"/>
      <c r="I71" s="111"/>
    </row>
    <row r="72" spans="1:9" ht="18" customHeight="1" x14ac:dyDescent="0.55000000000000004">
      <c r="A72" s="112">
        <v>46874</v>
      </c>
      <c r="B72" s="113" t="s">
        <v>324</v>
      </c>
      <c r="C72" s="111"/>
      <c r="D72" s="111"/>
      <c r="E72" s="111"/>
      <c r="F72" s="111"/>
      <c r="G72" s="111"/>
      <c r="H72" s="111"/>
      <c r="I72" s="111"/>
    </row>
    <row r="73" spans="1:9" ht="18" customHeight="1" x14ac:dyDescent="0.55000000000000004">
      <c r="A73" s="112">
        <v>46875</v>
      </c>
      <c r="B73" s="113" t="s">
        <v>324</v>
      </c>
      <c r="C73" s="111"/>
      <c r="D73" s="111"/>
      <c r="E73" s="111"/>
      <c r="F73" s="111"/>
      <c r="G73" s="111"/>
      <c r="H73" s="111"/>
      <c r="I73" s="111"/>
    </row>
    <row r="74" spans="1:9" ht="18" customHeight="1" x14ac:dyDescent="0.55000000000000004">
      <c r="A74" s="112">
        <v>46876</v>
      </c>
      <c r="B74" s="113" t="s">
        <v>324</v>
      </c>
      <c r="C74" s="111"/>
      <c r="D74" s="111"/>
      <c r="E74" s="111"/>
      <c r="F74" s="111"/>
      <c r="G74" s="111"/>
      <c r="H74" s="111"/>
      <c r="I74" s="111"/>
    </row>
    <row r="75" spans="1:9" ht="18" customHeight="1" x14ac:dyDescent="0.55000000000000004">
      <c r="A75" s="112">
        <v>46904</v>
      </c>
      <c r="B75" s="113" t="s">
        <v>338</v>
      </c>
      <c r="C75" s="111"/>
      <c r="D75" s="111"/>
      <c r="E75" s="111"/>
      <c r="F75" s="111"/>
      <c r="G75" s="111"/>
      <c r="H75" s="111"/>
      <c r="I75" s="111"/>
    </row>
    <row r="76" spans="1:9" ht="18" customHeight="1" x14ac:dyDescent="0.55000000000000004">
      <c r="A76" s="112">
        <v>46905</v>
      </c>
      <c r="B76" s="113" t="s">
        <v>338</v>
      </c>
      <c r="C76" s="111"/>
      <c r="D76" s="111"/>
      <c r="E76" s="111"/>
      <c r="F76" s="111"/>
      <c r="G76" s="111"/>
      <c r="H76" s="111"/>
      <c r="I76" s="111"/>
    </row>
    <row r="77" spans="1:9" ht="18" customHeight="1" x14ac:dyDescent="0.55000000000000004">
      <c r="A77" s="112">
        <v>46906</v>
      </c>
      <c r="B77" s="113" t="s">
        <v>338</v>
      </c>
      <c r="C77" s="111"/>
      <c r="D77" s="111"/>
      <c r="E77" s="111"/>
      <c r="F77" s="111"/>
      <c r="G77" s="111"/>
      <c r="H77" s="111"/>
      <c r="I77" s="111"/>
    </row>
    <row r="78" spans="1:9" ht="18" customHeight="1" x14ac:dyDescent="0.55000000000000004">
      <c r="A78" s="112">
        <v>47027</v>
      </c>
      <c r="B78" s="113" t="s">
        <v>339</v>
      </c>
      <c r="C78" s="111"/>
      <c r="D78" s="111"/>
      <c r="E78" s="111"/>
      <c r="F78" s="111"/>
      <c r="G78" s="111"/>
      <c r="H78" s="111"/>
      <c r="I78" s="111"/>
    </row>
    <row r="79" spans="1:9" ht="18" customHeight="1" x14ac:dyDescent="0.55000000000000004">
      <c r="A79" s="112">
        <v>47028</v>
      </c>
      <c r="B79" s="113" t="s">
        <v>339</v>
      </c>
      <c r="C79" s="111"/>
      <c r="D79" s="111"/>
      <c r="E79" s="111"/>
      <c r="F79" s="111"/>
      <c r="G79" s="111"/>
      <c r="H79" s="111"/>
      <c r="I79" s="111"/>
    </row>
    <row r="80" spans="1:9" ht="18" customHeight="1" x14ac:dyDescent="0.55000000000000004">
      <c r="A80" s="112">
        <v>47029</v>
      </c>
      <c r="B80" s="113" t="s">
        <v>339</v>
      </c>
      <c r="C80" s="111"/>
      <c r="D80" s="111"/>
      <c r="E80" s="111"/>
      <c r="F80" s="111"/>
      <c r="G80" s="111"/>
      <c r="H80" s="111"/>
      <c r="I80" s="111"/>
    </row>
    <row r="81" spans="1:9" ht="18" customHeight="1" x14ac:dyDescent="0.55000000000000004">
      <c r="A81" s="112">
        <v>47030</v>
      </c>
      <c r="B81" s="113" t="s">
        <v>339</v>
      </c>
      <c r="C81" s="111"/>
      <c r="D81" s="111"/>
      <c r="E81" s="111"/>
      <c r="F81" s="111"/>
      <c r="G81" s="111"/>
      <c r="H81" s="111"/>
      <c r="I81" s="111"/>
    </row>
    <row r="82" spans="1:9" ht="18" customHeight="1" x14ac:dyDescent="0.55000000000000004">
      <c r="A82" s="112">
        <v>47031</v>
      </c>
      <c r="B82" s="113" t="s">
        <v>339</v>
      </c>
      <c r="C82" s="111"/>
      <c r="D82" s="111"/>
      <c r="E82" s="111"/>
      <c r="F82" s="111"/>
      <c r="G82" s="111"/>
      <c r="H82" s="111"/>
      <c r="I82" s="111"/>
    </row>
    <row r="83" spans="1:9" ht="18" customHeight="1" x14ac:dyDescent="0.55000000000000004">
      <c r="A83" s="112">
        <v>47032</v>
      </c>
      <c r="B83" s="113" t="s">
        <v>339</v>
      </c>
      <c r="C83" s="111"/>
      <c r="D83" s="111"/>
      <c r="E83" s="111"/>
      <c r="F83" s="111"/>
      <c r="G83" s="111"/>
      <c r="H83" s="111"/>
      <c r="I83" s="111"/>
    </row>
    <row r="84" spans="1:9" ht="18" customHeight="1" x14ac:dyDescent="0.55000000000000004">
      <c r="A84" s="112">
        <v>47033</v>
      </c>
      <c r="B84" s="113" t="s">
        <v>339</v>
      </c>
      <c r="C84" s="111"/>
      <c r="D84" s="111"/>
      <c r="E84" s="111"/>
      <c r="F84" s="111"/>
      <c r="G84" s="111"/>
      <c r="H84" s="111"/>
      <c r="I84" s="111"/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753-E209-45E6-B760-BE7BC3D77EBC}">
  <dimension ref="A1:I15"/>
  <sheetViews>
    <sheetView workbookViewId="0">
      <selection activeCell="C17" sqref="C17"/>
    </sheetView>
  </sheetViews>
  <sheetFormatPr defaultRowHeight="13.9" x14ac:dyDescent="0.4"/>
  <cols>
    <col min="1" max="1" width="24.73046875" customWidth="1"/>
    <col min="2" max="2" width="38.06640625" customWidth="1"/>
    <col min="3" max="3" width="13.33203125" customWidth="1"/>
    <col min="4" max="4" width="24.796875" customWidth="1"/>
    <col min="7" max="7" width="15.265625" customWidth="1"/>
    <col min="8" max="8" width="21.1328125" customWidth="1"/>
    <col min="9" max="9" width="29.19921875" customWidth="1"/>
  </cols>
  <sheetData>
    <row r="1" spans="1:9" ht="20.25" x14ac:dyDescent="0.4">
      <c r="A1" s="233" t="s">
        <v>585</v>
      </c>
      <c r="B1" s="233" t="s">
        <v>586</v>
      </c>
      <c r="C1" s="233"/>
      <c r="D1" s="233"/>
      <c r="E1" s="233" t="s">
        <v>587</v>
      </c>
      <c r="F1" s="233" t="s">
        <v>588</v>
      </c>
      <c r="G1" s="234" t="s">
        <v>589</v>
      </c>
      <c r="H1" s="234" t="s">
        <v>590</v>
      </c>
      <c r="I1" s="234" t="s">
        <v>591</v>
      </c>
    </row>
    <row r="2" spans="1:9" ht="20.25" x14ac:dyDescent="0.4">
      <c r="A2" s="235" t="s">
        <v>298</v>
      </c>
      <c r="B2" s="236" t="s">
        <v>598</v>
      </c>
      <c r="C2" s="237" t="s">
        <v>161</v>
      </c>
      <c r="D2" s="237" t="s">
        <v>651</v>
      </c>
      <c r="E2" s="237" t="s">
        <v>592</v>
      </c>
      <c r="F2" s="237" t="s">
        <v>601</v>
      </c>
      <c r="G2" s="237" t="s">
        <v>605</v>
      </c>
      <c r="H2" s="237" t="s">
        <v>611</v>
      </c>
      <c r="I2" s="235" t="s">
        <v>607</v>
      </c>
    </row>
    <row r="3" spans="1:9" ht="20.25" x14ac:dyDescent="0.4">
      <c r="A3" s="235" t="s">
        <v>595</v>
      </c>
      <c r="B3" s="236" t="s">
        <v>596</v>
      </c>
      <c r="C3" s="237" t="s">
        <v>165</v>
      </c>
      <c r="D3" s="237" t="s">
        <v>166</v>
      </c>
      <c r="E3" s="237" t="s">
        <v>592</v>
      </c>
      <c r="F3" s="237" t="s">
        <v>601</v>
      </c>
      <c r="G3" s="237" t="s">
        <v>603</v>
      </c>
      <c r="H3" s="237" t="s">
        <v>609</v>
      </c>
      <c r="I3" s="235" t="s">
        <v>607</v>
      </c>
    </row>
    <row r="4" spans="1:9" ht="20.25" x14ac:dyDescent="0.4">
      <c r="A4" s="235" t="s">
        <v>593</v>
      </c>
      <c r="B4" s="236" t="s">
        <v>594</v>
      </c>
      <c r="C4" s="237" t="s">
        <v>658</v>
      </c>
      <c r="D4" s="237" t="s">
        <v>648</v>
      </c>
      <c r="E4" s="237" t="s">
        <v>592</v>
      </c>
      <c r="F4" s="237" t="s">
        <v>601</v>
      </c>
      <c r="G4" s="237" t="s">
        <v>602</v>
      </c>
      <c r="H4" s="237" t="s">
        <v>608</v>
      </c>
      <c r="I4" s="235" t="s">
        <v>607</v>
      </c>
    </row>
    <row r="5" spans="1:9" ht="20.25" x14ac:dyDescent="0.4">
      <c r="A5" s="235" t="s">
        <v>597</v>
      </c>
      <c r="B5" s="236" t="s">
        <v>650</v>
      </c>
      <c r="C5" s="237" t="s">
        <v>657</v>
      </c>
      <c r="D5" s="249" t="s">
        <v>654</v>
      </c>
      <c r="E5" s="249" t="s">
        <v>592</v>
      </c>
      <c r="F5" s="249" t="s">
        <v>601</v>
      </c>
      <c r="G5" s="249" t="s">
        <v>604</v>
      </c>
      <c r="H5" s="249" t="s">
        <v>610</v>
      </c>
      <c r="I5" s="235" t="s">
        <v>607</v>
      </c>
    </row>
    <row r="6" spans="1:9" ht="20.25" x14ac:dyDescent="0.4">
      <c r="A6" s="235" t="s">
        <v>579</v>
      </c>
      <c r="B6" s="236" t="s">
        <v>653</v>
      </c>
      <c r="C6" s="237" t="s">
        <v>657</v>
      </c>
      <c r="D6" s="249" t="s">
        <v>652</v>
      </c>
      <c r="E6" s="249" t="s">
        <v>655</v>
      </c>
      <c r="F6" s="249" t="s">
        <v>601</v>
      </c>
      <c r="G6" s="249" t="s">
        <v>697</v>
      </c>
      <c r="H6" s="249" t="s">
        <v>696</v>
      </c>
      <c r="I6" s="235" t="s">
        <v>607</v>
      </c>
    </row>
    <row r="7" spans="1:9" ht="20.25" x14ac:dyDescent="0.4">
      <c r="A7" s="235" t="s">
        <v>599</v>
      </c>
      <c r="B7" s="238" t="s">
        <v>600</v>
      </c>
      <c r="C7" s="237" t="s">
        <v>171</v>
      </c>
      <c r="D7" s="249" t="s">
        <v>649</v>
      </c>
      <c r="E7" s="250" t="s">
        <v>592</v>
      </c>
      <c r="F7" s="249" t="s">
        <v>601</v>
      </c>
      <c r="G7" s="249" t="s">
        <v>606</v>
      </c>
      <c r="H7" s="237" t="s">
        <v>695</v>
      </c>
      <c r="I7" s="235" t="s">
        <v>607</v>
      </c>
    </row>
    <row r="8" spans="1:9" ht="20.25" x14ac:dyDescent="0.4">
      <c r="A8" s="235" t="s">
        <v>614</v>
      </c>
      <c r="B8" s="236" t="s">
        <v>615</v>
      </c>
      <c r="C8" s="239" t="s">
        <v>646</v>
      </c>
      <c r="D8" s="239" t="s">
        <v>647</v>
      </c>
      <c r="E8" s="237" t="s">
        <v>592</v>
      </c>
      <c r="F8" s="237" t="s">
        <v>601</v>
      </c>
      <c r="G8" s="237" t="s">
        <v>617</v>
      </c>
      <c r="H8" s="237" t="s">
        <v>620</v>
      </c>
      <c r="I8" s="235" t="s">
        <v>607</v>
      </c>
    </row>
    <row r="9" spans="1:9" ht="20.25" x14ac:dyDescent="0.4">
      <c r="A9" s="235" t="s">
        <v>623</v>
      </c>
      <c r="B9" s="236" t="s">
        <v>624</v>
      </c>
      <c r="C9" s="237" t="s">
        <v>646</v>
      </c>
      <c r="D9" s="237" t="s">
        <v>647</v>
      </c>
      <c r="E9" s="237" t="s">
        <v>592</v>
      </c>
      <c r="F9" s="237" t="s">
        <v>601</v>
      </c>
      <c r="G9" s="237" t="s">
        <v>626</v>
      </c>
      <c r="H9" s="237" t="s">
        <v>628</v>
      </c>
      <c r="I9" s="235" t="s">
        <v>607</v>
      </c>
    </row>
    <row r="10" spans="1:9" ht="20.25" x14ac:dyDescent="0.4">
      <c r="A10" s="235" t="s">
        <v>631</v>
      </c>
      <c r="B10" s="236" t="s">
        <v>632</v>
      </c>
      <c r="C10" s="237" t="s">
        <v>646</v>
      </c>
      <c r="D10" s="237" t="s">
        <v>647</v>
      </c>
      <c r="E10" s="237" t="s">
        <v>592</v>
      </c>
      <c r="F10" s="237" t="s">
        <v>601</v>
      </c>
      <c r="G10" s="237" t="s">
        <v>634</v>
      </c>
      <c r="H10" s="237" t="s">
        <v>636</v>
      </c>
      <c r="I10" s="235" t="s">
        <v>607</v>
      </c>
    </row>
    <row r="11" spans="1:9" ht="20.25" x14ac:dyDescent="0.4">
      <c r="A11" s="235" t="s">
        <v>639</v>
      </c>
      <c r="B11" s="236" t="s">
        <v>640</v>
      </c>
      <c r="C11" s="237" t="s">
        <v>646</v>
      </c>
      <c r="D11" s="237" t="s">
        <v>647</v>
      </c>
      <c r="E11" s="237" t="s">
        <v>592</v>
      </c>
      <c r="F11" s="237" t="s">
        <v>601</v>
      </c>
      <c r="G11" s="237" t="s">
        <v>642</v>
      </c>
      <c r="H11" s="237" t="s">
        <v>644</v>
      </c>
      <c r="I11" s="235" t="s">
        <v>607</v>
      </c>
    </row>
    <row r="12" spans="1:9" ht="20.25" x14ac:dyDescent="0.4">
      <c r="A12" s="235" t="s">
        <v>612</v>
      </c>
      <c r="B12" s="236" t="s">
        <v>613</v>
      </c>
      <c r="C12" s="237" t="s">
        <v>172</v>
      </c>
      <c r="D12" s="237" t="s">
        <v>645</v>
      </c>
      <c r="E12" s="237" t="s">
        <v>592</v>
      </c>
      <c r="F12" s="237" t="s">
        <v>601</v>
      </c>
      <c r="G12" s="237" t="s">
        <v>616</v>
      </c>
      <c r="H12" s="237" t="s">
        <v>618</v>
      </c>
      <c r="I12" s="235" t="s">
        <v>619</v>
      </c>
    </row>
    <row r="13" spans="1:9" ht="20.25" x14ac:dyDescent="0.4">
      <c r="A13" s="235" t="s">
        <v>621</v>
      </c>
      <c r="B13" s="236" t="s">
        <v>622</v>
      </c>
      <c r="C13" s="237" t="s">
        <v>172</v>
      </c>
      <c r="D13" s="237" t="s">
        <v>645</v>
      </c>
      <c r="E13" s="237" t="s">
        <v>592</v>
      </c>
      <c r="F13" s="237" t="s">
        <v>601</v>
      </c>
      <c r="G13" s="237" t="s">
        <v>625</v>
      </c>
      <c r="H13" s="237" t="s">
        <v>627</v>
      </c>
      <c r="I13" s="235" t="s">
        <v>607</v>
      </c>
    </row>
    <row r="14" spans="1:9" ht="20.25" x14ac:dyDescent="0.4">
      <c r="A14" s="235" t="s">
        <v>629</v>
      </c>
      <c r="B14" s="236" t="s">
        <v>630</v>
      </c>
      <c r="C14" s="237" t="s">
        <v>172</v>
      </c>
      <c r="D14" s="237" t="s">
        <v>645</v>
      </c>
      <c r="E14" s="237" t="s">
        <v>592</v>
      </c>
      <c r="F14" s="237" t="s">
        <v>601</v>
      </c>
      <c r="G14" s="237" t="s">
        <v>633</v>
      </c>
      <c r="H14" s="237" t="s">
        <v>635</v>
      </c>
      <c r="I14" s="235" t="s">
        <v>607</v>
      </c>
    </row>
    <row r="15" spans="1:9" ht="20.25" x14ac:dyDescent="0.4">
      <c r="A15" s="235" t="s">
        <v>637</v>
      </c>
      <c r="B15" s="236" t="s">
        <v>638</v>
      </c>
      <c r="C15" s="237" t="s">
        <v>172</v>
      </c>
      <c r="D15" s="237" t="s">
        <v>645</v>
      </c>
      <c r="E15" s="237" t="s">
        <v>592</v>
      </c>
      <c r="F15" s="237" t="s">
        <v>601</v>
      </c>
      <c r="G15" s="237" t="s">
        <v>641</v>
      </c>
      <c r="H15" s="237" t="s">
        <v>643</v>
      </c>
      <c r="I15" s="235" t="s">
        <v>607</v>
      </c>
    </row>
  </sheetData>
  <phoneticPr fontId="20" type="noConversion"/>
  <hyperlinks>
    <hyperlink ref="A4" r:id="rId1" xr:uid="{B862DAE0-5AD6-4C27-8105-82F02E76F224}"/>
    <hyperlink ref="A3" r:id="rId2" xr:uid="{47B4B8D3-4BE2-432B-8CC5-050D4C506F36}"/>
    <hyperlink ref="A5" r:id="rId3" xr:uid="{C3DE7B31-3D40-4C13-88BB-94D8C69BA00F}"/>
    <hyperlink ref="A2" r:id="rId4" xr:uid="{E127B347-9A1F-4908-B3A7-BF3248540F0C}"/>
    <hyperlink ref="A7" r:id="rId5" xr:uid="{0E058F9F-8061-4686-B61D-49CE2FD20F70}"/>
    <hyperlink ref="I4" r:id="rId6" xr:uid="{EBC73B09-8164-429C-95E2-94BA20D84E2E}"/>
    <hyperlink ref="I3" r:id="rId7" xr:uid="{06053B95-BEA4-4D40-92C2-409FA39E8119}"/>
    <hyperlink ref="I5" r:id="rId8" xr:uid="{CE50858D-ED0A-4BDD-82BE-B7961ED1CE81}"/>
    <hyperlink ref="I2" r:id="rId9" xr:uid="{5B0662FB-D207-4F5D-8B0D-7DACCC2D1FF8}"/>
    <hyperlink ref="A12" r:id="rId10" xr:uid="{754AC8EE-0824-4497-BBCC-29707EBDA175}"/>
    <hyperlink ref="A8" r:id="rId11" xr:uid="{44BC925B-74D8-46EF-8529-1B5A23FC9D25}"/>
    <hyperlink ref="I12" r:id="rId12" xr:uid="{EB98E047-D699-4ACD-A1F4-D5554BB192B3}"/>
    <hyperlink ref="I8" r:id="rId13" xr:uid="{8BC9733D-8127-4E27-A240-C7A03D73CE7C}"/>
    <hyperlink ref="A13" r:id="rId14" xr:uid="{3C211785-4C0A-4F8D-893D-F616DE85B13E}"/>
    <hyperlink ref="A9" r:id="rId15" xr:uid="{96D74CC4-3FA6-48F2-A653-7741F0D8E53C}"/>
    <hyperlink ref="I13" r:id="rId16" xr:uid="{4C01F682-E511-41B1-A6C1-D07F9C523190}"/>
    <hyperlink ref="I9" r:id="rId17" xr:uid="{0EA73AC1-1353-47A7-90F1-1A331E8956DB}"/>
    <hyperlink ref="A14" r:id="rId18" xr:uid="{9BA04EF3-B6A2-468A-95E8-D229157B3FD7}"/>
    <hyperlink ref="A10" r:id="rId19" xr:uid="{8E3791A1-CB16-4532-9AC7-7B88D3DC6934}"/>
    <hyperlink ref="I14" r:id="rId20" xr:uid="{6525A04A-9210-42E8-A694-389CD1FB5A4E}"/>
    <hyperlink ref="I10" r:id="rId21" xr:uid="{05DBF7EB-215F-4D12-A1FE-A7FFD73ACDD2}"/>
    <hyperlink ref="A15" r:id="rId22" xr:uid="{BF486DFA-7383-4C22-A205-7C3088AD4836}"/>
    <hyperlink ref="A11" r:id="rId23" xr:uid="{3C00F26D-A6F4-44B4-8A24-8DE09878EF3D}"/>
    <hyperlink ref="I15" r:id="rId24" xr:uid="{F7CAB530-0E5B-4748-B96B-7B33B7CE1F06}"/>
    <hyperlink ref="I11" r:id="rId25" xr:uid="{E4EC1762-C382-4103-8B56-66F58E24BA52}"/>
    <hyperlink ref="I6:I7" r:id="rId26" display="Approved with Comment (Proceed to Rev.C)" xr:uid="{92132AA3-B788-4B4F-A892-4C78A3031BE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435D-29E7-4C7B-8E35-C2542D3EAB98}">
  <dimension ref="A1:K44"/>
  <sheetViews>
    <sheetView topLeftCell="A4" workbookViewId="0">
      <selection activeCell="G12" sqref="G12"/>
    </sheetView>
  </sheetViews>
  <sheetFormatPr defaultRowHeight="13.9" x14ac:dyDescent="0.4"/>
  <cols>
    <col min="1" max="1" width="7.86328125" style="270" customWidth="1"/>
    <col min="2" max="2" width="24.3984375" customWidth="1"/>
    <col min="3" max="3" width="7" style="270" customWidth="1"/>
    <col min="4" max="4" width="29.59765625" customWidth="1"/>
    <col min="5" max="5" width="9.06640625" customWidth="1"/>
    <col min="6" max="6" width="10.3984375" customWidth="1"/>
    <col min="7" max="7" width="9.1328125" style="278" customWidth="1"/>
    <col min="8" max="8" width="8.46484375" style="278" hidden="1" customWidth="1"/>
    <col min="9" max="9" width="12" style="278" customWidth="1"/>
    <col min="10" max="10" width="9.53125" style="271" customWidth="1"/>
    <col min="11" max="11" width="12.265625" customWidth="1"/>
  </cols>
  <sheetData>
    <row r="1" spans="1:11" ht="19.5" customHeight="1" x14ac:dyDescent="0.4">
      <c r="A1" s="284" t="s">
        <v>815</v>
      </c>
      <c r="B1" s="284" t="s">
        <v>816</v>
      </c>
      <c r="C1" s="284" t="s">
        <v>843</v>
      </c>
      <c r="D1" s="285" t="s">
        <v>817</v>
      </c>
      <c r="E1" s="284" t="s">
        <v>739</v>
      </c>
      <c r="F1" s="285" t="s">
        <v>818</v>
      </c>
      <c r="G1" s="286" t="s">
        <v>819</v>
      </c>
      <c r="H1" s="286" t="s">
        <v>740</v>
      </c>
      <c r="I1" s="286" t="s">
        <v>801</v>
      </c>
      <c r="J1" s="287" t="s">
        <v>800</v>
      </c>
      <c r="K1" s="287" t="s">
        <v>809</v>
      </c>
    </row>
    <row r="2" spans="1:11" ht="20.75" customHeight="1" x14ac:dyDescent="0.4">
      <c r="A2" s="272" t="s">
        <v>810</v>
      </c>
      <c r="B2" s="273" t="s">
        <v>846</v>
      </c>
      <c r="C2" s="272" t="s">
        <v>844</v>
      </c>
      <c r="D2" s="274" t="s">
        <v>756</v>
      </c>
      <c r="E2" s="272" t="s">
        <v>757</v>
      </c>
      <c r="F2" s="277">
        <v>420.97</v>
      </c>
      <c r="G2" s="277">
        <f>225296/1000</f>
        <v>225.29599999999999</v>
      </c>
      <c r="H2" s="277">
        <f>F2-G2</f>
        <v>195.67400000000004</v>
      </c>
      <c r="I2" s="385" t="s">
        <v>802</v>
      </c>
      <c r="J2" s="281">
        <v>46195</v>
      </c>
      <c r="K2" s="283"/>
    </row>
    <row r="3" spans="1:11" ht="20.75" customHeight="1" x14ac:dyDescent="0.4">
      <c r="A3" s="272" t="s">
        <v>810</v>
      </c>
      <c r="B3" s="273" t="s">
        <v>847</v>
      </c>
      <c r="C3" s="272" t="s">
        <v>844</v>
      </c>
      <c r="D3" s="274" t="s">
        <v>758</v>
      </c>
      <c r="E3" s="272" t="s">
        <v>747</v>
      </c>
      <c r="F3" s="455">
        <v>1877.39</v>
      </c>
      <c r="G3" s="277">
        <f>1296894.01/1000</f>
        <v>1296.89401</v>
      </c>
      <c r="H3" s="455">
        <f>F3-G3-G4</f>
        <v>13.641970000000128</v>
      </c>
      <c r="I3" s="386" t="s">
        <v>803</v>
      </c>
      <c r="J3" s="281">
        <v>46195</v>
      </c>
      <c r="K3" s="283"/>
    </row>
    <row r="4" spans="1:11" ht="20.75" customHeight="1" x14ac:dyDescent="0.4">
      <c r="A4" s="272" t="s">
        <v>810</v>
      </c>
      <c r="B4" s="273" t="s">
        <v>847</v>
      </c>
      <c r="C4" s="272" t="s">
        <v>978</v>
      </c>
      <c r="D4" s="274" t="s">
        <v>765</v>
      </c>
      <c r="E4" s="272" t="s">
        <v>747</v>
      </c>
      <c r="F4" s="456"/>
      <c r="G4" s="277">
        <f>566854.02/1000</f>
        <v>566.85401999999999</v>
      </c>
      <c r="H4" s="456"/>
      <c r="I4" s="386" t="s">
        <v>979</v>
      </c>
      <c r="J4" s="281">
        <v>46204</v>
      </c>
      <c r="K4" s="283"/>
    </row>
    <row r="5" spans="1:11" ht="21" customHeight="1" x14ac:dyDescent="0.4">
      <c r="A5" s="272" t="s">
        <v>810</v>
      </c>
      <c r="B5" s="273" t="s">
        <v>848</v>
      </c>
      <c r="C5" s="272" t="s">
        <v>845</v>
      </c>
      <c r="D5" s="274" t="s">
        <v>759</v>
      </c>
      <c r="E5" s="272" t="s">
        <v>747</v>
      </c>
      <c r="F5" s="277">
        <v>1581.53</v>
      </c>
      <c r="G5" s="277">
        <f>1049591.95/1000</f>
        <v>1049.59195</v>
      </c>
      <c r="H5" s="277">
        <f t="shared" ref="H5:H15" si="0">F5-G5</f>
        <v>531.93804999999998</v>
      </c>
      <c r="I5" s="386" t="s">
        <v>804</v>
      </c>
      <c r="J5" s="281">
        <v>46195</v>
      </c>
      <c r="K5" s="283"/>
    </row>
    <row r="6" spans="1:11" ht="20.75" customHeight="1" x14ac:dyDescent="0.4">
      <c r="A6" s="272" t="s">
        <v>810</v>
      </c>
      <c r="B6" s="273" t="s">
        <v>760</v>
      </c>
      <c r="C6" s="272" t="s">
        <v>845</v>
      </c>
      <c r="D6" s="274" t="s">
        <v>786</v>
      </c>
      <c r="E6" s="272" t="s">
        <v>747</v>
      </c>
      <c r="F6" s="455">
        <v>65</v>
      </c>
      <c r="G6" s="277">
        <f>55551.55/1000</f>
        <v>55.551550000000006</v>
      </c>
      <c r="H6" s="277">
        <f>F6-G6</f>
        <v>9.448449999999994</v>
      </c>
      <c r="I6" s="386" t="s">
        <v>805</v>
      </c>
      <c r="J6" s="281">
        <v>46195</v>
      </c>
      <c r="K6" s="283"/>
    </row>
    <row r="7" spans="1:11" ht="20.75" customHeight="1" x14ac:dyDescent="0.4">
      <c r="A7" s="272" t="s">
        <v>810</v>
      </c>
      <c r="B7" s="273" t="s">
        <v>980</v>
      </c>
      <c r="C7" s="272" t="s">
        <v>981</v>
      </c>
      <c r="D7" s="274" t="s">
        <v>786</v>
      </c>
      <c r="E7" s="272" t="s">
        <v>747</v>
      </c>
      <c r="F7" s="456"/>
      <c r="G7" s="277"/>
      <c r="H7" s="277"/>
      <c r="I7" s="280"/>
      <c r="J7" s="281"/>
      <c r="K7" s="283"/>
    </row>
    <row r="8" spans="1:11" ht="20.75" customHeight="1" x14ac:dyDescent="0.4">
      <c r="A8" s="272" t="s">
        <v>810</v>
      </c>
      <c r="B8" s="273" t="s">
        <v>975</v>
      </c>
      <c r="C8" s="272" t="s">
        <v>976</v>
      </c>
      <c r="D8" s="274" t="s">
        <v>789</v>
      </c>
      <c r="E8" s="272" t="s">
        <v>747</v>
      </c>
      <c r="F8" s="277"/>
      <c r="G8" s="277">
        <f>36790.01/1000</f>
        <v>36.790010000000002</v>
      </c>
      <c r="H8" s="277"/>
      <c r="I8" s="386" t="s">
        <v>977</v>
      </c>
      <c r="J8" s="281">
        <v>46204</v>
      </c>
      <c r="K8" s="283"/>
    </row>
    <row r="9" spans="1:11" ht="20.75" customHeight="1" x14ac:dyDescent="0.4">
      <c r="A9" s="272" t="s">
        <v>810</v>
      </c>
      <c r="B9" s="273" t="s">
        <v>761</v>
      </c>
      <c r="C9" s="272"/>
      <c r="D9" s="274" t="s">
        <v>787</v>
      </c>
      <c r="E9" s="272" t="s">
        <v>747</v>
      </c>
      <c r="F9" s="277">
        <v>25.756</v>
      </c>
      <c r="G9" s="277">
        <f>9397.71/1000</f>
        <v>9.39771</v>
      </c>
      <c r="H9" s="277">
        <f t="shared" si="0"/>
        <v>16.35829</v>
      </c>
      <c r="I9" s="321" t="s">
        <v>917</v>
      </c>
      <c r="J9" s="281">
        <v>46195</v>
      </c>
      <c r="K9" s="283"/>
    </row>
    <row r="10" spans="1:11" ht="20.75" customHeight="1" x14ac:dyDescent="0.4">
      <c r="A10" s="272" t="s">
        <v>810</v>
      </c>
      <c r="B10" s="273" t="s">
        <v>762</v>
      </c>
      <c r="C10" s="272"/>
      <c r="D10" s="274" t="s">
        <v>788</v>
      </c>
      <c r="E10" s="272" t="s">
        <v>747</v>
      </c>
      <c r="F10" s="277">
        <v>17.117000000000001</v>
      </c>
      <c r="G10" s="277"/>
      <c r="H10" s="277">
        <f t="shared" si="0"/>
        <v>17.117000000000001</v>
      </c>
      <c r="I10" s="277"/>
      <c r="J10" s="282"/>
      <c r="K10" s="283"/>
    </row>
    <row r="11" spans="1:11" ht="20.75" customHeight="1" x14ac:dyDescent="0.4">
      <c r="A11" s="272" t="s">
        <v>810</v>
      </c>
      <c r="B11" s="273" t="s">
        <v>763</v>
      </c>
      <c r="C11" s="272"/>
      <c r="D11" s="274" t="s">
        <v>735</v>
      </c>
      <c r="E11" s="272" t="s">
        <v>747</v>
      </c>
      <c r="F11" s="277">
        <v>437.53899999999999</v>
      </c>
      <c r="G11" s="277">
        <f>271819.08/1000</f>
        <v>271.81908000000004</v>
      </c>
      <c r="H11" s="277">
        <f t="shared" si="0"/>
        <v>165.71991999999995</v>
      </c>
      <c r="I11" s="280" t="s">
        <v>807</v>
      </c>
      <c r="J11" s="281">
        <v>46195</v>
      </c>
      <c r="K11" s="283"/>
    </row>
    <row r="12" spans="1:11" ht="20.75" customHeight="1" x14ac:dyDescent="0.4">
      <c r="A12" s="388"/>
      <c r="B12" s="389"/>
      <c r="C12" s="388"/>
      <c r="D12" s="390"/>
      <c r="E12" s="388"/>
      <c r="F12" s="391">
        <f>SUM(F2:F11)</f>
        <v>4425.3020000000006</v>
      </c>
      <c r="G12" s="391">
        <f>SUM(G2:G11)</f>
        <v>3512.1943300000007</v>
      </c>
      <c r="H12" s="392">
        <f>F12-G12</f>
        <v>913.10766999999987</v>
      </c>
      <c r="I12" s="393"/>
      <c r="J12" s="394"/>
      <c r="K12" s="395"/>
    </row>
    <row r="13" spans="1:11" ht="20.75" customHeight="1" x14ac:dyDescent="0.4">
      <c r="A13" s="272" t="s">
        <v>538</v>
      </c>
      <c r="B13" s="273" t="s">
        <v>773</v>
      </c>
      <c r="C13" s="272"/>
      <c r="D13" s="274" t="s">
        <v>774</v>
      </c>
      <c r="E13" s="272" t="s">
        <v>747</v>
      </c>
      <c r="F13" s="277">
        <v>1761</v>
      </c>
      <c r="G13" s="385"/>
      <c r="H13" s="385"/>
      <c r="I13" s="386"/>
      <c r="J13" s="385"/>
      <c r="K13" s="283"/>
    </row>
    <row r="14" spans="1:11" ht="20.75" customHeight="1" x14ac:dyDescent="0.4">
      <c r="A14" s="272" t="s">
        <v>538</v>
      </c>
      <c r="B14" s="273" t="s">
        <v>775</v>
      </c>
      <c r="C14" s="272"/>
      <c r="D14" s="274" t="s">
        <v>776</v>
      </c>
      <c r="E14" s="272" t="s">
        <v>747</v>
      </c>
      <c r="F14" s="277">
        <v>1514</v>
      </c>
      <c r="G14" s="385"/>
      <c r="H14" s="385"/>
      <c r="I14" s="386"/>
      <c r="J14" s="385"/>
      <c r="K14" s="283"/>
    </row>
    <row r="15" spans="1:11" ht="20.75" customHeight="1" x14ac:dyDescent="0.4">
      <c r="A15" s="272" t="s">
        <v>538</v>
      </c>
      <c r="B15" s="273" t="s">
        <v>777</v>
      </c>
      <c r="C15" s="272"/>
      <c r="D15" s="274" t="s">
        <v>794</v>
      </c>
      <c r="E15" s="272" t="s">
        <v>747</v>
      </c>
      <c r="F15" s="277">
        <v>65</v>
      </c>
      <c r="G15" s="385">
        <f>22701.82/1000</f>
        <v>22.701820000000001</v>
      </c>
      <c r="H15" s="385">
        <f t="shared" si="0"/>
        <v>42.298180000000002</v>
      </c>
      <c r="I15" s="386" t="s">
        <v>808</v>
      </c>
      <c r="J15" s="281">
        <v>46183</v>
      </c>
      <c r="K15" s="283"/>
    </row>
    <row r="16" spans="1:11" ht="20.75" customHeight="1" x14ac:dyDescent="0.4">
      <c r="A16" s="272" t="s">
        <v>538</v>
      </c>
      <c r="B16" s="273" t="s">
        <v>778</v>
      </c>
      <c r="C16" s="272"/>
      <c r="D16" s="276" t="s">
        <v>821</v>
      </c>
      <c r="E16" s="272" t="s">
        <v>747</v>
      </c>
      <c r="F16" s="277"/>
      <c r="G16" s="385"/>
      <c r="H16" s="385"/>
      <c r="I16" s="386"/>
      <c r="J16" s="385"/>
      <c r="K16" s="288" t="s">
        <v>799</v>
      </c>
    </row>
    <row r="17" spans="1:11" ht="20.75" customHeight="1" x14ac:dyDescent="0.4">
      <c r="A17" s="272" t="s">
        <v>538</v>
      </c>
      <c r="B17" s="273" t="s">
        <v>779</v>
      </c>
      <c r="C17" s="272"/>
      <c r="D17" s="274" t="s">
        <v>795</v>
      </c>
      <c r="E17" s="272" t="s">
        <v>747</v>
      </c>
      <c r="F17" s="277">
        <v>17.117000000000001</v>
      </c>
      <c r="G17" s="385"/>
      <c r="H17" s="385"/>
      <c r="I17" s="386"/>
      <c r="J17" s="385"/>
      <c r="K17" s="283"/>
    </row>
    <row r="18" spans="1:11" ht="20.75" customHeight="1" x14ac:dyDescent="0.4">
      <c r="A18" s="272" t="s">
        <v>538</v>
      </c>
      <c r="B18" s="273" t="s">
        <v>780</v>
      </c>
      <c r="C18" s="272"/>
      <c r="D18" s="274" t="s">
        <v>796</v>
      </c>
      <c r="E18" s="272" t="s">
        <v>747</v>
      </c>
      <c r="F18" s="277">
        <v>437.53899999999999</v>
      </c>
      <c r="G18" s="385"/>
      <c r="H18" s="385"/>
      <c r="I18" s="386"/>
      <c r="J18" s="385"/>
      <c r="K18" s="283"/>
    </row>
    <row r="19" spans="1:11" ht="20.75" customHeight="1" x14ac:dyDescent="0.4">
      <c r="A19" s="272" t="s">
        <v>538</v>
      </c>
      <c r="B19" s="273" t="s">
        <v>781</v>
      </c>
      <c r="C19" s="272"/>
      <c r="D19" s="274" t="s">
        <v>797</v>
      </c>
      <c r="E19" s="272" t="s">
        <v>747</v>
      </c>
      <c r="F19" s="277">
        <v>427.221</v>
      </c>
      <c r="G19" s="385"/>
      <c r="H19" s="385"/>
      <c r="I19" s="386"/>
      <c r="J19" s="385"/>
      <c r="K19" s="283"/>
    </row>
    <row r="20" spans="1:11" ht="20.75" customHeight="1" x14ac:dyDescent="0.4">
      <c r="A20" s="388"/>
      <c r="B20" s="389"/>
      <c r="C20" s="388"/>
      <c r="D20" s="390"/>
      <c r="E20" s="388"/>
      <c r="F20" s="392"/>
      <c r="G20" s="404"/>
      <c r="H20" s="404"/>
      <c r="I20" s="404"/>
      <c r="J20" s="396"/>
      <c r="K20" s="395"/>
    </row>
    <row r="21" spans="1:11" ht="20.75" customHeight="1" x14ac:dyDescent="0.4">
      <c r="A21" s="272" t="s">
        <v>812</v>
      </c>
      <c r="B21" s="273" t="s">
        <v>745</v>
      </c>
      <c r="C21" s="272"/>
      <c r="D21" s="274" t="s">
        <v>746</v>
      </c>
      <c r="E21" s="272" t="s">
        <v>747</v>
      </c>
      <c r="F21" s="277">
        <v>1641</v>
      </c>
      <c r="G21" s="385"/>
      <c r="H21" s="385"/>
      <c r="I21" s="385"/>
      <c r="J21" s="275"/>
      <c r="K21" s="283"/>
    </row>
    <row r="22" spans="1:11" ht="20.75" customHeight="1" x14ac:dyDescent="0.4">
      <c r="A22" s="272" t="s">
        <v>812</v>
      </c>
      <c r="B22" s="273" t="s">
        <v>748</v>
      </c>
      <c r="C22" s="272"/>
      <c r="D22" s="274" t="s">
        <v>749</v>
      </c>
      <c r="E22" s="272" t="s">
        <v>747</v>
      </c>
      <c r="F22" s="277">
        <v>1439</v>
      </c>
      <c r="G22" s="385"/>
      <c r="H22" s="385"/>
      <c r="I22" s="385"/>
      <c r="J22" s="275"/>
      <c r="K22" s="283"/>
    </row>
    <row r="23" spans="1:11" ht="20.75" customHeight="1" x14ac:dyDescent="0.4">
      <c r="A23" s="272" t="s">
        <v>812</v>
      </c>
      <c r="B23" s="273" t="s">
        <v>750</v>
      </c>
      <c r="C23" s="272"/>
      <c r="D23" s="274" t="s">
        <v>782</v>
      </c>
      <c r="E23" s="272" t="s">
        <v>747</v>
      </c>
      <c r="F23" s="277">
        <v>65</v>
      </c>
      <c r="G23" s="385"/>
      <c r="H23" s="385"/>
      <c r="I23" s="385"/>
      <c r="J23" s="275"/>
      <c r="K23" s="283"/>
    </row>
    <row r="24" spans="1:11" ht="20.75" customHeight="1" x14ac:dyDescent="0.4">
      <c r="A24" s="272" t="s">
        <v>812</v>
      </c>
      <c r="B24" s="273" t="s">
        <v>751</v>
      </c>
      <c r="C24" s="272"/>
      <c r="D24" s="276" t="s">
        <v>752</v>
      </c>
      <c r="E24" s="272" t="s">
        <v>747</v>
      </c>
      <c r="F24" s="277"/>
      <c r="G24" s="385"/>
      <c r="H24" s="385"/>
      <c r="I24" s="385"/>
      <c r="J24" s="275"/>
      <c r="K24" s="288" t="s">
        <v>799</v>
      </c>
    </row>
    <row r="25" spans="1:11" ht="20.75" customHeight="1" x14ac:dyDescent="0.4">
      <c r="A25" s="272" t="s">
        <v>812</v>
      </c>
      <c r="B25" s="273" t="s">
        <v>753</v>
      </c>
      <c r="C25" s="272"/>
      <c r="D25" s="274" t="s">
        <v>783</v>
      </c>
      <c r="E25" s="272" t="s">
        <v>747</v>
      </c>
      <c r="F25" s="277">
        <v>17.117000000000001</v>
      </c>
      <c r="G25" s="385"/>
      <c r="H25" s="385"/>
      <c r="I25" s="385"/>
      <c r="J25" s="275"/>
      <c r="K25" s="283"/>
    </row>
    <row r="26" spans="1:11" ht="20.75" customHeight="1" x14ac:dyDescent="0.4">
      <c r="A26" s="272" t="s">
        <v>812</v>
      </c>
      <c r="B26" s="273" t="s">
        <v>754</v>
      </c>
      <c r="C26" s="272"/>
      <c r="D26" s="274" t="s">
        <v>784</v>
      </c>
      <c r="E26" s="272" t="s">
        <v>747</v>
      </c>
      <c r="F26" s="277">
        <v>465.60399999999998</v>
      </c>
      <c r="G26" s="385"/>
      <c r="H26" s="385"/>
      <c r="I26" s="385"/>
      <c r="J26" s="275"/>
      <c r="K26" s="283"/>
    </row>
    <row r="27" spans="1:11" ht="20.75" customHeight="1" x14ac:dyDescent="0.4">
      <c r="A27" s="272" t="s">
        <v>812</v>
      </c>
      <c r="B27" s="273" t="s">
        <v>755</v>
      </c>
      <c r="C27" s="272"/>
      <c r="D27" s="274" t="s">
        <v>785</v>
      </c>
      <c r="E27" s="272" t="s">
        <v>747</v>
      </c>
      <c r="F27" s="277">
        <v>393.73700000000002</v>
      </c>
      <c r="G27" s="385"/>
      <c r="H27" s="385"/>
      <c r="I27" s="385"/>
      <c r="J27" s="275"/>
      <c r="K27" s="283"/>
    </row>
    <row r="28" spans="1:11" ht="20.75" customHeight="1" x14ac:dyDescent="0.4">
      <c r="A28" s="388"/>
      <c r="B28" s="389"/>
      <c r="C28" s="388"/>
      <c r="D28" s="390"/>
      <c r="E28" s="388"/>
      <c r="F28" s="392"/>
      <c r="G28" s="404"/>
      <c r="H28" s="404"/>
      <c r="I28" s="404"/>
      <c r="J28" s="396"/>
      <c r="K28" s="395"/>
    </row>
    <row r="29" spans="1:11" ht="20.75" customHeight="1" x14ac:dyDescent="0.4">
      <c r="A29" s="272" t="s">
        <v>811</v>
      </c>
      <c r="B29" s="273" t="s">
        <v>764</v>
      </c>
      <c r="C29" s="272"/>
      <c r="D29" s="274" t="s">
        <v>765</v>
      </c>
      <c r="E29" s="272" t="s">
        <v>747</v>
      </c>
      <c r="F29" s="277">
        <v>1696</v>
      </c>
      <c r="G29" s="385"/>
      <c r="H29" s="385"/>
      <c r="I29" s="385"/>
      <c r="J29" s="275"/>
      <c r="K29" s="283"/>
    </row>
    <row r="30" spans="1:11" ht="20.75" customHeight="1" x14ac:dyDescent="0.4">
      <c r="A30" s="272" t="s">
        <v>811</v>
      </c>
      <c r="B30" s="273" t="s">
        <v>766</v>
      </c>
      <c r="C30" s="272"/>
      <c r="D30" s="274" t="s">
        <v>767</v>
      </c>
      <c r="E30" s="272" t="s">
        <v>747</v>
      </c>
      <c r="F30" s="277">
        <v>1425</v>
      </c>
      <c r="G30" s="385"/>
      <c r="H30" s="385"/>
      <c r="I30" s="385"/>
      <c r="J30" s="275"/>
      <c r="K30" s="283"/>
    </row>
    <row r="31" spans="1:11" ht="20.75" customHeight="1" x14ac:dyDescent="0.4">
      <c r="A31" s="272" t="s">
        <v>811</v>
      </c>
      <c r="B31" s="273" t="s">
        <v>768</v>
      </c>
      <c r="C31" s="272"/>
      <c r="D31" s="274" t="s">
        <v>789</v>
      </c>
      <c r="E31" s="272" t="s">
        <v>747</v>
      </c>
      <c r="F31" s="277">
        <v>65</v>
      </c>
      <c r="G31" s="385"/>
      <c r="H31" s="385"/>
      <c r="I31" s="385"/>
      <c r="J31" s="275"/>
      <c r="K31" s="283"/>
    </row>
    <row r="32" spans="1:11" ht="20.75" customHeight="1" x14ac:dyDescent="0.4">
      <c r="A32" s="272" t="s">
        <v>811</v>
      </c>
      <c r="B32" s="273" t="s">
        <v>769</v>
      </c>
      <c r="C32" s="272"/>
      <c r="D32" s="276" t="s">
        <v>790</v>
      </c>
      <c r="E32" s="272" t="s">
        <v>747</v>
      </c>
      <c r="F32" s="277"/>
      <c r="G32" s="385"/>
      <c r="H32" s="385"/>
      <c r="I32" s="385"/>
      <c r="J32" s="275"/>
      <c r="K32" s="288" t="s">
        <v>799</v>
      </c>
    </row>
    <row r="33" spans="1:11" ht="20.75" customHeight="1" x14ac:dyDescent="0.4">
      <c r="A33" s="272" t="s">
        <v>811</v>
      </c>
      <c r="B33" s="273" t="s">
        <v>770</v>
      </c>
      <c r="C33" s="272"/>
      <c r="D33" s="274" t="s">
        <v>791</v>
      </c>
      <c r="E33" s="272" t="s">
        <v>747</v>
      </c>
      <c r="F33" s="277">
        <v>17.117000000000001</v>
      </c>
      <c r="G33" s="385"/>
      <c r="H33" s="385"/>
      <c r="I33" s="385"/>
      <c r="J33" s="275"/>
      <c r="K33" s="283"/>
    </row>
    <row r="34" spans="1:11" ht="20.75" customHeight="1" x14ac:dyDescent="0.4">
      <c r="A34" s="272" t="s">
        <v>811</v>
      </c>
      <c r="B34" s="273" t="s">
        <v>771</v>
      </c>
      <c r="C34" s="272"/>
      <c r="D34" s="274" t="s">
        <v>792</v>
      </c>
      <c r="E34" s="272" t="s">
        <v>747</v>
      </c>
      <c r="F34" s="277">
        <v>456.60399999999998</v>
      </c>
      <c r="G34" s="385"/>
      <c r="H34" s="385"/>
      <c r="I34" s="385"/>
      <c r="J34" s="275"/>
      <c r="K34" s="283"/>
    </row>
    <row r="35" spans="1:11" ht="20.75" customHeight="1" x14ac:dyDescent="0.4">
      <c r="A35" s="272" t="s">
        <v>811</v>
      </c>
      <c r="B35" s="273" t="s">
        <v>772</v>
      </c>
      <c r="C35" s="272"/>
      <c r="D35" s="274" t="s">
        <v>793</v>
      </c>
      <c r="E35" s="272" t="s">
        <v>747</v>
      </c>
      <c r="F35" s="277">
        <v>410.17700000000002</v>
      </c>
      <c r="G35" s="385"/>
      <c r="H35" s="385"/>
      <c r="I35" s="385"/>
      <c r="J35" s="275"/>
      <c r="K35" s="283"/>
    </row>
    <row r="36" spans="1:11" ht="20.75" customHeight="1" x14ac:dyDescent="0.4">
      <c r="A36" s="397"/>
      <c r="B36" s="398"/>
      <c r="C36" s="397"/>
      <c r="D36" s="399"/>
      <c r="E36" s="397"/>
      <c r="F36" s="400"/>
      <c r="G36" s="400"/>
      <c r="H36" s="400"/>
      <c r="I36" s="400"/>
      <c r="J36" s="401"/>
      <c r="K36" s="402"/>
    </row>
    <row r="37" spans="1:11" x14ac:dyDescent="0.4">
      <c r="F37" s="279"/>
      <c r="G37" s="279"/>
    </row>
    <row r="40" spans="1:11" x14ac:dyDescent="0.4">
      <c r="A40" s="284" t="s">
        <v>815</v>
      </c>
      <c r="B40" s="284" t="s">
        <v>816</v>
      </c>
      <c r="C40" s="284"/>
      <c r="D40" s="285" t="s">
        <v>817</v>
      </c>
      <c r="E40" s="284" t="s">
        <v>739</v>
      </c>
      <c r="F40" s="285" t="s">
        <v>818</v>
      </c>
      <c r="G40" s="286" t="s">
        <v>819</v>
      </c>
      <c r="H40" s="286" t="s">
        <v>740</v>
      </c>
      <c r="I40" s="286" t="s">
        <v>801</v>
      </c>
      <c r="J40" s="287" t="s">
        <v>800</v>
      </c>
      <c r="K40" s="287" t="s">
        <v>809</v>
      </c>
    </row>
    <row r="41" spans="1:11" ht="25.9" customHeight="1" x14ac:dyDescent="0.4">
      <c r="A41" s="272" t="s">
        <v>813</v>
      </c>
      <c r="B41" s="273" t="s">
        <v>741</v>
      </c>
      <c r="C41" s="272"/>
      <c r="D41" s="274" t="s">
        <v>742</v>
      </c>
      <c r="E41" s="272" t="s">
        <v>747</v>
      </c>
      <c r="F41" s="272">
        <v>260.33199999999999</v>
      </c>
      <c r="G41" s="403">
        <f>310332.39/1000</f>
        <v>310.33239000000003</v>
      </c>
      <c r="H41" s="403">
        <f>F41-G41</f>
        <v>-50.000390000000039</v>
      </c>
      <c r="I41" s="403" t="s">
        <v>918</v>
      </c>
      <c r="J41" s="320">
        <v>46189</v>
      </c>
      <c r="K41" s="272"/>
    </row>
    <row r="42" spans="1:11" ht="25.9" customHeight="1" x14ac:dyDescent="0.4">
      <c r="A42" s="272" t="s">
        <v>813</v>
      </c>
      <c r="B42" s="273" t="s">
        <v>743</v>
      </c>
      <c r="C42" s="272"/>
      <c r="D42" s="274" t="s">
        <v>744</v>
      </c>
      <c r="E42" s="272" t="s">
        <v>747</v>
      </c>
      <c r="F42" s="272">
        <v>349.14800000000002</v>
      </c>
      <c r="G42" s="403">
        <f>90494.53/1000</f>
        <v>90.494529999999997</v>
      </c>
      <c r="H42" s="403">
        <f>F42-G42</f>
        <v>258.65347000000003</v>
      </c>
      <c r="I42" s="403" t="s">
        <v>806</v>
      </c>
      <c r="J42" s="320">
        <v>46189</v>
      </c>
      <c r="K42" s="272"/>
    </row>
    <row r="43" spans="1:11" ht="25.9" customHeight="1" x14ac:dyDescent="0.4">
      <c r="A43" s="272" t="s">
        <v>813</v>
      </c>
      <c r="B43" s="273" t="s">
        <v>824</v>
      </c>
      <c r="C43" s="272"/>
      <c r="D43" s="274" t="s">
        <v>825</v>
      </c>
      <c r="E43" s="272" t="s">
        <v>747</v>
      </c>
      <c r="F43" s="272">
        <v>458.05599999999998</v>
      </c>
      <c r="G43" s="403">
        <f>660782.29/1000</f>
        <v>660.78228999999999</v>
      </c>
      <c r="H43" s="403">
        <f>F43-G43</f>
        <v>-202.72629000000001</v>
      </c>
      <c r="I43" s="403" t="s">
        <v>814</v>
      </c>
      <c r="J43" s="320"/>
      <c r="K43" s="272"/>
    </row>
    <row r="44" spans="1:11" x14ac:dyDescent="0.4">
      <c r="F44" s="289">
        <f>SUM(F41:F43)</f>
        <v>1067.5360000000001</v>
      </c>
      <c r="G44" s="289">
        <f>SUM(G41:G43)</f>
        <v>1061.6092100000001</v>
      </c>
    </row>
  </sheetData>
  <autoFilter ref="A1:K37" xr:uid="{ADA6435D-29E7-4C7B-8E35-C2542D3EAB98}"/>
  <mergeCells count="3">
    <mergeCell ref="F3:F4"/>
    <mergeCell ref="H3:H4"/>
    <mergeCell ref="F6:F7"/>
  </mergeCells>
  <phoneticPr fontId="20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F7DC-D337-4AE4-A6B4-BCCAA89B2523}">
  <dimension ref="A1:I80"/>
  <sheetViews>
    <sheetView workbookViewId="0">
      <selection activeCell="G18" sqref="G18"/>
    </sheetView>
  </sheetViews>
  <sheetFormatPr defaultRowHeight="13.9" x14ac:dyDescent="0.4"/>
  <cols>
    <col min="1" max="1" width="12.33203125" customWidth="1"/>
    <col min="2" max="2" width="30.59765625" customWidth="1"/>
    <col min="4" max="4" width="10.06640625" customWidth="1"/>
    <col min="8" max="8" width="5.46484375" style="270" customWidth="1"/>
    <col min="9" max="9" width="34.9296875" style="361" customWidth="1"/>
  </cols>
  <sheetData>
    <row r="1" spans="1:9" ht="17.649999999999999" customHeight="1" thickBot="1" x14ac:dyDescent="0.45">
      <c r="A1" s="332" t="s">
        <v>5</v>
      </c>
      <c r="B1" s="333" t="s">
        <v>6</v>
      </c>
      <c r="C1" s="334" t="s">
        <v>857</v>
      </c>
      <c r="D1" s="335" t="s">
        <v>16</v>
      </c>
    </row>
    <row r="2" spans="1:9" ht="14.25" thickTop="1" x14ac:dyDescent="0.4">
      <c r="A2" s="336" t="s">
        <v>858</v>
      </c>
      <c r="B2" s="337" t="s">
        <v>859</v>
      </c>
      <c r="C2" s="338"/>
      <c r="D2" s="339">
        <v>46197</v>
      </c>
    </row>
    <row r="3" spans="1:9" x14ac:dyDescent="0.4">
      <c r="A3" s="340" t="s">
        <v>509</v>
      </c>
      <c r="B3" s="341" t="s">
        <v>305</v>
      </c>
      <c r="C3" s="338"/>
      <c r="D3" s="339">
        <v>46197</v>
      </c>
    </row>
    <row r="4" spans="1:9" x14ac:dyDescent="0.4">
      <c r="A4" s="340" t="s">
        <v>511</v>
      </c>
      <c r="B4" s="341" t="s">
        <v>50</v>
      </c>
      <c r="C4" s="338"/>
      <c r="D4" s="339">
        <v>46197</v>
      </c>
    </row>
    <row r="5" spans="1:9" x14ac:dyDescent="0.4">
      <c r="A5" s="342" t="s">
        <v>39</v>
      </c>
      <c r="B5" s="343" t="s">
        <v>43</v>
      </c>
      <c r="C5" s="338"/>
      <c r="D5" s="339">
        <v>46195</v>
      </c>
      <c r="H5" s="362"/>
      <c r="I5" s="363"/>
    </row>
    <row r="6" spans="1:9" x14ac:dyDescent="0.4">
      <c r="A6" s="342" t="s">
        <v>42</v>
      </c>
      <c r="B6" s="343" t="s">
        <v>45</v>
      </c>
      <c r="C6" s="338"/>
      <c r="D6" s="339">
        <v>46195</v>
      </c>
      <c r="H6" s="364"/>
      <c r="I6" s="365"/>
    </row>
    <row r="7" spans="1:9" x14ac:dyDescent="0.4">
      <c r="A7" s="342" t="s">
        <v>47</v>
      </c>
      <c r="B7" s="344" t="s">
        <v>52</v>
      </c>
      <c r="C7" s="338"/>
      <c r="D7" s="339">
        <v>46203</v>
      </c>
      <c r="H7" s="364"/>
      <c r="I7" s="365"/>
    </row>
    <row r="8" spans="1:9" x14ac:dyDescent="0.4">
      <c r="A8" s="342" t="s">
        <v>49</v>
      </c>
      <c r="B8" s="344" t="s">
        <v>54</v>
      </c>
      <c r="C8" s="338"/>
      <c r="D8" s="339">
        <v>46212</v>
      </c>
      <c r="H8" s="364"/>
      <c r="I8" s="365"/>
    </row>
    <row r="9" spans="1:9" ht="23.25" x14ac:dyDescent="0.4">
      <c r="A9" s="342" t="s">
        <v>57</v>
      </c>
      <c r="B9" s="344" t="s">
        <v>853</v>
      </c>
      <c r="C9" s="338"/>
      <c r="D9" s="339">
        <v>46233</v>
      </c>
      <c r="H9" s="364"/>
      <c r="I9" s="365"/>
    </row>
    <row r="10" spans="1:9" x14ac:dyDescent="0.4">
      <c r="A10" s="342" t="s">
        <v>60</v>
      </c>
      <c r="B10" s="344" t="s">
        <v>233</v>
      </c>
      <c r="C10" s="338"/>
      <c r="D10" s="339">
        <v>46415</v>
      </c>
      <c r="H10" s="364"/>
      <c r="I10" s="365"/>
    </row>
    <row r="11" spans="1:9" x14ac:dyDescent="0.4">
      <c r="A11" s="342" t="s">
        <v>61</v>
      </c>
      <c r="B11" s="344" t="s">
        <v>468</v>
      </c>
      <c r="C11" s="338"/>
      <c r="D11" s="339">
        <v>46219</v>
      </c>
      <c r="H11" s="364"/>
      <c r="I11" s="365"/>
    </row>
    <row r="12" spans="1:9" x14ac:dyDescent="0.4">
      <c r="A12" s="342" t="s">
        <v>860</v>
      </c>
      <c r="B12" s="344" t="s">
        <v>470</v>
      </c>
      <c r="C12" s="338"/>
      <c r="D12" s="339">
        <v>46219</v>
      </c>
      <c r="H12" s="364"/>
      <c r="I12" s="365"/>
    </row>
    <row r="13" spans="1:9" x14ac:dyDescent="0.4">
      <c r="A13" s="345" t="s">
        <v>64</v>
      </c>
      <c r="B13" s="341" t="s">
        <v>472</v>
      </c>
      <c r="C13" s="338"/>
      <c r="D13" s="339">
        <v>46219</v>
      </c>
      <c r="H13" s="364"/>
      <c r="I13" s="365"/>
    </row>
    <row r="14" spans="1:9" x14ac:dyDescent="0.4">
      <c r="A14" s="346" t="s">
        <v>861</v>
      </c>
      <c r="B14" s="341" t="s">
        <v>482</v>
      </c>
      <c r="C14" s="338"/>
      <c r="D14" s="339">
        <v>46219</v>
      </c>
      <c r="H14" s="364"/>
      <c r="I14" s="365"/>
    </row>
    <row r="15" spans="1:9" x14ac:dyDescent="0.4">
      <c r="A15" s="342" t="s">
        <v>862</v>
      </c>
      <c r="B15" s="344" t="s">
        <v>863</v>
      </c>
      <c r="C15" s="338"/>
      <c r="D15" s="339">
        <v>46219</v>
      </c>
      <c r="H15" s="364"/>
      <c r="I15" s="365"/>
    </row>
    <row r="16" spans="1:9" x14ac:dyDescent="0.4">
      <c r="A16" s="342" t="s">
        <v>68</v>
      </c>
      <c r="B16" s="341" t="s">
        <v>484</v>
      </c>
      <c r="C16" s="338"/>
      <c r="D16" s="339">
        <v>46216</v>
      </c>
      <c r="H16" s="364"/>
      <c r="I16" s="366"/>
    </row>
    <row r="17" spans="1:9" x14ac:dyDescent="0.4">
      <c r="A17" s="342" t="s">
        <v>70</v>
      </c>
      <c r="B17" s="341" t="s">
        <v>864</v>
      </c>
      <c r="C17" s="338"/>
      <c r="D17" s="339">
        <v>46226</v>
      </c>
      <c r="H17" s="367"/>
      <c r="I17" s="368"/>
    </row>
    <row r="18" spans="1:9" x14ac:dyDescent="0.4">
      <c r="A18" s="340" t="s">
        <v>388</v>
      </c>
      <c r="B18" s="341" t="s">
        <v>865</v>
      </c>
      <c r="C18" s="338"/>
      <c r="D18" s="339">
        <v>46226</v>
      </c>
    </row>
    <row r="19" spans="1:9" x14ac:dyDescent="0.4">
      <c r="A19" s="340" t="s">
        <v>387</v>
      </c>
      <c r="B19" s="341" t="s">
        <v>406</v>
      </c>
      <c r="C19" s="338"/>
      <c r="D19" s="339">
        <v>46226</v>
      </c>
    </row>
    <row r="20" spans="1:9" ht="20.25" x14ac:dyDescent="0.4">
      <c r="A20" s="340" t="s">
        <v>866</v>
      </c>
      <c r="B20" s="347" t="s">
        <v>411</v>
      </c>
      <c r="C20" s="338"/>
      <c r="D20" s="339">
        <v>46226</v>
      </c>
    </row>
    <row r="21" spans="1:9" x14ac:dyDescent="0.4">
      <c r="A21" s="340" t="s">
        <v>867</v>
      </c>
      <c r="B21" s="347" t="s">
        <v>408</v>
      </c>
      <c r="C21" s="338"/>
      <c r="D21" s="339">
        <v>46226</v>
      </c>
    </row>
    <row r="22" spans="1:9" x14ac:dyDescent="0.4">
      <c r="A22" s="340" t="s">
        <v>868</v>
      </c>
      <c r="B22" s="341" t="s">
        <v>384</v>
      </c>
      <c r="C22" s="338"/>
      <c r="D22" s="339">
        <v>46226</v>
      </c>
    </row>
    <row r="23" spans="1:9" x14ac:dyDescent="0.4">
      <c r="A23" s="342" t="s">
        <v>75</v>
      </c>
      <c r="B23" s="344" t="s">
        <v>76</v>
      </c>
      <c r="C23" s="338"/>
      <c r="D23" s="339">
        <v>46223</v>
      </c>
    </row>
    <row r="24" spans="1:9" x14ac:dyDescent="0.4">
      <c r="A24" s="342" t="s">
        <v>77</v>
      </c>
      <c r="B24" s="344" t="s">
        <v>78</v>
      </c>
      <c r="C24" s="338"/>
      <c r="D24" s="339">
        <v>46226</v>
      </c>
    </row>
    <row r="25" spans="1:9" x14ac:dyDescent="0.4">
      <c r="A25" s="342" t="s">
        <v>79</v>
      </c>
      <c r="B25" s="344" t="s">
        <v>80</v>
      </c>
      <c r="C25" s="338"/>
      <c r="D25" s="339">
        <v>46288</v>
      </c>
    </row>
    <row r="26" spans="1:9" x14ac:dyDescent="0.4">
      <c r="A26" s="342" t="s">
        <v>81</v>
      </c>
      <c r="B26" s="344" t="s">
        <v>82</v>
      </c>
      <c r="C26" s="338"/>
      <c r="D26" s="339">
        <v>46252</v>
      </c>
    </row>
    <row r="27" spans="1:9" x14ac:dyDescent="0.4">
      <c r="A27" s="342" t="s">
        <v>83</v>
      </c>
      <c r="B27" s="344" t="s">
        <v>869</v>
      </c>
      <c r="C27" s="338"/>
      <c r="D27" s="339">
        <v>46237</v>
      </c>
    </row>
    <row r="28" spans="1:9" ht="23.25" x14ac:dyDescent="0.4">
      <c r="A28" s="342" t="s">
        <v>84</v>
      </c>
      <c r="B28" s="348" t="s">
        <v>832</v>
      </c>
      <c r="C28" s="338"/>
      <c r="D28" s="339">
        <v>46223</v>
      </c>
    </row>
    <row r="29" spans="1:9" ht="14.25" thickBot="1" x14ac:dyDescent="0.45">
      <c r="A29" s="342" t="s">
        <v>85</v>
      </c>
      <c r="B29" s="344" t="s">
        <v>86</v>
      </c>
      <c r="C29" s="338"/>
      <c r="D29" s="339">
        <v>46226</v>
      </c>
    </row>
    <row r="30" spans="1:9" ht="14.25" thickTop="1" x14ac:dyDescent="0.4">
      <c r="A30" s="342" t="s">
        <v>87</v>
      </c>
      <c r="B30" s="349" t="s">
        <v>870</v>
      </c>
      <c r="C30" s="338"/>
      <c r="D30" s="339">
        <v>46230</v>
      </c>
    </row>
    <row r="31" spans="1:9" x14ac:dyDescent="0.4">
      <c r="A31" s="342" t="s">
        <v>88</v>
      </c>
      <c r="B31" s="344" t="s">
        <v>89</v>
      </c>
      <c r="C31" s="338"/>
      <c r="D31" s="339">
        <v>46226</v>
      </c>
    </row>
    <row r="32" spans="1:9" ht="14.25" thickBot="1" x14ac:dyDescent="0.45">
      <c r="A32" s="342" t="s">
        <v>90</v>
      </c>
      <c r="B32" s="344" t="s">
        <v>91</v>
      </c>
      <c r="C32" s="338"/>
      <c r="D32" s="339">
        <v>46226</v>
      </c>
    </row>
    <row r="33" spans="1:4" ht="24" thickTop="1" thickBot="1" x14ac:dyDescent="0.45">
      <c r="A33" s="342" t="s">
        <v>871</v>
      </c>
      <c r="B33" s="337" t="s">
        <v>872</v>
      </c>
      <c r="C33" s="350"/>
      <c r="D33" s="351">
        <v>46226</v>
      </c>
    </row>
    <row r="34" spans="1:4" ht="14.65" thickTop="1" thickBot="1" x14ac:dyDescent="0.45">
      <c r="A34" s="342" t="s">
        <v>301</v>
      </c>
      <c r="B34" s="337" t="s">
        <v>873</v>
      </c>
      <c r="C34" s="338"/>
      <c r="D34" s="351">
        <v>46226</v>
      </c>
    </row>
    <row r="35" spans="1:4" ht="14.25" thickTop="1" x14ac:dyDescent="0.4">
      <c r="A35" s="336" t="s">
        <v>874</v>
      </c>
      <c r="B35" s="341" t="s">
        <v>414</v>
      </c>
      <c r="C35" s="338"/>
      <c r="D35" s="339">
        <v>46281</v>
      </c>
    </row>
    <row r="36" spans="1:4" ht="23.25" x14ac:dyDescent="0.4">
      <c r="A36" s="340" t="s">
        <v>875</v>
      </c>
      <c r="B36" s="348" t="s">
        <v>829</v>
      </c>
      <c r="C36" s="338"/>
      <c r="D36" s="339">
        <v>46281</v>
      </c>
    </row>
    <row r="37" spans="1:4" x14ac:dyDescent="0.4">
      <c r="A37" s="340" t="s">
        <v>875</v>
      </c>
      <c r="B37" s="341" t="s">
        <v>733</v>
      </c>
      <c r="C37" s="338"/>
      <c r="D37" s="339">
        <v>46281</v>
      </c>
    </row>
    <row r="38" spans="1:4" x14ac:dyDescent="0.4">
      <c r="A38" s="352" t="s">
        <v>876</v>
      </c>
      <c r="B38" s="353" t="s">
        <v>877</v>
      </c>
      <c r="C38" s="354"/>
      <c r="D38" s="355"/>
    </row>
    <row r="39" spans="1:4" x14ac:dyDescent="0.4">
      <c r="A39" s="342" t="s">
        <v>92</v>
      </c>
      <c r="B39" s="344" t="s">
        <v>878</v>
      </c>
      <c r="C39" s="338"/>
      <c r="D39" s="339">
        <v>46202</v>
      </c>
    </row>
    <row r="40" spans="1:4" x14ac:dyDescent="0.4">
      <c r="A40" s="342" t="s">
        <v>95</v>
      </c>
      <c r="B40" s="344" t="s">
        <v>879</v>
      </c>
      <c r="C40" s="338"/>
      <c r="D40" s="339">
        <v>46202</v>
      </c>
    </row>
    <row r="41" spans="1:4" x14ac:dyDescent="0.4">
      <c r="A41" s="342" t="s">
        <v>98</v>
      </c>
      <c r="B41" s="344" t="s">
        <v>96</v>
      </c>
      <c r="C41" s="338"/>
      <c r="D41" s="339">
        <v>46202</v>
      </c>
    </row>
    <row r="42" spans="1:4" ht="23.25" x14ac:dyDescent="0.4">
      <c r="A42" s="342" t="s">
        <v>100</v>
      </c>
      <c r="B42" s="344" t="s">
        <v>240</v>
      </c>
      <c r="C42" s="338"/>
      <c r="D42" s="339">
        <v>46209</v>
      </c>
    </row>
    <row r="43" spans="1:4" ht="14.25" thickBot="1" x14ac:dyDescent="0.45">
      <c r="A43" s="342" t="s">
        <v>103</v>
      </c>
      <c r="B43" s="344" t="s">
        <v>101</v>
      </c>
      <c r="C43" s="338"/>
      <c r="D43" s="339">
        <v>46288</v>
      </c>
    </row>
    <row r="44" spans="1:4" ht="14.25" thickTop="1" x14ac:dyDescent="0.4">
      <c r="A44" s="342" t="s">
        <v>104</v>
      </c>
      <c r="B44" s="356" t="s">
        <v>834</v>
      </c>
      <c r="C44" s="338"/>
      <c r="D44" s="339">
        <v>46288</v>
      </c>
    </row>
    <row r="45" spans="1:4" ht="14.25" thickBot="1" x14ac:dyDescent="0.45">
      <c r="A45" s="342" t="s">
        <v>105</v>
      </c>
      <c r="B45" s="344" t="s">
        <v>245</v>
      </c>
      <c r="C45" s="338"/>
      <c r="D45" s="339">
        <v>46204</v>
      </c>
    </row>
    <row r="46" spans="1:4" ht="14.65" thickTop="1" thickBot="1" x14ac:dyDescent="0.45">
      <c r="A46" s="342" t="s">
        <v>106</v>
      </c>
      <c r="B46" s="356" t="s">
        <v>880</v>
      </c>
      <c r="C46" s="338"/>
      <c r="D46" s="339">
        <v>46288</v>
      </c>
    </row>
    <row r="47" spans="1:4" ht="14.25" thickTop="1" x14ac:dyDescent="0.4">
      <c r="A47" s="342" t="s">
        <v>107</v>
      </c>
      <c r="B47" s="356" t="s">
        <v>881</v>
      </c>
      <c r="C47" s="338"/>
      <c r="D47" s="339">
        <v>46269</v>
      </c>
    </row>
    <row r="48" spans="1:4" ht="23.25" x14ac:dyDescent="0.4">
      <c r="A48" s="342" t="s">
        <v>251</v>
      </c>
      <c r="B48" s="344" t="s">
        <v>882</v>
      </c>
      <c r="C48" s="338"/>
      <c r="D48" s="339">
        <v>46269</v>
      </c>
    </row>
    <row r="49" spans="1:4" x14ac:dyDescent="0.4">
      <c r="A49" s="342" t="s">
        <v>883</v>
      </c>
      <c r="B49" s="343" t="s">
        <v>884</v>
      </c>
      <c r="C49" s="338"/>
      <c r="D49" s="339">
        <v>46204</v>
      </c>
    </row>
    <row r="50" spans="1:4" x14ac:dyDescent="0.4">
      <c r="A50" s="342" t="s">
        <v>113</v>
      </c>
      <c r="B50" s="343" t="s">
        <v>885</v>
      </c>
      <c r="C50" s="338"/>
      <c r="D50" s="339">
        <v>46203</v>
      </c>
    </row>
    <row r="51" spans="1:4" x14ac:dyDescent="0.4">
      <c r="A51" s="342" t="s">
        <v>116</v>
      </c>
      <c r="B51" s="343" t="s">
        <v>886</v>
      </c>
      <c r="C51" s="338"/>
      <c r="D51" s="339">
        <v>46206</v>
      </c>
    </row>
    <row r="52" spans="1:4" x14ac:dyDescent="0.4">
      <c r="A52" s="342" t="s">
        <v>117</v>
      </c>
      <c r="B52" s="343" t="s">
        <v>121</v>
      </c>
      <c r="C52" s="338"/>
      <c r="D52" s="339">
        <v>46289</v>
      </c>
    </row>
    <row r="53" spans="1:4" x14ac:dyDescent="0.4">
      <c r="A53" s="342" t="s">
        <v>119</v>
      </c>
      <c r="B53" s="344" t="s">
        <v>109</v>
      </c>
      <c r="C53" s="338"/>
      <c r="D53" s="339">
        <v>46199</v>
      </c>
    </row>
    <row r="54" spans="1:4" x14ac:dyDescent="0.4">
      <c r="A54" s="342" t="s">
        <v>887</v>
      </c>
      <c r="B54" s="344" t="s">
        <v>260</v>
      </c>
      <c r="C54" s="338"/>
      <c r="D54" s="339">
        <v>46233</v>
      </c>
    </row>
    <row r="55" spans="1:4" x14ac:dyDescent="0.4">
      <c r="A55" s="342" t="s">
        <v>888</v>
      </c>
      <c r="B55" s="344" t="s">
        <v>114</v>
      </c>
      <c r="C55" s="338"/>
      <c r="D55" s="339">
        <v>46226</v>
      </c>
    </row>
    <row r="56" spans="1:4" x14ac:dyDescent="0.4">
      <c r="A56" s="342" t="s">
        <v>124</v>
      </c>
      <c r="B56" s="344" t="s">
        <v>889</v>
      </c>
      <c r="C56" s="338"/>
      <c r="D56" s="339">
        <v>46226</v>
      </c>
    </row>
    <row r="57" spans="1:4" x14ac:dyDescent="0.4">
      <c r="A57" s="342" t="s">
        <v>127</v>
      </c>
      <c r="B57" s="344" t="s">
        <v>141</v>
      </c>
      <c r="C57" s="338"/>
      <c r="D57" s="339">
        <v>46303</v>
      </c>
    </row>
    <row r="58" spans="1:4" x14ac:dyDescent="0.4">
      <c r="A58" s="342" t="s">
        <v>130</v>
      </c>
      <c r="B58" s="344" t="s">
        <v>155</v>
      </c>
      <c r="C58" s="338"/>
      <c r="D58" s="339">
        <v>46344</v>
      </c>
    </row>
    <row r="59" spans="1:4" x14ac:dyDescent="0.4">
      <c r="A59" s="342" t="s">
        <v>132</v>
      </c>
      <c r="B59" s="344" t="s">
        <v>145</v>
      </c>
      <c r="C59" s="338"/>
      <c r="D59" s="339">
        <v>46302</v>
      </c>
    </row>
    <row r="60" spans="1:4" x14ac:dyDescent="0.4">
      <c r="A60" s="342" t="s">
        <v>134</v>
      </c>
      <c r="B60" s="344" t="s">
        <v>131</v>
      </c>
      <c r="C60" s="338"/>
      <c r="D60" s="339">
        <v>46330</v>
      </c>
    </row>
    <row r="61" spans="1:4" x14ac:dyDescent="0.4">
      <c r="A61" s="342" t="s">
        <v>136</v>
      </c>
      <c r="B61" s="344" t="s">
        <v>280</v>
      </c>
      <c r="C61" s="338"/>
      <c r="D61" s="339">
        <v>46330</v>
      </c>
    </row>
    <row r="62" spans="1:4" x14ac:dyDescent="0.4">
      <c r="A62" s="342" t="s">
        <v>137</v>
      </c>
      <c r="B62" s="344" t="s">
        <v>135</v>
      </c>
      <c r="C62" s="338"/>
      <c r="D62" s="339">
        <v>46330</v>
      </c>
    </row>
    <row r="63" spans="1:4" ht="23.25" x14ac:dyDescent="0.4">
      <c r="A63" s="342" t="s">
        <v>138</v>
      </c>
      <c r="B63" s="344" t="s">
        <v>274</v>
      </c>
      <c r="C63" s="338"/>
      <c r="D63" s="339">
        <v>46330</v>
      </c>
    </row>
    <row r="64" spans="1:4" ht="23.25" x14ac:dyDescent="0.4">
      <c r="A64" s="342" t="s">
        <v>140</v>
      </c>
      <c r="B64" s="344" t="s">
        <v>276</v>
      </c>
      <c r="C64" s="338"/>
      <c r="D64" s="339">
        <v>46330</v>
      </c>
    </row>
    <row r="65" spans="1:4" x14ac:dyDescent="0.4">
      <c r="A65" s="342" t="s">
        <v>142</v>
      </c>
      <c r="B65" s="344" t="s">
        <v>133</v>
      </c>
      <c r="C65" s="338"/>
      <c r="D65" s="339">
        <v>46330</v>
      </c>
    </row>
    <row r="66" spans="1:4" x14ac:dyDescent="0.4">
      <c r="A66" s="342" t="s">
        <v>144</v>
      </c>
      <c r="B66" s="344" t="s">
        <v>125</v>
      </c>
      <c r="C66" s="338"/>
      <c r="D66" s="339">
        <v>46330</v>
      </c>
    </row>
    <row r="67" spans="1:4" x14ac:dyDescent="0.4">
      <c r="A67" s="342" t="s">
        <v>890</v>
      </c>
      <c r="B67" s="344" t="s">
        <v>891</v>
      </c>
      <c r="C67" s="338"/>
      <c r="D67" s="339">
        <v>46330</v>
      </c>
    </row>
    <row r="68" spans="1:4" x14ac:dyDescent="0.4">
      <c r="A68" s="342" t="s">
        <v>149</v>
      </c>
      <c r="B68" s="344" t="s">
        <v>139</v>
      </c>
      <c r="C68" s="338"/>
      <c r="D68" s="339">
        <v>46330</v>
      </c>
    </row>
    <row r="69" spans="1:4" x14ac:dyDescent="0.4">
      <c r="A69" s="342" t="s">
        <v>152</v>
      </c>
      <c r="B69" s="344" t="s">
        <v>128</v>
      </c>
      <c r="C69" s="338"/>
      <c r="D69" s="339">
        <v>46289</v>
      </c>
    </row>
    <row r="70" spans="1:4" x14ac:dyDescent="0.4">
      <c r="A70" s="342" t="s">
        <v>154</v>
      </c>
      <c r="B70" s="344" t="s">
        <v>123</v>
      </c>
      <c r="C70" s="338"/>
      <c r="D70" s="339">
        <v>46330</v>
      </c>
    </row>
    <row r="71" spans="1:4" ht="23.25" x14ac:dyDescent="0.4">
      <c r="A71" s="342" t="s">
        <v>156</v>
      </c>
      <c r="B71" s="344" t="s">
        <v>287</v>
      </c>
      <c r="C71" s="338"/>
      <c r="D71" s="339">
        <v>46244</v>
      </c>
    </row>
    <row r="72" spans="1:4" ht="23.25" x14ac:dyDescent="0.4">
      <c r="A72" s="342" t="s">
        <v>158</v>
      </c>
      <c r="B72" s="344" t="s">
        <v>892</v>
      </c>
      <c r="C72" s="338"/>
      <c r="D72" s="339">
        <v>46244</v>
      </c>
    </row>
    <row r="73" spans="1:4" ht="14.25" thickBot="1" x14ac:dyDescent="0.45">
      <c r="A73" s="342" t="s">
        <v>159</v>
      </c>
      <c r="B73" s="344" t="s">
        <v>150</v>
      </c>
      <c r="C73" s="338"/>
      <c r="D73" s="339">
        <v>46281</v>
      </c>
    </row>
    <row r="74" spans="1:4" ht="35.25" thickTop="1" x14ac:dyDescent="0.4">
      <c r="A74" s="342" t="s">
        <v>893</v>
      </c>
      <c r="B74" s="337" t="s">
        <v>894</v>
      </c>
      <c r="C74" s="338"/>
      <c r="D74" s="339">
        <v>46302</v>
      </c>
    </row>
    <row r="75" spans="1:4" x14ac:dyDescent="0.4">
      <c r="A75" s="342" t="s">
        <v>895</v>
      </c>
      <c r="B75" s="344" t="s">
        <v>896</v>
      </c>
      <c r="C75" s="338"/>
      <c r="D75" s="339">
        <v>46266</v>
      </c>
    </row>
    <row r="76" spans="1:4" x14ac:dyDescent="0.4">
      <c r="A76" s="342" t="s">
        <v>849</v>
      </c>
      <c r="B76" s="344" t="s">
        <v>897</v>
      </c>
      <c r="C76" s="338"/>
      <c r="D76" s="339">
        <v>46266</v>
      </c>
    </row>
    <row r="77" spans="1:4" x14ac:dyDescent="0.4">
      <c r="A77" s="342" t="s">
        <v>898</v>
      </c>
      <c r="B77" s="344" t="s">
        <v>899</v>
      </c>
      <c r="C77" s="338"/>
      <c r="D77" s="339">
        <v>46266</v>
      </c>
    </row>
    <row r="78" spans="1:4" x14ac:dyDescent="0.4">
      <c r="A78" s="342" t="s">
        <v>900</v>
      </c>
      <c r="B78" s="344" t="s">
        <v>901</v>
      </c>
      <c r="C78" s="338"/>
      <c r="D78" s="339">
        <v>46266</v>
      </c>
    </row>
    <row r="79" spans="1:4" x14ac:dyDescent="0.4">
      <c r="A79" s="342" t="s">
        <v>902</v>
      </c>
      <c r="B79" s="344" t="s">
        <v>903</v>
      </c>
      <c r="C79" s="338"/>
      <c r="D79" s="339">
        <v>46266</v>
      </c>
    </row>
    <row r="80" spans="1:4" x14ac:dyDescent="0.4">
      <c r="A80" s="357" t="s">
        <v>904</v>
      </c>
      <c r="B80" s="358" t="s">
        <v>905</v>
      </c>
      <c r="C80" s="359"/>
      <c r="D80" s="339">
        <v>46266</v>
      </c>
    </row>
  </sheetData>
  <phoneticPr fontId="65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PSR</vt:lpstr>
      <vt:lpstr>Thai Holidays</vt:lpstr>
      <vt:lpstr>China Holidays</vt:lpstr>
      <vt:lpstr>STR MR</vt:lpstr>
      <vt:lpstr>Primary steel-plate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 Juan</cp:lastModifiedBy>
  <cp:lastPrinted>2026-03-27T03:09:03Z</cp:lastPrinted>
  <dcterms:created xsi:type="dcterms:W3CDTF">2015-06-05T18:19:00Z</dcterms:created>
  <dcterms:modified xsi:type="dcterms:W3CDTF">2026-07-06T03:56:07Z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140EE7BC5BFF4F18AFADD19451E52797_12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